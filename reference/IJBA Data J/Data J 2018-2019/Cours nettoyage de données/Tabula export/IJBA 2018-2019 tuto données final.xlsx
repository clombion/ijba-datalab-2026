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4"/>
    <sheet state="visible" name="etape1" sheetId="2" r:id="rId5"/>
    <sheet state="visible" name="etape2" sheetId="3" r:id="rId6"/>
    <sheet state="visible" name="etape3" sheetId="4" r:id="rId7"/>
    <sheet state="visible" name="etape4" sheetId="5" r:id="rId8"/>
    <sheet state="visible" name="etape5" sheetId="6" r:id="rId9"/>
    <sheet state="visible" name="clean" sheetId="7" r:id="rId10"/>
    <sheet state="visible" name="verif1" sheetId="8" r:id="rId11"/>
    <sheet state="visible" name="analyse1" sheetId="9" r:id="rId12"/>
    <sheet state="visible" name="analyse2" sheetId="10" r:id="rId13"/>
    <sheet state="visible" name="consolidvert1" sheetId="11" r:id="rId14"/>
    <sheet state="visible" name="consolidvert2" sheetId="12" r:id="rId15"/>
    <sheet state="visible" name="clean2" sheetId="13" r:id="rId16"/>
    <sheet state="visible" name="verif2" sheetId="14" r:id="rId17"/>
    <sheet state="visible" name="analyse3." sheetId="15" r:id="rId18"/>
    <sheet state="visible" name="consolid1" sheetId="16" r:id="rId19"/>
    <sheet state="visible" name="consolid2" sheetId="17" r:id="rId20"/>
    <sheet state="visible" name="analyse3" sheetId="18" r:id="rId21"/>
    <sheet state="visible" name="analyse4`" sheetId="19" r:id="rId22"/>
    <sheet state="visible" name="analyse5" sheetId="20" r:id="rId23"/>
  </sheets>
  <definedNames>
    <definedName hidden="1" localSheetId="4" name="_xlnm._FilterDatabase">etape4!$A$2:$E$1535</definedName>
    <definedName hidden="1" localSheetId="6" name="_xlnm._FilterDatabase">clean!$B$1:$B$1536</definedName>
    <definedName hidden="1" localSheetId="14" name="_xlnm._FilterDatabase">analyse3.!$B$1:$D$2204</definedName>
    <definedName hidden="1" localSheetId="15" name="_xlnm._FilterDatabase">consolid1!$A$1:$I$904</definedName>
  </definedNames>
  <calcPr/>
  <pivotCaches>
    <pivotCache cacheId="0" r:id="rId24"/>
    <pivotCache cacheId="1" r:id="rId25"/>
    <pivotCache cacheId="2" r:id="rId26"/>
  </pivotCaches>
</workbook>
</file>

<file path=xl/sharedStrings.xml><?xml version="1.0" encoding="utf-8"?>
<sst xmlns="http://schemas.openxmlformats.org/spreadsheetml/2006/main" count="59201" uniqueCount="7922">
  <si>
    <t>Une fois les chiffres extraits dans un CSV à l'aide de Tabula, on met le CSV sur Google Drive afin de l'ouvrir avec Google Sheets.
Une fois ouvert dans le premier onglet, deux étapes:
1. Je renomme l'onglet pour clarifier que ce sont les données d'origine (que je ne vais pas toucher)
2. Je change l'affichage du texte pour qu'il s'adapte à la taille des cellules et qu'il y ait un retour à la ligne. Cela facilite une exploration visuelle des données.
3. Dès cette étape, si les montants présents dans la colonne B sont reconnus comme des chiffres, je peux vérifier que le total correspond au PDF source.
A noter: vous ne savez jamais si le PDF originel sera toujours à l'adresse où vous l'avez trouvé. 
Il vaut mieux donc le mettre dans le même dossier Google Drive que le CSV, de façon à avoir tous vos documents source au même endroit.</t>
  </si>
  <si>
    <t>"BAMBINO BERTHELOT" ASSOCIATION DE PARENTS D'ELEVES DE</t>
  </si>
  <si>
    <t>0,00</t>
  </si>
  <si>
    <t>Locaux</t>
  </si>
  <si>
    <t>L'ECOLE MATERNELLE BERTHELOT A BORDEAUX</t>
  </si>
  <si>
    <t>1001 JEUNES BORDELAIS</t>
  </si>
  <si>
    <t>Matériel pour manifestations</t>
  </si>
  <si>
    <t>2AA</t>
  </si>
  <si>
    <t>2SI2LA</t>
  </si>
  <si>
    <t>4 CATS</t>
  </si>
  <si>
    <t>5UN7</t>
  </si>
  <si>
    <t>1 000,00</t>
  </si>
  <si>
    <t>60 000 REBONDS</t>
  </si>
  <si>
    <t>1 800,00</t>
  </si>
  <si>
    <t>9-33</t>
  </si>
  <si>
    <t>19 000,00</t>
  </si>
  <si>
    <t>Communication, locaux</t>
  </si>
  <si>
    <t>A L EAU MUSIC</t>
  </si>
  <si>
    <t>500,00</t>
  </si>
  <si>
    <t>A PART ENTIERE</t>
  </si>
  <si>
    <t>2 000,00</t>
  </si>
  <si>
    <t>A PETIT PAS</t>
  </si>
  <si>
    <t>3 000,00</t>
  </si>
  <si>
    <t>A TRAVERS CHANT</t>
  </si>
  <si>
    <t>A2RUNNING</t>
  </si>
  <si>
    <t>ABALONE CHASSE BORDEAUX</t>
  </si>
  <si>
    <t>Locaux, équipements sportifs</t>
  </si>
  <si>
    <t>ABEILLES BORDELAISES</t>
  </si>
  <si>
    <t>ACADEMIE BUSHIKAI KARATE DO</t>
  </si>
  <si>
    <t>Equipements sportifs</t>
  </si>
  <si>
    <t>ACADEMIE DES SCIENCES, BELLES LETTRES ET ARTS DE</t>
  </si>
  <si>
    <t>7 600,00</t>
  </si>
  <si>
    <t>Locaux, matériel pour manifestations</t>
  </si>
  <si>
    <t>BORDEAUX</t>
  </si>
  <si>
    <t>ACADEMIE PROSPECTIVE NOUVELLES TECHNOLOGIES</t>
  </si>
  <si>
    <t>ACADEMIE YOUNUS</t>
  </si>
  <si>
    <t>22 000,00</t>
  </si>
  <si>
    <t>Locaux, équipements sportifs, matériel pour</t>
  </si>
  <si>
    <t>manifestations</t>
  </si>
  <si>
    <t>ACCOMPAGNEMENT ET RECHERCHE PSYCHO-SOCIO EDUCATIFS</t>
  </si>
  <si>
    <t>POUR LES JEUNES (ARPEJE)</t>
  </si>
  <si>
    <t>ACCOMPAGNEMENT PSYCHOLOGIQUE ET MEDIATION</t>
  </si>
  <si>
    <t>5 000,00</t>
  </si>
  <si>
    <t>INTERCULTURELLE - AMI</t>
  </si>
  <si>
    <t>ACCOMPAGNER CONDUIRE TRANSMETTRE - ACT</t>
  </si>
  <si>
    <t>300,00</t>
  </si>
  <si>
    <t>ACCORDERIE BORDEAUX SUD</t>
  </si>
  <si>
    <t>4 500,00</t>
  </si>
  <si>
    <t>ACHATS GROUPES ASSOCIATIF POUR L'ECONOMIE SOLIDAIRE DE</t>
  </si>
  <si>
    <t>BORDEAUX - AGAPES</t>
  </si>
  <si>
    <t>ACIDD, ASSOCIATION COMMUNICATION ET INFORMATION POUR LE</t>
  </si>
  <si>
    <t>10 000,00</t>
  </si>
  <si>
    <t>DEVELOPPEMENT DURABLE</t>
  </si>
  <si>
    <t>ACINQBYS_ESPACE 29 A5BIS</t>
  </si>
  <si>
    <t>ACTA GIRONDE - AGIR CONTRE LA TORTURE DES ANIMAUX</t>
  </si>
  <si>
    <t>ACTIFS 33</t>
  </si>
  <si>
    <t>2 400,00</t>
  </si>
  <si>
    <t>ACTIMAGE</t>
  </si>
  <si>
    <t>6 500,00</t>
  </si>
  <si>
    <t>ACTION CONTRE LA FAIM</t>
  </si>
  <si>
    <t>ACTION INTERNATIONALE POUR LA PAIX ET LE DEVELOPPEMENT</t>
  </si>
  <si>
    <t>AD LUCEM THEATRE</t>
  </si>
  <si>
    <t>ADDAH 33</t>
  </si>
  <si>
    <t>ADORA</t>
  </si>
  <si>
    <t>ADRIA</t>
  </si>
  <si>
    <t>1 500,00</t>
  </si>
  <si>
    <t>AEP SAINT PROJET</t>
  </si>
  <si>
    <t>AFRICAFRANCE</t>
  </si>
  <si>
    <t>AGENCE D'URBANISME BORDEAUX METROPOLE AQUITAINE</t>
  </si>
  <si>
    <t>60 000,00</t>
  </si>
  <si>
    <t>(A'URBA)</t>
  </si>
  <si>
    <t>AGENCE LOCALE DE L'ENERGIE ET DU CLIMAT (ALEC)</t>
  </si>
  <si>
    <t>6 000,00</t>
  </si>
  <si>
    <t>AGENCE REGIONALE DE SANTE NOUVELLE AQUITAINE</t>
  </si>
  <si>
    <t>AGIR POUR UN COMMERE EQUITABLE ET SOLIDAIRE EN AQUITAINE -</t>
  </si>
  <si>
    <t>ACESA</t>
  </si>
  <si>
    <t>AGORA DES ARTS</t>
  </si>
  <si>
    <t>AIDE AUX AIDANTS DU PAVILLON</t>
  </si>
  <si>
    <t>AIDES AQUITAINE</t>
  </si>
  <si>
    <t>5 500,00</t>
  </si>
  <si>
    <t>AIGUILLES ET CALAME</t>
  </si>
  <si>
    <t>AIKIDO BORDEAUX BASTIDE</t>
  </si>
  <si>
    <t>AIM ACTIONS INTER MEDIATION</t>
  </si>
  <si>
    <t>20 060,00</t>
  </si>
  <si>
    <t>AIR ROLLER (ATTENTION INERTIE RENOUVELABLE)</t>
  </si>
  <si>
    <t>11 000,00</t>
  </si>
  <si>
    <t>ALAM AMIS DU LIVRE ANCIEN ET MODERNE</t>
  </si>
  <si>
    <t>ALGERIENS DE L'AQUITAINE</t>
  </si>
  <si>
    <t>ALLIANCE DEPARTEMENT 33, JUSQU'AU BOUT ACCOMPAGNER LA</t>
  </si>
  <si>
    <t>VIE...</t>
  </si>
  <si>
    <t>ALLIANCE FRANCAISE DE BORDEAUX AQUITAINE</t>
  </si>
  <si>
    <t>ALPTIS</t>
  </si>
  <si>
    <t>ALTER INSERTION</t>
  </si>
  <si>
    <t>AMADEUS</t>
  </si>
  <si>
    <t>AMBASSADE REGIONALE DES CONFRERIES DE PRODUITS DE</t>
  </si>
  <si>
    <t>TERROIR ET DU GOUT</t>
  </si>
  <si>
    <t>AMELIORATION DES CONDITIONS DE VIE DES ENFANTS</t>
  </si>
  <si>
    <t>571,00</t>
  </si>
  <si>
    <t>ADOLESCENTS HOSPITALISES</t>
  </si>
  <si>
    <t>AMEPI</t>
  </si>
  <si>
    <t>AMICALE BORDELAISE TRACTION AVANT CITROEN</t>
  </si>
  <si>
    <t>AMICALE COMORIENNE DE BORDEAUX</t>
  </si>
  <si>
    <t>AMICALE DE LA RESIDENCE DU LAC</t>
  </si>
  <si>
    <t>AMICALE DES ANCIENS DE LA LEGION ETRANGERE</t>
  </si>
  <si>
    <t>AMICALE DES ANCIENS DE MARIE-BRIZARD - AAMB</t>
  </si>
  <si>
    <t>AMICALE DES ANCIENS DES NOUVELLES GALERIES DE BORDEAUX</t>
  </si>
  <si>
    <t>AMICALE DES ANCIENS DES TROUPES DE MARINE DE BORDEAUX ET</t>
  </si>
  <si>
    <t>D'AQUITAINE</t>
  </si>
  <si>
    <t>AMICALE DES ANCIENS GUERILLEROS ESPAGNOLS EN FRANCE-FFI -</t>
  </si>
  <si>
    <t>SECTION DE LA GIRONDE</t>
  </si>
  <si>
    <t>AMICALE DES AVEYRONNAIS DE BORDEAUX ET GIRONDE</t>
  </si>
  <si>
    <t>AMICALE DES ETABLISSEMENTS SCOLAIRES LAIQUES DE BACALAN -</t>
  </si>
  <si>
    <t>82 238,00</t>
  </si>
  <si>
    <t>ALB</t>
  </si>
  <si>
    <t>AMICALE DES LOCATAIRES DU PORT DE LA LUNE</t>
  </si>
  <si>
    <t>4 000,00</t>
  </si>
  <si>
    <t>AMICALE DES PARACHUTISTES DU SUD-OUEST</t>
  </si>
  <si>
    <t>AMICALE DES PARENTS D'ELEVES DE L'ECOLE STEHELIN</t>
  </si>
  <si>
    <t>8 605,00</t>
  </si>
  <si>
    <t>AMICALE DES PHILIPPEVILLOIS, CONSTANTINOIS ET LEURS AMIS -</t>
  </si>
  <si>
    <t>APCA</t>
  </si>
  <si>
    <t>AMICALE DES RETRAITES U.G.R.R. - I.S.I.C.A. DE BORDEAUX</t>
  </si>
  <si>
    <t>AMICALE DU PATRONAGE LAIQUE ET DU CONSEIL DE PARENTS</t>
  </si>
  <si>
    <t>D'ELEVES DU GROUPE SCOLAIRE NUYENS</t>
  </si>
  <si>
    <t>AMICALE LAIQUE BORDEAUX CENTRE</t>
  </si>
  <si>
    <t>2 500,00</t>
  </si>
  <si>
    <t>AMICALE LAIQUE DAVID JOHNSTON LAGRANGE ALBERT BARRAUD</t>
  </si>
  <si>
    <t>450 195,00</t>
  </si>
  <si>
    <t>NAUJAC</t>
  </si>
  <si>
    <t>AMICALE LAIQUE DU GROUPE SCOLAIRE LEONARD-LENOIR -</t>
  </si>
  <si>
    <t>MONTAUD - NUITS</t>
  </si>
  <si>
    <t>AMICALE LAIQUE LEONARD LENOIR</t>
  </si>
  <si>
    <t>AMICALE NATIONALE DES RETRAITES DE L'AUDIOVISUEL</t>
  </si>
  <si>
    <t>AMIS D'ARS ET FIDES BORDEAUX</t>
  </si>
  <si>
    <t>AMIS D'ICI ET D'AILLEURS</t>
  </si>
  <si>
    <t>750,00</t>
  </si>
  <si>
    <t>AMIS DE L'HOTEL DE LALANDE</t>
  </si>
  <si>
    <t>3 109,00</t>
  </si>
  <si>
    <t>AMIS DE L'ORCHESTRE D'HARMONIE DE BORDEAUX</t>
  </si>
  <si>
    <t>11 011,00</t>
  </si>
  <si>
    <t>AMIS DU CAPC MUSEE</t>
  </si>
  <si>
    <t>AMITIES FRANCAISES</t>
  </si>
  <si>
    <t>AMITIES GENEALOGIQUES BORDELAISES</t>
  </si>
  <si>
    <t>AMNESTY INTERNATIONAL GROUPE 234 DE BORDEAUX CENTRE</t>
  </si>
  <si>
    <t>AMOR DEL TANGO</t>
  </si>
  <si>
    <t>AMOS</t>
  </si>
  <si>
    <t>15 000,00</t>
  </si>
  <si>
    <t>ANCIENS BASTIDIENS-CLUB</t>
  </si>
  <si>
    <t>ANIMATIONS VILLAGE SAINT-SEURIN</t>
  </si>
  <si>
    <t>ANPAA - ASSOCIATION NATIONALE DE PREVENTION EN</t>
  </si>
  <si>
    <t>30 000,00</t>
  </si>
  <si>
    <t>ALCOOLOGIE ET EN ADDICTOLOGIE</t>
  </si>
  <si>
    <t>APEC (33PASSAJE )</t>
  </si>
  <si>
    <t>APNEE 33</t>
  </si>
  <si>
    <t>APPEL DES CENT POUR LA PAIX COLLECTIF BORDELAIS</t>
  </si>
  <si>
    <t>APPRENDRE AVEC MONTESSORI AUJOURD'HUI</t>
  </si>
  <si>
    <t>APPRENTIS D'AUTEUIL - DELEGATION AQUITAINE</t>
  </si>
  <si>
    <t>APPRENTISSA'JEU</t>
  </si>
  <si>
    <t>APSARAS</t>
  </si>
  <si>
    <t>7 932,00</t>
  </si>
  <si>
    <t>AQUATIC BORDEAUX CAUDERAN CLUB - AB2C</t>
  </si>
  <si>
    <t>AQUINUM - ASSOCIATION DES PROFESSIONNELS DU NUMERIQUE</t>
  </si>
  <si>
    <t>21 000,00</t>
  </si>
  <si>
    <t>EN AQUITAINE</t>
  </si>
  <si>
    <t>AQUITAINE ACTIVE</t>
  </si>
  <si>
    <t>7 500,00</t>
  </si>
  <si>
    <t>AQUITAINE CULTURE</t>
  </si>
  <si>
    <t>2 700,00</t>
  </si>
  <si>
    <t>AQUITAINE PARTAGE</t>
  </si>
  <si>
    <t>AQUITAINE PLONGEE SPORT NAUTIQUE APSN</t>
  </si>
  <si>
    <t>AQUITAINE PREFI-CRESS</t>
  </si>
  <si>
    <t>AQUITEC</t>
  </si>
  <si>
    <t>12 000,00</t>
  </si>
  <si>
    <t>AR'KHAN</t>
  </si>
  <si>
    <t>ARC EN REVE</t>
  </si>
  <si>
    <t>752 250,00</t>
  </si>
  <si>
    <t>Communication, matériel pour manifestations, locaux</t>
  </si>
  <si>
    <t>ARC'ANGECIEL VOYAGES</t>
  </si>
  <si>
    <t>ARCHIMUSE - BORDEAUX</t>
  </si>
  <si>
    <t>AREPT</t>
  </si>
  <si>
    <t>ARESVI</t>
  </si>
  <si>
    <t>9 880,00</t>
  </si>
  <si>
    <t>ART EN ACTION - TIC-TAC THEATRE</t>
  </si>
  <si>
    <t>ART EN PRODUCTION</t>
  </si>
  <si>
    <t>ART MEDIUM EN SCENES</t>
  </si>
  <si>
    <t>ART PASTEL</t>
  </si>
  <si>
    <t>ARTISANS DU MONDE BORDEAUX</t>
  </si>
  <si>
    <t>ARTS CROISES</t>
  </si>
  <si>
    <t>ARTS ET COMMUNICATION DU MONDE - ACM</t>
  </si>
  <si>
    <t>ARTS ET LETTRES DE FRANCE ASSOCIATION CULTURELLE</t>
  </si>
  <si>
    <t>INTERNATIONALE</t>
  </si>
  <si>
    <t>ARTS ET SCIENCES</t>
  </si>
  <si>
    <t>ARTS MARTIAUX ET BIEN ETRE</t>
  </si>
  <si>
    <t>ARTS MARTIAUX SHAOLIN BORDEAUX</t>
  </si>
  <si>
    <t>ARTS MARTIAUX TRADITIONNELS BORDELAIS</t>
  </si>
  <si>
    <t>ASAD DE BORDEAUX, ASSOCIATION SERVICES D’AIDE A DOMICILE</t>
  </si>
  <si>
    <t>DE BORDEAUX</t>
  </si>
  <si>
    <t>ASC BNP PARIBAS BX TT</t>
  </si>
  <si>
    <t>ASPER 33</t>
  </si>
  <si>
    <t>ASPOM JUDO CLUB</t>
  </si>
  <si>
    <t>4 850,00</t>
  </si>
  <si>
    <t>ASSOCIATION "LA BOULANGERIE"</t>
  </si>
  <si>
    <t>ASSOCIATION AFRICAN SOLIDARITE FRANCE (AASF)</t>
  </si>
  <si>
    <t>ASSOCIATION ALCHIMIST</t>
  </si>
  <si>
    <t>15 280,00</t>
  </si>
  <si>
    <t>ASSOCIATION AMITIE LAO MEKONG DE LA GIRONDE</t>
  </si>
  <si>
    <t>ASSOCIATION AQUITAINE DE QUILLES FINLANDAISES (QUIF)</t>
  </si>
  <si>
    <t>ASSOCIATION ARTS &amp; RENCONTRES</t>
  </si>
  <si>
    <t>ASSOCIATION AUTONOME DES PARENTS D'ELEVES DE BORDEAUX :</t>
  </si>
  <si>
    <t>ECOLES JEAN COCTEAU</t>
  </si>
  <si>
    <t>ASSOCIATION BI-IZARRAK (LES DEUX ETOILES)</t>
  </si>
  <si>
    <t>ASSOCIATION BORDEAUX - USA</t>
  </si>
  <si>
    <t>ASSOCIATION BORDEAUX CULTURE GRAPPLING (ABC GRAPPLING)</t>
  </si>
  <si>
    <t>ASSOCIATION BORDEAUX GAMES</t>
  </si>
  <si>
    <t>3 220,00</t>
  </si>
  <si>
    <t>ASSOCIATION BORDEAUX QUINCONCES</t>
  </si>
  <si>
    <t>Communication, matériel pour manifestations</t>
  </si>
  <si>
    <t>ASSOCIATION BORDEAUX-COMPOSTELLE HOSPITALITE</t>
  </si>
  <si>
    <t>3 500,00</t>
  </si>
  <si>
    <t>SAINT-JACQUES</t>
  </si>
  <si>
    <t>ASSOCIATION BORDEAUX-TANESSE</t>
  </si>
  <si>
    <t>ASSOCIATION BORDELAISE DE TAEKWONDO INTERNATIONAL</t>
  </si>
  <si>
    <t>ATLANTICA</t>
  </si>
  <si>
    <t>ASSOCIATION BRINS D'EVEIL</t>
  </si>
  <si>
    <t>532 800,00</t>
  </si>
  <si>
    <t>ASSOCIATION BULGARE CULTURELLE - ABC</t>
  </si>
  <si>
    <t>ASSOCIATION COEXISTER</t>
  </si>
  <si>
    <t>ASSOCIATION COMUNIDAD</t>
  </si>
  <si>
    <t>ASSOCIATION CONTRE LA TUBERCULOSE ET LES MALADIES</t>
  </si>
  <si>
    <t>ENDEMIQUES - ACTUME</t>
  </si>
  <si>
    <t>ASSOCIATION COOPERATIVE DE L'INSTITUT UNIVERSITAIRE DE</t>
  </si>
  <si>
    <t>TECHNOLOGIE</t>
  </si>
  <si>
    <t>ASSOCIATION CREMATISTE DE LA GIRONDE</t>
  </si>
  <si>
    <t>ASSOCIATION CULTURE ET MUSIQUE DE L'ESTUAIRE - ACME</t>
  </si>
  <si>
    <t>ASSOCIATION CULTURELLE DES ALEVIS DE GIRONDE</t>
  </si>
  <si>
    <t>ASSOCIATION CULTURELLE DES ELEVES DU LYCEE MONTESQUIEU -</t>
  </si>
  <si>
    <t>ACELM</t>
  </si>
  <si>
    <t>ASSOCIATION CULTURELLE DES KABYLES DE BORDEAUX (ACKB)</t>
  </si>
  <si>
    <t>ASSOCIATION CULTURELLE DU MARCHE DES CHARTRONS</t>
  </si>
  <si>
    <t>ASSOCIATION D'AQUITAINE DES AMIS D'ALGERIANIE</t>
  </si>
  <si>
    <t>ASSOCIATION DAVID ET JONATHAN</t>
  </si>
  <si>
    <t>ASSOCIATION DE CARDIOLOGIE D'AQUITAINE</t>
  </si>
  <si>
    <t>ASSOCIATION DE DEFENSE DES INTERETS DU QUARTIER DE</t>
  </si>
  <si>
    <t>BACALAN - ADIQ</t>
  </si>
  <si>
    <t>ASSOCIATION DE DEFENSE DES MUSIQUES ALTERNATIVES EN</t>
  </si>
  <si>
    <t>50 580,00</t>
  </si>
  <si>
    <t>AQUITAINE - ADMAA (ALLEZ LES FILLES)</t>
  </si>
  <si>
    <t>ASSOCIATION DE DEFENSE DES RESIDENTS DE LA GALERIE</t>
  </si>
  <si>
    <t>(ADREGA)</t>
  </si>
  <si>
    <t>ASSOCIATION DE DEVELOPPEMENT NATUREL (A.D.N.)</t>
  </si>
  <si>
    <t>ASSOCIATION DE FAMILLES DE TRAUMATISES CRANIENS AVENIR -</t>
  </si>
  <si>
    <t>AFTC AVENIR</t>
  </si>
  <si>
    <t>ASSOCIATION DE GESTION DES CENTRES PSYCHANALYTIQUES DE</t>
  </si>
  <si>
    <t>CONSULTATIONS ET DE TRAITEMENT (CPCT)</t>
  </si>
  <si>
    <t>ASSOCIATION DE GESTION ET D'ANIMATION DES CRECHES C.S.F.</t>
  </si>
  <si>
    <t>512 833,33</t>
  </si>
  <si>
    <t>(AGEAC/CSF)</t>
  </si>
  <si>
    <t>ASSOCIATION DE L'AIDE FAMILIALE POPULAIRE - U.D.C.S.F.</t>
  </si>
  <si>
    <t>ASSOCIATION DE L'ECOLE COREENNE DE BORDEAUX - AECB</t>
  </si>
  <si>
    <t>ASSOCIATION DE LA FONDATION ETUDIANTE POUR LA VILLE - AFEV</t>
  </si>
  <si>
    <t>ASSOCIATION DE LA RUE NOTRE DAME DES CHARTRONS</t>
  </si>
  <si>
    <t>2 064,00</t>
  </si>
  <si>
    <t>ASSOCIATION DE LOCATAIRES SEM-LM</t>
  </si>
  <si>
    <t>ASSOCIATION DE MEDECINE PHYSIQUE ET READAPTATION</t>
  </si>
  <si>
    <t>D'AQUITAINE (AMPRA)</t>
  </si>
  <si>
    <t>ASSOCIATION DE PARENTS D'ELEVES DE L'ENSEIGNEMENT LIBRE</t>
  </si>
  <si>
    <t>SAINT-MICHEL/SAINT-GENES</t>
  </si>
  <si>
    <t>ASSOCIATION DE PATIENTS POUR PREVENTION TRAITEMENT LUTTE</t>
  </si>
  <si>
    <t>CONTRE MALADIE CHRONIQUE L'OBESITE (ALOA)</t>
  </si>
  <si>
    <t>ASSOCIATION DE PREFIGURATION DE LA COOPERATIVE DE</t>
  </si>
  <si>
    <t>PRESTATAIRES RESPONSABLES SUD-OUEST</t>
  </si>
  <si>
    <t>ASSOCIATION DE PREFIGURATION D’UNE PLATEFORME</t>
  </si>
  <si>
    <t>D’AQUITAINE POUR LE COMMERCE EQUITABLE (LA PLACE)</t>
  </si>
  <si>
    <t>ASSOCIATION DE RIVERAINS BASTIDE-ID</t>
  </si>
  <si>
    <t>ASSOCIATION DE SOLIDARITE AVEC TOUS LES IMMIGRES -</t>
  </si>
  <si>
    <t>BORDEAUX (ASTI BORDEAUX)</t>
  </si>
  <si>
    <t>ASSOCIATION DE SOLIDARITE BORDEAUX</t>
  </si>
  <si>
    <t>ASSOCIATION DE SOPHROLOGIE EXISTENTIELLE DE BORDEAUX</t>
  </si>
  <si>
    <t>ASSOCIATION DE SOUTIEN AUX INVENTIONS LIBRES (ASIL)</t>
  </si>
  <si>
    <t>15 500,00</t>
  </si>
  <si>
    <t>Communication, locaux, matériel pour manifestations</t>
  </si>
  <si>
    <t>ASSOCIATION DEFENSE DES RESIDENTS DES QUARTIERS</t>
  </si>
  <si>
    <t>600,00</t>
  </si>
  <si>
    <t>BORDEAUX METROPOLE</t>
  </si>
  <si>
    <t>ASSOCIATION DEPART. AMIS ET PARENTS DE PERS. HANDICAPEES</t>
  </si>
  <si>
    <t>MENTALES - LES PAPILLONS BLANCS (ADAPEI)</t>
  </si>
  <si>
    <t>ASSOCIATION DEPARTEMENTALE APAJH DE LA GIRONDE</t>
  </si>
  <si>
    <t>ASSOCIATION DEPARTEMENTALE DE L'OFFICE CENTRAL DE LA</t>
  </si>
  <si>
    <t>COOPERATION A L'ECOLE DE LA GIRONDE - AD-OCCE</t>
  </si>
  <si>
    <t>ASSOCIATION DEPARTEMENTALE DES CONJOINTS SURVIVANTS ET</t>
  </si>
  <si>
    <t>PARENTS D'ORPHELINS DE LA GIRONDE - FAVEC 33</t>
  </si>
  <si>
    <t>ASSOCIATION DEPARTEMENTALE DES PARENTS D'ELEVES DE</t>
  </si>
  <si>
    <t>L'ENSEIGNEMENT PUBLIC DE LA GIRONDE - PEEP AD 33</t>
  </si>
  <si>
    <t>ASSOCIATION DEPARTEMENTALE POUR INFORMATION AU</t>
  </si>
  <si>
    <t>3 030,00</t>
  </si>
  <si>
    <t>LOGEMENT 33 - ADIL33</t>
  </si>
  <si>
    <t>ASSOCIATION DES AMIS D'ELIANE LAVAIL</t>
  </si>
  <si>
    <t>ASSOCIATION DES AUDITEURS INSTITUT HAUTES ETUDES DEFENSE</t>
  </si>
  <si>
    <t>NATIONALE REGION AQUITAINE - AQUI IHEDN</t>
  </si>
  <si>
    <t>ASSOCIATION DES BROCANTEURS DES CHARTRONS - ABC</t>
  </si>
  <si>
    <t>8 907,00</t>
  </si>
  <si>
    <t>ASSOCIATION DES CENTRES D'ANIMATION DE QUARTIERS DE</t>
  </si>
  <si>
    <t>8 060 927,50</t>
  </si>
  <si>
    <t>Communication, locaux, équipements sportifs,</t>
  </si>
  <si>
    <t>BORDEAUX - ACAQB</t>
  </si>
  <si>
    <t>matériel pour manifestations</t>
  </si>
  <si>
    <t>ASSOCIATION DES CITES DU SECOURS CATHOLIQUE - DELEGATION</t>
  </si>
  <si>
    <t>ASSOCIATION DES COMMERCANTS "BARRIERE DE PESSAC"</t>
  </si>
  <si>
    <t>8 400,00</t>
  </si>
  <si>
    <t>BORDEAUX-TALENCE</t>
  </si>
  <si>
    <t>ASSOCIATION DES COMMERCANTS BORDEAUX RIVE DROITE (BRD)</t>
  </si>
  <si>
    <t>ASSOCIATION DES COMMERCANTS CAUDERAN CENTRE</t>
  </si>
  <si>
    <t>ASSOCIATION DES COMMERCANTS DE CAUDERAN SAINT AMAND</t>
  </si>
  <si>
    <t>9 400,00</t>
  </si>
  <si>
    <t>ASSOCIATION DES COMMERCANTS DE LA BARRIERE JUDAIQUE</t>
  </si>
  <si>
    <t>4 880,00</t>
  </si>
  <si>
    <t>ASSOCIATION DES COMMERCANTS DE LA RUE DES REMPARTS</t>
  </si>
  <si>
    <t>4 420,00</t>
  </si>
  <si>
    <t>ASSOCIATION DES COMMERCANTS DE LA RUE JJ ROUSSEAU</t>
  </si>
  <si>
    <t>2 055,00</t>
  </si>
  <si>
    <t>ASSOCIATION DES COMMERCANTS DE LA RUE SAINT-SERNIN</t>
  </si>
  <si>
    <t>2 150,00</t>
  </si>
  <si>
    <t>ASSOCIATION DES COMMERCANTS DE SAINT-AUGUSTIN</t>
  </si>
  <si>
    <t>7 475,00</t>
  </si>
  <si>
    <t>ASSOCIATION DES COMMERCANTS DU CENTRE COMMERCIAL DES</t>
  </si>
  <si>
    <t>920,00</t>
  </si>
  <si>
    <t>BASTIDES</t>
  </si>
  <si>
    <t>ASSOCIATION DES COMMERCANTS DU CENTRE COMMERCIAL</t>
  </si>
  <si>
    <t>4 700,00</t>
  </si>
  <si>
    <t>MERIADECK</t>
  </si>
  <si>
    <t>ASSOCIATION DES COMMERCANTS DU GRAND PARC</t>
  </si>
  <si>
    <t>5 688,00</t>
  </si>
  <si>
    <t>ASSOCIATION DES COMMERCANTS ET ARTISANS DU QUARTIER</t>
  </si>
  <si>
    <t>REPUBLIQUE</t>
  </si>
  <si>
    <t>SAINT MICHEL</t>
  </si>
  <si>
    <t>STEHELIN</t>
  </si>
  <si>
    <t>ASSOCIATION DES COMMERCANTS ET ARTISANS LES BERGES DU</t>
  </si>
  <si>
    <t>LAC</t>
  </si>
  <si>
    <t>ASSOCIATION DES COMMERCANTS ET PROFESSIONNELS DE L'ART</t>
  </si>
  <si>
    <t>DE LA RUE BOUFFARD</t>
  </si>
  <si>
    <t>ASSOCIATION DES COMMERCANTS ET RIVERAINS DU QUARTIER</t>
  </si>
  <si>
    <t>VICTOIRE</t>
  </si>
  <si>
    <t>ASSOCIATION DES COMMERCANTS ORNANO - GAVINIES - St VICTOR</t>
  </si>
  <si>
    <t>ASSOCIATION DES COMMERCANTS RUE VOLTAIRE</t>
  </si>
  <si>
    <t>2 670,00</t>
  </si>
  <si>
    <t>ASSOCIATION DES COMMERÇANTS DU QUARTIER SAINT MICHEL</t>
  </si>
  <si>
    <t>AUTOUR DE LA FLECHE</t>
  </si>
  <si>
    <t>ASSOCIATION DES COREENS DE BORDEAUX (ACB)</t>
  </si>
  <si>
    <t>ASSOCIATION DES DAMES DU CALVAIRE DE BORDEAUX - MAISON</t>
  </si>
  <si>
    <t>DE SANTE MARIE GALENE</t>
  </si>
  <si>
    <t>ASSOCIATION DES DONNEURS DE VOIX</t>
  </si>
  <si>
    <t>ASSOCIATION DES ECLAIREUSES ET ECLAIREURS DE FRANCE -</t>
  </si>
  <si>
    <t>4 072,00</t>
  </si>
  <si>
    <t>REGION AQUITAINE</t>
  </si>
  <si>
    <t>ASSOCIATION DES ELEVES AVOCATS ALIENOR 2015 - ADEAA</t>
  </si>
  <si>
    <t>ASSOCIATION DES ELEVES INGENIEURS DE L'ECOLE NATIONALE</t>
  </si>
  <si>
    <t>SUPERIEURE DES ARTS ET METIERS - AE ENSAM</t>
  </si>
  <si>
    <t>ASSOCIATION DES ELEVES-AVOCATS ALIENOR 2016</t>
  </si>
  <si>
    <t>ASSOCIATION DES ETUDIANTS EN PSYCHOLOGIE DU TRAVAIL ET</t>
  </si>
  <si>
    <t>ERGONOMIE DES SYSTEMES</t>
  </si>
  <si>
    <t>ASSOCIATION DES ETUDIANTS REUNIONNAIS A BORDEAUX - AERB</t>
  </si>
  <si>
    <t>ASSOCIATION DES EXPLOITANTS DU CENTRE COMMERCIAL QUAI</t>
  </si>
  <si>
    <t>4 400,00</t>
  </si>
  <si>
    <t>DES MARQUES</t>
  </si>
  <si>
    <t>ASSOCIATION DES FAMILLES D'ENFANTS DE LA POSTE ET</t>
  </si>
  <si>
    <t>D'ORANGE - AFEH</t>
  </si>
  <si>
    <t>ASSOCIATION DES GROUPES BIBLIQUES ET UNIVERSITAIRES DE</t>
  </si>
  <si>
    <t>FRANCE - AGBUF-GBU</t>
  </si>
  <si>
    <t>ASSOCIATION DES GUIDES INTERPRETES ET CONFERENCIERS</t>
  </si>
  <si>
    <t>D'AQUITAINE - AGICA</t>
  </si>
  <si>
    <t>ASSOCIATION DES MAIRES DE LA GIRONDE</t>
  </si>
  <si>
    <t>ASSOCIATION DES MEMBRES LA LEGION D'HONNEUR DECORES AU</t>
  </si>
  <si>
    <t>PERIL DE LEUR VIE SECTION AQUITAINE OUEST</t>
  </si>
  <si>
    <t>ASSOCIATION DES MUSULMANS DE BORDEAUX NORD (A.M.B.N.)</t>
  </si>
  <si>
    <t>ASSOCIATION DES MUSULMANS DE LA GIRONDE</t>
  </si>
  <si>
    <t>ASSOCIATION DES PARALYSES DE FRANCE - APF</t>
  </si>
  <si>
    <t>3 200,00</t>
  </si>
  <si>
    <t>ASSOCIATION DES PARENTS D'ELEVES DE L'ENSEIGNEMENT PUBLIC</t>
  </si>
  <si>
    <t>DU LYCEE CAMILLE JULLIAN</t>
  </si>
  <si>
    <t>ASSOCIATION DES PROFESSIONNELS AQUITAINS DE LA</t>
  </si>
  <si>
    <t>COMMUNICATION (APACOM)</t>
  </si>
  <si>
    <t>ASSOCIATION DES PSYCHOLOGUES ETUDIANTS (APE)</t>
  </si>
  <si>
    <t>400,00</t>
  </si>
  <si>
    <t>ASSOCIATION DES PSYCHOMOTRICIENS DE LA GIRONDE</t>
  </si>
  <si>
    <t>ASSOCIATION DES RESIDENCES DE L'ILOT BONNAC</t>
  </si>
  <si>
    <t>ASSOCIATION DES RETRAITES IRSEA D'AQUITAINE (A.R.I.A.).</t>
  </si>
  <si>
    <t>ASSOCIATION DES RIVERAINS DE LA PLACE MITCHELL</t>
  </si>
  <si>
    <t>ASSOCIATION DES RIVERAINS DU QUARTIER ORNANO-GAVINIES</t>
  </si>
  <si>
    <t>ASSOCIATION DES STAGIAIRES ET ETUDIANTS CAMEROUNAIS DE</t>
  </si>
  <si>
    <t>BORDEAUX (ASECB)</t>
  </si>
  <si>
    <t>ASSOCIATION DES ŒUVRES GIRONDINES DE PROTECTION DE</t>
  </si>
  <si>
    <t>L'ENFANCE</t>
  </si>
  <si>
    <t>ASSOCIATION DU COMITE DES OEUVRES SOCIALES DES</t>
  </si>
  <si>
    <t>380 000,00</t>
  </si>
  <si>
    <t>MUNICIPAUX DE BORDEAUX - ACOSMB</t>
  </si>
  <si>
    <t>ASSOCIATION DU LIEN INTERCULTUREL FAMILIAL ET SOCIAL - ALIFS</t>
  </si>
  <si>
    <t>37 000,00</t>
  </si>
  <si>
    <t>ASSOCIATION DU PARC D'ACTIVITE DE BORDEAUX NORD</t>
  </si>
  <si>
    <t>2 800,00</t>
  </si>
  <si>
    <t>ASSOCIATION DU PATRIMOINE ISRAELITE D'AQUITAINE</t>
  </si>
  <si>
    <t>ASSOCIATION DU PERSONNEL DE L'OPERA NATIONAL DE</t>
  </si>
  <si>
    <t>ASSOCIATION DU SOUVENIR DES FUSILLES DE SOUGE</t>
  </si>
  <si>
    <t>ASSOCIATION DU VELO TOUTES VIGNES (AVTV)</t>
  </si>
  <si>
    <t>ASSOCIATION ECOPOLES</t>
  </si>
  <si>
    <t>ASSOCIATION EDUCATIVE D'INSERTION SOCIALE (AEIS)</t>
  </si>
  <si>
    <t>ASSOCIATION EKOLO[GEEK]</t>
  </si>
  <si>
    <t>800,00</t>
  </si>
  <si>
    <t>ASSOCIATION EMMAUS AQUITAINE BORDEAUX FONDATEUR ABBE</t>
  </si>
  <si>
    <t>PIERRE</t>
  </si>
  <si>
    <t>ASSOCIATION EMMAUS GIRONDE</t>
  </si>
  <si>
    <t>ASSOCIATION ESPACE 33</t>
  </si>
  <si>
    <t>ASSOCIATION ETUDIANTE CULTURELLE BOIS DE ROSE</t>
  </si>
  <si>
    <t>ASSOCIATION FAMILIALE CATHOLIQUE BORDEAUX SAINTE-EULALIE</t>
  </si>
  <si>
    <t>ASSOCIATION FAMILIALE LAIQUE DE BORDEAUX NORD - AFL</t>
  </si>
  <si>
    <t>27 500,00</t>
  </si>
  <si>
    <t>ASSOCIATION FORMATION ET EDUCATION PERMANENTE DE TIVOLI -</t>
  </si>
  <si>
    <t>AFEPT</t>
  </si>
  <si>
    <t>ASSOCIATION FRANCAISE DE PERSONNES SOUFFRANT DE</t>
  </si>
  <si>
    <t>TROUBLES OBSESSIONNELS COMPULSIFS AFTOC</t>
  </si>
  <si>
    <t>ASSOCIATION FRANCAISE DES FUNDRAISERS - GROUPE AQUITAINE</t>
  </si>
  <si>
    <t>ASSOCIATION FRANCO-BRESILIENNE POUR LA RECHERCHE DE</t>
  </si>
  <si>
    <t>L'EQUILIBRE - AFBRE</t>
  </si>
  <si>
    <t>ASSOCIATION FRANCO-KURDE</t>
  </si>
  <si>
    <t>ASSOCIATION France - UKRAINE</t>
  </si>
  <si>
    <t>ASSOCIATION GENERALE DES LOCATAIRES</t>
  </si>
  <si>
    <t>ASSOCIATION GENERALE INTERVENANTS RETRAITES POUR</t>
  </si>
  <si>
    <t>ACTIONS BENEVOLES DE COOPERATION ET DEVELOPPEMENT</t>
  </si>
  <si>
    <t>ASSOCIATION GENERATION DUPATY</t>
  </si>
  <si>
    <t>ASSOCIATION GIRONDINE D'EDUCATION SPECIALISEE ET DE</t>
  </si>
  <si>
    <t>45 400,00</t>
  </si>
  <si>
    <t>PREVENTION SOCIALE - AGEP</t>
  </si>
  <si>
    <t>ASSOCIATION GIRONDINE DES ACTIVITES PROTEGEES - SPORT -</t>
  </si>
  <si>
    <t>LOISIRS (AGAP - SPORT - LOISIRS)</t>
  </si>
  <si>
    <t>ASSOCIATION GOLF D'ENTREPRISES INTER-ENTREPRISES GOLF DE</t>
  </si>
  <si>
    <t>BORDEAUX - IEGB</t>
  </si>
  <si>
    <t>ASSOCIATION HABILITEE DES JEUNES SAPEURS POMPIERS DE LA</t>
  </si>
  <si>
    <t>BENAUGE</t>
  </si>
  <si>
    <t>ASSOCIATION INTERNATIONALE POUR LA CULTURE, LE</t>
  </si>
  <si>
    <t>DEVELOPPEMENT ET LA PAIX (AICDP)</t>
  </si>
  <si>
    <t>ASSOCIATION INTERPROFESSIONNELLE BIO REGIONALE</t>
  </si>
  <si>
    <t>(AQUITAINE/LIMOUSIN/POITOU-CHARENTES OU EQUIVALENT)</t>
  </si>
  <si>
    <t>ASSOCIATION JEUNESSE FUTSAL (A.J.F.)</t>
  </si>
  <si>
    <t>ASSOCIATION JUDAIQUE ST SEURIN</t>
  </si>
  <si>
    <t>5 900,00</t>
  </si>
  <si>
    <t>ASSOCIATION L'ALTERNATIVE-KOUABO</t>
  </si>
  <si>
    <t>ASSOCIATION LA COCCINELLE</t>
  </si>
  <si>
    <t>180 000,00</t>
  </si>
  <si>
    <t>ASSOCIATION LAIQUE LE PRADO</t>
  </si>
  <si>
    <t>55 000,00</t>
  </si>
  <si>
    <t>ASSOCIATION LE MERLE MOQUEUR</t>
  </si>
  <si>
    <t>ASSOCIATION LE VILLAGE BORDEAUX SUD</t>
  </si>
  <si>
    <t>ASSOCIATION LEA - UNIVERSITE BORDEAUX MONTAIGNE</t>
  </si>
  <si>
    <t>ASSOCIATION LES CREANTS</t>
  </si>
  <si>
    <t>ASSOCIATION MALADIE CHRONIQUE SPORT BIEN ETRE</t>
  </si>
  <si>
    <t>ASSOCIATION MALINE</t>
  </si>
  <si>
    <t>ASSOCIATION MARIE DE LUZE</t>
  </si>
  <si>
    <t>ASSOCIATION MUSICALARUE</t>
  </si>
  <si>
    <t>ASSOCIATION NATIONALE DES AMIS DE JEAN MOULIN</t>
  </si>
  <si>
    <t>ASSOCIATION NATIONALE DES ANCIENS ET AMIS DE L'INDOCHINE</t>
  </si>
  <si>
    <t>ET DU SOUVENIR INDOCHINOIS</t>
  </si>
  <si>
    <t>ASSOCIATION NATIONALE DES JEUNES ENTREPRENEURS D</t>
  </si>
  <si>
    <t>AQUITAINE</t>
  </si>
  <si>
    <t>ASSOCIATION NATIONALE DES RETRAITES DE LA POSTE ET DE</t>
  </si>
  <si>
    <t>France TELECOM</t>
  </si>
  <si>
    <t>ASSOCIATION NATIONALE DES RETRAITES HOSPITALIERS</t>
  </si>
  <si>
    <t>ASSOCIATION NATIONALE DES VISITEURS DE PRISON - ANVP</t>
  </si>
  <si>
    <t>ASSOCIATION NATIONALE LE REFUGE</t>
  </si>
  <si>
    <t>ASSOCIATION NATIONALE MEMBRES DE L'ORDRE NATIONAL DU</t>
  </si>
  <si>
    <t>250,00</t>
  </si>
  <si>
    <t>MERITE - SECTION DEPARTEMENTALE DE LA GIRONDE</t>
  </si>
  <si>
    <t>ASSOCIATION NATIONALE POUR LES ENFANTS</t>
  </si>
  <si>
    <t>INTELLECTUELLEMENT PRECOCES DE L'AQUITAINE - ANPEIP</t>
  </si>
  <si>
    <t>ASSOCIATION OXYGENE</t>
  </si>
  <si>
    <t>ASSOCIATION PALLIA PLUS</t>
  </si>
  <si>
    <t>ASSOCIATION PAROLE BEGAIEMENT - APB - DELEGATION</t>
  </si>
  <si>
    <t>DEPARTEMENTALE</t>
  </si>
  <si>
    <t>ASSOCIATION PETITE ENFANCE ENFANCE ET FAMILLE - APEEF</t>
  </si>
  <si>
    <t>1 578 403,00</t>
  </si>
  <si>
    <t>ASSOCIATION PETITS BOUCHONS</t>
  </si>
  <si>
    <t>311 500,00</t>
  </si>
  <si>
    <t>ASSOCIATION PETRONILLE</t>
  </si>
  <si>
    <t>ASSOCIATION PITCHOUN</t>
  </si>
  <si>
    <t>1 735 000,00</t>
  </si>
  <si>
    <t>ASSOCIATION POUR L'ANIMATION ET LES LOISIRS DES PERSONNES</t>
  </si>
  <si>
    <t>Equipements sportifs, matériel pour manifestations</t>
  </si>
  <si>
    <t>AGEES - APALPA</t>
  </si>
  <si>
    <t>ASSOCIATION POUR L'ENTRAIDE CONTRE LA RECHUTE DE</t>
  </si>
  <si>
    <t>DEPRESSION - AERD</t>
  </si>
  <si>
    <t>ASSOCIATION POUR L'ENVIRONNEMENT ET LA SECURITE EN</t>
  </si>
  <si>
    <t>AQUITAINE - APESA</t>
  </si>
  <si>
    <t>ASSOCIATION POUR L'ETUDE ET LA PREVENTION DU SUICIDE EN</t>
  </si>
  <si>
    <t>ASSOCIATION POUR L'INNOVATION EN MATIERE D'INTEGRATION</t>
  </si>
  <si>
    <t>300 000,00</t>
  </si>
  <si>
    <t>ASSOCIATION POUR L'UNIFICATION DU DROIT DES AFFAIRES EN</t>
  </si>
  <si>
    <t>EUROPE (AUDE)</t>
  </si>
  <si>
    <t>ASSOCIATION POUR LA CONNAISSANCE DU MONDE VEGETAL</t>
  </si>
  <si>
    <t>ASSOCIATION POUR LA DEFENSE DE LA FAMILLE ET DE L'INDIVIDU</t>
  </si>
  <si>
    <t>(ADFI)</t>
  </si>
  <si>
    <t>ASSOCIATION POUR LA JEUNESSE, LES INITIATIVES ET LE RESEAU</t>
  </si>
  <si>
    <t>DE L'ENGAGEMENT - AJIRE</t>
  </si>
  <si>
    <t>ASSOCIATION POUR LA PROMOTION DES ARTISTES ET CULTURES</t>
  </si>
  <si>
    <t>DU MONDE APAC</t>
  </si>
  <si>
    <t>ASSOCIATION POUR LA READAPTATION ET L'INTEGRATION - ARI</t>
  </si>
  <si>
    <t>ASSOCIATION POUR LA RECHERCHE CLINIQUE DE BORDEAUX</t>
  </si>
  <si>
    <t>NORD - ARCBN</t>
  </si>
  <si>
    <t>ASSOCIATION POUR LA SURVEILLANCE DE LA QUALITE DE L'AIR EN</t>
  </si>
  <si>
    <t>AQUITAINE - AIRAQ</t>
  </si>
  <si>
    <t>ASSOCIATION POUR LA VALORISATION EN RELATION AVEC LES</t>
  </si>
  <si>
    <t>PROFESSIONNELS REGION AQUITAINE</t>
  </si>
  <si>
    <t>ASSOCIATION POUR LE DEVELOPPEMENT DES ACTIVITES</t>
  </si>
  <si>
    <t>PHYSIQUES ADAPTEES - ADAPA</t>
  </si>
  <si>
    <t>ASSOCIATION POUR LE DEVELOPPEMENT L'INSERTION ET</t>
  </si>
  <si>
    <t>L'ACCOMPAGNEMENT PERSONNES HANDICAPEES - ADIAPH</t>
  </si>
  <si>
    <t>ASSOCIATION POUR LE DON DE SANG BENEVOLE DE BORDEAUX ET</t>
  </si>
  <si>
    <t>ENVIRONS</t>
  </si>
  <si>
    <t>ASSOCIATION POUR LE DROIT A L'INITIATIVE ECONOMIQUE - ADIE</t>
  </si>
  <si>
    <t>ASSOCIATION POUR LES FOUILLES ARCHEOLOGIQUES NATIONALES</t>
  </si>
  <si>
    <t>- AFAN</t>
  </si>
  <si>
    <t>ASSOCIATION POUR UNE EDUCATION BUISSONNIERE</t>
  </si>
  <si>
    <t>25 062,00</t>
  </si>
  <si>
    <t>ASSOCIATION PRENDRE SOIN DU LIEN - APSL</t>
  </si>
  <si>
    <t>ASSOCIATION PROMOTION DU GRAND SAINT-MICHEL</t>
  </si>
  <si>
    <t>ASSOCIATION PROMOTION INSERTION SPORT EN AQUITAINE - APIS</t>
  </si>
  <si>
    <t>37 754,00</t>
  </si>
  <si>
    <t>ASSOCIATION PSYCHANALYTIQUE DES THERAPEUTES FAMILIAUX</t>
  </si>
  <si>
    <t>D'AQUITAINE - APSYFA</t>
  </si>
  <si>
    <t>ASSOCIATION RAYMONDE ROUSSELLE</t>
  </si>
  <si>
    <t>ASSOCIATION REFEED</t>
  </si>
  <si>
    <t>ASSOCIATION REGIONALE D'AQUITAINE DES COMBATTANTS</t>
  </si>
  <si>
    <t>VOLONTAIRES DE LA RESISTANCE</t>
  </si>
  <si>
    <t>ASSOCIATION REGIONALE DES DIPLOMES D'UNIVERSITE</t>
  </si>
  <si>
    <t>D'AQUITAINE - ARDUA</t>
  </si>
  <si>
    <t>ASSOCIATION RENAISSANCE DES CITES D'EUROPE</t>
  </si>
  <si>
    <t>7 000,00</t>
  </si>
  <si>
    <t>ASSOCIATION RENOVATION</t>
  </si>
  <si>
    <t>ASSOCIATION REPUBLICAINE DES ANCIENS COMBATTANTS ET</t>
  </si>
  <si>
    <t>VICTIMES DE LA GUERRE - ARAC</t>
  </si>
  <si>
    <t>ASSOCIATION RHIN ET DANUBE ANCIENS DE LA PREMIERE ARMEE</t>
  </si>
  <si>
    <t>FRANCAISE DU DEPARTEMENT DE LA GIRONDE</t>
  </si>
  <si>
    <t>ASSOCIATION RUN FEMINA TOUR</t>
  </si>
  <si>
    <t>ASSOCIATION SALAM ET RAHMA</t>
  </si>
  <si>
    <t>ASSOCIATION SCOLAIRE ECOLE CONDORCET 33 (ASEC 33)</t>
  </si>
  <si>
    <t>ASSOCIATION SOCIALE POUR L'EMPLOI - ASPE</t>
  </si>
  <si>
    <t>ASSOCIATION SOCIO CULTURELLE DE L'ECOLE DE REEDUCATION</t>
  </si>
  <si>
    <t>PROFESSIONNELLE - ASCERP</t>
  </si>
  <si>
    <t>ASSOCIATION SOCIO CULTURELLE LE TAYTA</t>
  </si>
  <si>
    <t>ASSOCIATION SOLIDARTE EMPLOI (ASE) - ADELPHE</t>
  </si>
  <si>
    <t>ASSOCIATION SPORT EMPLOI</t>
  </si>
  <si>
    <t>ASSOCIATION SPORTIVE BANQUE POPULAIRE DU SUD-OUEST</t>
  </si>
  <si>
    <t>ASSOCIATION SPORTIVE CHARLES MARTIN - USEP</t>
  </si>
  <si>
    <t>27 778,00</t>
  </si>
  <si>
    <t>ASSOCIATION SPORTIVE COLBERT ASC</t>
  </si>
  <si>
    <t>ASSOCIATION SPORTIVE COLLEGE EDOUARD VAILLANT</t>
  </si>
  <si>
    <t>ASSOCIATION SPORTIVE CULTURELLE DU GAN (ASC GAN)</t>
  </si>
  <si>
    <t>ASSOCIATION SPORTIVE DE LA POLICE JUDICIAIRE DE BORDEAUX</t>
  </si>
  <si>
    <t>ASSOCIATION SPORTIVE DES ANCIENS ET AMIS DE L'ECOLE</t>
  </si>
  <si>
    <t>NORMALE D'INSTITUTEURS (ASAAENI)</t>
  </si>
  <si>
    <t>ASSOCIATION SPORTIVE DES SOURDS DE BORDEAUX - ASSB 33</t>
  </si>
  <si>
    <t>ASSOCIATION SPORTIVE DU BARREAU DE BORDEAUX</t>
  </si>
  <si>
    <t>ASSOCIATION SPORTIVE DU GOLF DE BORDEAUX LAC</t>
  </si>
  <si>
    <t>4 600,00</t>
  </si>
  <si>
    <t>ASSOCIATION SPORTIVE ET CULTURELLE DE MAYOTTE</t>
  </si>
  <si>
    <t>ASSOCIATION SPORTIVE FC PORTO DE BORDEAUX</t>
  </si>
  <si>
    <t>ASSOCIATION SPORTIVE KASHIRA AIKIDO</t>
  </si>
  <si>
    <t>ASSOCIATION SPORTIVE KUNG-FU WUSHU DE BACALAN</t>
  </si>
  <si>
    <t>ASSOCIATION SPORTIVE LOVENTA AUTOMATIQUE</t>
  </si>
  <si>
    <t>ASSOCIATION SPORTIVE SALINIERES</t>
  </si>
  <si>
    <t>ASSOCIATION TERRITOIRES ET INNOVATION SOCIALE (ATIS)</t>
  </si>
  <si>
    <t>ASSOCIATION THEATR'ACTIF</t>
  </si>
  <si>
    <t>ASSOCIATION UNION BORDEAUX BEGLES</t>
  </si>
  <si>
    <t>50 000,00</t>
  </si>
  <si>
    <t>ASSOCIATION UNION NATIONALE DES COMBATTANTS DE</t>
  </si>
  <si>
    <t>BORDEAUX-CENTRE</t>
  </si>
  <si>
    <t>ASSOCIATION VENEZUELA A BORDEAUX</t>
  </si>
  <si>
    <t>ASSOCIO ASSOCIATION DES ETUDIANTS EN SOCIOLOGIE DE</t>
  </si>
  <si>
    <t>700,00</t>
  </si>
  <si>
    <t>L'UNIVERSITE VICTOR SEGALEN</t>
  </si>
  <si>
    <t>ASSOENCORE</t>
  </si>
  <si>
    <t>ASSOPOURQUOIPAS33</t>
  </si>
  <si>
    <t>1 700,00</t>
  </si>
  <si>
    <t>Locaux, matériel pour manifestations, matériel</t>
  </si>
  <si>
    <t>informatique</t>
  </si>
  <si>
    <t>ASTROLABE</t>
  </si>
  <si>
    <t>153 407,00</t>
  </si>
  <si>
    <t>ATELIER 14 CENTRE DE PRATIQUES ARTISTIQUES ET DE</t>
  </si>
  <si>
    <t>RECHERCHES CHOREGRAPHIQUES</t>
  </si>
  <si>
    <t>ATELIER D'ECO SOLIDAIRE</t>
  </si>
  <si>
    <t>4 550,00</t>
  </si>
  <si>
    <t>ATELIER D’ASTROLOGIE D’AQUITAINE</t>
  </si>
  <si>
    <t>ATELIER GRAPHITE</t>
  </si>
  <si>
    <t>44 200,00</t>
  </si>
  <si>
    <t>ATELIER VOCAL D'AQUITAINE</t>
  </si>
  <si>
    <t>ATELIERS LIBRES D'AQUITAINE</t>
  </si>
  <si>
    <t>ATELIERS TLC</t>
  </si>
  <si>
    <t>ATLANTIC OLDTIMER.COM</t>
  </si>
  <si>
    <t>AU-DELA DES DUNES</t>
  </si>
  <si>
    <t>AUDITION ET ECOUTE 33 - ASSOCIATION DES PERSONNES</t>
  </si>
  <si>
    <t>ATTEINTES DE PATHOLOGIE AUDITIVE DE LA GIRONDE</t>
  </si>
  <si>
    <t>AUDITION SOLIDAIRE FRANCE SENEGAL</t>
  </si>
  <si>
    <t>AUTEUIL PETITE ENFANCE</t>
  </si>
  <si>
    <t>347 000,00</t>
  </si>
  <si>
    <t>AUTISME GIRONDE</t>
  </si>
  <si>
    <t>AVANT GARDE ET JEANNE D'ARC DE BORDEAUX CAUDERAN - AGJA</t>
  </si>
  <si>
    <t>1 089 439,00</t>
  </si>
  <si>
    <t>BORDEAUX CAUDERAN</t>
  </si>
  <si>
    <t>BACALAN TENNIS CLUB - BTC</t>
  </si>
  <si>
    <t>BADMINTON CLUB BARBEY</t>
  </si>
  <si>
    <t>BANQUE ALIMENTAIRE DE BORDEAUX ET DE LA GIRONDE</t>
  </si>
  <si>
    <t>30 500,00</t>
  </si>
  <si>
    <t>BASTIDE BENAUGE FUTSAL</t>
  </si>
  <si>
    <t>BASTIDE EN SCENES</t>
  </si>
  <si>
    <t>BE WELL</t>
  </si>
  <si>
    <t>BELLIBULLE</t>
  </si>
  <si>
    <t>BENEVOLES EN ACTION</t>
  </si>
  <si>
    <t>BETTY BLUES THEATRE ET MUSIQUE</t>
  </si>
  <si>
    <t>BIBLIOTHECA</t>
  </si>
  <si>
    <t>BIEN-ETRE &amp; BONHEUR DE VIVRE - BBV</t>
  </si>
  <si>
    <t>BIO D'AQUITAINE</t>
  </si>
  <si>
    <t>BIO'GUSTIN</t>
  </si>
  <si>
    <t>BOK DIEUF</t>
  </si>
  <si>
    <t>BORD'EAUX LOISIR PECHE</t>
  </si>
  <si>
    <t>BORDEAUX 5 DE COEUR</t>
  </si>
  <si>
    <t>BORDEAUX ACCUEILLE</t>
  </si>
  <si>
    <t>8 000,00</t>
  </si>
  <si>
    <t>BORDEAUX AQUITAINE AERONAUTIQUE ET SPATIAL</t>
  </si>
  <si>
    <t>BORDEAUX ATHLETIC CLUB</t>
  </si>
  <si>
    <t>13 600,00</t>
  </si>
  <si>
    <t>BORDEAUX BACKGAMMON CLUB</t>
  </si>
  <si>
    <t>BORDEAUX BASTIDE BASKET</t>
  </si>
  <si>
    <t>35 895,00</t>
  </si>
  <si>
    <t>BORDEAUX BASTIDE BOXE</t>
  </si>
  <si>
    <t>BORDEAUX BRIDGE CLUB ESPRIT DES LOIS</t>
  </si>
  <si>
    <t>BORDEAUX CAUDERAN BRIDGE CLUB (BCBC)</t>
  </si>
  <si>
    <t>BORDEAUX CHANSON</t>
  </si>
  <si>
    <t>8 500,00</t>
  </si>
  <si>
    <t>BORDEAUX CITE TANGO BCT</t>
  </si>
  <si>
    <t>BORDEAUX CRITERIUM CYCLISTE INTERNATIONAL - BCCI</t>
  </si>
  <si>
    <t>BORDEAUX DANCE'IN CLUB</t>
  </si>
  <si>
    <t>BORDEAUX DEMAIN</t>
  </si>
  <si>
    <t>BORDEAUX ENTREPRENEURS</t>
  </si>
  <si>
    <t>21 600,00</t>
  </si>
  <si>
    <t>BORDEAUX ETUDIANTS CLUB - BEC</t>
  </si>
  <si>
    <t>223 734,00</t>
  </si>
  <si>
    <t>BORDEAUX FOOTBALL AMERICAIN - LES LIONS DE BORDEAUX</t>
  </si>
  <si>
    <t>BORDEAUX FUTSAL CLUB</t>
  </si>
  <si>
    <t>BORDEAUX GIRONDE HOCKEY SUR GLACE</t>
  </si>
  <si>
    <t>BORDEAUX GIRONDE INVESTISSEMENT</t>
  </si>
  <si>
    <t>198 775,00</t>
  </si>
  <si>
    <t>BORDEAUX GRANDS EVENEMENTS (BGE)</t>
  </si>
  <si>
    <t>339 500,00</t>
  </si>
  <si>
    <t>BORDEAUX HANDISPORT TENNIS</t>
  </si>
  <si>
    <t>BORDEAUX INTER CHALLENGE - BIC</t>
  </si>
  <si>
    <t>BORDEAUX MARITIME SAUVETAGE &amp; SECOURISME - BM2S</t>
  </si>
  <si>
    <t>3 700,00</t>
  </si>
  <si>
    <t>BORDEAUX MAYOTTE 101</t>
  </si>
  <si>
    <t>BORDEAUX MERIGNAC VOLLEY</t>
  </si>
  <si>
    <t>80 000,00</t>
  </si>
  <si>
    <t>BORDEAUX NIHONGO HOSHU JUGYOKO (ECOLE COMPLEMENTAIRE</t>
  </si>
  <si>
    <t>JAPONAISE DE BORDEAUX)</t>
  </si>
  <si>
    <t>BORDEAUX OPEN AIR</t>
  </si>
  <si>
    <t>BORDEAUX OPERETTES</t>
  </si>
  <si>
    <t>BORDEAUX PALMES AVENTURE</t>
  </si>
  <si>
    <t>BORDEAUX PIPE BAND</t>
  </si>
  <si>
    <t>BORDEAUX ROCK</t>
  </si>
  <si>
    <t>14 500,00</t>
  </si>
  <si>
    <t>BORDEAUX ROLLERBLADING ASSOCIATION - BRA</t>
  </si>
  <si>
    <t>BORDEAUX SERVICE SOLIDARITE</t>
  </si>
  <si>
    <t>BORDEAUX SPORTS</t>
  </si>
  <si>
    <t>Communication</t>
  </si>
  <si>
    <t>BORDEAUX SPORTS DE GLACE</t>
  </si>
  <si>
    <t>28 000,00</t>
  </si>
  <si>
    <t>BORDEAUX TEATRO ITALIANO BTI</t>
  </si>
  <si>
    <t>BORDEAUX WOMEN'S CLUB</t>
  </si>
  <si>
    <t>BORDEAUX Y NOV CAMPUS</t>
  </si>
  <si>
    <t>BORDEAUX YOUNG BUSINESS CLUB - BYBC</t>
  </si>
  <si>
    <t>BORDEAUX-BASTIDE-ESCRIME</t>
  </si>
  <si>
    <t>BORDEAUX-GIRONDE-QUEBEC</t>
  </si>
  <si>
    <t>BORDELAIS ASSOCIATIFS FALUCHARDS</t>
  </si>
  <si>
    <t>BOULEVARD DES POTES</t>
  </si>
  <si>
    <t>BOXERS DE BORDEAUX</t>
  </si>
  <si>
    <t>283 000,00</t>
  </si>
  <si>
    <t>BOXING CLUB ALAMELE</t>
  </si>
  <si>
    <t>BOXING CLUB BACALANAIS</t>
  </si>
  <si>
    <t>BOXING CLUB BORDELAIS</t>
  </si>
  <si>
    <t>11 500,00</t>
  </si>
  <si>
    <t>BRASS BAND BORGIAQ</t>
  </si>
  <si>
    <t>BREV’ART</t>
  </si>
  <si>
    <t>BRUIT DU FRIGO</t>
  </si>
  <si>
    <t>BURDIGALA CORPORATION</t>
  </si>
  <si>
    <t>BURDIGALA PHOTOS CLUB</t>
  </si>
  <si>
    <t>BURDIGALA SAVATE-CLUB</t>
  </si>
  <si>
    <t>C'EST PAR ISIC (INSTIUT DES SCIENCES DE L'INFORMATION ET DE</t>
  </si>
  <si>
    <t>LA COMMUNICATION)</t>
  </si>
  <si>
    <t>C.F.A. - CENTRE DE FORMATION ADAGE</t>
  </si>
  <si>
    <t>C.O.D. FORMATION (FORMASUP CAMPUS)</t>
  </si>
  <si>
    <t>CAC33</t>
  </si>
  <si>
    <t>CAHIERS D'ARCHIVES</t>
  </si>
  <si>
    <t>CAISSE SOCIALE DE DEVELOPPEMENT LOCAL</t>
  </si>
  <si>
    <t>115 000,00</t>
  </si>
  <si>
    <t>CALICONTE</t>
  </si>
  <si>
    <t>CALIXTE COEUR DE BASTIDE</t>
  </si>
  <si>
    <t>1 080,00</t>
  </si>
  <si>
    <t>CALK - COMITE D'ANIMATION LAFONTAINE KLEBER</t>
  </si>
  <si>
    <t>7 300,00</t>
  </si>
  <si>
    <t>CAMPE</t>
  </si>
  <si>
    <t>CAMPUS CHARTRONS</t>
  </si>
  <si>
    <t>900,00</t>
  </si>
  <si>
    <t>CANCER SUPPORT FRANCE BORDEAUX &amp; REGION (CSF BORDEAUX</t>
  </si>
  <si>
    <t>&amp; REGION)</t>
  </si>
  <si>
    <t>CAP AND CO</t>
  </si>
  <si>
    <t>CAP CARREIRE : CULTURES, ANIMATIONS ET PARTAGES</t>
  </si>
  <si>
    <t>CAP DE VIE</t>
  </si>
  <si>
    <t>CAP SCIENCES</t>
  </si>
  <si>
    <t>81 568,00</t>
  </si>
  <si>
    <t>CARABINS DE BORDEAUX</t>
  </si>
  <si>
    <t>CARTOONING FOR PEACE</t>
  </si>
  <si>
    <t>CATHEDRA</t>
  </si>
  <si>
    <t>CDANSLABOITE</t>
  </si>
  <si>
    <t>5 750,00</t>
  </si>
  <si>
    <t>CDISCOUNT@SPORT</t>
  </si>
  <si>
    <t>CENTRE ACCUEIL CONSULTATION INFORMATION SEXUALITE</t>
  </si>
  <si>
    <t>CENTRE ATLANTIC</t>
  </si>
  <si>
    <t>CENTRE CULTUREL ET D'ANIMATION DES JEUNES - YAVNE</t>
  </si>
  <si>
    <t>11 620,00</t>
  </si>
  <si>
    <t>CENTRE CULTUREL TURC DE BORDEAUX ET SES ENVIRONS</t>
  </si>
  <si>
    <t>CENTRE D'ACCUEIL D'INFORMATION ET D'ORIENTATION - CAIO</t>
  </si>
  <si>
    <t>CENTRE D'ACTION ET DE PREVENTION CONTRE LA RADICALISATION</t>
  </si>
  <si>
    <t>LIEE A L'ISLAMISME (CAPRI)</t>
  </si>
  <si>
    <t>CENTRE D'ETUDES DE L'AUTO CONNAISSANCE</t>
  </si>
  <si>
    <t>CENTRE D'INFORMATION JEUNESSE AQUITAINE - CIJA</t>
  </si>
  <si>
    <t>49 000,00</t>
  </si>
  <si>
    <t>CENTRE D'INFORMATION METAPSYCHIQUE - CDIM</t>
  </si>
  <si>
    <t>CENTRE D'INFORMATION SUR LES DROITS DES FEMMES ET DES</t>
  </si>
  <si>
    <t>FAMILLES DE LA GIRONDE</t>
  </si>
  <si>
    <t>CENTRE DE LIAISON DES EQUIPES DE RECHERCHE, CLER AMOUR</t>
  </si>
  <si>
    <t>ET FAMILLES</t>
  </si>
  <si>
    <t>CENTRE DE MUSICOTHERAPIE DE LA GIRONDE</t>
  </si>
  <si>
    <t>CENTRE DE PREVENTION ET DE LOISIRS DES JEUNES DE</t>
  </si>
  <si>
    <t>BORDEAUX - CPLJ Bordeaux</t>
  </si>
  <si>
    <t>CENTRE DE RECHERCHE ET D'INFORMATION POUR LE</t>
  </si>
  <si>
    <t>DEVELOPPEMENT - CRID</t>
  </si>
  <si>
    <t>CENTRE DE RESSOURCES D'ECOLOGIE PEDAGOGIQUE D'AQUITAINE</t>
  </si>
  <si>
    <t>1 300,00</t>
  </si>
  <si>
    <t>- CREPAQ</t>
  </si>
  <si>
    <t>CENTRE DE SOPHROLOGIE DYNAMIQUE DE BORDEAUX</t>
  </si>
  <si>
    <t>CENTRE DE VOILE DE BORDEAUX-LAC</t>
  </si>
  <si>
    <t>8 200,00</t>
  </si>
  <si>
    <t>CENTRE DES ETUDES DE LA REPUBLIQUE DEMOCRATIQUE</t>
  </si>
  <si>
    <t>CENTRE DES FESTIVALS FRANCE-RUSSIE</t>
  </si>
  <si>
    <t>CENTRE ENTREPRISE COMMUNICATION AVANCEE - CECA</t>
  </si>
  <si>
    <t>CENTRE HA 32</t>
  </si>
  <si>
    <t>CENTRE JEAN VIGO EVENEMENTS</t>
  </si>
  <si>
    <t>20 500,00</t>
  </si>
  <si>
    <t>CENTRE REGIONAL D'AQUITAINE D'ETUDES ET D'ACTIONS SUR LES</t>
  </si>
  <si>
    <t>HANDICAPS ET LES INADAPTATIONS - CREAHI</t>
  </si>
  <si>
    <t>CENTRE REGIONAL D'ECO-ENERGETIQUE D'AQUITAINE - CREAQ</t>
  </si>
  <si>
    <t>CENTRE RENCONTRES ACTION CULTURELLE BEGLES-CREAC</t>
  </si>
  <si>
    <t>CENTRE SOCIAL BAGATELLE DISPENSAIRE DE BAGATELLE</t>
  </si>
  <si>
    <t>14 800,00</t>
  </si>
  <si>
    <t>CENTRE SOCIAL ET FAMILIAL BORDEAUX NORD</t>
  </si>
  <si>
    <t>461 165,00</t>
  </si>
  <si>
    <t>CERCLE ARTISTIQUE SAINT AUGUSTIN (CASA)</t>
  </si>
  <si>
    <t>CERCLE BORDELAIS DE SANTE (C.B.S.)</t>
  </si>
  <si>
    <t>CERCLE D'AIDE A LA VIE PAR LA VOIE SPIRITUELLE-FRANCE</t>
  </si>
  <si>
    <t>CERCLE D'ETUDES ET DE CULTURE FRANÇAISES (CECF)</t>
  </si>
  <si>
    <t>150,00</t>
  </si>
  <si>
    <t>CERCLE D'ETUDES RUSSES</t>
  </si>
  <si>
    <t>CERCLE DES COIFFEURS CREATEURS</t>
  </si>
  <si>
    <t>CERCLE DES ESCRIMEURS BORDELAIS (CEB)</t>
  </si>
  <si>
    <t>CERCLE JEAN BAPTISTE LYNCH</t>
  </si>
  <si>
    <t>CERCLE OENOPHILE AQUITAIN</t>
  </si>
  <si>
    <t>CERCLE PHILATELIQUE BORDEAUX AQUITAINE</t>
  </si>
  <si>
    <t>CERCLE POLITEIA</t>
  </si>
  <si>
    <t>CERCLE POLITZER</t>
  </si>
  <si>
    <t>CHAHUTS</t>
  </si>
  <si>
    <t>57 500,00</t>
  </si>
  <si>
    <t>CHAMBRE PROFESSIONNELLE DES AGENTS COMMERCIAUX DU</t>
  </si>
  <si>
    <t>SUD-OUEST</t>
  </si>
  <si>
    <t>CHANT LIBRE</t>
  </si>
  <si>
    <t>CHANTE ECOLE</t>
  </si>
  <si>
    <t>CHANTIERS TRAMASSET</t>
  </si>
  <si>
    <t>CHEMIN DES ETOILES - CDE</t>
  </si>
  <si>
    <t>CHEMINS DE VIES</t>
  </si>
  <si>
    <t>CHEVRE FOOTBALL CLUB - CFC</t>
  </si>
  <si>
    <t>CIE COIN TRANQUILLE-MANUELLA AZEVEDO</t>
  </si>
  <si>
    <t>CIE L'ESPECE FABULATRICE</t>
  </si>
  <si>
    <t>CIE LE SOLEIL BLEU</t>
  </si>
  <si>
    <t>32 500,00</t>
  </si>
  <si>
    <t>CIMADE - SERVICE OECUMENIQUE D'ENTRAIDE</t>
  </si>
  <si>
    <t>CINERESEAUX</t>
  </si>
  <si>
    <t>CIRQUE ECLAIR ECOLE CIRQUE D'AQUITAINE</t>
  </si>
  <si>
    <t>CLAC</t>
  </si>
  <si>
    <t>CLAIR-OBSCUR</t>
  </si>
  <si>
    <t>CLAP SUD OUEST</t>
  </si>
  <si>
    <t>CLUB 41 FRANCAIS BORDEAUX N° 110</t>
  </si>
  <si>
    <t>CLUB 89</t>
  </si>
  <si>
    <t>CLUB AFRIQUE EN PERSPECTIVES</t>
  </si>
  <si>
    <t>CLUB ALPIN FRANCAIS DE BORDEAUX</t>
  </si>
  <si>
    <t>CLUB AMICAL CHAUFFOUR</t>
  </si>
  <si>
    <t>CLUB ATHLETIQUE DU PORT AUTONOME DE BORDEAUX</t>
  </si>
  <si>
    <t>CLUB ATHLETIQUE MUNICIPAL DE BORDEAUX - CAM</t>
  </si>
  <si>
    <t>243 834,00</t>
  </si>
  <si>
    <t>CLUB BORDEAUX-CAMEROUN-FRANCE</t>
  </si>
  <si>
    <t>CLUB BORDELAIS DU CHOCOLAT "CHOCO PASSION"</t>
  </si>
  <si>
    <t>CLUB BOULISTE ALBERT 1er</t>
  </si>
  <si>
    <t>CLUB D'ENTREPRISES BORDEAUX EURATLANTIQUE</t>
  </si>
  <si>
    <t>CLUB D'ENTREPRISES MERIADECK</t>
  </si>
  <si>
    <t>CLUB D'EXPLORATION SOUS MARINE D'AQUITAINE - CESMA</t>
  </si>
  <si>
    <t>CLUB D'ULTIMATE DE BORDEAUX - 33 TOURS</t>
  </si>
  <si>
    <t>CLUB DE CANNE ET BATON D'AQUITAINE</t>
  </si>
  <si>
    <t>CLUB DE LA PRESSE DE BORDEAUX</t>
  </si>
  <si>
    <t>CLUB DES ENTREPRISES DE BORDEAUX</t>
  </si>
  <si>
    <t>15 800,00</t>
  </si>
  <si>
    <t>CLUB DES PARISIENS DE BORDEAUX</t>
  </si>
  <si>
    <t>CLUB DES RANDONNEURS DU PYLA ET DU BASSIN D'ARCACHON</t>
  </si>
  <si>
    <t>CLUB ERASMUS ET MUNDUS</t>
  </si>
  <si>
    <t>CLUB INDEPENDANT BORDELAIS</t>
  </si>
  <si>
    <t>CLUB PETANQUE GRAND PARC</t>
  </si>
  <si>
    <t>CLUB PHILOSOPHIQUE PENSEE ET AVENIR</t>
  </si>
  <si>
    <t>CLUB PYRENEES AQUITAINE, ASSOCIATION SPORTIVE, EDUCATIVE</t>
  </si>
  <si>
    <t>634 600,00</t>
  </si>
  <si>
    <t>ET CULTURELLE</t>
  </si>
  <si>
    <t>CLUB REGIONAL DES ENTREPRISES POUR L'INSERTION DE</t>
  </si>
  <si>
    <t>GIRONDE</t>
  </si>
  <si>
    <t>CLUB SERVICES 33</t>
  </si>
  <si>
    <t>8 800,00</t>
  </si>
  <si>
    <t>CLUB « BON GOUT D'AQUITAINE »</t>
  </si>
  <si>
    <t>COJEP BORDEAUX - CONSEIL POUR LA JUSTICE, L'EGALITE ET LA</t>
  </si>
  <si>
    <t>PAIX</t>
  </si>
  <si>
    <t>COLIBRI 33</t>
  </si>
  <si>
    <t>COLLECTIF 33 : LA SANTE UN DROIT POUR TOUS</t>
  </si>
  <si>
    <t>COLLECTIF BORDEAUX-MARINOPOLE</t>
  </si>
  <si>
    <t>100,00</t>
  </si>
  <si>
    <t>COLLECTIF BTP</t>
  </si>
  <si>
    <t>COLLECTIF DE RESSOURCES BORDEAUX-NORD</t>
  </si>
  <si>
    <t>COLLECTIF DES ASSOCIATIONS D'OUTRE-MER EN AQUITAINE DIT</t>
  </si>
  <si>
    <t>C.A.O.M.A.</t>
  </si>
  <si>
    <t>COLLECTIF DES ORGANISATIONS DE SOLIDARITE INTERNATIONALE</t>
  </si>
  <si>
    <t>ISSUES DES MIGRATIONS EN AQUITAINE (COSIM)</t>
  </si>
  <si>
    <t>COLLECTIF FETE DU JEU DE BORDEAUX</t>
  </si>
  <si>
    <t>COLLECTIF GIRONDIN DES ASSOCIATIONS AUTOUR DE L'AUTISME</t>
  </si>
  <si>
    <t>(CG3A)</t>
  </si>
  <si>
    <t>COLLECTIF INTERASSOCIATIF SANTE AQUITAINE (CISSA)</t>
  </si>
  <si>
    <t>COLLECTIF MIXERATUM ERGO SUM</t>
  </si>
  <si>
    <t>2 300,00</t>
  </si>
  <si>
    <t>COLLECTIF OS'O</t>
  </si>
  <si>
    <t>COLLECTIF PARENTS INDEPENDANTS COLLEGE EMILE COMBES</t>
  </si>
  <si>
    <t>COLLEGE JACQUES ELLUL</t>
  </si>
  <si>
    <t>COLORS INC</t>
  </si>
  <si>
    <t>COMENFRANCE</t>
  </si>
  <si>
    <t>COMITE ACTION PALESTINE</t>
  </si>
  <si>
    <t>COMITE ANIMATION DU QUARTIER TONDU-CARREIRE</t>
  </si>
  <si>
    <t>COMITE AQUITAIN DE L'ASSOCIATION FRANCAISE DES HEMOPHILES</t>
  </si>
  <si>
    <t>COMITE BORDEAUX BRISTOL</t>
  </si>
  <si>
    <t>COMITE BORDEAUX SUD</t>
  </si>
  <si>
    <t>COMITE D'ANIMATION, DE BIENFAISANCE ET DE DEFENSE DES</t>
  </si>
  <si>
    <t>INTERETS DU QUARTIER NANSOUTY</t>
  </si>
  <si>
    <t>COMITE D'ETUDE ET D'INFORMATION SUR DROGUE (PREV. ET</t>
  </si>
  <si>
    <t>TRAITEMENT TOXICOMANIES ET AUTRES ADDICTIONS)</t>
  </si>
  <si>
    <t>COMITE DE BIENFAISANCE ET DE DEFENSE DES INTERETS DU</t>
  </si>
  <si>
    <t>QUARTIER CAUDERAN-SUD</t>
  </si>
  <si>
    <t>COMITE DE BIENFAISANCE ET DE DEFENSE DU QUARTIER SIMIOT</t>
  </si>
  <si>
    <t>COMITE DE DEFENSE DES INTERETS DES HABITANTS DU</t>
  </si>
  <si>
    <t>LOTISSEMENT JASMIN ET ANNEXES</t>
  </si>
  <si>
    <t>COMITE DE DEFENSE DES TAXIS DE LA GIRONDE</t>
  </si>
  <si>
    <t>COMITE DE L'ACCOMPAGNEMENT DE L'URBANISME, DEFENSE</t>
  </si>
  <si>
    <t>ENVIRONNEMENT ET RESPECT DE LA SECURITE-CAUDERES</t>
  </si>
  <si>
    <t>COMITE DE LIAISON DES ACTEURS DE LA PROMOTION DANS LE</t>
  </si>
  <si>
    <t>SUD-OUEST - CLAP SUD-OUEST</t>
  </si>
  <si>
    <t>COMITE DE QUARTIER BRACH VINCENNES</t>
  </si>
  <si>
    <t>1 600,00</t>
  </si>
  <si>
    <t>COMITE DE QUARTIER DANGUILHEM-EMILE ZOLA-BARRIERE DE</t>
  </si>
  <si>
    <t>PESSAC</t>
  </si>
  <si>
    <t>COMITE DE QUARTIER DE CAUDERAN - CQC</t>
  </si>
  <si>
    <t>COMITE DE QUARTIER MARECHAUX/POINCARE</t>
  </si>
  <si>
    <t>COMITE DEPARTEMENTAL DE CYCLISME</t>
  </si>
  <si>
    <t>COMITE DEPARTEMENTAL DE L'ASSOCIATION DE DEFENSE DES</t>
  </si>
  <si>
    <t>MALADES INVALIDES ET HANDICAPES</t>
  </si>
  <si>
    <t>COMITE DEPARTEMENTAL DE L'UNION FRANÇAISE DES OEUVRES</t>
  </si>
  <si>
    <t>LAIQUES D'EDUCATION PHYSIQUE - UFOLEP</t>
  </si>
  <si>
    <t>COMITE DEPARTEMENTAL DE L'UNION SPORTIVE DE</t>
  </si>
  <si>
    <t>L'ENSEIGNEMENT DU PREMIER DEGRE DE LA GIRONDE - USEP 33</t>
  </si>
  <si>
    <t>COMITE DEPARTEMENTAL DE NATATION DE LA GIRONDE</t>
  </si>
  <si>
    <t>COMITE DEPARTEMENTAL DU SPORT ADAPTE DE LA GIRONDE</t>
  </si>
  <si>
    <t>(CDSA 33)</t>
  </si>
  <si>
    <t>COMITE DEPARTEMENTAL OLYMPIQUE ET SPORTIF DE LA GIRONDE</t>
  </si>
  <si>
    <t>COMITE DES FETES DE BACALAN, BLANQUI ET CLAVEAU</t>
  </si>
  <si>
    <t>COMITE DES FETES DE BIENFAISANCE ET DES INTERETS DE</t>
  </si>
  <si>
    <t>ST-GENES TALENCE BORDEAUX</t>
  </si>
  <si>
    <t>COMITE DES FETES ET DE BIENFAIS. DU QUARTIER NANSOUTY</t>
  </si>
  <si>
    <t>COMITE FEMININ GIRONDE POUR LA PREVENTION ET LE DEPISTAGE</t>
  </si>
  <si>
    <t>DES CANCERS</t>
  </si>
  <si>
    <t>COMITE GIRONDIN D'ORGANISATION DU CONCOURS UN DES</t>
  </si>
  <si>
    <t>MEILLEURS OUVRIERS DE FRANCE</t>
  </si>
  <si>
    <t>COMITE GIRONDIN DE COURSE D'ORIENTATION</t>
  </si>
  <si>
    <t>COMITE MIRABEAU BORDELAIS 2017</t>
  </si>
  <si>
    <t>COMITE PALESTINE 33</t>
  </si>
  <si>
    <t>COMITE REGIONAL DES ASSOCIATIONS DE JEUNESSE ET</t>
  </si>
  <si>
    <t>D'EDUCATION POPULAIRE AQUITAINE (CRAJEP AQUITAINE)</t>
  </si>
  <si>
    <t>COMITE REGIONAL HANDISPORT D'AQUITAINE</t>
  </si>
  <si>
    <t>COMITE REGIONAL UFOLEP AQUITAINE</t>
  </si>
  <si>
    <t>COMITE REPRESENTATIF DES IDENTITES SOURDES</t>
  </si>
  <si>
    <t>COMMANDERIE DU BONTEMPS MEDOC ET GRAVES - SAUTERNES ET</t>
  </si>
  <si>
    <t>BARSAC</t>
  </si>
  <si>
    <t>COMMERCANTS DE LA RUE DU TEMPLE</t>
  </si>
  <si>
    <t>2 635,00</t>
  </si>
  <si>
    <t>COMMERCANTS DU VILLAGE NANSOUTY</t>
  </si>
  <si>
    <t>3 917,00</t>
  </si>
  <si>
    <t>COMMERCANTS, DES RIVERAINS ET SYMPATISANTS DU QUARTIER</t>
  </si>
  <si>
    <t>1 728,00</t>
  </si>
  <si>
    <t>GAMBETTA</t>
  </si>
  <si>
    <t>COMMUNAUTE CAMEROUNAISE DE BORDEAUX (CCB)</t>
  </si>
  <si>
    <t>COMMUNIC'ARTE</t>
  </si>
  <si>
    <t>COMPAGNIE BIVOUAC</t>
  </si>
  <si>
    <t>COMPAGNIE DES LIMBES</t>
  </si>
  <si>
    <t>COMPAGNIE DES LUBIES</t>
  </si>
  <si>
    <t>COMPAGNIE DES MARCHES DE L'ETE</t>
  </si>
  <si>
    <t>41 500,00</t>
  </si>
  <si>
    <t>COMPAGNIE DONC Y CHOCS</t>
  </si>
  <si>
    <t>COMPAGNIE ELVIRE 40</t>
  </si>
  <si>
    <t>COMPAGNIE EN APARTE</t>
  </si>
  <si>
    <t>COMPAGNIE FOND VERT</t>
  </si>
  <si>
    <t>COMPAGNIE HORS SÉRIE</t>
  </si>
  <si>
    <t>COMPAGNIE ILLICITE FABIO LOPEZ</t>
  </si>
  <si>
    <t>COMPAGNIE INDIRA</t>
  </si>
  <si>
    <t>COMPAGNIE JEANNE SIMONE</t>
  </si>
  <si>
    <t>COMPAGNIE JEUNE TALENT</t>
  </si>
  <si>
    <t>COMPAGNIE LE GRAIN</t>
  </si>
  <si>
    <t>COMPAGNIE LEITMOTIV</t>
  </si>
  <si>
    <t>COMPAGNIE PAUL LES OISEAUX</t>
  </si>
  <si>
    <t>17 500,00</t>
  </si>
  <si>
    <t>COMPAGNIE PRESENCE MICHEL CAHUZAC</t>
  </si>
  <si>
    <t>11 380,00</t>
  </si>
  <si>
    <t>COMPAGNIE REG'ART</t>
  </si>
  <si>
    <t>COMPAGNIE REVOLUTION</t>
  </si>
  <si>
    <t>COMPAGNIE REVOLUTION DANCE</t>
  </si>
  <si>
    <t>23 000,00</t>
  </si>
  <si>
    <t>COMPAGNIE THEATRE L'OEIL DE LA LUCARNE</t>
  </si>
  <si>
    <t>17 000,00</t>
  </si>
  <si>
    <t>COMPAGNONS BATISSEURS AQUITAINE</t>
  </si>
  <si>
    <t>16 000,00</t>
  </si>
  <si>
    <t>COMPAGNONS DU TOUR FRANCE DES DEVOIRS UNIS</t>
  </si>
  <si>
    <t>2 100,00</t>
  </si>
  <si>
    <t>COMPETENCES EN TEMPS PARTAGE GUYENNE - CTP GUYENNE</t>
  </si>
  <si>
    <t>COMPTOIR DE LA CULTURE BRESILIENNE</t>
  </si>
  <si>
    <t>CONGRES ET EXPOSITIONS DE BORDEAUX</t>
  </si>
  <si>
    <t>40 000,00</t>
  </si>
  <si>
    <t>CONSEIL DEPARTEMENTAL DE LA GIRONDE</t>
  </si>
  <si>
    <t>CONSEIL DEPARTEMENTAL DES ASSOCIATIONS FAMILIALES</t>
  </si>
  <si>
    <t>LAIQUES DE LA GIRONDE - CDAFAL 33</t>
  </si>
  <si>
    <t>CONSEIL DEPARTEMENTAL DES PARENTS D'ELEVES DES ECOLES</t>
  </si>
  <si>
    <t>PUBLIQUES DE LA GIRONDE</t>
  </si>
  <si>
    <t>CONSERVATOIRE DE LA LANGUE RUSSE ET DE SES FETES</t>
  </si>
  <si>
    <t>TRADITIONNELLES</t>
  </si>
  <si>
    <t>CONTACT AQUITAINE</t>
  </si>
  <si>
    <t>1 400,00</t>
  </si>
  <si>
    <t>CONTRÔLE Z AQUITAINE</t>
  </si>
  <si>
    <t>10 730,00</t>
  </si>
  <si>
    <t>CONVENTION DE LA DIASPORA GABONAISE</t>
  </si>
  <si>
    <t>COOP ALPHA COOPERATIVE D'ACTIVITES ET D'EMPLOI 33</t>
  </si>
  <si>
    <t>COORDINATION POUR PROMOUVOIR LES COMPETENCES ET LE</t>
  </si>
  <si>
    <t>VOLONTARIAT AQUITAINE - CPCV AQUITAINE</t>
  </si>
  <si>
    <t>CORP'ART FRANCE</t>
  </si>
  <si>
    <t>COS VILLA PIA - EHPAD LES DAMES DE LA FOI</t>
  </si>
  <si>
    <t>COULEUR COREE</t>
  </si>
  <si>
    <t>COULEURS GARONNE</t>
  </si>
  <si>
    <t>11 176,00</t>
  </si>
  <si>
    <t>COUP DE POUCE AVENIR</t>
  </si>
  <si>
    <t>CREAF</t>
  </si>
  <si>
    <t>CREASSEMBLE</t>
  </si>
  <si>
    <t>CRESUS GIRONDE</t>
  </si>
  <si>
    <t>CRISTINAREY</t>
  </si>
  <si>
    <t>CROISSANT FERTILE</t>
  </si>
  <si>
    <t>CROIX DE GUERRE ET VALEUR MILITAIRE</t>
  </si>
  <si>
    <t>CROIX ROUGE FRANÇAISE - DELEGATION LOCALE</t>
  </si>
  <si>
    <t>CROUS DE BORDEAUX (CENTRE REGIONAL DES OEUVRES</t>
  </si>
  <si>
    <t>UNIVERSITAIRES ET SCOLAIRES)</t>
  </si>
  <si>
    <t>CRYPSUM</t>
  </si>
  <si>
    <t>CTE ETS SEXTANT AVIONIQUE</t>
  </si>
  <si>
    <t>CULTIV'ACTIONS</t>
  </si>
  <si>
    <t>CULTURE ET BIBLIOTHEQUES POUR TOUS</t>
  </si>
  <si>
    <t>CULTURE HORS LIMITES</t>
  </si>
  <si>
    <t>CULTURE-S</t>
  </si>
  <si>
    <t>CULTURES DES ARTS CREOLES ET DU MONDE 33 (CACM33)</t>
  </si>
  <si>
    <t>CULTURES DU COEUR GIRONDE</t>
  </si>
  <si>
    <t>9 600,00</t>
  </si>
  <si>
    <t>D'ASQUES ET D'AILLEURS</t>
  </si>
  <si>
    <t>D'SIGN</t>
  </si>
  <si>
    <t>DANSE AVEC NOUS</t>
  </si>
  <si>
    <t>7 800,00</t>
  </si>
  <si>
    <t>DATCHA</t>
  </si>
  <si>
    <t>DE VOLTES ET D'ASSAUTS</t>
  </si>
  <si>
    <t>DEALERS DE SCIENCE</t>
  </si>
  <si>
    <t>DEFENSE DE LA LANGUE FRANCAISE, ASSOCIATION DE BORDEAUX</t>
  </si>
  <si>
    <t>DEFI</t>
  </si>
  <si>
    <t>DES JARDINS, DES VOISINS</t>
  </si>
  <si>
    <t>1 200,00</t>
  </si>
  <si>
    <t>DES LOUPS DANS LES MURS</t>
  </si>
  <si>
    <t>950,00</t>
  </si>
  <si>
    <t>DHAGPO BORDEAUX</t>
  </si>
  <si>
    <t>DIACONAT DE BORDEAUX</t>
  </si>
  <si>
    <t>DISCO SOUPE</t>
  </si>
  <si>
    <t>DISPARATE</t>
  </si>
  <si>
    <t>DIVAN D'OUEST</t>
  </si>
  <si>
    <t>DIVERSCITES</t>
  </si>
  <si>
    <t>DIZGUYS</t>
  </si>
  <si>
    <t>DLIBERETS</t>
  </si>
  <si>
    <t>DOCUMENTS D'ARTISTES</t>
  </si>
  <si>
    <t>DOJO</t>
  </si>
  <si>
    <t>DOULEURS SANS FRONTIERES - DSF</t>
  </si>
  <si>
    <t>DRAG RACING TEAM - DRT</t>
  </si>
  <si>
    <t>DRISSE</t>
  </si>
  <si>
    <t>DROLE DE SCENE</t>
  </si>
  <si>
    <t>DROP DE BETON</t>
  </si>
  <si>
    <t>9 500,00</t>
  </si>
  <si>
    <t>DU CHIEN DANS LES DENTS</t>
  </si>
  <si>
    <t>DU SOLEIL DANS LES PIEDS</t>
  </si>
  <si>
    <t>DUENDE ANDALUZ</t>
  </si>
  <si>
    <t>DULCENE</t>
  </si>
  <si>
    <t>DV2G (THEATRE VICTOIRE)</t>
  </si>
  <si>
    <t>ECHANGE NORD-SUD</t>
  </si>
  <si>
    <t>1 534,00</t>
  </si>
  <si>
    <t>ECHIQUIER BORDELAIS</t>
  </si>
  <si>
    <t>ECLATS</t>
  </si>
  <si>
    <t>27 000,00</t>
  </si>
  <si>
    <t>ECOLE CHINOISE DE BORDEAUX</t>
  </si>
  <si>
    <t>ECOLE DE CIRQUE DE BORDEAUX, CENTRE CULTUREL DES ARTS</t>
  </si>
  <si>
    <t>46 500,00</t>
  </si>
  <si>
    <t>DU CIRQUE</t>
  </si>
  <si>
    <t>ECOLE DES GRANDS-PARENTS EUROPEENS BORDEAUX-GIRONDE -</t>
  </si>
  <si>
    <t>EGPE BORDEAUX-GIRONDE</t>
  </si>
  <si>
    <t>ECOLE ESSENTIALISTE</t>
  </si>
  <si>
    <t>ECOLE MUNICIPALE DE NATATION</t>
  </si>
  <si>
    <t>ECOLE SUPERIEURE DE THEATRE BORDEAUX AQUITAINE - ESTBA</t>
  </si>
  <si>
    <t>109 834,00</t>
  </si>
  <si>
    <t>ECOM33</t>
  </si>
  <si>
    <t>ECOUTE S'IL PLEUT</t>
  </si>
  <si>
    <t>ECOUTER SON CORPS</t>
  </si>
  <si>
    <t>EINAI</t>
  </si>
  <si>
    <t>EINSTEIN ON THE BEACH</t>
  </si>
  <si>
    <t>14 000,00</t>
  </si>
  <si>
    <t>EKLEKTIKK</t>
  </si>
  <si>
    <t>ELLES CONNECT</t>
  </si>
  <si>
    <t>ELLIPTIQUE DYNAMO</t>
  </si>
  <si>
    <t>EMULATION NAUTIQUE DE BORDEAUX</t>
  </si>
  <si>
    <t>118 603,00</t>
  </si>
  <si>
    <t>EN MARCHE</t>
  </si>
  <si>
    <t>EN ROUTE POUR TRAVAILLER</t>
  </si>
  <si>
    <t>ENDOFRANCE</t>
  </si>
  <si>
    <t>ENFANCE ET FAMILLES D'ADOPTION DE LA GIRONDE - ASSOCIATION</t>
  </si>
  <si>
    <t>DES FOYERS ADOPTIFS DE GIRONDE (EFA 33)</t>
  </si>
  <si>
    <t>ENQUETE</t>
  </si>
  <si>
    <t>1 410,00</t>
  </si>
  <si>
    <t>ENSEMBLE ORCHESTRAL MOLTO ASSAI</t>
  </si>
  <si>
    <t>ENSEMBLE OSKAR ALBERTO</t>
  </si>
  <si>
    <t>ENSEMBLE PYGMALION</t>
  </si>
  <si>
    <t>31 000,00</t>
  </si>
  <si>
    <t>ENSEMBLE UN</t>
  </si>
  <si>
    <t>ENSEMBLE VOCAL DE BORDEAUX</t>
  </si>
  <si>
    <t>ENSEMBLE VOCAL JUBILATE</t>
  </si>
  <si>
    <t>ENSEMBLE VOCAL SAGITTARIUS</t>
  </si>
  <si>
    <t>ENTENTE DES GENERATIONS POUR L’EMPLOI ET L’ENTREPRISE -</t>
  </si>
  <si>
    <t>EGEE</t>
  </si>
  <si>
    <t>ENTR-AUTRES</t>
  </si>
  <si>
    <t>ENTRAIDE SCOLAIRE AMICALE (ESA)</t>
  </si>
  <si>
    <t>ENTREPRISE INTERMEDIAIRE DE PRODUCTION ET DE FORMATION -</t>
  </si>
  <si>
    <t>EIPF</t>
  </si>
  <si>
    <t>ENVOL D'AQUITAINE</t>
  </si>
  <si>
    <t>13 050,00</t>
  </si>
  <si>
    <t>EQUIPE SAINT VINCENT BORDEAUX CENTRE</t>
  </si>
  <si>
    <t>ESCALES LITTERAIRES BORDEAUX AQUITAINE</t>
  </si>
  <si>
    <t>185 000,00</t>
  </si>
  <si>
    <t>ESCAPADES 33</t>
  </si>
  <si>
    <t>ESKUALDUNEN BILTZARRA - BORDELEKO ESKUAL ETXEA ou MAISON</t>
  </si>
  <si>
    <t>BASQUE DE BORDEAUX</t>
  </si>
  <si>
    <t>ESPACE DECOUVERTE MADAGASCAR</t>
  </si>
  <si>
    <t>ESPACE INTER HANDICAP EUROPEEN A HAUTEUR D'HOMME</t>
  </si>
  <si>
    <t>ESPACES MARX AQUITAINE BORDEAUX GIRONDE EXPLORER</t>
  </si>
  <si>
    <t>CONFRONTER INNOVER</t>
  </si>
  <si>
    <t>ESPOIR 33</t>
  </si>
  <si>
    <t>ESPRIT DE QUARTIER</t>
  </si>
  <si>
    <t>ESPRIT ETUDIANT-MONTESQUIEU</t>
  </si>
  <si>
    <t>ESSPLICITE</t>
  </si>
  <si>
    <t>ETUDIANTS MAROCAINS DE BORDEAUX - EMB</t>
  </si>
  <si>
    <t>ETUDIANTS MUSULMANS DE FRANCE BORDEAUX - EMF BORDEAUX</t>
  </si>
  <si>
    <t>EUROFEEL</t>
  </si>
  <si>
    <t>EUROPEAN MENTORING &amp; COACHING COUNCIL, L'ASSOCIATION</t>
  </si>
  <si>
    <t>EUROPEENNE DE COACHING</t>
  </si>
  <si>
    <t>EURROM</t>
  </si>
  <si>
    <t>EVEILLEZ LES BEBES</t>
  </si>
  <si>
    <t>210 000,00</t>
  </si>
  <si>
    <t>EXPLORER LE SENTIR</t>
  </si>
  <si>
    <t>EXTRA</t>
  </si>
  <si>
    <t>2 200,00</t>
  </si>
  <si>
    <t>FAIS UN VOEU MAKE-A -WISH ® FRANCE</t>
  </si>
  <si>
    <t>FAIT DE CI DE SOI</t>
  </si>
  <si>
    <t>FAMILLES EN GIRONDE - FEDERATION DE LA GIRONDE</t>
  </si>
  <si>
    <t>FC CARTES ET SERVICES</t>
  </si>
  <si>
    <t>FEDE ALIENOR</t>
  </si>
  <si>
    <t>FEDERATION ADDICTION</t>
  </si>
  <si>
    <t>FEDERATION ADMR GIRONDE</t>
  </si>
  <si>
    <t>FEDERATION DE LA GIRONDE POUR LA PECHE ET LA PROTECTION</t>
  </si>
  <si>
    <t>MILIEU AQUATIQUE (FDAAPPMA DE LA GIRONDE)</t>
  </si>
  <si>
    <t>FEDERATION DE PSYCHANALYSE CONTEMPORAINE - FPC</t>
  </si>
  <si>
    <t>FEDERATION DEPARTEMENTALE DU SECOURS POPULAIRE</t>
  </si>
  <si>
    <t>FRANCAIS</t>
  </si>
  <si>
    <t>FEDERATION DES ASSOCIATIONS FAMILIALES CATHOLIQUES - AFC</t>
  </si>
  <si>
    <t>FEDERATION DES DESIGNERS EN AQUITAINE (FDA)</t>
  </si>
  <si>
    <t>FEDERATION DES MANDATAIRES JUDICIAIRES INDEPENDANTS A</t>
  </si>
  <si>
    <t>PROTECTION MAJEURS AQUITAINE (FMJI AQUITAINE)</t>
  </si>
  <si>
    <t>FEDERATION DES RADIOS ASSOCIATIVES DE LA GIRONDE - FEDERA</t>
  </si>
  <si>
    <t>FEDERATION DES SOCIETES CARNAVALESQUES DE</t>
  </si>
  <si>
    <t>L'AGGLOMERATION BORDELAISE</t>
  </si>
  <si>
    <t>FEDERATION FRANCAISE D'ATHLETISME</t>
  </si>
  <si>
    <t>FEDERATION FRANCAISE DE NATATION</t>
  </si>
  <si>
    <t>FEDERATION FRANCAISE DES PSYCHOLOGUES ET DE</t>
  </si>
  <si>
    <t>PSYCHOLOGIE - FFPP</t>
  </si>
  <si>
    <t>FEDERATION GIRONDINE DE GENEALOGIE - FGG</t>
  </si>
  <si>
    <t>FEDERATION MUSULMANE DE LA GIRONDE</t>
  </si>
  <si>
    <t>FEDERATION NATIONALE D'AIDE AUX INSUFFISANTS RENAUX</t>
  </si>
  <si>
    <t>D'AQUITAINE - FNAIR AQUITANE</t>
  </si>
  <si>
    <t>FEDERATION NATIONALE DES ANCIENS DES FORCES FRANCAISES</t>
  </si>
  <si>
    <t>EN ALLEMAGNE ET EN AUTRICHE</t>
  </si>
  <si>
    <t>FEDERATION NATIONALE DES SERVICES SOCIAUX SPECIALISES DE</t>
  </si>
  <si>
    <t>PROTECTION DE L'ENFANCE - FN3S</t>
  </si>
  <si>
    <t>FEDERATION POUR LA RECHERCHE SUR LE CERVEAU - CAMPAGNE</t>
  </si>
  <si>
    <t>DU NEURODON 2004</t>
  </si>
  <si>
    <t>FEDERATION REGIONALE DES DECORES DU TRAVAIL</t>
  </si>
  <si>
    <t>NOUVELLE-AQUITAINE (FRDT)</t>
  </si>
  <si>
    <t>FEDERATION REGIONALE DU SUD-OUEST DES CAMARADES DE</t>
  </si>
  <si>
    <t>COMBAT</t>
  </si>
  <si>
    <t>FEDERATION SOS RACISME GIRONDE-AQUITAINE</t>
  </si>
  <si>
    <t>FEDERATION SYNDICALE UNITAIRE 33 - FSU 33</t>
  </si>
  <si>
    <t>FEMMES INTERNATIONALES MURS BRISES</t>
  </si>
  <si>
    <t>FEMMES SOLIDAIRES DU LAC</t>
  </si>
  <si>
    <t>FENETRE SUR RUE</t>
  </si>
  <si>
    <t>FESTIVAL DES ARTS DE BORDEAUX</t>
  </si>
  <si>
    <t>402 000,00</t>
  </si>
  <si>
    <t>FISH AND SHOES</t>
  </si>
  <si>
    <t>FITNESS FREESTYLE</t>
  </si>
  <si>
    <t>FOIRE AUX PLAISIRS DE BORDEAUX</t>
  </si>
  <si>
    <t>FONDA SUD-OUEST</t>
  </si>
  <si>
    <t>FONDATION DU PATRIMOINE - DELEGATION AQUITAINE</t>
  </si>
  <si>
    <t>FONDATION MAISON DE LA GENDARMERIE</t>
  </si>
  <si>
    <t>FONDAUDEGEMENT VOTRE</t>
  </si>
  <si>
    <t>FONDS REGIONAL D'ART CONTEMPORAIN - COLLECTION AQUITAINE</t>
  </si>
  <si>
    <t>FOOT BALL CLUB BORDEAUX AQUITAINE 33</t>
  </si>
  <si>
    <t>4 250,00</t>
  </si>
  <si>
    <t>FOOT LOISIRS DOCKERS DE BORDEAUX</t>
  </si>
  <si>
    <t>FOOTBALL CLUB DE LA PRESSE BORDELAISE</t>
  </si>
  <si>
    <t>FOOTBALL CLUB DES GIRONDINS DE BORDEAUX - FCGB</t>
  </si>
  <si>
    <t>100 000,00</t>
  </si>
  <si>
    <t>FOOTBALL-CLUB BORDEAUX OCEAN</t>
  </si>
  <si>
    <t>FOOTBALL-CLUB ROUGE</t>
  </si>
  <si>
    <t>FORCE FEMMES</t>
  </si>
  <si>
    <t>FORRO BORDEAUX</t>
  </si>
  <si>
    <t>FORUM AVIGNON</t>
  </si>
  <si>
    <t>33 251,00</t>
  </si>
  <si>
    <t>FORUM DES CULTURES ET DES TRADITIONS</t>
  </si>
  <si>
    <t>FOYER FRATERNEL</t>
  </si>
  <si>
    <t>426 565,00</t>
  </si>
  <si>
    <t>FOYER SOCIO EDUCATIF SPORTIF COLLEGE BLANQUI</t>
  </si>
  <si>
    <t>FOYER SOCIO-EDUCATIF DU COLLEGE ALAIN FOURNIER</t>
  </si>
  <si>
    <t>FRANCE ALZHEIMER GIRONDE</t>
  </si>
  <si>
    <t>FRANCE AMERIQUE LATINE COMITE BORDEAUX GIRONDE</t>
  </si>
  <si>
    <t>FRANCE BENEVOLAT BORDEAUX GIRONDE</t>
  </si>
  <si>
    <t>FRANCE PLUS GIRONDE</t>
  </si>
  <si>
    <t>FRANCE PSORIASIS</t>
  </si>
  <si>
    <t>France PARKINSON</t>
  </si>
  <si>
    <t>GABON, SOLIDARITE ET PAIX</t>
  </si>
  <si>
    <t>GARGANTUA</t>
  </si>
  <si>
    <t>GASP'ART</t>
  </si>
  <si>
    <t>GAZELLISSIMES</t>
  </si>
  <si>
    <t>GEAR LOCKER</t>
  </si>
  <si>
    <t>GEM "LES NEUROFESTIFS 33"</t>
  </si>
  <si>
    <t>GENEPI - GROUPEMENT ETUDIANT NATIONAL D'ENSEIGNEMENT</t>
  </si>
  <si>
    <t>AUX PERSONNES INCARCEREES</t>
  </si>
  <si>
    <t>GENERATIONS TAUZIN</t>
  </si>
  <si>
    <t>GEOCACHING ET TOURISME EN AQUITAINE</t>
  </si>
  <si>
    <t>GESTION DU CENTRE DE LOISIRS DE LA POSTE ALEMA</t>
  </si>
  <si>
    <t>334 000,00</t>
  </si>
  <si>
    <t>GIP CDAD 33</t>
  </si>
  <si>
    <t>GIRONDE INFIRMES MOTEURS CEREBRAUX</t>
  </si>
  <si>
    <t>GIRONDE ROUMANIE ECHANGES ET CULTURE</t>
  </si>
  <si>
    <t>GIRONDINS DE BORDEAUX BASTIDE HANDBALL CLUB</t>
  </si>
  <si>
    <t>141 174,00</t>
  </si>
  <si>
    <t>GIRONDINS DE BORDEAUX TIR</t>
  </si>
  <si>
    <t>GLOB THEATRE</t>
  </si>
  <si>
    <t>GP INTENCITE CENTRE SOCIAL ET CULTUREL DU GRAND PARC</t>
  </si>
  <si>
    <t>492 222,00</t>
  </si>
  <si>
    <t>GRAIN DE SABLE</t>
  </si>
  <si>
    <t>GRAINES DE SOLIDARITE</t>
  </si>
  <si>
    <t>GRANDIR ENSEMBLE</t>
  </si>
  <si>
    <t>GROUPE 33</t>
  </si>
  <si>
    <t>GROUPE ANAMORPHOSE</t>
  </si>
  <si>
    <t>GROUPE ATTAC 33</t>
  </si>
  <si>
    <t>GROUPE D'ACCOMPAGNEMENTS ET DE LOISIRS ADAPTÉS</t>
  </si>
  <si>
    <t>GROUPE D'ETUDE POUR L'INSERTION SOCIALE DES PERSONNES</t>
  </si>
  <si>
    <t>PORTEUSES D'UNE TRISOMIE 21 - GEIST 21</t>
  </si>
  <si>
    <t>GROUPE LOCAL ACTION DES CHRETIENS POUR L'ABOLITION DE LA</t>
  </si>
  <si>
    <t>TORTURE DE BORDEAUX</t>
  </si>
  <si>
    <t>GROUPE PASSERELLE</t>
  </si>
  <si>
    <t>GROUPE VOCAL ARPEGE DE BORDEAUX</t>
  </si>
  <si>
    <t>GROUPEMENT D'INTERET PUBLIC BORDEAUX MEDIATION</t>
  </si>
  <si>
    <t>190 000,00</t>
  </si>
  <si>
    <t>GROUPEMENT D'INTERET PUBLIC DE LA REUSSITE EDUCATIVE DE</t>
  </si>
  <si>
    <t>35 000,00</t>
  </si>
  <si>
    <t>GROUPEMENT DE BORDEAUX DES ANCIENS PORTE-DRAPEAUX</t>
  </si>
  <si>
    <t>VOLONTAIRES REGION MILITAIRE DEFENSE AQUITAINE</t>
  </si>
  <si>
    <t>GROUPEMENT DES INTELLECTUELS, AVEUGLES OU AMBLYOPES</t>
  </si>
  <si>
    <t>GROUPEMENT DES RETRAITES EDUCATEURS SANS FRONTIERES -</t>
  </si>
  <si>
    <t>GREF</t>
  </si>
  <si>
    <t>GROUPEMENT POUR L'INSERTION DES HANDICAPES PHYSIQUES</t>
  </si>
  <si>
    <t>D'AQUITAINE - GIHP AQUITAINE</t>
  </si>
  <si>
    <t>GUYENNE HANDI-NAGES</t>
  </si>
  <si>
    <t>GYMNASTIQUE VOLONTAIRE BORDEAUX BASTIDE</t>
  </si>
  <si>
    <t>GYMNASTIQUE VOLONTAIRE BORDEAUX LOUCHEUR</t>
  </si>
  <si>
    <t>GYMNASTIQUE VOLONTAIRE CHAUFFOUR</t>
  </si>
  <si>
    <t>GYMNASTIQUE VOLONTAIRE LESCURE</t>
  </si>
  <si>
    <t>GYMNASTIQUE VOLONTAIRE PERGOLA STEHELIN</t>
  </si>
  <si>
    <t>GYMNASTIQUE VOLONTAIRE QUARTIER ST NICOLAS</t>
  </si>
  <si>
    <t>H NORD ECOQUARTIER DE BORDEAUX - H NORD</t>
  </si>
  <si>
    <t>HABAD LOUBAVITCH BORDEAUX</t>
  </si>
  <si>
    <t>HABITAT ET HUMANISME GIRONDE - HH33</t>
  </si>
  <si>
    <t>HABITATS JEUNES SIMONE NOAILLES</t>
  </si>
  <si>
    <t>HAITI EN VIE</t>
  </si>
  <si>
    <t>HALEIWA</t>
  </si>
  <si>
    <t>HALTE 33</t>
  </si>
  <si>
    <t>66 000,00</t>
  </si>
  <si>
    <t>HANDICAP INTERNATIONAL</t>
  </si>
  <si>
    <t>HANDISPORT 33 AMICALE SPORTIVE DES HANDICAPES PHYSIQUES</t>
  </si>
  <si>
    <t>D'AQUITAINE - ASHPA</t>
  </si>
  <si>
    <t>HARMONIE STRETCH ET DETENTE</t>
  </si>
  <si>
    <t>HISTOIRE(S) DE LA BASTIDE</t>
  </si>
  <si>
    <t>HOCKEY GARONNE SPORT</t>
  </si>
  <si>
    <t>8 308,00</t>
  </si>
  <si>
    <t>HORS BORD</t>
  </si>
  <si>
    <t>ICRONOS</t>
  </si>
  <si>
    <t>IDEE D'ENSEMBLE</t>
  </si>
  <si>
    <t>IDEH - INITIATIVES POUR LE DEVELOPPEMENT HUMAIN</t>
  </si>
  <si>
    <t>ILOT DES MOTS</t>
  </si>
  <si>
    <t>IMAD IBN ZIATEN POUR LA JEUNESSE ET LA PAIE</t>
  </si>
  <si>
    <t>IMAGINA MUSIC</t>
  </si>
  <si>
    <t>IMPACTS AQUITAINE</t>
  </si>
  <si>
    <t>INCITE - BORDEAUX CUB</t>
  </si>
  <si>
    <t>INCROYABLES COMESTIBLES BORDEAUX</t>
  </si>
  <si>
    <t>INCUBATEUR AU FEMININ BORDEAUX AQUITAINE</t>
  </si>
  <si>
    <t>INFO SECTES AQUITAINE</t>
  </si>
  <si>
    <t>INFODROITS</t>
  </si>
  <si>
    <t>INNER WHEEL CLUB DE BORDEAUX MEDOC</t>
  </si>
  <si>
    <t>INSTANCE REGIONALE D'EDUCATION ET DE PROMOTION SANTE</t>
  </si>
  <si>
    <t>NOUVELLE-AQUITAINE (IREPS NOUVELLE-AQUITAINE)</t>
  </si>
  <si>
    <t>INSTANT LIBRE</t>
  </si>
  <si>
    <t>INSTANTS BORDELAIS</t>
  </si>
  <si>
    <t>INSTITUT BERGONIE</t>
  </si>
  <si>
    <t>INSTITUT DE FORMATION ET D'APPUI AUX INITIATIVES DE</t>
  </si>
  <si>
    <t>DEVELOPPEMENT - IFAID AQUITAINE</t>
  </si>
  <si>
    <t>INSTITUT DE JOURNALISME BORDEAUX AQUITAINE</t>
  </si>
  <si>
    <t>INSTITUT DES AFRIQUES</t>
  </si>
  <si>
    <t>INSTITUT DES CONDUITES ALIMENTAIRES (ICAL)</t>
  </si>
  <si>
    <t>INSTITUT DON BOSCO</t>
  </si>
  <si>
    <t>1 550,00</t>
  </si>
  <si>
    <t>INSTITUT FRANCAIS</t>
  </si>
  <si>
    <t>25 000,00</t>
  </si>
  <si>
    <t>INSTITUT FRANCAIS DE GEORGIE</t>
  </si>
  <si>
    <t>9 000,00</t>
  </si>
  <si>
    <t>INSTITUT MACONNIQUE D'AQUITAINE</t>
  </si>
  <si>
    <t>INSTITUT MEDICO-PEDAGOGIQUE SAINT JOSEPH</t>
  </si>
  <si>
    <t>INSTITUT REGIONAL DES SOURDS ET DES AVEUGLES - IRSA</t>
  </si>
  <si>
    <t>INTENDANT DU LYCEE MICHEL MONTAIGNE</t>
  </si>
  <si>
    <t>INTERLUDE</t>
  </si>
  <si>
    <t>478 850,00</t>
  </si>
  <si>
    <t>INTERNATIONAL CLUB OF BORDEAUX (ICB)</t>
  </si>
  <si>
    <t>IPPO (INFORMATION, PREVENTION, PROXIMITE, ORIENTATION)</t>
  </si>
  <si>
    <t>24 500,00</t>
  </si>
  <si>
    <t>IRON SPORT BORDEAUX</t>
  </si>
  <si>
    <t>ITAL'ICI</t>
  </si>
  <si>
    <t>ITINERAIRES DES PHOTOGRAPHES VOYAGEURS</t>
  </si>
  <si>
    <t>IUFN</t>
  </si>
  <si>
    <t>J'ADORE CE QUE VOUS FAITES</t>
  </si>
  <si>
    <t>JARDIN ET ECOTOURISME</t>
  </si>
  <si>
    <t>JE CHERCHE UN JOB</t>
  </si>
  <si>
    <t>JETER L'ENCRE</t>
  </si>
  <si>
    <t>JEUNE ACADEMIE VOCALE D'AQUITAINE</t>
  </si>
  <si>
    <t>JEUNE BALLET D AQUITAINE</t>
  </si>
  <si>
    <t>JEUNE CHAMBRE ECONOMIQUE DE BORDEAUX</t>
  </si>
  <si>
    <t>3 300,00</t>
  </si>
  <si>
    <t>JEUNES MUSULMANS DE LA GIRONDE - JMG</t>
  </si>
  <si>
    <t>JEUNES SCIENCE BORDEAUX</t>
  </si>
  <si>
    <t>10 083,00</t>
  </si>
  <si>
    <t>JUDO CLUB BACALANAIS</t>
  </si>
  <si>
    <t>JUDO-CLUB GIRONDIN OMNISPORTS</t>
  </si>
  <si>
    <t>KALINA'GO</t>
  </si>
  <si>
    <t>KAN-KRA TEAM</t>
  </si>
  <si>
    <t>7 370,00</t>
  </si>
  <si>
    <t>KARAVAN BORDELAISE</t>
  </si>
  <si>
    <t>KAZ ANANDA</t>
  </si>
  <si>
    <t>KEEP A BREAST EUROPE FOUNDATION</t>
  </si>
  <si>
    <t>KI E KI</t>
  </si>
  <si>
    <t>KILOMBO KINTWADI</t>
  </si>
  <si>
    <t>KINO SESSION</t>
  </si>
  <si>
    <t>KPOP DANCE MOVE BORDEAUX - KDM BORDEAUX</t>
  </si>
  <si>
    <t>KUNG-FU WUSHU ACADEMIE (KFWA)</t>
  </si>
  <si>
    <t>L'A COSMOPOLITAINE « COSMODANCE »</t>
  </si>
  <si>
    <t>L'AGENCE CREATIVE</t>
  </si>
  <si>
    <t>L'AGENCE DE GEOGRAPHIE AFFECTIVE</t>
  </si>
  <si>
    <t>L'AIGLON CENTRE DE JEUNESSE</t>
  </si>
  <si>
    <t>L'AMICALE DES CHINOIS DU SUD-OUEST (ADCSO)</t>
  </si>
  <si>
    <t>L'ART HACHE SCENE</t>
  </si>
  <si>
    <t>L'ASSOCIATION DES BISSAU-GUINEENS</t>
  </si>
  <si>
    <t>L'ASSOCIATION SLAVE</t>
  </si>
  <si>
    <t>L'ASSOS DIET</t>
  </si>
  <si>
    <t>L'ATELIER BUDGETAIRE</t>
  </si>
  <si>
    <t>L'ATELIER CHOREGRAPHIQUE</t>
  </si>
  <si>
    <t>L'ATELIER DES BAINS DOUCHES</t>
  </si>
  <si>
    <t>L'ATELIER REMUMENAGE</t>
  </si>
  <si>
    <t>L'ATELIER VIDEO PIRATE</t>
  </si>
  <si>
    <t>L'ATEUL</t>
  </si>
  <si>
    <t>L'AUBERGE MUSICALE</t>
  </si>
  <si>
    <t>L'AUTRE - ASSOCIATION DES ETUDIANTS EN ANTHROPOLOGIE</t>
  </si>
  <si>
    <t>SOCIALE ET CULTURELLE</t>
  </si>
  <si>
    <t>L'ENVERS</t>
  </si>
  <si>
    <t>L'EPICERIE</t>
  </si>
  <si>
    <t>L'ERE H</t>
  </si>
  <si>
    <t>L'ESPRIT DU PIANO</t>
  </si>
  <si>
    <t>L'ESTEY</t>
  </si>
  <si>
    <t>L'ILE AUX OURSONS</t>
  </si>
  <si>
    <t>L'INSTITUT BORDELAIS DE STYLISME MODELISME</t>
  </si>
  <si>
    <t>L'OLYMPIQUE-CLUB BORDELAIS - OCB</t>
  </si>
  <si>
    <t>L'ORANGEADE</t>
  </si>
  <si>
    <t>L'OSTAU OCCITAN</t>
  </si>
  <si>
    <t>L'OUMIGMAG</t>
  </si>
  <si>
    <t>L'OUTIL EN MAIN DE LA GIRONDE</t>
  </si>
  <si>
    <t>L'OUVRE BOITE</t>
  </si>
  <si>
    <t>L'OVERGROUND</t>
  </si>
  <si>
    <t>LA BELLE ESTAMPE</t>
  </si>
  <si>
    <t>LA BOITE A JOUER</t>
  </si>
  <si>
    <t>LA BOITE A SEL</t>
  </si>
  <si>
    <t>LA CABANE A GRATTER</t>
  </si>
  <si>
    <t>LA CAISSE A OUTILS</t>
  </si>
  <si>
    <t>57 005,00</t>
  </si>
  <si>
    <t>LA CHAMBRE BLEUE</t>
  </si>
  <si>
    <t>LA CHEVRE NOIRE</t>
  </si>
  <si>
    <t>LA CHIFFONE RIT</t>
  </si>
  <si>
    <t>LA CIGOGNE</t>
  </si>
  <si>
    <t>LA CIGOGNE DES CAPUS</t>
  </si>
  <si>
    <t>LA CITE DU VIN</t>
  </si>
  <si>
    <t>LA CLE DU QUAI</t>
  </si>
  <si>
    <t>LA COMA</t>
  </si>
  <si>
    <t>13 000,00</t>
  </si>
  <si>
    <t>LA COMPAGNIE "LES FOUS DE LA RAMPE"</t>
  </si>
  <si>
    <t>LA COMPAGNIE BOUGRELAS</t>
  </si>
  <si>
    <t>LA COMPAGNIE CHRONIQUE</t>
  </si>
  <si>
    <t>LA COMPAGNIE DES FIGURES</t>
  </si>
  <si>
    <t>LA COMPAGNIE DES PETITES SECOUSSES</t>
  </si>
  <si>
    <t>LA COMPAGNIE GARONOTES</t>
  </si>
  <si>
    <t>LA COUR DES ENFANTS</t>
  </si>
  <si>
    <t>LA DAME A LA LICORNE</t>
  </si>
  <si>
    <t>LA FABRIQUE POLA</t>
  </si>
  <si>
    <t>LA FLECHE DE BORDEAUX</t>
  </si>
  <si>
    <t>LA GALERIE EPHEMERE</t>
  </si>
  <si>
    <t>LA GROSSE SITUATION</t>
  </si>
  <si>
    <t>LA GYM SUEDOISE BORDEAUX</t>
  </si>
  <si>
    <t>LA HALLE DES DOUVES</t>
  </si>
  <si>
    <t>LA HOULETTE</t>
  </si>
  <si>
    <t>LA MAIN A L’OREILLE</t>
  </si>
  <si>
    <t>LA MAISON DE MARIE</t>
  </si>
  <si>
    <t>LA MAISON DES FAMILLES DE BORDEAUX</t>
  </si>
  <si>
    <t>LA MAISON DU DIABETE ET DE LA NUTRITION</t>
  </si>
  <si>
    <t>LA MANIF POUR TOUS 33</t>
  </si>
  <si>
    <t>LA MANNE EUROPE</t>
  </si>
  <si>
    <t>LA MANUFACTURE ATLANTIQUE</t>
  </si>
  <si>
    <t>198 000,00</t>
  </si>
  <si>
    <t>Communication, locaux, matériel pour</t>
  </si>
  <si>
    <t>manifestations, matériel informatique</t>
  </si>
  <si>
    <t>LA MARGE ROUSSE</t>
  </si>
  <si>
    <t>LA MARMAILLE</t>
  </si>
  <si>
    <t>LA MEMOIRE DE BORDEAUX METROPOLE</t>
  </si>
  <si>
    <t>56 105,00</t>
  </si>
  <si>
    <t>Locaux, matériel informatique</t>
  </si>
  <si>
    <t>LA MOBYLETTE</t>
  </si>
  <si>
    <t>LA NUIT VENUE</t>
  </si>
  <si>
    <t>LA PARENTELE</t>
  </si>
  <si>
    <t>LA PETITE PALUCHE</t>
  </si>
  <si>
    <t>LA PLUME ET L'OREILLE</t>
  </si>
  <si>
    <t>LA PORTE OUVERTE DE BORDEAUX</t>
  </si>
  <si>
    <t>LA PREVENTION ROUTIERE</t>
  </si>
  <si>
    <t>LA RESERVE</t>
  </si>
  <si>
    <t>LA REVERB'</t>
  </si>
  <si>
    <t>LA RONDE DES QUARTIERS DE BORDEAUX</t>
  </si>
  <si>
    <t>119 100,00</t>
  </si>
  <si>
    <t>LA ROUTE DES VINS - ECOLE DE COMMERCE EUROPEENNE</t>
  </si>
  <si>
    <t>LA TIERCE</t>
  </si>
  <si>
    <t>LA TRIBALE DEMARCHE</t>
  </si>
  <si>
    <t>LABE'ART</t>
  </si>
  <si>
    <t>LAC 2 SPORTS SCOLAIRES</t>
  </si>
  <si>
    <t>420,00</t>
  </si>
  <si>
    <t>LACLE - LA MAISON DES PARENTS ET DES MINEURS</t>
  </si>
  <si>
    <t>LADAPT LIGUE ADAPTATION DIMINUES PHYSIQUE AU TRAVAIL</t>
  </si>
  <si>
    <t>LADIES' CIRCLE BORDEAUX 20</t>
  </si>
  <si>
    <t>LAFEDERATION 33</t>
  </si>
  <si>
    <t>LANGUES EN SCÈNE</t>
  </si>
  <si>
    <t>8 640,00</t>
  </si>
  <si>
    <t>LATINO MEX BORDEAUX</t>
  </si>
  <si>
    <t>LAXMI GIRONDE</t>
  </si>
  <si>
    <t>LE 308</t>
  </si>
  <si>
    <t>LE 4 DE BORDEAUX</t>
  </si>
  <si>
    <t>11 950,00</t>
  </si>
  <si>
    <t>LE CAFE HISTORIQUE</t>
  </si>
  <si>
    <t>LE CANNELE D'ADRESSES</t>
  </si>
  <si>
    <t>LE CHAINON MANQUANT</t>
  </si>
  <si>
    <t>LE CHOEUR DES ECLUSES</t>
  </si>
  <si>
    <t>LE CHOEUR MELUSINE</t>
  </si>
  <si>
    <t>LE CHOEUR VOYAGEUR</t>
  </si>
  <si>
    <t>LE COKTAIL</t>
  </si>
  <si>
    <t>LE COURRIER DE BOVET</t>
  </si>
  <si>
    <t>LE CRAYON PAPOTE</t>
  </si>
  <si>
    <t>LE DESSOUS DES BALANCOIRES</t>
  </si>
  <si>
    <t>LE FESTIN</t>
  </si>
  <si>
    <t>6 400,00</t>
  </si>
  <si>
    <t>LE GIROFARD</t>
  </si>
  <si>
    <t>LE KFE DES FAMILLES</t>
  </si>
  <si>
    <t>18 800,00</t>
  </si>
  <si>
    <t>LE KIOSQUE CULTURE</t>
  </si>
  <si>
    <t>22 500,00</t>
  </si>
  <si>
    <t>LE LABO DES HISTOIRES section Sud-Atlantique</t>
  </si>
  <si>
    <t>LE LABO DES LETTRES</t>
  </si>
  <si>
    <t>LE LABO, REVELATEUR D'IMAGES</t>
  </si>
  <si>
    <t>4 634,00</t>
  </si>
  <si>
    <t>LE LYS ET LE LEOPARD</t>
  </si>
  <si>
    <t>LE P'TIT BOUT DE QUARTIER</t>
  </si>
  <si>
    <t>LE PAIN DE L'AMITIE</t>
  </si>
  <si>
    <t>LE PETIT INSTITUT DE CHINE : ECOLE D'ARTS MARTIAUX ET</t>
  </si>
  <si>
    <t>CULTURE CHINOISE</t>
  </si>
  <si>
    <t>LE POQUELIN THEATRE</t>
  </si>
  <si>
    <t>120,00</t>
  </si>
  <si>
    <t>LE QUAI AUX LIVRES</t>
  </si>
  <si>
    <t>LE RELAIS GIRONDE</t>
  </si>
  <si>
    <t>LE SERVICE GAGNANT</t>
  </si>
  <si>
    <t>LE SPORTING-CLUB DE LA BASTIDIENNE</t>
  </si>
  <si>
    <t>LE TERROIR</t>
  </si>
  <si>
    <t>LE THEATRE DES EGREGORES</t>
  </si>
  <si>
    <t>LEGATO CIE</t>
  </si>
  <si>
    <t>LEO CLUB BORDEAUX INTERNATIONAL - LBI</t>
  </si>
  <si>
    <t>LES 13 LUNES</t>
  </si>
  <si>
    <t>LES AMIS AQUITAINS DES SEMAINES SOCIALES DE France</t>
  </si>
  <si>
    <t>LES AMIS DE BORDEAUX-SUD</t>
  </si>
  <si>
    <t>LES AMIS DE LA RUE KLEBER</t>
  </si>
  <si>
    <t>LES AMIS DE LA TERRE GIRONDE</t>
  </si>
  <si>
    <t>LES AMIS DE SAINTE GENEVIEVE (ASG)</t>
  </si>
  <si>
    <t>LES AMIS DE SUPERCOOP</t>
  </si>
  <si>
    <t>LES AMIS DU GRAND THEATRE - OPERA DE BORDEAUX</t>
  </si>
  <si>
    <t>LES ANCIENS DE BACALAN CLAVEAU</t>
  </si>
  <si>
    <t>LES ANNALES DE L'ESPRIT</t>
  </si>
  <si>
    <t>LES ARCHERS DE GUYENNE</t>
  </si>
  <si>
    <t>LES BLESSES MULTIPLES ET IMPOTENTS DE GUERRE SECTION DE</t>
  </si>
  <si>
    <t>LA GIRONDE</t>
  </si>
  <si>
    <t>LES BLOUSES ROSES</t>
  </si>
  <si>
    <t>LES BORDELUCHES</t>
  </si>
  <si>
    <t>LES BRUITS DE LA RUE</t>
  </si>
  <si>
    <t>LES CAPRICES DE MARIANNE</t>
  </si>
  <si>
    <t>LES CLOWNS STETHOSCOPES</t>
  </si>
  <si>
    <t>LES COLCHIQUES DE CONDORCET</t>
  </si>
  <si>
    <t>LES COQS ROUGES</t>
  </si>
  <si>
    <t>343 924,00</t>
  </si>
  <si>
    <t>LES COQUELICOTS</t>
  </si>
  <si>
    <t>LES COUCOUS</t>
  </si>
  <si>
    <t>LES CYRANOS</t>
  </si>
  <si>
    <t>LES DISQUES DU FENNEC</t>
  </si>
  <si>
    <t>LES DOSSIERS D'AQUITAINE ET D'AILLEURS</t>
  </si>
  <si>
    <t>LES ECHOS DU LAC</t>
  </si>
  <si>
    <t>2 250,00</t>
  </si>
  <si>
    <t>LES ENFANTS D'OSIRIS</t>
  </si>
  <si>
    <t>240 000,00</t>
  </si>
  <si>
    <t>LES ENTREPRENEURS ET DIRIGEANTS CHRETIENS</t>
  </si>
  <si>
    <t>LES FEES PAPILLONS</t>
  </si>
  <si>
    <t>LES FEES REIKI</t>
  </si>
  <si>
    <t>LES FEES RUE</t>
  </si>
  <si>
    <t>LES FILLES D'A COTE</t>
  </si>
  <si>
    <t>LES FILS DU TONAIRES</t>
  </si>
  <si>
    <t>LES GINKOBILOBIENS</t>
  </si>
  <si>
    <t>LES GIRONDINS DE BORDEAUX</t>
  </si>
  <si>
    <t>132 000,00</t>
  </si>
  <si>
    <t>LES GOUPILS</t>
  </si>
  <si>
    <t>LES HABITANTS ET RIVERAINS DU QUARTIER SAINT-GENES-BOURSE</t>
  </si>
  <si>
    <t>DU TRAVAIL - COSTEDOAT</t>
  </si>
  <si>
    <t>LES IMPROVISATEURS ANONYMES</t>
  </si>
  <si>
    <t>LES INDEPENDANTS PLASTICIENS DE BORDEAUX</t>
  </si>
  <si>
    <t>LES INSTRUMENTS ANCIENS DE BORDEAUX</t>
  </si>
  <si>
    <t>LES JARDINS D'AUJOURD'HUI</t>
  </si>
  <si>
    <t>29 750,00</t>
  </si>
  <si>
    <t>LES JARDINS DE POINCARE</t>
  </si>
  <si>
    <t>LES JEUNES DE SAINT AUGUSTIN - JSA</t>
  </si>
  <si>
    <t>892 663,00</t>
  </si>
  <si>
    <t>LES JOIES HUMAINES</t>
  </si>
  <si>
    <t>LES JOURNEES DE LA NUTRITION - JDLN</t>
  </si>
  <si>
    <t>LES LEOPARDS DE GUYENNE</t>
  </si>
  <si>
    <t>LES MORPHOGENISTES</t>
  </si>
  <si>
    <t>LES MUSCLES BORDELAIS</t>
  </si>
  <si>
    <t>LES P'TITS GRATTEURS</t>
  </si>
  <si>
    <t>LES PARENTS DE CAUDERAN</t>
  </si>
  <si>
    <t>205 000,00</t>
  </si>
  <si>
    <t>LES PETITS DEBROUILLARDS AQUITAINE</t>
  </si>
  <si>
    <t>54 201,00</t>
  </si>
  <si>
    <t>LES PETITS FRERES DES PAUVRES DE BORDEAUX</t>
  </si>
  <si>
    <t>LES PETITS TRETEAUX</t>
  </si>
  <si>
    <t>LES PINSONS</t>
  </si>
  <si>
    <t>LES PRODUCTIONS DE L'ANGE</t>
  </si>
  <si>
    <t>LES RIVERAINS DU STADE PROMIS</t>
  </si>
  <si>
    <t>LES ROSES DE DAMAS</t>
  </si>
  <si>
    <t>LES SURPRISES</t>
  </si>
  <si>
    <t>LES VAILLANTS DE SAINT SEURIN</t>
  </si>
  <si>
    <t>LES VIVRES DE L'ART</t>
  </si>
  <si>
    <t>LES Z'ARPETES</t>
  </si>
  <si>
    <t>LESBIAN &amp; GAY PRIDE BORDEAUX DITE AUSSI LGP BORDEAUX</t>
  </si>
  <si>
    <t>LETTRES DU MONDE</t>
  </si>
  <si>
    <t>LIBER LANGUE CULTURE CREATION</t>
  </si>
  <si>
    <t>741,00</t>
  </si>
  <si>
    <t>LIBRE PENSEE</t>
  </si>
  <si>
    <t>LICHORE</t>
  </si>
  <si>
    <t>LIGUE CONTRE LE CANCER</t>
  </si>
  <si>
    <t>LIGUE D'AQUITAINE DE HANDBALL</t>
  </si>
  <si>
    <t>LIGUE D'AQUITAINE DE VOLLEY BALL</t>
  </si>
  <si>
    <t>LIGUE DE L'ENSEIGNEMENT</t>
  </si>
  <si>
    <t>LIGUE FRANÇAISE POUR LA DEFENSE DROITS DE L'HOMME ET DU</t>
  </si>
  <si>
    <t>CITOYEN (LDH) ET LIGUE DROITS DE L'HOMME</t>
  </si>
  <si>
    <t>LIGUE INTERNATIONALE CONTRE LE RACISME ET L'ANTISEMITISME -</t>
  </si>
  <si>
    <t>SECTION BORDEAUX &amp; GIRONDE - LICRA</t>
  </si>
  <si>
    <t>LIGUE NATIONAL DE RUGBY</t>
  </si>
  <si>
    <t>LIONS BORDEAUX SAINT AUGUSTIN</t>
  </si>
  <si>
    <t>LIONS CLUB BORDEAUX - EUROPE - DISTRICT 103 SUD-OUEST</t>
  </si>
  <si>
    <t>LIONS CLUB BORDEAUX LE BOUSCAT</t>
  </si>
  <si>
    <t>LIONS CLUB BORDEAUX RIVE-GAUCHE</t>
  </si>
  <si>
    <t>LIONS CLUB BORDEAUX TOURNY</t>
  </si>
  <si>
    <t>LIONS CLUB DE BORDEAUX LA FAYETTE</t>
  </si>
  <si>
    <t>LIONS-CLUB DE BORDEAUX CAUDERAN</t>
  </si>
  <si>
    <t>LOGEA</t>
  </si>
  <si>
    <t>LOS TREINTA Y TRES</t>
  </si>
  <si>
    <t>LOUONS L'ETERNEL</t>
  </si>
  <si>
    <t>LUCILANN</t>
  </si>
  <si>
    <t>200 000,00</t>
  </si>
  <si>
    <t>LUDOLUDIK</t>
  </si>
  <si>
    <t>LUNA D'AIGA</t>
  </si>
  <si>
    <t>LUPUS DE FRANCE</t>
  </si>
  <si>
    <t>LYSIAS-BORDEAUX</t>
  </si>
  <si>
    <t>L’ASSOCIATION POUR LE MAINTIEN DE L’AGRICULTURE PAYSANNE</t>
  </si>
  <si>
    <t>DITE "L’AMAP CAUDERANAISE"</t>
  </si>
  <si>
    <t>MA PTITE MAM ECOLO</t>
  </si>
  <si>
    <t>MACCABI SPORTS DE BORDEAUX</t>
  </si>
  <si>
    <t>MADE IN MOVEMENT</t>
  </si>
  <si>
    <t>MAGIK'HOPITAL AQUITAINE</t>
  </si>
  <si>
    <t>MAGNETOGRAMMES ASSOCIATION</t>
  </si>
  <si>
    <t>MAIRES RESPONSABLES METROPOLES FRANCOPHONES - AIMF</t>
  </si>
  <si>
    <t>MAISON ACCUEIL ET INFORMATION 33</t>
  </si>
  <si>
    <t>MAISON CULTURELLE COREENNE DE BORDEAUX</t>
  </si>
  <si>
    <t>MAISON D'ALGERIE EN AQUITAINE</t>
  </si>
  <si>
    <t>MAISON DE L'EMPLOI, DE L'INSERTION ECONOMIQUE ET DE</t>
  </si>
  <si>
    <t>678 000,00</t>
  </si>
  <si>
    <t>L'ENTREPRISE DE BORDEAUX</t>
  </si>
  <si>
    <t>MAISON DE L'EUROPE BORDEAUX-AQUITAINE (MEBA)</t>
  </si>
  <si>
    <t>56 000,00</t>
  </si>
  <si>
    <t>MAISON DE L'INITIATIVE ET DE L'ENTREPRENEURIAT - MIE</t>
  </si>
  <si>
    <t>MAISON DE LA NATURE ET DE L'ENVIRONNEMENT</t>
  </si>
  <si>
    <t>MAISON DE NOLAN</t>
  </si>
  <si>
    <t>46 000,00</t>
  </si>
  <si>
    <t>MAISON DE SANTE PROTESTANTE DE BORDEAUX BAGATELLE</t>
  </si>
  <si>
    <t>MAISON DES ADOLESCENTS DE LA GIRONDE</t>
  </si>
  <si>
    <t>14 653,49</t>
  </si>
  <si>
    <t>MAISON DES FEMMES DE BORDEAUX</t>
  </si>
  <si>
    <t>MAISON DES JEUNES ET DE LA CULTURE CENTRE DE LOISIRS DES</t>
  </si>
  <si>
    <t>110 350,00</t>
  </si>
  <si>
    <t>DEUX VILLES - MJC CL2V</t>
  </si>
  <si>
    <t>MAISON DES METIERS DE L'IMPRIMERIE</t>
  </si>
  <si>
    <t>MAISON DES SOURDS DE LA GIRONDE - MS 33</t>
  </si>
  <si>
    <t>MAISON DUPEUX</t>
  </si>
  <si>
    <t>MAITRISE DE BX PETITS CHANTEURS DE BORDEAUX</t>
  </si>
  <si>
    <t>MAJ</t>
  </si>
  <si>
    <t>MAM LES LUCIOLES</t>
  </si>
  <si>
    <t>MAM'OURS</t>
  </si>
  <si>
    <t>MANA</t>
  </si>
  <si>
    <t>35 500,00</t>
  </si>
  <si>
    <t>MANDORA</t>
  </si>
  <si>
    <t>MANTA PLONGEE</t>
  </si>
  <si>
    <t>MARATHON JOB EUROPA</t>
  </si>
  <si>
    <t>MAROC, DEVOIRS ET DROITS</t>
  </si>
  <si>
    <t>MASCARETS</t>
  </si>
  <si>
    <t>29 000,00</t>
  </si>
  <si>
    <t>MAWA DE GIRONDE</t>
  </si>
  <si>
    <t>MBOLO ASSOCIATION DES GABONAIS DE LA GIRONDE</t>
  </si>
  <si>
    <t>MEDECINS DU MONDE</t>
  </si>
  <si>
    <t>MEDIATHEQUE DES MALADES DES HOPITAUX DE BORDEAUX</t>
  </si>
  <si>
    <t>MELTING SIGNES</t>
  </si>
  <si>
    <t>MEMOIRES ET PARTAGES</t>
  </si>
  <si>
    <t>MENSA AQUITAINE</t>
  </si>
  <si>
    <t>MERCI GERTRUDE</t>
  </si>
  <si>
    <t>MHIGE INSEEC - MISSION INTER GRANDES ECOLES DE L'INSEEC</t>
  </si>
  <si>
    <t>MIGRATIONS CULTURELLES AQUITAINE - AFRIQUES (MC2A)</t>
  </si>
  <si>
    <t>37 500,00</t>
  </si>
  <si>
    <t>MINE DE RIEN</t>
  </si>
  <si>
    <t>MIRAIL INFORMATIQUE</t>
  </si>
  <si>
    <t>MISSION LOCALE BORDEAUX AVENIR JEUNES</t>
  </si>
  <si>
    <t>494 000,00</t>
  </si>
  <si>
    <t>MIX COLOR UNITED - M.C.U.</t>
  </si>
  <si>
    <t>MOI NON PLUS</t>
  </si>
  <si>
    <t>MONOQUINI</t>
  </si>
  <si>
    <t>17 528,00</t>
  </si>
  <si>
    <t>MONTS ET MERVEILLES</t>
  </si>
  <si>
    <t>MOTO CLUB HEXAGON BORDEAUX</t>
  </si>
  <si>
    <t>MOTS ET MATIERES(S)</t>
  </si>
  <si>
    <t>MOUVEMENT ATD QUART MONDE</t>
  </si>
  <si>
    <t>MOUVEMENT AUTONOME DE DETOURNEMENT EURISTIQUE (MADE)</t>
  </si>
  <si>
    <t>MOUVEMENT DU 8 OCTOBRE</t>
  </si>
  <si>
    <t>MOUVEMENT ETUDIANT REPUBLICAIN POUR LE DEBAT ET</t>
  </si>
  <si>
    <t>L'ENGAGEMENT</t>
  </si>
  <si>
    <t>MOUVEMENT EUROPEEN FRANCE-GIRONDE</t>
  </si>
  <si>
    <t>MOUVEMENT FRANCAIS POUR LE PLANNING FAMILIAL -</t>
  </si>
  <si>
    <t>ASSOCIATION DEPARTEMENTALE DE LA GIRONDE</t>
  </si>
  <si>
    <t>MUSIC'S COOL</t>
  </si>
  <si>
    <t>MUSICA IN CATHEDRA</t>
  </si>
  <si>
    <t>MUSIQUE MUNICIPALE</t>
  </si>
  <si>
    <t>MUSIQUES DE NUIT - DIFFUSION</t>
  </si>
  <si>
    <t>40 700,00</t>
  </si>
  <si>
    <t>MUSIQUES EN ROUTE</t>
  </si>
  <si>
    <t>MY KARTEL</t>
  </si>
  <si>
    <t>N'A QU'UN OEIL</t>
  </si>
  <si>
    <t>NACAO PALMARES CAPOEIRA DE BORDEAUX</t>
  </si>
  <si>
    <t>NEW BASKET ATTITUDE</t>
  </si>
  <si>
    <t>NIRE LAGUNA THOMAS</t>
  </si>
  <si>
    <t>NOS REVES PRODUCTIONS</t>
  </si>
  <si>
    <t>NOTRE DAME DE BARRAILS</t>
  </si>
  <si>
    <t>NOTRE ITALIE</t>
  </si>
  <si>
    <t>NOUS CITOYENS</t>
  </si>
  <si>
    <t>NOUS VOULONS LIRE !</t>
  </si>
  <si>
    <t>NOUVEAU COMITE FOIRE AUX PLAISIRS</t>
  </si>
  <si>
    <t>NOUVELLE DONNE</t>
  </si>
  <si>
    <t>NUAGE BLEU</t>
  </si>
  <si>
    <t>130 000,00</t>
  </si>
  <si>
    <t>O SOL DE PORTUGAL</t>
  </si>
  <si>
    <t>20 686,00</t>
  </si>
  <si>
    <t>O'PTIMÔMES LOISIRS</t>
  </si>
  <si>
    <t>170 592,00</t>
  </si>
  <si>
    <t>OBLIC SOLUTION</t>
  </si>
  <si>
    <t>OBSERVATOIRE DE L'IMMOBILIER D'ENTREPRISE BX METROPOLE</t>
  </si>
  <si>
    <t>OCCE DE LA GIRONDE</t>
  </si>
  <si>
    <t>865,00</t>
  </si>
  <si>
    <t>OCCS</t>
  </si>
  <si>
    <t>OCTANDRE</t>
  </si>
  <si>
    <t>OFFICE AQUITAIN DE RECHERCHES, ETUDES, INFORMATION ET</t>
  </si>
  <si>
    <t>200,00</t>
  </si>
  <si>
    <t>LIAISON SUR PROBLEMES PERSONNES AGEES-OAREIL</t>
  </si>
  <si>
    <t>OFFICE ARTISTIQUE DE REGION AQUITAINE</t>
  </si>
  <si>
    <t>Matériel informatique</t>
  </si>
  <si>
    <t>OFFICIERS DE RESERVE</t>
  </si>
  <si>
    <t>OGEC ECOLE SPECIA ST FERDINAND</t>
  </si>
  <si>
    <t>OGEC LYCEE BEL ORME</t>
  </si>
  <si>
    <t>120 000,00</t>
  </si>
  <si>
    <t>OGEC SAINTE THERESE</t>
  </si>
  <si>
    <t>OKIWI</t>
  </si>
  <si>
    <t>OLA</t>
  </si>
  <si>
    <t>OMEGA ZELLES</t>
  </si>
  <si>
    <t>ONG QUISHUAR</t>
  </si>
  <si>
    <t>OPERA BASTIDE</t>
  </si>
  <si>
    <t>OPERA PAGAI</t>
  </si>
  <si>
    <t>OPTIMISATION MEMOIRE</t>
  </si>
  <si>
    <t>OPUS 33</t>
  </si>
  <si>
    <t>ORGAN PHANTOM</t>
  </si>
  <si>
    <t>ORGANISATION SOCIO-CULTURELLE DE BORDEAUX IV OSB IV</t>
  </si>
  <si>
    <t>ORIGAMI</t>
  </si>
  <si>
    <t>OSEZ LE FEMINISME 33 !</t>
  </si>
  <si>
    <t>OSONS, ICI ET MAINTENANT (OIM)</t>
  </si>
  <si>
    <t>OUI A LA VIE</t>
  </si>
  <si>
    <t>OUVRE LE CHIEN (DANS L'IMMEDIAT)</t>
  </si>
  <si>
    <t>OZIMAGES</t>
  </si>
  <si>
    <t>P'TIT BOUT'CHOU</t>
  </si>
  <si>
    <t>567 000,00</t>
  </si>
  <si>
    <t>PALLIAQUITAINE</t>
  </si>
  <si>
    <t>PARALLELES ATTITUDES DIFFUSION - ROCKSCHOOL</t>
  </si>
  <si>
    <t>237 000,00</t>
  </si>
  <si>
    <t>PARRAINAGE 33</t>
  </si>
  <si>
    <t>PART-AGE</t>
  </si>
  <si>
    <t>PARTI OUVRIER INDEPENDANT DEMOCRATIQUE DE LA GIRONDE -</t>
  </si>
  <si>
    <t>POID33</t>
  </si>
  <si>
    <t>PASSERELLES ET COMPETENCES</t>
  </si>
  <si>
    <t>PAUPIETTE</t>
  </si>
  <si>
    <t>1 650,00</t>
  </si>
  <si>
    <t>PAUSE-CAFE</t>
  </si>
  <si>
    <t>PENA FLAMENCA COPAS Y COMPAS</t>
  </si>
  <si>
    <t>PENA MADRIDISTA DE BORDEAUX</t>
  </si>
  <si>
    <t>PENSION DE FAMILLE</t>
  </si>
  <si>
    <t>PEP'S BAND</t>
  </si>
  <si>
    <t>PERCEPTA - TAI CHI CHUAN ET DEVELOPPEMENT PERSONNEL</t>
  </si>
  <si>
    <t>PERES &amp; FILS RUGBY 33</t>
  </si>
  <si>
    <t>PERMANENCES DE LA LITTERATURE</t>
  </si>
  <si>
    <t>Communication, matériel informatique</t>
  </si>
  <si>
    <t>PETANQUE BACALANAISE</t>
  </si>
  <si>
    <t>PETANQUE CLUB EMILE COMBES</t>
  </si>
  <si>
    <t>PETANQUE REPUBLIQUE</t>
  </si>
  <si>
    <t>PETANQUE-CLUB DES TROIS</t>
  </si>
  <si>
    <t>PETITES SOEURS DES PAUVRES</t>
  </si>
  <si>
    <t>PEUPLES SOLIDAIRES</t>
  </si>
  <si>
    <t>PHENIX DE BELCIER</t>
  </si>
  <si>
    <t>PHENIX ECOUTE ET PAROLES</t>
  </si>
  <si>
    <t>PHILOSPHERES</t>
  </si>
  <si>
    <t>PHOTO CLUB DE BORDEAUX</t>
  </si>
  <si>
    <t>PICTUR'ART</t>
  </si>
  <si>
    <t>PLAN INTERNATIONAL FRANCE - PLAN FRANCE</t>
  </si>
  <si>
    <t>PLANETE BORDEAUX</t>
  </si>
  <si>
    <t>PLATEFORME AQUITAINE DE COMMERCE EQUITABLE - PLACE</t>
  </si>
  <si>
    <t>PLENI'OM</t>
  </si>
  <si>
    <t>PLUME PALETTE</t>
  </si>
  <si>
    <t>POINT DE FUITE</t>
  </si>
  <si>
    <t>POINT RENCONTRE DE BORDEAUX</t>
  </si>
  <si>
    <t>POKER SOURDS BORDEAUX</t>
  </si>
  <si>
    <t>POLAR EN CABANES - LES AMIS DE CHESTER HIMES EN AQUITAINE,</t>
  </si>
  <si>
    <t>A ARCACHON ET SUR LE BASSIN (ACHAAB)</t>
  </si>
  <si>
    <t>POLE D'ENSEIGNEMENT SUPERIEUR DE LA MUSIQUE ET DE LA</t>
  </si>
  <si>
    <t>357 672,00</t>
  </si>
  <si>
    <t>DANSE DE BORDEAUX AQUITAINE - PESMD</t>
  </si>
  <si>
    <t>POLE MAGNETIC</t>
  </si>
  <si>
    <t>21 350,00</t>
  </si>
  <si>
    <t>POLIFONIA ELIANE LAVAIL</t>
  </si>
  <si>
    <t>POLSKIE BORDEAUX</t>
  </si>
  <si>
    <t>POLYCAP 33</t>
  </si>
  <si>
    <t>POMME D'API</t>
  </si>
  <si>
    <t>3 800,00</t>
  </si>
  <si>
    <t>POP PROJECT</t>
  </si>
  <si>
    <t>POUR UN COMMERCE ETHIQUE DE L'ART, RENCONTRES, TOURISME</t>
  </si>
  <si>
    <t>- PUCEART</t>
  </si>
  <si>
    <t>POUR UN SOURIRE D'ENFANT AQUITAINE</t>
  </si>
  <si>
    <t>PRISME</t>
  </si>
  <si>
    <t>PROF'APA</t>
  </si>
  <si>
    <t>PROJETS HORS LES MURS - PHM</t>
  </si>
  <si>
    <t>PROMETHEE</t>
  </si>
  <si>
    <t>PROMO-FEMMES SAINT MICHEL</t>
  </si>
  <si>
    <t>31 500,00</t>
  </si>
  <si>
    <t>PROXIMA CENTAURI</t>
  </si>
  <si>
    <t>QUATUORS A BORDEAUX</t>
  </si>
  <si>
    <t>QUETZALCOATL</t>
  </si>
  <si>
    <t>R'2 JEUX (RECYCLAGE DE JEUX)</t>
  </si>
  <si>
    <t>RACING CLUB DE BORDEAUX METROPOLE</t>
  </si>
  <si>
    <t>RADIO CHU</t>
  </si>
  <si>
    <t>RASSEMBLEMENT DU PEUPLE SOUVERAIN POUR UNE FRANCE</t>
  </si>
  <si>
    <t>INDEPENDANTE ET UNE REPUBLIQUE SOCIALE</t>
  </si>
  <si>
    <t>REBATIR LA FRANCE</t>
  </si>
  <si>
    <t>RECHERCHES ET SOLIDARITES</t>
  </si>
  <si>
    <t>9 520,00</t>
  </si>
  <si>
    <t>RECREATION INFORMATIQUE TECHNIQUE ARTS APPLIQUES</t>
  </si>
  <si>
    <t>RECUP'R</t>
  </si>
  <si>
    <t>7 100,00</t>
  </si>
  <si>
    <t>REG'ARTS D'AILLEURS</t>
  </si>
  <si>
    <t>REGGAE SUN SKA</t>
  </si>
  <si>
    <t>REGIE DE QUARTIER HABITER BACALAN</t>
  </si>
  <si>
    <t>51 000,00</t>
  </si>
  <si>
    <t>RELAIS AMICAL MALAKOFF MEDERIC BORDEAUX AQUITAINE</t>
  </si>
  <si>
    <t>RENAISSANCE DE L'ORGUE A BORDEAUX</t>
  </si>
  <si>
    <t>RESEAU AQUITAIN DES MUSIQUES ACTUELLES - RAMA</t>
  </si>
  <si>
    <t>RESEAU AQUITAIN DEVELOPPEMENT SOLIDARITE INTERNATIONALE</t>
  </si>
  <si>
    <t>29 985,00</t>
  </si>
  <si>
    <t>RESEAU D'ECHANGES INTERCULTURELS</t>
  </si>
  <si>
    <t>RESEAU ENTREPRENDRE AQUITAINE</t>
  </si>
  <si>
    <t>RESEAU FRANCAIS SUR L’ENTENTE DE VOIX (REV FRANCE)</t>
  </si>
  <si>
    <t>RESEAU PAUL BERT CENTRE SOCIAL ET CULTUREL</t>
  </si>
  <si>
    <t>64 000,00</t>
  </si>
  <si>
    <t>RESEAUX ADOS GIRONDE</t>
  </si>
  <si>
    <t>RESTAURANTS DU COEUR - RELAIS DU COEUR DE LA GIRONDE</t>
  </si>
  <si>
    <t>RESTONS CALMES ! (DANS LA DIGNITE)</t>
  </si>
  <si>
    <t>RICOCHET SONORE</t>
  </si>
  <si>
    <t>9 750,00</t>
  </si>
  <si>
    <t>RIVE DROITE 2000</t>
  </si>
  <si>
    <t>ROLLER DERBY BORDEAUX CLUB</t>
  </si>
  <si>
    <t>ROSE ATTITUDE BORDEAUX</t>
  </si>
  <si>
    <t>ROTARY CLUB DE BORDEAUX-OUEST</t>
  </si>
  <si>
    <t>ROTARY-CLUB DE BORDEAUX-SUD</t>
  </si>
  <si>
    <t>RUE BOUFFARD - ASSOCIATION DES COMMERCANTS</t>
  </si>
  <si>
    <t>6 182,00</t>
  </si>
  <si>
    <t>RUELLE (RELAIS URBAIN D'ECHANGES ET DE LUTTE CONTRE</t>
  </si>
  <si>
    <t>L'EXPLOITATION)</t>
  </si>
  <si>
    <t>RUGBYTOTS</t>
  </si>
  <si>
    <t>S.A.D.I. QUARTIER BORDEAUX SAINT GENES</t>
  </si>
  <si>
    <t>650,00</t>
  </si>
  <si>
    <t>SAAPERLIPOPETTE</t>
  </si>
  <si>
    <t>SACREE MARMAILLE</t>
  </si>
  <si>
    <t>SAINT AUGUSTIN 2015</t>
  </si>
  <si>
    <t>SAINT CHRISTOLY GIE</t>
  </si>
  <si>
    <t>SAINT MARTIN BORDEAUX CULTURAL CONNECTIONS</t>
  </si>
  <si>
    <t>SALAM</t>
  </si>
  <si>
    <t>SASP FOOTBALL CLUB DES GIRONDINS DE BORDEAUX</t>
  </si>
  <si>
    <t>SASP JSA BORDEAUX METROPOLE</t>
  </si>
  <si>
    <t>280 000,00</t>
  </si>
  <si>
    <t>SASP UNION BORDEAUX BEGLES</t>
  </si>
  <si>
    <t>450 000,00</t>
  </si>
  <si>
    <t>SAVATE BOXE FRANÇAISE DE BORDEAUX - SBFB</t>
  </si>
  <si>
    <t>SCELMAA SOUTIEN, CULTURE ET LOISIRS DES MAGHREBINS,</t>
  </si>
  <si>
    <t>ALGERIENS EN AQUITAINE</t>
  </si>
  <si>
    <t>SCOUTS ET GUIDES DE FRANCE - Section de Tarbes</t>
  </si>
  <si>
    <t>SCRIPT</t>
  </si>
  <si>
    <t>SE CANTO BASTIDE</t>
  </si>
  <si>
    <t>SECOURS CATHOLIQUE-CARITAS FRANCE (DELEGATION DE LA</t>
  </si>
  <si>
    <t>GIRONDE)</t>
  </si>
  <si>
    <t>SECUCAF BORDEAUX FOOTBALL D'ENTREPRISE</t>
  </si>
  <si>
    <t>SEMER LE DOUTE</t>
  </si>
  <si>
    <t>73 250,00</t>
  </si>
  <si>
    <t>SERVICE DEPARTEMENTAL D'INCENDIE ET DE SECOURS DE LA</t>
  </si>
  <si>
    <t>SERVICE UNIVERSITAIRE DES ACTIVITES PHYSIQUES ET SPORTIVES</t>
  </si>
  <si>
    <t>(SUAPS)</t>
  </si>
  <si>
    <t>SEW &amp; LAINE</t>
  </si>
  <si>
    <t>9 980,00</t>
  </si>
  <si>
    <t>SIDACTION</t>
  </si>
  <si>
    <t>SKIN JACKIN BORDEAUX</t>
  </si>
  <si>
    <t>SLAPZINE</t>
  </si>
  <si>
    <t>SMART COMPAGNIE</t>
  </si>
  <si>
    <t>SOCIETE ARCHEOLOGIQUE DE BORDEAUX</t>
  </si>
  <si>
    <t>16 770,00</t>
  </si>
  <si>
    <t>SOCIETE ASTRONOMIQUE DE BORDEAUX</t>
  </si>
  <si>
    <t>SOCIETE BORDELAISE D'AQUARELLE</t>
  </si>
  <si>
    <t>SOCIETE D'ENTRAIDE DE LA MEDAILLE MILITAIRE 12EME SECTION</t>
  </si>
  <si>
    <t>SOCIETE D'ENTRAIDE DES MEMBRES DE LA LEGION D'HONNEUR</t>
  </si>
  <si>
    <t>COMITE DE BORDEAUX SECTEUR CAUDERAN</t>
  </si>
  <si>
    <t>SOCIETE D'HISTOIRE DE BORDEAUX</t>
  </si>
  <si>
    <t>SOCIETE D'HORTICULTURE, D'ARBORICULTURE ET DE VITICULTURE</t>
  </si>
  <si>
    <t>DE CAUDERAN</t>
  </si>
  <si>
    <t>SOCIETE DE GEOGRAPHIE DE BORDEAUX</t>
  </si>
  <si>
    <t>SOCIETE DE PHILOSOPHIE DE BORDEAUX</t>
  </si>
  <si>
    <t>SOCIETE DE SAINT-VINCENT-DE-PAUL - CONSEIL DEPARTEMENTAL</t>
  </si>
  <si>
    <t>DE LA GIRONDE</t>
  </si>
  <si>
    <t>SOCIETE DES AMIS DU MUSEE DES BEAUX-ARTS DE BORDEAUX</t>
  </si>
  <si>
    <t>SOCIETE DES BIBLIOPHILES DE GUYENNE</t>
  </si>
  <si>
    <t>SOCIETE DES COMPAGNONS DU TOUR DE France DU DEVOIR</t>
  </si>
  <si>
    <t>EGALITAIRE - CHAMBRE COMPAGNONALE DE BORDEAUX</t>
  </si>
  <si>
    <t>SOCIETE DES FETES CAUDERANAISES</t>
  </si>
  <si>
    <t>SOCIETE DES MEILLEURS OUVRIERS DE FRANCE GROUPE DE LA</t>
  </si>
  <si>
    <t>SOCIETE DES NEUROSCIENCES</t>
  </si>
  <si>
    <t>SOCIETE HISTORIQUE DE BORDEAUX</t>
  </si>
  <si>
    <t>SOCIETE PHILOMATHIQUE DE BORDEAUX</t>
  </si>
  <si>
    <t>SOCIETE SYMPHONIQUE DE BORDEAUX-CAUDERAN</t>
  </si>
  <si>
    <t>SOLIDARITE ANAIS JEROME EVENEMENTIEL - SAJE</t>
  </si>
  <si>
    <t>SOLIDARITE BAYTI</t>
  </si>
  <si>
    <t>SOLIDARITE-LOGEMENT BORDEAUX-BOULEVARDS</t>
  </si>
  <si>
    <t>SOLIHA, SOLIDAIRES POUR L'HABITAT, GIRONDE</t>
  </si>
  <si>
    <t>73 900,00</t>
  </si>
  <si>
    <t>SOMATO-PSYCHO-PEDAGOGIE EN AQUITAINE</t>
  </si>
  <si>
    <t>SONG LONG BORDEAUX</t>
  </si>
  <si>
    <t>SOS AMITIE - REGION DE BORDEAUX AQUITAINE</t>
  </si>
  <si>
    <t>SOS PLACE GAMBETTA</t>
  </si>
  <si>
    <t>SOUTIEN, CULTURE ET LOISIRS DES MAGHREBINS ET ALGERIENS</t>
  </si>
  <si>
    <t>EN AQUITAINE - SCELMAA</t>
  </si>
  <si>
    <t>SPECIAL OLYMPICS FRANCE (SOF)</t>
  </si>
  <si>
    <t>SPHERE CPP BORDEAUX</t>
  </si>
  <si>
    <t>SPORTING CHANTECLER BORDEAUX NORD LE LAC</t>
  </si>
  <si>
    <t>1 128 560,00</t>
  </si>
  <si>
    <t>STADE BASTIDE BORDEAUX BENAUGE - S3B</t>
  </si>
  <si>
    <t>STADE BORDELAIS ASPTT</t>
  </si>
  <si>
    <t>819 458,00</t>
  </si>
  <si>
    <t>STAGIAIRES ET ETUDIANTS AFRICAINS EN FRANCE</t>
  </si>
  <si>
    <t>STELLA MONTIS</t>
  </si>
  <si>
    <t>STOP AND GO DANCE 33</t>
  </si>
  <si>
    <t>SUKHALI - AIDE AU DEVELOPPEMENT LOCAL PAR LES FEMMES AU</t>
  </si>
  <si>
    <t>SENEGAL</t>
  </si>
  <si>
    <t>SUR MESURE</t>
  </si>
  <si>
    <t>SURF INSERTION</t>
  </si>
  <si>
    <t>SURFRIDER FOUNDATION EUROPE SIEGE</t>
  </si>
  <si>
    <t>SURVIE GIRONDE</t>
  </si>
  <si>
    <t>SWINGTIME BORDEAUX</t>
  </si>
  <si>
    <t>SYNDICAT DES QUARTIERS BELCIER, CARLE VERNET</t>
  </si>
  <si>
    <t>T.E.A. TIME - TALENTUEUX EMOTIFS ANONYMES</t>
  </si>
  <si>
    <t>TANGO BORDEAUX</t>
  </si>
  <si>
    <t>TANGO HOY</t>
  </si>
  <si>
    <t>TANGO MILONGUERO BORDEAUX</t>
  </si>
  <si>
    <t>TANGO NOMADE</t>
  </si>
  <si>
    <t>TASHI DELEK BORDEAUX ASSOCIATION GIRONDINE POUR LE TIBET</t>
  </si>
  <si>
    <t>TATHATA- VRINDHAM AQUITAINE</t>
  </si>
  <si>
    <t>TCHERNOBLAYE</t>
  </si>
  <si>
    <t>TEMPS DE PAROLE ASSOCIATION SANTE ET SECURITE</t>
  </si>
  <si>
    <t>PROFESSIONNELLES</t>
  </si>
  <si>
    <t>TENNIS CLUB BORDEAUX BASTIDE</t>
  </si>
  <si>
    <t>TENNIS CLUB DE BORDEAUX</t>
  </si>
  <si>
    <t>TERANGA</t>
  </si>
  <si>
    <t>TERANUI TAHITI</t>
  </si>
  <si>
    <t>TERIYA</t>
  </si>
  <si>
    <t>TERRA FEES</t>
  </si>
  <si>
    <t>TERRE ET OCEAN</t>
  </si>
  <si>
    <t>THEATR'ACTION</t>
  </si>
  <si>
    <t>THEATRE DE L'ESCALE</t>
  </si>
  <si>
    <t>THEATRE DES TAFURS</t>
  </si>
  <si>
    <t>THEATRE DU PONT TOURNANT</t>
  </si>
  <si>
    <t>52 250,00</t>
  </si>
  <si>
    <t>THEATRE EN MIETTES</t>
  </si>
  <si>
    <t>THEATRE FEMINA</t>
  </si>
  <si>
    <t>THEATRE NATIONAL DE BORDEAUX EN AQUITAINE - TNBA</t>
  </si>
  <si>
    <t>1 646 816,00</t>
  </si>
  <si>
    <t>THEATRE POPULAIRE JOB</t>
  </si>
  <si>
    <t>THEATRE-EDUCATION-AQUITAINE</t>
  </si>
  <si>
    <t>THEATRIUM</t>
  </si>
  <si>
    <t>THIANT GUI</t>
  </si>
  <si>
    <t>THOTH CIVILISATION SANS FRONTIERES</t>
  </si>
  <si>
    <t>TIMELESS BALLET</t>
  </si>
  <si>
    <t>TOMBES DU CIEL</t>
  </si>
  <si>
    <t>TOOBORDO</t>
  </si>
  <si>
    <t>TOURING PEDESTRE BORDELAIS</t>
  </si>
  <si>
    <t>TOUT ART FAIRE</t>
  </si>
  <si>
    <t>TRACE UNE DIAGONALE</t>
  </si>
  <si>
    <t>TRADOBORDELEAU</t>
  </si>
  <si>
    <t>TRAFIC</t>
  </si>
  <si>
    <t>TRANSFERT</t>
  </si>
  <si>
    <t>32 987,75</t>
  </si>
  <si>
    <t>TRANZIT KREOL</t>
  </si>
  <si>
    <t>TRAUMATISES CRANIENS ASSISTANCE</t>
  </si>
  <si>
    <t>TRAVAUX PUBLICS COMPAGNIE</t>
  </si>
  <si>
    <t>TREMPLIN UTC</t>
  </si>
  <si>
    <t>TRETEAUX DE GUYENNE</t>
  </si>
  <si>
    <t>TRISOMIE 21 GIRONDE</t>
  </si>
  <si>
    <t>TUTTI</t>
  </si>
  <si>
    <t>U-TOPOS</t>
  </si>
  <si>
    <t>ULCR</t>
  </si>
  <si>
    <t>ULTRAS BB</t>
  </si>
  <si>
    <t>UNICEF</t>
  </si>
  <si>
    <t>UNION ALCOOLIQUES ANONYMES</t>
  </si>
  <si>
    <t>UNION AU DEVELOPPEMENT AFRICAIN - UDA</t>
  </si>
  <si>
    <t>UNION BORDEAUX METROPOLE - UBM</t>
  </si>
  <si>
    <t>83 680,00</t>
  </si>
  <si>
    <t>UNION BORDEAUX NORD DES ASSOCIATIONS DE PREVENTION</t>
  </si>
  <si>
    <t>SPECIALISEE</t>
  </si>
  <si>
    <t>UNION COOP DE LA PAGE BLANCHE</t>
  </si>
  <si>
    <t>UNION DEPARTEMENTALE CFDT DE LA GIRONDE</t>
  </si>
  <si>
    <t>UNION DEPARTEMENTALE CONSOMMATION LOGEMENT ET CADRE</t>
  </si>
  <si>
    <t>6 800,00</t>
  </si>
  <si>
    <t>DE VIE</t>
  </si>
  <si>
    <t>UNION DEPARTEMENTALE DE LA CONFEDERATION SYNDICALE DES</t>
  </si>
  <si>
    <t>FAMILLES EN GIRONDE</t>
  </si>
  <si>
    <t>UNION DEPARTEMENTALE DES ASSOCIATIONS DE COMBATTANTS</t>
  </si>
  <si>
    <t>ET VICTIMES DE GUERRE DE LA GIRONDE (UDAC)</t>
  </si>
  <si>
    <t>UNION DEPARTEMENTALE DES ASSOCIATIONS FAMILIALES - UDAF</t>
  </si>
  <si>
    <t>UNION DEPARTEMENTALE DES CADRES DE LA GIRONDE</t>
  </si>
  <si>
    <t>UNION DEPARTEMENTALE DES SOUS-OFFICIERS EN RETRAITE DE</t>
  </si>
  <si>
    <t>LA GIRONDE (UDSOR)</t>
  </si>
  <si>
    <t>UNION DES ASSOCIATIONS POUR UNE MAISON DES SOURDS UAMS</t>
  </si>
  <si>
    <t>UNION DES AVEUGLES ET DEFICIENTS VISUELS</t>
  </si>
  <si>
    <t>UNION DES TRAVAILLEURS IVOIRIENS DE FRANCE - UTIF</t>
  </si>
  <si>
    <t>UNION FRANCAISE SANTE BUCCO-DENTAIRE 33</t>
  </si>
  <si>
    <t>6 100,00</t>
  </si>
  <si>
    <t>UNION GENERALE SPORTIVE DE L'ENSEIGNEMENT LIBRE DE LA</t>
  </si>
  <si>
    <t>UNION GIRONDINE DES RETRAITES MILITAIRES, ANCIENS</t>
  </si>
  <si>
    <t>MILITAIRES ET DE LEURS CONJOINTS (URM 33)</t>
  </si>
  <si>
    <t>UNION LIBRE 2016</t>
  </si>
  <si>
    <t>UNION NATIONALE DE FAMILLES ET AMIS DE PERSONNES MALADES</t>
  </si>
  <si>
    <t>UNION NATIONALE DES AMIS ET FAMILLES DE MALADES</t>
  </si>
  <si>
    <t>PSYCHIQUES - UNAFAM</t>
  </si>
  <si>
    <t>UNION NATIONALE DES COMBATTANTS DE BORDEAUX RIVE-DROITE</t>
  </si>
  <si>
    <t>- UNC</t>
  </si>
  <si>
    <t>UNION NATIONALE DES COMBATTANTS DE</t>
  </si>
  <si>
    <t>BORDEAUX-CAUDERAN-LE BOUSCAT (UNC)</t>
  </si>
  <si>
    <t>UNION NATIONALE DU SPORT SCOLAIRE - DIRECTION REGIONALE</t>
  </si>
  <si>
    <t>UNION REGIONALE D'AQUITAINE DE L'UNION EUROPEENNE</t>
  </si>
  <si>
    <t>FEMININE SECTION FRANÇAISE</t>
  </si>
  <si>
    <t>UNION REGIONALE DES INGENIEURS ET DES SCIENTIFIQUES</t>
  </si>
  <si>
    <t>D'AQUITAINE - URISA</t>
  </si>
  <si>
    <t>UNION REGIONALE PACT HABITAT ET DEVELOPPEMENT DE LA</t>
  </si>
  <si>
    <t>UNION SAINT JEAN - MAISON DE QUARTIER</t>
  </si>
  <si>
    <t>879 983,00</t>
  </si>
  <si>
    <t>UNION SAINT-BRUNO</t>
  </si>
  <si>
    <t>1 537 650,00</t>
  </si>
  <si>
    <t>UNION SPORTIVE JEUNES DE SAINT-AUGUSTIN - CLUB</t>
  </si>
  <si>
    <t>19 500,00</t>
  </si>
  <si>
    <t>PYRENEES-AQUITAINE (US JSA-CPA)</t>
  </si>
  <si>
    <t>UNION SPORTIVE LES CHARTRONS</t>
  </si>
  <si>
    <t>896 350,00</t>
  </si>
  <si>
    <t>UNION SPORTIVE VILLENAVAISE CYCLISME</t>
  </si>
  <si>
    <t>UNIS CITE</t>
  </si>
  <si>
    <t>105 000,00</t>
  </si>
  <si>
    <t>UNISPHERES</t>
  </si>
  <si>
    <t>UNIVERSEUL</t>
  </si>
  <si>
    <t>UNIVERSITE BORDEAUX MONTAIGNE BORDEAUX III - BIBLIOTHEQUE</t>
  </si>
  <si>
    <t>FRANCO-ALLEMANDE (BIFA)</t>
  </si>
  <si>
    <t>UNIVERSITE DE BORDEAUX</t>
  </si>
  <si>
    <t>UNIVERSITE POPULAIRE DE BORDEAUX - UPB</t>
  </si>
  <si>
    <t>UNIVERSITE SCIENCES TECHNOLOGIES LILLE 1 - CUEEP</t>
  </si>
  <si>
    <t>URBAN VIBRATIONS SCHOOL</t>
  </si>
  <si>
    <t>28 500,00</t>
  </si>
  <si>
    <t>URPS - AQUITAINE</t>
  </si>
  <si>
    <t>USEP ECOLE PRIMAIRE LAC 1</t>
  </si>
  <si>
    <t>USEP ELEMENTAIRE FLORNOY</t>
  </si>
  <si>
    <t>2 450,00</t>
  </si>
  <si>
    <t>UTOPIA</t>
  </si>
  <si>
    <t>V'INSEEC BORDEAUX, VINS ET SPIRITUEUX</t>
  </si>
  <si>
    <t>VA K BAND</t>
  </si>
  <si>
    <t>VACANCES ANIMATION LOISIRS TOURISME DE LA GIRONDE</t>
  </si>
  <si>
    <t>VACANCES TOURISME FAMILLES - VTF</t>
  </si>
  <si>
    <t>VAHINE ORA</t>
  </si>
  <si>
    <t>VARIANCE MELODIE</t>
  </si>
  <si>
    <t>VELO CITE</t>
  </si>
  <si>
    <t>5 394,00</t>
  </si>
  <si>
    <t>VELOPHONIE</t>
  </si>
  <si>
    <t>VENUS</t>
  </si>
  <si>
    <t>21 500,00</t>
  </si>
  <si>
    <t>VERY CHEAP PRODUCTION</t>
  </si>
  <si>
    <t>VIE ET TRAVAIL A BORDEAUX BACALAN</t>
  </si>
  <si>
    <t>VIE LIBRE</t>
  </si>
  <si>
    <t>VILLA 88</t>
  </si>
  <si>
    <t>VILLA PRIMROSE</t>
  </si>
  <si>
    <t>119 000,00</t>
  </si>
  <si>
    <t>Communication, équipements sportifs, matériel pour</t>
  </si>
  <si>
    <t>VILLAGE D'AUDEGE</t>
  </si>
  <si>
    <t>VILLAGE DE LA GROSSE CLOCHE</t>
  </si>
  <si>
    <t>8 300,00</t>
  </si>
  <si>
    <t>VISIONS CROISEES</t>
  </si>
  <si>
    <t>VISIONS PARTAGEES</t>
  </si>
  <si>
    <t>VISITE DES MALADES DANS LES ETABLISSEMENTS HOSPITALIERS</t>
  </si>
  <si>
    <t>DU DEPARTEMENT DE LA GIRONDE - VMEH</t>
  </si>
  <si>
    <t>VIVONS LA BASTIDE</t>
  </si>
  <si>
    <t>VIVRE A CAUDERAN</t>
  </si>
  <si>
    <t>6 900,00</t>
  </si>
  <si>
    <t>VIVRE AVEC - SOLIDARITES INTERGENERATIONNELLES</t>
  </si>
  <si>
    <t>VIVRE COMME AVANT</t>
  </si>
  <si>
    <t>VOCATION SOCIOLOGUE</t>
  </si>
  <si>
    <t>VOLONTAIRES BORDEAUX 98</t>
  </si>
  <si>
    <t>3 400,00</t>
  </si>
  <si>
    <t>VOVINAM VIET VO DAO-CLUB DE BORDEAUX</t>
  </si>
  <si>
    <t>WEJOB</t>
  </si>
  <si>
    <t>WIMOOV</t>
  </si>
  <si>
    <t>WISE</t>
  </si>
  <si>
    <t>WOUXIA CLAN</t>
  </si>
  <si>
    <t>YA DLA JOIE ET DL'EMPLOI (YDLJE)</t>
  </si>
  <si>
    <t>YAKAFAUCON</t>
  </si>
  <si>
    <t>YAWATA ASSOCIATION DES ECHANGES DE PROCEDES</t>
  </si>
  <si>
    <t>ARTISTIQUES</t>
  </si>
  <si>
    <t>YOBALEMA</t>
  </si>
  <si>
    <t>YOGA ET YOGA</t>
  </si>
  <si>
    <t>YOGALBEDO</t>
  </si>
  <si>
    <t>YOGHINY</t>
  </si>
  <si>
    <t>ZANSHIN CLUB</t>
  </si>
  <si>
    <t>ZEBRA 3</t>
  </si>
  <si>
    <t>ZEKI</t>
  </si>
  <si>
    <t>Ô PLAFOND</t>
  </si>
  <si>
    <t>4 300,00</t>
  </si>
  <si>
    <t>Entreprises</t>
  </si>
  <si>
    <t>Personnes physiques</t>
  </si>
  <si>
    <t>Autres</t>
  </si>
  <si>
    <t>Personnes de droit public</t>
  </si>
  <si>
    <t>Etat</t>
  </si>
  <si>
    <t>Régions</t>
  </si>
  <si>
    <t>Départements</t>
  </si>
  <si>
    <t>Communes</t>
  </si>
  <si>
    <t>Etablissements publics (EPCI, EPA, EPIC,...)</t>
  </si>
  <si>
    <t>ECOLE D'ENSEIGNEMENT SUPÉRIEUR D'ART DE BORDEAUX - ESAB</t>
  </si>
  <si>
    <t>3 120 000,00</t>
  </si>
  <si>
    <t>FONDATION D'AUTEUIL AQUITAINE</t>
  </si>
  <si>
    <t>52 500,00</t>
  </si>
  <si>
    <t>FOYER SOCIO-EDUCATIF HORTICOLE</t>
  </si>
  <si>
    <t>GRAND PORT MARITIME DE BORDEAUX</t>
  </si>
  <si>
    <t>LYCEE PROFESSIONNEL JEHAN DUPERIER</t>
  </si>
  <si>
    <t>16 628,76</t>
  </si>
  <si>
    <t>LYCEE VITICOLE-CFPPA CHATEAU DILLON (EPLEFPA)</t>
  </si>
  <si>
    <t>15 920,46</t>
  </si>
  <si>
    <t>OPERA NATIONAL DE BORDEAUX</t>
  </si>
  <si>
    <t>16 167 670,00</t>
  </si>
  <si>
    <t>RESEAU CANOPE SITE DE POITIERS - CNDP</t>
  </si>
  <si>
    <t>82,00</t>
  </si>
  <si>
    <t>CCAS DE BORDEAUX</t>
  </si>
  <si>
    <t>7 912 204,00</t>
  </si>
  <si>
    <t>CHAMBRE DES METIERS DE LA GIRONDE</t>
  </si>
  <si>
    <t>10 536,77</t>
  </si>
  <si>
    <t>INSTITUT D'ETUDES POLITIQUES SCIENCES PO</t>
  </si>
  <si>
    <t>Nous voici dans la première étape de transformation des données. 
Après avoir observé dans les données de départ que certains noms étaient coupés en deux, il s'agit d'identifier l'ampleur du problème. 
Pour cela nous avons d'abord dupliqué le premier onglet de la feulle de calcul afin de ne pas travailler sur les données originelles. 
1. Le nouvel onglet est renommé etape1.
2. On utilise la formule =isblank() dans la colonne D afin d'identifier les cellules vides de la colonne B, qui semblent résulter d'un nom coupé en deux.
3. on applique une mise en forme conditionnelle à la colonne D afin d'identifier visuellement les noms coupés en deux.
4. (optionnel) Dans mon cas, les montants ne sont pas reconnus en tant que chiffres car mon compte est configuré en anglais. Il s'attend donc à voir des chiffres mis en forme à l'anglaise (1,000.00) plutôt qu'à la française (1 000,00). Pour remédier à cela, je fais un simple recherche et remplacer dans la colonne B, en remplaçant les espaces par rien du tout (ce qui les supprime) et en remplaçant les virgules par des points. Cela me permet de vérifier dès cette étape que le montant total correspond bien à celui affiché dans le PDF source.</t>
  </si>
  <si>
    <t>L'étape précédent nous a fait découvrir l'ampleur du problème. Au vu du nombre de noms affectés, il est nécessaire de passer par des formules pour automatiser la résolution du problème. 
Notre problème est donc que certains noms sont sur deux lignes. grâce à nos étapes précédentes, on a pu faire apparaitre TRUE (ou VRAI si votre logiciel est en Français) sur la même que la seconde partie de noms coupés en deux. Par conséquent, on sait que si TRUE apparait sur une ligne, on va trouver, sur la même ligne, la deuxième partie d'un nom coupé en deux, et sur la ligne précédente la première partie de ce nom. Cette logique fonctionne pour tous les TRUE, ce qui veut dire qu'on peut l'utiliser pour recréer les noms : 
Si dans la ligne 10 de la colonne D je trouve TRUE, alors je veux fusionner le contenu de la ligne 9 de la colonne A et de la ligne 10 de la colonne A.
En formule, cela donne: 
IF(D10 = TRUE, CONCATENATE(A9,A10))
Plutôt que d'essayer de changer la colonne avec le texte existant et s'embrouiller les pinceaux, on va utiliser la colonne E, qui est vide, pour recréer les noms. 
En faisant commencer cette formule avec D2, A1 et A2, et en l'appliquand sur toute la colonne, on arrive en effet à fusionner les noms coupés en deux. Mais il deux points sont encore à régler : 
1. Il manque un espace entre les morceaux de noms fusionnés. Pas de souci, il faut juste s'assurer que la formule rajoute cet espace: IF(D10 = TRUE, CONCATENATE(A9," ",A10))
2. La colonne D est rempli de FALSE pour toutes les fois où la formule ne tombe pas sur un nom découpé. Dans ce cas, plutôt que un FALSE, on veut le nom original. On modifie alors la formule pour rajouter la condition finale au IF : IF(D10 = TRUE, CONCATENATE(A9," ",A10),A10)
Donc si D10 est TRUE, la formule va fusionner A9 et A10 en rajoutant un espace entre les deux. Mais si D10 est FALSE, alors la formule va simplement recopier le contenu de A10.</t>
  </si>
  <si>
    <t>on rajoute les en-têtes et on se prépare à supprimer les lignes qui ont un "TRUE". Elle correspondant à des morceaux de données inutiles, qu'on a déjà recollés par ailleurs.
Mais comme ma formule de colonne E s'appuie sur le TRUE, il faut que je copie toute la colonne E et que je fasse edition --&gt; collage spécial --&gt; coller uniquement les valeurs dans la colonne E.
Là c'est juste les résultats qui restent, la formule derrière a disparu. Je peux supprimer mes TRUE sans souci</t>
  </si>
  <si>
    <t>Montant du fonds de concours ou de la subvention (numéraire)</t>
  </si>
  <si>
    <t>Prestations en nature</t>
  </si>
  <si>
    <t>isblank</t>
  </si>
  <si>
    <t>nom des bénéficiaires</t>
  </si>
  <si>
    <t>"BAMBINO BERTHELOT" ASSOCIATION DE PARENTS D'ELEVES DE L'ECOLE MATERNELLE BERTHELOT A BORDEAUX</t>
  </si>
  <si>
    <t>ACADEMIE DES SCIENCES, BELLES LETTRES ET ARTS DE BORDEAUX</t>
  </si>
  <si>
    <t xml:space="preserve">ACADEMIE YOUNUS </t>
  </si>
  <si>
    <t>ACCOMPAGNEMENT ET RECHERCHE PSYCHO-SOCIO EDUCATIFS POUR LES JEUNES (ARPEJE)</t>
  </si>
  <si>
    <t>ACCOMPAGNEMENT PSYCHOLOGIQUE ET MEDIATION INTERCULTURELLE - AMI</t>
  </si>
  <si>
    <t>ACHATS GROUPES ASSOCIATIF POUR L'ECONOMIE SOLIDAIRE DE BORDEAUX - AGAPES</t>
  </si>
  <si>
    <t>ACIDD, ASSOCIATION COMMUNICATION ET INFORMATION POUR LE DEVELOPPEMENT DURABLE</t>
  </si>
  <si>
    <t>AGENCE D'URBANISME BORDEAUX METROPOLE AQUITAINE (A'URBA)</t>
  </si>
  <si>
    <t>AGIR POUR UN COMMERE EQUITABLE ET SOLIDAIRE EN AQUITAINE - ACESA</t>
  </si>
  <si>
    <t>ALLIANCE DEPARTEMENT 33, JUSQU'AU BOUT ACCOMPAGNER LA VIE...</t>
  </si>
  <si>
    <t>AMBASSADE REGIONALE DES CONFRERIES DE PRODUITS DE TERROIR ET DU GOUT</t>
  </si>
  <si>
    <t>AMELIORATION DES CONDITIONS DE VIE DES ENFANTS ADOLESCENTS HOSPITALISES</t>
  </si>
  <si>
    <t>AMICALE DES ANCIENS DES TROUPES DE MARINE DE BORDEAUX ET D'AQUITAINE</t>
  </si>
  <si>
    <t>AMICALE DES ANCIENS GUERILLEROS ESPAGNOLS EN FRANCE-FFI - SECTION DE LA GIRONDE</t>
  </si>
  <si>
    <t>AMICALE DES ETABLISSEMENTS SCOLAIRES LAIQUES DE BACALAN - ALB</t>
  </si>
  <si>
    <t>AMICALE DES PHILIPPEVILLOIS, CONSTANTINOIS ET LEURS AMIS - APCA</t>
  </si>
  <si>
    <t>AMICALE DU PATRONAGE LAIQUE ET DU CONSEIL DE PARENTS D'ELEVES DU GROUPE SCOLAIRE NUYENS</t>
  </si>
  <si>
    <t>AMICALE LAIQUE DAVID JOHNSTON LAGRANGE ALBERT BARRAUD NAUJAC</t>
  </si>
  <si>
    <t>AMICALE LAIQUE DU GROUPE SCOLAIRE LEONARD-LENOIR - MONTAUD - NUITS</t>
  </si>
  <si>
    <t>ANPAA - ASSOCIATION NATIONALE DE PREVENTION EN ALCOOLOGIE ET EN ADDICTOLOGIE</t>
  </si>
  <si>
    <t>AQUINUM - ASSOCIATION DES PROFESSIONNELS DU NUMERIQUE EN AQUITAINE</t>
  </si>
  <si>
    <t>ARTS ET LETTRES DE FRANCE ASSOCIATION CULTURELLE INTERNATIONALE</t>
  </si>
  <si>
    <t>ASAD DE BORDEAUX, ASSOCIATION SERVICES D’AIDE A DOMICILE DE BORDEAUX</t>
  </si>
  <si>
    <t>ASSOCIATION AUTONOME DES PARENTS D'ELEVES DE BORDEAUX : ECOLES JEAN COCTEAU</t>
  </si>
  <si>
    <t>ASSOCIATION BORDEAUX-COMPOSTELLE HOSPITALITE SAINT-JACQUES</t>
  </si>
  <si>
    <t>ASSOCIATION BORDELAISE DE TAEKWONDO INTERNATIONAL ATLANTICA</t>
  </si>
  <si>
    <t>ASSOCIATION CONTRE LA TUBERCULOSE ET LES MALADIES ENDEMIQUES - ACTUME</t>
  </si>
  <si>
    <t>ASSOCIATION COOPERATIVE DE L'INSTITUT UNIVERSITAIRE DE TECHNOLOGIE</t>
  </si>
  <si>
    <t>ASSOCIATION CULTURELLE DES ELEVES DU LYCEE MONTESQUIEU - ACELM</t>
  </si>
  <si>
    <t>ASSOCIATION DE DEFENSE DES INTERETS DU QUARTIER DE BACALAN - ADIQ</t>
  </si>
  <si>
    <t>ASSOCIATION DE DEFENSE DES MUSIQUES ALTERNATIVES EN AQUITAINE - ADMAA (ALLEZ LES FILLES)</t>
  </si>
  <si>
    <t>ASSOCIATION DE DEFENSE DES RESIDENTS DE LA GALERIE (ADREGA)</t>
  </si>
  <si>
    <t>ASSOCIATION DE FAMILLES DE TRAUMATISES CRANIENS AVENIR - AFTC AVENIR</t>
  </si>
  <si>
    <t>ASSOCIATION DE GESTION DES CENTRES PSYCHANALYTIQUES DE CONSULTATIONS ET DE TRAITEMENT (CPCT)</t>
  </si>
  <si>
    <t>ASSOCIATION DE GESTION ET D'ANIMATION DES CRECHES C.S.F. (AGEAC/CSF)</t>
  </si>
  <si>
    <t>ASSOCIATION DE MEDECINE PHYSIQUE ET READAPTATION D'AQUITAINE (AMPRA)</t>
  </si>
  <si>
    <t>ASSOCIATION DE PARENTS D'ELEVES DE L'ENSEIGNEMENT LIBRE SAINT-MICHEL/SAINT-GENES</t>
  </si>
  <si>
    <t>ASSOCIATION DE PATIENTS POUR PREVENTION TRAITEMENT LUTTE CONTRE MALADIE CHRONIQUE L'OBESITE (ALOA)</t>
  </si>
  <si>
    <t>ASSOCIATION DE PREFIGURATION DE LA COOPERATIVE DE PRESTATAIRES RESPONSABLES SUD-OUEST</t>
  </si>
  <si>
    <t>ASSOCIATION DE PREFIGURATION D’UNE PLATEFORME D’AQUITAINE POUR LE COMMERCE EQUITABLE (LA PLACE)</t>
  </si>
  <si>
    <t>ASSOCIATION DE SOLIDARITE AVEC TOUS LES IMMIGRES - BORDEAUX (ASTI BORDEAUX)</t>
  </si>
  <si>
    <t>ASSOCIATION DEFENSE DES RESIDENTS DES QUARTIERS BORDEAUX METROPOLE</t>
  </si>
  <si>
    <t>ASSOCIATION DEPART. AMIS ET PARENTS DE PERS. HANDICAPEES MENTALES - LES PAPILLONS BLANCS (ADAPEI)</t>
  </si>
  <si>
    <t>ASSOCIATION DEPARTEMENTALE DE L'OFFICE CENTRAL DE LA COOPERATION A L'ECOLE DE LA GIRONDE - AD-OCCE</t>
  </si>
  <si>
    <t>ASSOCIATION DEPARTEMENTALE DES CONJOINTS SURVIVANTS ET PARENTS D'ORPHELINS DE LA GIRONDE - FAVEC 33</t>
  </si>
  <si>
    <t>ASSOCIATION DEPARTEMENTALE DES PARENTS D'ELEVES DE L'ENSEIGNEMENT PUBLIC DE LA GIRONDE - PEEP AD 33</t>
  </si>
  <si>
    <t>ASSOCIATION DEPARTEMENTALE POUR INFORMATION AU LOGEMENT 33 - ADIL33</t>
  </si>
  <si>
    <t>ASSOCIATION DES AUDITEURS INSTITUT HAUTES ETUDES DEFENSE NATIONALE REGION AQUITAINE - AQUI IHEDN</t>
  </si>
  <si>
    <t>ASSOCIATION DES CENTRES D'ANIMATION DE QUARTIERS DE BORDEAUX - ACAQB</t>
  </si>
  <si>
    <t>ASSOCIATION DES CITES DU SECOURS CATHOLIQUE - DELEGATION BORDEAUX</t>
  </si>
  <si>
    <t>ASSOCIATION DES COMMERCANTS "BARRIERE DE PESSAC" BORDEAUX-TALENCE</t>
  </si>
  <si>
    <t>ASSOCIATION DES COMMERCANTS DU CENTRE COMMERCIAL DES BASTIDES</t>
  </si>
  <si>
    <t>ASSOCIATION DES COMMERCANTS DU CENTRE COMMERCIAL MERIADECK</t>
  </si>
  <si>
    <t>ASSOCIATION DES COMMERCANTS ET ARTISANS DU QUARTIER REPUBLIQUE</t>
  </si>
  <si>
    <t>ASSOCIATION DES COMMERCANTS ET ARTISANS DU QUARTIER SAINT MICHEL</t>
  </si>
  <si>
    <t>ASSOCIATION DES COMMERCANTS ET ARTISANS DU QUARTIER STEHELIN</t>
  </si>
  <si>
    <t>ASSOCIATION DES COMMERCANTS ET ARTISANS LES BERGES DU LAC</t>
  </si>
  <si>
    <t>ASSOCIATION DES COMMERCANTS ET PROFESSIONNELS DE L'ART DE LA RUE BOUFFARD</t>
  </si>
  <si>
    <t>ASSOCIATION DES COMMERCANTS ET RIVERAINS DU QUARTIER VICTOIRE</t>
  </si>
  <si>
    <t>ASSOCIATION DES COMMERÇANTS DU QUARTIER SAINT MICHEL AUTOUR DE LA FLECHE</t>
  </si>
  <si>
    <t>ASSOCIATION DES DAMES DU CALVAIRE DE BORDEAUX - MAISON DE SANTE MARIE GALENE</t>
  </si>
  <si>
    <t>ASSOCIATION DES ECLAIREUSES ET ECLAIREURS DE FRANCE - REGION AQUITAINE</t>
  </si>
  <si>
    <t>ASSOCIATION DES ELEVES INGENIEURS DE L'ECOLE NATIONALE SUPERIEURE DES ARTS ET METIERS - AE ENSAM</t>
  </si>
  <si>
    <t>ASSOCIATION DES ETUDIANTS EN PSYCHOLOGIE DU TRAVAIL ET ERGONOMIE DES SYSTEMES</t>
  </si>
  <si>
    <t>ASSOCIATION DES EXPLOITANTS DU CENTRE COMMERCIAL QUAI DES MARQUES</t>
  </si>
  <si>
    <t>ASSOCIATION DES FAMILLES D'ENFANTS DE LA POSTE ET D'ORANGE - AFEH</t>
  </si>
  <si>
    <t>ASSOCIATION DES GROUPES BIBLIQUES ET UNIVERSITAIRES DE FRANCE - AGBUF-GBU</t>
  </si>
  <si>
    <t>ASSOCIATION DES GUIDES INTERPRETES ET CONFERENCIERS D'AQUITAINE - AGICA</t>
  </si>
  <si>
    <t>ASSOCIATION DES MEMBRES LA LEGION D'HONNEUR DECORES AU PERIL DE LEUR VIE SECTION AQUITAINE OUEST</t>
  </si>
  <si>
    <t>ASSOCIATION DES PARENTS D'ELEVES DE L'ENSEIGNEMENT PUBLIC DU LYCEE CAMILLE JULLIAN</t>
  </si>
  <si>
    <t>ASSOCIATION DES PROFESSIONNELS AQUITAINS DE LA COMMUNICATION (APACOM)</t>
  </si>
  <si>
    <t>ASSOCIATION DES STAGIAIRES ET ETUDIANTS CAMEROUNAIS DE BORDEAUX (ASECB)</t>
  </si>
  <si>
    <t>ASSOCIATION DES ŒUVRES GIRONDINES DE PROTECTION DE L'ENFANCE</t>
  </si>
  <si>
    <t>ASSOCIATION DU COMITE DES OEUVRES SOCIALES DES MUNICIPAUX DE BORDEAUX - ACOSMB</t>
  </si>
  <si>
    <t>ASSOCIATION DU PERSONNEL DE L'OPERA NATIONAL DE BORDEAUX</t>
  </si>
  <si>
    <t>ASSOCIATION EMMAUS AQUITAINE BORDEAUX FONDATEUR ABBE PIERRE</t>
  </si>
  <si>
    <t>ASSOCIATION FAMILIALE CATHOLIQUE BORDEAUX SAINTE-EULALIE VICTOIRE</t>
  </si>
  <si>
    <t>ASSOCIATION FORMATION ET EDUCATION PERMANENTE DE TIVOLI - AFEPT</t>
  </si>
  <si>
    <t>ASSOCIATION FRANCAISE DE PERSONNES SOUFFRANT DE TROUBLES OBSESSIONNELS COMPULSIFS AFTOC</t>
  </si>
  <si>
    <t>ASSOCIATION FRANCO-BRESILIENNE POUR LA RECHERCHE DE L'EQUILIBRE - AFBRE</t>
  </si>
  <si>
    <t>ASSOCIATION GENERALE INTERVENANTS RETRAITES POUR ACTIONS BENEVOLES DE COOPERATION ET DEVELOPPEMENT</t>
  </si>
  <si>
    <t>ASSOCIATION GIRONDINE D'EDUCATION SPECIALISEE ET DE PREVENTION SOCIALE - AGEP</t>
  </si>
  <si>
    <t>ASSOCIATION GIRONDINE DES ACTIVITES PROTEGEES - SPORT - LOISIRS (AGAP - SPORT - LOISIRS)</t>
  </si>
  <si>
    <t>ASSOCIATION GOLF D'ENTREPRISES INTER-ENTREPRISES GOLF DE BORDEAUX - IEGB</t>
  </si>
  <si>
    <t>ASSOCIATION HABILITEE DES JEUNES SAPEURS POMPIERS DE LA BENAUGE</t>
  </si>
  <si>
    <t>ASSOCIATION INTERNATIONALE POUR LA CULTURE, LE DEVELOPPEMENT ET LA PAIX (AICDP)</t>
  </si>
  <si>
    <t>ASSOCIATION INTERPROFESSIONNELLE BIO REGIONALE (AQUITAINE/LIMOUSIN/POITOU-CHARENTES OU EQUIVALENT)</t>
  </si>
  <si>
    <t>ASSOCIATION NATIONALE DES ANCIENS ET AMIS DE L'INDOCHINE ET DU SOUVENIR INDOCHINOIS</t>
  </si>
  <si>
    <t>ASSOCIATION NATIONALE DES JEUNES ENTREPRENEURS D AQUITAINE</t>
  </si>
  <si>
    <t>ASSOCIATION NATIONALE DES RETRAITES DE LA POSTE ET DE France TELECOM</t>
  </si>
  <si>
    <t>ASSOCIATION NATIONALE MEMBRES DE L'ORDRE NATIONAL DU MERITE - SECTION DEPARTEMENTALE DE LA GIRONDE</t>
  </si>
  <si>
    <t>ASSOCIATION NATIONALE POUR LES ENFANTS INTELLECTUELLEMENT PRECOCES DE L'AQUITAINE - ANPEIP</t>
  </si>
  <si>
    <t>ASSOCIATION PAROLE BEGAIEMENT - APB - DELEGATION DEPARTEMENTALE</t>
  </si>
  <si>
    <t>ASSOCIATION POUR L'ANIMATION ET LES LOISIRS DES PERSONNES AGEES - APALPA</t>
  </si>
  <si>
    <t>ASSOCIATION POUR L'ENTRAIDE CONTRE LA RECHUTE DE DEPRESSION - AERD</t>
  </si>
  <si>
    <t>ASSOCIATION POUR L'ENVIRONNEMENT ET LA SECURITE EN AQUITAINE - APESA</t>
  </si>
  <si>
    <t>ASSOCIATION POUR L'ETUDE ET LA PREVENTION DU SUICIDE EN AQUITAINE</t>
  </si>
  <si>
    <t>ASSOCIATION POUR L'UNIFICATION DU DROIT DES AFFAIRES EN EUROPE (AUDE)</t>
  </si>
  <si>
    <t>ASSOCIATION POUR LA DEFENSE DE LA FAMILLE ET DE L'INDIVIDU (ADFI)</t>
  </si>
  <si>
    <t>ASSOCIATION POUR LA JEUNESSE, LES INITIATIVES ET LE RESEAU DE L'ENGAGEMENT - AJIRE</t>
  </si>
  <si>
    <t>ASSOCIATION POUR LA PROMOTION DES ARTISTES ET CULTURES DU MONDE APAC</t>
  </si>
  <si>
    <t>ASSOCIATION POUR LA RECHERCHE CLINIQUE DE BORDEAUX NORD - ARCBN</t>
  </si>
  <si>
    <t>ASSOCIATION POUR LA SURVEILLANCE DE LA QUALITE DE L'AIR EN AQUITAINE - AIRAQ</t>
  </si>
  <si>
    <t>ASSOCIATION POUR LA VALORISATION EN RELATION AVEC LES PROFESSIONNELS REGION AQUITAINE</t>
  </si>
  <si>
    <t>ASSOCIATION POUR LE DEVELOPPEMENT DES ACTIVITES PHYSIQUES ADAPTEES - ADAPA</t>
  </si>
  <si>
    <t>ASSOCIATION POUR LE DEVELOPPEMENT L'INSERTION ET L'ACCOMPAGNEMENT PERSONNES HANDICAPEES - ADIAPH</t>
  </si>
  <si>
    <t>ASSOCIATION POUR LE DON DE SANG BENEVOLE DE BORDEAUX ET ENVIRONS</t>
  </si>
  <si>
    <t>ASSOCIATION POUR LES FOUILLES ARCHEOLOGIQUES NATIONALES - AFAN</t>
  </si>
  <si>
    <t>ASSOCIATION PSYCHANALYTIQUE DES THERAPEUTES FAMILIAUX D'AQUITAINE - APSYFA</t>
  </si>
  <si>
    <t>ASSOCIATION REGIONALE D'AQUITAINE DES COMBATTANTS VOLONTAIRES DE LA RESISTANCE</t>
  </si>
  <si>
    <t>ASSOCIATION REGIONALE DES DIPLOMES D'UNIVERSITE D'AQUITAINE - ARDUA</t>
  </si>
  <si>
    <t>ASSOCIATION REPUBLICAINE DES ANCIENS COMBATTANTS ET VICTIMES DE LA GUERRE - ARAC</t>
  </si>
  <si>
    <t>ASSOCIATION RHIN ET DANUBE ANCIENS DE LA PREMIERE ARMEE FRANCAISE DU DEPARTEMENT DE LA GIRONDE</t>
  </si>
  <si>
    <t>ASSOCIATION SOCIO CULTURELLE DE L'ECOLE DE REEDUCATION PROFESSIONNELLE - ASCERP</t>
  </si>
  <si>
    <t>ASSOCIATION SPORTIVE DES ANCIENS ET AMIS DE L'ECOLE NORMALE D'INSTITUTEURS (ASAAENI)</t>
  </si>
  <si>
    <t>ASSOCIATION UNION NATIONALE DES COMBATTANTS DE BORDEAUX-CENTRE</t>
  </si>
  <si>
    <t>ASSOCIO ASSOCIATION DES ETUDIANTS EN SOCIOLOGIE DE L'UNIVERSITE VICTOR SEGALEN</t>
  </si>
  <si>
    <t xml:space="preserve">ASSOPOURQUOIPAS33 </t>
  </si>
  <si>
    <t>ATELIER 14 CENTRE DE PRATIQUES ARTISTIQUES ET DE RECHERCHES CHOREGRAPHIQUES</t>
  </si>
  <si>
    <t>AUDITION ET ECOUTE 33 - ASSOCIATION DES PERSONNES ATTEINTES DE PATHOLOGIE AUDITIVE DE LA GIRONDE</t>
  </si>
  <si>
    <t>AVANT GARDE ET JEANNE D'ARC DE BORDEAUX CAUDERAN - AGJA BORDEAUX CAUDERAN</t>
  </si>
  <si>
    <t xml:space="preserve">BORDEAUX ATHLETIC CLUB </t>
  </si>
  <si>
    <t xml:space="preserve">BORDEAUX DANCE'IN CLUB </t>
  </si>
  <si>
    <t xml:space="preserve">BORDEAUX ETUDIANTS CLUB - BEC </t>
  </si>
  <si>
    <t>BORDEAUX NIHONGO HOSHU JUGYOKO (ECOLE COMPLEMENTAIRE JAPONAISE DE BORDEAUX)</t>
  </si>
  <si>
    <t xml:space="preserve">BREV’ART </t>
  </si>
  <si>
    <t>C'EST PAR ISIC (INSTIUT DES SCIENCES DE L'INFORMATION ET DE LA COMMUNICATION)</t>
  </si>
  <si>
    <t>CANCER SUPPORT FRANCE BORDEAUX &amp; REGION (CSF BORDEAUX &amp; REGION)</t>
  </si>
  <si>
    <t>CENTRE D'ACTION ET DE PREVENTION CONTRE LA RADICALISATION LIEE A L'ISLAMISME (CAPRI)</t>
  </si>
  <si>
    <t>CENTRE D'INFORMATION SUR LES DROITS DES FEMMES ET DES FAMILLES DE LA GIRONDE</t>
  </si>
  <si>
    <t>CENTRE DE LIAISON DES EQUIPES DE RECHERCHE, CLER AMOUR ET FAMILLES</t>
  </si>
  <si>
    <t>CENTRE DE PREVENTION ET DE LOISIRS DES JEUNES DE BORDEAUX - CPLJ Bordeaux</t>
  </si>
  <si>
    <t>CENTRE DE RECHERCHE ET D'INFORMATION POUR LE DEVELOPPEMENT - CRID</t>
  </si>
  <si>
    <t>CENTRE DE RESSOURCES D'ECOLOGIE PEDAGOGIQUE D'AQUITAINE - CREPAQ</t>
  </si>
  <si>
    <t>CENTRE REGIONAL D'AQUITAINE D'ETUDES ET D'ACTIONS SUR LES HANDICAPS ET LES INADAPTATIONS - CREAHI</t>
  </si>
  <si>
    <t xml:space="preserve">CENTRE SOCIAL ET FAMILIAL BORDEAUX NORD </t>
  </si>
  <si>
    <t>CHAMBRE PROFESSIONNELLE DES AGENTS COMMERCIAUX DU SUD-OUEST</t>
  </si>
  <si>
    <t xml:space="preserve">CLUB ATHLETIQUE MUNICIPAL DE BORDEAUX - CAM </t>
  </si>
  <si>
    <t>CLUB PYRENEES AQUITAINE, ASSOCIATION SPORTIVE, EDUCATIVE ET CULTURELLE</t>
  </si>
  <si>
    <t>CLUB REGIONAL DES ENTREPRISES POUR L'INSERTION DE GIRONDE</t>
  </si>
  <si>
    <t>COJEP BORDEAUX - CONSEIL POUR LA JUSTICE, L'EGALITE ET LA PAIX</t>
  </si>
  <si>
    <t>COLLECTIF DES ASSOCIATIONS D'OUTRE-MER EN AQUITAINE DIT C.A.O.M.A.</t>
  </si>
  <si>
    <t>COLLECTIF DES ORGANISATIONS DE SOLIDARITE INTERNATIONALE ISSUES DES MIGRATIONS EN AQUITAINE (COSIM)</t>
  </si>
  <si>
    <t>COLLECTIF GIRONDIN DES ASSOCIATIONS AUTOUR DE L'AUTISME (CG3A)</t>
  </si>
  <si>
    <t>COLLECTIF PARENTS INDEPENDANTS COLLEGE EMILE COMBES BORDEAUX</t>
  </si>
  <si>
    <t>COMITE D'ANIMATION, DE BIENFAISANCE ET DE DEFENSE DES INTERETS DU QUARTIER NANSOUTY</t>
  </si>
  <si>
    <t>COMITE D'ETUDE ET D'INFORMATION SUR DROGUE (PREV. ET TRAITEMENT TOXICOMANIES ET AUTRES ADDICTIONS)</t>
  </si>
  <si>
    <t>COMITE DE BIENFAISANCE ET DE DEFENSE DES INTERETS DU QUARTIER CAUDERAN-SUD</t>
  </si>
  <si>
    <t>COMITE DE DEFENSE DES INTERETS DES HABITANTS DU LOTISSEMENT JASMIN ET ANNEXES</t>
  </si>
  <si>
    <t>COMITE DE L'ACCOMPAGNEMENT DE L'URBANISME, DEFENSE ENVIRONNEMENT ET RESPECT DE LA SECURITE-CAUDERES</t>
  </si>
  <si>
    <t>COMITE DE LIAISON DES ACTEURS DE LA PROMOTION DANS LE SUD-OUEST - CLAP SUD-OUEST</t>
  </si>
  <si>
    <t>COMITE DE QUARTIER DANGUILHEM-EMILE ZOLA-BARRIERE DE PESSAC</t>
  </si>
  <si>
    <t>COMITE DEPARTEMENTAL DE L'ASSOCIATION DE DEFENSE DES MALADES INVALIDES ET HANDICAPES</t>
  </si>
  <si>
    <t>COMITE DEPARTEMENTAL DE L'UNION FRANÇAISE DES OEUVRES LAIQUES D'EDUCATION PHYSIQUE - UFOLEP</t>
  </si>
  <si>
    <t>COMITE DEPARTEMENTAL DE L'UNION SPORTIVE DE L'ENSEIGNEMENT DU PREMIER DEGRE DE LA GIRONDE - USEP 33</t>
  </si>
  <si>
    <t>COMITE DEPARTEMENTAL DU SPORT ADAPTE DE LA GIRONDE (CDSA 33)</t>
  </si>
  <si>
    <t>COMITE DES FETES DE BIENFAISANCE ET DES INTERETS DE ST-GENES TALENCE BORDEAUX</t>
  </si>
  <si>
    <t>COMITE FEMININ GIRONDE POUR LA PREVENTION ET LE DEPISTAGE DES CANCERS</t>
  </si>
  <si>
    <t>COMITE GIRONDIN D'ORGANISATION DU CONCOURS UN DES MEILLEURS OUVRIERS DE FRANCE</t>
  </si>
  <si>
    <t>COMITE REGIONAL DES ASSOCIATIONS DE JEUNESSE ET D'EDUCATION POPULAIRE AQUITAINE (CRAJEP AQUITAINE)</t>
  </si>
  <si>
    <t>COMMANDERIE DU BONTEMPS MEDOC ET GRAVES - SAUTERNES ET BARSAC</t>
  </si>
  <si>
    <t>COMMERCANTS, DES RIVERAINS ET SYMPATISANTS DU QUARTIER GAMBETTA</t>
  </si>
  <si>
    <t>CONSEIL DEPARTEMENTAL DES ASSOCIATIONS FAMILIALES LAIQUES DE LA GIRONDE - CDAFAL 33</t>
  </si>
  <si>
    <t>CONSEIL DEPARTEMENTAL DES PARENTS D'ELEVES DES ECOLES PUBLIQUES DE LA GIRONDE</t>
  </si>
  <si>
    <t>CONSERVATOIRE DE LA LANGUE RUSSE ET DE SES FETES TRADITIONNELLES</t>
  </si>
  <si>
    <t>COORDINATION POUR PROMOUVOIR LES COMPETENCES ET LE VOLONTARIAT AQUITAINE - CPCV AQUITAINE</t>
  </si>
  <si>
    <t>CROUS DE BORDEAUX (CENTRE REGIONAL DES OEUVRES UNIVERSITAIRES ET SCOLAIRES)</t>
  </si>
  <si>
    <t>ECOLE DE CIRQUE DE BORDEAUX, CENTRE CULTUREL DES ARTS DU CIRQUE</t>
  </si>
  <si>
    <t>ECOLE DES GRANDS-PARENTS EUROPEENS BORDEAUX-GIRONDE - EGPE BORDEAUX-GIRONDE</t>
  </si>
  <si>
    <t xml:space="preserve">EMULATION NAUTIQUE DE BORDEAUX </t>
  </si>
  <si>
    <t>ENFANCE ET FAMILLES D'ADOPTION DE LA GIRONDE - ASSOCIATION DES FOYERS ADOPTIFS DE GIRONDE (EFA 33)</t>
  </si>
  <si>
    <t>ENTENTE DES GENERATIONS POUR L’EMPLOI ET L’ENTREPRISE - EGEE</t>
  </si>
  <si>
    <t>ENTREPRISE INTERMEDIAIRE DE PRODUCTION ET DE FORMATION - EIPF</t>
  </si>
  <si>
    <t xml:space="preserve">ENVOL D'AQUITAINE </t>
  </si>
  <si>
    <t>ESKUALDUNEN BILTZARRA - BORDELEKO ESKUAL ETXEA ou MAISON BASQUE DE BORDEAUX</t>
  </si>
  <si>
    <t>ESPACES MARX AQUITAINE BORDEAUX GIRONDE EXPLORER CONFRONTER INNOVER</t>
  </si>
  <si>
    <t>EUROPEAN MENTORING &amp; COACHING COUNCIL, L'ASSOCIATION EUROPEENNE DE COACHING</t>
  </si>
  <si>
    <t>FEDERATION DE LA GIRONDE POUR LA PECHE ET LA PROTECTION MILIEU AQUATIQUE (FDAAPPMA DE LA GIRONDE)</t>
  </si>
  <si>
    <t>FEDERATION DEPARTEMENTALE DU SECOURS POPULAIRE FRANCAIS</t>
  </si>
  <si>
    <t>FEDERATION DES MANDATAIRES JUDICIAIRES INDEPENDANTS A PROTECTION MAJEURS AQUITAINE (FMJI AQUITAINE)</t>
  </si>
  <si>
    <t>FEDERATION DES RADIOS ASSOCIATIVES DE LA GIRONDE - FEDERA 33</t>
  </si>
  <si>
    <t>FEDERATION DES SOCIETES CARNAVALESQUES DE L'AGGLOMERATION BORDELAISE</t>
  </si>
  <si>
    <t>FEDERATION FRANCAISE DES PSYCHOLOGUES ET DE PSYCHOLOGIE - FFPP</t>
  </si>
  <si>
    <t>FEDERATION NATIONALE D'AIDE AUX INSUFFISANTS RENAUX D'AQUITAINE - FNAIR AQUITANE</t>
  </si>
  <si>
    <t>FEDERATION NATIONALE DES ANCIENS DES FORCES FRANCAISES EN ALLEMAGNE ET EN AUTRICHE</t>
  </si>
  <si>
    <t>FEDERATION NATIONALE DES SERVICES SOCIAUX SPECIALISES DE PROTECTION DE L'ENFANCE - FN3S</t>
  </si>
  <si>
    <t>FEDERATION POUR LA RECHERCHE SUR LE CERVEAU - CAMPAGNE DU NEURODON 2004</t>
  </si>
  <si>
    <t>FEDERATION REGIONALE DES DECORES DU TRAVAIL NOUVELLE-AQUITAINE (FRDT)</t>
  </si>
  <si>
    <t>FEDERATION REGIONALE DU SUD-OUEST DES CAMARADES DE COMBAT</t>
  </si>
  <si>
    <t>GENEPI - GROUPEMENT ETUDIANT NATIONAL D'ENSEIGNEMENT AUX PERSONNES INCARCEREES</t>
  </si>
  <si>
    <t xml:space="preserve">GIRONDINS DE BORDEAUX BASTIDE HANDBALL CLUB </t>
  </si>
  <si>
    <t>GROUPE D'ETUDE POUR L'INSERTION SOCIALE DES PERSONNES PORTEUSES D'UNE TRISOMIE 21 - GEIST 21</t>
  </si>
  <si>
    <t>GROUPE LOCAL ACTION DES CHRETIENS POUR L'ABOLITION DE LA TORTURE DE BORDEAUX</t>
  </si>
  <si>
    <t>GROUPEMENT D'INTERET PUBLIC DE LA REUSSITE EDUCATIVE DE BORDEAUX</t>
  </si>
  <si>
    <t>GROUPEMENT DE BORDEAUX DES ANCIENS PORTE-DRAPEAUX VOLONTAIRES REGION MILITAIRE DEFENSE AQUITAINE</t>
  </si>
  <si>
    <t>GROUPEMENT DES RETRAITES EDUCATEURS SANS FRONTIERES - GREF</t>
  </si>
  <si>
    <t>GROUPEMENT POUR L'INSERTION DES HANDICAPES PHYSIQUES D'AQUITAINE - GIHP AQUITAINE</t>
  </si>
  <si>
    <t>HANDISPORT 33 AMICALE SPORTIVE DES HANDICAPES PHYSIQUES D'AQUITAINE - ASHPA</t>
  </si>
  <si>
    <t>INSTANCE REGIONALE D'EDUCATION ET DE PROMOTION SANTE NOUVELLE-AQUITAINE (IREPS NOUVELLE-AQUITAINE)</t>
  </si>
  <si>
    <t>INSTITUT DE FORMATION ET D'APPUI AUX INITIATIVES DE DEVELOPPEMENT - IFAID AQUITAINE</t>
  </si>
  <si>
    <t>L'AUTRE - ASSOCIATION DES ETUDIANTS EN ANTHROPOLOGIE SOCIALE ET CULTURELLE</t>
  </si>
  <si>
    <t xml:space="preserve">LA FLECHE DE BORDEAUX </t>
  </si>
  <si>
    <t xml:space="preserve">LA MANUFACTURE ATLANTIQUE </t>
  </si>
  <si>
    <t xml:space="preserve">LE FESTIN </t>
  </si>
  <si>
    <t>LE PETIT INSTITUT DE CHINE : ECOLE D'ARTS MARTIAUX ET CULTURE CHINOISE</t>
  </si>
  <si>
    <t xml:space="preserve">LE SPORTING-CLUB DE LA BASTIDIENNE </t>
  </si>
  <si>
    <t>LES BLESSES MULTIPLES ET IMPOTENTS DE GUERRE SECTION DE LA GIRONDE</t>
  </si>
  <si>
    <t xml:space="preserve">LES GIRONDINS DE BORDEAUX </t>
  </si>
  <si>
    <t>LES HABITANTS ET RIVERAINS DU QUARTIER SAINT-GENES-BOURSE DU TRAVAIL - COSTEDOAT</t>
  </si>
  <si>
    <t xml:space="preserve">LES JEUNES DE SAINT AUGUSTIN - JSA </t>
  </si>
  <si>
    <t>LIGUE FRANÇAISE POUR LA DEFENSE DROITS DE L'HOMME ET DU CITOYEN (LDH) ET LIGUE DROITS DE L'HOMME</t>
  </si>
  <si>
    <t>LIGUE INTERNATIONALE CONTRE LE RACISME ET L'ANTISEMITISME - SECTION BORDEAUX &amp; GIRONDE - LICRA</t>
  </si>
  <si>
    <t>L’ASSOCIATION POUR LE MAINTIEN DE L’AGRICULTURE PAYSANNE DITE "L’AMAP CAUDERANAISE"</t>
  </si>
  <si>
    <t>MAISON DE L'EMPLOI, DE L'INSERTION ECONOMIQUE ET DE L'ENTREPRISE DE BORDEAUX</t>
  </si>
  <si>
    <t>MAISON DES JEUNES ET DE LA CULTURE CENTRE DE LOISIRS DES DEUX VILLES - MJC CL2V</t>
  </si>
  <si>
    <t xml:space="preserve">MIGRATIONS CULTURELLES AQUITAINE - AFRIQUES (MC2A) </t>
  </si>
  <si>
    <t>MOUVEMENT ETUDIANT REPUBLICAIN POUR LE DEBAT ET L'ENGAGEMENT</t>
  </si>
  <si>
    <t>MOUVEMENT FRANCAIS POUR LE PLANNING FAMILIAL - ASSOCIATION DEPARTEMENTALE DE LA GIRONDE</t>
  </si>
  <si>
    <t>OFFICE AQUITAIN DE RECHERCHES, ETUDES, INFORMATION ET LIAISON SUR PROBLEMES PERSONNES AGEES-OAREIL</t>
  </si>
  <si>
    <t xml:space="preserve">ORGAN PHANTOM </t>
  </si>
  <si>
    <t xml:space="preserve">PARALLELES ATTITUDES DIFFUSION - ROCKSCHOOL </t>
  </si>
  <si>
    <t>PARTI OUVRIER INDEPENDANT DEMOCRATIQUE DE LA GIRONDE - POID33</t>
  </si>
  <si>
    <t>POLAR EN CABANES - LES AMIS DE CHESTER HIMES EN AQUITAINE, A ARCACHON ET SUR LE BASSIN (ACHAAB)</t>
  </si>
  <si>
    <t>POLE D'ENSEIGNEMENT SUPERIEUR DE LA MUSIQUE ET DE LA DANSE DE BORDEAUX AQUITAINE - PESMD</t>
  </si>
  <si>
    <t>POUR UN COMMERCE ETHIQUE DE L'ART, RENCONTRES, TOURISME - PUCEART</t>
  </si>
  <si>
    <t>RASSEMBLEMENT DU PEUPLE SOUVERAIN POUR UNE FRANCE INDEPENDANTE ET UNE REPUBLIQUE SOCIALE</t>
  </si>
  <si>
    <t>RUELLE (RELAIS URBAIN D'ECHANGES ET DE LUTTE CONTRE L'EXPLOITATION)</t>
  </si>
  <si>
    <t>SCELMAA SOUTIEN, CULTURE ET LOISIRS DES MAGHREBINS, ALGERIENS EN AQUITAINE</t>
  </si>
  <si>
    <t>SECOURS CATHOLIQUE-CARITAS FRANCE (DELEGATION DE LA GIRONDE)</t>
  </si>
  <si>
    <t xml:space="preserve">SEMER LE DOUTE </t>
  </si>
  <si>
    <t>SERVICE DEPARTEMENTAL D'INCENDIE ET DE SECOURS DE LA GIRONDE</t>
  </si>
  <si>
    <t>SERVICE UNIVERSITAIRE DES ACTIVITES PHYSIQUES ET SPORTIVES (SUAPS)</t>
  </si>
  <si>
    <t>SOCIETE D'ENTRAIDE DE LA MEDAILLE MILITAIRE 12EME SECTION DE BORDEAUX</t>
  </si>
  <si>
    <t>SOCIETE D'ENTRAIDE DES MEMBRES DE LA LEGION D'HONNEUR COMITE DE BORDEAUX SECTEUR CAUDERAN</t>
  </si>
  <si>
    <t>SOCIETE D'HORTICULTURE, D'ARBORICULTURE ET DE VITICULTURE DE CAUDERAN</t>
  </si>
  <si>
    <t>SOCIETE DE SAINT-VINCENT-DE-PAUL - CONSEIL DEPARTEMENTAL DE LA GIRONDE</t>
  </si>
  <si>
    <t>SOCIETE DES COMPAGNONS DU TOUR DE France DU DEVOIR EGALITAIRE - CHAMBRE COMPAGNONALE DE BORDEAUX</t>
  </si>
  <si>
    <t>SOCIETE DES MEILLEURS OUVRIERS DE FRANCE GROUPE DE LA GIRONDE</t>
  </si>
  <si>
    <t>SOUTIEN, CULTURE ET LOISIRS DES MAGHREBINS ET ALGERIENS EN AQUITAINE - SCELMAA</t>
  </si>
  <si>
    <t xml:space="preserve">SPORTING CHANTECLER BORDEAUX NORD LE LAC </t>
  </si>
  <si>
    <t xml:space="preserve">STADE BORDELAIS ASPTT </t>
  </si>
  <si>
    <t>SUKHALI - AIDE AU DEVELOPPEMENT LOCAL PAR LES FEMMES AU SENEGAL</t>
  </si>
  <si>
    <t>TEMPS DE PAROLE ASSOCIATION SANTE ET SECURITE PROFESSIONNELLES</t>
  </si>
  <si>
    <t>UNION BORDEAUX NORD DES ASSOCIATIONS DE PREVENTION SPECIALISEE</t>
  </si>
  <si>
    <t>UNION DEPARTEMENTALE CONSOMMATION LOGEMENT ET CADRE DE VIE</t>
  </si>
  <si>
    <t>UNION DEPARTEMENTALE DE LA CONFEDERATION SYNDICALE DES FAMILLES EN GIRONDE</t>
  </si>
  <si>
    <t>UNION DEPARTEMENTALE DES ASSOCIATIONS DE COMBATTANTS ET VICTIMES DE GUERRE DE LA GIRONDE (UDAC)</t>
  </si>
  <si>
    <t>UNION DEPARTEMENTALE DES SOUS-OFFICIERS EN RETRAITE DE LA GIRONDE (UDSOR)</t>
  </si>
  <si>
    <t>UNION DES ASSOCIATIONS POUR UNE MAISON DES SOURDS UAMS 33</t>
  </si>
  <si>
    <t>UNION GENERALE SPORTIVE DE L'ENSEIGNEMENT LIBRE DE LA GIRONDE</t>
  </si>
  <si>
    <t>UNION GIRONDINE DES RETRAITES MILITAIRES, ANCIENS MILITAIRES ET DE LEURS CONJOINTS (URM 33)</t>
  </si>
  <si>
    <t>UNION NATIONALE DES AMIS ET FAMILLES DE MALADES PSYCHIQUES - UNAFAM</t>
  </si>
  <si>
    <t>UNION NATIONALE DES COMBATTANTS DE BORDEAUX RIVE-DROITE - UNC</t>
  </si>
  <si>
    <t>UNION NATIONALE DES COMBATTANTS DE BORDEAUX-CAUDERAN-LE BOUSCAT (UNC)</t>
  </si>
  <si>
    <t>UNION REGIONALE D'AQUITAINE DE L'UNION EUROPEENNE FEMININE SECTION FRANÇAISE</t>
  </si>
  <si>
    <t>UNION REGIONALE DES INGENIEURS ET DES SCIENTIFIQUES D'AQUITAINE - URISA</t>
  </si>
  <si>
    <t>UNION REGIONALE PACT HABITAT ET DEVELOPPEMENT DE LA REGION AQUITAINE</t>
  </si>
  <si>
    <t xml:space="preserve">UNION SAINT JEAN - MAISON DE QUARTIER </t>
  </si>
  <si>
    <t xml:space="preserve">UNION SAINT-BRUNO </t>
  </si>
  <si>
    <t>UNION SPORTIVE JEUNES DE SAINT-AUGUSTIN - CLUB PYRENEES-AQUITAINE (US JSA-CPA)</t>
  </si>
  <si>
    <t xml:space="preserve">UNION SPORTIVE LES CHARTRONS </t>
  </si>
  <si>
    <t>UNIVERSITE BORDEAUX MONTAIGNE BORDEAUX III - BIBLIOTHEQUE FRANCO-ALLEMANDE (BIFA)</t>
  </si>
  <si>
    <t xml:space="preserve">VILLA PRIMROSE </t>
  </si>
  <si>
    <t>VISITE DES MALADES DANS LES ETABLISSEMENTS HOSPITALIERS DU DEPARTEMENT DE LA GIRONDE - VMEH</t>
  </si>
  <si>
    <t>YAWATA ASSOCIATION DES ECHANGES DE PROCEDES ARTISTIQUES</t>
  </si>
  <si>
    <t>Ô PLAFOND Entreprises</t>
  </si>
  <si>
    <t>Entreprises Personnes physiques</t>
  </si>
  <si>
    <t>Personnes physiques Autres</t>
  </si>
  <si>
    <t>Autres Personnes de droit public</t>
  </si>
  <si>
    <t>Personnes de droit public Etat</t>
  </si>
  <si>
    <t>Etat Régions</t>
  </si>
  <si>
    <t>Régions Départements</t>
  </si>
  <si>
    <t>Départements Communes</t>
  </si>
  <si>
    <t>Communes Etablissements publics (EPCI, EPA, EPIC,...)</t>
  </si>
  <si>
    <t>RESEAU CANOPE SITE DE POITIERS - CNDP Autres</t>
  </si>
  <si>
    <t>Je crée un filtre sur la colonne "isblank" et je filtre seulement les TRUE, afin de les supprimer: magique, il ne reste plus que les FALSE!</t>
  </si>
  <si>
    <t>Je peux désormais reconstituter mon jeu de données original, en suppriman la colonne A et en bougeant la colonne E pour qu'elle devienne la nouvelle colonne A. Je supprime aussi la colonne isblank, qui nous aura bien aidé</t>
  </si>
  <si>
    <t>Maintenant que j'ai une jeu de données propre, je peux passer à l'étape de vérification statistique: je vais regarder des indicateurs statistiques classiques qui me donneront une idée de si il y a des choses étranges qui se passent dans mon jeu de données. Ici par exemple, le fait que la médiane et la moyenne soient à 0 signifie que la majorité des associations ne reçoivent aucun appui financier. Est-ce que cela fait sens ? C'est là où votre bon sens et votre connaissance du contexte doit vous guider : impossible d'analyser des données sans comprendre leur contexte !
Ici vous pouvez aussi comparer le total obtenu avec le total affiché dans le PDF. Si le chiffre n'est pas le même, préparez-vous à vérifier 2, 3 fois toutes vos étapes d'extraction et de nettoyage de données. Si le décalage reste toujours, l'erreur est peut-être dans le fichier d'origine !</t>
  </si>
  <si>
    <t>COUNT</t>
  </si>
  <si>
    <t>MAXIMUM</t>
  </si>
  <si>
    <t>MINIMUM</t>
  </si>
  <si>
    <t>MEDIANE</t>
  </si>
  <si>
    <t>MOYENNE</t>
  </si>
  <si>
    <t>TOTAL</t>
  </si>
  <si>
    <t>avec/sans</t>
  </si>
  <si>
    <t>COUNTA of nom des bénéficiaires</t>
  </si>
  <si>
    <t>AVEC</t>
  </si>
  <si>
    <t>SANS</t>
  </si>
  <si>
    <t>Grand Total</t>
  </si>
  <si>
    <t>%AVEC</t>
  </si>
  <si>
    <t>%SANS</t>
  </si>
  <si>
    <t>100 PROPOS SANS REPONSE</t>
  </si>
  <si>
    <t>2A - ATELIERS ARTISTIQUES</t>
  </si>
  <si>
    <t>2MOIZAILES</t>
  </si>
  <si>
    <t>9EME TEMPS</t>
  </si>
  <si>
    <t>A FOND TU PEUX !</t>
  </si>
  <si>
    <t>A PART CA TOUT VA BIEN</t>
  </si>
  <si>
    <t>A.A.O (AM ANGEGEBENEM ORT)</t>
  </si>
  <si>
    <t>ABALONE CHASSE BORDEAUX - ACB</t>
  </si>
  <si>
    <t>Equipements sportifs, locaux</t>
  </si>
  <si>
    <t>ABICE</t>
  </si>
  <si>
    <t>Matériel pour manifestations, équipements sportifs,</t>
  </si>
  <si>
    <t>ACARBO</t>
  </si>
  <si>
    <t>ACCOMPAGNEMENT RECHERCHE PSYCHO EDUCATIFS POUR LES JEUNES</t>
  </si>
  <si>
    <t>ACCORDERIE BORDEAUX</t>
  </si>
  <si>
    <t>ACEPP 33/47 - ASSOCIATION DES COLLECTIFS ENFANTS PARENTS PROFESSIONNELS 33/47</t>
  </si>
  <si>
    <t>ACTION INTERNATIONALE POUR LA PAIX ET LE DEVELOPPEMENT (AIPD)</t>
  </si>
  <si>
    <t>ACTION JAZZ</t>
  </si>
  <si>
    <t>Matériel pour manifestations, locaux</t>
  </si>
  <si>
    <t>ACTIV'ACTION</t>
  </si>
  <si>
    <t>AD HOC : ASSOCIATION DES DOCTORANTS EN DROIT DE L'UNIVERSITE DE BORDEAUX</t>
  </si>
  <si>
    <t>ADORA - ASS. DEVELOPPEMENT ET ACCOMPAGNEMENT AQUITAINE ORIENTATION PERS. ET PROF. TOUT AU LONG VIE</t>
  </si>
  <si>
    <t>AEP SAINT GABRIEL</t>
  </si>
  <si>
    <t>AES</t>
  </si>
  <si>
    <t>AGENCE LOCALE DE L'ENERGIE ET DU CLIMAT - ALEC</t>
  </si>
  <si>
    <t>AGIR POUR UN COMMERCE EQUITABLE ET SOLIDAIRE EN AQUITAINE - ACESA</t>
  </si>
  <si>
    <t>AIDE AUX MINEURS DEFAVORISES - AAMD</t>
  </si>
  <si>
    <t>AIDE AUX PARENTS D'ENFANTS SOUFFRANT DU SYNDROME DE L'ANTI-CONVULSIVANT (APESAC)</t>
  </si>
  <si>
    <t>AIDOMI</t>
  </si>
  <si>
    <t>AIR 3 (AIR CUBE)</t>
  </si>
  <si>
    <t>AKELIO ACCOMPAGNEMENT (RESEAU JEUNESSE OUTRE MER)</t>
  </si>
  <si>
    <t>ALCHIMYSTIK EVENTS</t>
  </si>
  <si>
    <t>ALLO AMIANTE</t>
  </si>
  <si>
    <t>ALPHONSE</t>
  </si>
  <si>
    <t>ALTAIR (ASSOCIATION LES TERRITOIRES DE L'ART DE L'INDIVIDU DE LA RELATION)</t>
  </si>
  <si>
    <t>ALTERNATIVE URBAINE DE BORDEAUX</t>
  </si>
  <si>
    <t>AMICALE DE MADAGASCAR (AM)</t>
  </si>
  <si>
    <t>AMICALE DES IVOIRIENS VIVANT EN GIRONDE AKWABA</t>
  </si>
  <si>
    <t>AMICALE DES SAPEURS POMPIERS DU SECTEUR D'INTERVENTION DE BORDEAUX METROPOLE</t>
  </si>
  <si>
    <t>AMICALE LAIQUE BORDEAUX BENAUGE</t>
  </si>
  <si>
    <t>AMIS DU SCOUTISME EUROPEEN DE GIRONDE</t>
  </si>
  <si>
    <t>AMITIE MULTICULTURELLE INTEGRATION SOCIO-ECONOMIQUE, PROMOTION, ANIMATION, DEVELOPPEMENT (AMISPAD)</t>
  </si>
  <si>
    <t>ANTROPOLOGIA</t>
  </si>
  <si>
    <t>APA SANTE NUTRITION</t>
  </si>
  <si>
    <t>APEL ASSOMPTION SAINTE CLOTIDE</t>
  </si>
  <si>
    <t>APOSTROPHE Z</t>
  </si>
  <si>
    <t>AQUITAINE AFRIQUE INITIATIVES (AQAFI)</t>
  </si>
  <si>
    <t>AQUITAINE ARTISTIQUE ANIMATION</t>
  </si>
  <si>
    <t>AQUITAINE SPORT POUR TOUS</t>
  </si>
  <si>
    <t>ARCH-EVENT</t>
  </si>
  <si>
    <t>ARCHITECTURE ET MAITRE D'OUVRAGES AQUITAINE - AMO AQUITAINE</t>
  </si>
  <si>
    <t>ARELABOR</t>
  </si>
  <si>
    <t>ART DN</t>
  </si>
  <si>
    <t>ART ET TECHNIQUES MIXTES</t>
  </si>
  <si>
    <t>ART+ENTREPRISE/ARRET SUR L'IMAGE GALERIE</t>
  </si>
  <si>
    <t>ARTAMBUL</t>
  </si>
  <si>
    <t>ARTELI</t>
  </si>
  <si>
    <t>ARTELIERS - ASSO REGION. TRAVAIL EXPRESSION LIBRE INADAPTES POUR EPANOUISSEMENT RECONNAISS. SOCIALE</t>
  </si>
  <si>
    <t>ARTIMAGE</t>
  </si>
  <si>
    <t>ARTQUIPAGE</t>
  </si>
  <si>
    <t>ARTYCHAUDS</t>
  </si>
  <si>
    <t>ASOBU ASSOCIATION (ASOBU)</t>
  </si>
  <si>
    <t>ASS-TECH (ASSOCIATION DES ETUDIANTS DE TECHNIQUES DU DEVELOPPEMENT)</t>
  </si>
  <si>
    <t>ASSIETTE EN TRANSITION</t>
  </si>
  <si>
    <t>ASSO GAMBETTA</t>
  </si>
  <si>
    <t>ASSO GENERALE INTERVENANTS RETRAITES POUR ACTIONS BENEVOLES COOPERATION ET DEVELOPPEMENT - AGIRabcd</t>
  </si>
  <si>
    <t>ASSO PARENTS ELEVES ENSEIGNEMENT LIBRE SAINT-MICHEL/SAINT-GENES (APEL SAINT-MICHEL/SAINT-GENES)</t>
  </si>
  <si>
    <t>ASSOCIATION 2C.SPORTS</t>
  </si>
  <si>
    <t>ASSOCIATION ACCORDS LIBRES</t>
  </si>
  <si>
    <t>ASSOCIATION ALBERT BARRAUD</t>
  </si>
  <si>
    <t>ASSOCIATION AUDITEURS INSTITUT HAUTES ETUDES DE DEFENSE NATIONALE REGION AQUITAINE - AQUI IHEDN</t>
  </si>
  <si>
    <t>ASSOCIATION CLUB AMBASSADORS DE LA TRUFFE</t>
  </si>
  <si>
    <t>ASSOCIATION COOPERATIVE DES ETUDIANTS EN PHARMACIE DE BORDEAUX - ACEPB</t>
  </si>
  <si>
    <t>ASSOCIATION CULTURE ET MUSIQUE DE L'ESTUAIRE</t>
  </si>
  <si>
    <t>ASSOCIATION CULTURELLE ARMENIENNE DE BORDEAUX AQUITAINE</t>
  </si>
  <si>
    <t>ASSOCIATION CULTURELLE ET TRADITIONNELLE DE GIRONDE - ACT 33</t>
  </si>
  <si>
    <t>ASSOCIATION D'AMITIE FRANCO-VIETNAMIENNE (AAFV)</t>
  </si>
  <si>
    <t>ASSOCIATION DANSE, ANIMATION DE LA GIRONDE - ADAGE</t>
  </si>
  <si>
    <t>ASSOCIATION DE DEVELOPPEMENT NATUREL (ADN)</t>
  </si>
  <si>
    <t>ASSOCIATION DE L'ENSEIGNEMENT CATHOLIQUE DE GIRONDE</t>
  </si>
  <si>
    <t>ASSOCIATION DE PREFIGURATION D'UNE PLATEFORME D'AQUITAINE POUR LE COMMERCE EQUITABLE (LA PLACE)</t>
  </si>
  <si>
    <t>ASSOCIATION DE RECHERCHE CLINIQUE SUR L'ADOLESCENCE -ARCAD-</t>
  </si>
  <si>
    <t>ASSOCIATION DE RIVERAINS BAST-ID</t>
  </si>
  <si>
    <t>ASSOCIATION DE SOPHROLOGIE EXISTENTIELLE DE BORDEAUX (ASEB)</t>
  </si>
  <si>
    <t>ASSOCIATION DE SPORTS, DE CULTURE ET D'ENTRAIDE DE LA GIRONDE</t>
  </si>
  <si>
    <t>ASSOCIATION DECOUVERTE VACANCES EQUILIBRE</t>
  </si>
  <si>
    <t>ASSOCIATION DEPARTEMENTALE DES ANCIENS COMBATTANTS ET AMIS DE L'INDOCHINE</t>
  </si>
  <si>
    <t>ASSOCIATION DEPARTEMENTALE DES PUPILLES DE L’ENSEIGNEMENT PUBLIC DE LA GIRONDE - PEP 33</t>
  </si>
  <si>
    <t>Communication, matériel pour manifestations,</t>
  </si>
  <si>
    <t>ASSOCIATION DES COMMERCANTS DE CAUDERAN SAINT-AMAND</t>
  </si>
  <si>
    <t>ASSOCIATION DES COMMERCANTS ORNANO - GAVINIES - ST VICTOR</t>
  </si>
  <si>
    <t>ASSOCIATION DES DOCKERS ET DES TRAVAILLEURS PORTUAIRES VICTIMES DE L'AMIANTE DU PORT DE BORDEAUX</t>
  </si>
  <si>
    <t>ASSOCIATION DES ELEVES-AVOCATS ALIENOR 2017 (ADEAA 2017)</t>
  </si>
  <si>
    <t>ASSOCIATION DES ETUDIANTS ET RESSORTISSANTS MAURITANIENS DE GIRONDE (AERMG)</t>
  </si>
  <si>
    <t>ASSOCIATION DES EXPLOITANTS QUAI DES MARQUES BORDEAUX</t>
  </si>
  <si>
    <t>ASSOCIATION DES GUIDES INTERPRETES ET CONFERENCIER D'AQUITAINE - AGICA</t>
  </si>
  <si>
    <t>ASSOCIATION DES LOCATAIRES SEM-LM</t>
  </si>
  <si>
    <t>ASSOCIATION DES MEDECINS RETRAITES ET DES VEUVES ALLOCATAIRES DE LA CARMF DITE AMEREVE AQUITAINE</t>
  </si>
  <si>
    <t>ASSOCIATION DES OEUVRES GIRONDINES DE PROTECTION DE L'ENFANCE</t>
  </si>
  <si>
    <t>ASSOCIATION DES OFFICIERS ET CADRES DE RESERVE DE BORDEAUX GIRONDE</t>
  </si>
  <si>
    <t>ASSOCIATION DES PARENTS ET FUTURS PARENTS GAYS ET LESBIENS APGL</t>
  </si>
  <si>
    <t>ASSOCIATION DES PIEGEURS DE LA PRESQU'ILE D'AMBES</t>
  </si>
  <si>
    <t>ASSOCIATION DES PRODUCTEURS DE GRAVES DE VAYRES</t>
  </si>
  <si>
    <t>ASSOCIATION DES RETRAITES IRSEA D'AQUITAINE (ARIA)</t>
  </si>
  <si>
    <t>ASSOCIATION DES RIVERAINS DE L'IMPASSE GOURDIN</t>
  </si>
  <si>
    <t>ASSOCIATION DES RIVERAINS DU QUARTIER SAINT GENES</t>
  </si>
  <si>
    <t>ASSOCIATION DORSA BARLOW</t>
  </si>
  <si>
    <t>ASSOCIATION DU FLOCON A LA VAGUE</t>
  </si>
  <si>
    <t>ASSOCIATION ELEVES INGENIEURS ARTS METIERS PARIS-TECH CENTRE REGIONAL BORDEAUX TALENCE - AE ENSAM</t>
  </si>
  <si>
    <t>ASSOCIATION FAIS ET REVE</t>
  </si>
  <si>
    <t>ASSOCIATION FAMILIALE LAIQUE BASTIDE</t>
  </si>
  <si>
    <t>ASSOCIATION FRANCAISE CONTRE LES MYOPATHIES - AFM</t>
  </si>
  <si>
    <t>ASSOCIATION FRANCAISE DE L'ECLAIRAGE - CENTRE REGIONAL SUD-OUEST ATLANTIQUE</t>
  </si>
  <si>
    <t>ASSOCIATION FRANCAISE DES JURISTES D'ENTREPRISE - AFJE</t>
  </si>
  <si>
    <t>ASSOCIATION FRANCAISE DES MALADES DE LA THYROIDE</t>
  </si>
  <si>
    <t>ASSOCIATION FRANCO-TCHEQUE D'AQUITAINE</t>
  </si>
  <si>
    <t>ASSOCIATION FRANCO-VIETNAMIENNE, BORDEAUX-AQUITAINE</t>
  </si>
  <si>
    <t>ASSOCIATION FRANCOIS AUPETIT</t>
  </si>
  <si>
    <t>ASSOCIATION FRERES DES HOMMES</t>
  </si>
  <si>
    <t>ASSOCIATION GENERALE DES ENSEIGNANTS DES ECOLES ET CLASSES MATERNELLES PUBLIQUES</t>
  </si>
  <si>
    <t>ASSOCIATION GESTION CENTRES PSYCHANALYTIQUES DE CONSULTATIONS ET DE TRAITEMENT (CPCT) D'AQUITAINE</t>
  </si>
  <si>
    <t>ASSOCIATION GIRONDINE DES INFIRMES MOTEURS CEREBRAUX - AGIMC</t>
  </si>
  <si>
    <t>ASSOCIATION GIRONDINE POUR L'AGRICULTURE PAYSANE (AGAP)</t>
  </si>
  <si>
    <t>ASSOCIATION HORIZON CAUDERAN</t>
  </si>
  <si>
    <t>ASSOCIATION INDEPENDANTE DE PARENTS D'ELEVES DU GROUPE SCOLAIRE FLORNOY</t>
  </si>
  <si>
    <t>ASSOCIATION JEUNESSE FUTSAL (AJF)</t>
  </si>
  <si>
    <t>ASSOCIATION LABA-JOUR</t>
  </si>
  <si>
    <t>ASSOCIATION LAIQUE DU PRADO (ALP)</t>
  </si>
  <si>
    <t>ASSOCIATION LES Z ARPETES</t>
  </si>
  <si>
    <t>ASSOCIATION LYCHORE</t>
  </si>
  <si>
    <t>ASSOCIATION LYONNAISE PREVOYANCE DES TRAVAILLEURS INDEPENDANTS DES ISOLES ET DES SALARIES - ALPTIS</t>
  </si>
  <si>
    <t>ASSOCIATION MEMBRES DE LA LEGION D'HONNEUR DECORES AU PERIL DE LEUR VIE SECTION AQUITAINE OUEST</t>
  </si>
  <si>
    <t>ASSOCIATION MUSICALE ORCHESTRE JEAN-CLAUDE FRANCOIS</t>
  </si>
  <si>
    <t>ASSOCIATION NATIONALE DES HOSPITALIERS RETRAITES</t>
  </si>
  <si>
    <t>ASSOCIATION NATIONALE DES PUERICULTRICES DIPLOMEES ET DES ETUDIANTES - ANPDE</t>
  </si>
  <si>
    <t>ASSOCIATION NATIONALE DES RETRAITES DE LA POSTE, DE FRANCE TELECOM ET DE LEURS FILIALES ANR</t>
  </si>
  <si>
    <t>ASSOCIATION NATIONALE MEMBRES ORDRE NATIONAL DU MERITE - SECTION DEPARTEMENTALE DE LA GIRONDE</t>
  </si>
  <si>
    <t>ASSOCIATION NATIONALE VILLES ET PAYS ART ET HISTOIRE ET DES VILLES SECTEURS SAUVEGARDES ET PROTEGES</t>
  </si>
  <si>
    <t>ASSOCIATION NOUVELLE ACROPOLE BORDEAUX - ANAB</t>
  </si>
  <si>
    <t>ASSOCIATION OSTEOPATHE ET PERINATALITE</t>
  </si>
  <si>
    <t>ASSOCIATION PATRONAGE ECOLES LAIQUES ST BRUNO</t>
  </si>
  <si>
    <t>ASSOCIATION PEDAGOGIQUE DE L'ECOLE BEL AIR - APEBA</t>
  </si>
  <si>
    <t>ASSOCIATION POUR L'INNOVATION EN MATIERE D'INTEGRATION - APIMI</t>
  </si>
  <si>
    <t>ASSOCIATION POUR LA FORMATION ET L'EDUCATION PERMANENTE DE TIVOLI - AFEPT</t>
  </si>
  <si>
    <t>ASSOCIATION POUR LA MEDIATION FAMILIALE - APMF</t>
  </si>
  <si>
    <t>ASSOCIATION POUR LA PREVENTION DU HANDICAP DU AUX TROUBLES DU SOMMEIL ET DE LA VIGILANCE (UP2SV)</t>
  </si>
  <si>
    <t>ASSOCIATION POUR LA SURVEILLANCE DE LA QUALITE DE L'AIR EN AQUITAINE (AIRAQ)</t>
  </si>
  <si>
    <t>ASSOCIATION POUR UNE EDUCATION BUISSONNIERE (- APEB)</t>
  </si>
  <si>
    <t>ASSOCIATION POUR VALORISATION EN RELATION AVEC PROFESSIONNELS - REGION AQUITAINE - AVARAP AQUITAINE</t>
  </si>
  <si>
    <t>Matériel pour manifestations, équipements sportifs</t>
  </si>
  <si>
    <t>ASSOCIATION PSYCHANALITIQUE DES THERAPEUTES FAMILIAUX D'AQUITAINE - APSYFA</t>
  </si>
  <si>
    <t>ASSOCIATION PUCEART</t>
  </si>
  <si>
    <t>ASSOCIATION REGIONALE D'AQUITAINE DES CENTRES D'ENTRAINEMENTS AUX METHODES D'EDUCATION ACTIVE</t>
  </si>
  <si>
    <t>ASSOCIATION REGIONALE DE PSYCHOLOGIE DU TRAVAIL AQUITAINE - AREPT</t>
  </si>
  <si>
    <t>ASSOCIATION REGIONALE DES OEUVRES EDUCATIVES ET DE VACANCES DE L'EDUCATION NATIONALE - AROEVEN</t>
  </si>
  <si>
    <t>ASSOCIATION REPUBLICAINE DES ANCIENS COMBATTANTS ET VICTIMES DE LA GUERRE - ARAC-VG</t>
  </si>
  <si>
    <t>ASSOCIATION REVES - DELEGATION DEPARTEMENTALE DE LA GIRONDE</t>
  </si>
  <si>
    <t>ASSOCIATION SOCIALE POUR L'EMPLOI - ASPE SERVICE AUX PERSONNES - ANTENNE BORDEAUX</t>
  </si>
  <si>
    <t>ASSOCIATION SPORTIVE AUTOMOBILE CLUB DU SUD-OUEST</t>
  </si>
  <si>
    <t>ASSOCIATION SPORTIVE CE BP ACA</t>
  </si>
  <si>
    <t>ASSOCIATION SPORTIVE CHARLES MARTIN</t>
  </si>
  <si>
    <t>ASSOCIATION SPORTIVE DE LA CAISSE D'EPARGNE AQUITAINE POITOU CHARENTES (APC SPORTS)</t>
  </si>
  <si>
    <t>ASSOCIATION SPORTIVE DE PREPARATION OLYMPIQUE DU MIDI - SECTION ARTS MARTIAUX (ASPOM JUDO BORDEAUX)</t>
  </si>
  <si>
    <t>ASSOCIATION SPORTIVE DES LUSITANOS DE CENON</t>
  </si>
  <si>
    <t>ASSOCIATION SPORTIVE ET CULTURELLE DU GROUPE DES ASSURANCES NATIONALES (ASC GAN)</t>
  </si>
  <si>
    <t>ASSOCIATION SPORTIVE LYCEE CONDORCET</t>
  </si>
  <si>
    <t>ASSOCIATION TCHADIENNE DE LA NOUVELLE-AQUITAINE - ATNA</t>
  </si>
  <si>
    <t>ASSOCIATION TEMPS DE PAROLE</t>
  </si>
  <si>
    <t>ASSOCIATION THEATRE OMBRE ET LUMIERE</t>
  </si>
  <si>
    <t>ASSOCIATION UFORCA-BORDEAUX POUR LA FORMATION PERMANENTE</t>
  </si>
  <si>
    <t>ASSOCIATION UNTENDANSES</t>
  </si>
  <si>
    <t>ASSOCIATION XIKOMBA</t>
  </si>
  <si>
    <t>ASSOCIATIONS : NOS REVES PRODUCTIONS - NR-PROD</t>
  </si>
  <si>
    <t xml:space="preserve">ASTROLABE </t>
  </si>
  <si>
    <t>ATELIER 14 CIE ISABELLE CHEVEAU/VINCENT HARISDO - CENTRE PRATIQUES ARTIST. ET RECH. CHOREGRAPHIQUES</t>
  </si>
  <si>
    <t>ATELIER AQUITAINE</t>
  </si>
  <si>
    <t>AU CLAIR DE LA LUNE</t>
  </si>
  <si>
    <t>AUDITION ET ECOUTE 33 - ASSOCIATION DES PERSONNES ATTEINTES DE PATHOLOGIES AUDITIVES DE LA GIRONDE</t>
  </si>
  <si>
    <t>AUTO DEFENSE ET ARTS MARTIAUX (ADAM)</t>
  </si>
  <si>
    <t>AVISCENE</t>
  </si>
  <si>
    <t>BATESTA</t>
  </si>
  <si>
    <t>BELEZA</t>
  </si>
  <si>
    <t>BEROCCA PRODUCTIONS</t>
  </si>
  <si>
    <t>BETTER PLAY BASKETBALL (BPB)</t>
  </si>
  <si>
    <t>BIBLIOTHEQUES SANS FRONTIERES (LIBRARIES WITHOUT BORDERS)</t>
  </si>
  <si>
    <t>BORD'EAUX LOISIR PECHE - CLUB DE PECHES SPORTIVES - (BLP)</t>
  </si>
  <si>
    <t>BORDEAUX ALIENOR D'AQUITAINE</t>
  </si>
  <si>
    <t>BORDEAUX ART CONTEMPORAIN (BAC)</t>
  </si>
  <si>
    <t>BORDEAUX ASPOM ECHECS</t>
  </si>
  <si>
    <t>BORDEAUX BEACH CHILLERS</t>
  </si>
  <si>
    <t>BORDEAUX BRITISH COMMUNITY - BBC</t>
  </si>
  <si>
    <t>BORDEAUX DANCESPORT GALAXY (BDSG)</t>
  </si>
  <si>
    <t>BORDEAUX ECOLE INTERNATIONALE DE LOUANGE (BEIL)</t>
  </si>
  <si>
    <t>BORDEAUX FOOD CLUB</t>
  </si>
  <si>
    <t>BORDEAUX GIRONDE HOCKEY SUR GLACE (BGHG)</t>
  </si>
  <si>
    <t>BORDEAUX GIRONDE QUEBEC</t>
  </si>
  <si>
    <t>BORDEAUX GREETERS</t>
  </si>
  <si>
    <t>BORDEAUX POUR TOUS</t>
  </si>
  <si>
    <t xml:space="preserve">BORDEAUX ROCK </t>
  </si>
  <si>
    <t>BORDEAUX TEATRO ITALIANO (BTI)</t>
  </si>
  <si>
    <t>BORDEAUX-ACCUEILLE METROPOLE</t>
  </si>
  <si>
    <t>BORDEAUX-LIMA, LA MAISON DU PEROU</t>
  </si>
  <si>
    <t>BRIDGE CLUB BORDEAUX SAINT AUGUSTIN</t>
  </si>
  <si>
    <t>BULL BORDEAUX FOOTBALL</t>
  </si>
  <si>
    <t>BURKIN@PAMA.FR</t>
  </si>
  <si>
    <t>BXA - ESPRIT VOILE</t>
  </si>
  <si>
    <t>BÔYE-PÂH</t>
  </si>
  <si>
    <t>CAISSE SOCIALE DE DEVELOPPEMENT LOCAL - CSDL</t>
  </si>
  <si>
    <t>CAMERATA OCEANA</t>
  </si>
  <si>
    <t>CANINE TERRITORIALE DE LA GIRONDE</t>
  </si>
  <si>
    <t>CAP SCIENCES - CENTRE DE CULTURE SCIENTIFIQUE TECHNIQUE ET INDUSTRIELLE BORDEAUX AQUITAINE</t>
  </si>
  <si>
    <t>CASTILLON 1453 - UN TERRITOIRE AU COEUR DE L'HISTOIRE</t>
  </si>
  <si>
    <t>CAURI</t>
  </si>
  <si>
    <t>CENTRE D'ETUDES DE L'AUTO-CONNAISSANCE - CEA</t>
  </si>
  <si>
    <t>CENTRE D'INFORMATION SUR LES DROITS DES FEMMES ET DES FAMILLES DE LA GIRONDE - CIDFF</t>
  </si>
  <si>
    <t>CENTRE DE LIAISON DES EQUIPES DE RECHERCHE (CLER AMOUR ET FAMILLES)</t>
  </si>
  <si>
    <t>CENTRE DE PREVENTION ET DE LOISIRS DES JEUNES DE BORDEAUX - CPLJ BORDEAUX</t>
  </si>
  <si>
    <t>CENTRE DE VOILE DE BORDEAUX LAC</t>
  </si>
  <si>
    <t>CENTRE REGIONAL D'AQUITAINE D'ETUDES ET D'ACTIONS SUR LES HANDICAPS ET LES INADAPTATIONS - CREAI</t>
  </si>
  <si>
    <t>CERCLE BORDELAIS DE SANTE (CBS)</t>
  </si>
  <si>
    <t>CERCLE D'ART BORDELAIS - CAB</t>
  </si>
  <si>
    <t>CERCLE ENTREPRISES DU SUD-OUEST (CESO)</t>
  </si>
  <si>
    <t>CHAMBRE NATIONALE DES PROPRIETAIRES</t>
  </si>
  <si>
    <t>CHEMINS DE TERRE</t>
  </si>
  <si>
    <t>CHOEUR DE FRANCE ATLANTIQUE - CDFA</t>
  </si>
  <si>
    <t>CINE MARGES</t>
  </si>
  <si>
    <t>CINEMA AFRICAIN PROMOTION</t>
  </si>
  <si>
    <t>CINEPHILES DE NOTRE TEMPS</t>
  </si>
  <si>
    <t>CITADEL</t>
  </si>
  <si>
    <t>CLUB AGORA BORDEAUX 1 « 20 »</t>
  </si>
  <si>
    <t>CLUB ALPIN FRANÇAIS DE BORDEAUX</t>
  </si>
  <si>
    <t>CLUB BOULISTE ALBERT 1ER</t>
  </si>
  <si>
    <t>CLUB DES ENTREPRISES DE BORDEAUX MARITIME</t>
  </si>
  <si>
    <t>CLUB HISTOIRE ET PATRIMOINE, ARTS ET TECHNIQUES - "CLUB HEPAT"</t>
  </si>
  <si>
    <t>CLUB LOISIRS AQUITAINE CULTURE (CLAC)</t>
  </si>
  <si>
    <t>CLUB MAQUETTES BORDEAUX METROPOLE</t>
  </si>
  <si>
    <t>COLIBRIS</t>
  </si>
  <si>
    <t>COLLECTIF CLIFFHANGER</t>
  </si>
  <si>
    <t>COLLECTIF COMMENT C'EST MAINTENANT?</t>
  </si>
  <si>
    <t>COLLECTIF DES ASSOCIATIONS D'OUTRE-MER EN AQUITAINE DIT CAOMA</t>
  </si>
  <si>
    <t>COLLECTIF INTERASSOCIATIF SUR LA SANTE EN AQUITAINE - CISSA</t>
  </si>
  <si>
    <t>COLLECTIF KLOUDBOX LABORATOIRE DE CREATIONS AUDIOVISUELLES ET GRAPHIQUES</t>
  </si>
  <si>
    <t>COLLECTIF LESCURE</t>
  </si>
  <si>
    <t>COLLECTIF LIBRE ET INDEPENDANT DE LA POLICE DE GIRONDE (CLIP 33)</t>
  </si>
  <si>
    <t>COLLECTIF ORGANISATIONS SOLIDARITE INTERNATIONALE ISSUES MIGRATIONS EN AQUITAINE (COSIM AQUITAINE)</t>
  </si>
  <si>
    <t>COLLECTIF T CAP</t>
  </si>
  <si>
    <t>COMITE ACCOMPAGNEMENT URBANISME, DEFENSE DE L'ENVIRONNEMENT ET RESPECT DE LA SECURITE - CAUDERES</t>
  </si>
  <si>
    <t>COMITE AQUITAIN DE L'ASSOCIATION FRANÇAISE DES HEMOPHILES (CAAFH)</t>
  </si>
  <si>
    <t>COMITE AQUITAIN DE LA PLANETE TERRE (CAP TERRE)</t>
  </si>
  <si>
    <t>COMITE DE CURVY AQUITAINE</t>
  </si>
  <si>
    <t>COMITE DE GIRONDE D'ATHLETISME</t>
  </si>
  <si>
    <t>COMITE DE GIRONDE DE BADMINTON (CO.GI.BAD)</t>
  </si>
  <si>
    <t>COMITE DE SOUTIEN POUR JOHAN GIRAUD-GIRARD</t>
  </si>
  <si>
    <t>COMITE DEPARTEMENTAL DE L'ASSOCIATION DE DEFENSE DES MALADES INVALIDES ET HANDICAPES - AMI 33</t>
  </si>
  <si>
    <t>COMITE DEPARTEMENTAL DE LA GIRONDE CONTRE LE CANCER (CODECOC 33)</t>
  </si>
  <si>
    <t>COMITE DEPARTEMENTAL DE LA RANDONNEE PEDESTRE DE GIRONDE</t>
  </si>
  <si>
    <t>COMITE DEPARTEMENTAL DES MEDAILLES DE LA JEUNESSE, DES SPORTS ET DE L'ENGAGEMENT ASSOCIATIF GIRONDE</t>
  </si>
  <si>
    <t>COMITE DEPARTEMENTAL HANDISPORT DE LA GIRONDE</t>
  </si>
  <si>
    <t>COMITE DES COMMERCANTS DE LA RUE DE GRASSI</t>
  </si>
  <si>
    <t>COMITE D’ANIMATION LAFONTAINE-KLEBER (CALK)</t>
  </si>
  <si>
    <t>COMITE ETUDE ET INFORM. DROGUE (PREV. ET TRAIT. TOXICOMANIES ET AUTRES ADDICTIONS), CEID-ADDICTIONS</t>
  </si>
  <si>
    <t>COMITE FRANCAIS POUR LE FONDS DES NATIONS UNIES POUR L'ENFANCE - UNICEF FRANCE</t>
  </si>
  <si>
    <t>COMITE REGIONAL D’AQUITAINE DE NATATION</t>
  </si>
  <si>
    <t>COMITE REPRESENTATIF DES IDENTITES SOURDES - CRIS</t>
  </si>
  <si>
    <t>COMITE SCIENTIFIQUE DU CENTRE D'EXPERTISE MEDICALE DU PERSONNEL NAVIGANT DE BORDEAUX (CEMPN)</t>
  </si>
  <si>
    <t>COMMUNE LIBRE DU QUARTIER SAINT-PIERRE</t>
  </si>
  <si>
    <t>COMMUNIQUER EN EUROPE</t>
  </si>
  <si>
    <t>COMPAGNIE ACCESS</t>
  </si>
  <si>
    <t>COMPAGNIE BETTY BLUES (THEATRE ET MUSIQUE)</t>
  </si>
  <si>
    <t>COMPAGNIE CRU DES SENS</t>
  </si>
  <si>
    <t>COMPAGNIE DU BARRAGE</t>
  </si>
  <si>
    <t>COMPAGNIE DU SI</t>
  </si>
  <si>
    <t>COMPAGNIE GABRIEL</t>
  </si>
  <si>
    <t>COMPAGNIE HORS SERIE</t>
  </si>
  <si>
    <t>COMPAGNIE LA MARGINAIRE</t>
  </si>
  <si>
    <t>COMPAGNIE NEE D'UN DOUTE</t>
  </si>
  <si>
    <t>COMPAGNIE THEATRALE L'OEIL</t>
  </si>
  <si>
    <t>COMPAGNONS DU TOUR DE FRANCE DES DEVOIRS UNIS</t>
  </si>
  <si>
    <t>CONCORDIA AQUITAINE</t>
  </si>
  <si>
    <t>CONGLOMIRA</t>
  </si>
  <si>
    <t>CONSEIL CITOYENS DE BACALAN</t>
  </si>
  <si>
    <t>CONSEIL INTERPROFESSIONNEL DU VIN DE BORDEAUX</t>
  </si>
  <si>
    <t>CONSEIL REPRESENTATIF DES INSTITUTIONS JUIVES DE FRANCE - CRIF SUD OUEST AQUITAINE</t>
  </si>
  <si>
    <t>CONVENTION NATIONALE DES AVOCATS</t>
  </si>
  <si>
    <t>CORNER</t>
  </si>
  <si>
    <t>COTRAVAUX AQUITAINE</t>
  </si>
  <si>
    <t>COUPE COURT</t>
  </si>
  <si>
    <t>CRE'ART : COMPAGNIE REG'ART</t>
  </si>
  <si>
    <t>CRESS AQUITAINE (CHAMBRE REGIONALE DE L'ECONOMIE SOCIALE ET SOLIDAIRE D'AQUITAINE)</t>
  </si>
  <si>
    <t>CROIX ROUGE FRANÇAISE</t>
  </si>
  <si>
    <t>CULTURE ET BIBLIOTHEQUES POUR TOUS DU DEPARTEMENT DE LA GIRONDE</t>
  </si>
  <si>
    <t>CULTURE INDISCIPLINEE</t>
  </si>
  <si>
    <t>CULTURE SOUND SYSTEM</t>
  </si>
  <si>
    <t>CVLR ET ASSOCIES</t>
  </si>
  <si>
    <t>DADDYLOVE FILMS</t>
  </si>
  <si>
    <t>DANTE ALIGHIERI</t>
  </si>
  <si>
    <t>DARRY PERIER</t>
  </si>
  <si>
    <t>DEBOUT LA FRANCE DEBOUT LA REPUBLIQUE (DLF-DLR)</t>
  </si>
  <si>
    <t>DEFENSE DE LA LANGUE FRANÇAISE - ASSOCIATION DE BORDEAUX</t>
  </si>
  <si>
    <t>DEKA-EWE</t>
  </si>
  <si>
    <t>DONNEZ-NOUS UN SOURIRE</t>
  </si>
  <si>
    <t>DOUBADIDOU</t>
  </si>
  <si>
    <t>DUTCH CONNECTION BORDEAUX - DCBDX ASSOCIATION</t>
  </si>
  <si>
    <t>DYSPRAXIQUE MAIS FANTASTIQUE 33 - DMF 33</t>
  </si>
  <si>
    <t>EABA (ENSEIGNEMENT ARTISTIQUE BEAUX ARTS)</t>
  </si>
  <si>
    <t>EBB - ENTREPRISE BIEN-ETRE BORDEAUX</t>
  </si>
  <si>
    <t>ECLORE</t>
  </si>
  <si>
    <t>ECOLE DE KARATE BORDELAISE</t>
  </si>
  <si>
    <t>ECOLO CRECHE</t>
  </si>
  <si>
    <t>EDITIONS DE LA CERISE</t>
  </si>
  <si>
    <t>EDUCATION ET SANTE AU SENEGAL</t>
  </si>
  <si>
    <t>EICOSA</t>
  </si>
  <si>
    <t>EL SOLAR ESPANOL</t>
  </si>
  <si>
    <t>EN 3 ACTES</t>
  </si>
  <si>
    <t>EN FACE</t>
  </si>
  <si>
    <t>EN MARCHE - EMA</t>
  </si>
  <si>
    <t>EN MODE EVENT (EME)</t>
  </si>
  <si>
    <t>EN STOP</t>
  </si>
  <si>
    <t>ENDOFRANCE, ASSOCIATION FRANÇAISE DE LUTTE CONTRE L'ENDOMETRIOSE</t>
  </si>
  <si>
    <t>ENFANCE ET FAMILLES D'ADOPTION DE LA GIRONDE - ASSOCIATION DES FOYERS ADOPTIFS GIRONDE (EFA 33)</t>
  </si>
  <si>
    <t>ENFANTS ET SANTE FRANCE AQUITAINE</t>
  </si>
  <si>
    <t>ENSEMBLE ORCHESTRAL DE BORDEAUX</t>
  </si>
  <si>
    <t>ENSEMBLE VOCAL VARIANCE MELODIE</t>
  </si>
  <si>
    <t>ERE NOUVELLE DES COMPAGNONS ET ASPIRANTS EGALITAIRES CHAMBRE DE BORDEAUX</t>
  </si>
  <si>
    <t>ERNEST CIRCUIT COURT SOLIDARITE - ERNEST CCS</t>
  </si>
  <si>
    <t>ESCAPADE EN POLYNESIE</t>
  </si>
  <si>
    <t>ESPACE CULTUEL MUSULMAN - ECM</t>
  </si>
  <si>
    <t>ESPACE DECOUVERTE MADAGASCAR (EDM)</t>
  </si>
  <si>
    <t>ESPACES MARX AQUITAINE BORDEAUX GIRONDE - EXPLORER, CONFRONTER, INNOVER</t>
  </si>
  <si>
    <t>ESPRIT BASTIDE</t>
  </si>
  <si>
    <t>ESPRIT DE CORPS - NOM D'USAGE LA MANUFACTURE CDCN</t>
  </si>
  <si>
    <t>ETRE ET DEVENIR</t>
  </si>
  <si>
    <t>ETXEKOAK</t>
  </si>
  <si>
    <t>EUFONIA-BORDEAUX FESTIVAL-CONCOURS INTERNATIONAL DE CHANT CHORAL</t>
  </si>
  <si>
    <t>EUROPEAN MENTORING &amp; COACHING COUNCIL, L'ASSOCIATION EUROPEENNE DE COACHING - EMCC France</t>
  </si>
  <si>
    <t>EVER (EYES, VOICE, EARS, RHYTHM)</t>
  </si>
  <si>
    <t>EXPLORATION DU MOUVEMENT</t>
  </si>
  <si>
    <t>EXTERIEUR NUIT</t>
  </si>
  <si>
    <t>FAIS ET REVE</t>
  </si>
  <si>
    <t>FAITS DE COEUR'S</t>
  </si>
  <si>
    <t>FEARLESS CULTURE</t>
  </si>
  <si>
    <t>FEDERATION ASSOCIATIONS DE PARENTS ELEVES ENSEIGNEMENT LIBRE DE LA GIRONDE - APEL DE LA GIRONDE</t>
  </si>
  <si>
    <t>FEDERATION DES MAISONS DES LYCEENS - FDML</t>
  </si>
  <si>
    <t>FEDERATION DES PARTICULIERS EMPLOYEURS DE GIRONDE</t>
  </si>
  <si>
    <t>FEDERATION FRANCAISE DE JUDO JUJITSU, KENDO et DISCIPLINES ASSOCIEES (FFJDA)</t>
  </si>
  <si>
    <t>FEDERATION FRANCAISE DE PSYCHOTHERAPIE ET PSYCHANALYSE (FF2P)</t>
  </si>
  <si>
    <t>FEDERATION FRANCAISE RUGBY (FFR)</t>
  </si>
  <si>
    <t>FEDERATION FREUDIENNE DE PSYCHANALYSE</t>
  </si>
  <si>
    <t>FEDERATION GIRONDE POUR LA PECHE ET LA PROTECTION DU MILIEU AQUATIQUE (FDAAPPMA DE LA GIRONDE)</t>
  </si>
  <si>
    <t>FEDERATION GIRONDINE DE LA LIBRE PENSEE</t>
  </si>
  <si>
    <t>FEDERATION PROTESTANTE DE FRANCE - POLE BORDEAUX GIRONDE</t>
  </si>
  <si>
    <t>FEDERATION REGIONALE D'AGRICULTURE BIOLOGIQUE NOUVELLE-AQUITAINE</t>
  </si>
  <si>
    <t>FEDERATION REGIONALE DES DECORES DU TRAVAIL NOUVELLE-AQUITAINE (FRDT) - SECTION DE CAUDERAN</t>
  </si>
  <si>
    <t>FESTES BAROQUES AU PAYS DES GRAVES</t>
  </si>
  <si>
    <t>FETE LE MUR BORDEAUX GIRONDE AQUITAINE</t>
  </si>
  <si>
    <t>FNAC SUD-OUEST</t>
  </si>
  <si>
    <t>FONDATION DE FRANCE</t>
  </si>
  <si>
    <t>FONDATION POUR LA CULTURE ET LES CIVILISATIONS DU VIN</t>
  </si>
  <si>
    <t>FONDS REGIONAL D'ART CONTEMPORAIN - COLLECTION AQUITAINE (FRAC AQUITAINE)</t>
  </si>
  <si>
    <t>FOOT EMERGENCE</t>
  </si>
  <si>
    <t>FOOTBALL CLUB DE LA PRESSE BORDELAISE - FCPB</t>
  </si>
  <si>
    <t>FOOTBALL CLUB LE BON JOUET</t>
  </si>
  <si>
    <t>FOOTBALL CLUB NOBI NOBI</t>
  </si>
  <si>
    <t>FOOTBALL CLUB TROPICAL (FCT)</t>
  </si>
  <si>
    <t>FORMATION SECOURS</t>
  </si>
  <si>
    <t xml:space="preserve">FORRO BORDEAUX </t>
  </si>
  <si>
    <t xml:space="preserve">FOYER FRATERNEL </t>
  </si>
  <si>
    <t>FOYER SOCIO-EDUCATIF DU C.E.S GRAND PARC</t>
  </si>
  <si>
    <t>FOYER SOCIO-EDUCATIF DU COLLEGE ALIENOR-D'AQUITAINE DE CASTILLON-LA-BATAILLE</t>
  </si>
  <si>
    <t>FRACAS</t>
  </si>
  <si>
    <t>FRANCE AVC 33</t>
  </si>
  <si>
    <t>FRANCE PARKINSON</t>
  </si>
  <si>
    <t>FREEFIT CONCEPT - BORDEAUX</t>
  </si>
  <si>
    <t>FRICHE AND CHEAP</t>
  </si>
  <si>
    <t>GANAPATI</t>
  </si>
  <si>
    <t>GENERATIONS COBAYE</t>
  </si>
  <si>
    <t>GO GAGNANT A L'ORAL</t>
  </si>
  <si>
    <t>GRAINE D'ADULTE</t>
  </si>
  <si>
    <t>GREENPEACE FRANCE - GROUPE LOCAL DE BORDEAUX</t>
  </si>
  <si>
    <t>GROUPE APACHE</t>
  </si>
  <si>
    <t>GROUPE D'ACCOMPAGNEMENTS ET DE LOISIRS ADAPTES</t>
  </si>
  <si>
    <t>GROUPE KEDGE BUSINESS SCHOOL</t>
  </si>
  <si>
    <t>GROUPEMENT DES EDUCATEURS SANS FRONTIERES - GREF</t>
  </si>
  <si>
    <t>GROUPEMENT DES ETUDIANTS EN DENTAIRE DE BORDEAUX (GED 33)</t>
  </si>
  <si>
    <t>GROUPEMENT EUROPEEN DES MAGISTRATS POUR LA MEDIATION GEMME</t>
  </si>
  <si>
    <t>GYMNASTIQUE VOLONTAIRE DU QUARTIER SAINT NICOLAS</t>
  </si>
  <si>
    <t>HAND TO HAND</t>
  </si>
  <si>
    <t>HANDIC'APTITUDE</t>
  </si>
  <si>
    <t>HANDICAP AUTONOME</t>
  </si>
  <si>
    <t>HAPPE:N</t>
  </si>
  <si>
    <t>HAPPY MOMENT</t>
  </si>
  <si>
    <t>HELIOS EVENEMENTS</t>
  </si>
  <si>
    <t>HEUREUX A BORDEAUX</t>
  </si>
  <si>
    <t>HISTOIRES DE CARTONS</t>
  </si>
  <si>
    <t>ICRONOS ASSOCIATION DU FESTIVAL INTERNATIONAL DU FILM ARCHEOLOGIQUE</t>
  </si>
  <si>
    <t>IMPACTS 33</t>
  </si>
  <si>
    <t>IMPALA</t>
  </si>
  <si>
    <t>INSTANCE REGIONALE EDUCATION ET PROMOTION DE LA SANTE NOUVELLE-AQUITAINE (IREPS NOUVELLE-AQUITAINE)</t>
  </si>
  <si>
    <t>INSTITUT CULTUREL AFRICAIN (ICA)</t>
  </si>
  <si>
    <t>INSTITUT DE L'ENGAGEMENT (IDE)</t>
  </si>
  <si>
    <t>INSTITUT MICHEL MONTAIGNE</t>
  </si>
  <si>
    <t>INSTITUT SUPERIEUR EUROPEEN DE FORMATION PAR ALTERNANCE ET CONTINUE (ISEFAC) BACHELOR BORDEAUX</t>
  </si>
  <si>
    <t>INTERIEUR NUIT</t>
  </si>
  <si>
    <t>INTERNATIONAL COACH FEDERATION FRANCE (ICFF)</t>
  </si>
  <si>
    <t>INTERNATIONAL NATURAL VANILLA ORGANISATION (INVO)</t>
  </si>
  <si>
    <t>ISIC RIDER</t>
  </si>
  <si>
    <t>ISIS EST AU 106</t>
  </si>
  <si>
    <t>J'AI PAS TOUT COMPRIS</t>
  </si>
  <si>
    <t>JEUNE BALLET D'AQUITAINE</t>
  </si>
  <si>
    <t>JEUNE ORCHESTRE SYMPHONIQUE DE L'ENTRE-DEUX-MERS (JOSEM)</t>
  </si>
  <si>
    <t>JEUNESSE NOUVEAU REGARD (JNR)</t>
  </si>
  <si>
    <t>JEUX DE MOT</t>
  </si>
  <si>
    <t>JSA BORDEAUX METROPOLE BASKET</t>
  </si>
  <si>
    <t>KAIZOKU, CINEBAT'EAU</t>
  </si>
  <si>
    <t>KALOS</t>
  </si>
  <si>
    <t>KER PHILIA</t>
  </si>
  <si>
    <t>KIZOINDESIGN</t>
  </si>
  <si>
    <t>L'ADAPT</t>
  </si>
  <si>
    <t>L'ARBRE DE VIE</t>
  </si>
  <si>
    <t>L'ART &amp; SCENE</t>
  </si>
  <si>
    <t>L'ASSEMBLEE CREATIVE</t>
  </si>
  <si>
    <t>L'ASSO POINCARE</t>
  </si>
  <si>
    <t>L'ASSOCIATION DE LA REVUE</t>
  </si>
  <si>
    <t>L'AUTRE CERCLE AQUITAINE</t>
  </si>
  <si>
    <t>L'AVENTURE PEUGEOT CITROEN DS</t>
  </si>
  <si>
    <t>L'ECOLE DU BONHEUR</t>
  </si>
  <si>
    <t>L'ESSENCE DE VIE (EDV)</t>
  </si>
  <si>
    <t>L'ILE AUX ENFANTS</t>
  </si>
  <si>
    <t>L'INCONGRU</t>
  </si>
  <si>
    <t>L'OSTAU OCCITAN (SECTION DE L'INSTITUT D'ETUDES OCCITANES POUR LE DEPARTEMENT DE LA GIRONDE)</t>
  </si>
  <si>
    <t>LA BELLE ENDORMIE</t>
  </si>
  <si>
    <t>LA BOITE DE OUF</t>
  </si>
  <si>
    <t>LA CASE</t>
  </si>
  <si>
    <t>LA CHIFFONNE RIT</t>
  </si>
  <si>
    <t>LA CIGOGNE - COORDINATION INDEPENDANTE GIRONDINE D'ASSISTANTES MATERNELLES</t>
  </si>
  <si>
    <t>LA CLE DES ONDES</t>
  </si>
  <si>
    <t>LA COMEDIE TRIBALE - LCT</t>
  </si>
  <si>
    <t>LA COMPAGNIE ADN</t>
  </si>
  <si>
    <t>LA COMPAGNIE DES 3M</t>
  </si>
  <si>
    <t>LA COMPAGNIE DES SONGES</t>
  </si>
  <si>
    <t>LA COMPAGNIE DES... CURIOSITES!</t>
  </si>
  <si>
    <t>LA COMPAGNIE DU REFECTOIRE - THEATRE D'ECHANGES INTERNATIONAUX</t>
  </si>
  <si>
    <t>LA COMPAGNIE « LES FOUS DE LA RAMPE »</t>
  </si>
  <si>
    <t>LA FABRIQUE OPERA BORDEAUX AQUITAINE</t>
  </si>
  <si>
    <t>LA FLAMBEE</t>
  </si>
  <si>
    <t>LA KAHUTABAM</t>
  </si>
  <si>
    <t>LA LIBELLULE</t>
  </si>
  <si>
    <t>LA LIGUE DE L'ENSEIGNEMENT - FEDERATION OEUVRES LAIQUES DE LA GIRONDE</t>
  </si>
  <si>
    <t>LA MAISON DE SOI</t>
  </si>
  <si>
    <t>LA MIEL</t>
  </si>
  <si>
    <t>LA PLUME ET LE CRAYON</t>
  </si>
  <si>
    <t>LA POLKA</t>
  </si>
  <si>
    <t>LA ROUTE DES VINS</t>
  </si>
  <si>
    <t>LA TRAVERSEE</t>
  </si>
  <si>
    <t>LA TRIBU DU CHANGEMENT</t>
  </si>
  <si>
    <t>LA TROISIEME PORTE A GAUCHE</t>
  </si>
  <si>
    <t>LA VIE A DOMICILE - MAISON DE LA SANTE ET DES AIDANTS</t>
  </si>
  <si>
    <t>LA VOLIERE</t>
  </si>
  <si>
    <t>LANGAGE TOI</t>
  </si>
  <si>
    <t>LATESTA PROTECTION DE L'HABITAT</t>
  </si>
  <si>
    <t>LE BLEU DU CIEL EDITIONS</t>
  </si>
  <si>
    <t>LE CARREAU</t>
  </si>
  <si>
    <t>LE COLLECTIF DES JARDINIERS URBAINS</t>
  </si>
  <si>
    <t>LE DIRE AUTREMENT</t>
  </si>
  <si>
    <t>LE FRIIIX CLUB</t>
  </si>
  <si>
    <t>LE GARAGE MODERNE</t>
  </si>
  <si>
    <t>LE LABO DES HISTOIRES SECTION SUD-ATLANTIQUE</t>
  </si>
  <si>
    <t>LE LEVAIN HABITATS JEUNES SIMONE NOAILLES</t>
  </si>
  <si>
    <t>LE NOM LIEU</t>
  </si>
  <si>
    <t>LE PONT DES ARTS</t>
  </si>
  <si>
    <t>LE REVE</t>
  </si>
  <si>
    <t>LE SATELLITE, ASSO ACTIVITE EMPLOI, LABEL MUSICAL, EDITORIAL PLATEFORME PRODUCT. DIFFUSION, FORMAT.</t>
  </si>
  <si>
    <t>LECOKTAIL</t>
  </si>
  <si>
    <t>LENA D'AZY</t>
  </si>
  <si>
    <t>LES AMIS AQUITAINS DES SEMAINES SOCIALES DE FRANCE</t>
  </si>
  <si>
    <t>LES AMIS DE LA CATHEDRALE ST ANDRE DE BORDEAUX</t>
  </si>
  <si>
    <t>LES AMIS DU FRAC AQUITAINE</t>
  </si>
  <si>
    <t>LES AMIS DU LIVRE ANCIEN ET MODERNE (ALAM)</t>
  </si>
  <si>
    <t>LES APPRENTIS PHILOSOPHES</t>
  </si>
  <si>
    <t>LES ARAIGNEES PHILOSOPHES</t>
  </si>
  <si>
    <t>LES ATELIERS DU GRAND VOYAGEUR</t>
  </si>
  <si>
    <t>LES BALADES ALTERNATIVES</t>
  </si>
  <si>
    <t>LES BIDIBULLES</t>
  </si>
  <si>
    <t>LES BLOUSES ROSES - ANIMATION LOISIRS A L'HOPITAL COMITE DE BORDEAUX</t>
  </si>
  <si>
    <t>LES CHANTIERS TRAMASSET</t>
  </si>
  <si>
    <t>LES CONCILIATEURS DE JUSTICE DE LA COUR D'APPEL DE BORDEAUX</t>
  </si>
  <si>
    <t>LES DETRITIVORES</t>
  </si>
  <si>
    <t>LES DROITS DU PIETON EN GIRONDE</t>
  </si>
  <si>
    <t>LES FELIS MARGARITA</t>
  </si>
  <si>
    <t>LES FEMMES CHEFS D'ENTREPRISES-FCE FRANCE</t>
  </si>
  <si>
    <t>LES MAINS POUR LE DIRE</t>
  </si>
  <si>
    <t>LES MARDIS DE L'ART</t>
  </si>
  <si>
    <t>LES MARINS DE LA LUNE</t>
  </si>
  <si>
    <t>LES MORDUC</t>
  </si>
  <si>
    <t>LES ORCHIDEES ROUGES</t>
  </si>
  <si>
    <t>LES P'TITES QUENOTTES</t>
  </si>
  <si>
    <t>LES PARENTS INDEPENDANTS D'ANATOLE-FRANCE - PIAF</t>
  </si>
  <si>
    <t>LES REQUINS MARTEAUX</t>
  </si>
  <si>
    <t>LES SALINIERES ASSOCIATION SPORTIVE</t>
  </si>
  <si>
    <t>LES TETES DE L'ART</t>
  </si>
  <si>
    <t>LIGUE AQUITAINE DE SAVATE ET DISCIPLINES ASSOCIEES</t>
  </si>
  <si>
    <t>LIGUE AQUITAINE DE TAEKWONDO</t>
  </si>
  <si>
    <t>LIGUE D’AQUITAINE D’ATHLETISME</t>
  </si>
  <si>
    <t>LIGUE FRANCAISE POUR DEFENSE DROITS DE L'HOMME ET DU CITOYEN (LDH) ET LIGUE DES DROITS DE L'HOMME</t>
  </si>
  <si>
    <t>LIGUE REGIONALE DE LA FEDERATION DE MUAY THAI ET DISCIPLINES ASSOCIEES REGION AQUITAINE - FMDA</t>
  </si>
  <si>
    <t>LIONS CLUB BORDEAUX ROYAL</t>
  </si>
  <si>
    <t>LIONS CLUB BORDEAUX SAINT AUGUSTIN</t>
  </si>
  <si>
    <t>LIONS CLUB BORDEAUX-EUROPE - DISTRICT 103 SUD-OUEST</t>
  </si>
  <si>
    <t>LIONS CLUB DE BORDEAUX CAUDERAN</t>
  </si>
  <si>
    <t>LIONS-CLUB BORDEAUX-MASCARET</t>
  </si>
  <si>
    <t>LO TALHIER - ATELIER MUSIQUE ET DANSE TRADITIONNELLES DE BORDEAUX-CAUDERAN</t>
  </si>
  <si>
    <t>LOCAL ATTITUDE</t>
  </si>
  <si>
    <t>LUSO KIZOMBA</t>
  </si>
  <si>
    <t>LYCEUM CLUB INTERNATIONAL DE BORDEAUX</t>
  </si>
  <si>
    <t>M-TECH MECANIQUE TECHNOLOGIE</t>
  </si>
  <si>
    <t>MAINTIEN DE LA TRADITION DE DAGPO DRATSANG</t>
  </si>
  <si>
    <t>MAISON DE LA NATURE ET DE L'ENVIRONNEMENT BORDEAUX-AQUITAINE</t>
  </si>
  <si>
    <t>MAISON DES ADOLESCENTS DE LA GIRONDE (MDA 33)</t>
  </si>
  <si>
    <t>MAISON DES METIERS DE L'IMPRIMERIE - AMHITEIM</t>
  </si>
  <si>
    <t>MAISON EUROPEENNE DE LA CITOYENNETE</t>
  </si>
  <si>
    <t>MAKESENSE</t>
  </si>
  <si>
    <t>MAM IL ETAIT UNE FOIS</t>
  </si>
  <si>
    <t>MAM LES PETITS LIONS BLEUS</t>
  </si>
  <si>
    <t>MAM STRAM GRAM</t>
  </si>
  <si>
    <t>MANECOUNDA</t>
  </si>
  <si>
    <t>MARTINE CHEZ L'ORTHODONTISTE</t>
  </si>
  <si>
    <t>MAYOTTE-GIRONDE</t>
  </si>
  <si>
    <t>MECHANIC CIRCUS</t>
  </si>
  <si>
    <t>MEDULLA</t>
  </si>
  <si>
    <t>MEEGOT</t>
  </si>
  <si>
    <t>MELIMEL'ONDES</t>
  </si>
  <si>
    <t>MIAOU RECORDS</t>
  </si>
  <si>
    <t>MINI JACK</t>
  </si>
  <si>
    <t>MINI POPPINS</t>
  </si>
  <si>
    <t>MONTPELLIER BEACH VOLLEY</t>
  </si>
  <si>
    <t>MOTO CLUB HEXAGON 33</t>
  </si>
  <si>
    <t>MOUVEMENT DES ENTREPRENEURS SOCIAUX</t>
  </si>
  <si>
    <t>MUSICA LUNAE</t>
  </si>
  <si>
    <t>NAFASSY BORDEAUX</t>
  </si>
  <si>
    <t>NANTES SUMMERCAMP</t>
  </si>
  <si>
    <t>NAÇAO PALMARES CAPOEIRA DE BORDEAUX</t>
  </si>
  <si>
    <t>NEELA CHANDRA</t>
  </si>
  <si>
    <t>NOS D'ART</t>
  </si>
  <si>
    <t>NOTRE-DAME DES BARRAILS</t>
  </si>
  <si>
    <t>NOUVELLE GESTION DES RESSOURCES HUMAINES (NGRH)</t>
  </si>
  <si>
    <t>NOUVELLE-AQUITAINE FILMS</t>
  </si>
  <si>
    <t>NQT (NOS QUARTIERS ONT DU TALENT) - NOUVELLE AQUITAINE</t>
  </si>
  <si>
    <t>NVL/CRALEJ - NOUS VOULONS LIRE !/CENTRE RECH. RESS. AQUIT. LIVRE LECTURE LITTERATURE ENF. JEUNESSE</t>
  </si>
  <si>
    <t>O'PTIMOMES LOISIRS</t>
  </si>
  <si>
    <t>ODE, ORGANISATEUR D'EVENEMENTS</t>
  </si>
  <si>
    <t>OFFICE AQUITAIN RECHERCHES, ETUDES, INFORMATION ET LIAISON SUR PROBLEMES PERSONNES AGEES - OAREIL</t>
  </si>
  <si>
    <t>Matériel informatique, locaux</t>
  </si>
  <si>
    <t>ORGANISATIONS POSITIVES DU SUD OUEST</t>
  </si>
  <si>
    <t>OXYJEN'</t>
  </si>
  <si>
    <t>PAINTING BORDEAUX</t>
  </si>
  <si>
    <t>PARLECOUTER</t>
  </si>
  <si>
    <t>PARTAGE BORDEAUX GIRONDE</t>
  </si>
  <si>
    <t>PETRONILLE, PATRIMOINE ET DECOUVERTE</t>
  </si>
  <si>
    <t>PIZZICATI</t>
  </si>
  <si>
    <t>PMI FRANCE CHAPTER - BRANCHE NOUVELLE AQUITAINE</t>
  </si>
  <si>
    <t>POUR L'AMOUR DES ANIMAUX</t>
  </si>
  <si>
    <t>POUR UNE EDUCATION BIEN-VEILLANTE</t>
  </si>
  <si>
    <t>PREMICES</t>
  </si>
  <si>
    <t>PROLOGUE</t>
  </si>
  <si>
    <t>RAGNAROCK</t>
  </si>
  <si>
    <t>REGARD 9 - AGENCE METROPOLITAINE DE LA BANDE DESSINEE</t>
  </si>
  <si>
    <t>RESEAU ALTERNATIF CULTUREL ET ARTISTIQUE INTERNATIONAL</t>
  </si>
  <si>
    <t>RESEAU FRANCAIS DES ETUDIANTS POUR LE DEVELOPPEMENT DURABLE - REFEDD</t>
  </si>
  <si>
    <t>RESEAU « AGIR 33 » - RESEAU ADDICTIONS GIRONDE</t>
  </si>
  <si>
    <t>RESISTANCE GABONAISE DE BORDEAUX (RG33)</t>
  </si>
  <si>
    <t>REZ DE CHAUSSEE</t>
  </si>
  <si>
    <t>RIRE A BORDEAUX</t>
  </si>
  <si>
    <t>ROCK'N SWING CLUB</t>
  </si>
  <si>
    <t>ROTARY CLUB BORDEAUX-EST</t>
  </si>
  <si>
    <t>ROTARY-CLUB DE BORDEAUX-NORD</t>
  </si>
  <si>
    <t>ROTEX 1690</t>
  </si>
  <si>
    <t>RUDEBOYZ RECORDS</t>
  </si>
  <si>
    <t>RUE BOUFFARD ASSOCIATION DES COMMERÇANTS</t>
  </si>
  <si>
    <t>SAMBA MWANAS (SAMBAMWANAS)</t>
  </si>
  <si>
    <t>SARAH (HABITAT POUR ACTIFS ET RETRAITES, AUTONOMES ET SOLIDAIRES)</t>
  </si>
  <si>
    <t>SAUVAGE GARAGE</t>
  </si>
  <si>
    <t>SCOUTS ET GUIDES DE FRANCE</t>
  </si>
  <si>
    <t>SCOUTS ET GUIDES DE FRANCE -- GROUPE MARIN DE BORDEAUX</t>
  </si>
  <si>
    <t>SENIORS SOURDS DE LA GIRONDE</t>
  </si>
  <si>
    <t>SENSECUBE</t>
  </si>
  <si>
    <t>SHAKE &amp; FIT</t>
  </si>
  <si>
    <t>SLOT RACING CLUB DE BORDEAUX - SRCB</t>
  </si>
  <si>
    <t>SMA - SKATE MACHINE ARSACAISE</t>
  </si>
  <si>
    <t>SO COOPERATION</t>
  </si>
  <si>
    <t>SOCIETE D'HYGIENE ET DE MEDECINE DU TRAVAIL DANS LES ARMEES ET INDUSTRIES D'ARMEMENT SHMTAIA</t>
  </si>
  <si>
    <t>SOCIETE HIPPIQUE DE LEOGNAN</t>
  </si>
  <si>
    <t>SOCIETE SYMPHONIQUE DE BORDEAUX CAUDERAN</t>
  </si>
  <si>
    <t>SOEURS D'ENCRE BY ROSE TATTOO</t>
  </si>
  <si>
    <t>SOLID'EARTH</t>
  </si>
  <si>
    <t>SOLIDARITE ET PROGRES</t>
  </si>
  <si>
    <t>SOLIDARITES NOUVELLES FACE AU CHOMAGE - SNC</t>
  </si>
  <si>
    <t>SOLIHA UNION REGIONALE NOUVELLE AQUITAINE</t>
  </si>
  <si>
    <t>SOLINUM</t>
  </si>
  <si>
    <t>SONS DE TOILE</t>
  </si>
  <si>
    <t>SOROPTIMIST INTERNATIONAL - CLUB DE BORDEAUX METROPOLE</t>
  </si>
  <si>
    <t>SOYONS LE CHANGEMENT</t>
  </si>
  <si>
    <t>SPORT ADDICT</t>
  </si>
  <si>
    <t>SPORT, EVOLUTION, ARTS ENERGETIQUES</t>
  </si>
  <si>
    <t xml:space="preserve">STADE BORDELAIS - ASPTT </t>
  </si>
  <si>
    <t>STATION ESSENCE</t>
  </si>
  <si>
    <t>STOP AUX VIOLENCES SEXUELLES - 33</t>
  </si>
  <si>
    <t>STOP HARCELEMENT DE RUE</t>
  </si>
  <si>
    <t>STREET WORKOUT BORDEAUX</t>
  </si>
  <si>
    <t>SUD-OUEST SOLIDARITE</t>
  </si>
  <si>
    <t>SUKHALI DEVELOPPEMENT LOCAL PAR LES FEMMES AU SENEGAL</t>
  </si>
  <si>
    <t>SUR NOS GARDES</t>
  </si>
  <si>
    <t>SURFRIDER FOUNDATION EUROPE</t>
  </si>
  <si>
    <t>SURVIE-GIRONDE</t>
  </si>
  <si>
    <t>TABLE RONDE FRANÇAISE BORDEAUX 135</t>
  </si>
  <si>
    <t>TEDX IN BORDEAUX</t>
  </si>
  <si>
    <t>THE ARTIST</t>
  </si>
  <si>
    <t>THEATRE ONYX</t>
  </si>
  <si>
    <t>THOTH CIVILISATIONS SANS FRONTIERES</t>
  </si>
  <si>
    <t>TIBI GLORIA</t>
  </si>
  <si>
    <t>TOTOCHE PROD</t>
  </si>
  <si>
    <t>TOUS AZIMUTS</t>
  </si>
  <si>
    <t>TOUT CEREBROLESE ASSISTANCE</t>
  </si>
  <si>
    <t>TOUT EST POSSIBLE (TEP)</t>
  </si>
  <si>
    <t>TOUT UN ART</t>
  </si>
  <si>
    <t>TRISOMIE 21 AQUITAINE</t>
  </si>
  <si>
    <t>TROUPE D'IMPROVISATION THEATRALE D'AQUITAINE NOBLE SCENE (TITANS)</t>
  </si>
  <si>
    <t>UKRAINE AMITIE (UA)</t>
  </si>
  <si>
    <t>UNION AFRIQUE CARAIBES (UAC)</t>
  </si>
  <si>
    <t>UNION BEGLES BORDEAUX-MIOS BIGANOS</t>
  </si>
  <si>
    <t>UNION BORDEAUX NORD DES ASSOCIATIONS DE PREVENTION SPECIALISEE - UBAPS</t>
  </si>
  <si>
    <t>UNION DES FAMILLES LAIQUES DE BORDEAUX - UFAL BORDEAUX</t>
  </si>
  <si>
    <t>UNION DES TRAVAILLEURS SENEGALAIS EN FRANCE - SCT GDE</t>
  </si>
  <si>
    <t>UNION FRANCAISE POUR LA SANTE DU PIED</t>
  </si>
  <si>
    <t>UNION GENERALE SPORTIVE DE L'ENSEIGNEMENT LIBRE D'AQUITAINE (UGSEL)</t>
  </si>
  <si>
    <t>UNION LAIQUE DES CAMPEURS RANDONNEURS - ULCR</t>
  </si>
  <si>
    <t>UNION LOCALE DE LA CONSOMMATION DU LOGEMENT ET CADRE DE VIE DE BORDEAUX RIVE DROITE - CLCV</t>
  </si>
  <si>
    <t>UNION NATIONALE DES COMBATTANTS DU DEPARTEMENT DE LA GIRONDE</t>
  </si>
  <si>
    <t>UNION REGIONALE DES CENTRES D'INFORMATION SUR LES DROITS DES FEMMES ET DES FAMILLES</t>
  </si>
  <si>
    <t>UNION REGIONALE POUR L’HABITAT DES JEUNES D’ AQUITAINE (URHAJ AQUITAINE)</t>
  </si>
  <si>
    <t>USEP BORDEAUX BENAUGE</t>
  </si>
  <si>
    <t>UTOPIA COLLECTIF CINEMA</t>
  </si>
  <si>
    <t>VACANCES ANIMATION LOISIRS TOURISME 33 - VALT 33</t>
  </si>
  <si>
    <t>VARIETES CLUB DE BORDEAUX - VCB</t>
  </si>
  <si>
    <t>VERS LA CONNAISSANCE DE SOI</t>
  </si>
  <si>
    <t>VERY CHEAP PRODUCTION (VCP)</t>
  </si>
  <si>
    <t>VIVRE SANS THYROIDE</t>
  </si>
  <si>
    <t>VOVINAM VIET VO DAO - CLUB DE BORDEAUX CHAUFFOUR</t>
  </si>
  <si>
    <t>WA TID SAOU ALLONS DANSER</t>
  </si>
  <si>
    <t>WELCOME BORDEAUX (RESEAU D'HOSPITALITE POUR DES DEMANDEURS D'ASILE DANS LA REGION DE BORDEAUX)</t>
  </si>
  <si>
    <t>WINTEGREAT</t>
  </si>
  <si>
    <t>WISE SCA (WELSH, IRISH, SCOTTISH &amp; ENGLISH SPORTING &amp; CULTURAL ASSOCIATION)</t>
  </si>
  <si>
    <t>WUNDERSTUDIO</t>
  </si>
  <si>
    <t>WWW.AV-LO.COM</t>
  </si>
  <si>
    <t>YA DE LA JOIE DE VIVRE</t>
  </si>
  <si>
    <t>YOGALBEDO (ASSOCIATION DE KUNDALINI YOGA)</t>
  </si>
  <si>
    <t>ZAZOUS PRODUCTIONS</t>
  </si>
  <si>
    <t>ZUP DE CO</t>
  </si>
  <si>
    <t>ADOMA</t>
  </si>
  <si>
    <t>EBS LE RELAIS VAL DE SEINE - LE RELAIS GIRONDE</t>
  </si>
  <si>
    <t>EUTERPE PROMOTION</t>
  </si>
  <si>
    <t>OBOEM</t>
  </si>
  <si>
    <t>OWENZA</t>
  </si>
  <si>
    <t>SOCIETE EDITRICE DU MONDE</t>
  </si>
  <si>
    <t>UNION COOP DE LA PAGE BLANCHE Personnes physiques</t>
  </si>
  <si>
    <t>BORDEAUX MECENES SOLIDAIRES</t>
  </si>
  <si>
    <t>QUOY SYGRID</t>
  </si>
  <si>
    <t>SOLIDAIRES SUD EMPLOI AQUITAINE Personnes de droit public</t>
  </si>
  <si>
    <t>DEPARTEMENT DE LA GIRONDE Communes</t>
  </si>
  <si>
    <t>UNIVERSITE DE BORDEAUX Autres</t>
  </si>
  <si>
    <t>Communication, équipements sportifs</t>
  </si>
  <si>
    <t>CHAMBRE DE COMMERCE D'INDUSTRIE TERRITORIALE BORDEAUX GIRONDE</t>
  </si>
  <si>
    <t>ECOLE D'ENSEIGNEMENT SUPERIEUR D'ART DE BORDEAUX - ESAB</t>
  </si>
  <si>
    <t>ECOLE NATIONALE SUPERIEURE D'ARCHITECTURE ET DE PAYSAGE DE BORDEAUX - ENSAP</t>
  </si>
  <si>
    <t>MUSEE DES DOUANES</t>
  </si>
  <si>
    <t>Année</t>
  </si>
  <si>
    <t>COUNT of Montant du fonds de concours ou de la subvention (numéraire)</t>
  </si>
  <si>
    <t>2016 + 2017</t>
  </si>
  <si>
    <t>2016 ou 2017</t>
  </si>
  <si>
    <t>SUM of Montant du fonds de concours ou de la subvention (numéraire)</t>
  </si>
  <si>
    <t>SUM of Année</t>
  </si>
  <si>
    <t>web-scraper-start-url</t>
  </si>
  <si>
    <t>nom</t>
  </si>
  <si>
    <t>description</t>
  </si>
  <si>
    <t>adresse</t>
  </si>
  <si>
    <t>code postal</t>
  </si>
  <si>
    <t>telephone</t>
  </si>
  <si>
    <t>president</t>
  </si>
  <si>
    <t>site web</t>
  </si>
  <si>
    <t>categorie</t>
  </si>
  <si>
    <t>https://assos.bordeaux.fr/association/detail/1857</t>
  </si>
  <si>
    <t>PERCAL TANGO</t>
  </si>
  <si>
    <t>Promouvoir la culture argentine à travers la musique, la danse, le théâtre. Création et vente des spectacles vivants.</t>
  </si>
  <si>
    <t xml:space="preserve">86 Cours Victor Hugo                                                                                                </t>
  </si>
  <si>
    <t>33000</t>
  </si>
  <si>
    <t>05 40 05 22 45</t>
  </si>
  <si>
    <t>null</t>
  </si>
  <si>
    <t>https://assos.bordeaux.fr/association/detail/634</t>
  </si>
  <si>
    <t>ARTISANS DU MONDE BORDEAUX - ADM</t>
  </si>
  <si>
    <t>Promouvoir le commerce équitable afin de permettre aux producteurs de pays ou régions défavorisés de vivre dignement de leur travail et être acteur de leur développement. Permettre aux consommateurs d'être informés sur les dysfonctionnements du commerce international. Contribuer à changer les mécanismes du commerce international</t>
  </si>
  <si>
    <t xml:space="preserve">30 rue du Parlement Saint Pierre                                                                                                </t>
  </si>
  <si>
    <t>05 56 44 23 33</t>
  </si>
  <si>
    <t>admbordeaux.org</t>
  </si>
  <si>
    <t>Entraide, solidarité, humanitaire</t>
  </si>
  <si>
    <t>https://assos.bordeaux.fr/association/detail/955</t>
  </si>
  <si>
    <t>CERCLE PHILATÉLIQUE BORDEAUX AQUITAINE - CPBA</t>
  </si>
  <si>
    <t>Association philatélique (collection de timbres) et marcophile (marques postales) atteignant une dizaine d'années d'existence forte de 160 membres actifs. Cette association est ouverte à tous les philatélistes débutants ou confirmés, de tous les âges. Ses adhérents ont la possibilité de se réunir pour échanger et chercher des pièces manquantes à leurs collections, 4 samedis par mois.</t>
  </si>
  <si>
    <t xml:space="preserve">8 Rue de Blois                                    Chez M. Langella                                                                                                             </t>
  </si>
  <si>
    <t>33600</t>
  </si>
  <si>
    <t>05 56 07 24 64</t>
  </si>
  <si>
    <t>Gérard Langella</t>
  </si>
  <si>
    <t>Loisirs</t>
  </si>
  <si>
    <t>https://assos.bordeaux.fr/association/detail/588</t>
  </si>
  <si>
    <t>Défense des victimes de l'amiante et des victimes de maladies professionnelles faisant suite à une exposition aux autres agents cancérigènes ; prévention chez les particuliers et éradication de l'amiante</t>
  </si>
  <si>
    <t xml:space="preserve">5 place, Amédée St Germain                                                                                                </t>
  </si>
  <si>
    <t>33800</t>
  </si>
  <si>
    <t>05 56 91 60 69</t>
  </si>
  <si>
    <t>Georges ARNAUDEAU</t>
  </si>
  <si>
    <t>Santé, bien-être</t>
  </si>
  <si>
    <t>https://assos.bordeaux.fr/association/detail/680</t>
  </si>
  <si>
    <t>CENTRE ACCUEIL CONSULTATION INFORMATION SEXUALITÉ - CACIS</t>
  </si>
  <si>
    <t>Dans une démarche d’éducation populaire, le CACIS se donne pour finalité de permettre à toute personne, jeune ou adulte, de trouver les moyens de vivre sa sexualité dans notre société et d’agir contre toute forme d’exclusion liée à la santé, à la sexualité et au genre.</t>
  </si>
  <si>
    <t xml:space="preserve">Place de l'Europe                                                                BP 44                                </t>
  </si>
  <si>
    <t>33030</t>
  </si>
  <si>
    <t>05 56 39 11 69</t>
  </si>
  <si>
    <t>Brigitte Tandonnet</t>
  </si>
  <si>
    <t>cacis-pro.fr</t>
  </si>
  <si>
    <t>https://assos.bordeaux.fr/association/detail/1132</t>
  </si>
  <si>
    <t>HANDI CAP NOUVELLE AQUITAINE - HCNA</t>
  </si>
  <si>
    <t>Handi CAP Nouvelle Aquitaine est une association loi 1901 qui a pour objet d'informer les personnes touchées et concernées par le handicap ou la perte d'autonomie sur les loisirs accessibles des secteurs du tourisme, de la culture, du sport présents en Nouvelle Aquitaine. Elle fait coopérer les partenaires de ces secteurs pour collecter et organiser la diffusion de ces informations.</t>
  </si>
  <si>
    <t xml:space="preserve">436 av de Verdun                                                                                                </t>
  </si>
  <si>
    <t>33700</t>
  </si>
  <si>
    <t>05 56 12 39 39</t>
  </si>
  <si>
    <t>Patrick TREINS</t>
  </si>
  <si>
    <t>https://assos.bordeaux.fr/association/detail/1394</t>
  </si>
  <si>
    <t>ASSOCIATION DES SAHRAOUIS À BORDEAUX  - ASB</t>
  </si>
  <si>
    <t>Notre association a pour but de faire connaitre et reconnaître le peuple du Sahara Occidental, son histoire, sa culture, sa vie, son territoire et ses ressources auprès de l'opinion française et internationale. Mais aussi de soutenir les sahraouis dans les difficultés matérielles quotidiennes et dans la lutte pacifique vers la résolution du problème de décolonisation de leur pays.</t>
  </si>
  <si>
    <t xml:space="preserve">9 bis cours Edouard Vaillant                                                                                                </t>
  </si>
  <si>
    <t>33300</t>
  </si>
  <si>
    <t>06 05 90 55 41</t>
  </si>
  <si>
    <t>Mohamed Salem Mohamed Brahim</t>
  </si>
  <si>
    <t>Culture</t>
  </si>
  <si>
    <t>https://assos.bordeaux.fr/association/detail/1820</t>
  </si>
  <si>
    <t>LES CRAYONNEUSES</t>
  </si>
  <si>
    <t>Action de médiation artistique, culturelle, bien-être. Création d'ouvrages et objets papiers.</t>
  </si>
  <si>
    <t xml:space="preserve">3 chemin du Grand Port                                                                                                </t>
  </si>
  <si>
    <t>33880</t>
  </si>
  <si>
    <t>06 87 19 99 02</t>
  </si>
  <si>
    <t>lescrayonneuses.com</t>
  </si>
  <si>
    <t>https://assos.bordeaux.fr/association/detail/515</t>
  </si>
  <si>
    <t>OPÉRA BASTIDE - OB</t>
  </si>
  <si>
    <t>la compagnie Opéra Bastide représentait initialement un espace de création où l'apprentissage du métier se fait immédiatement par la scène, au contact du public, en dehors du cadre institutionnel.</t>
  </si>
  <si>
    <t xml:space="preserve">BP 24                                                                BP 24                                </t>
  </si>
  <si>
    <t>33034</t>
  </si>
  <si>
    <t>06 58 52 19 58</t>
  </si>
  <si>
    <t>https://assos.bordeaux.fr/association/detail/713</t>
  </si>
  <si>
    <t>ASSOCIATION DES AMIS D’ELIANE LAVAIL - AMIDEL</t>
  </si>
  <si>
    <t>pas d'adresse</t>
  </si>
  <si>
    <t/>
  </si>
  <si>
    <t>https://assos.bordeaux.fr/association/detail/615</t>
  </si>
  <si>
    <t>MAM'AN LES TI'BATEAUX</t>
  </si>
  <si>
    <t>L’objet de l’association de maison d’assistant(e)s maternel(le)s est le suivant :
Création, ouverture et gestion d'une maison d'assistant(e)s maternel(le)s (M.A.M.) avec un projet de mixité dans l'accueil d'enfants non porteurs de handicaps âgés de deux mois et demi à quatre ans et d'enfants porteurs de handicaps ou atteints d'une maladie chronique âgés de deux mois et demi à six ans.</t>
  </si>
  <si>
    <t xml:space="preserve">06 Place Philippe Lebon                                                                                                </t>
  </si>
  <si>
    <t>06 79 08 95 93</t>
  </si>
  <si>
    <t>Christine MOUNIER</t>
  </si>
  <si>
    <t>Education - Enfance - Jeunesse - Vie étudiante</t>
  </si>
  <si>
    <t>https://assos.bordeaux.fr/association/detail/1405</t>
  </si>
  <si>
    <t>WINE WILD WEST</t>
  </si>
  <si>
    <t>L'association Wine Wild West a pour objet : l’organisation et la promotion d’un rassemblement annuel de danseurs de west coast swing en région bordelaise dénommé Wine Wild West. Ce rassemblement est un festival qui comprend des cours de danse et soirées de west coast swing. De plus le festival propose des découvertes œnologiques et de spécialités Bordelaises.</t>
  </si>
  <si>
    <t xml:space="preserve">10 impasse Manes                                 Chez Mme Dubernet                                                                                                             </t>
  </si>
  <si>
    <t>33110</t>
  </si>
  <si>
    <t>06 52 06 18 13</t>
  </si>
  <si>
    <t>www.winewildwest-bordeaux.fr</t>
  </si>
  <si>
    <t>https://assos.bordeaux.fr/association/detail/1194</t>
  </si>
  <si>
    <t>UNION SAINT-BRUNO - USB</t>
  </si>
  <si>
    <t>Favoriser la pratique du sport sous toutes ses formes au titre du loisir et/ou de la compétition.</t>
  </si>
  <si>
    <t xml:space="preserve">49 rue Brizard                                                                                                </t>
  </si>
  <si>
    <t>05 56 96 33 53</t>
  </si>
  <si>
    <t>www.saint-bruno.org</t>
  </si>
  <si>
    <t>Sport</t>
  </si>
  <si>
    <t>https://assos.bordeaux.fr/association/detail/1053</t>
  </si>
  <si>
    <t>BXA - ESPRIT VOILE - BXA EV</t>
  </si>
  <si>
    <t>Proposer la découverte et le perfectionnement à la voile au départ de Bordeaux sur l'estuaire de la Gironde avec le voilier habitable de l’association (7,5 m ESTE 24).
Développer, promouvoir et favoriser des activités à caractère culturel et sportif dans le domaine du nautisme avec comme champ d’action les bassins à flot de Bordeaux, la ville de Bordeaux et au delà.</t>
  </si>
  <si>
    <t xml:space="preserve">Bld Alfred DANEY                                 Quai ouest Bassin à flot n° 2                                                                                                             </t>
  </si>
  <si>
    <t>07 69 17 50 70</t>
  </si>
  <si>
    <t>www.bxaespritvoile.fr</t>
  </si>
  <si>
    <t>https://assos.bordeaux.fr/association/detail/567</t>
  </si>
  <si>
    <t>ASSOCIATION PARLECOUTER</t>
  </si>
  <si>
    <t>Enseigner l'apprentissage d'outils de communication bienveillante et respectueuse, basés sur l'écoute active, profonde et sans jugement, sur le développement de l'empathie, pour une meilleure compréhension de l'autre et de soi. L'association vise à créer des conditions favorables à l'éducation et l'accompagnement des enfants / adolescents, à instaurer des relations plus sereines en famille et en société.</t>
  </si>
  <si>
    <t xml:space="preserve">11 rue du Palais Gallien, Appt A314                                                                                                </t>
  </si>
  <si>
    <t>06 78 66 97 33</t>
  </si>
  <si>
    <t>parlecouter.wixsite.com/bordeaux</t>
  </si>
  <si>
    <t>https://assos.bordeaux.fr/association/detail/1441</t>
  </si>
  <si>
    <t>AIDOMI est une association d'aide et de soins à domicile organisée en Service Polyvalent d'Aide et de Soins à Domicile (SPASAD). Nos services accompagnent 24h /24h les personnes vulnérables et les proches aidants dans le maintien à domicile à travers des missions d'aide à domicile (entretien du domicile, préparation des repas, accompagnement à la vie sociale)  et des soins infirmiers et d'hygiène.</t>
  </si>
  <si>
    <t xml:space="preserve">22 rue professeur lannelongue                                                                                                </t>
  </si>
  <si>
    <t>05 56 01 91 91</t>
  </si>
  <si>
    <t>aidomi.fr</t>
  </si>
  <si>
    <t>https://assos.bordeaux.fr/association/detail/796</t>
  </si>
  <si>
    <t>ASSOCIATION FRANCO-JAPONAISE D'ÉCHANGES CULTURELS RIVAGES - RIVAGES</t>
  </si>
  <si>
    <t>L'association à pour but de développer les relations culturelles franco-japonaises pour un enrichissement mutuel par des actions de diffusion de la culture, du savoir faire et de l'art japonais (exposition, conférences, cours, pratiques artistiques et de bien être).</t>
  </si>
  <si>
    <t xml:space="preserve">47 rue Jean Soula                                                                                                </t>
  </si>
  <si>
    <t>05 47 29 56 30</t>
  </si>
  <si>
    <t>www.association-rivages.org</t>
  </si>
  <si>
    <t>https://assos.bordeaux.fr/association/detail/1317</t>
  </si>
  <si>
    <t>PROMOFEMMES</t>
  </si>
  <si>
    <t>Insertion sociale, professionnelle, culturelle et citoyenne des femmes d’origine étrangère et de leur famille</t>
  </si>
  <si>
    <t xml:space="preserve">10 rue Carpenteyre                                                                                                </t>
  </si>
  <si>
    <t>05 56 94 64 07</t>
  </si>
  <si>
    <t>www.promofemmes.org</t>
  </si>
  <si>
    <t>https://assos.bordeaux.fr/association/detail/1258</t>
  </si>
  <si>
    <t>Depuis près de trente ans, la revue le festin permet à un large public de découvrir les richesses artistiques du Sud-Ouest. Elle est aujourd’hui reconnue comme la première publication culturelle et touristique de la région. Du local à l’universel, des monuments historiques à la création la plus contemporaine, la revue trimestrielle défend en effet une vision dynamique et originale de la culture.</t>
  </si>
  <si>
    <t xml:space="preserve">176 rue Achard                                 Zone d'activités Achard - Bât F1                                                                                                             </t>
  </si>
  <si>
    <t>05 56 69 72 46</t>
  </si>
  <si>
    <t>https://assos.bordeaux.fr/association/detail/1227</t>
  </si>
  <si>
    <t>LES DETRITIVORES - DTTV</t>
  </si>
  <si>
    <t>https://assos.bordeaux.fr/association/detail/711</t>
  </si>
  <si>
    <t>FRÈRES DES HOMMES - FDH</t>
  </si>
  <si>
    <t>La Pépinière de la solidarité internationale (créée par Frères des Hommes) est un dispositif d’accueil et d’accompagnement ouvert à tous ceux qui veulent mener un projet de solidarité internationale. Il s’adresse également à ceux qui souhaitent accompagner un ou plusieurs porteurs de projet dans leur démarche en devenant tuteur bénévole.</t>
  </si>
  <si>
    <t>2 rue de Savoie                                                                                                75006 Paris</t>
  </si>
  <si>
    <t>33</t>
  </si>
  <si>
    <t>01 55 42 62 62</t>
  </si>
  <si>
    <t>www.fdh.org</t>
  </si>
  <si>
    <t>https://assos.bordeaux.fr/association/detail/974</t>
  </si>
  <si>
    <t>PHILOSPHÈRES</t>
  </si>
  <si>
    <t>Ouvrir un espace de réflexion philosophique aux enfants, adolescents,
adultes : la proposition s’adresse à tous et s’inscrit dans une démarche culturelle durable et solidaire. Ateliers à visée philosophique pour enfants, pour adultes, événements sur la place publique, projet éditorial sur la mémoire, cinéphilo, écriture &amp; poésie... La philosophie est un « terreau » qui favorise une existence harmonieuse pour tous.</t>
  </si>
  <si>
    <t xml:space="preserve">6 rue Gaspard philippe                                                                                                </t>
  </si>
  <si>
    <t>06 77 60 53 90</t>
  </si>
  <si>
    <t>www.philospheres.org</t>
  </si>
  <si>
    <t>Vivre ensemble, vie quotidienne</t>
  </si>
  <si>
    <t>https://assos.bordeaux.fr/association/detail/1199</t>
  </si>
  <si>
    <t>UNION BORDEAUX MÉTROPOLE - UBM</t>
  </si>
  <si>
    <t>La présente association, sans but lucratif, a pour objet la pratique et l'organisation de toutes activités sportives, éducatives, culturelles, de loisirs, bien-être, gastronomiques. L’association est ouverte aux agents de la Mairie de Bordeaux, de la Métropole de Bordeaux (EPCI), et des communes membres de la Métropole, actifs et retraités ainsi qu’à leurs ayants droit et extérieurs (article 5).</t>
  </si>
  <si>
    <t xml:space="preserve">Hôtel de Bordeaux métropole                                  Esplanade Charles de Gaulle                                                                                                              </t>
  </si>
  <si>
    <t>33045</t>
  </si>
  <si>
    <t>05 57 20 70 56</t>
  </si>
  <si>
    <t>MARC JOKIEL</t>
  </si>
  <si>
    <t>https://assos.bordeaux.fr/association/detail/862</t>
  </si>
  <si>
    <t>L'Alternative Urbaine Bordeaux propose des balades pédestres alternatives à impact positif pour le territoire.
D'une part, elles sortent des sentiers touristiques habituels en mettant en valeur des quartiers dits "populaires" ;
D'autre part parce que ces balades sont animées par des "éclaireurs urbains" en insertion professionnelle que nous formons et rémunérons dans le cadre d'une activité tremplin vers l'emploi.</t>
  </si>
  <si>
    <t xml:space="preserve">40 rue Laffiteau                                 Chez Astrolabe                                                                                                             </t>
  </si>
  <si>
    <t>07 67 65 24 84</t>
  </si>
  <si>
    <t>bordeaux.alternative-urbaine.com</t>
  </si>
  <si>
    <t>https://assos.bordeaux.fr/association/detail/1503</t>
  </si>
  <si>
    <t>TEST 1809</t>
  </si>
  <si>
    <t>Association test</t>
  </si>
  <si>
    <t xml:space="preserve">Rue Claude Bonnier                                                                                                 </t>
  </si>
  <si>
    <t>05 10 10 34 64</t>
  </si>
  <si>
    <t>https://assos.bordeaux.fr/association/detail/598</t>
  </si>
  <si>
    <t>ASSOCIATION ODYSSÉE</t>
  </si>
  <si>
    <t>Contribuer à l'engagement et à la participation de tous, pour renforcer la citoyenneté européenne et l'émergence de « citoyens du monde »
Donner des clés de lecture pour appréhender la diversité et la complexité du monde actuel et développer l'apprentissage interculturel en promouvant et en mettant en œuvre des échanges européens et internationaux
Faciliter le vivre ensemble et le travailler ensemble</t>
  </si>
  <si>
    <t xml:space="preserve">5 rue Marengo                                                                                                </t>
  </si>
  <si>
    <t>06 09 46 33 14</t>
  </si>
  <si>
    <t>Elisabeth SILVA</t>
  </si>
  <si>
    <t>www.associationodyssee.fr</t>
  </si>
  <si>
    <t>https://assos.bordeaux.fr/association/detail/782</t>
  </si>
  <si>
    <t>LA CLÉ DES ONDES</t>
  </si>
  <si>
    <t>Ouverte à toutes et tous, la Clé des Ondes est la radio qui se mouille pour qu'il fasse beau. Elle se fait l'écho du mouvement culturel, social, associatif, environnemental. D'ici et d'ailleurs, de toutes les couleurs, de toutes les nationalités, de toutes les musiques, de tout ce qui bouge, elle ouvre ses micros aux sans-voix. Elle s'écoute sur le 90.10 en FM et sur lacdo.org.</t>
  </si>
  <si>
    <t xml:space="preserve">71 cours Edouard Vaillant                                                                                                </t>
  </si>
  <si>
    <t>05 56 39 87 57</t>
  </si>
  <si>
    <t>Gilbert Hanna</t>
  </si>
  <si>
    <t>www.lacdo.org</t>
  </si>
  <si>
    <t>https://assos.bordeaux.fr/association/detail/1042</t>
  </si>
  <si>
    <t>OPTIMOMES LOISIRS</t>
  </si>
  <si>
    <t>Favoriser l'esprit de découverte chez les jeunes en leur proposant des programmes d'activités variées  (Culture, sport, nature et science) ; promouvoir la pratique des activités sportives, artistiques, scientifiques et de nature en proposant la création de structures accueils ( écoles élémentaires/maternelles,CE) ; promouvoir grâce à des pratiques ludiques, la découverte de l'environnement auprès des enfants.</t>
  </si>
  <si>
    <t xml:space="preserve">10 rue de la Moulinatte                                                                                                </t>
  </si>
  <si>
    <t>33130</t>
  </si>
  <si>
    <t>05 56 85 53 14</t>
  </si>
  <si>
    <t>optimomesloisirs.com</t>
  </si>
  <si>
    <t>https://assos.bordeaux.fr/association/detail/1275</t>
  </si>
  <si>
    <t>ATELIER D'ÉCO SOLIDAIRE - ADS</t>
  </si>
  <si>
    <t>La Recyclerie créative de Bordeaux est depuis 2010 un des leviers de l’innovation sociale territoriale dans la réutilisation de matières, objets et mobilier dont les usagers, les entreprises et les collectivités veulent se débarrasser.
Par le travail croisé de salariés, de bénévoles de tous âges et de stagiaires de tous horizons, elle alimente une expérimentation concrète et et prône un retour au « bon sens ».</t>
  </si>
  <si>
    <t xml:space="preserve">7 rue la Motte Picquet                                                                                                </t>
  </si>
  <si>
    <t>05 56 10 46 19</t>
  </si>
  <si>
    <t>Cadre de vie environnement</t>
  </si>
  <si>
    <t>https://assos.bordeaux.fr/association/detail/626</t>
  </si>
  <si>
    <t>HÉLIOS EVENEMENTS - O S G</t>
  </si>
  <si>
    <t>Cette association a pour but de promouvoir et de développer les pratiques musicales : par la production de spectacles vivants les "Mini concerts'' comprenant la participation de l’orchestre symphonique de Gironde et de son activité de diffusion d’artistes ; par l’édition de supports informatifs et pédagogiques ; par l’organisation d’actions de formation musicale en favorisant les pratiques amateurs</t>
  </si>
  <si>
    <t xml:space="preserve">2 rue Frédéric Bastiat                                                                                                </t>
  </si>
  <si>
    <t>33100</t>
  </si>
  <si>
    <t>06 11 10 03 77</t>
  </si>
  <si>
    <t>orchestresymphoniquedegironde.fr</t>
  </si>
  <si>
    <t>https://assos.bordeaux.fr/association/detail/1410</t>
  </si>
  <si>
    <t>RIRE EN-JE - CLUB DE RIRE BX</t>
  </si>
  <si>
    <t>Amélioration du mieux être et des relations humaines notamment en faisant connaitre la méthode du Rire sans raison du Dr Kataria afin d'apporter de la joie de vivre, de la bonne humeur, et du bien être ; en connectant  les personnes à travers le rire ; en trouvant du bonheur à rendre les gens heureux et en apportant de l'amour inconditionnel.</t>
  </si>
  <si>
    <t xml:space="preserve">36 allée Haussmann                                                                                                </t>
  </si>
  <si>
    <t>06 12 29 51 96</t>
  </si>
  <si>
    <t>Pascale Senon</t>
  </si>
  <si>
    <t>https://assos.bordeaux.fr/association/detail/1576</t>
  </si>
  <si>
    <t>ASSOCIATION FRANÇAISE DE RUGBY SUBAQUATIQUE - AFRS</t>
  </si>
  <si>
    <t>Développer la pratique du rugby subaquatique en France et favoriser la participation à des compétitions nationales et internationales.</t>
  </si>
  <si>
    <t xml:space="preserve"> Rue Kléber                                                                                                </t>
  </si>
  <si>
    <t>06 24 40 80 30</t>
  </si>
  <si>
    <t>Anaïs De Chaumont</t>
  </si>
  <si>
    <t>https://assos.bordeaux.fr/association/detail/1734</t>
  </si>
  <si>
    <t>LA CASSETTE</t>
  </si>
  <si>
    <t>La Cassette promeut I'art &amp; la culture, crée des échanges sociaux &amp; culturels, organise du spectacle vivant, des expositions, aide &amp; conseille à la production musicale et le spectacle, conseille les lieux de diffusion à la programmation, résidence artistiques, accompagnement à l'enregistrement audio, accompagnement à la réalisation de vidéos, développement de projets artistiques...</t>
  </si>
  <si>
    <t xml:space="preserve">55 rue Galin                                                                                                </t>
  </si>
  <si>
    <t>06 84 31 45 04</t>
  </si>
  <si>
    <t>milos ares asian teran</t>
  </si>
  <si>
    <t>https://assos.bordeaux.fr/association/detail/555</t>
  </si>
  <si>
    <t>PRATIKABLE - PTK</t>
  </si>
  <si>
    <t>L'association Pratikable a pour but de valoriser et promouvoir le handicap à travers les sports de glisse et les sports à sensation.</t>
  </si>
  <si>
    <t xml:space="preserve">13 Rue Charles Perrault                                                                                                </t>
  </si>
  <si>
    <t>33370</t>
  </si>
  <si>
    <t>06 45 86 91 69</t>
  </si>
  <si>
    <t>Wilfried Panatier</t>
  </si>
  <si>
    <t>www.pratikable.com</t>
  </si>
  <si>
    <t>https://assos.bordeaux.fr/association/detail/1182</t>
  </si>
  <si>
    <t>CULTIVER L'ÉQUILIBRE</t>
  </si>
  <si>
    <t>Accompagner, transmettre et promouvoir auprès de tout public différentes pratiques et techniques ayant pour objectif d’améliorer la santé (état de bien-être total physique, mental et social) et de
permettre le développement personnel des personnes. 
Créer une dynamique de partage, d’échange et de mise en réseau de différents professionnels proposant ces pratiques.</t>
  </si>
  <si>
    <t xml:space="preserve">147 avenue de Labarde                                                                                                </t>
  </si>
  <si>
    <t>06 62 44 90 99</t>
  </si>
  <si>
    <t>https://assos.bordeaux.fr/association/detail/949</t>
  </si>
  <si>
    <t>MOUVEMENT  LE CRI</t>
  </si>
  <si>
    <t>Le Cri a pour objet de lutter contre toute forme de violences en particulier celles liées au système prostitutionnel. Elle se fixe une triple mission de prévention, d’information et de médiation.</t>
  </si>
  <si>
    <t xml:space="preserve">58, rue Schoelcher                                                                                                </t>
  </si>
  <si>
    <t>05 56 39 05 96</t>
  </si>
  <si>
    <t>https://assos.bordeaux.fr/association/detail/668</t>
  </si>
  <si>
    <t>FÉDÉRATION DES RADIOS ASSOCIATIVES DE LA GIRONDE  - FEDERA 33</t>
  </si>
  <si>
    <t>Établir des échanges entre les radios, par des rencontres avec thème (échange de programmes, nouvelles technologies et numérique, gestion administrative, fonction employeur, droits d’auteur…) et en créer les outils de mise en œuvre. Aider les radios à la constitution des nombreux dossiers administratifs. Intervenir auprès de radios en difficulté par le conseil auprès de leurs instances dirigeantes.</t>
  </si>
  <si>
    <t xml:space="preserve">153 rue David Johnston                                                                                                 </t>
  </si>
  <si>
    <t>06 52 84 62 80</t>
  </si>
  <si>
    <t>Nicole Teyssier</t>
  </si>
  <si>
    <t>www.federa33.org/la-federa33</t>
  </si>
  <si>
    <t>https://assos.bordeaux.fr/association/detail/511</t>
  </si>
  <si>
    <t>l association a pour but de créer et développer des animations et événements ,mener des réflexions,pour dynamiser la place CALIXTE CAMELLE et son quartier,en renforçant le lien social.De part son objet, l association peut être emmenée à exercer des activités économiques.</t>
  </si>
  <si>
    <t xml:space="preserve">le pti salon 60 rue bonnefin                                                                                                </t>
  </si>
  <si>
    <t>06 61 18 87 34</t>
  </si>
  <si>
    <t>Facebook                                                    
                                                Facebook</t>
  </si>
  <si>
    <t>https://assos.bordeaux.fr/association/detail/982</t>
  </si>
  <si>
    <t>L'association Les Pinsons gère l'Institut Pinsons (première structure passerelle d'accueil des 2/6 ans inspirée de l'approche éducative et pédagogique de Reggio Emilia et du modèle scandinave de la petite enfance) et les ateliers Let's (le meilleur des pédagogies actives - Montessori, Reggio, Fröbel - associés à nos ateliers ludo-éducatifs : Code et robotique, cuisine, jardinage, jeux de société, arts plastiques...)</t>
  </si>
  <si>
    <t xml:space="preserve">6 rue Jean Bedouret                                                                                                </t>
  </si>
  <si>
    <t>06 95 48 28 48</t>
  </si>
  <si>
    <t>Adeline Charneau</t>
  </si>
  <si>
    <t>www.institutpinsons.com</t>
  </si>
  <si>
    <t>https://assos.bordeaux.fr/association/detail/1307</t>
  </si>
  <si>
    <t>DYNAMIC KARATE BORDEAUX - DKB</t>
  </si>
  <si>
    <t>L'association Dynamic Karate Bordeaux a pour objet de développer le karate do shotokan et les valeurs intrinsèques liées au Dojo Kun</t>
  </si>
  <si>
    <t xml:space="preserve">21 bis avenue de brivazac                                                                                                </t>
  </si>
  <si>
    <t>06 17 64 85 32</t>
  </si>
  <si>
    <t>https://assos.bordeaux.fr/association/detail/1166</t>
  </si>
  <si>
    <t>ASSOCIATION EXPRESSIONS</t>
  </si>
  <si>
    <t>L’association Expression est un lieu de pratiques culturelles et artistiques. Elle propose des ateliers hebdomadaires et mensuels.
Elle regroupe sur un même lieu la danse, le yoga, la peinture, la sophrologie, le tissage à partir de matériaux de recyclage et le travail corporel.
Elle offre un espace propice à la création dans un cadre apaisant et atypique au cœur de Bordeaux, dans le quartier Fondaudège.</t>
  </si>
  <si>
    <t xml:space="preserve">23 impasse Sully                                                                                                </t>
  </si>
  <si>
    <t>05 56 01 12 41</t>
  </si>
  <si>
    <t>www.associationexpression.com</t>
  </si>
  <si>
    <t>https://assos.bordeaux.fr/association/detail/1669</t>
  </si>
  <si>
    <t>ALLIANCE 33  - ALLIANCE 33</t>
  </si>
  <si>
    <t>accompagnement bénévole des personnes gravement malades ou en fin de vie et de leurs proches, dans le cadre de la loi du 9 juin 1999 sur les soins palliatifs, en vue de soulager les souffrances physiques, morales, psychologiques et spirituelles , en institution ou à domicile, ou à l'antenne pour les soutiens et suivis de deuils.</t>
  </si>
  <si>
    <t xml:space="preserve">380 cours de la Somme                                                                                                </t>
  </si>
  <si>
    <t>05 56 43 07 07</t>
  </si>
  <si>
    <t>www.alliance.asso.fr</t>
  </si>
  <si>
    <t>https://assos.bordeaux.fr/association/detail/593</t>
  </si>
  <si>
    <t>LE LABO DES HISTOIRES NOUVELLE-AQUITAINE</t>
  </si>
  <si>
    <t>https://assos.bordeaux.fr/association/detail/1072</t>
  </si>
  <si>
    <t>ACTE</t>
  </si>
  <si>
    <t>Association d'aide au retour à l'emploi destinée principalement aux cadres sans emploi ou en reconversion professionnelle. Il s'agit d'un accompagnement individualisé et personnalisé jusqu'au retour à l'emploi.</t>
  </si>
  <si>
    <t xml:space="preserve">6 rue de Ségur                                                                                                </t>
  </si>
  <si>
    <t>05 56 81 77 59</t>
  </si>
  <si>
    <t>htpp:/www.acte-asso.fr</t>
  </si>
  <si>
    <t>https://assos.bordeaux.fr/association/detail/1706</t>
  </si>
  <si>
    <t>Notre objectif est de venir en aide aux demandeurs d’asile et aux réfugiés grâce à l’organisation d’événements culturels dont les bénéfices sont reversés à des associations ou centres d’accueil de réfugiés.</t>
  </si>
  <si>
    <t xml:space="preserve">14 rue Saint Nicolas                                                                                                </t>
  </si>
  <si>
    <t>06 25 91 24 64</t>
  </si>
  <si>
    <t>Marylou Hallaf</t>
  </si>
  <si>
    <t>https://assos.bordeaux.fr/association/detail/678</t>
  </si>
  <si>
    <t>TANGO NOMADE - TANGO NOMADE</t>
  </si>
  <si>
    <t>Promouvoir la connaissance de la danse et de permettre des échanges culturels par ce biais. Cette association a une finalité sportive culturelle et artistique et souhaite par ce biais lutter contre toutes formes de discriminations. 
Mettre en place des spectacles et à animer tous types de manifestations sportives culturelles et artistiques.</t>
  </si>
  <si>
    <t xml:space="preserve">17 allée Eugène Delacroix                                 Apt 18                                                                                                             </t>
  </si>
  <si>
    <t>06 83 79 62 63</t>
  </si>
  <si>
    <t>Perrine NIVET</t>
  </si>
  <si>
    <t>tangonomade.com</t>
  </si>
  <si>
    <t>https://assos.bordeaux.fr/association/detail/1090</t>
  </si>
  <si>
    <t>GRAINES DE SOLIDARITÉ</t>
  </si>
  <si>
    <t>Association humanitaire dont l'objectif  est d'apporter une aide alimentaire aux personnes et aux familles en grande difficulté. Cette aide prend la forme de distribution de colis alimentaires hebdomadaires destinés à des personnes isolées et à des familles, de couscous en période hivernale et de maraudes dans les rues de Bordeaux. Elle aide à l'insertion par le biais d'ateliers de langue et de cuisine du monde.</t>
  </si>
  <si>
    <t xml:space="preserve">48, rue Kléber                                                                                                </t>
  </si>
  <si>
    <t>06 50 52 40 52</t>
  </si>
  <si>
    <t>Hanifa MZIZOUA</t>
  </si>
  <si>
    <t>grainesdesolidarite.e-monsite.com</t>
  </si>
  <si>
    <t>https://assos.bordeaux.fr/association/detail/1128</t>
  </si>
  <si>
    <t>ASSOCIATION SPORT EMPLOI - AES</t>
  </si>
  <si>
    <t>L'Association a pour but de faciliter l'accueil, l'information, l'orientation, la formaion, l'insertion et l'emploi de tout public par le biais de la pratique sportive</t>
  </si>
  <si>
    <t>https://assos.bordeaux.fr/association/detail/1025</t>
  </si>
  <si>
    <t>SO COOPÉRATION</t>
  </si>
  <si>
    <t>SO Coopération est le Réseau Régional Multi-Acteurs (RRMA) pour la coopération et la solidarité internationales.
​
Sous l'acronyme ce qu'il faut retenir ; c'est l'espace qui est offert aux acteurs de la Nouvelle-Aquitaine, qu'ils soient associatifs, collectivités, universités, entreprises, établissement publics ou autres, pour s'informer, échanger, entreprendre des projets de coopération et de solidarité</t>
  </si>
  <si>
    <t xml:space="preserve">10 Esplanade des Antilles, Maison des Sciences de l'Homme                                                                                                </t>
  </si>
  <si>
    <t>33607</t>
  </si>
  <si>
    <t>05 56 84 45 68</t>
  </si>
  <si>
    <t>www.socooperation.org</t>
  </si>
  <si>
    <t>https://assos.bordeaux.fr/association/detail/1163</t>
  </si>
  <si>
    <t>ASSOCIATION DE SOUTIEN AUX INVENTIONS LIBRES / BANZAÏ LAB</t>
  </si>
  <si>
    <t>https://assos.bordeaux.fr/association/detail/1172</t>
  </si>
  <si>
    <t>CRÉASSEMBLE - BXGOSPELACADEMY</t>
  </si>
  <si>
    <t>créer, développer et soutenir des événements et des projets alternatifs, culturels, artistiques, récréatifs et ou éducatifs comme moyens d’action pour l’épanouissement de l’individu, des groupes et des sociétés dans le respect de son environnement.</t>
  </si>
  <si>
    <t xml:space="preserve">26, rue Marius Olivier                                                                                                </t>
  </si>
  <si>
    <t>06 03 30 12 02</t>
  </si>
  <si>
    <t>bordeaux-gospel-academy.com</t>
  </si>
  <si>
    <t>https://assos.bordeaux.fr/association/detail/1479</t>
  </si>
  <si>
    <t>FRENCH TECH BORDEAUX</t>
  </si>
  <si>
    <t>L’association French Tech Bordeaux a pour but de développer la croissance des écosystèmes de startups et d’entreprises innovantes bordelaises et néo-aquitaines, avec 3 grandes ambitions : Fédérer et animer l’écosystème au service de la croissance ; Promouvoir et représenter les startups de Bordeaux et sa région ; Porter l’excellence française du label French Tech dans le territoire et à l’international.</t>
  </si>
  <si>
    <t xml:space="preserve">20 Quai Lawton                                 CS50100                                                                                                             </t>
  </si>
  <si>
    <t>06 35 54 25 55</t>
  </si>
  <si>
    <t>Jérôme LELEU</t>
  </si>
  <si>
    <t>www.frenchtechbordeaux.com</t>
  </si>
  <si>
    <t>Economie</t>
  </si>
  <si>
    <t>https://assos.bordeaux.fr/association/detail/892</t>
  </si>
  <si>
    <t>L'association APSL s'adresse à un public de seniors. Elle propose "Le Lien'Aînés", de l'animation à domicile en groupe. Les sorties et rencontres proposées incluent le transport, pour des personnes vivant à domicile qui ne peuvent plus sortir seules de chez elles et qui sont en recherche de nouveaux contacts pour éviter la solitude. APSL organise aussi la "Mobil'Aînés", une marche en rolateurs, intergénérationnelle.</t>
  </si>
  <si>
    <t xml:space="preserve">40 Allées d'Orléans                                 Immeuble Le Splendide                                                                                                             </t>
  </si>
  <si>
    <t>06 75 01 40 81</t>
  </si>
  <si>
    <t>https://assos.bordeaux.fr/association/detail/1171</t>
  </si>
  <si>
    <t>LE CHŒUR VOYAGEUR</t>
  </si>
  <si>
    <t>L’association a pour but de constituer une chorale et des ensembles instrumentaux afin de se produire en
France et à l'étranger, dans le cadre de simples concerts, d'interventions culturelles mais aussi d'échanges avec
d'autres chorales.</t>
  </si>
  <si>
    <t xml:space="preserve">148 boulevard du Président Franklin Roosevelt                                                                                                </t>
  </si>
  <si>
    <t>06 84 84 76 80</t>
  </si>
  <si>
    <t>lechoeurvoyageur.fr</t>
  </si>
  <si>
    <t>https://assos.bordeaux.fr/association/detail/979</t>
  </si>
  <si>
    <t>UNION SPORTIVE JEUNES DE SAINT-AUGUSTIN-CLUB PYRÉNÉES AQUITAINE - US-JSA-CPA</t>
  </si>
  <si>
    <t>https://assos.bordeaux.fr/association/detail/893</t>
  </si>
  <si>
    <t>ASSOCIATION NATIONALE DES ASSISTANT(E)S MATERNEL(LE)S AGREE(E)S REUNI(E)S INTER-DEPARTEMENTALE - AMARID</t>
  </si>
  <si>
    <t>L’Association Nationale AMARID : Défense des Intérêts de l'enfant, Information aux parents concernant la profession de l'Assistant(e) Maternel(le) Droits et Devoirs des Assistant(e) Maternel(le),Droits et Devoirs des Parents, Faire EVOLUER la Profession d'Assistant(e) Maternel(le)</t>
  </si>
  <si>
    <t xml:space="preserve">8 RUE DU CHASSELAS                                                                                                </t>
  </si>
  <si>
    <t>05 56 32 58 24</t>
  </si>
  <si>
    <t>www.amarid.fr</t>
  </si>
  <si>
    <t>https://assos.bordeaux.fr/association/detail/1365</t>
  </si>
  <si>
    <t>SOLID'EARTH - SE</t>
  </si>
  <si>
    <t>Solid’Earth est l’association de développement durable et de solidarité internationale de l’école de commerce KEDGE Business School Campus de Bordeaux. L’association compte 85 membres et est ainsi la plus grande association du campus. Elle défend des valeurs fortes telles que le respect de l’environnement et de l’être humain, la solidarité et la diversité, ou encore la consommation responsable.</t>
  </si>
  <si>
    <t xml:space="preserve">680 Cours de la libération                                  KEDGE Business School                                                                                                             </t>
  </si>
  <si>
    <t>33405</t>
  </si>
  <si>
    <t>06 80 03 24 32</t>
  </si>
  <si>
    <t>www.solidearth.fr</t>
  </si>
  <si>
    <t>https://assos.bordeaux.fr/association/detail/1754</t>
  </si>
  <si>
    <t>LA BELLA BORDEAUX</t>
  </si>
  <si>
    <t>Promouvoir le patrimoine ainsi que la vie artistique et culturelle de la ville de Bordeaux par le biais d'expositions, rencontres, séminaires, ateliers et d'autres animations. Créer des actions de médiation culturelle et favoriser l'émergence de nouveaux talents. Organiser des événements artistiques et des sorties culturelles collectives pour ses membres. Encourager et soutenir la diversité culturelle.</t>
  </si>
  <si>
    <t xml:space="preserve">169, rue Palais Gallien                                                                                                </t>
  </si>
  <si>
    <t>06 89 69 68 38</t>
  </si>
  <si>
    <t>Luciana M. Morgera</t>
  </si>
  <si>
    <t>https://assos.bordeaux.fr/association/detail/1250</t>
  </si>
  <si>
    <t>CHORALE CHŒUR DES ECLUSES</t>
  </si>
  <si>
    <t>Nous sommes une chorale dynamique aimant chanter dans la bonne humeur. Notre répertoire est la variété française. Nous recrutons toutes voix. Il n' y a pas besoin de connaitre le solfège. Nous travaillons sur support d'enregistrement. Si vous aimez chanter et partager des moments conviviaux, n’hésitez pas à venir nous rejoindre tous les lundis soirs de 20h30 à 22h30 salle Simone Noailles au Grand Parc.</t>
  </si>
  <si>
    <t xml:space="preserve">8 rue Maryse Bastié                                 apt 14                                                                                                             </t>
  </si>
  <si>
    <t>06 60 95 25 66</t>
  </si>
  <si>
    <t>Sandra BOIRON</t>
  </si>
  <si>
    <t>https://assos.bordeaux.fr/association/detail/1381</t>
  </si>
  <si>
    <t>KLAUS COMPAGNIE</t>
  </si>
  <si>
    <t>Association travaillant dans la culture inclusive (valides-handicapés). Création d’œuvres chorégraphiques (ballets). Organisation du Festival Mixamum (festival pluridisciplinaire mêlant des artistes valides et handicapés). Ateliers de danse contemporaine adaptée (valides et handicapés). Ateliers ponctuels de sensibilisation de la danse adaptée (valides et handicapés)</t>
  </si>
  <si>
    <t xml:space="preserve">11 rue Erik Satie                                                                                                </t>
  </si>
  <si>
    <t>33200</t>
  </si>
  <si>
    <t>06 09 44 46 70</t>
  </si>
  <si>
    <t>www.klauscompagnie.fr</t>
  </si>
  <si>
    <t>https://assos.bordeaux.fr/association/detail/1630</t>
  </si>
  <si>
    <t>Développer des projets artistiques, quels qu'ils soient, favoriser l’émergence de nouveaux talents par le soutien de la pratique amateur,défendre la diversité culturelle en soutenant des artistes de tout horizon,favoriser dans un cadre convivial la rencontre entre les populations, les professionnels et les amateurs,permettre l’accès au plus grand nombre en pratiquant le principe de la participation libre et adaptée.</t>
  </si>
  <si>
    <t xml:space="preserve">8 Rue de Barsac                                                                                                </t>
  </si>
  <si>
    <t>06 61 98 24 24</t>
  </si>
  <si>
    <t>associationmaline.wordpress.com</t>
  </si>
  <si>
    <t>https://assos.bordeaux.fr/association/detail/1830</t>
  </si>
  <si>
    <t>PHOENIX.UNIVERSEL - PHUN</t>
  </si>
  <si>
    <t>https://assos.bordeaux.fr/association/detail/676</t>
  </si>
  <si>
    <t>L'association le Crayon Papote à pour but de partager et faire découvrir le milieu de la création artistique et de sensibiliser à l'éco-responsabilité et au développement durable.</t>
  </si>
  <si>
    <t xml:space="preserve">184 rue fondaudège                                                                                                </t>
  </si>
  <si>
    <t>06 51 03 98 24</t>
  </si>
  <si>
    <t>www.lecrayonpapote.com</t>
  </si>
  <si>
    <t>https://assos.bordeaux.fr/association/detail/739</t>
  </si>
  <si>
    <t>ASSOCIATION POUR LA RECHERCHE EN PRÉVENTION PSYCHIQUE PRÉCOCE EN PÉRINATALITÉ - ARPPPP</t>
  </si>
  <si>
    <t>https://assos.bordeaux.fr/association/detail/675</t>
  </si>
  <si>
    <t>LA LECHE LEAGUE GROUPE DE BORDEAUX - LLL FRANCE</t>
  </si>
  <si>
    <t>Aider les mères dans leur chemin d'allaitement, quel que soit leur projet, pour un jour ou plus.
Leur apporter soutien, entraide, information récente et pertinente, ainsi que différents outils pour vivre sereinement leur allaitement, et remettre entre les mains des parents l'accompagnement de leur enfant.</t>
  </si>
  <si>
    <t xml:space="preserve">Impasse du grand Barrail                                                                                                </t>
  </si>
  <si>
    <t>33710</t>
  </si>
  <si>
    <t>07 83 00 14 06</t>
  </si>
  <si>
    <t>www.lllfrance.org</t>
  </si>
  <si>
    <t>https://assos.bordeaux.fr/association/detail/961</t>
  </si>
  <si>
    <t>CERCLE OENOPHILE AQUITAIN - COA</t>
  </si>
  <si>
    <t>L'association a pour objet principal de parfaire les connaissances oenologiques des adhérents</t>
  </si>
  <si>
    <t xml:space="preserve">18 rue Auguste Merillon                                                                                                </t>
  </si>
  <si>
    <t>05 56 96 51 98</t>
  </si>
  <si>
    <t>Georges Laborde</t>
  </si>
  <si>
    <t>https://assos.bordeaux.fr/association/detail/614</t>
  </si>
  <si>
    <t>DRÔLE DE SCÈNE</t>
  </si>
  <si>
    <t>notre café-théâtre est un lieu simple et chaleureux grâce à nos bénévoles. Notre programmation propose soit : des soirées comédie-club, soit des one man show, ou bien des spectacles pour le jeune public.Notre but est de promouvoir le spectacle vivant et de proposer aux spectateurs même les plus jeunes une programmation qualitative, dans un petit espace où la convivialité est naturelle.</t>
  </si>
  <si>
    <t xml:space="preserve">164 rue Stéhélin                                                                                                </t>
  </si>
  <si>
    <t>06 80 28 02 40</t>
  </si>
  <si>
    <t>https://assos.bordeaux.fr/association/detail/1821</t>
  </si>
  <si>
    <t>DEUX BOUTS</t>
  </si>
  <si>
    <t>Création de réseaux d'entraide où les aidés s'engagent à devenir aidants. Notre premier réseau, EDDIE s'adresse aux SDF. Nous inscrivons notre action dans le Plan Logement d'Abord en utilisant l'intermédiation locative, l'accompagnement pluridisciplinaire et la pair-aidance pour créer un processus de réinsertion accélérée.</t>
  </si>
  <si>
    <t xml:space="preserve">.                                                                                                </t>
  </si>
  <si>
    <t>07 81 50 71 09</t>
  </si>
  <si>
    <t>deuxbouts.org</t>
  </si>
  <si>
    <t>https://assos.bordeaux.fr/association/detail/1818</t>
  </si>
  <si>
    <t>CENTRE DE VOILE DE BORDEAUX-LAC - CVBL</t>
  </si>
  <si>
    <t>Promotion et développement de la pratique de la voile, l’initiation, le perfectionnement à la pratique de la voile. 
Organisation de manifestations nautiques contribuant à l’animation du Lac de Bordeaux.</t>
  </si>
  <si>
    <t xml:space="preserve">Boulevard Jacques Chaban-Delmas                                                                                                </t>
  </si>
  <si>
    <t>33520</t>
  </si>
  <si>
    <t>06 86 96 13 43</t>
  </si>
  <si>
    <t>voilebordeauxlac.fr</t>
  </si>
  <si>
    <t>https://assos.bordeaux.fr/association/detail/1442</t>
  </si>
  <si>
    <t>W568925635</t>
  </si>
  <si>
    <t>https://assos.bordeaux.fr/association/detail/531</t>
  </si>
  <si>
    <t>COLLECTIF 05/15</t>
  </si>
  <si>
    <t>Proposer à tous les publics des randonnées, des courts séjours à vocation pédestre, mais également des visites, dans la région. L'association propose également des ateliers confort et bien-être (sophrologie), ainsi que des ateliers cuisine vietnamienne !</t>
  </si>
  <si>
    <t xml:space="preserve">31 rue Lachassaigne chez Mme DAO DUC Sylvie                                                                                                 </t>
  </si>
  <si>
    <t>06 45 04 57 24</t>
  </si>
  <si>
    <t>https://assos.bordeaux.fr/association/detail/625</t>
  </si>
  <si>
    <t>ASSOCIATION DES ANGOLAIS DE BORDEAUX - AAB</t>
  </si>
  <si>
    <t>Créer une synergie autor des problèmes sociaux ,culturels et économiques par l'accueil;Diffuser la langue Portugaise et les langues natives de l'Angola Umbundu,Kimbundu....; Favoriser une meilleure connaissance mutuelle entre l'Angola et la France ; Cours de danse traditionnelles Angolaises ; Organisation de manifestations culturelles , théâtre ,spectacles, récitals,expositions conférences.</t>
  </si>
  <si>
    <t xml:space="preserve">12 Avenue des 40 Journaux                                  appt 162                                                                                                             </t>
  </si>
  <si>
    <t>06 05 83 19 95</t>
  </si>
  <si>
    <t>https://assos.bordeaux.fr/association/detail/838</t>
  </si>
  <si>
    <t>Promouvoir le don de sang bénévole
Accueillir et informer les donneur de sang</t>
  </si>
  <si>
    <t xml:space="preserve">Residence de la mairie                                 Bat 14 apt 9                                                                                                             </t>
  </si>
  <si>
    <t>06 88 36 66 94</t>
  </si>
  <si>
    <t>Sandrine DUPLACEAU</t>
  </si>
  <si>
    <t>https://assos.bordeaux.fr/association/detail/820</t>
  </si>
  <si>
    <t>CLUB LOISIRS AQUITAINE CULTURE - CLAC</t>
  </si>
  <si>
    <t>L'association œuvre pour la découverte de notre environnement proche et pour la culture. Elle favorise les liens nature/culture en proposant des ateliers, stages, balades à destination de tous les publics. Elle s'appuie sur des approches pédagogiques créatives et innovantes, notamment celles venant des pays scandinaves.</t>
  </si>
  <si>
    <t xml:space="preserve">3 rue de Tauzia                                                                                                </t>
  </si>
  <si>
    <t>06 87 38 99 08</t>
  </si>
  <si>
    <t>https://assos.bordeaux.fr/association/detail/778</t>
  </si>
  <si>
    <t>SALSA WITH S - SWS</t>
  </si>
  <si>
    <t>L’association a pour objet l’éveil et l’expression corporelle dans les danses latines et
tropicales.</t>
  </si>
  <si>
    <t xml:space="preserve">62bis rue paul antin                                                                                                </t>
  </si>
  <si>
    <t>06 87 46 12 72</t>
  </si>
  <si>
    <t>carole Couture</t>
  </si>
  <si>
    <t>https://assos.bordeaux.fr/association/detail/805</t>
  </si>
  <si>
    <t>La Compagnie Leitmotiv à Bordeaux a pour vocation d'être la compagnie de toutes et de tous, permettant à tout le monde de pratiquer une activité théâtrale.
Théâtre Humour ou théâtre plus traditionnel, nos cours vous sont ouverts...
En scène !</t>
  </si>
  <si>
    <t xml:space="preserve">84 rue Amédée St Germain                                 La Laiterie                                                                                                             </t>
  </si>
  <si>
    <t>06 26 39 30 40</t>
  </si>
  <si>
    <t>www.compagnie-leitmotiv.com</t>
  </si>
  <si>
    <t>https://assos.bordeaux.fr/association/detail/1588</t>
  </si>
  <si>
    <t>DÉFENSE DES RÉSIDENTS DES QUARTIERS BORDEAUX MÉTROPOLE  - ADDR.DQBM</t>
  </si>
  <si>
    <t>https://assos.bordeaux.fr/association/detail/1255</t>
  </si>
  <si>
    <t>WeJOB propose des services d'insertion et de RH innovants, aux demandeurs d'emploi et aux entreprises. WeJOB associe des démarches collaboratives à de l'expertise et de l'accompagnement spécialisé. L'offre de WeJOB s'adresse aux personnes en recherche d'emploi et aux entreprises avec des programmes collectifs et individuels, des services de formation, de recrutement et de conseil.</t>
  </si>
  <si>
    <t xml:space="preserve">http://www.we-job.com/                                                                                                </t>
  </si>
  <si>
    <t>06 58 72 27 89</t>
  </si>
  <si>
    <t>www.we-job.com</t>
  </si>
  <si>
    <t>Emploi, insertion professionnelle, formation</t>
  </si>
  <si>
    <t>https://assos.bordeaux.fr/association/detail/673</t>
  </si>
  <si>
    <t>ACADÉMIE KARATÉ YOGA BORDEAUX BASTIDE</t>
  </si>
  <si>
    <t>Association ayant pour but de promouvoir l'enseignement du karaté-do, du handi-karaté et du hatha-yoga pour tous mais aussi pour les futures mamans et les enfants, par le biais de l'activité physique sportive et du bien-être.</t>
  </si>
  <si>
    <t xml:space="preserve">17 rue Calvimont                                 Coté Cour                                                                                                             </t>
  </si>
  <si>
    <t>06 22 60 34 58</t>
  </si>
  <si>
    <t>www.hathayogasimplifie-bordeaux.fr</t>
  </si>
  <si>
    <t>https://assos.bordeaux.fr/association/detail/1689</t>
  </si>
  <si>
    <t>ENSEMBLE2GENERATIONS - E2G</t>
  </si>
  <si>
    <t>FAVORISER LES RELATIONS INTERGENERATIONNELLES AU TRAVERS DU LOGEMENT ET DE PARTAGES D'ACTIVITES</t>
  </si>
  <si>
    <t xml:space="preserve">85 rue Camille GODARD                                                                                                </t>
  </si>
  <si>
    <t>07 86 62 26 07</t>
  </si>
  <si>
    <t>Ariane MOREAU</t>
  </si>
  <si>
    <t>https://assos.bordeaux.fr/association/detail/1149</t>
  </si>
  <si>
    <t>L 'association Astrolabe (Espace de Vie Sociale) propose de l'accompagnement à la scolarité, des loisirs, des activités familiales, des séjours pour tous. Elle fédère et participe à l'animation de la vie du quartier. Ses projets, activités et animations sont réalisées avec les habitants dans un esprit d'éducation populaire, d'innovation et de solidarité.</t>
  </si>
  <si>
    <t xml:space="preserve">40 rue Laffiteau                                                                                                </t>
  </si>
  <si>
    <t>05 56 85 74 59</t>
  </si>
  <si>
    <t>Joël DUCOS</t>
  </si>
  <si>
    <t>https://assos.bordeaux.fr/association/detail/1827</t>
  </si>
  <si>
    <t>LABO - ATELIERS &amp; LIVRES POUR ENFANTS</t>
  </si>
  <si>
    <t>https://assos.bordeaux.fr/association/detail/1785</t>
  </si>
  <si>
    <t>STUDIO CANOPÉE - SC</t>
  </si>
  <si>
    <t>Le Studio Canopée se donne pour mission de proposer des activités physiques douces centrées sur le thème du bien-être. Notre credo ? Proposer des cours collectifs de Pilates, Yoga et Marche Nordique en petits groupes afin de garantir un suivi et un accompagnement personnalisé pour chacun de nos adhérents. Envie d’en savoir plus ? N’hésitez pas à nous rencontrer !</t>
  </si>
  <si>
    <t xml:space="preserve">28 avenue André Reinson, Résidence Canopée, Bat F Appt 617, 4è étage                                                                                                </t>
  </si>
  <si>
    <t>07 89 63 06 34</t>
  </si>
  <si>
    <t>Matthieu Robert</t>
  </si>
  <si>
    <t>https://assos.bordeaux.fr/association/detail/965</t>
  </si>
  <si>
    <t>ASSOCIATION DANZA EVOLUCION</t>
  </si>
  <si>
    <t>Danza Evolucion est une association loi 1901 qui a pour but de promouvoir la danse dans toute sa diversité sur le Bassin d'Arcachon à Biganos.
Ori Tahiti (danse polynésienne) avec sa troupe Manava Ori Tahiti , Boogie-woogie, Sévillanes, Bachata Reggaeton et Ukulélé !</t>
  </si>
  <si>
    <t xml:space="preserve">106 Rue Joseph cruchon                                                                                                </t>
  </si>
  <si>
    <t>33380</t>
  </si>
  <si>
    <t>06 44 18 51 92</t>
  </si>
  <si>
    <t>Marie Christine Legrand</t>
  </si>
  <si>
    <t>www.danzaevolucion.fr/m</t>
  </si>
  <si>
    <t>https://assos.bordeaux.fr/association/detail/1323</t>
  </si>
  <si>
    <t>ASSOCIATION NATIONALE DES MEMBRES DE L’ORDRE NATIONAL DU MÉRITE   - ANMONM</t>
  </si>
  <si>
    <t>Buts de l'association : assurer le rayonnement et le prestige de l’Ordre en tous lieux ; maintenir et développer les valeurs morales et civiques liées à la qualité de compagnon ; renforcer les liens de solidarité entre les membres de l’Ordre et pratiquer l’entraide ; participer au devoir national de mémoire ; développer l'esprit de la citoyenneté et du civisme.</t>
  </si>
  <si>
    <t xml:space="preserve">185 Cours Balguerie Stuttenberg                                 Appartement 124                                                                                                             </t>
  </si>
  <si>
    <t>06 22 53 93 15</t>
  </si>
  <si>
    <t>Bernard Miot</t>
  </si>
  <si>
    <t>https://assos.bordeaux.fr/association/detail/1243</t>
  </si>
  <si>
    <t>HANDI'CHIENS</t>
  </si>
  <si>
    <t>HANDI’CHIENS est une association régie, créée en 1989 et reconnue d’utilité publique en 2012.
HANDI’CHIENS a pour mission d’éduquer et de remettre GRATUITEMENT des Chiens d’Assistance à des personnes en situation de handicap.
Grâce à la complicité qui l’unit à l’homme et aux 50 commandes qu'il maitrise, un “handi’chien” offre à son bénéficiaire une meilleure autonomie, plus de liberté, et favorise le lien social.</t>
  </si>
  <si>
    <t>13 rue l'abbé Groult                                                                                                75015 PARIS</t>
  </si>
  <si>
    <t>01 45 86 58 88</t>
  </si>
  <si>
    <t>www.handichiens.org</t>
  </si>
  <si>
    <t>https://assos.bordeaux.fr/association/detail/1161</t>
  </si>
  <si>
    <t>MAISON DES SOURDS DE LA GIRONDE - MS33</t>
  </si>
  <si>
    <t>Diffuser et promouvoir la culture sourd à Bordeaux et en Gironde. Aide à la personne, conférences et ateliers, cours de Langue des Signes Française.</t>
  </si>
  <si>
    <t xml:space="preserve">406 boulevard du président Wilson                                                                                                </t>
  </si>
  <si>
    <t>06 59 41 90 23</t>
  </si>
  <si>
    <t>Nathalie Verny</t>
  </si>
  <si>
    <t>https://assos.bordeaux.fr/association/detail/956</t>
  </si>
  <si>
    <t>LA VIE A DOMICILE -MAISON DE LA SANTÉ ET DES AIDANTS</t>
  </si>
  <si>
    <t>L'association se définit comme une plateforme de services à domicile  qui permet l'orientation dans une filière de soin et d'aide, intégrée et complémentaire.  Elle propose une réponse graduée aux besoins  des personnes fragilisées par l'âge, la dépendance, le handicap ou la maladie Elle accompagne et soutient les aidants en offrant des services innovants et de répit</t>
  </si>
  <si>
    <t xml:space="preserve">412 avenue de verdun                                                                                                </t>
  </si>
  <si>
    <t>05 56 55 04 38</t>
  </si>
  <si>
    <t>www.viesantemerignac.fr</t>
  </si>
  <si>
    <t>https://assos.bordeaux.fr/association/detail/613</t>
  </si>
  <si>
    <t>Pratique du Basket-ball</t>
  </si>
  <si>
    <t xml:space="preserve">96, rue de la Benauge                                                                                                </t>
  </si>
  <si>
    <t>06 61 48 03 85</t>
  </si>
  <si>
    <t>https://assos.bordeaux.fr/association/detail/618</t>
  </si>
  <si>
    <t>ORCHESTRE PAPAGENO</t>
  </si>
  <si>
    <t>L'Orchestre Papageno a été crée en 2007 et regroupe des musiciens amateurs (cordes, bois et cuivres) de tous les âges. 
Le groupe est dirigé par un chef professionnel, Nicolas Piquet, et propose un répertoire varié, essentiellement de musique classique et musique de films.
L'Orchestre Papageno se produit lors de 10 concerts par an environ, et collabore avec d'autres orchestres et des écoles de musique.</t>
  </si>
  <si>
    <t xml:space="preserve">19 place des Basques                                 Addeo-Orchestre Papageno                                                                                                             </t>
  </si>
  <si>
    <t>06 20 79 07 11</t>
  </si>
  <si>
    <t>Richard Albiach</t>
  </si>
  <si>
    <t>www.orchestrepapageno.com</t>
  </si>
  <si>
    <t>https://assos.bordeaux.fr/association/detail/996</t>
  </si>
  <si>
    <t>SECOURS POPULAIRE FÉDÉRATION DE GIRONDE - SPF</t>
  </si>
  <si>
    <t>Le secours populaire vient en aide aux personnes en difficultés en France et dans le monde: victime de la pauvreté et de la précarité, de l'exclusion. Généraliste de la solidarité: intervention sur l'urgence alimentaire, vestimentaire, action d'accompagnement des personnes, accès aux loisirs, vacances et différentes actions mises en oeuvre par des bénévoles.</t>
  </si>
  <si>
    <t xml:space="preserve">fédération du secours populaire 95 quai de paludate// 6 rue Belcier                                                                                                </t>
  </si>
  <si>
    <t>05 56 92 79 92</t>
  </si>
  <si>
    <t>www.secourspopulaire.fr/33</t>
  </si>
  <si>
    <t>https://assos.bordeaux.fr/association/detail/1778</t>
  </si>
  <si>
    <t>LES SOURCES</t>
  </si>
  <si>
    <t>Cours de yoga de l'énergie</t>
  </si>
  <si>
    <t xml:space="preserve">1 avenue Brémontier                                                                                                </t>
  </si>
  <si>
    <t>33950</t>
  </si>
  <si>
    <t>06 98 99 68 71</t>
  </si>
  <si>
    <t>energieyoga.com</t>
  </si>
  <si>
    <t>https://assos.bordeaux.fr/association/detail/1044</t>
  </si>
  <si>
    <t>CENTRE BEAUTE, BIEN-ETRE, ET ESTIME DE SOI, SOLIDAIRE
La finalité de l'association LES FEES PAPILLONS est d'aider des Femmes en difficulté à (re)trouver la dignité, l'estime de soi, la confiance en soi et l'énergie indispensables pour leur bien-être, et leur insertion sociale et professionnelle.
Les FEES sont des professionnelles bénévoles qui offrent ces soins et ateliers aux bénéficiaires: les PAPILLONS.</t>
  </si>
  <si>
    <t xml:space="preserve">Résidence du Lac, Apt 289, Entrée R, Avenue Laroque                                                                                                </t>
  </si>
  <si>
    <t>05 56 29 56 34</t>
  </si>
  <si>
    <t>Patricia CHAUFFOURIER</t>
  </si>
  <si>
    <t>www.lesfeespapillons.fr</t>
  </si>
  <si>
    <t>https://assos.bordeaux.fr/association/detail/1002</t>
  </si>
  <si>
    <t>GIRONDINS DE BORDEAUX BASTIDE HANDBALL CLUB - GBBHBC</t>
  </si>
  <si>
    <t>Le développement et la promotion du handball par la pratique de ce sport à tous niveaux, la gestion et l'animation d’activités sportives donnant lieu à l'organisation de manifestations gratuites ou payantes et versement de rémunération, l'association peut également mener toutes les actions en relation avec son objet notamment de formation au profit de sportifs, ou sociales (sur Bordeaux Bastide et/ou métropole).</t>
  </si>
  <si>
    <t xml:space="preserve">96 rue de la Benauge                                                                BP 14                                </t>
  </si>
  <si>
    <t>05 56 67 81 06</t>
  </si>
  <si>
    <t>Christian Malichecq</t>
  </si>
  <si>
    <t>girondins-handball.clubeo.com</t>
  </si>
  <si>
    <t>https://assos.bordeaux.fr/association/detail/1744</t>
  </si>
  <si>
    <t>ASSOCIATION IMPRIMERIE DU LOUP - TYPOGRAPHIE</t>
  </si>
  <si>
    <t>https://assos.bordeaux.fr/association/detail/1065</t>
  </si>
  <si>
    <t>ASSOCIATION GÉNÉRATION DUPATY - A.G. DUPATY</t>
  </si>
  <si>
    <t>Favoriser l'apprentissage , accompagner les adhérents et usagers dans l'accessibilité, découvrir et animer diverses actions éducatives, culturelles, artistiques, physiques et sportives, éduquer à l'environnement, à la citoyenneté, lutter contre les discriminations et favoriser les rencontres intergénérationnelles.Organiser à côté de l'ECOLE des actions sur les temps périscolaires et postscolaires</t>
  </si>
  <si>
    <t xml:space="preserve">74 rue Joséphine                                 Ecole Dupaty                                                                                                             </t>
  </si>
  <si>
    <t>07 71 80 07 22</t>
  </si>
  <si>
    <t>https://assos.bordeaux.fr/association/detail/685</t>
  </si>
  <si>
    <t>ACT'IMAGE</t>
  </si>
  <si>
    <t>L’association Act'Image a pour objectif de promouvoir la création photographique, de développer des actions culturelles liées à la photographie et de favoriser sa diffusion. Les actions mises en places permettent d’alimenter le dispositif culturel du territoire afin de le valoriser et de permettre aux citoyens de trouver un épanouissement culturel au travers de la photographie.</t>
  </si>
  <si>
    <t xml:space="preserve">72, rue Emile Fourcand                                                                                                </t>
  </si>
  <si>
    <t>06 09 73 05 80</t>
  </si>
  <si>
    <t>www.act-image.fr</t>
  </si>
  <si>
    <t>https://assos.bordeaux.fr/association/detail/1520</t>
  </si>
  <si>
    <t>ASSOCIATION L'IRRÉGULIÈRE</t>
  </si>
  <si>
    <t>L’IRRÉGULIÈRE conçoit et organise des événements culturels qui visent à favoriser la mixité des domaines artistiques, soutenir et promouvoir des artistes et collectifs bordelais et d’origines diverses. Elle propose régulièrement  des actions de médiation culturelle pour sensibiliser le public à la création (manifestations portées par l'asso, commandes ou partenariats avec différentes structures publiques ou privées).</t>
  </si>
  <si>
    <t xml:space="preserve">15 place Renaudel                                                                                                </t>
  </si>
  <si>
    <t>06 42 40 96 65</t>
  </si>
  <si>
    <t>https://assos.bordeaux.fr/association/detail/1378</t>
  </si>
  <si>
    <t>COMPAGNIE ARTISTIQUE YAKKA - CIE YAKKA</t>
  </si>
  <si>
    <t>La compagnie artistique « Yakka »  a été créée pour permettre aux artistes de la Francophonie de travailler ensemble autour de projets de création artistique mêlant différents corps de métiers existants dans l’art .
La dynamique de la compagnie se base sur le désir de trouver, travailler et faire partager aux publics, des œuvres d’ auteurs issus du paysage littéraire francophone.</t>
  </si>
  <si>
    <t xml:space="preserve">60 cours Aristide Briand                                                                                                </t>
  </si>
  <si>
    <t>07 81 73 45 84</t>
  </si>
  <si>
    <t>cieyakka.com</t>
  </si>
  <si>
    <t>https://assos.bordeaux.fr/association/detail/1302</t>
  </si>
  <si>
    <t>L’association a pour objet la sensibilisation à la musique classique avec pour
objectif de la rendre accessible à un large public, avec plus de diversité sociale,
culturelle et générationnelle. Les caprices de Marianne ont a coeur d'investir les
musiciens professionnels comme médiateurs pour faire tomber les barrières actuelles.</t>
  </si>
  <si>
    <t xml:space="preserve">16 rue St James                                                                                                </t>
  </si>
  <si>
    <t>07 69 08 57 51</t>
  </si>
  <si>
    <t>https://assos.bordeaux.fr/association/detail/1783</t>
  </si>
  <si>
    <t>ART SCHOOL - DJ ART SCHOOL</t>
  </si>
  <si>
    <t>https://assos.bordeaux.fr/association/detail/1432</t>
  </si>
  <si>
    <t>BORDEAUXBACKGAMMONCLUB - BBC</t>
  </si>
  <si>
    <t>Le Bordeaux Backgammon Club est affilié à la Fédération Française de Backgammon, son but est de promouvoir l'apprentissage et la pratique du Backgammon.</t>
  </si>
  <si>
    <t xml:space="preserve">Bordeaux Backgammon Club                                 91 rue Ducau chez Mr et Mme CAILLEAU Julien                                                                                                             </t>
  </si>
  <si>
    <t>06 65 27 36 06</t>
  </si>
  <si>
    <t>https://assos.bordeaux.fr/association/detail/514</t>
  </si>
  <si>
    <t>UNION NATIONALE DE FAMILLES ET AMIS DE PERSONNES MALADES ET/OU HANDICAPÉES PSYCHIQUES - DÉLÉGATION DE LA GIRONDE - UNAFAM 33</t>
  </si>
  <si>
    <t>Association reconnue d’utilité publique, qui accueille, écoute, soutient, forme, informe et accompagne les familles, l'entourage, les aidants naturels de personnes vivant avec des troubles psychiques sévères. Elle reçoit aussi les parents d’enfants et d’adolescents ayant des troubles psychologiques, des troubles psychiques ou des troubles du comportement. Service écoute famille, Assistante sociale, service juridique.</t>
  </si>
  <si>
    <t xml:space="preserve">40 rue du Sablonat                                                                                                </t>
  </si>
  <si>
    <t>05 56 81 44 32</t>
  </si>
  <si>
    <t>Jean-Claude AUBERT</t>
  </si>
  <si>
    <t>https://assos.bordeaux.fr/association/detail/619</t>
  </si>
  <si>
    <t>EMMAÜS CONNECT - EC</t>
  </si>
  <si>
    <t>Emmaüs Connect accompagne les publics en précarité sociale et numérique vers les opportunités du numérique, en lien avec les professionnels de l’action sociale. 
L’association agit via un réseau de terrain pour accompagner ses bénéficiaires (tremplins et formations, accès solidaire à l’équipement et à la connexion, médiation avec les opérateurs téléphoniques...).</t>
  </si>
  <si>
    <t xml:space="preserve">38, cours des Aubiers                                                                                                </t>
  </si>
  <si>
    <t>06 34 63 22 12</t>
  </si>
  <si>
    <t>emmaus-connect.org</t>
  </si>
  <si>
    <t>https://assos.bordeaux.fr/association/detail/1638</t>
  </si>
  <si>
    <t>ATELIER ASTROLOGIE AQUITAINE - A A A</t>
  </si>
  <si>
    <t>Cours d'Astrologie  tous niveaux. Enseigner l'astrologie par un cursus complet ou partiel selon le choix de chacun.
Cours
Séminaires
Conférences
Astro Rencontres</t>
  </si>
  <si>
    <t xml:space="preserve">12, avenue Pujade                                                                                                </t>
  </si>
  <si>
    <t>33360</t>
  </si>
  <si>
    <t>05 56 20 16 50</t>
  </si>
  <si>
    <t>www.coursastrologiebordeaux.fr</t>
  </si>
  <si>
    <t>Sciences</t>
  </si>
  <si>
    <t>https://assos.bordeaux.fr/association/detail/1398</t>
  </si>
  <si>
    <t>CITOYENS ET JUSTICE - C&amp;J</t>
  </si>
  <si>
    <t>Fédération des associations socio-judiciaires, Citoyens et Justice regroupe à ce jour environ 150 associations. Dans le cadre de mesures judiciaires, en pré et post sententiel, ces services sociaux d’intérêt général exercent, auprès de victimes et d’auteurs d’infraction qu’ils soient majeurs ou mineurs, des missions d’accompagnement, d’investigation et de pacification des conflits et ce sur l’ensemble du territoire.</t>
  </si>
  <si>
    <t xml:space="preserve">351 Boulevard du président Wilson                                                                                                </t>
  </si>
  <si>
    <t>33073</t>
  </si>
  <si>
    <t>05 56 99 29 24</t>
  </si>
  <si>
    <t>www.citoyens-justice.fr</t>
  </si>
  <si>
    <t>https://assos.bordeaux.fr/association/detail/967</t>
  </si>
  <si>
    <t>ERASMUS STUDENT NETWORK BORDEAUX</t>
  </si>
  <si>
    <t>Accueil des étudiants internationaux de la ville de Bordeaux, leur intégration dans la vie locale, présentation de la culture française de la région. 
Promotion de la mobilité internationale auprès des jeunes français, facilitation d'accès aux informations sur la mobilité</t>
  </si>
  <si>
    <t xml:space="preserve">109 rue Belleville                                                                                                </t>
  </si>
  <si>
    <t>06 41 20 29 31</t>
  </si>
  <si>
    <t>Sofia Kudinova</t>
  </si>
  <si>
    <t>bordeaux.ixesn.fr</t>
  </si>
  <si>
    <t>https://assos.bordeaux.fr/association/detail/1079</t>
  </si>
  <si>
    <t>STOP HARCÈLEMENT DE RUE BORDEAUX - SHDR 33</t>
  </si>
  <si>
    <t>L'association Stop Harcèlement de rue Bordeaux a pour principal objectif de sensibiliser le public au phénomène de harcèlement dans les rues bordelaises. De l'information à la prévention, l'association agit au coeur de la ville pour  inciter le public à repérer et lutter contre le harcèlement de rue.</t>
  </si>
  <si>
    <t xml:space="preserve">rue des sablières                                                                                                </t>
  </si>
  <si>
    <t>06 31 13 13 81</t>
  </si>
  <si>
    <t>www.facebook.com/stopharcelementderuebordeaux</t>
  </si>
  <si>
    <t>https://assos.bordeaux.fr/association/detail/975</t>
  </si>
  <si>
    <t>COLLECTIF BORDEAUX MARINOPOLE</t>
  </si>
  <si>
    <t>Promouvoir la mémoire maritime de Bordeaux</t>
  </si>
  <si>
    <t xml:space="preserve">31 rue BORIE                                                                                                 </t>
  </si>
  <si>
    <t>06 80 89 96 11</t>
  </si>
  <si>
    <t>Stéphane BINAUD</t>
  </si>
  <si>
    <t>https://assos.bordeaux.fr/association/detail/538</t>
  </si>
  <si>
    <t>ASSOENCORE - EN.CO.RE</t>
  </si>
  <si>
    <t>Promotion et valorisation des savoir faire
Développement des activités sociaux éducatives et pédagogiques.</t>
  </si>
  <si>
    <t xml:space="preserve">1 place saint Christophe, Athénée Père Joseph Wresinski                                                                BP 16                                </t>
  </si>
  <si>
    <t>06 46 56 50 97</t>
  </si>
  <si>
    <t>www.assoencore.com</t>
  </si>
  <si>
    <t>https://assos.bordeaux.fr/association/detail/1082</t>
  </si>
  <si>
    <t>LE COLLECTIF DES JARDINIERS URBAINS - CJU</t>
  </si>
  <si>
    <t>développer, conseiller et expérimenter des méthodes et des techniques de jardinage écologique, alternatif et collectif inspiré par la permaculture et adapté au milieu urbain ; favoriser la nature en ville afin de stimuler le lien social, en encourageant la  reconnaissance des écosystèmes urbains et des initiatives sociales les accompagnant ; faire le lien entre culture vivrière ou de subsistance et les humains.</t>
  </si>
  <si>
    <t xml:space="preserve">66 rue abbé de l'épée                                 La ruche                                                                                                             </t>
  </si>
  <si>
    <t>06 58 77 81 47</t>
  </si>
  <si>
    <t>https://assos.bordeaux.fr/association/detail/1074</t>
  </si>
  <si>
    <t>PRINC'ESS</t>
  </si>
  <si>
    <t>Un institut de bien-être SOLIDAIRE, ECO RESPONSABLE, ETHIQUE. Le concept "quand je prends soin de moi je prends soin de l'autre". Vous réalisez vos soins et une partie du montant de vos prestations contribuera à alimenter un fond destiné à proposer des prestations de socio esthétique auprès d'un public en difficultés ne pouvant pas s'offrir ces soins de bien-être.</t>
  </si>
  <si>
    <t xml:space="preserve">11 cours louis fargue                                                                                                </t>
  </si>
  <si>
    <t>06 00 00 00 00</t>
  </si>
  <si>
    <t>https://assos.bordeaux.fr/association/detail/1070</t>
  </si>
  <si>
    <t>ASSOCIATION FRANCO BRÉSILIENNE POUR LA RECHERCHE DE L'ÉQUILIBRE - CAPOEIRA BRASIL</t>
  </si>
  <si>
    <t>Cours de capoeira, Danses brésiliennes, Percussions</t>
  </si>
  <si>
    <t xml:space="preserve">22 Rue Elvina Sivan                                                                                                </t>
  </si>
  <si>
    <t>06 63 12 05 89</t>
  </si>
  <si>
    <t>Sophie BOURGOGNE</t>
  </si>
  <si>
    <t>https://assos.bordeaux.fr/association/detail/1156</t>
  </si>
  <si>
    <t>ECOLE DE CHIENS GUIDES CENTRE ALIENOR</t>
  </si>
  <si>
    <t>Remettre des chiens guides à des Déficients Visuels</t>
  </si>
  <si>
    <t xml:space="preserve">11 rue joseph cugnot                                 zi du phare                                                                                                             </t>
  </si>
  <si>
    <t>05 56 47 85 15</t>
  </si>
  <si>
    <t>PASCALE OLIVAR</t>
  </si>
  <si>
    <t>https://assos.bordeaux.fr/association/detail/596</t>
  </si>
  <si>
    <t>INFOS SECTES AQUITAINE - ISA</t>
  </si>
  <si>
    <t>Lutte, prévention et éducation contre les dérives sectaires , l'emprise et les manipulations mentales</t>
  </si>
  <si>
    <t xml:space="preserve">5 RUE DUFAU                                                                                                  </t>
  </si>
  <si>
    <t>05 56 44 25 58</t>
  </si>
  <si>
    <t>www.infosectes-aquitaine.fr</t>
  </si>
  <si>
    <t>https://assos.bordeaux.fr/association/detail/1411</t>
  </si>
  <si>
    <t>SOCIÉTÉ D'HORTICULTURE, D'ARBORICULTURE ET VITICULTURE DE CAUDÉRAN - SHAV</t>
  </si>
  <si>
    <t>Centre de formation arboriculture et horticulture : cours théorique et pratique le samedi et le dimanche par des bénévoles.
Sensibilisation des élèves de maternelle et d’élémentaire du quartier de Caudéran à l’arboriculture et à l’horticulture : reconnaissance des fruits sur les arbres et reconnaissance des fleurs au sein du jardin.
Création de jardins partagés d’utilité privé ou publique.</t>
  </si>
  <si>
    <t xml:space="preserve">23 rue de l'Eglise                                                                                                 </t>
  </si>
  <si>
    <t>06 51 02 33 98</t>
  </si>
  <si>
    <t>JEAN BERNARD SARRAMIA</t>
  </si>
  <si>
    <t>https://assos.bordeaux.fr/association/detail/1737</t>
  </si>
  <si>
    <t>ON EST ENSEMBLE</t>
  </si>
  <si>
    <t>Notre but: Aider ,Accompagner et Présence . Notre objectif est de redonner aux enfants et aux personnes âgées le bonheur de vivre .De grandir ensemble dans un cadre de vie idéal.valoriser et promouvoir l’eau potable,l’élevage,l’électricité,l’énergie renouvelable ainsi que la culture en Afrique.</t>
  </si>
  <si>
    <t xml:space="preserve">Résidence de saltus                                  3 allée de saltus                                                                                                              </t>
  </si>
  <si>
    <t>33480</t>
  </si>
  <si>
    <t>07 54 10 26 59</t>
  </si>
  <si>
    <t>www.assonestensemble.com</t>
  </si>
  <si>
    <t>https://assos.bordeaux.fr/association/detail/871</t>
  </si>
  <si>
    <t>ACADÉMIE MUSICALE BORDEAUX AQUITAINE</t>
  </si>
  <si>
    <t>Favoriser l'Éducation Musicale et Artistique et d'en promouvoir les pratiques par l'Organisation de Stages, Concerts, Spectacles, Productions Musicales individuelles et collectives, Concours musicaux, Cours collectifs et individuels de Piano et d'instruments de Musique d'Orchestre Symphonique, Musique de Chambre, Formation musicale, Chorale, Danse, Théâtre, Conférences, toutes activités culturelles et artistiques</t>
  </si>
  <si>
    <t>71 avenue du Parc de Lescure</t>
  </si>
  <si>
    <t>33035</t>
  </si>
  <si>
    <t>06 07 54 75 07</t>
  </si>
  <si>
    <t>www.stagemusicalcotebasque.fr</t>
  </si>
  <si>
    <t>https://assos.bordeaux.fr/association/detail/647</t>
  </si>
  <si>
    <t>Freefit Concept - Bordeaux a pour but de promouvoir un style de vie sain et actif à travers une approche sportive.
Nous cherchons également à rassembler un maximum de personnes partageant la même passion. Dans cette optique, nous proposons des activités sportives gratuites et ouvertes à tous. Tout ceci dans la bonne humeur et l'entraide pour un maximum de motivation !</t>
  </si>
  <si>
    <t xml:space="preserve">37 rue Jean Claudeville                                                                                                </t>
  </si>
  <si>
    <t>06 74 05 06 12</t>
  </si>
  <si>
    <t>https://assos.bordeaux.fr/association/detail/715</t>
  </si>
  <si>
    <t>Permettre à des personnes handicapées de danser quel que soit leur handicap. Favoriser la mixité en initiant les personnes valides et handicapées à danser ensemble (cours et stages de danse de société). Développer la danse handi-valide sous des formes diverses : danse de société, danse sportive, hip-hop , sévillane, Flamenco...  L’association interdit toute discrimination et fait respecter les droits de l’homme.</t>
  </si>
  <si>
    <t xml:space="preserve">7 avenue Albert 1er                                    Résidence Bourranville Apt. 3                                                                                                              </t>
  </si>
  <si>
    <t>06 21 44 42 20</t>
  </si>
  <si>
    <t>Sandrine Darracq</t>
  </si>
  <si>
    <t>www.handtohand33.fr</t>
  </si>
  <si>
    <t>https://assos.bordeaux.fr/association/detail/803</t>
  </si>
  <si>
    <t>COMITÉ DE QUARTIER ET DES FÊTES DE LA BASTIDE - UDCOF33-BASTIDE</t>
  </si>
  <si>
    <t>Notre comité a pour vocation d'aider les gens au quotidien, d'être un lien entre la municipalité, les institutions locales et régionales, ainsi qu'avec tous les habitants du quartier de la Bastide (l'urbanisme et la construction, les transports, les fêtes et les animations locales, les projets divers, etc....) d'organiser toutes fêtes locales, foraines et diverses animations. Participation aux conseils de quartier.</t>
  </si>
  <si>
    <t xml:space="preserve">52 rue Béranger R.D.C                                                                                                </t>
  </si>
  <si>
    <t>08 25 67 00 28</t>
  </si>
  <si>
    <t>Didier François BRUNET</t>
  </si>
  <si>
    <t>www.bordeaux-bastide.net</t>
  </si>
  <si>
    <t>https://assos.bordeaux.fr/association/detail/554</t>
  </si>
  <si>
    <t>FOYER FRATERNEL - FFCS</t>
  </si>
  <si>
    <t>Centre social CAF, EAJE ( Etablissement Multi accueil -Halte Garderie,  Organisme de formation et d'insertion socio-professionnelle. Activités relevant de l' éducation Populaire, Association humanitaire (Vêtements, accueil de jour, CAIO).</t>
  </si>
  <si>
    <t xml:space="preserve">23, rue Gouffrand                                                                                                </t>
  </si>
  <si>
    <t>05 57 87 13 92</t>
  </si>
  <si>
    <t>http:/www.centresocial-foyerfraternel.fr</t>
  </si>
  <si>
    <t>https://assos.bordeaux.fr/association/detail/1764</t>
  </si>
  <si>
    <t>ON EST LÀ</t>
  </si>
  <si>
    <t>L'association "On est là" s'adresse aux jeunes entre 13 et 30 ans atteints d'un cancer ou d'en rémission. Elle permet de créer du lien entre ces jeunes par le biais de groupes de paroles à l'hôpital, de parrainage entre ancien et jeune malade ainsi que des rencontres variées avec ou sans rapports avec la maladie :)</t>
  </si>
  <si>
    <t>50 rue Cortambert                                                                                                75016 Paris</t>
  </si>
  <si>
    <t>06 24 46 33 86</t>
  </si>
  <si>
    <t>www.http://asso-onestla.fr</t>
  </si>
  <si>
    <t>https://assos.bordeaux.fr/association/detail/866</t>
  </si>
  <si>
    <t>ZOMBIE CREW</t>
  </si>
  <si>
    <t>Nos actions ont pour objectif principal la promotion du jeu sous toutes ses formes et pour tous. Nous opérons ainsi dans plusieurs domaines : organisation de tournois de jeux de société, explications des règles, animation de soirée (BlindTest, Quizz…), animation de jeux de rôles Grandeur Nature, mais surtout, les animations qui font notre notoriété la création et organisation de Murder Party (Soirée Enquête) .</t>
  </si>
  <si>
    <t xml:space="preserve">10 rue brascassat                                                                                                </t>
  </si>
  <si>
    <t>06 23 45 08 73</t>
  </si>
  <si>
    <t>www.zombiecrew.org</t>
  </si>
  <si>
    <t>https://assos.bordeaux.fr/association/detail/635</t>
  </si>
  <si>
    <t>AQUITAINE AFRIQUE INITIATIVES  - AQAFI</t>
  </si>
  <si>
    <t>https://assos.bordeaux.fr/association/detail/1137</t>
  </si>
  <si>
    <t>Mixeratum Ergo Sum est un projet collectif transdisciplinaire qui a pour objet principal la création artistique théâtrale et plastique et l’organisation d’événements culturels.
Deux autres axes fondent l’association dans son développement artistique : l’ingénierie culturelle et la médiation. Le collectif porte le Festival de Caves de Bordeaux depuis 2014, festival de théâtre souterrain.</t>
  </si>
  <si>
    <t xml:space="preserve">1 Rue Jacques Camille Paris                                 appt 17                                                                                                             </t>
  </si>
  <si>
    <t>06 68 66 32 61</t>
  </si>
  <si>
    <t>www.mixeratum-ergosum.com</t>
  </si>
  <si>
    <t>https://assos.bordeaux.fr/association/detail/926</t>
  </si>
  <si>
    <t>ENTRAIDE SCOLAIRE AMICALE BORDEAUX - ESA</t>
  </si>
  <si>
    <t>Notre mission est d’aider BENEVOLEMENT, dans sa famille, une fois par semaine, un enfant en difficulté scolaire, que les parents ne peuvent ni aider, ni faire aider par manque de connaissances nécessaires, de temps et de moyens financiers. Le bénévole crée un lien d’humanité et de confiance mutuelle avec l’enfant, la famille, et si possible les enseignants. Il aide l’enfant à « Apprendre à apprendre » du CP à la Tle</t>
  </si>
  <si>
    <t xml:space="preserve">Place Saint Christoly                                                                                                </t>
  </si>
  <si>
    <t>05 56 49 58 60</t>
  </si>
  <si>
    <t>www.entraidescolaireamicale.org</t>
  </si>
  <si>
    <t>https://assos.bordeaux.fr/association/detail/941</t>
  </si>
  <si>
    <t>BÔYÉ-PÂH</t>
  </si>
  <si>
    <t>L'association Bôyé-Pâh a pour objet de promouvoir et valoriser la culture et les arts africains notamment de la Côte d'Ivoire. Elle propose notamment des ateliers de danse Enfants et Adultes en DANSES TRADITIONNELLES D'AFRIQUE DE L'OUEST, AFRO-DéCALé et AFRO-CONTEMPORAIN.</t>
  </si>
  <si>
    <t xml:space="preserve">13 rue Charles Domercq                                                                                                </t>
  </si>
  <si>
    <t>06 52 00 11 74</t>
  </si>
  <si>
    <t>https://assos.bordeaux.fr/association/detail/1817</t>
  </si>
  <si>
    <t>CHARA FRANCE</t>
  </si>
  <si>
    <t>https://assos.bordeaux.fr/association/detail/507</t>
  </si>
  <si>
    <t>TRAVELER ON STAGE BORDEAUX</t>
  </si>
  <si>
    <t>https://assos.bordeaux.fr/association/detail/1052</t>
  </si>
  <si>
    <t>BORDEAUX DEVELOPER EXPERIENCE - BDX I/O</t>
  </si>
  <si>
    <t>Veiller à la bonne organisation de la conférence éducative annuelle BDX I/O destinée aux développeurs informatiques, ainsi que d'éventuels événements connexes.</t>
  </si>
  <si>
    <t xml:space="preserve">369 QUATER AVENUE DE VERDUN                                  APPARTEMENT C11                                                                                                              </t>
  </si>
  <si>
    <t>06 19 81 98 50</t>
  </si>
  <si>
    <t>www.bdx.io</t>
  </si>
  <si>
    <t>https://assos.bordeaux.fr/association/detail/915</t>
  </si>
  <si>
    <t>UNICEF GIRONDE - UNICEF</t>
  </si>
  <si>
    <t>Association loi 1901 d'utilité publique. Promouvoir toutes les actions de coopération et d'entraide en faveur de l'enfance et veiller à l'application de la convention internationale des droits de l'enfant.</t>
  </si>
  <si>
    <t xml:space="preserve">41 rue Bernard Adour                                                                                                </t>
  </si>
  <si>
    <t>09 86 19 49 17</t>
  </si>
  <si>
    <t>https://assos.bordeaux.fr/association/detail/882</t>
  </si>
  <si>
    <t>SOS URGENCES MAMANS</t>
  </si>
  <si>
    <t>Sos Urgences Mamans est une association qui vient en aide aux familles qui ont un souci de garde ponctuelle (un imprévu, une défaillance de la garde habituelle, maladie de l’enfant, démarches, rendez-vous,etc.). Cette garde est assurée par des mamans et mamies bénévoles.</t>
  </si>
  <si>
    <t>000 Bordeaux</t>
  </si>
  <si>
    <t>06 67 71 52 04</t>
  </si>
  <si>
    <t>Marc Professeur Tardieu</t>
  </si>
  <si>
    <t>sosurgencesmamans.com</t>
  </si>
  <si>
    <t>https://assos.bordeaux.fr/association/detail/1534</t>
  </si>
  <si>
    <t>ESCORTE DÉFILÉS SÉCURITÉS PARADE - EDSP</t>
  </si>
  <si>
    <t>Sécurité pour tous !
Assurer la sécurité routière lors de manifestations (blocage des voies de circulations), ouverture et fermeture de route ...</t>
  </si>
  <si>
    <t xml:space="preserve">25 Rue du Docteur Jacques Monod                                                                                                </t>
  </si>
  <si>
    <t>33160</t>
  </si>
  <si>
    <t>06 02 38 60 25</t>
  </si>
  <si>
    <t>https://assos.bordeaux.fr/association/detail/1853</t>
  </si>
  <si>
    <t>ACCEDE AQUITAINE ENTREPRENEURS - ACCEDE</t>
  </si>
  <si>
    <t>ACCEDE Aquitaine Entrepreneurs est l’association spécialisée dans les prestations de conseil dédiées aux entrepreneurs. En réalisant des études de marché, des business plans, et de l’accompagnement juridique, elle permet aux porteurs de projets de concrétiser leurs idées jusqu’à leur financement.
En outre, ACCEDE est à l'origine du plus grand concours entrepreneurial d'Aquitaine : le Millésime De La Création.</t>
  </si>
  <si>
    <t xml:space="preserve">680 Cours de la Libération                                                                                                </t>
  </si>
  <si>
    <t>06 24 39 23 73</t>
  </si>
  <si>
    <t>Adrien Cousteau</t>
  </si>
  <si>
    <t>accedeaquitaine.fr</t>
  </si>
  <si>
    <t>https://assos.bordeaux.fr/association/detail/1855</t>
  </si>
  <si>
    <t>CŒUR D'ÉTOILE</t>
  </si>
  <si>
    <t>L’Association type loi 1901 à but non-lucratif Cœur d’Étoile a pour but la promotion et le rayonnement de la chorégraphie et de la danse (particulièrement les danses académiques, classique et contemporaine) comme vecteur artistique d’inclusion culturel, social et professionnel. Son but : l'émancipation de chacun par la pratique artistique et la découverte de la danse et du travail chorégraphique.</t>
  </si>
  <si>
    <t xml:space="preserve">21, avenue Félix Faure                                                                                                </t>
  </si>
  <si>
    <t>06 69 25 14 84</t>
  </si>
  <si>
    <t>Vanessa  Feuillatte</t>
  </si>
  <si>
    <t>www.coeurdetoile.com</t>
  </si>
  <si>
    <t>https://assos.bordeaux.fr/association/detail/1564</t>
  </si>
  <si>
    <t>HUMA'COB</t>
  </si>
  <si>
    <t>Huma’COB est l’association  humanitaire du collège ostéopathique de bordeaux. Son objectif est qu'un groupe d’élèves accompagnés de 2 professeurs partent en mission d'une dizaine de jours au Bénin, pratiquer l’ostéopathie dans le but d’améliorer la santé de la population.</t>
  </si>
  <si>
    <t xml:space="preserve">89 quai des Chartrons                                                                                                </t>
  </si>
  <si>
    <t>06 78 72 51 96</t>
  </si>
  <si>
    <t>https://assos.bordeaux.fr/association/detail/681</t>
  </si>
  <si>
    <t>HABITATS JEUNES LE LEVAIN</t>
  </si>
  <si>
    <t>Créer, entretenir et développer un ou des centres d’accueil et d’hébergement à Bordeaux et dans la Métropole, pour les jeunes en contrat d’apprentissage, travailleur(ses), en formation, demandeurs(ses) d’emploi, étudiants(es).</t>
  </si>
  <si>
    <t xml:space="preserve"> rue Paul Louis Lande                                                                                                </t>
  </si>
  <si>
    <t>05 56 33 66 66</t>
  </si>
  <si>
    <t>Alain Roborel de Climens</t>
  </si>
  <si>
    <t>www.habitatsjeuneslelevain.org</t>
  </si>
  <si>
    <t>https://assos.bordeaux.fr/association/detail/642</t>
  </si>
  <si>
    <t>ASSOCIATION CULTUELLE ISRAÉLITE DE LA GIRONDE  - ACIG</t>
  </si>
  <si>
    <t>Association cultuelle gérant le culte israélite dans la région sudouest Protection et Entretien du patrimoine Organisations événements visites guidées ( audioguides en 5 langues ) concerts expositions</t>
  </si>
  <si>
    <t xml:space="preserve">213 rue SAINTE CATHERINE                                                                                                </t>
  </si>
  <si>
    <t>05 56 91 79 39</t>
  </si>
  <si>
    <t>Erick Aouizerate</t>
  </si>
  <si>
    <t>www.synagogue-bordeaux.com</t>
  </si>
  <si>
    <t>https://assos.bordeaux.fr/association/detail/529</t>
  </si>
  <si>
    <t>PHILOMATHIQUE DE BORDEAUX</t>
  </si>
  <si>
    <t>La Philomathique de la Métropole de Bordeaux est une école poly-techniques des apprentissages reconnue d’utilité publique. Créée en 1808, elle a depuis contribué à la formation de 118 Meilleurs Ouvriers de France et accueille au cœur de Bordeaux plus de 1000 auditeurs par an.</t>
  </si>
  <si>
    <t xml:space="preserve">66 rue Abbé de l'Epée                                                                                                </t>
  </si>
  <si>
    <t>05 56 52 23 26</t>
  </si>
  <si>
    <t>www.philomathiquebordeaux.com</t>
  </si>
  <si>
    <t>https://assos.bordeaux.fr/association/detail/960</t>
  </si>
  <si>
    <t>Servir des repas chauds 3 fois par semaine à des personnes en situation difficile pour un prix symbolique, apporter réconfort moral que chaque individu est en droit d'attendre</t>
  </si>
  <si>
    <t xml:space="preserve">12 rue Charlevoix de Villers                                                                                                </t>
  </si>
  <si>
    <t>06 67 24 89 74</t>
  </si>
  <si>
    <t>https://assos.bordeaux.fr/association/detail/1406</t>
  </si>
  <si>
    <t>Informer sur les graves dangers que représente l'industrie nucléaire civile et militaire. Lutter contre l'activité des centrales nucléaires et obtenir leur fermeture, tout particulièrement en ce qui concerne la centrale nucléaire du Blayais.</t>
  </si>
  <si>
    <t xml:space="preserve">5 place Camille Julian                                 Cinéma Utopia                                                                                                             </t>
  </si>
  <si>
    <t>06 33 15 43 90</t>
  </si>
  <si>
    <t>tchernoblaye.free.fr</t>
  </si>
  <si>
    <t>https://assos.bordeaux.fr/association/detail/1790</t>
  </si>
  <si>
    <t>ASSOCIATION VILLAGE SAINT SEURIN</t>
  </si>
  <si>
    <t>https://assos.bordeaux.fr/association/detail/878</t>
  </si>
  <si>
    <t>MAISON DE SANTÉ NATURELLE - AMDSN</t>
  </si>
  <si>
    <t>Arrêtez de courir de la une porte a une autre, ici vous trouvez des informations et des adresse que peuvent vous être utile dans toute votre vie generale: comme la formation que vous le désirez autant et que pouvez avoir accès que avec votre carte vitale. - Comme les adresse des hébergement gratuites, ou pour obtenir des colis alimentaires, ou des soins gratuites , même si vous n'avez pas de papiers, prix du 0 e à 33</t>
  </si>
  <si>
    <t xml:space="preserve">12 rue de Treytins rés haut hippodrome                                 bat 12 appt 315                                                                             BP 315                                </t>
  </si>
  <si>
    <t>33320</t>
  </si>
  <si>
    <t>05 56 45 63 15</t>
  </si>
  <si>
    <t>Crenguta Aoudia</t>
  </si>
  <si>
    <t>nonprofit.maisondesantenaturelle.com</t>
  </si>
  <si>
    <t>https://assos.bordeaux.fr/association/detail/932</t>
  </si>
  <si>
    <t>A.S CHARLES MARTIN - A.S CH. MARTIN</t>
  </si>
  <si>
    <t>Former à la responsabilité, au civisme, à l'autonomie par la pratique d'activités physiques, sportives et de pleine nature, d'activités socio-culturelles dans le cadre d'un fonctionnement démocratique. Elle contribue à l'éducation globale des enfants.</t>
  </si>
  <si>
    <t xml:space="preserve">83 rue Charles Martin                                                                                                </t>
  </si>
  <si>
    <t>06 51 51 16 23</t>
  </si>
  <si>
    <t>usepcharlesmartin.overblog.com</t>
  </si>
  <si>
    <t>https://assos.bordeaux.fr/association/detail/819</t>
  </si>
  <si>
    <t>MAISON DU DIABETE, DE LA NUTRITION, DE L'OBESITE ET DU RISQUE CARDIOVASCULAIRE - MDN</t>
  </si>
  <si>
    <t>Prévention santé auprès de tout public sur les facteurs de risques et maladies cardiovasculaires (diabète, surpoids, obésité, maladies cardiovasculaires)</t>
  </si>
  <si>
    <t xml:space="preserve">84 BIS AVENUE THIERS                                                                                                </t>
  </si>
  <si>
    <t>05 56 92 34 83</t>
  </si>
  <si>
    <t>www.maisondiabetebordeaux.wordpress.com</t>
  </si>
  <si>
    <t>https://assos.bordeaux.fr/association/detail/578</t>
  </si>
  <si>
    <t>BI-IZARRAK</t>
  </si>
  <si>
    <t>- Centres d'hébergement collectif à Bidart (64)
- Colonies de vacances
- Classes de découvertes</t>
  </si>
  <si>
    <t xml:space="preserve">96 rue de la Béchade                                                                                                </t>
  </si>
  <si>
    <t>05 56 24 93 96</t>
  </si>
  <si>
    <t>www.bi-izarrak.com</t>
  </si>
  <si>
    <t>https://assos.bordeaux.fr/association/detail/812</t>
  </si>
  <si>
    <t>L'ARTELIER - ENSEIGNEMENT ARTISTIQUE BEAUX ARTS - EABA</t>
  </si>
  <si>
    <t>Ateliers d'expression, cours et stages de dessin, peinture, arts plastiques pour adultes et enfants.</t>
  </si>
  <si>
    <t xml:space="preserve">92 rue de Pessac                                                                                                </t>
  </si>
  <si>
    <t>06 75 79 90 61</t>
  </si>
  <si>
    <t>https://assos.bordeaux.fr/association/detail/1047</t>
  </si>
  <si>
    <t>PHENIX ECOUTE ET PAROLES - PEPS</t>
  </si>
  <si>
    <t>Prévention du suicide et lutte contre isolement. Au local ,Accueils individuels,groupe, téléphoniques, messagerie internet,Accueils en résidences pour personnes âgés.Lieu d’écoute basé sur l'anonymat et le nom jugement pour les personnes,familles, amis, collègues de travail.Restaurer du lien social face à la souffrance morale .C'est une passerelle entre les personnes en souffrance et l'offre de soin en santé.</t>
  </si>
  <si>
    <t xml:space="preserve">Association phénix ecoute et paroles ,10 avenue Bel-Air                                  1 etage                                                                                                             </t>
  </si>
  <si>
    <t>06 89 55 42 14</t>
  </si>
  <si>
    <t>sos-suicide-phenix.org</t>
  </si>
  <si>
    <t>https://assos.bordeaux.fr/association/detail/631</t>
  </si>
  <si>
    <t>PETIT COEUR DE BEURRE</t>
  </si>
  <si>
    <t>L'association Petit Coeur de Beurre a pour objet de faire connaître et mieux appréhender les cardiopathies congénitales, d'agir pour améliorer, optimiser et soutenir le quotidien des personnes atteintes de cardiopathies congénitales, au travers de 3 axes : le soutien aux personnes atteintes de malformations cardiaques et leurs familles, le soutien aux structures hospitalières, le soutien à la recherche.</t>
  </si>
  <si>
    <t>125 Bd Saint Denis                                                                                                92400 COURBEVOIE</t>
  </si>
  <si>
    <t>06 89 19 59 41</t>
  </si>
  <si>
    <t>Jean-Charles Marguin</t>
  </si>
  <si>
    <t>www.petitcoeurdebeurre.fr</t>
  </si>
  <si>
    <t>https://assos.bordeaux.fr/association/detail/1013</t>
  </si>
  <si>
    <t>PSY'HOPE BORDEAUX</t>
  </si>
  <si>
    <t>Aide aux personnes vivant avec un trouble de l'humeur (bipolaire ou trouble associé) et leurs proches. 
Accueils personnalisés, réunions d’échange entre pairs et proches, conférences ou actions. Plateformes d'informations sur le Web. Représente les usagers au CLSM de Bordeaux. Principes de la pair-aidance et du rétablissement.
Informer, échanger, s'entraider.</t>
  </si>
  <si>
    <t xml:space="preserve">130 avenue Louis Barthou                                 LE LABB                                                                                                             </t>
  </si>
  <si>
    <t>07 83 55 78 47</t>
  </si>
  <si>
    <t>https://assos.bordeaux.fr/association/detail/1714</t>
  </si>
  <si>
    <t>MAISON D'ACCUEIL ET D'INFORMATION 33 - MAI 33</t>
  </si>
  <si>
    <t>Accueil et écoute des familles et proches de personnes détenues au centre pénitentiaire de Bordeaux Gradignan.
Hébergement et accompagnement de permissionnaires et sortants de prison.</t>
  </si>
  <si>
    <t xml:space="preserve">34 rue de Chouiney                                                                                                 </t>
  </si>
  <si>
    <t>33170</t>
  </si>
  <si>
    <t>06 23 15 89 14</t>
  </si>
  <si>
    <t>https://assos.bordeaux.fr/association/detail/1179</t>
  </si>
  <si>
    <t>ÉCOUTER SON CORPS</t>
  </si>
  <si>
    <t>Spécialisée dans la Gymnastique douce de bien-être. Les moyens d'action sont, entre autre, : la méthode Pilates, le Qi gong (gymnastique chinoise), Do-in, auto-massages, méditation, les étirements éducatifs, yoga, la marche consciente (afghane), coaching, organisation de stages, d'ateliers.</t>
  </si>
  <si>
    <t xml:space="preserve">1 rue Erik Satie, Clos Montesquieu                                                                                                </t>
  </si>
  <si>
    <t>06 28 51 22 49</t>
  </si>
  <si>
    <t>https://assos.bordeaux.fr/association/detail/525</t>
  </si>
  <si>
    <t>https://assos.bordeaux.fr/association/detail/834</t>
  </si>
  <si>
    <t>AMIS DE L UTOPIA BORDEAUX</t>
  </si>
  <si>
    <t>Créer du lien social autour du Cinéma Utopia , et  le quartier Saint Pierre à BORDEAUX</t>
  </si>
  <si>
    <t xml:space="preserve">ATHÉNÉE Père Joseph Wresinski place saint christoly                                 Boite 36                                                                                                             </t>
  </si>
  <si>
    <t>06 62 35 81 04</t>
  </si>
  <si>
    <t>Michel IBANEZ/FRAYSSAC</t>
  </si>
  <si>
    <t>https://assos.bordeaux.fr/association/detail/853</t>
  </si>
  <si>
    <t>TOUTES À L'ABRI</t>
  </si>
  <si>
    <t>Toutes à l’Abri est une association bordelaise offrant un accueil de jour aux femmes sans domiciles tous mercredis de 9h30 à 17h30. 
Elles peuvent y trouver un espace intime où se doucher, accessible tous les mercredis avec le nécessaire d’hygiène (y compris des protections périodiques), de quoi laver leur linge et nourrir leurs animaux. 
Nous proposons aussi en fonction des besoins une aide administrative</t>
  </si>
  <si>
    <t xml:space="preserve">118 rue héron                                                                                                </t>
  </si>
  <si>
    <t>www.toutesalabri.fr</t>
  </si>
  <si>
    <t>https://assos.bordeaux.fr/association/detail/687</t>
  </si>
  <si>
    <t>FONDA SUD OUEST</t>
  </si>
  <si>
    <t>La Fonda Sud Ouest est une association qui en Nouvelle-Aquitaine s'efforce de faire vivre les idées et les débats qui traversent le monde associatif. Espace d'échanges et de réflexions, la Fonda Sud Ouest regroupe celles et ceux qui trouvent intérêt à pouvoir de temps à autre faire "un pas de coté" et approfondir des questions aussi variées que celles relatives à la gouvernance des associations, la prospective.</t>
  </si>
  <si>
    <t xml:space="preserve">29 rue de la Paix                                                                                                  </t>
  </si>
  <si>
    <t>06 44 23 49 75</t>
  </si>
  <si>
    <t>fonda.asso.fr/la-fonda-sud-ouest</t>
  </si>
  <si>
    <t>https://assos.bordeaux.fr/association/detail/924</t>
  </si>
  <si>
    <t>Sensibiliser aux actions de partage, au bénéfice des enfants menacés dans leur développement, sur la base de leurs droits fondamentaux. Faire connaître le parrainage comme moyen de leur venir en aide. Engager des actions propres à recueillir des fonds permettant de financer les programmes de nos partenaires.</t>
  </si>
  <si>
    <t xml:space="preserve">324 chemin du Bois d'Aubigney                                                                                                </t>
  </si>
  <si>
    <t>33290</t>
  </si>
  <si>
    <t>06 33 75 81 67</t>
  </si>
  <si>
    <t>Joelle Boussier</t>
  </si>
  <si>
    <t>www.bordeaux.partage.org</t>
  </si>
  <si>
    <t>https://assos.bordeaux.fr/association/detail/1863</t>
  </si>
  <si>
    <t>MOLECULE</t>
  </si>
  <si>
    <t>Molécule s’invite à Bordeaux pour vous faire partager la passion de la musique électronique en mélangent le tout dans des lieux unique et culturels de la métropole.</t>
  </si>
  <si>
    <t xml:space="preserve">134 rue de Begles.                                  Appt 8                                                                                                             </t>
  </si>
  <si>
    <t>06 19 26 10 10</t>
  </si>
  <si>
    <t>Léo  SAISON</t>
  </si>
  <si>
    <t>https://assos.bordeaux.fr/association/detail/1034</t>
  </si>
  <si>
    <t>MAISON DE L'EMPLOI</t>
  </si>
  <si>
    <t>Créée à l’initiative de la Ville de Bordeaux, de l’Etat et de Pôle Emploi, la Maison de l’Emploi de Bordeaux favorise l’insertion des publics les plus en difficulté (Plan Local Pour l’Insertion et l’Emploi, Clause d’Insertion), anime le territoire sur la thématique de l’emploi (Forums, aide au recrutement) et soutient la création d'activités (Plateforme de l'Initiative, Pépinière éco-créative Chartrons)</t>
  </si>
  <si>
    <t xml:space="preserve">127 avenue Emile Counord                                 Immeuble Arc-en-Ciel                                                                                                             </t>
  </si>
  <si>
    <t>05 57 78 37 37</t>
  </si>
  <si>
    <t>www.maison-emploi-bordeaux.fr</t>
  </si>
  <si>
    <t>https://assos.bordeaux.fr/association/detail/1805</t>
  </si>
  <si>
    <t>AIMER-CROIRE-AGIR - A.C.A</t>
  </si>
  <si>
    <t>https://assos.bordeaux.fr/association/detail/970</t>
  </si>
  <si>
    <t>SACRÉE MARMAILLE - SM</t>
  </si>
  <si>
    <t>https://assos.bordeaux.fr/association/detail/787</t>
  </si>
  <si>
    <t>AVANT GARDE JEANNE D'ARC - AGJA</t>
  </si>
  <si>
    <t>Club omnisports : 77 activités sportives et culturelles - 6 accueils de loisirs</t>
  </si>
  <si>
    <t xml:space="preserve">8 rue Gambetta                                                                                                </t>
  </si>
  <si>
    <t>05 56 08 67 79</t>
  </si>
  <si>
    <t>Paul-Henri Schmidt</t>
  </si>
  <si>
    <t>www.agja.org</t>
  </si>
  <si>
    <t>https://assos.bordeaux.fr/association/detail/841</t>
  </si>
  <si>
    <t>BOUT À BOUT  - BAB</t>
  </si>
  <si>
    <t>« Bout à Bout » a pour but d’accompagner, promouvoir, réaliser et diffuser des productions audiovisuelles. L'association souhaite également favoriser les rencontres artistiques par la mise en place de projets éducatifs et d’événements publics. Il est ancré dans les valeurs de l’association Bout à Bout de s'inscrire dans des initiatives locales et des projets socio-culturels.</t>
  </si>
  <si>
    <t xml:space="preserve">38 Rue Peyronnet                                 Association Bout à Bout                                                                                                              </t>
  </si>
  <si>
    <t>06 40 46 26 03</t>
  </si>
  <si>
    <t>https://assos.bordeaux.fr/association/detail/788</t>
  </si>
  <si>
    <t>RÉSO-EMPLOIS À DOMICILE</t>
  </si>
  <si>
    <t>Réso-emplois à domicile propose de l'aide et de l'accompagnement à domicile au travers de prestations modulables et adaptables, 7 jours sur 7, assurées par des intervenant(e)s expérimenté(e)s et formé(e)s avec un suivi régulier de la qualité des prestations. Elle bénéficie d'un agrément préfectoral et d'une autorisation du Conseil Départemental qui lui autorise à procurer une aide humaine à tous les particuliers.</t>
  </si>
  <si>
    <t xml:space="preserve">39 rue Hermitage de l'hippodrome                                                                                                </t>
  </si>
  <si>
    <t>05 57 81 17 27</t>
  </si>
  <si>
    <t>Olivier Mingasson</t>
  </si>
  <si>
    <t>www.resoadom33.org</t>
  </si>
  <si>
    <t>https://assos.bordeaux.fr/association/detail/706</t>
  </si>
  <si>
    <t>ASSOCIATION POUR L' INNOVATION EN MATIÈRE D'INTEGRATION - APIMI</t>
  </si>
  <si>
    <t>Cette association a pour but
- de développer l’accueil de tous les enfants dans un souci de non-exclusion en pratiquant l’intégration collective d’enfants porteurs d’un handicap et/ou d’une maladie chronique 
- de valoriser l’intérêt socio-éducatif, voire civique, pour les enfants sans handicap et leur famille de fréquenter des enfants porteurs d’un handicap et/ou d’une maladie chronique et leur famille.</t>
  </si>
  <si>
    <t xml:space="preserve">136 Rue Hortense                                                                                                </t>
  </si>
  <si>
    <t>05 56 67 87 06</t>
  </si>
  <si>
    <t>https://assos.bordeaux.fr/association/detail/1593</t>
  </si>
  <si>
    <t>L'association a pour but de favoriser l'intégration des nouveaux arrivants dans la licence et d'animer leur vie étudiante. Elle propose différents partenariats culturels et sportifs qui permettent à ses adhérents de pouvoir sortir dans Bordeaux sans se ruiner.</t>
  </si>
  <si>
    <t xml:space="preserve">Esplanade des Antilles                                  UFR STC Local F104                                                                                                             </t>
  </si>
  <si>
    <t>06 43 00 88 63</t>
  </si>
  <si>
    <t>https://assos.bordeaux.fr/association/detail/1727</t>
  </si>
  <si>
    <t>SOS AMITIÉ BORDEAUX</t>
  </si>
  <si>
    <t>https://assos.bordeaux.fr/association/detail/1112</t>
  </si>
  <si>
    <t>CIE APSARAS THÉÂTRE - LE CERISIER</t>
  </si>
  <si>
    <t>LE CERISIER est un lieu intermédiaire de pratiques artistiques situé à Bacalan créé par la compagnie Apsaras Théâtre. Ouvert à tous les arts vivants, c'est un espace d'expérimentation dans lequel les artistes professionnels et amateurs peuvent répéter, montrer leur travail au public et organiser leurs propres formations dans une salle adaptée à leurs besoins. Le Cerisier propose aussi des temps festifs!</t>
  </si>
  <si>
    <t xml:space="preserve">7-11 rue joseph brunet                                                                                                </t>
  </si>
  <si>
    <t>09 54 11 63 01</t>
  </si>
  <si>
    <t>lecerisier.org</t>
  </si>
  <si>
    <t>https://assos.bordeaux.fr/association/detail/1709</t>
  </si>
  <si>
    <t>ASSOCIATION NATIONALE DES VISITEURS DE PRISON  - ANVP</t>
  </si>
  <si>
    <t>Les visiteurs de prison apportent une aide morale et matérielle aux personnes détenues  pendant le temps de leur incarcération et au moment de leur sortie. Ils sont à l'écoute des personnes incarcérées qui en font la demande, par des visites hebdomadaires. Les visiteurs de la section de Bordeaux interviennent à la maison d'arrêt de Gradignan et au centre pénitentiaire de Bédenac.</t>
  </si>
  <si>
    <t xml:space="preserve">ANVP Maison des associations                                    55 Avenue du Maréchal de Lattre de Tassigny                                                                                                             </t>
  </si>
  <si>
    <t>07 83 24 90 06</t>
  </si>
  <si>
    <t>https://assos.bordeaux.fr/association/detail/1530</t>
  </si>
  <si>
    <t>CLAFOUTIS &amp; CIE</t>
  </si>
  <si>
    <t>L’association Clafoutis &amp; Cie est portée par une équipe chaleureuse et passionnée. Son maître mot est bien-être pour tous : danse portage et bébé danseurs pour les plus jeunes, massages, yoga pré et postnatal, gym posturale de Gasquet, cours de danse contemporaine, classique,hip-hop pour adultes et enfants.
Clafoutis &amp; Cie, un noyau d’énergie !</t>
  </si>
  <si>
    <t xml:space="preserve">Rue Jean Sabarots                                                                                                 </t>
  </si>
  <si>
    <t>07 83 61 13 80</t>
  </si>
  <si>
    <t>www.clafoutis-cie.com</t>
  </si>
  <si>
    <t>https://assos.bordeaux.fr/association/detail/1140</t>
  </si>
  <si>
    <t>SCOUTS ET GUIDES DE FRANCE - SGDF</t>
  </si>
  <si>
    <t>https://assos.bordeaux.fr/association/detail/1612</t>
  </si>
  <si>
    <t>ELEIO SAINT PAUL GOSPEL</t>
  </si>
  <si>
    <t>Chorale de Gospel à Bordeaux Église St Pierre .</t>
  </si>
  <si>
    <t xml:space="preserve">42 cours Anatole France                                                                                                </t>
  </si>
  <si>
    <t>06 15 21 47 78</t>
  </si>
  <si>
    <t>https://assos.bordeaux.fr/association/detail/1292</t>
  </si>
  <si>
    <t>CLUBS RÉGIONAUX D'ENTREPRISES PARTENAIRES DE L'INSERTION GIRONDE - CREPI GIRONDE</t>
  </si>
  <si>
    <t>Le Réseau des Clubs Régionaux d'Entreprises Partenaires de l'Insertion (CREPI) est un des grands réseaux nationaux dont l’objet est d’aider toute personne à trouver un emploi par le biais d’entreprises durablement engagées sur leurs territoires.</t>
  </si>
  <si>
    <t xml:space="preserve">5 place Ravezies                                                                                                </t>
  </si>
  <si>
    <t>05 56 17 40 20</t>
  </si>
  <si>
    <t>www.crepi.org</t>
  </si>
  <si>
    <t>https://assos.bordeaux.fr/association/detail/1241</t>
  </si>
  <si>
    <t>DOJO BORDEAUX - DOJO</t>
  </si>
  <si>
    <t>Pratique des arts martiaux</t>
  </si>
  <si>
    <t xml:space="preserve">84 cours Aristide Briand                                                                                                </t>
  </si>
  <si>
    <t>06 74 39 92 15</t>
  </si>
  <si>
    <t>www.dojobordeaux.fr</t>
  </si>
  <si>
    <t>https://assos.bordeaux.fr/association/detail/1688</t>
  </si>
  <si>
    <t>SOCIETE HIPPIQUE D'AQUITAINE SOCIETE HIPPIQUE D'AQUITAINE - SHA</t>
  </si>
  <si>
    <t>La Société Hippique d'Aquitaine est un centre équestre de Bordeaux Métropole. 
Club hippique et poney-club de loisir comme de compétition , nous proposons de nombreuses activités équestres (plat, obstacle, cross, promenades, stages, pony-games...) et un encadrement de qualité pour tous niveaux, le tout dans un cadre superbe .
Une seule et même passion nous unit tous : Le cheval !
Venez nous découvrir</t>
  </si>
  <si>
    <t xml:space="preserve">16 bis rue jean jaures                                                                                                </t>
  </si>
  <si>
    <t>06 12 30 79 97</t>
  </si>
  <si>
    <t>sha-letaillan.ffe.com</t>
  </si>
  <si>
    <t>https://assos.bordeaux.fr/association/detail/1550</t>
  </si>
  <si>
    <t>MUSIQUE A TOUT AGE</t>
  </si>
  <si>
    <t>L'organisation d'évènements culturels gratuits ou payants (ateliers éveil Musical, musicothérapie, salons, réunions) à destination du grand public ou d'un public professionnel.
la promotion des activités de l'association à destination du grand public et des professionnels par le biais de communication, d'internet ou tout autre moyen.
la vente de produits réalisés par l'association dans le but de la financer.</t>
  </si>
  <si>
    <t xml:space="preserve">24 rue andre Hible                                                                                                </t>
  </si>
  <si>
    <t>06 11 85 53 38</t>
  </si>
  <si>
    <t>musikatoutage.wixsite.com</t>
  </si>
  <si>
    <t>https://assos.bordeaux.fr/association/detail/688</t>
  </si>
  <si>
    <t>Promotion des arts de la parole.</t>
  </si>
  <si>
    <t xml:space="preserve">25 rue Permentade                                 Centre d'animation St Michel                                                                                                             </t>
  </si>
  <si>
    <t>05 56 91 88 05</t>
  </si>
  <si>
    <t>François Pouthier</t>
  </si>
  <si>
    <t>www.chahuts.net</t>
  </si>
  <si>
    <t>https://assos.bordeaux.fr/association/detail/630</t>
  </si>
  <si>
    <t>PRIMA</t>
  </si>
  <si>
    <t>L'objectif de l'association PRIMA consiste à mettre à disposition des solutions digitales appropriées aux enfants malades hospitalisés afin d'atténuer leur isolement social, psychologique et scolaire .</t>
  </si>
  <si>
    <t xml:space="preserve">42 rue du bocage                                                                                                 </t>
  </si>
  <si>
    <t>06 87 60 17 28</t>
  </si>
  <si>
    <t>https://assos.bordeaux.fr/association/detail/1107</t>
  </si>
  <si>
    <t>COMITÉ PRÉVENTION ET DÉPISTAGE DES CANCERS - CPDC</t>
  </si>
  <si>
    <t>Agir pour augmenter la participation de la population à la prévention et au dépistage des cancers afin que baissent les taux de mortalité. Informer la population à la prévention et au dépistage des cancers. Favoriser l’éducation sur la prévention et le dépistage des cancers auprès des jeunes. Informer les pouvoirs publics et les professionnels de santé des difficultés rencontrées par le public. Favoriser la recherche</t>
  </si>
  <si>
    <t xml:space="preserve">2 rue Raymond Poincaré                                 La Calypso entrée 1                                                                                                             </t>
  </si>
  <si>
    <t>05 56 02 17 77</t>
  </si>
  <si>
    <t>Dominique Rousseau Lebourg</t>
  </si>
  <si>
    <t>www.comitepreventiondepistagecancers.com</t>
  </si>
  <si>
    <t>https://assos.bordeaux.fr/association/detail/1388</t>
  </si>
  <si>
    <t>TIC TAC THÉÂTRE ART EN ACTION</t>
  </si>
  <si>
    <t>activités culturelles, artistiques et animation, cours et stages</t>
  </si>
  <si>
    <t xml:space="preserve">Cours du maréchal Foch                                                                                                </t>
  </si>
  <si>
    <t>06 63 37 88 58</t>
  </si>
  <si>
    <t>www.cours-tic-tac.webnode.fr</t>
  </si>
  <si>
    <t>https://assos.bordeaux.fr/association/detail/653</t>
  </si>
  <si>
    <t>LES BRIZ CARRO</t>
  </si>
  <si>
    <t>Association de promotion de la mosaïque comme technique de recyclage, les Briz' Carro ont pour but de : développer et valoriser la récupération des matériaux (verre, carrelage, assiettes et autres céramiques) ; populariser la technique de la mosaïque, permettant la réutilisation de ces verres et céramique, même endommagés ; proposer un loisirs enrichissant et créateur de lien</t>
  </si>
  <si>
    <t xml:space="preserve">76 rue de Pessac                                                                                                </t>
  </si>
  <si>
    <t>06 17 27 43 17</t>
  </si>
  <si>
    <t>www.brizcarro.com</t>
  </si>
  <si>
    <t>https://assos.bordeaux.fr/association/detail/1265</t>
  </si>
  <si>
    <t>CENTRE RÉGIONAL INFORMATION JEUNESSE NOUVELLE AQUITAINE SITE BORDEAUX - CRIJNA BORDEAUX</t>
  </si>
  <si>
    <t>Mettre à la disposition de tous les jeunes, et plus largement du grand public, par tous les moyens appropriés, les informations qui les intéressent dans tous les domaines ; favoriser l'autonomie, l'initiative et l'engagement des jeunes ; centre de ressource à vocation locale, départementale et régionale ; mise en place d'actions, d'activités et de manifestations pour répondre à la demande ou la susciter.</t>
  </si>
  <si>
    <t xml:space="preserve">125 cours Alsace et Lorraine                                                                                                </t>
  </si>
  <si>
    <t>05 56 56 00 56</t>
  </si>
  <si>
    <t>www.info-jeune.net</t>
  </si>
  <si>
    <t>https://assos.bordeaux.fr/association/detail/874</t>
  </si>
  <si>
    <t>LE GOÛT DU PARTAGE</t>
  </si>
  <si>
    <t>Le Goût du Partage vous accompagne bordelaises et bordelais à la découverte des quartiers Chartrons, Saint-Michel et Saint-Pierre de Bordeaux sous un autre angle. Nous, Sylvie et Lucie, notre duo mère-fille, souhaitons vous faire lever les yeux et découvrir des détails que vous n’aviez peut-être jamais remarqués. Comment ? En jouant à un jeu de piste de 2 heures et en partageant avec vous nos bonnes adresses.</t>
  </si>
  <si>
    <t xml:space="preserve">8 rue de la Concorde                                                                                                </t>
  </si>
  <si>
    <t>06 81 14 44 70</t>
  </si>
  <si>
    <t>le-gout-du-partage.fr</t>
  </si>
  <si>
    <t>https://assos.bordeaux.fr/association/detail/877</t>
  </si>
  <si>
    <t>DACA &amp; CO</t>
  </si>
  <si>
    <t>- diffuser, promouvoir et développer des productions créatives, artisanales, artistiques et culturelles.  
- mutualiser et de partager un lieu et des compétences.  
- soutenir les Designers, Artisans, Créateurs, Artistes dans leurs besoins en identité graphique et/ou de communication.</t>
  </si>
  <si>
    <t xml:space="preserve">59 rue Camille Sauvageau                                                                                                </t>
  </si>
  <si>
    <t>06 84 63 14 01</t>
  </si>
  <si>
    <t>https://assos.bordeaux.fr/association/detail/1324</t>
  </si>
  <si>
    <t>ASSOCIATION POUR LE DROIT DE MOURIR DANS LA DIGNITÉ - ADMD</t>
  </si>
  <si>
    <t>L’association pour le droit de mourir dans la dignité milite pour que chaque Française et chaque Français puisse choisir les conditions de sa propre fin de vie.</t>
  </si>
  <si>
    <t xml:space="preserve">7 Chemin de Maransin                                                                                                </t>
  </si>
  <si>
    <t>33440</t>
  </si>
  <si>
    <t>05 56 77 71 40</t>
  </si>
  <si>
    <t>Jean Luc Romero</t>
  </si>
  <si>
    <t>https://assos.bordeaux.fr/association/detail/682</t>
  </si>
  <si>
    <t>LES ATELIERS LIBRES D'AQUITAINE</t>
  </si>
  <si>
    <t>Lieu de création artistique ayant comme support l'argile en pratiquant des tarifs permettant au plus grand nombre d'y accéder.
Accueil de groupes d'institutions, de centre d'animation, etc...
La pratique du modelage et sculpture sur argile est encadrée par une animatrice compétente.
L'ensemble de l'équipe et des adhérents ont a cœur de faire perdurer l'esprit du fondateur (Mr Roger François).</t>
  </si>
  <si>
    <t xml:space="preserve">9 rue Fernand Philippart                                                                                                </t>
  </si>
  <si>
    <t>06 66 01 57 96</t>
  </si>
  <si>
    <t>ANNE GALIE</t>
  </si>
  <si>
    <t>atelierslibres.wixsite.com/atelierslibres</t>
  </si>
  <si>
    <t>https://assos.bordeaux.fr/association/detail/1663</t>
  </si>
  <si>
    <t>L'INDOMPTABLE CABARET-BURLESQUE</t>
  </si>
  <si>
    <t>L’association « L’Indomptable Cabaret-Burlesque » a pour objet de réunir des performers (amateurs et/ou professionnels), dans une démarche de création artistique des arts de la scène autour du burlesque, du cabaret et des arts du cirque (pole danse, jonglage …).
L’association proposera des cours de danse (effeuillage, cabaret, chair dance, burlesque…) ; ainsi que l’organisation de représentations et d'interventions.</t>
  </si>
  <si>
    <t xml:space="preserve">144 rue Durcy                                 Appart B34                                                                                                             </t>
  </si>
  <si>
    <t>06 52 49 14 37</t>
  </si>
  <si>
    <t>https://assos.bordeaux.fr/association/detail/811</t>
  </si>
  <si>
    <t>BIBLIOTHÈQUES SANS FRONTIÈRES</t>
  </si>
  <si>
    <t>L’association Bibliothèques Sans Frontières a pour but de promouvoir partout dans le monde l’accès à l’information, à la culture et à l’éducation pour tous, par l’appui aux bibliothèques et aux filières du livre, la conception d’outils de diffusion de l’information et de l’éducation, la création de ressources et de contenus pédagogiques et la formation des porteurs de projets culturels et éducatifs</t>
  </si>
  <si>
    <t xml:space="preserve">11 rue du Cloitre                                                                                                </t>
  </si>
  <si>
    <t>06 99 21 96 90</t>
  </si>
  <si>
    <t>https://assos.bordeaux.fr/association/detail/1360</t>
  </si>
  <si>
    <t>COORDINATION DES ASSOCIATIONS DE DÉFENSE DES VICTIMES DE L'AMIANTE ET DES MALADIES PROFESSIONNELLES - CAVAM</t>
  </si>
  <si>
    <t>Coordination nationale d'associations de défense de victimes de maladies professionnelles faisant suite à une exposition à un agent cancérigène Deux axes prioritaires : mener les luttes pour améliorer la défense des victimes de maladies professionnelles à la suite d'exposition(s) à un agent cancérigène et et tout mettre en œuvre pour l'éradication et l'élimination définitive de l'amiante de notre pays.</t>
  </si>
  <si>
    <t xml:space="preserve">5 place Amédée Larrieu                                                                                                 </t>
  </si>
  <si>
    <t>06 28 26 43 58</t>
  </si>
  <si>
    <t>Georges Arnaudeau</t>
  </si>
  <si>
    <t>https://assos.bordeaux.fr/association/detail/831</t>
  </si>
  <si>
    <t>ASSOCIATION DES COMMERCANTS ARTISANS PRESTATAIRES DE SERVICES DU COURS D'ALSACE-ET-LORRAINE - ALLO33</t>
  </si>
  <si>
    <t>https://assos.bordeaux.fr/association/detail/1006</t>
  </si>
  <si>
    <t>GÉNÉALOGIE BORDEAUX RAIL - GEBORA</t>
  </si>
  <si>
    <t>L’association a pour but d’encourager, de favoriser et de développer l’étude et la pratique des activités de Généalogie et assimilés parmi les cheminots et leurs familles et de resserrer les liens d’amitié entre ses membres.
Ses moyens d’action sont : cotisations, subventions, dons et legs et tous moyens autorisés par la loi</t>
  </si>
  <si>
    <t xml:space="preserve">56 bis rue Amédée Saint Germain                                                                                                </t>
  </si>
  <si>
    <t>06 45 94 08 12</t>
  </si>
  <si>
    <t>gebora.free.fr</t>
  </si>
  <si>
    <t>https://assos.bordeaux.fr/association/detail/1120</t>
  </si>
  <si>
    <t>CENTRE D'ANIMATION BACALAN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</si>
  <si>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Bacalan propose un large panel d’activités en lien avec de nombreux partenaires.</t>
  </si>
  <si>
    <t xml:space="preserve">139 rue Joseph Brunet                                                                                                </t>
  </si>
  <si>
    <t>05 56 50 82 18</t>
  </si>
  <si>
    <t>Jean-Charles Palau</t>
  </si>
  <si>
    <t>https://assos.bordeaux.fr/association/detail/1647</t>
  </si>
  <si>
    <t>LA FORCE D'UNE MÈRE</t>
  </si>
  <si>
    <t>Cette association a pour objet de soutenir les personnes en situation de précarité, accompagner les immigrés pour une intégration dans la société française, soutenir les mères et les pères dont l'enfant a été enlevé.</t>
  </si>
  <si>
    <t xml:space="preserve">8 square Saint Estephe                                                                                                </t>
  </si>
  <si>
    <t>07 52 81 53 73</t>
  </si>
  <si>
    <t>Dorisse Mbiaka Ndzouri</t>
  </si>
  <si>
    <t>https://assos.bordeaux.fr/association/detail/1659</t>
  </si>
  <si>
    <t>CLCV UNION DÉPARTEMENTALE GIRONDE - CLCV</t>
  </si>
  <si>
    <t>Association de défense des consommateurs et des locataires logement privé et social et des usagers.</t>
  </si>
  <si>
    <t xml:space="preserve">2 Terrasse du 8 Mai 1945                                 Résident Le Ponant                                                                                                             </t>
  </si>
  <si>
    <t>05 56 90 74 74</t>
  </si>
  <si>
    <t>https://assos.bordeaux.fr/association/detail/875</t>
  </si>
  <si>
    <t>Miaou Records est un label indépendant construit autour de deux choses : la musique et l’envie de la partager. Il a pour mission le soutien des artistes &amp; la création ainsi que la valorisation de la culture indépendante. L'association accompagne des groupes émergents aux univers éclectiques, tout en développant des actions de sensibilisation aux cultures indépendantes.</t>
  </si>
  <si>
    <t xml:space="preserve">24 rue du 14 juillet                                                                                                </t>
  </si>
  <si>
    <t>33400</t>
  </si>
  <si>
    <t>06 81 94 11 50</t>
  </si>
  <si>
    <t>miaou-records.com</t>
  </si>
  <si>
    <t>https://assos.bordeaux.fr/association/detail/1518</t>
  </si>
  <si>
    <t>W442556633</t>
  </si>
  <si>
    <t>gdrgrdreg</t>
  </si>
  <si>
    <t xml:space="preserve">fzefef                                                                                                </t>
  </si>
  <si>
    <t>https://assos.bordeaux.fr/association/detail/897</t>
  </si>
  <si>
    <t>RASSEMBLEMENT DU PEUPLE SOUVERAIN POUR UNE FRANCE INDÉPENDANTE - RPS FIERS</t>
  </si>
  <si>
    <t>Think tank défendant la souveraineté de la nation et du peuple français organisant des réunions publiques d'information.</t>
  </si>
  <si>
    <t xml:space="preserve">9 rue henri EXPERT                                                                                                </t>
  </si>
  <si>
    <t>06 09 20 96 90</t>
  </si>
  <si>
    <t>Pascal Chauvet</t>
  </si>
  <si>
    <t>https://assos.bordeaux.fr/association/detail/1245</t>
  </si>
  <si>
    <t>BORDEAUX HISTORIA VINI</t>
  </si>
  <si>
    <t>L'association Bordeaux Historia Vini est à l'initiative de l'ouverture le 26 juin 2008 du Musée du Vin et du Négoce de Bordeaux dans le quartier historique des Chartrons.
Dans trois caves semi-enterrées, le musée présente une collection d'objets historiques uniques, de multiples témoignages du passé et du présent avec nombre de documents et panneaux explicatifs retraçant le commerce des vins de Bordeaux.</t>
  </si>
  <si>
    <t xml:space="preserve">37 rue Borie                                                                                                 </t>
  </si>
  <si>
    <t>05 56 90 19 13</t>
  </si>
  <si>
    <t>Grégory PECASTAING</t>
  </si>
  <si>
    <t>www.museeduvinbordeaux.com</t>
  </si>
  <si>
    <t>https://assos.bordeaux.fr/association/detail/1165</t>
  </si>
  <si>
    <t>AFRIQUE EBÈNE</t>
  </si>
  <si>
    <t>Arts &amp; Divertissement 
Association à but non lucratif, qui a pour objectif principal de promouvoir l'art ainsi que la créativité de l’Afrique et de l'Occident.</t>
  </si>
  <si>
    <t xml:space="preserve">1 rue de L'Estragon Apt 91                                                                                                </t>
  </si>
  <si>
    <t>06 59 16 31 01</t>
  </si>
  <si>
    <t>https://assos.bordeaux.fr/association/detail/656</t>
  </si>
  <si>
    <t>CLUBHOUSE BORDEAUX - CHB</t>
  </si>
  <si>
    <t>association de réinsertion socio-professionnel  pour les personnes souffrant de troubles psychiques</t>
  </si>
  <si>
    <t xml:space="preserve">82 rue fondaudege                                                                                                </t>
  </si>
  <si>
    <t>09 70 97 16 50</t>
  </si>
  <si>
    <t>www.clubhousefrance.org</t>
  </si>
  <si>
    <t>https://assos.bordeaux.fr/association/detail/1656</t>
  </si>
  <si>
    <t>DAVID ET JONATHAN - D&amp;J</t>
  </si>
  <si>
    <t>L'association a pour ambition d'être un lieu de libération pour les gays et les lesbiennes, d'être ouverte au dialogue et à la confrontation des idées et des spiritualités, de participer à la reconnaissance sociale des homosexuels dans la société et dans les églises.</t>
  </si>
  <si>
    <t xml:space="preserve">103 cours d'Albret                                                                                                </t>
  </si>
  <si>
    <t>06 82 73 71 51</t>
  </si>
  <si>
    <t>https://assos.bordeaux.fr/association/detail/972</t>
  </si>
  <si>
    <t>INSTANTS DE BEAUTÉ</t>
  </si>
  <si>
    <t>Instants de Beauté a pour mission de prodiguer des soins de beauté en milieu médical et social.</t>
  </si>
  <si>
    <t xml:space="preserve">25 rue BOYER                                                                                                </t>
  </si>
  <si>
    <t>06 67 60 92 22</t>
  </si>
  <si>
    <t>https://assos.bordeaux.fr/association/detail/1786</t>
  </si>
  <si>
    <t>AQUICÈDRE</t>
  </si>
  <si>
    <t>Cette association a pour objectif de renforcer et améliorer les échanges socioculturels et les relations entre la France et le Liban par tous les moyens à sa disposition.
AquiCèdre vise a améliorer et faciliter l’arrivée et l’Intégration des nouveaux étudiants.</t>
  </si>
  <si>
    <t xml:space="preserve">Athénées père joseph wresinski 1 place saint christoly                                 Boites aux lettres n4                                                                                                             </t>
  </si>
  <si>
    <t>06 20 03 38 71</t>
  </si>
  <si>
    <t>Layal Massara</t>
  </si>
  <si>
    <t>https://assos.bordeaux.fr/association/detail/1124</t>
  </si>
  <si>
    <t>CENTRE D'ANIMATION GRAND PARC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</si>
  <si>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du Grand Parc propose un large panel d’activités et anime la ludothèque du quartier en lien avec de nombreux partenaires.</t>
  </si>
  <si>
    <t xml:space="preserve">36 rue Robert Schuman                                                                                                </t>
  </si>
  <si>
    <t>05 56 50 31 63</t>
  </si>
  <si>
    <t>https://assos.bordeaux.fr/association/detail/1589</t>
  </si>
  <si>
    <t>ESCALES LITTÉRAIRES BORDEAUX AQUITAINE - ESCALE DU LIVRE</t>
  </si>
  <si>
    <t>L’Escale du livre -association Escales Littéraires Bordeaux Aquitaine- a pour volonté de promouvoir le livre et la lecture, de soutenir la création littéraire, de donner le goût de la lecture au plus grand nombre en rapprochant le public des oeuvres et des écrivains, d’élargir le lectorat et de soutenir l’économie du livre.</t>
  </si>
  <si>
    <t xml:space="preserve">15 rue Professeur Demons                                                                                                </t>
  </si>
  <si>
    <t>05 56 10 10 10</t>
  </si>
  <si>
    <t>Pierre Mazet</t>
  </si>
  <si>
    <t>escaledulivre.com</t>
  </si>
  <si>
    <t>https://assos.bordeaux.fr/association/detail/1627</t>
  </si>
  <si>
    <t>BE ONE THE VISION - BOTV</t>
  </si>
  <si>
    <t>BOTV est une jeune association qui a pour but de favoriser l'échange, la découverte, et de promouvoir des artistes locaux afin qu'ils viennent partager leurs expériences et susciter l'envie auprès des bordelais ; en proposant différents évènements sociaux culturels permettant de réunir des personnes de tout horizon afin de partager des valeurs communes (diversité, créativité, proximité)</t>
  </si>
  <si>
    <t xml:space="preserve">2 rue du 144ème régiment infanterie                                                                                                </t>
  </si>
  <si>
    <t>06 50 53 00 82</t>
  </si>
  <si>
    <t>https://assos.bordeaux.fr/association/detail/517</t>
  </si>
  <si>
    <t>Music's Cool propose l'enseignement de la musique par des cours particuliers de 30, 45 ou 60mn.
Piano, violon, flûte, chant lyrique et actuel, basse, saxophone, ukulele, clarinette, guitare classique et électrique, batterie.
Ainsi que des ateliers musiques actuelles qui se produisent sur scène une fois par trimestre et pour toutes autre occasion qui se présente.
L'ambiance est conviviale et détendu.</t>
  </si>
  <si>
    <t xml:space="preserve">1 Rue Fernand Cazères                                                                                                </t>
  </si>
  <si>
    <t>06 03 56 92 28</t>
  </si>
  <si>
    <t>https://assos.bordeaux.fr/association/detail/546</t>
  </si>
  <si>
    <t>K{ART}MA</t>
  </si>
  <si>
    <t>K{art}MA est une association proposant divers ateliers autour des arts plastiques s’adressant aux structures accueillant des enfants, adolescents et adultes.
Elle a pour dessein la sensibilisation des différents publics aux arts plastiques en suscitant la stimulation créative.
Nous proposons des ateliers Manga, Stop-Motion, Sculpture, Peinture, Histoire de l'art...</t>
  </si>
  <si>
    <t xml:space="preserve">chez Gregory Charruyer 111 cours de la sommes                                                                                                </t>
  </si>
  <si>
    <t>06 03 75 76 69</t>
  </si>
  <si>
    <t>www.kartma.fr</t>
  </si>
  <si>
    <t>https://assos.bordeaux.fr/association/detail/1774</t>
  </si>
  <si>
    <t>L'OEUF</t>
  </si>
  <si>
    <t>l'Oeuf propose des ateliers de thêatre pour tous ainsi que des ateliers de modelage sur argile</t>
  </si>
  <si>
    <t xml:space="preserve">90 cours du Medoc                                                                                                </t>
  </si>
  <si>
    <t>06 64 73 34 52</t>
  </si>
  <si>
    <t>https://assos.bordeaux.fr/association/detail/927</t>
  </si>
  <si>
    <t>LES RATONS GUINCHEURS</t>
  </si>
  <si>
    <t>Les Ratons Guincheurs est un collectif réunissant des professionnels de la communication,de l’événementiel, des artistes et des acteurs culturels, pour des projets créatifs et positifs. Le partage
d’expérience et le soutien aux indépendants qui osent entreprendre sont aussi au centre de nos
préoccupations. Nous répondons aux besoins en communication des associations et des petits budgets grâce à tous nos membres.</t>
  </si>
  <si>
    <t xml:space="preserve">6-8 rue de Mérignac                                                                                                </t>
  </si>
  <si>
    <t>06 26 02 26 92</t>
  </si>
  <si>
    <t>lesratonsguincheurs.fr</t>
  </si>
  <si>
    <t>https://assos.bordeaux.fr/association/detail/1067</t>
  </si>
  <si>
    <t>COMITÉ D'ANIMATION,DE BIENFAISANCE ET DE DÉFENSE DES INTÉRÊTS DU QUARTIER NANSOUTY - NYV</t>
  </si>
  <si>
    <t>Animation, mise en valeur du quartier Nansouty. Organisation de manifestations tous publics permettant le lien entre les habitants du quartier.</t>
  </si>
  <si>
    <t xml:space="preserve">Le LAAB 279 cours de la Somme                                                                                                </t>
  </si>
  <si>
    <t>07 81 33 22 57</t>
  </si>
  <si>
    <t>https://assos.bordeaux.fr/association/detail/562</t>
  </si>
  <si>
    <t>JEUNE CHAMBRE ÉCONOMIQUE DE BORDEAUX - JCEB</t>
  </si>
  <si>
    <t>Notre vision est d’être le premier réseau mondial de jeunes citoyens engagés. Notre vocation est de mener des actions de terrain visant à agir pour l’emploi, aménager le territoire, développer l’économie, et préserver la planète avec l’ambition de créer des changements positifs et pérennes sur nos territoires. Venez nous découvrir !</t>
  </si>
  <si>
    <t xml:space="preserve">2 bis rue Charles Lamoureux                                                                                                 </t>
  </si>
  <si>
    <t>09 81 98 00 12</t>
  </si>
  <si>
    <t>www.jceb.fr</t>
  </si>
  <si>
    <t>https://assos.bordeaux.fr/association/detail/1545</t>
  </si>
  <si>
    <t>ENTREPRENDRE POUR APPRENDRE NOUVELLE-AQUITAINE - EPA NA</t>
  </si>
  <si>
    <t>S’engager avec EPA, c’est donner à chaque jeune de 8 à 25 ans les clés du monde du travail, et de son avenir social et professionnel : développer son esprit d’initiative (créativité, sens des responsabilités, essai-erreur, prise de risque, confiance en soi, etc.) et prendre conscience de son potentiel. C’est aussi encourager l’esprit citoyen de chaque jeune et l’investissement social des entreprises.</t>
  </si>
  <si>
    <t xml:space="preserve">41 rue Durieu de Maisonneuve                                 GACI                                                                                                             </t>
  </si>
  <si>
    <t>06 33 06 88 12</t>
  </si>
  <si>
    <t>Jean-Charles DUPLAA</t>
  </si>
  <si>
    <t>www.epa-aquitaine.fr</t>
  </si>
  <si>
    <t>https://assos.bordeaux.fr/association/detail/1192</t>
  </si>
  <si>
    <t>SPORTING CLUB DE LA BASTIDIENNE  - SCB</t>
  </si>
  <si>
    <t>FOOTBALL</t>
  </si>
  <si>
    <t>70 rue des vivants</t>
  </si>
  <si>
    <t>06 10 53 94 41</t>
  </si>
  <si>
    <t>francoise fremy</t>
  </si>
  <si>
    <t>https://assos.bordeaux.fr/association/detail/1030</t>
  </si>
  <si>
    <t>CLUB HISTOIRE ET PATRIMOINE, ARTS ET TECHNIQUES - CLUB HEPAT</t>
  </si>
  <si>
    <t>Permettre au plus grand nombre d'avoir accès à la connaissance et à la compréhension du patrimoine qu'il soit historique, architectural, artistique ou technique.
Découverte culturelle et reconnaissance de chacun constituent l'ADN du club.</t>
  </si>
  <si>
    <t xml:space="preserve">6 rue Xavier Arsène-Henry                                                                                                </t>
  </si>
  <si>
    <t>06 77 43 86 23</t>
  </si>
  <si>
    <t>https://assos.bordeaux.fr/association/detail/993</t>
  </si>
  <si>
    <t>BORDALEKO EUSKAL ETXEA - MAISON BASQUE DE BORDEAUX</t>
  </si>
  <si>
    <t>L’association répond à un objet d’intérêt collectif en permettant à tous de découvrir, apprendre et vivre la culture basque. Pour ce faire, elle s’attache, de manière rigoureusement désintéressée, à promouvoir la culture basque et la pratique de la langue, enseigner la langue, les chants, la musique, les danses et les sports
basques, faire vivre les coutumes et les traditions basques.</t>
  </si>
  <si>
    <t xml:space="preserve">7 rue du Palais de l'Ombrière                                                                                                </t>
  </si>
  <si>
    <t>07 68 30 56 55</t>
  </si>
  <si>
    <t>https://assos.bordeaux.fr/association/detail/1858</t>
  </si>
  <si>
    <t>W253685968 - W253685968</t>
  </si>
  <si>
    <t>https://assos.bordeaux.fr/association/detail/968</t>
  </si>
  <si>
    <t>TAP SWING &amp; CO - TAPSWING</t>
  </si>
  <si>
    <t>L’association Tapswing  créée en 2007 sous l’impulsion d’Audrey CAUDAN qui  a voulu partager plus de 20 ans d’expérience  en danses  Rock et Swing. Pionnière de l’enseignement des danses Swing à Bordeaux, (Balboa, Rock-Be Bop, Blues, Collegiate Shag, Jazz Roots, Charleston, solo swing et  Lindy Hop). 
Présente  durant les festivals de danses, de Jazz, Dansons sur les Quais et tous les événements culturels.</t>
  </si>
  <si>
    <t xml:space="preserve">43, rue Alberto Santos Dumont                                 Le Moulin de Caupian                                                                                                             </t>
  </si>
  <si>
    <t>06 04 49 45 10</t>
  </si>
  <si>
    <t>www.tapswingandco.fr</t>
  </si>
  <si>
    <t>https://assos.bordeaux.fr/association/detail/1692</t>
  </si>
  <si>
    <t>MÉDIAGORA BORDEAUX</t>
  </si>
  <si>
    <t>L'association Médiagora Bordeaux a pour objet l'accompagnement des personnes qui souffrent de phobie et d'anxiété handicapante dans leurs milieux de vie.</t>
  </si>
  <si>
    <t xml:space="preserve">7 rue Jules Perrens                                                                                                </t>
  </si>
  <si>
    <t>06 33 58 52 95</t>
  </si>
  <si>
    <t>mediagoras.fr/bordeaux</t>
  </si>
  <si>
    <t>https://assos.bordeaux.fr/association/detail/1803</t>
  </si>
  <si>
    <t>CENTRE D'IMPROVISATION LIBRE - C.I.L</t>
  </si>
  <si>
    <t>promotion et diffusion de la création contemporaine</t>
  </si>
  <si>
    <t xml:space="preserve">31 rue Grateloup                                                                                                </t>
  </si>
  <si>
    <t>06 74 45 97 07</t>
  </si>
  <si>
    <t>https://assos.bordeaux.fr/association/detail/898</t>
  </si>
  <si>
    <t>UKRAINE AMITIÉ - UA</t>
  </si>
  <si>
    <t>L’Association a pour objet de promouvoir et valoriser l’image de l’Ukraine en France.
Mais aussi de :
- favoriser le développement de coopération culturelle entre l’Ukraine et la France;
- mener et soutenir des projets caritatifs et humanitaires, à destination de l’Ukraine;
- fédérer les Ukrainiens de Bordeaux et plus largement du sud-ouest autour de différents projets</t>
  </si>
  <si>
    <t xml:space="preserve">7 rue Henri Expert                                 Appt 18                                                                                                             </t>
  </si>
  <si>
    <t>06 49 84 61 98</t>
  </si>
  <si>
    <t>Olga Voubnov</t>
  </si>
  <si>
    <t>www.ukraineamitie.free.fr</t>
  </si>
  <si>
    <t>https://assos.bordeaux.fr/association/detail/1685</t>
  </si>
  <si>
    <t>CLUB AMICAL DU CENTRE DE TRAITEMENT DE L'INFORMATION BORDEAUX - CTI BDX</t>
  </si>
  <si>
    <t>Elle a pour but de resserrer les liens sociaux et amicaux de l'ensemble des personnels du CNMOSI de Bordeaux</t>
  </si>
  <si>
    <t xml:space="preserve">CNMO-SI de Bordeaux - DIRISI - Caserne Xaintrailles                                 112 boulevard du Maréchal Leclerc                                                                                                             </t>
  </si>
  <si>
    <t>05 57 85 18 71</t>
  </si>
  <si>
    <t>https://assos.bordeaux.fr/association/detail/876</t>
  </si>
  <si>
    <t>CONSEIL CITOYENS BACALAN - CCB</t>
  </si>
  <si>
    <t>Permettre l’émergence et la valorisation d’une expression libre des habitants du quartier de Bacalan. Être associée à la mise en œuvre et à l’évaluation du contrat de ville. Participer à toutes les instances de pilotage du contrat de ville et aux commissions permanentes du quartier.</t>
  </si>
  <si>
    <t xml:space="preserve">109 chemin Lafitte                                                                                                </t>
  </si>
  <si>
    <t>05 56 39 92 63</t>
  </si>
  <si>
    <t>https://assos.bordeaux.fr/association/detail/1272</t>
  </si>
  <si>
    <t>BORDEAUX CITÉ TANGO - BCT</t>
  </si>
  <si>
    <t>Cette Association a pour but de promouvoir des activités autour de la culture argentine</t>
  </si>
  <si>
    <t xml:space="preserve">85 Cours Victor Hugo                                                                                                </t>
  </si>
  <si>
    <t>06 07 76 26 63</t>
  </si>
  <si>
    <t>www.bordeaux-tango-festival.com</t>
  </si>
  <si>
    <t>https://assos.bordeaux.fr/association/detail/824</t>
  </si>
  <si>
    <t>GV ST NICOLAS</t>
  </si>
  <si>
    <t>Gymnastique Volontaire : Gym entretien, Cardio, Pilates, Body zen
Marche Nordique
Nous faisons partie de la Fédération Française d' Education Physique et de Gymnastique Volontaire : EPGV</t>
  </si>
  <si>
    <t xml:space="preserve">24, rue André Caverne                                                                                                </t>
  </si>
  <si>
    <t>06 07 12 31 70</t>
  </si>
  <si>
    <t>Marie-Hélène GALIBERT</t>
  </si>
  <si>
    <t>https://assos.bordeaux.fr/association/detail/1298</t>
  </si>
  <si>
    <t>MJC CL2V</t>
  </si>
  <si>
    <t>La MJC CL2V favorise le lien social, l'éveil, l'épanouissement et l'autonomie. Espace d'apprentissage, de formation, d'expérimentation proposant de nombreuses activités et ateliers, des espaces d'accueil et de paroles pour les habitants souhaitant échanger avec d'autres. Elle accueille de nombreuses associations du quartier dont celles œuvrant à la rencontre entre valides et handicapés.</t>
  </si>
  <si>
    <t xml:space="preserve">11 rue erik satie                                                                                                </t>
  </si>
  <si>
    <t>05 56 97 40 00</t>
  </si>
  <si>
    <t>www.mjccl2v.com</t>
  </si>
  <si>
    <t>https://assos.bordeaux.fr/association/detail/1367</t>
  </si>
  <si>
    <t>ASSOCIATION GÉNÉRALE DES INTERVENANTS RETRAITÉS - AGIR ABCD</t>
  </si>
  <si>
    <t>Au plan national, aider les gens les plus vulnérables à s’insérer dans la société par l'aide à l'apprentissage du français, l'accompagnement dans la recherche d'un emploi ou la création de micro entreprises, l'aide au numérique pour les seniors, la mise a niveau du code de la route.
Au plan international, aide au pays en voie de développement dans tous les domaines.</t>
  </si>
  <si>
    <t xml:space="preserve">27 Allee de la Lande                                                                                                                                               </t>
  </si>
  <si>
    <t>33610</t>
  </si>
  <si>
    <t>06 67 27 81 91</t>
  </si>
  <si>
    <t>https://assos.bordeaux.fr/association/detail/1799</t>
  </si>
  <si>
    <t>MA COMPAGNIE - MA</t>
  </si>
  <si>
    <t>la conception, la création, la promotion et l’exploitation de spectacles vivants , notamment dans le domaine de la danse et le jeune public, ainsi que le développement de la pratique de la danse.</t>
  </si>
  <si>
    <t xml:space="preserve">226 boulevard Albert 1er                                                                                                </t>
  </si>
  <si>
    <t>06 10 12 78 88</t>
  </si>
  <si>
    <t>https://assos.bordeaux.fr/association/detail/1809</t>
  </si>
  <si>
    <t>FIT &amp; CURIOUS</t>
  </si>
  <si>
    <t>Organisation d’événements sportifs et culturels / proposition d'animations diverses combinant ces deux dominantes.
Soyez sportifs et curieux !</t>
  </si>
  <si>
    <t xml:space="preserve">328 rue Pasteur                                 Résidence Brasilia                                                                                                             </t>
  </si>
  <si>
    <t>06 26 52 50 78</t>
  </si>
  <si>
    <t>https://assos.bordeaux.fr/association/detail/627</t>
  </si>
  <si>
    <t>ASSOCIATION FRANCO-COMORIENNE POUR LE DÉVELOPPEMENT ET L'AMITIÉ DE MOHÉLI - AFCDAM</t>
  </si>
  <si>
    <t>L’association à but non lucratif, a vocation d’œuvrer au profit de l’île de MOHELI et de ses habitants, notamment les plus défavorisés, en situation de détresse ou de grande misère, par des actions de soutien à caractère humanitaire et de solidarité. 
Ces actions peuvent être dévolues aux autres îles des Comores, voire de l’océan indien.</t>
  </si>
  <si>
    <t xml:space="preserve">10 rue de taris                                                                                                </t>
  </si>
  <si>
    <t>06 21 77 54 27</t>
  </si>
  <si>
    <t>www.afcdam.org</t>
  </si>
  <si>
    <t>https://assos.bordeaux.fr/association/detail/1556</t>
  </si>
  <si>
    <t>LES EMBOBINÉS</t>
  </si>
  <si>
    <t>Association de loi 1901, Les Embobinés est une structure de production, de réalisation et de diffusion de projets artistiques et d’œuvres cinématographiques.
Elle s'étend sur deux pôles : d'une part la création artistique audiovisuelle, et de l'autre, la formation et l'éducation à l'image auprès de tout public et de tout horizon....</t>
  </si>
  <si>
    <t xml:space="preserve">4 place général sarrail                                                                                                </t>
  </si>
  <si>
    <t>06 89 53 90 20</t>
  </si>
  <si>
    <t>www.les-embobines.com</t>
  </si>
  <si>
    <t>https://assos.bordeaux.fr/association/detail/864</t>
  </si>
  <si>
    <t>ROTARACT CLUB DE BORDEAUX</t>
  </si>
  <si>
    <t>Le Rotaract réunit des jeunes de 18 à 30 ans dans le but de faire acquérir, dans un cadre de camaraderie et d'entraide, les connaissances nécessaires leur permettant de répondre aux besoins de la collectivité et de travailler ensemble au développement de l'entente à travers le monde. En montant et participant à des actions dans la bonne humeur, cela développe leurs compétences professionnelles et leur leadership.</t>
  </si>
  <si>
    <t xml:space="preserve">91, rue Solle                                                                                                </t>
  </si>
  <si>
    <t>06 16 18 64 02</t>
  </si>
  <si>
    <t>https://assos.bordeaux.fr/association/detail/1680</t>
  </si>
  <si>
    <t>CRÉ'ART : COMPAGNIE RE'GART - REG'ART</t>
  </si>
  <si>
    <t>Favoriser l'expression artistique des personnes sourdes,
Rendre accessible la culture pour les personnes sourdes,
Sensibiliser un public non signant au théâtre en langue des signes et Français.</t>
  </si>
  <si>
    <t xml:space="preserve">57 rue Mouneyra                                 Chez Signe                                                                                                             </t>
  </si>
  <si>
    <t>06 67 23 57 70</t>
  </si>
  <si>
    <t>https://assos.bordeaux.fr/association/detail/704</t>
  </si>
  <si>
    <t>ASSOCIATION PITCHOUN'</t>
  </si>
  <si>
    <t>Association a but non lucratif gestionnaire d'Etablissements d'Accueil de Jeunes Enfants (EAJE).
L’Association Pitchoun’ a pour mission de rendre service aux familles, et plus particulièrement d’accueillir l’enfant dans le respect de son environnement familial, social et culturel.</t>
  </si>
  <si>
    <t xml:space="preserve">130 Cours de la Somme                                                                                                </t>
  </si>
  <si>
    <t>05 57 01 99 90</t>
  </si>
  <si>
    <t>www.pitchoun.org</t>
  </si>
  <si>
    <t>https://assos.bordeaux.fr/association/detail/522</t>
  </si>
  <si>
    <t>UKULÉLÉ CLUB DE BORDEAUX</t>
  </si>
  <si>
    <t>L'objet de promouvoir la pratique de l’instrument de musique nommé ukuléle sur Bordeaux et sa région.
Aux fins de réalisation dudit objet, l'Association utilisera les moyens d'action suivants :
-	réunions de travail de ses membres actifs
-	actions de communication par tous médias
-	organisation d’actions artistiques et culturelles
-	actions pédagogiques, notamment dans les établissements scolaires et universitaires</t>
  </si>
  <si>
    <t xml:space="preserve">Université de Bordeaux - Atelier Ukulélé - Service Culture                                 16, avenue Léon Duguit - CS 50057                                                                                                             </t>
  </si>
  <si>
    <t>33608</t>
  </si>
  <si>
    <t>06 13 97 23 84</t>
  </si>
  <si>
    <t>www.ukulelebordeaux.com</t>
  </si>
  <si>
    <t>https://assos.bordeaux.fr/association/detail/1451</t>
  </si>
  <si>
    <t>AQUITAINE MOBILITÉ INSERTION RECLASSEMENT PAR L'ENTRAIDE - AMIRE</t>
  </si>
  <si>
    <t>Cette association a pour objet d’aider : les personnes en démarche de recherche d’emploi, de reclassement ou en réflexion sur leur projet de vie et les personnes dans leur démarche d’orientation, en particulier les jeunes.</t>
  </si>
  <si>
    <t xml:space="preserve">c/o URISA                                 99 rue Judaïque                                                                                                             </t>
  </si>
  <si>
    <t>06 81 05 64 29</t>
  </si>
  <si>
    <t>https://assos.bordeaux.fr/association/detail/1613</t>
  </si>
  <si>
    <t>SOLIDARITÉS NOUVELLES FACE AU CHÔMAGE - SNC</t>
  </si>
  <si>
    <t>Lutter contre le chômage et les mécanismes d'exclusion sociale,principalement en mobilisant des bénévoles en vue d'accompagner des chercheurs d'emploi;participer au débat sur l'emploi,le chômage et l'exclusion sous la forme d'un plaidoyer.</t>
  </si>
  <si>
    <t xml:space="preserve">40 rue Nicolas Beaujon                                                                                                 </t>
  </si>
  <si>
    <t>06 46 86 36 13</t>
  </si>
  <si>
    <t>https://assos.bordeaux.fr/association/detail/1114</t>
  </si>
  <si>
    <t>CENTRE D'ANIMATION SAINT-PIERRE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</si>
  <si>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Saint Pierre propose un large panel d’activités et anime un pôle d’excellence écriture et lecture multimédia : le court brouillon.</t>
  </si>
  <si>
    <t xml:space="preserve">4 rue du mulet                                                                                                </t>
  </si>
  <si>
    <t>05 56 48 16 39</t>
  </si>
  <si>
    <t>https://assos.bordeaux.fr/association/detail/1157</t>
  </si>
  <si>
    <t>MAISON DE L'EUROPE BORDEAUX-AQUITAINE</t>
  </si>
  <si>
    <t>La Maison de l’Europe Bordeaux-Aquitaine (MEBA) est une association régie par la loi de 1901, qui est à la fois un centre de ressources sur l’Europe, un incubateur de projets européens mais aussi un lieu de débats et d’échanges citoyens. Elle est très rapidement devenue un lieu incontournable de rencontres et d’échanges grand public, à travers d’événements réunissant des personnes de tous âges et de tous horizons.</t>
  </si>
  <si>
    <t xml:space="preserve">1 Place Jean Jaurès                                                                                                </t>
  </si>
  <si>
    <t>05 24 57 05 00</t>
  </si>
  <si>
    <t>europe-bordeaux.eu/fr/accueil</t>
  </si>
  <si>
    <t>https://assos.bordeaux.fr/association/detail/750</t>
  </si>
  <si>
    <t>ASSOCIATION DES CENTRES D'ANIMATION DE QUARTIERS DE BORDEAUX - CENTRE D'ANIMATION BASTIDE QUEYRIES - ACAQB</t>
  </si>
  <si>
    <t>L’association des centres d’animation de quartiers de Bordeaux (ACAQB), se compose aujourd’hui de 11 centres d’animation à vocation sociale et culturelle répartis sur les deux rives de Bordeaux. Le centre d’animation Bastide Queyries propose un large panel d’activités et anime un pôle d’excellence artistique et culturel arts du cirque.</t>
  </si>
  <si>
    <t xml:space="preserve">13 Allée Jean Giono                                                                                                </t>
  </si>
  <si>
    <t>05 56 32 44 38</t>
  </si>
  <si>
    <t>www.acaqb.fr</t>
  </si>
  <si>
    <t>https://assos.bordeaux.fr/association/detail/1459</t>
  </si>
  <si>
    <t>BORDEAUX-CIENFUEGOS : ASSOCIATION POUR LE BICENTENAIRE 1819-2019</t>
  </si>
  <si>
    <t>Faire connaitre l'origine bordelaise de la ville de Cienfuegos à Cuba fondée le 22 avril 1819 ; participer aux fêtes du bicentenaire ; aider au développement de liens culturels et économiques entre les deux villes et les deux populations, contribuer à toutes formes de coopération et de solidarité.</t>
  </si>
  <si>
    <t xml:space="preserve">Champlain                                 numéro 10                                                                                                             </t>
  </si>
  <si>
    <t>07 86 59 96 35</t>
  </si>
  <si>
    <t>Jean Querbes</t>
  </si>
  <si>
    <t>https://assos.bordeaux.fr/association/detail/1535</t>
  </si>
  <si>
    <t>CHEMINART</t>
  </si>
  <si>
    <t>https://assos.bordeaux.fr/association/detail/584</t>
  </si>
  <si>
    <t>RESEAU FRANÇAIS DES ETUDIANTS POUR LE DÉVELOPPEMENT DURABLE  - REFEDD</t>
  </si>
  <si>
    <t>Le REFEDD a pour objectif de rassembler, former et porter la voix des étudiant.e.s et associations étudiantes ayant un intérêt pour le développement durable.</t>
  </si>
  <si>
    <t>https://assos.bordeaux.fr/association/detail/802</t>
  </si>
  <si>
    <t>UNION DÉPARTEMENTALE DES COMITÉS DE QUARTIER ET DES FÊTES DE BORDEAUX, ET DE LA GIRONDE - UDCOF33-FNCOF</t>
  </si>
  <si>
    <t>De promouvoir les comités de quartier et des fêtes de Bordeaux et du 33, ou tout autre association ayant le même but, de rassembler d’aider et d’assister les associations organisatrices de festivités sur Bordeaux, la métropole bordelaise et dans tout le département de la Gironde, de créer entre eux des liens d’amitié et de convivialité, de leur apporter une assistance technique, juridique, moral et promotionnelle.</t>
  </si>
  <si>
    <t>08 92 42 20 33</t>
  </si>
  <si>
    <t>Didier François  BRUNET</t>
  </si>
  <si>
    <t>www.udcof33.fr</t>
  </si>
  <si>
    <t>https://assos.bordeaux.fr/association/detail/1422</t>
  </si>
  <si>
    <t>COMPAGNIE EN APARTÉ - CIE EN APARTÉ</t>
  </si>
  <si>
    <t>La compagnie En Aparté est une compagnie bordelaise, dont la principale ambition est la création artistique.
Elle s’est implantée dans le paysage bordelais de par ses nombreuses activités avec les amateurs, encourageant l’échange entre les participants, autour d’un amour commun ; celui du théâtre.
Ce projet artistique dans son ensemble est porté par Marie-Lise Hébert et Diane Lefébure. Il s’affirme dans une volonté</t>
  </si>
  <si>
    <t xml:space="preserve">34 Rue Mandron                                                                                                </t>
  </si>
  <si>
    <t>05 35 38 73 93</t>
  </si>
  <si>
    <t>https://assos.bordeaux.fr/association/detail/1600</t>
  </si>
  <si>
    <t>ACADEMIE CONFRÉRIQUE DES VILLAGES DE FRANCE  - 34 RUE DUTOUR</t>
  </si>
  <si>
    <t>Faire valoir les trésors matériels et immatériels, "produits du terroir et savoir faire" de nos villes et Villages et les inscrire dans le futur.
Actions de sensibilisation auprès des enfants et jeunes sous l'autorité de l'animateur des établissements partenaires et l'appui des producteurs désignés.</t>
  </si>
  <si>
    <t xml:space="preserve">34 rue Dutour                                                                                                </t>
  </si>
  <si>
    <t>06 80 95 96 81</t>
  </si>
  <si>
    <t>Ana  de Oliveira Pommet</t>
  </si>
  <si>
    <t>https://assos.bordeaux.fr/association/detail/576</t>
  </si>
  <si>
    <t>ESCALES, DES ARTISTES ET BORDEAUX</t>
  </si>
  <si>
    <t>https://assos.bordeaux.fr/association/detail/900</t>
  </si>
  <si>
    <t>AMICALE DES ANCIENS COMBATTANTS EVADÉS DE FRANCE GUERRE 39-45</t>
  </si>
  <si>
    <t>Faire connaitre l'histoire des évadés de France par l'Espagne, une résistance différente.</t>
  </si>
  <si>
    <t xml:space="preserve">24 rue Paul Claudel                                                                                                 </t>
  </si>
  <si>
    <t>06 08 52 42 30</t>
  </si>
  <si>
    <t>Janine Cellerier</t>
  </si>
  <si>
    <t>https://assos.bordeaux.fr/association/detail/1622</t>
  </si>
  <si>
    <t>TENNIS CLUB BORDEAUX BASTIDE - TC2B</t>
  </si>
  <si>
    <t>Initiation à la pratique du tennis dans un but ludique et/ou compétitif.
La principale cible de l'association : les jeunes de 6 à 18 ans regroupés au sein de l'école de tennis du club.
Aujourd'hui, une centaine d'enfants est inscrite au club et les adultes, souvent parents des enfants membres du club, ne représentent qu'un tiers de l'effectif global.</t>
  </si>
  <si>
    <t xml:space="preserve">191 RUE DE LA BENAUGE                                                                                                </t>
  </si>
  <si>
    <t>06 86 72 92 94</t>
  </si>
  <si>
    <t>PATRICK NADAU</t>
  </si>
  <si>
    <t>https://assos.bordeaux.fr/association/detail/720</t>
  </si>
  <si>
    <t>LA BRIGADE</t>
  </si>
  <si>
    <t>https://assos.bordeaux.fr/association/detail/789</t>
  </si>
  <si>
    <t>UNITÉ MOBILE DE PREMIERS SECOURS DE LA GIRONDE - U.M.P.S 33</t>
  </si>
  <si>
    <t>L'association U.M.P.S 33 a pour but d'intervenir en France ou à l'étranger dans les missions de Sécurité Civiles et effectuer des postes de secours sur différentes manifestations.</t>
  </si>
  <si>
    <t xml:space="preserve">TECHNOCLUB 02 AVENUE DE LA POTERIE                                  BATIMENT B                                                                                                              </t>
  </si>
  <si>
    <t>07 83 09 64 08</t>
  </si>
  <si>
    <t>PASCAL LEGROS</t>
  </si>
  <si>
    <t>umps.fr/index.html</t>
  </si>
  <si>
    <t>https://assos.bordeaux.fr/association/detail/931</t>
  </si>
  <si>
    <t>L'association  propose des spectacles et des ateliers théâtre en anglais pour les enfants, les jeunes et les adultes.</t>
  </si>
  <si>
    <t xml:space="preserve">13 rue des pêcheurs                                 BAT A                                                                                                             </t>
  </si>
  <si>
    <t>33270</t>
  </si>
  <si>
    <t>06 75 13 72 17</t>
  </si>
  <si>
    <t>https://assos.bordeaux.fr/association/detail/570</t>
  </si>
  <si>
    <t>LES PETITS FRÈRES DES PAUVRES BORDEAUX RIVE DROITE - PFP</t>
  </si>
  <si>
    <t>Accompagner dans une relation fraternelle des personnes de plus de 50 ans en situation d'isolement et de précarité</t>
  </si>
  <si>
    <t xml:space="preserve">76 Boulevard Jules Simon                                                                                                </t>
  </si>
  <si>
    <t>06 79 19 70 48</t>
  </si>
  <si>
    <t>https://assos.bordeaux.fr/association/detail/1797</t>
  </si>
  <si>
    <t>CÉSARÉE-PROJET SIMON DE CYRÈNE À BORDEAUX</t>
  </si>
  <si>
    <t>https://assos.bordeaux.fr/association/detail/1396</t>
  </si>
  <si>
    <t>Association pour le développement et le travail des Arts Martiaux Historiques Européens (AMHE) et de l'escrime ancienne.</t>
  </si>
  <si>
    <t xml:space="preserve">13bis cours St Louis                                                                                                </t>
  </si>
  <si>
    <t>07 82 97 70 43</t>
  </si>
  <si>
    <t>https://assos.bordeaux.fr/association/detail/1087</t>
  </si>
  <si>
    <t>AIDES - AIDES</t>
  </si>
  <si>
    <t>AIDES est la première association de lutte contre le sida et les hépatites en France et en Europe. Reconnue d'utilité publique, elle agit avec et auprès des populations les plus vulnérables au VIH/sida et aux hépatites pour réduire les nouvelles contaminations et accompagner les personnes touchées vers le soin.</t>
  </si>
  <si>
    <t xml:space="preserve">6 quai de Paludate                                                                                                </t>
  </si>
  <si>
    <t>05 57 87 77 77</t>
  </si>
  <si>
    <t>www.aides.org</t>
  </si>
  <si>
    <t>https://assos.bordeaux.fr/association/detail/1102</t>
  </si>
  <si>
    <t>INNER WHEEL BORDEAUX MEDOC</t>
  </si>
  <si>
    <t>https://assos.bordeaux.fr/association/detail/1691</t>
  </si>
  <si>
    <t>ECTI DÉLEGATION REGIONALE DE SENIORS BENEVOLES - ECTI</t>
  </si>
  <si>
    <t>Acompagnement des entreprises(creation/cession- reprise/développement  -Appui des collectivités locales Aide à insertion professionnelle Rapprochement écoles / entreprises et préparation des élèves et étudiants à leur vie professionnelle</t>
  </si>
  <si>
    <t xml:space="preserve">39 bis rue DURIEU DE MAISONNEUVES                                 Délégation ECTI GIRONDE                                                                                                             </t>
  </si>
  <si>
    <t>06 13 39 28 88</t>
  </si>
  <si>
    <t>https://assos.bordeaux.fr/association/detail/1076</t>
  </si>
  <si>
    <t>ASSOCIATION POUR L'INFORMATION ET LA PRÉVENTION DE L'ALCOOLISATION FESTIVE - APIPAF</t>
  </si>
  <si>
    <t>https://assos.bordeaux.fr/association/detail/695</t>
  </si>
  <si>
    <t>Créée en janvier 2008, l'association Esprit de quartier a pour objectifs de :
&gt; Réfléchir et agir sur la qualité de vie du quartier Bordeaux Chartrons - Grand Parc - Jardin Public
&gt; Permettre la rencontre entre voisins
&gt; Être à la recherche du « bien vivre ensemble »
&gt; Améliorer notre « qualité de ville » en proposant des actions collectives</t>
  </si>
  <si>
    <t xml:space="preserve">12 rue Vandebrande                                                                                                </t>
  </si>
  <si>
    <t>06 04 44 11 16</t>
  </si>
  <si>
    <t>www.espritdequartier.fr</t>
  </si>
  <si>
    <t>https://assos.bordeaux.fr/association/detail/1320</t>
  </si>
  <si>
    <t>CHORALE SAINT-LOUIS</t>
  </si>
  <si>
    <t>Promotion du chant chorale sous toutes ses formes</t>
  </si>
  <si>
    <t xml:space="preserve">44 allée Haussmann                                 Apt. 44                                                                                                             </t>
  </si>
  <si>
    <t>06 03 00 00 29</t>
  </si>
  <si>
    <t>Yvon Grimal</t>
  </si>
  <si>
    <t>www.chorale-saint-louis-bordeaux.com</t>
  </si>
  <si>
    <t>https://assos.bordeaux.fr/association/detail/684</t>
  </si>
  <si>
    <t>SMART CIE</t>
  </si>
  <si>
    <t>L'association Smart Cie a pour but la création de spectacles pour la rue et la salle, mêlant les arts du cirque et la comédie et la rencontre entre
artistes de disciplines différentes (musique, théâtre…)</t>
  </si>
  <si>
    <t xml:space="preserve">16, rue saint James                                                                                                </t>
  </si>
  <si>
    <t>05 56 01 10 27</t>
  </si>
  <si>
    <t>smartcie.com</t>
  </si>
  <si>
    <t>https://assos.bordeaux.fr/association/detail/1682</t>
  </si>
  <si>
    <t>LES PIEDS SUR TERRE</t>
  </si>
  <si>
    <t>Nous avons créé cette association en juillet 2017 afin de venir en aide aux populations les plus défavorisées et pouvoir faire intervenir auprès de ces personnes des professionnels de santé et des étudiants paramédicaux. 
Notre association aura donc pour but d’aider ces populations en difficulté à avoir accès à ces actes gratuitement.</t>
  </si>
  <si>
    <t xml:space="preserve">rue Francisco Ferrer                                                                                                </t>
  </si>
  <si>
    <t>33076</t>
  </si>
  <si>
    <t>06 72 99 80 15</t>
  </si>
  <si>
    <t>https://assos.bordeaux.fr/association/detail/776</t>
  </si>
  <si>
    <t>MÉDECINS DU MONDE - MDM</t>
  </si>
  <si>
    <t>Association humanitaire de solidarité internationale</t>
  </si>
  <si>
    <t xml:space="preserve">2 rue Charlevoix de Villers                                                                                                </t>
  </si>
  <si>
    <t>05 56 79 13 82</t>
  </si>
  <si>
    <t>Philippe DE BOTTON</t>
  </si>
  <si>
    <t>https://assos.bordeaux.fr/association/detail/751</t>
  </si>
  <si>
    <t>VERS LA CONNAISSANCE DE SOI - VCS</t>
  </si>
  <si>
    <t>L objet de l association est:
organiser des conférences sur le mieux être</t>
  </si>
  <si>
    <t>Cours Charles Bricaud                                                                BP 19                                22028 BORDEAUX CEDEX</t>
  </si>
  <si>
    <t>06 89 68 66 02</t>
  </si>
  <si>
    <t>Genevieve Mme Chaumet</t>
  </si>
  <si>
    <t>https://assos.bordeaux.fr/association/detail/662</t>
  </si>
  <si>
    <t>WATER LIFE COMMUNITY - WLC</t>
  </si>
  <si>
    <t>https://assos.bordeaux.fr/association/detail/1144</t>
  </si>
  <si>
    <t>FRANCE ALZHEIMER GIRONDE - FAG</t>
  </si>
  <si>
    <t>Ecoute, Accueil, soutien des familles et des malades atteints de la maladie d'Alzheimer ou maladies apparentées</t>
  </si>
  <si>
    <t xml:space="preserve">52 rue des Treuils                                 France Alzheimer Gironde                                                                                                             </t>
  </si>
  <si>
    <t>33082</t>
  </si>
  <si>
    <t>05 56 40 13 13</t>
  </si>
  <si>
    <t>https://assos.bordeaux.fr/association/detail/1645</t>
  </si>
  <si>
    <t>LES AMIS DE SUPERCOOP - SUPERCOOP</t>
  </si>
  <si>
    <t>https://assos.bordeaux.fr/association/detail/994</t>
  </si>
  <si>
    <t>ASSOCIATION FRANÇAISE POUR LES ENFANTS PRÉCOCES - AFEP</t>
  </si>
  <si>
    <t>Offrir aux parents et aux professionnels de l’enfance des moyens pour identifier les particularités des EIP et pour les comprendre afin de favoriser leur intégration et leur réussite scolaire et sociale.</t>
  </si>
  <si>
    <t>22 rue Jean Laurent                                                                                                78110 Le Vesinet</t>
  </si>
  <si>
    <t>00 00 00 00 00</t>
  </si>
  <si>
    <t>www.afep-asso.fr</t>
  </si>
  <si>
    <t>https://assos.bordeaux.fr/association/detail/929</t>
  </si>
  <si>
    <t>INSERMEDIA - INSERMEDIA</t>
  </si>
  <si>
    <t>https://assos.bordeaux.fr/association/detail/1349</t>
  </si>
  <si>
    <t>MAÎTRISE DE BORDEAUX</t>
  </si>
  <si>
    <t>Notre Association se propose de contribuer au rayonnement de la musique sacrée, d’éveiller les
vocations de musicien. Lieu d’éducation musicale, humaine et spirituelle, dont la devise est  « Semer la joie ».</t>
  </si>
  <si>
    <t xml:space="preserve">164, avenue Charles de Gaulle                                                                                                </t>
  </si>
  <si>
    <t>06 79 83 97 41</t>
  </si>
  <si>
    <t>www.maitrisedebordeaux.com</t>
  </si>
  <si>
    <t>https://assos.bordeaux.fr/association/detail/1626</t>
  </si>
  <si>
    <t>CONNECTIF PLATEFORME CRÉATIVE</t>
  </si>
  <si>
    <t>Promouvoir l’échange culturel entre le Moyen-Orient, l’Amérique Latine et la France par le biais de l’art. S’associer à des partenaires culturels tant au Moyen Orient, et plus spécialement à Beyrouth, comme à Bordeaux et à Lima, afin de développer un réseau international d’échanges artistiques interculturels dans le but de réfléchir aux différents problèmes auxquels les artistes, et surtout les artistes femme</t>
  </si>
  <si>
    <t xml:space="preserve">25 RUE PORTE DIJEAUX                                 3 etage                                                                                                             </t>
  </si>
  <si>
    <t>06 70 00 89 08</t>
  </si>
  <si>
    <t>kansoelissar.wixsite.com/connectif</t>
  </si>
  <si>
    <t>https://assos.bordeaux.fr/association/detail/1354</t>
  </si>
  <si>
    <t>L'ATEUL DE GAYA</t>
  </si>
  <si>
    <t>Cours de modelage adultes - Séances de dessin avec modèle vivant - Apéros sculpturatoirs  (initiation au modelage autour d'un verre et grignotage, façon auberge espagnole) - Ateliers modelage parent/enfant (initiation au modelage en famille, goûter participatif)</t>
  </si>
  <si>
    <t xml:space="preserve">L'ateul de Gaya                                  13 rue Teulère                                                                                                             </t>
  </si>
  <si>
    <t>07 68 13 71 06</t>
  </si>
  <si>
    <t>Agnès Gay</t>
  </si>
  <si>
    <t>gayasculptrice.fr/lateul-de-gaya</t>
  </si>
  <si>
    <t>https://assos.bordeaux.fr/association/detail/581</t>
  </si>
  <si>
    <t>UNION SAINT-JEAN</t>
  </si>
  <si>
    <t>L’Union Saint-Jean est l’une des plus anciennes Maison de quartier de la ville de Bordeaux. Fort de cet ancrage historique, elle reste en perpétuelle évolution afin de répondre au mieux aux attentes et besoins des habitants de Bordeaux Sud.
Avec plus de 50 activités culturelles, sportives et même numériques proposées durant l’année, elle s’inscrit au cœur de la vie sociale et culturelle de son quartier.</t>
  </si>
  <si>
    <t xml:space="preserve">97 rue malbec                                  97 rue malbec                                                                                                             </t>
  </si>
  <si>
    <t>05 56 92 56 96</t>
  </si>
  <si>
    <t>www.unionsaintjean.org</t>
  </si>
  <si>
    <t>https://assos.bordeaux.fr/association/detail/1142</t>
  </si>
  <si>
    <t>Promouvoir et renforcer le lien social par le biais de séances axées sur les activités sportives de Loisir, Santé et Bien-être au plus grand nombre quelque soit l'âge, l'environnement et la condition physique initiale. Entretenir et améliorer la condition physique pour un mieux-être au quotidien.</t>
  </si>
  <si>
    <t xml:space="preserve">Be well Boite 1 - 1 place Saint Christoly                                 Athénée Municipal Père Joseph Wresinski                                                                                                              </t>
  </si>
  <si>
    <t>06 62 30 56 49</t>
  </si>
  <si>
    <t>www.bewell-association.fr</t>
  </si>
  <si>
    <t>https://assos.bordeaux.fr/association/detail/605</t>
  </si>
  <si>
    <t>EM-FRANCE SUD-OUEST - EMFSO</t>
  </si>
  <si>
    <t>Compostage urbain (Bokashi)
Promotion et diffusion des Micro-organismes Efficaces (EM), alliés naturels des agriculteurs et des éleveurs pour un environnement sain et régénéré. 
Initiation à la permaculture.</t>
  </si>
  <si>
    <t xml:space="preserve">c/o LABB - Athénée Père Joseph Wresinski - BàL 12                                 Place Saint Christoly                                                                                                             </t>
  </si>
  <si>
    <t>06 50 59 69 64</t>
  </si>
  <si>
    <t>www.em-france.org</t>
  </si>
  <si>
    <t>https://assos.bordeaux.fr/association/detail/844</t>
  </si>
  <si>
    <t>ZERO WASTE BORDEAUX</t>
  </si>
  <si>
    <t>Zero Waste Bordeaux est une association collégiale créée en mars 2018 
Ses objectifs :
Informer toutes les composantes de la société sur les déchets et le gaspillage des ressources
Agir pour prévenir et de réduire la quantité et la toxicité des déchets
Militer en faveur de la suppression des traitements des déchets les moins respectueux de l’environnement
Promouvoir par la démarche zéro déchet, zéro gaspillage</t>
  </si>
  <si>
    <t xml:space="preserve">3, rue de Tauzia                                                                                                </t>
  </si>
  <si>
    <t>05 35 54 13 23</t>
  </si>
  <si>
    <t>www.zerowastebordeaux.fr</t>
  </si>
  <si>
    <t>https://assos.bordeaux.fr/association/detail/1274</t>
  </si>
  <si>
    <t>ASSOCIATION POUR LE DÉVELOPPEMENT MÉDICAL VIETNAM AQUITAINE - ADM VIETNAM</t>
  </si>
  <si>
    <t>Aide au développement médical au Vietnam dans un but humanitaire et scientifique au service des plus démunis et du corps médical vietnamien. Des actions sociales. Francophonie.</t>
  </si>
  <si>
    <t>22 route de Cavignac</t>
  </si>
  <si>
    <t>33133</t>
  </si>
  <si>
    <t>05 57 74 05 44</t>
  </si>
  <si>
    <t>Chantal Selin</t>
  </si>
  <si>
    <t>http:/www.admvn-aquitaine.com</t>
  </si>
  <si>
    <t>https://assos.bordeaux.fr/association/detail/644</t>
  </si>
  <si>
    <t>CROQ VACANCES AQUITAINE - CVA</t>
  </si>
  <si>
    <t>Notre association a pour objet d’offrir aux enfants et adolescents dans le cadre de leurs loisirs en vie collective, un épanouissement physique et moral, ainsi qu’un enrichissement culturel, par la pratique ludique d’activités physiques, sportives et culturelles, proposées dans un but éducatif, récréatif et de découverte, grâce à une pédagogie à la fois variée et adaptée à chaque âge.</t>
  </si>
  <si>
    <t xml:space="preserve">50 rue du Tauzin                                                                                                </t>
  </si>
  <si>
    <t>07 82 43 31 06</t>
  </si>
  <si>
    <t>www.croqvac.fr</t>
  </si>
  <si>
    <t>https://assos.bordeaux.fr/association/detail/1375</t>
  </si>
  <si>
    <t>ASSOCIATION CULTURELLE ET HUMANITAIRE DES YEZIDIS DE BORDEAUX</t>
  </si>
  <si>
    <t>Objectif de rassembler tous les Yezidis de la région bordelaise dans un même lieu pour partager et s'entraider pour une meilleure intégration dans la société française, et ce, pour tous les Yezidis venant de tous les coins du monde.</t>
  </si>
  <si>
    <t xml:space="preserve">22 rue de Ouagadougou                                  Hall A  Apt. 404                                                                                                             </t>
  </si>
  <si>
    <t>07 60 22 45 76</t>
  </si>
  <si>
    <t>https://assos.bordeaux.fr/association/detail/1177</t>
  </si>
  <si>
    <t>GROUPE DES APHASIQUES DE LA RÉGION DE BORDEAUX - GARB</t>
  </si>
  <si>
    <t>Accompagnement de personnes aphasiques par des groupes de paroles.</t>
  </si>
  <si>
    <t xml:space="preserve">67 Rue Goya                                                                                                </t>
  </si>
  <si>
    <t>05 56 01 82 37</t>
  </si>
  <si>
    <t>Patrick Espagnet</t>
  </si>
  <si>
    <t>assogarb.wordpress.com</t>
  </si>
  <si>
    <t>https://assos.bordeaux.fr/association/detail/1035</t>
  </si>
  <si>
    <t>CONSEIL DÉPARTEMENTAL DES ASSOCIATIONS FAMILIALES LAÏQUES DE LA GIRONDE - CDAFAL33</t>
  </si>
  <si>
    <t>La défense des droits et des intérêts matériels et moraux des familles ; la diffusion des connaissances, le développement de la culture, l’utilisation éducative et culturelle du temps libre, quels que soient le sexe, l’âge, la nationalité ou la culture des personnes intéressées, pour la promotion laïque d’une société plus libre et puis juste ; la prise en compte des intérêts des usagers.</t>
  </si>
  <si>
    <t xml:space="preserve">223 rue Achard                                                                                                </t>
  </si>
  <si>
    <t>05 57 19 07 07</t>
  </si>
  <si>
    <t>Gilbert Sevez</t>
  </si>
  <si>
    <t>cdafalgironde.wordpress.com</t>
  </si>
  <si>
    <t>https://assos.bordeaux.fr/association/detail/1829</t>
  </si>
  <si>
    <t>LE GRAND INCENDIE</t>
  </si>
  <si>
    <t>Création, production et diffusion d’œuvres artistiques, dans les champs des arts plastiques, des arts audiovisuels, des arts vivants et des arts littéraires, ainsi que toutes autres activités liées à la pratique artistique (éducation, formation, action culturelle).</t>
  </si>
  <si>
    <t xml:space="preserve">9 rue Montmejean                                                                                                 </t>
  </si>
  <si>
    <t>07 62 43 13 08</t>
  </si>
  <si>
    <t>Ebbane  Kerriou</t>
  </si>
  <si>
    <t>https://assos.bordeaux.fr/association/detail/1806</t>
  </si>
  <si>
    <t>CENTRE D'INFORMATION SUR LE DROIT DES FEMMES ET DES FAMILLES - CIDFF GIRONDE</t>
  </si>
  <si>
    <t>Promouvoir l'égalité entre les femmes et les hommes
Lutter contre les violences sexistes
Le CIDFF 33 a pour but de créer, animer et gérer les outils d'informations et de formation permettant de donner aux femmes les moyens d'exercer leurs droits à partir de leurs propres choix.</t>
  </si>
  <si>
    <t xml:space="preserve">13 RUE THIAC                                                                                                </t>
  </si>
  <si>
    <t>05 56 44 30 30</t>
  </si>
  <si>
    <t>https://assos.bordeaux.fr/association/detail/637</t>
  </si>
  <si>
    <t>UNISPHÈRES</t>
  </si>
  <si>
    <t>UNISPHÈRES est une association loi 1901 à but non lucratif.
C'est un projet pluridisciplinaire de développement et de médiation artistique, culturelle et sociale, en faveur du spectacle vivant, des arts visuels et du numérique. Il s'agit d'un outil de ressources mobiles dédié à l'information, au soutien et à l'éducation.</t>
  </si>
  <si>
    <t xml:space="preserve">5 Rue Buffon                                                                                                 </t>
  </si>
  <si>
    <t>06 22 33 21 42</t>
  </si>
  <si>
    <t>unispheres.fr</t>
  </si>
  <si>
    <t>https://assos.bordeaux.fr/association/detail/545</t>
  </si>
  <si>
    <t>AIGUILLES ET CALAME - A&amp;C</t>
  </si>
  <si>
    <t>L'association interculturelle et artistique Aiguilles et Calame a pour objet de promouvoir les connaissances de l’art du patchwork (traditionnel et contemporain), de la création textile, des langues étrangères, de la civilisation arabe, de la calligraphie.</t>
  </si>
  <si>
    <t xml:space="preserve">80 rue Wustenberg                                                                                                </t>
  </si>
  <si>
    <t>06 51 56 61 46</t>
  </si>
  <si>
    <t>https://assos.bordeaux.fr/association/detail/564</t>
  </si>
  <si>
    <t>ESSplicite a pour finalité de développer la connaissance du secteur de l’économie sociale et solidaire auprès des publics jeunes, notamment les étudiants, des universités et écoles de Bordeaux.</t>
  </si>
  <si>
    <t xml:space="preserve">10 rue du sablonat                                                                                                </t>
  </si>
  <si>
    <t>06 76 64 62 42</t>
  </si>
  <si>
    <t>https://assos.bordeaux.fr/association/detail/1819</t>
  </si>
  <si>
    <t>CLOS DU CHU DE BORDEAUX SECTION PEINTURE</t>
  </si>
  <si>
    <t>La Section Peinture du Comité Local des Oeuvres Sociales du C.H.U. de Bordeaux propose aux actifs et retraités du C.H.U. de Bordeaux des cours de dessin et de peinture à l'huile dans une ambiance conviviale. Les ateliers sont animés tout au long de l'année par un Artiste et professeur à l'école des Beaux Arts de Bordeaux. Le travail de l'année est dévoilé lors d'expositions annuelles hautes en couleurs!</t>
  </si>
  <si>
    <t xml:space="preserve">Pavillon 4, Hôpital Xavier Arnozan. Avenue du Haut-Lévèque                                                                                                </t>
  </si>
  <si>
    <t>06 25 48 45 55</t>
  </si>
  <si>
    <t>Laure Mouton</t>
  </si>
  <si>
    <t>wwwpeintureclosbx.cla.fr</t>
  </si>
  <si>
    <t>https://assos.bordeaux.fr/association/detail/741</t>
  </si>
  <si>
    <t>EGLISE INTERNATIONALE DE BORDEAUX</t>
  </si>
  <si>
    <t>Assurer l'exercice public du culte évangélique, enseigner le message et la pratique de l'évangile de Jésus- Christ et pourvoir aux frais et besoins du culte</t>
  </si>
  <si>
    <t xml:space="preserve">127 rue du Doctur Albert Barraud                                                                                                </t>
  </si>
  <si>
    <t>06 74 59 27 76</t>
  </si>
  <si>
    <t>Sally WARD</t>
  </si>
  <si>
    <t>https://assos.bordeaux.fr/association/detail/1004</t>
  </si>
  <si>
    <t>WELCOME BORDEAUX</t>
  </si>
  <si>
    <t>Réseau d'hospitalité pour des demandeurs d'asile dans la région de Bordeaux</t>
  </si>
  <si>
    <t xml:space="preserve">C/° M de Labarre                                 78 Cours de Luze                                                                                                             </t>
  </si>
  <si>
    <t>05 56 23 29 76</t>
  </si>
  <si>
    <t>https://assos.bordeaux.fr/association/detail/1110</t>
  </si>
  <si>
    <t>ASSO POUR LA PREVENTION DU HANDICAP DÛ AUX TROUBLES DU SOMMEIL ET DE LA VIGILANCE - UP2SV</t>
  </si>
  <si>
    <t>- favoriser les complémentarités parmi les activités médicales liées au sommeil et à la vigilance principalement par le développement de la connaissance mutuelle entre les adhérents,
- promouvoir la prévention du handicap lié aux troubles du sommeil et de la vigilance par tous moyens et notamment l’information du public et des patients, la formation des professionnels et contribuer à la recherche</t>
  </si>
  <si>
    <t xml:space="preserve">47 rue Gaston Lespiault                                                                                                </t>
  </si>
  <si>
    <t>06 65 70 88 67</t>
  </si>
  <si>
    <t>https://assos.bordeaux.fr/association/detail/1089</t>
  </si>
  <si>
    <t>Ludoludik est une association loi 1901 créée en décembre 2002 à Bordeaux, reconnue dans le monde ludique bordelais. Nous sommes une équipe de bénévoles, tous passionnés, engagés dans notre mission mais surtout convaincus des bienfaits du Jeu. Ludoludik propose des animations  avec des jeux de société, et propose de la location de jeux en bois. Ludoludik anime également une ludothèque où l'on peut jouer et emprunter.</t>
  </si>
  <si>
    <t xml:space="preserve">50 Rue Eugène Leroy                                 Apt. 153                                                                                                             </t>
  </si>
  <si>
    <t>06 60 66 65 34</t>
  </si>
  <si>
    <t>ludoludik.com</t>
  </si>
  <si>
    <t>https://assos.bordeaux.fr/association/detail/1450</t>
  </si>
  <si>
    <t>INSTITUT DES CITOYENS BORDEAUX - IDC BORDEAUX</t>
  </si>
  <si>
    <t>https://assos.bordeaux.fr/association/detail/747</t>
  </si>
  <si>
    <t>COLLECTIF DE RESSOURCES CULTURELLES BORDONOR</t>
  </si>
  <si>
    <t>Le Collectif de Ressources Culturelles Bordonor a pour mission de faciliter et favoriser l’accès à la culture et aux pratiques culturelles, principalement pour les populations des quartiers nord de Bordeaux. Il regroupe les structures suivantes : le centre social Bordeaux nord, le Théâtre La Boîte à Jouer, le Cerisier – Cie Apsaras Théâtre, Ricochet Sonore et le centre social et culturel GP IntenCité.</t>
  </si>
  <si>
    <t xml:space="preserve">129 cours Edouard Vaillant                                                                                                </t>
  </si>
  <si>
    <t>05 56 43 53 08</t>
  </si>
  <si>
    <t>www.bordonor.org</t>
  </si>
  <si>
    <t>https://assos.bordeaux.fr/association/detail/1071</t>
  </si>
  <si>
    <t>RIRES POUR GAIRIRE</t>
  </si>
  <si>
    <t>Améliorer mieux être personnel,relations humaines en faisant connaître la méthode de "rire sans raison" du Dr Kataria pour apporter joie de vivre,bonne humeur, bien-être;connectant les gens à travers le rire;trouvant du bonheur à rendre les autres heureux de l'amour inconditionnel;vivre dans le respect la dignité conjuguer bonheur rire au présent, changer le regard sur soi;réconcilier être et paraître estime de soi</t>
  </si>
  <si>
    <t xml:space="preserve">26 rue Condillac                                                                                                </t>
  </si>
  <si>
    <t>07 71 13 61 04</t>
  </si>
  <si>
    <t>rirespourgairire.jimdo.com</t>
  </si>
  <si>
    <t>https://assos.bordeaux.fr/association/detail/729</t>
  </si>
  <si>
    <t>BORDEAUX COMPOSTELLE HOSPITALITÉ SAINT-JACQUES - BCHSJ</t>
  </si>
  <si>
    <t>Assurer la gestion d’un gîte de pèlerins de Saint-Jacques de Compostelle à Bordeaux ;
- Accueillir, informer et héberger les pèlerins de passage au gîte de Bordeaux ;
- Guider et préparer les futurs pèlerins vers leur départ sur le Chemin de Compostelle, en préservant la spiritualité de la démarche ;
- Promotion de l’action culturelle autour du pèlerinage et des Chemins de Compostelle ;</t>
  </si>
  <si>
    <t xml:space="preserve">76 rue du Général de Castelnau                                                                                                </t>
  </si>
  <si>
    <t>06 76 10 30 64</t>
  </si>
  <si>
    <t>Jean SUGIER</t>
  </si>
  <si>
    <t>https://assos.bordeaux.fr/association/detail/943</t>
  </si>
  <si>
    <t>Informer ses membres des traitements de soins du Psoriasis, sensibiliser professionnels de santé, grand public, autorités publiques et encourager la recherche médicale.</t>
  </si>
  <si>
    <t xml:space="preserve">18 rue de Barbut                                                                                                </t>
  </si>
  <si>
    <t>06 73 78 19 43</t>
  </si>
  <si>
    <t>Roberte Aubert</t>
  </si>
  <si>
    <t>http:/www.francepsoriasis.org</t>
  </si>
  <si>
    <t>https://assos.bordeaux.fr/association/detail/1186</t>
  </si>
  <si>
    <t>A HAUTEUR D'HOMME INTERNATIONAL - AHH</t>
  </si>
  <si>
    <t>Fédérer les énergies et permettre aux associations d’agir ensemble, aux hommes de se rencontrer, aux idées de communiquer et aux projets de se réaliser.
Améliorer la situation des personnes handicapées ou en difficulté sociale, par l’aboutissement de leurs revendications dans tous les domaines. Abolir les frontières de l’immobilité et l’injustice en créant de l’Aquitaine des communications de solidarité et d’humanité</t>
  </si>
  <si>
    <t>93 rue de la Tour d'Auvergne</t>
  </si>
  <si>
    <t>05 56 08 88 71</t>
  </si>
  <si>
    <t>Bernard Frautschi</t>
  </si>
  <si>
    <t>https://assos.bordeaux.fr/association/detail/930</t>
  </si>
  <si>
    <t>ARTSOUND PROMOTION</t>
  </si>
  <si>
    <t>ArtSound Promotion se veut être une association dynamique et passionnée, ses objectifs sont de promouvoir l’Art et la Musique sous toutes ces formes. Elle s’est également engagée dans un projet de « Pôle Artistique Culturel » : LOrbit’All, à travers lequel elle souhaite pouvoir accueillir ses adhérents dans un Espace dédié afin de développer ses activités et offrir un lieu d’échange  et de partage.</t>
  </si>
  <si>
    <t xml:space="preserve">356 route de Toulouse                                 Résidence Carré de Jade                                                                                                             </t>
  </si>
  <si>
    <t>06 32 84 64 32</t>
  </si>
  <si>
    <t>www.artsoundpromotion.com</t>
  </si>
  <si>
    <t>https://assos.bordeaux.fr/association/detail/582</t>
  </si>
  <si>
    <t>COULEUR CORÉE</t>
  </si>
  <si>
    <t>Couleur Corée est une association située à Bordeaux ayant pour but de développer la langue et la culture coréenne. C'est en parallèle avec l'essor de la culture coréenne appelé Hallyu : vague coréenne, que nous avons créé Couleur Corée, pour découvrir facilement et rapidement ce qui tourne autour de la Corée. Toutes personnes intéressées par la Corée et ses trésors sont les bienvenues!</t>
  </si>
  <si>
    <t xml:space="preserve">13 rue Prosper                                                                                                </t>
  </si>
  <si>
    <t>06 83 33 05 80</t>
  </si>
  <si>
    <t>Hyang-Ah KIM</t>
  </si>
  <si>
    <t>www.couleur-coree.com</t>
  </si>
  <si>
    <t>https://assos.bordeaux.fr/association/detail/586</t>
  </si>
  <si>
    <t>MAISON DES ADOLESCENTS DE LA GIRONDE - MDA33</t>
  </si>
  <si>
    <t>Espace destiné à l'Accueil, l'écoute, l'accompagnement, l'orientation des jeunes de 11 à 25 ans, de leur entourage proche ainsi que des professionnels. Gratuit, anonyme et confidentiel.</t>
  </si>
  <si>
    <t xml:space="preserve">5 Rue Duffour Dubergier                                                                                                </t>
  </si>
  <si>
    <t>05 56 38 48 65</t>
  </si>
  <si>
    <t>www.mda33.fr</t>
  </si>
  <si>
    <t>https://assos.bordeaux.fr/association/detail/633</t>
  </si>
  <si>
    <t>AMICALE LAÏQUE NUYENS</t>
  </si>
  <si>
    <t>L'Amicale Laique Nuyens est l'associaition des Parents d'Elèves du groupe scolaire Nuyens situé dans le quartier de la Bastide à Bordeaux. L'objet de l'association est de favoriser la solidarité entre enfants et parents fréquentant cet établissement par l'organisation de divers événements tout au long de l'année dont le vide grenier des bordelais sur les quais de queyries.</t>
  </si>
  <si>
    <t xml:space="preserve">18 rue Nuyens                                                                                                </t>
  </si>
  <si>
    <t>06 63 53 14 04</t>
  </si>
  <si>
    <t>https://assos.bordeaux.fr/association/detail/1598</t>
  </si>
  <si>
    <t>UNITED BB</t>
  </si>
  <si>
    <t>Cette association a pour but :
- De suivre et d’encourager le club de rugby de l’Union Bègles Bordeaux à domicile et en déplacement.
- De créer des liens avec les associations de supporters en France et à l’étranger.</t>
  </si>
  <si>
    <t xml:space="preserve">7 sente des Mousses                                 Appartement 41                                                                                                             </t>
  </si>
  <si>
    <t>07 68 69 14 42</t>
  </si>
  <si>
    <t>unitedbordeaux.blogspot.com</t>
  </si>
  <si>
    <t>https://assos.bordeaux.fr/association/detail/710</t>
  </si>
  <si>
    <t>ASSOCIATION ALCOOLIQUES ANONYMES AQUITAINE - AA</t>
  </si>
  <si>
    <t>Les Alcooliques Anonymes sont une association d'hommes et de femmes qui partagent entre eux leur expérience, leur force et leur espoir dans le but de résoudre leur problème commun et d'aider d'autres alcooliques à se rétablir. Le désir d'arrêter de boire est la seule condition pour devenir membre des AA. Notre but premier est de demeurer abstinent et d'aider d'autres alcooliques à le devenir.</t>
  </si>
  <si>
    <t xml:space="preserve">Place St-Christoly                                  Boîte aux lettres n°28                                                                                                             </t>
  </si>
  <si>
    <t>06 17 99 47 29</t>
  </si>
  <si>
    <t>https://assos.bordeaux.fr/association/detail/852</t>
  </si>
  <si>
    <t>OFFICIEL COMMERCE SOLIDAIRE &amp; RÉSEAUX - OCS</t>
  </si>
  <si>
    <t>Fabriquer, vendre et distribuer les produits de l'association, afin de reverser d'une manière systématique, 25% des bénéfices réalisé, en solidarité à d'autres associations caritative et/ou humanitaire.</t>
  </si>
  <si>
    <t xml:space="preserve">20, rue Marc Sangnier,                                                                BP 20                                </t>
  </si>
  <si>
    <t>07 89 41 04 70</t>
  </si>
  <si>
    <t>harry ratomahenina</t>
  </si>
  <si>
    <t>https://assos.bordeaux.fr/association/detail/600</t>
  </si>
  <si>
    <t>ACADÉMIE YOUNUS - YNU</t>
  </si>
  <si>
    <t>L'Académie Younus a pour objectif :
- de promouvoir, d'encadrer et de coordonner la pratique du sport, des activités artistiques, culturelles et éducatives, prioritairement auprès de publics fragilisés.
- de participer à toutes les actions favorisant l'épanouissement personnel, la cohésion sociale, la réussite scolaire et professionnelle des jeunes.</t>
  </si>
  <si>
    <t xml:space="preserve">49 rue Pierre Trébod                                                                                                </t>
  </si>
  <si>
    <t>06 59 38 40 72</t>
  </si>
  <si>
    <t>www.academie-younus.com</t>
  </si>
  <si>
    <t>https://assos.bordeaux.fr/association/detail/1158</t>
  </si>
  <si>
    <t>STM INSTITUTE - STMI</t>
  </si>
  <si>
    <t>Promouvoir, enseigner et faire découvrir l'hypnose spirituelle et l'astrologie à travers ateliers, cours, séminaires et séances.</t>
  </si>
  <si>
    <t xml:space="preserve">1 rue Abel Antoune                                  Résidence Godard Bât. A1                                                                                                              </t>
  </si>
  <si>
    <t>07 68 51 32 38</t>
  </si>
  <si>
    <t>https://assos.bordeaux.fr/association/detail/1145</t>
  </si>
  <si>
    <t>ASSOCIATION FAMILIALE LAIQUE DE BORDEAUX NORD - AFL BX NORD</t>
  </si>
  <si>
    <t>https://assos.bordeaux.fr/association/detail/1187</t>
  </si>
  <si>
    <t>Diffusion de la Culture Scientifique, Technique et Industrielle</t>
  </si>
  <si>
    <t xml:space="preserve">Hangar 20, Quai de Bacalan                                                                                                </t>
  </si>
  <si>
    <t>05 56 01 07 07</t>
  </si>
  <si>
    <t>Didier POURQUERY</t>
  </si>
  <si>
    <t>https:/www.cap-sciences.net</t>
  </si>
  <si>
    <t>https://assos.bordeaux.fr/association/detail/1135</t>
  </si>
  <si>
    <t>BORDEAUX DANCE IN CLUB - BDIC</t>
  </si>
  <si>
    <t>Association de Danse Sportive qui a pour but de regrouper les danseurs et promouvoir la danse sportive pour tous les âges à Bordeaux</t>
  </si>
  <si>
    <t xml:space="preserve">11 rue de l'hermitage                                                                                                </t>
  </si>
  <si>
    <t>06 71 58 90 63</t>
  </si>
  <si>
    <t>bordeauxdanceinclub.fr</t>
  </si>
  <si>
    <t>https://assos.bordeaux.fr/association/detail/962</t>
  </si>
  <si>
    <t>ASSOCIATION CULTURELLE ET MUSIQUE DE L'ESTUAIRE - ACME</t>
  </si>
  <si>
    <t>Réunir des musiciens amateurs de tous âges afin de pratiquer la musique ensemble, favoriser la rencontre et les échanges entre la musique, les savoirs et les arts, avec et pour tous les publics.</t>
  </si>
  <si>
    <t xml:space="preserve">10 rue de la Jalle                                                                                                </t>
  </si>
  <si>
    <t>06 22 12 87 11</t>
  </si>
  <si>
    <t>unisson-acme.com</t>
  </si>
  <si>
    <t>https://assos.bordeaux.fr/association/detail/1021</t>
  </si>
  <si>
    <t>DESIGN LAPS</t>
  </si>
  <si>
    <t>Le Design Laps a pour vocation de faciliter l'accès au design et à sa pratique concrète via des animations, ateliers collaboratifs et accompagnements de projets en lien avec la vie quotidienne, le développement durable, les économies alternatives et les innovations.</t>
  </si>
  <si>
    <t xml:space="preserve">123 cours Journu Auber                                                                                                </t>
  </si>
  <si>
    <t>05 56 51 24 97</t>
  </si>
  <si>
    <t>Fabienne Félix</t>
  </si>
  <si>
    <t>www.designlaps.fr</t>
  </si>
  <si>
    <t>https://assos.bordeaux.fr/association/detail/1528</t>
  </si>
  <si>
    <t>SPORTS ET LOISIRS POUR TOUS - S L T</t>
  </si>
  <si>
    <t>https://assos.bordeaux.fr/association/detail/816</t>
  </si>
  <si>
    <t>LE CARILLON DE BORDEAUX</t>
  </si>
  <si>
    <t>Mettre en place des projets qui participent à la réhabilitation de l’image des plus démunis</t>
  </si>
  <si>
    <t xml:space="preserve">rue Elie Gintrac                                                                                                </t>
  </si>
  <si>
    <t>07 67 25 31 43</t>
  </si>
  <si>
    <t>https://assos.bordeaux.fr/association/detail/1646</t>
  </si>
  <si>
    <t>ESPACE 33</t>
  </si>
  <si>
    <t>ESPACE 33 est une association qui a pour but d'accompagner des personnes en situation de handicap et leur famille. Dans l'ensemble des démarches suivantes  accompagnements des dossiers : MDPH, MSA, SECURITE SOCIALE, SURENDETTEMENT et autres . Sa spécificité première étant d'accompagner ces mêmes personnes dans le retour à domicile suite à une longue opération et rééducation.</t>
  </si>
  <si>
    <t xml:space="preserve">7 rue des maquis                                                                                                 </t>
  </si>
  <si>
    <t>06 60 38 76 45</t>
  </si>
  <si>
    <t>Francis CARDIN</t>
  </si>
  <si>
    <t>www.association-espace33.fr</t>
  </si>
  <si>
    <t>https://assos.bordeaux.fr/association/detail/1456</t>
  </si>
  <si>
    <t>ASSOCIATION DANTE ALIGHIERI DE BORDEAUX - DA</t>
  </si>
  <si>
    <t>https://assos.bordeaux.fr/association/detail/595</t>
  </si>
  <si>
    <t>GROUPEMENT DES INTELLECTUELS AVEUGLES OU AMBLYOPES - GIAA</t>
  </si>
  <si>
    <t>Le GIAA aquitaine a pour vocation l’aide aux personnes déficientes visuelles (dv). Nos activités : soutien d’étudiants déficients visuels par la fourniture, à la demande de documents numérisés accessibles, gestion d’une bibliothèque sonore (plus de 11 000 ouvrages sur cd), cours d’informatique adaptée, cours de braille, soutien psychologique des dv,  aide aux démarches administratives, club emploi.</t>
  </si>
  <si>
    <t xml:space="preserve">14 rue de la Réole                                                                                                </t>
  </si>
  <si>
    <t>05 56 31 48 48</t>
  </si>
  <si>
    <t>www.giaa-aquitaine.fr</t>
  </si>
  <si>
    <t>https://assos.bordeaux.fr/association/detail/608</t>
  </si>
  <si>
    <t>FESTIVAL DES ARTS DE BORDEAUX - FAB</t>
  </si>
  <si>
    <t>https://assos.bordeaux.fr/association/detail/1529</t>
  </si>
  <si>
    <t>MY PETIT CORNER L’ASSO</t>
  </si>
  <si>
    <t>Développer des projets artistiques culturelles et humanitaires en faveur des enfants, des adultes et des personnes malades. Nous proposons des ateliers, des conférences et des voyages autour de l’art, de l’éveil artistique (peinture photographie...), du bien-être, de la méditation et de la pleine conscience. Art et méditation pour une écoute du monde et un retour à soi. Libérer sa créativité.</t>
  </si>
  <si>
    <t xml:space="preserve">123 rue mouneyra                                                                                                </t>
  </si>
  <si>
    <t>06 67 09 84 46</t>
  </si>
  <si>
    <t>https://assos.bordeaux.fr/association/detail/891</t>
  </si>
  <si>
    <t>COMPAGNIE 4CATS</t>
  </si>
  <si>
    <t>Créer et diffuser des spectacles professionnels et amateurs (théâtre, musique, chant, danse, opéra) avec tous publics, étudiants, enfants, jeunes, chômeurs, magistrats, prisonniers... Pièces de théâtre, lectures, performances, improvisation, conte.
Théâtre contemporain et classiques revisités.
La formation d’acteurs amateurs et professionnels ; cours, stages, journées de formation...</t>
  </si>
  <si>
    <t xml:space="preserve">123 rue Lagrange                                                                BP 14                                </t>
  </si>
  <si>
    <t>05 57 87 09 55</t>
  </si>
  <si>
    <t>www.les4cats.com</t>
  </si>
  <si>
    <t>https://assos.bordeaux.fr/association/detail/1346</t>
  </si>
  <si>
    <t>ASSOCIATION PATRIMOINE ISRAÉLITE AQUITAINE - APIA</t>
  </si>
  <si>
    <t>Participer à la protection, à l'étude du patrimoine israélite d'Aquitaine, et de diffuser par tous les moyens des biens et produits répondant au maintien de la tradition juive.</t>
  </si>
  <si>
    <t xml:space="preserve">6 RUE RABBIN COHEN                                                                                                </t>
  </si>
  <si>
    <t>https://assos.bordeaux.fr/association/detail/1440</t>
  </si>
  <si>
    <t>PERCEPTA TAI CHI CHUAN ET DÉVELOPPEMENT PERSONNEL - PERCEPTA</t>
  </si>
  <si>
    <t>L'association Percepta a pour but de permettre la pratique du Tai chi chuan et d'allier développement personnel et lien social</t>
  </si>
  <si>
    <t xml:space="preserve">32 rue Armand Leroi                                                                                                </t>
  </si>
  <si>
    <t>06 51 83 59 40</t>
  </si>
  <si>
    <t>https://assos.bordeaux.fr/association/detail/1594</t>
  </si>
  <si>
    <t>GYMNASTIQUE VOLONTAIRE BORDEAUX BASTIDE - GVBB</t>
  </si>
  <si>
    <t>Gymnastique Volontaire à partir de 18 ans. Cours d'entretien les lundis et vendredis matins et les lundis, mardis et jeudis en soirée.</t>
  </si>
  <si>
    <t xml:space="preserve">Salle Jean Dauguet rue de la Benauge                                                                                                </t>
  </si>
  <si>
    <t>06 74 28 50 52</t>
  </si>
  <si>
    <t>club.quomodo.com/gymnastiquevolontairebordeauxbastide</t>
  </si>
  <si>
    <t>https://assos.bordeaux.fr/association/detail/807</t>
  </si>
  <si>
    <t>COLORADO</t>
  </si>
  <si>
    <t>La pratique et le perfectionnement d'une activité artistique en peinture en groupe</t>
  </si>
  <si>
    <t>06 72 14 26 70</t>
  </si>
  <si>
    <t>https://assos.bordeaux.fr/association/detail/814</t>
  </si>
  <si>
    <t>IMPACTS33</t>
  </si>
  <si>
    <t>Club Multi-boxes Pieds/Poings
Enseignement pour débutants/loisirs/compétiteurs - Enfants, ados et adultes (H&amp;F)
Savate Boxe Française, Kick, Muay-Thaï, K1, Boxe Anglaise, Grappling, Sanda + 4 cours exclusivement féminin.
3 lieux de pratique (Stade Chaban Delmas, Quartier Belcier et Palais des sports)</t>
  </si>
  <si>
    <t xml:space="preserve">BAL n°1 - LABB Bordeaux Caudéran                                 MAIRIE DE CAUDERAN - 130 Av. Louis Barthou                                                                                                             </t>
  </si>
  <si>
    <t>06 24 73 05 78</t>
  </si>
  <si>
    <t>www.impacts33.com</t>
  </si>
  <si>
    <t>https://assos.bordeaux.fr/association/detail/1399</t>
  </si>
  <si>
    <t>W748968526</t>
  </si>
  <si>
    <t>https://assos.bordeaux.fr/association/detail/1511</t>
  </si>
  <si>
    <t>LE CAFÉ HISTORIQUE</t>
  </si>
  <si>
    <t>Promouvoir, développer et organiser des activités à caractère de médiation culturelle dans le domaine historique</t>
  </si>
  <si>
    <t xml:space="preserve">61 cours Pasteur                                                                                                </t>
  </si>
  <si>
    <t>06 11 42 66 56</t>
  </si>
  <si>
    <t>https://assos.bordeaux.fr/association/detail/1792</t>
  </si>
  <si>
    <t>ILÊ ONA</t>
  </si>
  <si>
    <t>Promouvoir, développer et enseigner différentes pratiques corporelles et musicales ainsi que diverses formes d'expression culturelle telles que la capoeira, les danses afro-brésilienne, contemporaine, le pilates ...
Développer les rencontres et formations dans le secteur culturel, éducatif, de l'insertion et de l'entreprise; ainsi que l'activité de production et diffusion d'ouvres originales.</t>
  </si>
  <si>
    <t xml:space="preserve">32 rue marcelin berthelot                                 appt 102                                                                                                             </t>
  </si>
  <si>
    <t>06 99 26 29 75</t>
  </si>
  <si>
    <t>https://assos.bordeaux.fr/association/detail/1592</t>
  </si>
  <si>
    <t>APE PAUL DOUMER</t>
  </si>
  <si>
    <t>Cette association a pour objet de 
-  proposer des évènements et des moments de convivialité dans les temps extra-scolaires afin de créer du lien et du partage entre parents et enfants des écoles maternelle et primaire Paul Doumer   			         -   récolter des fonds pour financer du matériel pédagogique et/ou des sorties scolaires</t>
  </si>
  <si>
    <t xml:space="preserve">10 rue Paul Doumer                                                                                                </t>
  </si>
  <si>
    <t>06 18 56 93 50</t>
  </si>
  <si>
    <t>https://assos.bordeaux.fr/association/detail/532</t>
  </si>
  <si>
    <t>WANTED RADIO</t>
  </si>
  <si>
    <t>Promouvoir la radio web WANTED RADIO
Diffusion d’oeuvres musicales et d’artiste
Parrainage de jeunes artistes</t>
  </si>
  <si>
    <t xml:space="preserve">39, rue de l'Hermitage                                                                                                </t>
  </si>
  <si>
    <t>06 95 87 57 95</t>
  </si>
  <si>
    <t>Samuel BENDHAIBA</t>
  </si>
  <si>
    <t>wantedradio.fr</t>
  </si>
  <si>
    <t>https://assos.bordeaux.fr/association/detail/1370</t>
  </si>
  <si>
    <t>GUYENNE HANDI NAGES - GHN</t>
  </si>
  <si>
    <t>Notre objectif est de permettre à toutes les personnes en situation de handicap de pratiquer des activités aquatiques de loisirs ou de compétition ! 
Seul club de natation handisport en Gironde.</t>
  </si>
  <si>
    <t xml:space="preserve">20 rue Pasteur                                                                                                </t>
  </si>
  <si>
    <t>07 81 10 99 39</t>
  </si>
  <si>
    <t>https://assos.bordeaux.fr/association/detail/921</t>
  </si>
  <si>
    <t>CONTRÔLE-Z NOUVELLE AQUITAINE</t>
  </si>
  <si>
    <t>Agréée Jeunesse et éducation populaire, notre association est tournée vers le public jeune. Production et montage de projets audiovisuels (vidéos). Information sur les dispositifs de mobilité, accompagnement. Destin'action et organisation d'échanges de jeunes Erasmus +</t>
  </si>
  <si>
    <t xml:space="preserve">7 rue Joseph Brunet                                                                                                 </t>
  </si>
  <si>
    <t>06 38 27 56 85</t>
  </si>
  <si>
    <t>www.controle-z.net</t>
  </si>
  <si>
    <t>https://assos.bordeaux.fr/association/detail/1097</t>
  </si>
  <si>
    <t>L'association Exploration du Mouvement a pour objectif d'accompagner et de promouvoir les explorations libres et guidées du mouvement du corps, des émotions et de l'esprit, par le biais de sessions d'exploration, d'ateliers, de cercles de parole, de cours, de conférences, et de tout autre événement susceptible de participer à ces objectifs.</t>
  </si>
  <si>
    <t xml:space="preserve">96 rue Abbé de l'Épée                                                                                                </t>
  </si>
  <si>
    <t>06 43 12 84 47</t>
  </si>
  <si>
    <t>https://assos.bordeaux.fr/association/detail/1617</t>
  </si>
  <si>
    <t>ZIDRÉ BURKINA SOLIDARITÉ</t>
  </si>
  <si>
    <t>L’association a pour but d’apporter son aide à des populations en situation de misère au Burkina Faso afin de participer à la couverture de leurs besoins fondamentaux en améliorant leurs conditions sanitaires et médicales ainsi que leur accès à l’eau.</t>
  </si>
  <si>
    <t xml:space="preserve">75 rue Blanqui                                 Appartement 5                                                                                                             </t>
  </si>
  <si>
    <t>06 50 36 95 18</t>
  </si>
  <si>
    <t>Adama Yabré</t>
  </si>
  <si>
    <t>https://assos.bordeaux.fr/association/detail/1253</t>
  </si>
  <si>
    <t>ASSOCIATION POUR L'ENTRAIDE CONTRE LA RECHUTE DÉPRESSIVE - A.E.R.D.</t>
  </si>
  <si>
    <t>"Le partage, le lien et l'entraide face à la dépression" par l'intermédiaire d'ateliers à visée thérapeutique, animés par des bénévoles, supervisés par un médecin psychiatre. 
L'A.E.R.D est à la disposition des personnes dépressives mais également des médecins qui peuvent y trouver une aide à l'amélioration et la consolidation de leurs patients. L'A.E.R.D a eu les encouragements de l'Ordre des médecins et l'A.R.S.</t>
  </si>
  <si>
    <t xml:space="preserve">30 RUE DE TOULON                                                                                                </t>
  </si>
  <si>
    <t>06 20 28 75 96</t>
  </si>
  <si>
    <t>DOMINIQUE PUEL</t>
  </si>
  <si>
    <t>www.aerd.fr</t>
  </si>
  <si>
    <t>https://assos.bordeaux.fr/association/detail/1257</t>
  </si>
  <si>
    <t>Faire vivre et promouvoir les musiques et danses traditionnelles (« trad ») dans la région bordelaise (et ses alentours).</t>
  </si>
  <si>
    <t xml:space="preserve">1 bis rue des Cordeliers                                                                                                </t>
  </si>
  <si>
    <t>07 68 47 77 61</t>
  </si>
  <si>
    <t>tradobordeleau.lautre.net</t>
  </si>
  <si>
    <t>https://assos.bordeaux.fr/association/detail/1345</t>
  </si>
  <si>
    <t>GP INTEN6T</t>
  </si>
  <si>
    <t>L’activité du Centre Social s’inscrit dans une finalité d’activité sociale et culturelle visant à répondre aux besoins et aspirations des familles et des personnes, notamment les plus démunies, dans une perspective de développement et d’insertion. Lieu d’accueil, d’écoute et de rencontre, elle apporte un soutien aux familles en favorisant les échanges. Véritable médiatrice en relation étroite avec les partenaires.</t>
  </si>
  <si>
    <t xml:space="preserve">Place de l'Europe                                                                BP 40004                                </t>
  </si>
  <si>
    <t>05 56 50 38 22</t>
  </si>
  <si>
    <t>https://assos.bordeaux.fr/association/detail/1322</t>
  </si>
  <si>
    <t>ASSOCIATION FRANÇAISE DU GOUGEROT SJÖGREN ET DES SYNDROMES SECS - AFGS</t>
  </si>
  <si>
    <t>L'AFGS reconnue d'utilité publique en 1990 a pour but : informer sur la maladie, aider financièrement la recherche, apporter un soutien moral aux patients, permettre aux patients de se rencontrer. Le syndrome de Gougerot Sjögren est une maladie inflammatoire chronique et auto-immune caractérisée par un syndrome sec, des douleurs articulaires, une fatigue intense avec parfois des complications systémiques.</t>
  </si>
  <si>
    <t xml:space="preserve">32 rue Auguste Poirson                                                                                                </t>
  </si>
  <si>
    <t>06 16 10 98 25</t>
  </si>
  <si>
    <t>www.afgs-syndromes-secs.org</t>
  </si>
  <si>
    <t>https://assos.bordeaux.fr/association/detail/1318</t>
  </si>
  <si>
    <t>Optimiser le potentiel de l'enfant en développant le talent parental. Des clubs de parents sont donc proposés sur les thématiques suivantes :
J'aide mon enfant à réussir à l'école : techniques pour apprendre efficacement en s'amusant lors des devoirs.
La discipline positive à la maison : comment cadrer l'enfant sans utiliser punition, fessées, chantage.</t>
  </si>
  <si>
    <t xml:space="preserve">4 impasse de la Merci                                 Apt. 46                                                                                                             </t>
  </si>
  <si>
    <t>06 27 71 57 83</t>
  </si>
  <si>
    <t>www.grainedadulte.fr</t>
  </si>
  <si>
    <t>https://assos.bordeaux.fr/association/detail/1054</t>
  </si>
  <si>
    <t>ASSOCIATION PEÑA FLAMENCA COPAS Y COMPAS</t>
  </si>
  <si>
    <t>Unique dans le grand sud ouest, ouverte à tous, la peña flamenca est un espace consacré à l’apprentissage et à l’expression du flamenco.
La peña propose dans son école des cours hebdomadaires avec des intervenants professionnels, ainsi que des stages tout au long de l’année : palmas, guitare, cajón, sévillanes, baile flamenco, tous les composants du flamenco sont représentés !</t>
  </si>
  <si>
    <t xml:space="preserve">175 rue Georges Bonnac                                                                                                </t>
  </si>
  <si>
    <t>05 56 96 11 37</t>
  </si>
  <si>
    <t>copasycompas.fr</t>
  </si>
  <si>
    <t>https://assos.bordeaux.fr/association/detail/1455</t>
  </si>
  <si>
    <t>ENSEMBLE BAROQUE ORFEO - ORFEO</t>
  </si>
  <si>
    <t>Diffusion de la musique baroque : sensibilisation et production de concerts</t>
  </si>
  <si>
    <t xml:space="preserve">74 rue des Menuts                                                                                                </t>
  </si>
  <si>
    <t>06 24 88 00 80</t>
  </si>
  <si>
    <t>Michel Mandouze</t>
  </si>
  <si>
    <t>ensembleorfeo.fr</t>
  </si>
  <si>
    <t>https://assos.bordeaux.fr/association/detail/794</t>
  </si>
  <si>
    <t>ORGAN'PHANTOM</t>
  </si>
  <si>
    <t>Organ’Phantom s’implique dans le tissu culturel bordelais depuis 10 ans en produisant des concerts de musique à tendance électronique. En 2012, l’association créée le festival Écho À Venir qui mêle musiques actuelles et arts numériques, et intègre une place importante pour une création originale sur chaque édition. En 2018, Organ’Phantom lance ses premiers ateliers d’éveil électronique, notamment avec Little Bits.</t>
  </si>
  <si>
    <t xml:space="preserve">9 rue des Capérans                                                                                                 </t>
  </si>
  <si>
    <t>06 32 63 72 42</t>
  </si>
  <si>
    <t>https://assos.bordeaux.fr/association/detail/1753</t>
  </si>
  <si>
    <t>GIROFARD CENTRE LGBTI+</t>
  </si>
  <si>
    <t>Centre Lesbien Gay Bi Transgenre et Inter-sexe de Bordeaux Nouvelle Aquitaine</t>
  </si>
  <si>
    <t xml:space="preserve">34 rue Bouquiere                                                                                                </t>
  </si>
  <si>
    <t>09 54 19 65 04</t>
  </si>
  <si>
    <t>https://assos.bordeaux.fr/association/detail/1001</t>
  </si>
  <si>
    <t>RUGBYTOTS BORDEAUX</t>
  </si>
  <si>
    <t>Rugbytots est le premier programme de rugby français dédié aux jeunes enfants de 2 à 7 ans ! Ce sont des activités d'éveil et de motricité avec pour fil conducteur le rugby. Je me sers des valeurs et de l'état d'esprit que ce sport véhicule afin de participer à leur développement psychomoteur, sensoriel mais aussi travailler le côté social. La confiance et l’estime de soi sont travaillées dans chaque séance.</t>
  </si>
  <si>
    <t xml:space="preserve">5 place Paul Doumer                                                                                                </t>
  </si>
  <si>
    <t>33720</t>
  </si>
  <si>
    <t>06 22 10 35 83</t>
  </si>
  <si>
    <t>https://assos.bordeaux.fr/association/detail/1066</t>
  </si>
  <si>
    <t>MÔM'OUEST</t>
  </si>
  <si>
    <t>Mom’Bordeaux est porté par l’association Mom’Ouest qui appartient au réseau Mom’artre. Le réseau associatif Mom’artre agit en faveur de l'équité culturelle entre tous les enfants de 4-11 ans en proposant des ateliers artistiques à la sortie de l’école, les mercredis et durant les vacances scolaires, tout en favorisant la conciliation des temps professionnels et personnels de leurs parents.</t>
  </si>
  <si>
    <t xml:space="preserve">11 cours Louis Fargue                                                                                                </t>
  </si>
  <si>
    <t>06 79 81 33 94</t>
  </si>
  <si>
    <t>https://assos.bordeaux.fr/association/detail/1062</t>
  </si>
  <si>
    <t>STRATÉJEUX</t>
  </si>
  <si>
    <t>Stratéjeux a pour objet d'encourager la découverte du monde ludique, d'accueillir toute la population en veillant à la mixité sociale avec une vocation familiale et intergénérationnelle, afin de favoriser la création de liens sociaux et familiaux.
L'association permet de rompre l'isolement grâce à différentes méthodes. Stratéjeux organise les animations sociales, festivals, salons et événements ludiques.</t>
  </si>
  <si>
    <t xml:space="preserve">28 bis rue Jean-Baptiste Charcot                                                                                                </t>
  </si>
  <si>
    <t>06 99 86 93 94</t>
  </si>
  <si>
    <t>Sandrine Delcamp</t>
  </si>
  <si>
    <t>https://assos.bordeaux.fr/association/detail/655</t>
  </si>
  <si>
    <t>ASSOCIATION INTERLUDE</t>
  </si>
  <si>
    <t>L'association Interlude regroupe aujourd'hui trois ludothèques et un Espace de Vie Sociale. Ces 4 structures sont des lieux de proximité, accessibles à tous où la culture du jeu, la solidarité, le vivre-ensemble et le partage sont les maîtres mots. Elles contribuent à répondre à des besoins de rencontres, de détente, de loisirs et participent à la consolidation du lien social.</t>
  </si>
  <si>
    <t xml:space="preserve"> cours de Québec                                 Maison Polyvalente Sarah Bernhardt                                                                                                             </t>
  </si>
  <si>
    <t>05 56 04 08 82</t>
  </si>
  <si>
    <t>www.ludotheque-interlude.fr</t>
  </si>
  <si>
    <t>https://assos.bordeaux.fr/association/detail/1446</t>
  </si>
  <si>
    <t>ZETA LAMBDA ZETA BORDEAUX - ZLZ BORDEAUX</t>
  </si>
  <si>
    <t>https://assos.bordeaux.fr/association/detail/736</t>
  </si>
  <si>
    <t>ARCHERS DE GUYENNE</t>
  </si>
  <si>
    <t>Venez pratiquer le tir à l'arc à Bordeaux, le club des Archers de Guyenne se présente plutôt comme un club sportif que comme une compagnie d’arc. Chacun peut y trouver sa place, loisir, perfectionnement ou compétition, vous découvrirez un sport de partage, d’équilibre et de bien être. Seul, entre ami(e)s ou en famille, le tir à l'arc permet, malgré ces différences physiques, de partager une pratique sportive.</t>
  </si>
  <si>
    <t xml:space="preserve">50 rue Joliot Curie                                                                                                </t>
  </si>
  <si>
    <t>33185</t>
  </si>
  <si>
    <t>06 52 74 62 48</t>
  </si>
  <si>
    <t>Gilles Largeais</t>
  </si>
  <si>
    <t>www.archersdebordeaux-guyenne.com</t>
  </si>
  <si>
    <t>https://assos.bordeaux.fr/association/detail/629</t>
  </si>
  <si>
    <t>AMEREVE AQUITAINE ANTILLES - AMEREVE</t>
  </si>
  <si>
    <t>Défendre les intérêts moraux et matériels de ses adhérents, aider et conseiller les allocataires et prestataires de la CARMF, faciliter leurs relations, pallier leur solitude en entretenant des liens d'amitié et d'entraide entre les adhérents</t>
  </si>
  <si>
    <t xml:space="preserve">2 RUE RAYMOND LAVIGNE                                  RIVES DE GARONNE 1                                                                                                              </t>
  </si>
  <si>
    <t>06 85 66 32 10</t>
  </si>
  <si>
    <t>www.amereve-aquitaine.org</t>
  </si>
  <si>
    <t>https://assos.bordeaux.fr/association/detail/1266</t>
  </si>
  <si>
    <t>GROUPE DES CINQ</t>
  </si>
  <si>
    <t>Depuis 1992, l’association culturelle le Groupe des Cinq soutient l'art contemporain et agit pour la sauvegarde du patrimoine architectural en Aquitaine.
Le groupe met en oeuvre divers aspects de la création contemporaine. 
Il est actif dans le domaine de la production, l'exposition, la diffusion, la valorisation de l'art contemporain et de la promotion des artistes.</t>
  </si>
  <si>
    <t xml:space="preserve">121 avenue Alsace Lorraine                                                                                                 </t>
  </si>
  <si>
    <t>05 56 08 08 88</t>
  </si>
  <si>
    <t>Jean de Giacinto</t>
  </si>
  <si>
    <t>www.groupedescinq.fr</t>
  </si>
  <si>
    <t>https://assos.bordeaux.fr/association/detail/948</t>
  </si>
  <si>
    <t>Force Femmes accompagne les femmes de plus de 45 ans qui sont inscrites à Pôle Emploi depuis moins de deux ans dans l'ensemble de leurs démarches de retour à l'emploi salarié ou de création d'entreprise.</t>
  </si>
  <si>
    <t xml:space="preserve">2 rue Sicard                                                                                                </t>
  </si>
  <si>
    <t>07 87 85 54 77</t>
  </si>
  <si>
    <t>https://assos.bordeaux.fr/association/detail/597</t>
  </si>
  <si>
    <t>ROLLER DERBY BORDEAUX CLUB - RDBC</t>
  </si>
  <si>
    <t>Club de Roller Derby : pratique, entraînements, compétitions &amp; Promotion de la pratique du roller quad.</t>
  </si>
  <si>
    <t xml:space="preserve">28 rue jean descas                                                                                                </t>
  </si>
  <si>
    <t>06 72 19 73 47</t>
  </si>
  <si>
    <t>https://assos.bordeaux.fr/association/detail/547</t>
  </si>
  <si>
    <t>ASSOCIATION FRANÇAISE DES SCLÉROSES EN PLAQUES - AFSEP</t>
  </si>
  <si>
    <t>Apporter écoute et soutien.  Représenter, renseigner, défendre ses adhérents et leurs familles. Relayer l’information sur la maladie et sa prise en charge et favoriser la recherche médicale et scientifique sur la SEP et son traitement. Favoriser la création de structures et services d’accueil, d’aide et de soins. Etre un des référents nationaux dans le domaine de la prise en charge des personnes concernées.</t>
  </si>
  <si>
    <t>2 rue Farman                                 Technoclub C                                                                                                             31700 BLAGNAC</t>
  </si>
  <si>
    <t>05 34 55 77 00</t>
  </si>
  <si>
    <t>Jocelyne NOUVET-GIRE</t>
  </si>
  <si>
    <t>https://assos.bordeaux.fr/association/detail/863</t>
  </si>
  <si>
    <t>CITADEL - CITADEL</t>
  </si>
  <si>
    <t>L'association Citadel agit pour l'émergence d'un Pôle culturel ou Cité du Gospel à visée internationale. Des ateliers Chorale Gospel décloisonnant amateurs et professionnels,des apprentissages intenses cultivant l'authenticité artistique au service de l'aventure intérieure et de réalisations de groupe,nos Masterclass enseignent simultanément solfège/ répertoire-interprétation/ technique vocale. Débutants acceptés.</t>
  </si>
  <si>
    <t xml:space="preserve">OCAC Château Palmer                                 Rue Arisitide Briand                                                                                                             </t>
  </si>
  <si>
    <t>33150</t>
  </si>
  <si>
    <t>07 50 32 45 84</t>
  </si>
  <si>
    <t>www.bordeauxmasschoir.com</t>
  </si>
  <si>
    <t>https://assos.bordeaux.fr/association/detail/669</t>
  </si>
  <si>
    <t>ASSOCIATION QWANKIDO BORDEAUX ECOLE DU DRAGON</t>
  </si>
  <si>
    <t>l' Association Qwankido Bordeaux Ecole du Dragon est une association pour promouvoir la pratique du Qwankido, art martial sino-vietnamien 
site web : http://arts-martiaux-bordeaux-ecole-du-dragon-qwankido.com/</t>
  </si>
  <si>
    <t xml:space="preserve">86 rue joseph Faure                                                                                                </t>
  </si>
  <si>
    <t>06 23 71 32 45</t>
  </si>
  <si>
    <t>https://assos.bordeaux.fr/association/detail/1662</t>
  </si>
  <si>
    <t>ASSOCIATION NATIONALE POUR LES ENFANTS INTELLECTUELLEMENT PRÉCOCES AQUITAINE - ANPEIPAQUITAINE</t>
  </si>
  <si>
    <t>1. l,aide et l'accompagnement aux parents d'enfants intellectuellement précoces' 2. l,organisation de rencontres à destination des parents membres pour une aide à la parentalité spécifique' 3. la sensibilisation, l,information et la formation de tous les acteurs chargés du suivi et/ou de l'éducation des enfants intellectuellement précoces, 4. l,orientation vers des professionnels spécialisés dans le domaine.</t>
  </si>
  <si>
    <t xml:space="preserve">le Dôme                                 221 avenue de Thouars                                                                                                             </t>
  </si>
  <si>
    <t>07 68 59 73 23</t>
  </si>
  <si>
    <t>www.anpeip.org/choisir-sa-region/aquitaine</t>
  </si>
  <si>
    <t>https://assos.bordeaux.fr/association/detail/1009</t>
  </si>
  <si>
    <t>ACTION JAZZ - AJ</t>
  </si>
  <si>
    <t>Le but de cette association, tournée vers les musiciens, est de dynamiser et défendre la scène jazz à Bordeaux et dans la région Nouvelle-Aquitaine, de lutter contre la situation parfois précaire des musiciens, de leur offrir des possibilités de rencontres, d’échanges, afin qu’ils puissent élaborer des projets personnels ou communs.</t>
  </si>
  <si>
    <t xml:space="preserve">3 Avenue Descartes                                                                                                </t>
  </si>
  <si>
    <t>06 80 56 28 09</t>
  </si>
  <si>
    <t>Alain Piarou</t>
  </si>
  <si>
    <t>www.actionjazz.fr</t>
  </si>
  <si>
    <t>https://assos.bordeaux.fr/association/detail/916</t>
  </si>
  <si>
    <t>STOP AUX VIOLENCES SEXUELLES - 33 - SVS-33</t>
  </si>
  <si>
    <t>Porter au niveau départemental la stratégie d'éradication des violences sexuelles définie par l'association national "SVS" : informer avec organisation de réunions, conférences, séminaires pour le grand public et les professionnels ; former les professionnels désirant intervenir dans la stratégie d'éradication ; déployer des ateliers thérapeutiques de réparation pour les victimes ; nouer des partenariats financiers.</t>
  </si>
  <si>
    <t xml:space="preserve">29 rue Albert Pitres                                                                                                </t>
  </si>
  <si>
    <t>06 74 31 40 29</t>
  </si>
  <si>
    <t>www.stopauxviolencessexuelles.com</t>
  </si>
  <si>
    <t>https://assos.bordeaux.fr/association/detail/919</t>
  </si>
  <si>
    <t>LA HALLE DES DOUVES - HDD</t>
  </si>
  <si>
    <t>Elle a pour objet la mise en œuvre d'activités d'ordre social, éducatif, culturel, artistique, solidaire, patrimonial au sein du bâtiment "marché des Douves" devenu maison de vie associative et des habitants. Elle favorise les rencontres et la mutualisation des ressources et des savoirs-faire des acteurs du territoire à travers des projets collectifs et  l'animation de ce lieu ouvert</t>
  </si>
  <si>
    <t xml:space="preserve">4 bis rue des Douves                                                                                                </t>
  </si>
  <si>
    <t>05 35 38 16 06</t>
  </si>
  <si>
    <t>www.douves.org</t>
  </si>
  <si>
    <t>https://assos.bordeaux.fr/association/detail/901</t>
  </si>
  <si>
    <t>ASSOCIATION PHILATÉLIQUE DE BORDEAUX - BOUSCAT - APBB</t>
  </si>
  <si>
    <t>https://assos.bordeaux.fr/association/detail/872</t>
  </si>
  <si>
    <t>PEEP GIRONDE - PEEP AD33</t>
  </si>
  <si>
    <t>Association des Parents d'Élèves de l'Enseignement Public.</t>
  </si>
  <si>
    <t xml:space="preserve">36 rue du Sablonat                                                                                                </t>
  </si>
  <si>
    <t>05 56 92 62 01</t>
  </si>
  <si>
    <t>https://assos.bordeaux.fr/association/detail/1387</t>
  </si>
  <si>
    <t>BORDEAUX SYSTEMA</t>
  </si>
  <si>
    <t>Bordeaux Systema propose un art martial interne issu des traditions russes, dans un but de développement personnel.</t>
  </si>
  <si>
    <t xml:space="preserve">c/o Bertrand Pons                                 10 place Pierre-Jacques Dormoy                                                                                                             </t>
  </si>
  <si>
    <t>06 47 17 81 40</t>
  </si>
  <si>
    <t>www.systemabordeaux.fr</t>
  </si>
  <si>
    <t>https://assos.bordeaux.fr/association/detail/1693</t>
  </si>
  <si>
    <t>IKIGAI - L'ÉCOLE DU SAMEDI</t>
  </si>
  <si>
    <t>Association proposant des ateliers ludiques de découverte de la société à des enfants de 10 à 12 ans, scolarisés en réseaux d'éducation prioritaires. Par des rencontres ludiques avec des professionnels passionnés et durant des mises en situations, nos élèves prennent conscience de la diversité de la société, de leurs capacités et de ce qu'ils aiment faire ! Pour demain, être acteurs de leur avenir...</t>
  </si>
  <si>
    <t xml:space="preserve">20 quai de Bacalan                                                                                                </t>
  </si>
  <si>
    <t>06 79 91 87 40</t>
  </si>
  <si>
    <t>Florian Machayekhi</t>
  </si>
  <si>
    <t>lecoledusamedi.fr</t>
  </si>
  <si>
    <t>https://assos.bordeaux.fr/association/detail/540</t>
  </si>
  <si>
    <t>LA MÉMOIRE DE BORDEAUX MÉTROPOLE</t>
  </si>
  <si>
    <t>Centre de recherche et de documentation consacré à l’histoire contemporaine de l’agglomération bordelaise (documents audiovisuels, iconographiques, sonores ou écrits, témoignages oraux). 
Edite des publications historiques et notamment une revue périodique, Empreintes. Organise des manifestations à caractère culturel, historique et patrimonial (conférences, tables rondes, expositions, projections).</t>
  </si>
  <si>
    <t xml:space="preserve">Parvis des Archives                                                                                                </t>
  </si>
  <si>
    <t>05 56 52 59 19</t>
  </si>
  <si>
    <t>Marc Lajugie</t>
  </si>
  <si>
    <t>memoiredebordeaux.wixsite.com/metropole</t>
  </si>
  <si>
    <t>https://assos.bordeaux.fr/association/detail/913</t>
  </si>
  <si>
    <t>ALTER AMAZONES</t>
  </si>
  <si>
    <t>Favoriser l’émergence et le développement, dans le domaine de l’énergie, l’environnement et l’habitat, de pratiques et de procédés dans la gestion économe, solidaire et de long terme des ressources naturelles, de sensibiliser et d’accompagner des projets sur les différents aspects du bien vivre ensemble : habitat groupé, éco-habitat, territoires en transition, éco-construction, vie de groupe…</t>
  </si>
  <si>
    <t xml:space="preserve">MNE 3 rue Tauzia                                                                                                </t>
  </si>
  <si>
    <t>06 64 03 09 65</t>
  </si>
  <si>
    <t>www.alteramazones.fr</t>
  </si>
  <si>
    <t>https://assos.bordeaux.fr/association/detail/730</t>
  </si>
  <si>
    <t>L'ATELIER REMUMÉNAGE</t>
  </si>
  <si>
    <t>L’association L’Atelier Remuménage, créée en février 2001, propose un service d’aide à la mobilité résidentielle sur l’ensemble du département de la Gironde avec des tarifs modulés en fonction du revenus et du quotient familial.. Elle participe directement au renforcement de la cohésion sociale. Sa vocation sociale est double puisqu’elle a également une mission d’insertion professionnelle.</t>
  </si>
  <si>
    <t xml:space="preserve">6 rue Jules Guesde                                                                                                </t>
  </si>
  <si>
    <t>05 56 92 80 35</t>
  </si>
  <si>
    <t>Wiame Benyachou</t>
  </si>
  <si>
    <t>www.atelier-remumenage.org</t>
  </si>
  <si>
    <t>https://assos.bordeaux.fr/association/detail/1234</t>
  </si>
  <si>
    <t>Cette association a pour but de proposer des formations musicales et modulables pour différentes prestations : des concerts publics, événements privés... Cette association peut aussi sonoriser des groupes.</t>
  </si>
  <si>
    <t xml:space="preserve">41 cours Le Rouzic                                                                                                </t>
  </si>
  <si>
    <t>06 61 52 16 55</t>
  </si>
  <si>
    <t>https://assos.bordeaux.fr/association/detail/1327</t>
  </si>
  <si>
    <t>Le CAB créé en 2015 a l'expérience de 15 années d’activité. Il est issu du Cercle d’Art de l’US Chartrons fondé en 2000 par des auditeurs libres de l’école des Beaux-arts de Bordeaux désireux de continuer à dessiner ensemble autour d’un modèle. Notre association nous permet de discuter, échanger, expérimenter, construire des projets communs...
Pas d'enseignant : un modèle et le plaisir de dessiner ensemble.</t>
  </si>
  <si>
    <t xml:space="preserve">87 rue de la pelouse de Douet                                                                                                </t>
  </si>
  <si>
    <t>06 74 13 72 79</t>
  </si>
  <si>
    <t>Marie-France Cuadrado</t>
  </si>
  <si>
    <t>https://assos.bordeaux.fr/association/detail/981</t>
  </si>
  <si>
    <t>L'association rassemble aujourd'hui plus de 100 professionnels dans le domaine du BTP, de l’aménagement du territoire, de la construction et de l'immobilier, principalement sur Bordeaux Métropole mais aussi en Gironde. Au travers de l'association, les membres se rencontrent et développent leur réseau afin de faire connaître leur activité, d'échanger sur leur secteur et de partager et enrichir leurs connaissances.</t>
  </si>
  <si>
    <t xml:space="preserve">20 rue Lacour                                                                                                </t>
  </si>
  <si>
    <t>06 69 30 54 59</t>
  </si>
  <si>
    <t>www.collectifbtp.fr</t>
  </si>
  <si>
    <t>https://assos.bordeaux.fr/association/detail/571</t>
  </si>
  <si>
    <t>ADEPA</t>
  </si>
  <si>
    <t>Défense et Etude des Personnes Amputées</t>
  </si>
  <si>
    <t xml:space="preserve">14 lieu dit les chailles de bignac                                                                                                </t>
  </si>
  <si>
    <t>33230</t>
  </si>
  <si>
    <t>06 11 03 05 46</t>
  </si>
  <si>
    <t>https://assos.bordeaux.fr/association/detail/1240</t>
  </si>
  <si>
    <t>SOCIÉTÉ DE SAINT-VINCENT-DE-PAUL GIRONDE - SSVP 33</t>
  </si>
  <si>
    <t>Combattre toutes les formes de précarité, par le biais de nombreuses actions de proximité : visites à domicile ou en institutions, aide alimentaire et/ou vestimentaire, domiciliation postale, soutien scolaire, alphabétisation.</t>
  </si>
  <si>
    <t xml:space="preserve">26 rue du Commandant Arnould                                                                                                </t>
  </si>
  <si>
    <t>05 56 48 22 07</t>
  </si>
  <si>
    <t>Martine TRAISSAC</t>
  </si>
  <si>
    <t>https://assos.bordeaux.fr/association/detail/1306</t>
  </si>
  <si>
    <t>FRANCE ACTIVE AQUITAINE</t>
  </si>
  <si>
    <t>De l'émergence au développement, France Active Aquitaine donne aux entrepreneurs engagés les moyens d'agir sur leur territoire. Elle les accompagne dans leurs problématiques financières, met à leur disposition les financements les plus adaptés à leurs besoins et leur permet d'accéder à un réseau d'acteurs économiques locaux.France Active Aquitaine est membre du réseau France Active.</t>
  </si>
  <si>
    <t xml:space="preserve">90 Rue Malbec                                                                                                </t>
  </si>
  <si>
    <t>05 56 24 56 79</t>
  </si>
  <si>
    <t>www.aquitaineactive.org</t>
  </si>
  <si>
    <t>https://assos.bordeaux.fr/association/detail/616</t>
  </si>
  <si>
    <t>Née en 2006 de la rencontre de passionnés du jazz et du blues, l’association Swingtime Bordeaux a pour objectif de faire connaître au plus grand nombre les danses et la musique swing authentique. Elle a aussi pour objectif de créer une véritable scène swing de danseurs à bordeaux, se réunissant pour pratiquer et échanger dans l’état d’esprit d’ouverture et de créativité des années 1920 /1930.</t>
  </si>
  <si>
    <t xml:space="preserve">14, Pierre Noguey                                                                                                </t>
  </si>
  <si>
    <t>06 19 16 44 96</t>
  </si>
  <si>
    <t>www.swingtime.fr</t>
  </si>
  <si>
    <t>https://assos.bordeaux.fr/association/detail/1164</t>
  </si>
  <si>
    <t>ALIENOR TRIBAL - ATS</t>
  </si>
  <si>
    <t>Cette association a pour objet la Diffusion, la promotion et l’apprentissage de la danse de style tribal
et de la culture qui lui est attachée: dispense de cours, participation à des manifestations,
organisation de stages, création de spectacles, création de costumes et accessoires.</t>
  </si>
  <si>
    <t xml:space="preserve">132 cours de l'yser                                                                                                </t>
  </si>
  <si>
    <t>06 01 65 98 13</t>
  </si>
  <si>
    <t>MARIANNE LAMOUR</t>
  </si>
  <si>
    <t>https://assos.bordeaux.fr/association/detail/544</t>
  </si>
  <si>
    <t>PUPILLES ENSEIGNEMENT PUBLIC GIRONDE - LES PEP 33</t>
  </si>
  <si>
    <t>Actions de complémentarité avec l'Ecole en mettant en avant les valeurs essentielles : Laïcité, citoyenneté et solidarité.
Les PEP 33 gèrent 5 établissements et services au bénéfice des écoles et élèves de la maternelle au lycée, des familles et actuellement des jeunes mineurs non accompagnés.</t>
  </si>
  <si>
    <t xml:space="preserve">70 rue du château d'eau                                 Ecole Anatole France                                                                                                             </t>
  </si>
  <si>
    <t>05 56 56 57 00</t>
  </si>
  <si>
    <t>www.lespep33.org</t>
  </si>
  <si>
    <t>https://assos.bordeaux.fr/association/detail/1757</t>
  </si>
  <si>
    <t>FÉDÉRATION DES ASSOCIATIONS LIBRES ET INDÉPENDANTES DES ETUDIANTS DE BORDEAUX ET D'AQUITAINE - ALIENOR</t>
  </si>
  <si>
    <t>La Fédération a pour objet de fédérer les associations étudiantes des établissements d’enseignement supérieur de Bordeaux et d’Aquitaine, partageant des valeurs et des principes communs. Elle représente et défend les intérêts des étudiants de Bordeaux et d’Aquitaine. Elle participe à la diffusion et la promotion de ces valeurs communes, au développement de la vie associative, à l’animation de l’ensemble des campus.</t>
  </si>
  <si>
    <t xml:space="preserve">3 Ter Place de la Victoire                                                                                                </t>
  </si>
  <si>
    <t>06 86 84 04 74</t>
  </si>
  <si>
    <t>Dorian MONTI</t>
  </si>
  <si>
    <t>fedealienor.fr</t>
  </si>
  <si>
    <t>https://assos.bordeaux.fr/association/detail/889</t>
  </si>
  <si>
    <t>PACTE FINANCE-CLIMAT / GIRONDE</t>
  </si>
  <si>
    <t>L'association Pacte Finance-Climat/Gironde a pour objectif de sensibiliser le plus grand nombre de nos concitoyens au dérèglement climatique, mais aussi aux solutions concrètes et possibles en promouvant l'adoption d'un traité européen qui finance sur le long terme la transition énergétique. Soutenu par des personnalités de tous horizons et par de nombreuses associations, PFC est transpartisan et européen.</t>
  </si>
  <si>
    <t xml:space="preserve">5, rue de la Rousselle                                                                                                </t>
  </si>
  <si>
    <t>06 43 21 67 72</t>
  </si>
  <si>
    <t>climat-2020.eu/fr</t>
  </si>
  <si>
    <t>https://assos.bordeaux.fr/association/detail/1355</t>
  </si>
  <si>
    <t>FÊTE LE MUR BORDEAUX GIRONDE AQUITAINE - FLM BGA</t>
  </si>
  <si>
    <t>https://assos.bordeaux.fr/association/detail/1038</t>
  </si>
  <si>
    <t>ADACRG-FENARAC-UNIRC  -33 - ADACRG FENARAC</t>
  </si>
  <si>
    <t>https://assos.bordeaux.fr/association/detail/1651</t>
  </si>
  <si>
    <t>CROIX ROUGE FRANÇAISE UNITÉ LOCALE DE BORDEAUX - CRF UL BORDEAUX</t>
  </si>
  <si>
    <t>https://assos.bordeaux.fr/association/detail/1560</t>
  </si>
  <si>
    <t>LA BOITE A MUSIQUE</t>
  </si>
  <si>
    <t>L’association LA BOITE A MUSIQUE a pour objet :
I. Promouvoir l’éducation artistique par l’enseignement de la musique;
II. Faciliter l’accès à l’enseignement musical en proposant des cours à domicile ;
III. Soutenir la profession d’enseignant en musique en accompagnant les professionnels dans le développement de leur activité et l’amélioration de leurs conditions de travail.</t>
  </si>
  <si>
    <t xml:space="preserve">16 chemin Lalaurie                                                                                                </t>
  </si>
  <si>
    <t>33140</t>
  </si>
  <si>
    <t>06 63 55 29 39</t>
  </si>
  <si>
    <t>https://assos.bordeaux.fr/association/detail/1643</t>
  </si>
  <si>
    <t>COLLECTIF DU DIX MAI-BORDEAUX - CDM-B</t>
  </si>
  <si>
    <t>https://assos.bordeaux.fr/association/detail/957</t>
  </si>
  <si>
    <t>COMITÉ DÉPARTEMENTAL DE LA GIRONDE FSCF - FSCF CD33</t>
  </si>
  <si>
    <t>Le comité a pour objet de favoriser, dans le cadre d'une ouverture à tous, une éducation de la jeunesse dans le cadre d'activités sportive, culturelles et de loisirs.</t>
  </si>
  <si>
    <t>09 51 43 21 56</t>
  </si>
  <si>
    <t>CECILE GOFFRE VIAUD</t>
  </si>
  <si>
    <t>https://assos.bordeaux.fr/association/detail/1812</t>
  </si>
  <si>
    <t>CLUB DU SOLEIL BORDEAUX COTE D'ARGENT - CSBCA</t>
  </si>
  <si>
    <t>https://assos.bordeaux.fr/association/detail/906</t>
  </si>
  <si>
    <t>VISUEL-LSF NOUVELLE-AQUITAINE - VISUEL-LSF N-A</t>
  </si>
  <si>
    <t>Visuel LSF est un centre de formation professionnelle à la Langue des Signes Française, à destination des personnes entendantes souhaitant se reconvertir, se professionnaliser dans le domaine de la LSF ou tout simplement mieux communiquer avec leurs bénéficiaires, clients, collègues ou amis sourds ; et des formations à destination des personnes sourdes.</t>
  </si>
  <si>
    <t xml:space="preserve">25 Cours du Général de Gaulle                                 Bâtiment O                                                                                                             </t>
  </si>
  <si>
    <t>05 40 12 22 47</t>
  </si>
  <si>
    <t>www.visuel-lsf.org</t>
  </si>
  <si>
    <t>https://assos.bordeaux.fr/association/detail/672</t>
  </si>
  <si>
    <t>COMPAGNIE RÊVOLUTION</t>
  </si>
  <si>
    <t>L’association a pour objet : 
-	L’exploitation de toutes les activités liées à la création, la production, l’organisation, la gestion, le développement et la promotion de tous spectacles et événements culturels et artistiques, notamment chorégraphiques. Tant en France qu’à l’étranger. Pour tous publics.
-	La transmission, la sensibilisation, la médiation, la formation et l’insertion professionnelle par la pratique</t>
  </si>
  <si>
    <t xml:space="preserve">6 rue Ramonet                                                                                                </t>
  </si>
  <si>
    <t>05 56 69 71 76</t>
  </si>
  <si>
    <t>Jérôme Lecardeur</t>
  </si>
  <si>
    <t>www.cie-revolution.com</t>
  </si>
  <si>
    <t>https://assos.bordeaux.fr/association/detail/698</t>
  </si>
  <si>
    <t>GROUPE D'ACCOMPAGNEMENT ET DE LOISIRS ADAPTÉS - GALA</t>
  </si>
  <si>
    <t>GALA a été créée en mars 1997 afin que les porteurs de déficiences intellectuelles puissent accéder à une vie socio culturelle normale. L'association GALA a pour but de rechercher et de mettre en place des programmes d'accompagnement et des loisirs adaptés afin de les sortir de leur isolement, de développer leur autonomie, de faciliter leur sociabilité, d'améliorer leur intégration en milieu ordinaire.</t>
  </si>
  <si>
    <t>https://assos.bordeaux.fr/association/detail/902</t>
  </si>
  <si>
    <t>ACHILLÉE ET CIBOULETTE</t>
  </si>
  <si>
    <t>Accompagner les projets de jardinage naturel, animer des réseaux d'échanges au plan jardinage et au plan des semences. Sensibiliser à la flore sauvage et cultivée, et à leurs usages diversifiés.</t>
  </si>
  <si>
    <t xml:space="preserve">3-5 rue de Tauzia                                                                                                </t>
  </si>
  <si>
    <t>06 04 44 41 57</t>
  </si>
  <si>
    <t>achillee.org</t>
  </si>
  <si>
    <t>https://assos.bordeaux.fr/association/detail/992</t>
  </si>
  <si>
    <t>COUPÉ COURT</t>
  </si>
  <si>
    <t>Objectifs : promouvoir l'art du court métrage auprès d'un large public grâce à l'organisation du Festival Coupé Court tous les ans en mars, participer à l'animation de la vie culturelle bordelaise, valoriser le cinéma d’initiative et les autres arts créatifs notamment par un appel à courts-métrages national annuel, manifester notre volonté d'entreprendre, multiplier les contacts entre étudiants et professionnels.</t>
  </si>
  <si>
    <t xml:space="preserve">ISIC-IUP Université Michel de Montaigne                                 Domaine Universitaire                                                                                                             </t>
  </si>
  <si>
    <t>07 69 71 78 98</t>
  </si>
  <si>
    <t>www.coupe-court.com/association</t>
  </si>
  <si>
    <t>https://assos.bordeaux.fr/association/detail/1358</t>
  </si>
  <si>
    <t>Ensemble vocal mixte ayant pour but le chant choral (apprentissage en 4 pupitres)
Organisation de concerts</t>
  </si>
  <si>
    <t xml:space="preserve">23 rue Edouard Branly, N° 63                                 Résidence de la Benauge -                                                                                                              </t>
  </si>
  <si>
    <t>06 52 36 12 99</t>
  </si>
  <si>
    <t>Serge CUTILLAS</t>
  </si>
  <si>
    <t>https://assos.bordeaux.fr/association/detail/1143</t>
  </si>
  <si>
    <t>BURDIGALA VÉLO CLUB 33 - BVC33</t>
  </si>
  <si>
    <t>Le Burdigala VC33 est un club cycliste qui vise à participer à des épreuves cyclo sportives sur route. Il s'adresse à des adultes femmes et hommes. Il n'a donc pas d'école de cyclisme. Les sorties se font le samedi après-midi l'hiver et le dimanche matin l'été. Les sorties sont de l'ordre d'une centaine de km. Des sorties plus longues et plus montagneuses sont programmées à l'approche des cyclosportives.</t>
  </si>
  <si>
    <t xml:space="preserve">10 rue Jean Jacques Rabaud                                                                                                </t>
  </si>
  <si>
    <t>07 86 56 38 86</t>
  </si>
  <si>
    <t>https://assos.bordeaux.fr/association/detail/1800</t>
  </si>
  <si>
    <t>TOUSENSCIENCES</t>
  </si>
  <si>
    <t>« Tous en Sciences » rassemble tous ceux qui désirent promouvoir et défendre la démarche scientifique ; organiser  des événements récurrents de promotion et de défense de la démarche scientifique ; remettre les sciences au cœur du débat démocratique ; renforcer le dialogue entre science et société.</t>
  </si>
  <si>
    <t xml:space="preserve">26 rue des caperans                                                                                                </t>
  </si>
  <si>
    <t>06 61 99 63 90</t>
  </si>
  <si>
    <t>Marie Coris</t>
  </si>
  <si>
    <t>https://assos.bordeaux.fr/association/detail/1368</t>
  </si>
  <si>
    <t>LE GRAND SOIR - LGS</t>
  </si>
  <si>
    <t>Organiser, créer, réaliser, développer, favoriser la musique dans ses différentes formes et moyens d’expression ; l’association est un outil au service de l’animation, de la promotion musicale ; elle a pour vocation de démocratiser l’accès à la musique et à favoriser le lien social</t>
  </si>
  <si>
    <t xml:space="preserve">79 cours de la Somme                                 Etage 1                                                                                                             </t>
  </si>
  <si>
    <t>06 65 27 51 36</t>
  </si>
  <si>
    <t>Guillaume Contat</t>
  </si>
  <si>
    <t>https://assos.bordeaux.fr/association/detail/995</t>
  </si>
  <si>
    <t>ASSOCIATION DES PATIENTS SOUFFRANTS DU SYNDROME DE L'INTESTIN IRRITABLE - APSSII</t>
  </si>
  <si>
    <t>Association des patients souffrant du syndrome de l'intestin irritable</t>
  </si>
  <si>
    <t>Hôpital Avicenne                                 125  rue de Stalingrad                                                                                                             93000 BOBIGNY</t>
  </si>
  <si>
    <t>06 48 22 39 65</t>
  </si>
  <si>
    <t>https://assos.bordeaux.fr/association/detail/818</t>
  </si>
  <si>
    <t>PÉRIPHÉRIES PRODUCTIONS</t>
  </si>
  <si>
    <t>Ateliers de productions audiovisuelles, Promouvoir la production de documents vidéo, ou cinématographiques, et de rechercher les financements et concours nécessaires pour leur production, assurer la production (production déléguée et exécutive) et la distribution par tous moyens existants, organiser ou assurer des formations dans le domaine du cinéma et de la vidéo, Education à l'image en milieu scolaire, insertion..</t>
  </si>
  <si>
    <t xml:space="preserve">rue Aristide Briand - BP77,                                 Château Palmer                                                                             BP 77                                </t>
  </si>
  <si>
    <t>05 56 32 96 05</t>
  </si>
  <si>
    <t>www.periph-prod.com</t>
  </si>
  <si>
    <t>https://assos.bordeaux.fr/association/detail/1773</t>
  </si>
  <si>
    <t>ASSOCIATION DU GROUPE OWLS - AGO</t>
  </si>
  <si>
    <t>https://assos.bordeaux.fr/association/detail/1559</t>
  </si>
  <si>
    <t>ASSOCIATION DES JUMELAGES FRANCO-ALLEMANDS EN GIRONDE  - AJG</t>
  </si>
  <si>
    <t>L'AJG fondée en 1988 réunit des comités de jumelage franco-allemands en Gironde et des particuliers adhérents directement à l'association. Elle oeuvre pour le développement de l'amitié franco-allemande au service de la Paix en Europe et pour la promotion de l'enseignement de l'allemand. Elle propose des cours d'allemand tous niveaux, des échanges entre jeunes, Stammtisch, pique-niques, soirées conviviales...</t>
  </si>
  <si>
    <t xml:space="preserve">23 Rue de Freycinet                                                                                                </t>
  </si>
  <si>
    <t>06 82 01 37 49</t>
  </si>
  <si>
    <t>Florence  PACCHIANO</t>
  </si>
  <si>
    <t>www.jumelagecestas.fr</t>
  </si>
  <si>
    <t>https://assos.bordeaux.fr/association/detail/1551</t>
  </si>
  <si>
    <t>BORDEAUX LARSENSEC - BLS</t>
  </si>
  <si>
    <t>Cette association a pour objet de promouvoir la culture rock/ underground de Bordeaux et ses environs ; au
travers mon émission de radio et l'organisation de mes évènements tel que les concerts, expositions.
Disposant déjà d'un (vrai) emploi à temps plein et qui me plait beaucoup, cette association est à but non
lucratif. C'est seulement une passion et un vif intérêt et plaisir à participer à la scène rock Bordelaise</t>
  </si>
  <si>
    <t xml:space="preserve">Centre Ville                                                                                                </t>
  </si>
  <si>
    <t>Emeline STIEVENART</t>
  </si>
  <si>
    <t>https://assos.bordeaux.fr/association/detail/1069</t>
  </si>
  <si>
    <t>ASSOCIATION YOBALEMA</t>
  </si>
  <si>
    <t>Yobaléma est une association loi 1091 ayant comme but de favoriser et de développer des activités Artistiques et culturelles sous de multiples formes, en particulier la danse et plus précisément « les Danses d’Afrique Noire entre Tradition et Modernité »tout en étant ouverte aux autres disciplines et pratiques artistiques. Cet objectif se traduit également par la production et la diffusion de spectacles vivants</t>
  </si>
  <si>
    <t xml:space="preserve">16 rue Saint James                                                                                                </t>
  </si>
  <si>
    <t>06 24 55 25 68</t>
  </si>
  <si>
    <t>https://assos.bordeaux.fr/association/detail/909</t>
  </si>
  <si>
    <t>COORDINATION POUR PROMOUVOIR COMPÉTENCES ET VOLONTARIAT AQUITAINE - CPCV AQUITAINE</t>
  </si>
  <si>
    <t>La CPCV Aquitaine est un espace de mutualisation qui invite chacun à être responsable et acteur de son environnement social. Par ses actions, elle se positionne en faveur de l’égalité et la justice sociale.</t>
  </si>
  <si>
    <t xml:space="preserve">38 rue Jean Pagès                                                                                                </t>
  </si>
  <si>
    <t>09 77 62 49 05</t>
  </si>
  <si>
    <t>https://assos.bordeaux.fr/association/detail/558</t>
  </si>
  <si>
    <t>ASSOCIATION DE DÉFENSE DES DROITS DES ACCIDENTÉS ET DES HANDICAPÉS - ADDAH33</t>
  </si>
  <si>
    <t>https://assos.bordeaux.fr/association/detail/632</t>
  </si>
  <si>
    <t>JEUNES POUSSES ET POTAGERS</t>
  </si>
  <si>
    <t>Cette association a pour objet : de créer, d’aménager et de gérer des jardins partagés mis à sa disposition par une collectivité territoriale et/ou par d’autres propriétaires. Moyennant une participation annuelle, ces jardins seront confiés à des jardiniers amateurs membres de l’association, qui les cultivent exclusivement pour les besoins de leur foyer.</t>
  </si>
  <si>
    <t>06 89 56 63 14</t>
  </si>
  <si>
    <t>https://assos.bordeaux.fr/association/detail/813</t>
  </si>
  <si>
    <t>VISAGES DU SAXOPHONE</t>
  </si>
  <si>
    <t>Fondée en 1995, l’association Visages du Saxophone a pour objet de soutenir toutes les actions pour la promotion et la diffusion du saxophone : en favorisant la découverte &amp; l’apprentissage de l’instrument, en permettant la pratique instrumentale et la réunion des « amoureux » du saxophone. Par notre diversité, nos différences et notre tolérance, composons et dessinons les visages du saxophone.</t>
  </si>
  <si>
    <t xml:space="preserve">6 Les Landes                                  Chouraki Fabien                                                                                                             </t>
  </si>
  <si>
    <t>33620</t>
  </si>
  <si>
    <t>07 78 14 28 26</t>
  </si>
  <si>
    <t>Catherine Chouraki</t>
  </si>
  <si>
    <t>www.visages-saxophone.com</t>
  </si>
  <si>
    <t>https://assos.bordeaux.fr/association/detail/624</t>
  </si>
  <si>
    <t>UNION LAÏQUE DES CAMPEURS RANDONNEURS - ULCR</t>
  </si>
  <si>
    <t>L'ULCR est une association "Loi 1901" dont les activités sportives uniques sont la randonnée pédestre et la marche nordique. Elles sont pratiquées comme des activités physiques de loisir, sans objectif de performance sportive. Ces activités en pratique associative sont en accord avec la conception citoyenne du sport de notre fédération l'UFOLEP qui milite pour un sport-santé facteur de cohésion sociale.</t>
  </si>
  <si>
    <t xml:space="preserve">UFOLEP-ULCR, Chateau Betailhe,                                  72 Avenue de l'Eglise Romane                                                                                                             </t>
  </si>
  <si>
    <t>06 95 08 50 21</t>
  </si>
  <si>
    <t>ulcr.fr</t>
  </si>
  <si>
    <t>https://assos.bordeaux.fr/association/detail/1077</t>
  </si>
  <si>
    <t>JEUNES DE SAINT-AUGUSTIN - JSA*</t>
  </si>
  <si>
    <t>Les JSA, maison de quartier au cœur du village Saint Augustin depuis 1938, a pour but de favoriser l'épanouissement de ses adhérents à travers les sports, la culture et les loisirs. Quel que soit votre âge, vous y trouverez forcément l'activité qui vous convient !</t>
  </si>
  <si>
    <t xml:space="preserve">9-11 allée des Peupliers                                                                                                </t>
  </si>
  <si>
    <t>05 57 57 85 17</t>
  </si>
  <si>
    <t>Denis Lacampagne</t>
  </si>
  <si>
    <t>www.jsabordeaux.fr</t>
  </si>
  <si>
    <t>https://assos.bordeaux.fr/association/detail/869</t>
  </si>
  <si>
    <t>BORDEAUX PIPE BAND - BPD</t>
  </si>
  <si>
    <t>La cornemuse mythique et emblématique, souligne et magnifie les événements de la vie.
Composé de girondins, passionnés de musique écossaise, le Bordeaux Pipe-Band crée en 2012,vous propose  sur Bordeaux, la Gironde et ailleurs,la découverte des rythmes d’ECOSSE et d’IRLANDE, avec l’authenticité de la tenue traditionnelle écossaise et son célèbre kilt.
Bientôt  le tartan aux couleurs de la ville de Bordeaux</t>
  </si>
  <si>
    <t xml:space="preserve">35 allee de peygaillard                                                                                                </t>
  </si>
  <si>
    <t>06 61 58 23 72</t>
  </si>
  <si>
    <t>Christophe Le roy kerderrien</t>
  </si>
  <si>
    <t>https://assos.bordeaux.fr/association/detail/639</t>
  </si>
  <si>
    <t>LE PLANNING FAMILIAL 33</t>
  </si>
  <si>
    <t>Le Planning Familial est un mouvement féministe et d’éducation populaire. Il lutte pour construire une société d’égalité entre les femmes et les hommes et, compte tenu des inégalités existantes, pour les droits des femmes et contre toute forme de discrimination liée au genre.</t>
  </si>
  <si>
    <t xml:space="preserve">4 bis Avenue Thiers                                                                                                </t>
  </si>
  <si>
    <t>05 56 44 00 04</t>
  </si>
  <si>
    <t>www.gironde.planning-familial.org</t>
  </si>
  <si>
    <t>https://assos.bordeaux.fr/association/detail/1095</t>
  </si>
  <si>
    <t>COMMUNE LIBRE DU QUARTIER SAINT PIERRE</t>
  </si>
  <si>
    <t>promouvoir le dialogue entre les habitants du quartier Saint-Pierre en animant la vie sociale, intellectuelle et artistique.</t>
  </si>
  <si>
    <t xml:space="preserve">chez Louis COSSON 6, Rue Arnaud-Miqueu                                 Villa Saint Pierre                                                                                                             </t>
  </si>
  <si>
    <t>06 74 69 69 50</t>
  </si>
  <si>
    <t>Louis COSSON</t>
  </si>
  <si>
    <t>https://assos.bordeaux.fr/association/detail/1558</t>
  </si>
  <si>
    <t>PHONIK</t>
  </si>
  <si>
    <t>Développement de la culture associée à la musique éléctronique et promotion des arts visuels proposés sur support numérique.</t>
  </si>
  <si>
    <t xml:space="preserve">48 rue bouquiere                                                                                                </t>
  </si>
  <si>
    <t>06 64 41 59 17</t>
  </si>
  <si>
    <t>Pier Labatsuzan</t>
  </si>
  <si>
    <t>www.phonik.org</t>
  </si>
  <si>
    <t>https://assos.bordeaux.fr/association/detail/1242</t>
  </si>
  <si>
    <t>FOOT ÉMERGENCE ACADÉMIE</t>
  </si>
  <si>
    <t>Nous utilisons la pratique du football pour aider les jeunes de 16 à 25 ans en décrochage scolaire, professionnel et social à se réinsérer au sein de la société. Notre mission : aider les jeunes à trouver leurs potentiels, les révéler et développer leurs talents et leur esprit d'équipe afin qu'ils s'intègrent à la société en trouvant leur place. Aider chacun à devenir ce qu'il veut être, en respectant ce qu'il est.</t>
  </si>
  <si>
    <t xml:space="preserve">19 rue François Mauriac                                 Résidence Haut Vigneau bât A3 apt. 325                                                                                                             </t>
  </si>
  <si>
    <t>06 27 65 58 12</t>
  </si>
  <si>
    <t>https://assos.bordeaux.fr/association/detail/1380</t>
  </si>
  <si>
    <t>INSTITUT SOTO ZEN NANFUTSUJI - ISZ NANFUTSUJI</t>
  </si>
  <si>
    <t>Pratique et enseignement du Zen</t>
  </si>
  <si>
    <t xml:space="preserve">17 rue Baudin                                                                                                </t>
  </si>
  <si>
    <t>06 52 88 63 07</t>
  </si>
  <si>
    <t>nanfutsu.fr</t>
  </si>
  <si>
    <t>https://assos.bordeaux.fr/association/detail/1106</t>
  </si>
  <si>
    <t>AGAPA</t>
  </si>
  <si>
    <t>Agapa accompagne toutes les personnes touchées par une grossesse interrompue, quelle qu’en soit la raison : deuil périnatal, mort in utéro, IMG, fausse couche, IVG, réduction embryonnaire…. Lieu d’échanges apaisé, sans jugement et sans idéologie, pour ceux et celles qui souhaitent parler de qu’ils ont vécu.</t>
  </si>
  <si>
    <t xml:space="preserve">380 cours de la somme                                                                                                </t>
  </si>
  <si>
    <t>07 50 67 09 91</t>
  </si>
  <si>
    <t>association-agapa.fr</t>
  </si>
  <si>
    <t>https://assos.bordeaux.fr/association/detail/800</t>
  </si>
  <si>
    <t>ASSOCIATION DES CENTRES D'ANIMATION DE QUARTIERS DE BORDEAUX - CENTRE D'ANIMATION SAINT-MICHEL - ACAQB</t>
  </si>
  <si>
    <t>L’association des centres d’animation de quartiers de Bordeaux (ACAQB), se compose aujourd’hui de 11 centres d’animation à vocation sociale et culturelle répartis sur les deux rives de Bordeaux. Le centre d’animation Saint Michel propose un large panel d’activités et anime un pôle arts de la parole notamment grâce au partenariat avec le festival Chahuts.</t>
  </si>
  <si>
    <t xml:space="preserve">25 rue Permentade                                                                                                </t>
  </si>
  <si>
    <t>05 56 91 32 08</t>
  </si>
  <si>
    <t>https://assos.bordeaux.fr/association/detail/754</t>
  </si>
  <si>
    <t>SANGHAM</t>
  </si>
  <si>
    <t>Sangham propose de nouvelles perspectives d'exploitation chorégraphique par l'intermédiaire de la danse martiale ancestrale qu'est le Kalaripayat. Nous vous proposons des ateliers et des cours hebdomadaires, mais aussi le Kalari Yoga, le massage ayurvédique sur chaise et sur table. Toutes nos activités ont pour but de renforcer l'intégrité de la personne dans son environnement tout en favorisant le lien social.</t>
  </si>
  <si>
    <t xml:space="preserve">134 cours Saint-Louis                                 Résidence clos saint-louis bât 4 apt. 412                                                                                                             </t>
  </si>
  <si>
    <t>06 44 81 26 71</t>
  </si>
  <si>
    <t>kalaripayat-bordeaux.org/objectif</t>
  </si>
  <si>
    <t>https://assos.bordeaux.fr/association/detail/933</t>
  </si>
  <si>
    <t>BORDEAUX DANCESPORT GALAXY - BDSG</t>
  </si>
  <si>
    <t>Promouvoir, pratiquer, favoriser et développer, à titre principal, la danse sportive et de salon et, à titre secondaire, toutes autres formes de danses ainsi que toutes activités permettant la réalisation de cet objectif telles que, par exemple, des cours, stages, soirées, démonstrations, spectacles et autres manifestations.</t>
  </si>
  <si>
    <t xml:space="preserve">6 Rue Des Girondins                                                                                                </t>
  </si>
  <si>
    <t>06 68 08 21 00</t>
  </si>
  <si>
    <t>bordeauxdancesportgalaxy.fr</t>
  </si>
  <si>
    <t>https://assos.bordeaux.fr/association/detail/1526</t>
  </si>
  <si>
    <t>LAB'ELLE COMPAGNIE ISABELLE CHEVEAU</t>
  </si>
  <si>
    <t>- A travers nos actions, promouvoir l'art chorégraphique auprès du plus grand nombre 
- Favoriser les rencontres entre professionnels et amateurs
- Créer des échanges sociaux-culturels, artistiques et intergénérationnels</t>
  </si>
  <si>
    <t xml:space="preserve">224 rue du jardin public                                 appartement 10                                                                                                             </t>
  </si>
  <si>
    <t>06 82 58 07 13</t>
  </si>
  <si>
    <t>https://assos.bordeaux.fr/association/detail/828</t>
  </si>
  <si>
    <t>UNTENDANSES</t>
  </si>
  <si>
    <t>Promouvoir les arts et proposer des cours et activités liés aux domaines artistique, culturel et multimédia
Organiser des événements à but festif et convivial</t>
  </si>
  <si>
    <t xml:space="preserve">21 quai de bacalan                                                                                                </t>
  </si>
  <si>
    <t>05 56 39 85 04</t>
  </si>
  <si>
    <t>www.untendanses.com</t>
  </si>
  <si>
    <t>https://assos.bordeaux.fr/association/detail/697</t>
  </si>
  <si>
    <t>COMITE BORDEAUX BRISTOL - ABB</t>
  </si>
  <si>
    <t>https://assos.bordeaux.fr/association/detail/1716</t>
  </si>
  <si>
    <t>L'ENTRAIDE PHILOSOPHIQUE</t>
  </si>
  <si>
    <t>Réunir des personnes souhaitant dans une démarche évolutive et valorisante, par l'apprentissage et le développement de la pensée philosophique, par un travail interactif, appréhender la philosophie sous ses différents domaines. Mise œuvre de rencontres philosophiques, abordant les thèmes proposés par ses adhérents sans restriction du domaine traité,sous la forme de cours, d'ateliers ou autres formes d'échanges.</t>
  </si>
  <si>
    <t xml:space="preserve">37 rue Jules Mabit                                                                                                </t>
  </si>
  <si>
    <t>06 83 86 10 68</t>
  </si>
  <si>
    <t>Jean José Solano</t>
  </si>
  <si>
    <t>https://assos.bordeaux.fr/association/detail/1295</t>
  </si>
  <si>
    <t>PHILIA BORDEAUX</t>
  </si>
  <si>
    <t>Menées par François-Xavier Bellamy (normalien, agrégé de philosophie), les Soirées de la Philo sont destinées à tous ceux qui veulent prendre un peu de temps pour réfléchir et se former. Chaque soirée est consacrée à une question précise. A Bordeaux, elles s'organisent autour de la projection des soirées enregistrées à Paris, puis débouchent autour d'un verre sur une discussion prolongeant la question du soir.</t>
  </si>
  <si>
    <t xml:space="preserve">23 rue du Hâ                                                                                                 </t>
  </si>
  <si>
    <t>06 68 56 40 37</t>
  </si>
  <si>
    <t>François-Xavier Bellamy</t>
  </si>
  <si>
    <t>www.philia-asso.fr/bordeaux</t>
  </si>
  <si>
    <t>https://assos.bordeaux.fr/association/detail/638</t>
  </si>
  <si>
    <t>LE CHOEUR MÉLUSINE</t>
  </si>
  <si>
    <t>Enseignement et expression du chant choral à 3 ou 4 voix, adaptés à tous les niveaux et tous les ages  afin de créer du lien social. Répertoire principalement issu de la variété française.</t>
  </si>
  <si>
    <t xml:space="preserve">27 rue Charlevoix de Villers                                                                                                </t>
  </si>
  <si>
    <t>06 11 69 11 52</t>
  </si>
  <si>
    <t>choeurmelusine.wordpress.com</t>
  </si>
  <si>
    <t>https://assos.bordeaux.fr/association/detail/1352</t>
  </si>
  <si>
    <t>REPAIR CAFÉ BORDEAUX</t>
  </si>
  <si>
    <t>Organisation d'ateliers d'aide à la réparation des objets du quotidien par des réparateurs bénévoles. Petit électro-ménager, ordinateurs, appareils électriques, téléphones, vêtements... (pas de gros électro ménager ni de four micro ondes)
Les Repair Cafés ont lieu en partenariat avec un lieu d'accueil différent chaque mois.</t>
  </si>
  <si>
    <t xml:space="preserve">32 rue Marcelin Berthelot                                                                                                </t>
  </si>
  <si>
    <t>repair-cafe-bordeaux.org</t>
  </si>
  <si>
    <t>https://assos.bordeaux.fr/association/detail/1606</t>
  </si>
  <si>
    <t>ANIM'GINKO</t>
  </si>
  <si>
    <t>Mener à bien des projets communs valorisant la qualité de vie du quartier et l’activité de l’ensemble des adhérents.
Créer du lien. Participer à l’aménagement local. 
Fédérer les commerçants des berges du lac : développer et promouvoir l’activité commerciale du quartier.</t>
  </si>
  <si>
    <t xml:space="preserve">17/19 place Jean Cayrol                                 Boulangerie "Secrets de pains"                                                                                                             </t>
  </si>
  <si>
    <t>06 78 89 45 50</t>
  </si>
  <si>
    <t>https://assos.bordeaux.fr/association/detail/1136</t>
  </si>
  <si>
    <t>COMMUNAUTÉ CAMEROUNAISE DE BORDEAUX  - CCB</t>
  </si>
  <si>
    <t>https://assos.bordeaux.fr/association/detail/579</t>
  </si>
  <si>
    <t>ART SAINT AUG - A.S.A.</t>
  </si>
  <si>
    <t>Permettre à tous la pratique d'activités artistiques, proposer un cadre convivial de proximité pour des animations culturelles relatives aux arts plastiques, établir un réseau entre les artistes</t>
  </si>
  <si>
    <t xml:space="preserve">68 RUE EMILE COMBES                                                                                                </t>
  </si>
  <si>
    <t>05 40 05 33 15</t>
  </si>
  <si>
    <t>www.ateliermary.fr</t>
  </si>
  <si>
    <t>https://assos.bordeaux.fr/association/detail/1232</t>
  </si>
  <si>
    <t>LES TITANS</t>
  </si>
  <si>
    <t>Les Titans sont une association loi 1901 basée à Bordeaux ayant pour but l'enseignement et la pratique de l'improvisation théâtrale sous toutes ses formes, et privilégiant les rencontres avec les autres ligues. Les ateliers sont tous les jeudis soirs de 20h30 à 23h aux Chartrons, au 40 rue Joséphine.</t>
  </si>
  <si>
    <t xml:space="preserve">40 rue Joséphine                                                                                                </t>
  </si>
  <si>
    <t>06 03 69 26 33</t>
  </si>
  <si>
    <t>Roland Recouly</t>
  </si>
  <si>
    <t>improtitans.e-monsite.com</t>
  </si>
  <si>
    <t>https://assos.bordeaux.fr/association/detail/1415</t>
  </si>
  <si>
    <t>DU VENT DANS LES ARBRES</t>
  </si>
  <si>
    <t>L'association Du Vent dans les arbres propose des cours et ateliers de Qi Gong et arts énergétiques internes chinois pour adultes et enfants.</t>
  </si>
  <si>
    <t xml:space="preserve">8, rue Borie                                                                                                </t>
  </si>
  <si>
    <t>06 84 08 48 91</t>
  </si>
  <si>
    <t>www.duventdanslesarbres.org</t>
  </si>
  <si>
    <t>https://assos.bordeaux.fr/association/detail/1804</t>
  </si>
  <si>
    <t>https://assos.bordeaux.fr/association/detail/590</t>
  </si>
  <si>
    <t>ASSOCIATION POURQUOIPAS 33 - APQP</t>
  </si>
  <si>
    <t>Pourquoipas 33 est une association culturelle qui à travers les projets et événements qu’elle organise, s’appuie sur les valeurs de fraternité, de citoyenneté, d’égalité et de laïcité. Elle est partie prenante de la Fédération Française pour l’UNESCO et mène des actions pour partager ses idéaux.</t>
  </si>
  <si>
    <t xml:space="preserve">153 rue Georges Mandel                                                                                                </t>
  </si>
  <si>
    <t>06 62 23 26 70</t>
  </si>
  <si>
    <t>Jean-Pierre Lefèvre</t>
  </si>
  <si>
    <t>https://assos.bordeaux.fr/association/detail/566</t>
  </si>
  <si>
    <t>Booster la qualité de vie par la solidarité 
Booster l'emploi et la création d'entreprise face aux difficultés pour trouver un emploi en 15 jours à Bordeaux et une qualité de vie dans la très belle ville de Bordeaux.</t>
  </si>
  <si>
    <t xml:space="preserve">23 cours de quebec                                  A 319    Bat CA                                                                                                              </t>
  </si>
  <si>
    <t>06 60 16 81 37</t>
  </si>
  <si>
    <t>https://assos.bordeaux.fr/association/detail/1725</t>
  </si>
  <si>
    <t>ADRA FRANCE - ANTENNE DE BORDEAUX - ADRA</t>
  </si>
  <si>
    <t>Nous sommes une antenne locale de l'association ADRA France.
Nous accompagnons des personnes isolées ou en situation de précarité à travers des actions personnalisées.
Nous mettons en place des actions et projets en faveur des réfugiés (cours de français, démarches administratives, intégrations sociales et culturelles).
Notre slogan : "Changer le monde, une vie à la fois"</t>
  </si>
  <si>
    <t xml:space="preserve">Rue du Dr Roux                                                                                                </t>
  </si>
  <si>
    <t>06 49 09 71 65</t>
  </si>
  <si>
    <t>adra.fr</t>
  </si>
  <si>
    <t>https://assos.bordeaux.fr/association/detail/1263</t>
  </si>
  <si>
    <t>INSTITUT DES AFRIQUES - IDAF</t>
  </si>
  <si>
    <t>L'Institut des Afriques vise à porter un regard nouveau sur les mondes africains à travers les créations contemporaines et les savoirs. Son action phare est l'organisation chaque année de la manifestation "Semaine des Afriques" sur la métropole bordelaise, qui est un espace de créations, diversité culturelle, rencontres artistiques, ouvert sur le monde d'aujourd'hui et la pluralité des mondes africains.</t>
  </si>
  <si>
    <t xml:space="preserve">11 allée Ausone                                 Domaine Universitaire                                                                                                             </t>
  </si>
  <si>
    <t>05 56 84 41 05</t>
  </si>
  <si>
    <t>René  Otayek</t>
  </si>
  <si>
    <t>institutdesafriques.org</t>
  </si>
  <si>
    <t>https://assos.bordeaux.fr/association/detail/1121</t>
  </si>
  <si>
    <t>CENTRE D'ANIMATION BORDEAUX LAC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</si>
  <si>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Lac propose un large panel d’activités et anime un pôle d’excellence environnement notamment grâce à la ferme pédagogique.</t>
  </si>
  <si>
    <t xml:space="preserve">79 cours des Aubiers                                                                                                 </t>
  </si>
  <si>
    <t>05 56 50 61 36</t>
  </si>
  <si>
    <t>https://assos.bordeaux.fr/association/detail/1007</t>
  </si>
  <si>
    <t>LE PAIN DE L'AMITIÉ</t>
  </si>
  <si>
    <t>Apporter une aide matérielle et morale aux personnes en difficulté et créer toute activité qui favorise leur insertion économique et sociale.</t>
  </si>
  <si>
    <t xml:space="preserve">43 rue Saint Nicolas                                                                                                </t>
  </si>
  <si>
    <t>05 57 95 66 21</t>
  </si>
  <si>
    <t>https://assos.bordeaux.fr/association/detail/1772</t>
  </si>
  <si>
    <t>YOGA SPIRIT BORDEAUX - YSB</t>
  </si>
  <si>
    <t>https://assos.bordeaux.fr/association/detail/835</t>
  </si>
  <si>
    <t>OPTIMISATION MÉMOIRE - OP</t>
  </si>
  <si>
    <t>Elle a pour but de: 
Créer et Conserver un lien social pour vaincre l'isolement des personnes:
-	Retraitées et isolées ; améliorer et maintenir l'autonomie dans la vie quotidienne ; retarder le placement grâce à un maintien à domicile.
-	Jeunes en rupture scolaire et/ou rupture sociale et/ou à la recherche d’un emploi, favoriser l’insertion professionnelle et la réussite scolaire
-	Adultes, en activité ou demandeur</t>
  </si>
  <si>
    <t xml:space="preserve">52 rue Eugène Le Roy                                                                                                </t>
  </si>
  <si>
    <t>06 61 72 61 46</t>
  </si>
  <si>
    <t>Isabelle Veinhard</t>
  </si>
  <si>
    <t>www.optimemoire.fr</t>
  </si>
  <si>
    <t>https://assos.bordeaux.fr/association/detail/1170</t>
  </si>
  <si>
    <t>VOICES AND MUSIC PRODUCTION - BXGOSPELACADEMY</t>
  </si>
  <si>
    <t>Soutenir, contribuer, développer et participer à une démarche artistique générale, auprès de tout public, orientée notamment vers la musique et le chant ; produire, diffuser et promouvoir le spectacle vivant et organiser des prestations événementielles, dans le cadre de manifestations culturelles et pédagogiques, en lien avec son objet.
Il s’agit d’une démarche globale.</t>
  </si>
  <si>
    <t>https://assos.bordeaux.fr/association/detail/1731</t>
  </si>
  <si>
    <t>GROUPE D'ENTRAIDE MUTUELLE LES NEUROFESTIFS 33 - GEM</t>
  </si>
  <si>
    <t>Association a pour but d'assurer le fonctionnement d'un Groupe d'Entraide Mutuelle (GEM), situé sur Bordeaux. Tel que prévu par la loi du 11 février 2005, son objectif est de promouvoir tout type d'actions en faveur des besoins des adultes handicapés suite à une lésion cérébrale acquise.</t>
  </si>
  <si>
    <t xml:space="preserve">29 rue des sablières                                                                                                </t>
  </si>
  <si>
    <t>05 56 94 11 32</t>
  </si>
  <si>
    <t>https://assos.bordeaux.fr/association/detail/1168</t>
  </si>
  <si>
    <t>Rencontrer et prendre en charge toute personne présentant une problématique d'addiction et toute personne en situation de prostitution, dans leurs dimensions médicales, sociales et psychologiques; réduire les risques et les dommages associés à l'usage de drogues et à la pratique prostitutionnelle; et favoriser l'accès aux droits fondamentaux.</t>
  </si>
  <si>
    <t xml:space="preserve">36-38 rue Saint-James                                                                                                </t>
  </si>
  <si>
    <t>05 56 92 51 89</t>
  </si>
  <si>
    <t>www.lacase.eu</t>
  </si>
  <si>
    <t>https://assos.bordeaux.fr/association/detail/757</t>
  </si>
  <si>
    <t>FISH &amp; SHOES</t>
  </si>
  <si>
    <t>Créer, promouvoir et développer des activités artistiques sur le territoire</t>
  </si>
  <si>
    <t xml:space="preserve">65 rue Elie Gintrac                                                                                                 </t>
  </si>
  <si>
    <t>06 73 14 39 72</t>
  </si>
  <si>
    <t>https://assos.bordeaux.fr/association/detail/1497</t>
  </si>
  <si>
    <t>W845968857 - W845968857</t>
  </si>
  <si>
    <t>dazdazdzad</t>
  </si>
  <si>
    <t xml:space="preserve">10 RUE JEAN CARMET                                                                                                </t>
  </si>
  <si>
    <t>https://assos.bordeaux.fr/association/detail/991</t>
  </si>
  <si>
    <t>ASSOCIATION AFRICAN SOLIDARITE FRANCE - AASF</t>
  </si>
  <si>
    <t>https://assos.bordeaux.fr/association/detail/1397</t>
  </si>
  <si>
    <t>LES CLOWNS STÉTHOSCOPES</t>
  </si>
  <si>
    <t>Les Clowns Stéthoscopes est une association loi 1901 à but non lucratif, reconnue d’intérêt général. Elle est membre de la FFACH (Fédération Française des Associations de Clowns Hospitaliers). Elle intervient à l'hôpital des enfants et dans des Ehpad de la Région Nouvelle Aquitaine</t>
  </si>
  <si>
    <t xml:space="preserve">Ehpad Bon Secours -  rue Sainte Marie                                                                                                </t>
  </si>
  <si>
    <t>06 10 15 20 04</t>
  </si>
  <si>
    <t>www.lesclownsstethoscopes.fr</t>
  </si>
  <si>
    <t>https://assos.bordeaux.fr/association/detail/832</t>
  </si>
  <si>
    <t>FRANCE BÉNÉVOLAT BORDEAUX GIRONDE - FBBG</t>
  </si>
  <si>
    <t>Promotion du bénévolat.
Intermédiation active entre bénévoles et associations.
Aide aux associations pour une meilleure gestion des ressources humaines bénévoles.</t>
  </si>
  <si>
    <t xml:space="preserve">120 rue Héron                                                                                                </t>
  </si>
  <si>
    <t>05 56 92 37 69</t>
  </si>
  <si>
    <t>www.bordeaux.francebenevolat.org</t>
  </si>
  <si>
    <t>https://assos.bordeaux.fr/association/detail/1270</t>
  </si>
  <si>
    <t>FÉDÉRATION DES MAISONS DES LYCÉEN.NE.S - NOUVELLE-AQUITAINE - FMDL-NA</t>
  </si>
  <si>
    <t>La Fédération des MDL – Nouvelle-Aquitaine, se veut une réponse aux différentes problématiques rencontrées par les MDL au sein des établissements. Elle fédère les MDL sur tout le territoire, les accompagne, les aide à se développer, soutien et propose des projets à divers échelles.</t>
  </si>
  <si>
    <t xml:space="preserve">10 rue des Treuils                                 lycée François Magendie                                                                                                             </t>
  </si>
  <si>
    <t>06 99 70 14 36</t>
  </si>
  <si>
    <t>https://assos.bordeaux.fr/association/detail/1078</t>
  </si>
  <si>
    <t>LES ORCHIDÉES ROUGES</t>
  </si>
  <si>
    <t>Œuvrer pour les droits des femmes ; sensibiliser les populations sur les méfaits de l'excision ; favoriser l'accès à la chirurgie réparatrice du clitoris et apporter un suivi psychologique ; aider les femmes victimes de violences à se reconstruire psychologiquement et physiquement ; alerter les familles Françaises sur les risque encourus par leurs fillettes lors des vacances scolaires dans les pays d'origine.</t>
  </si>
  <si>
    <t xml:space="preserve">1 square Gustave Courbet                                 Bat. A                                                                                                             </t>
  </si>
  <si>
    <t>06 52 95 83 03</t>
  </si>
  <si>
    <t>Kakpotia Marie-Claire Moraldo</t>
  </si>
  <si>
    <t>https://assos.bordeaux.fr/association/detail/1351</t>
  </si>
  <si>
    <t>LETTRES ET IMAGES</t>
  </si>
  <si>
    <t>Cours et stages de calligraphie, d'enluminure, d'encadrement.
Stages d'arts plastiques. Expositions annuelles.</t>
  </si>
  <si>
    <t xml:space="preserve">5 rue de Mandavit                                                                                                </t>
  </si>
  <si>
    <t>06 17 93 58 08</t>
  </si>
  <si>
    <t>lettresetimages.net</t>
  </si>
  <si>
    <t>https://assos.bordeaux.fr/association/detail/1823</t>
  </si>
  <si>
    <t>URBAN RUNNERS</t>
  </si>
  <si>
    <t>Urban Runners a trois objectifs principaux :
promouvoir notamment la course à pied comme facteur de santé,
mettre en relation les personnes et créer du lien social,
développer au niveau national l’organisation de sorties pédestres loisirs.</t>
  </si>
  <si>
    <t xml:space="preserve">57 rue Paul courteault                                                                                                </t>
  </si>
  <si>
    <t>06 61 66 18 10</t>
  </si>
  <si>
    <t>https://assos.bordeaux.fr/association/detail/1033</t>
  </si>
  <si>
    <t>FANFARE BEAT CHEESE - LE BEAT CHEESE</t>
  </si>
  <si>
    <t>L’association a pour buts la promotion et le développement de la culture des fanfares, notamment par l’organisation de manifestations musicales.</t>
  </si>
  <si>
    <t xml:space="preserve">17, rue Maxime Lalanne                                                                                                </t>
  </si>
  <si>
    <t>06 01 88 20 21</t>
  </si>
  <si>
    <t>fanfarelebeatcheese.fr</t>
  </si>
  <si>
    <t>https://assos.bordeaux.fr/association/detail/917</t>
  </si>
  <si>
    <t>Le Nom Lieu a pour objet l'accueil et l'accompagnement d'enfants et de jeunes adultes en souffrance psychique et/ou en situation d'exclusion sociale, afin de faciliter, à eux et à leur famille, une insertion dans la vie sociale et professionnelle. La structure propose des temps d'accueil et des ateliers ainsi que des actions de sensibilisation afin de lutter contre les inégalités et les discriminations.</t>
  </si>
  <si>
    <t xml:space="preserve">38 rue Tillet                                                                                                </t>
  </si>
  <si>
    <t>06 25 04 92 96</t>
  </si>
  <si>
    <t>lenomlieu.wordpress.com/accueil</t>
  </si>
  <si>
    <t>https://assos.bordeaux.fr/association/detail/1372</t>
  </si>
  <si>
    <t>SAVEURS QUOTIDIENNES</t>
  </si>
  <si>
    <t>Sensibiliser un large public à l'alimentation locale via une exposition photo et des temps de médiations tel que: ateliers cuisine, marché de producteurs, ateliers de sensibilisation enfant/adulte et groupement d'achat, afin de permettre à tous l'accès à une alimentation locale, durable et de qualité et soutenir l'activité des producteurs.</t>
  </si>
  <si>
    <t xml:space="preserve">1 place Saint-Christoly                                                                                                </t>
  </si>
  <si>
    <t>06 33 64 62 37</t>
  </si>
  <si>
    <t>https://assos.bordeaux.fr/association/detail/942</t>
  </si>
  <si>
    <t>CHEMINS DE VIES - CHEMINS DE VIES</t>
  </si>
  <si>
    <t>Le but de notre association est de rassembler des praticiens qui se consacrent au mieux être de l'individu par diverses méthodes hors pratiques conventionnelles.
Chaque membre est déclaré et reconnu comme professionnel.
L'objectif final est de faire profiter à tout un chacun de ce réseau.</t>
  </si>
  <si>
    <t xml:space="preserve">114 Avenue Thiers                                                                                                </t>
  </si>
  <si>
    <t>06 75 90 91 85</t>
  </si>
  <si>
    <t>cheminsdevies.fr</t>
  </si>
  <si>
    <t>https://assos.bordeaux.fr/association/detail/1254</t>
  </si>
  <si>
    <t>LA COMPAGNIE GARANOTES</t>
  </si>
  <si>
    <t>Conception et diffusion de spectacles musicaux</t>
  </si>
  <si>
    <t xml:space="preserve">15 rue Felix Faure                                 Maison 44, chez Christine Chanton                                                                                                             </t>
  </si>
  <si>
    <t>06 62 46 51 76</t>
  </si>
  <si>
    <t>www.garonotes.com</t>
  </si>
  <si>
    <t>https://assos.bordeaux.fr/association/detail/1051</t>
  </si>
  <si>
    <t>BOXE MIXE CLUB - BMC</t>
  </si>
  <si>
    <t>Le respect des valeurs du vivre et du faire ensemble  : une donnée fondamentale. L’entraide et la solidarité issues de la philosophie des arts martiaux sont au sein de BMC ; des valeurs auxquelles nous sommes particulièrement attachées et que l’on peut retrouver à travers le code moral et universel pratiqué par la Boxe Mixte Martiale.</t>
  </si>
  <si>
    <t xml:space="preserve">9 rue Clément Ader                                                                                                </t>
  </si>
  <si>
    <t>33560</t>
  </si>
  <si>
    <t>06 09 60 27 31</t>
  </si>
  <si>
    <t>https://assos.bordeaux.fr/association/detail/1586</t>
  </si>
  <si>
    <t>LA RECRE CITOYENNE</t>
  </si>
  <si>
    <t>Promouvoir la Non-Violence et le « mieux vivre ensemble » auprès des jeunes dès le primaire et leur permettre de devenir des citoyens responsables et capables de faire face sereinement à des situations de conflits.</t>
  </si>
  <si>
    <t xml:space="preserve">171 rue Naujac                                                                                                </t>
  </si>
  <si>
    <t>06 03 01 02 46</t>
  </si>
  <si>
    <t>https://assos.bordeaux.fr/association/detail/651</t>
  </si>
  <si>
    <t>L'OUTIL EN MAIN DE LA GIRONDE - OEMG</t>
  </si>
  <si>
    <t>L'objet de l'association est l'initiation des jeunes de 9 à 14 ans aux métiers du patrimoine et aux métiers manuels par des gens de métier, dans un cadre d'atelier ou tout autre lieu connexe.</t>
  </si>
  <si>
    <t xml:space="preserve">20 rue des Fauvettes                                                                                                </t>
  </si>
  <si>
    <t>06 80 06 38 59</t>
  </si>
  <si>
    <t>https://assos.bordeaux.fr/association/detail/1303</t>
  </si>
  <si>
    <t>ESCAPADE EN POLYNÉSIE</t>
  </si>
  <si>
    <t>L'association propose son école de danse tahitienne "Tereva Ori Tahiti" pour toutes les personnes désirant faire du sport différemment (renforcement musculaire, stretching, techniques de la danse), ou pour les passionnées de la danse exotique. Un cours assuré par un professeur de danse tahitienne originaire de Tahiti, et toute la culture polynésienne dans sa globalité (danse, spectacle, confection de costumes).</t>
  </si>
  <si>
    <t xml:space="preserve">1 chemin de Laroque                                                                                                </t>
  </si>
  <si>
    <t>33410</t>
  </si>
  <si>
    <t>06 74 34 06 42</t>
  </si>
  <si>
    <t>https://assos.bordeaux.fr/association/detail/845</t>
  </si>
  <si>
    <t>CLUB DE LA PRESSE DE BORDEAUX - CDLPDB</t>
  </si>
  <si>
    <t>Le Club de la presse de Bordeaux souhaite faciliter la circulation de l’information, le travail et la vie professionnelle des journalistes, servir d’interface entre ceux qui ont besoin de communiquer (citoyens, associations, entreprises, institutions…) et les médias, jouer un rôle de soutien pour les pigistes, ainsi que pour les étudiants en journalisme ou en communication.</t>
  </si>
  <si>
    <t xml:space="preserve">9 rue des Capérans                                                                 BP 46                                </t>
  </si>
  <si>
    <t>33025</t>
  </si>
  <si>
    <t>05 56 44 03 65</t>
  </si>
  <si>
    <t>www.club-presse-bordeaux.fr</t>
  </si>
  <si>
    <t>https://assos.bordeaux.fr/association/detail/727</t>
  </si>
  <si>
    <t>Production et diffusion de spectacles vivants. Développement d'activités artistiques musicales</t>
  </si>
  <si>
    <t xml:space="preserve">16 rue Chabrely                                                                                                </t>
  </si>
  <si>
    <t>05 56 86 40 18</t>
  </si>
  <si>
    <t>www.imaginamusic.fr</t>
  </si>
  <si>
    <t>https://assos.bordeaux.fr/association/detail/1154</t>
  </si>
  <si>
    <t>Le Clap œuvre à la construction d'une société interculturelle, pour la promotion des personnes, groupes, associations et l'accès à la citoyenneté de tous.</t>
  </si>
  <si>
    <t xml:space="preserve">176-182 rue Guillaume Leblanc                                                                                                </t>
  </si>
  <si>
    <t>05 57 01 56 90</t>
  </si>
  <si>
    <t>https://assos.bordeaux.fr/association/detail/551</t>
  </si>
  <si>
    <t>R2 JEUX</t>
  </si>
  <si>
    <t>L’association donne une seconde vie aux jouets et permet à chacun d’acquérir des jouets de qualité à tout petit prix. 
La boutique est un lieu de vie et de partage pour les petits et grands joueurs. 
A travers une activité ludique et solidaire l’association favorise le retour à l’activité des personnes éloignées de l’emploi. R’2 Jeux est la seule association en Nouvelle Aquitaine dans cette démarche de revalorisation</t>
  </si>
  <si>
    <t xml:space="preserve">41 rue st joseph                                                                                                </t>
  </si>
  <si>
    <t>06 60 09 36 27</t>
  </si>
  <si>
    <t>www.r2jeux.org</t>
  </si>
  <si>
    <t>https://assos.bordeaux.fr/association/detail/1655</t>
  </si>
  <si>
    <t>HANDIPARENTALITÉ</t>
  </si>
  <si>
    <t>https://assos.bordeaux.fr/association/detail/944</t>
  </si>
  <si>
    <t>BÉNÉVOLES EN ACTION</t>
  </si>
  <si>
    <t>Association de bénévoles dont l'activité principale est d'intervenir sur des événements bordelais.Tels que: le marathon de Bordeaux, les Olympiades des métiers, Bordeaux fête le vin, le fleuve ou les Journées du patrimoine.... Chaque membre peut s'inscrire aux événements, au gré de ses envies et de ses disponibilités. Tout est proposé...rien est imposé !!!</t>
  </si>
  <si>
    <t xml:space="preserve">31 rue Lachassaigne                                                                                                </t>
  </si>
  <si>
    <t>06 61 09 20 42</t>
  </si>
  <si>
    <t>https://assos.bordeaux.fr/association/detail/689</t>
  </si>
  <si>
    <t>MAGIK'HÔPITAL</t>
  </si>
  <si>
    <t>Magik’Hôpital, créée en 2014, à Bordeaux, avec le soutien du Lions Club de Bordeaux-Mérignac, a pour objectif de faire oublier, durant quelques instants, l’angoisse et la souffrance aux enfants hospitalisés grâce à des tours de magie conçus par des magiciens bénévoles.</t>
  </si>
  <si>
    <t xml:space="preserve">319 cours du Maréchal Gallieni                                                                                                </t>
  </si>
  <si>
    <t>06 12 98 96 41</t>
  </si>
  <si>
    <t>Serge Arriailh</t>
  </si>
  <si>
    <t>www.magikhopital.fr</t>
  </si>
  <si>
    <t>https://assos.bordeaux.fr/association/detail/1642</t>
  </si>
  <si>
    <t>ÉCOMÉGOT</t>
  </si>
  <si>
    <t>EcoMégot est une association de préfiguration qui oeuvre pour la sensibilisation, la collecte et le recyclage des mégots de cigarette. 
Sensibiliser sur ce petit déchet, qui est pourtant très polluant pour l'environnement urbain et naturel, permet l'adoption des bons gestes. La collecte et le recyclage offrent aux collectivités, aux privés et aux festivals une solution de récupération et de traitement des mégots.</t>
  </si>
  <si>
    <t xml:space="preserve">91 Rue Nuyens                                                                                                </t>
  </si>
  <si>
    <t>09 80 08 51 08</t>
  </si>
  <si>
    <t>ecomegot.com</t>
  </si>
  <si>
    <t>https://assos.bordeaux.fr/association/detail/904</t>
  </si>
  <si>
    <t>BORDEAUX FOOTBALL AMÉRICAIN - LES LIONS DE BORDEAUX</t>
  </si>
  <si>
    <t>Pratique du football américain, du flag et de toutes disciplines associées. Développer et promouvoir la pratique du football américain, de flag et de toutes disciplines associées sur Bordeaux. Encourager, aider, soutenir la création et le développement de toute oeuvre ou action ayant pour objet de réaliser les buts de l’association.</t>
  </si>
  <si>
    <t xml:space="preserve">37 cours de Quebec                                  Apt. 707 Bât. G chez Chaumont Cédric                                                                                                             </t>
  </si>
  <si>
    <t>06 33 24 78 84</t>
  </si>
  <si>
    <t>www.leslionsdebordeaux.com</t>
  </si>
  <si>
    <t>https://assos.bordeaux.fr/association/detail/1729</t>
  </si>
  <si>
    <t>TMB - TANGO MILONGUERO BORDEAUX - TMB</t>
  </si>
  <si>
    <t>Promotion du tango argentin, et notamment du tango de bal, et du lien social.</t>
  </si>
  <si>
    <t xml:space="preserve">bordeaux                                                                                                </t>
  </si>
  <si>
    <t>06 48 21 36 92</t>
  </si>
  <si>
    <t>https://assos.bordeaux.fr/association/detail/599</t>
  </si>
  <si>
    <t>MÉCANIQUE SANS FRONTIÈRES - MÉCASF</t>
  </si>
  <si>
    <t>Association d'aide au développement</t>
  </si>
  <si>
    <t xml:space="preserve">127 rue Charles Tournemire                                                                                                </t>
  </si>
  <si>
    <t>05 56 39 67 30</t>
  </si>
  <si>
    <t>www.mecasf.wordpress.com</t>
  </si>
  <si>
    <t>https://assos.bordeaux.fr/association/detail/719</t>
  </si>
  <si>
    <t>SEMER LE DOUTE  - FIFIB</t>
  </si>
  <si>
    <t>L’association Semer le doute agit dans le domaine cinématographique et a pour objectif l’organisation d’événements autour du cinéma indépendant. Ses modalités d’action sont la diffusion et la promotion du cinéma ainsi que l’éducation à l’image.
Les moyens d’action de l’association sont: l’organisation du Festival International du Film Indépendant de Bordeaux (FIFIB) mais aussi, d’événements ponctuels autour du cinéma</t>
  </si>
  <si>
    <t xml:space="preserve">62 rue Fieffé                                                                                                 </t>
  </si>
  <si>
    <t>06 63 44 43 42</t>
  </si>
  <si>
    <t>www.fifib.com</t>
  </si>
  <si>
    <t>https://assos.bordeaux.fr/association/detail/1252</t>
  </si>
  <si>
    <t>LE DIRE AUTREMENT ASSOCIATION</t>
  </si>
  <si>
    <t>Promouvoir et pratiquer les activités artistiques pluridisciplinaires et les interventions spécialisées en art-thérapie
- Production et diffusion du spectacle vivant</t>
  </si>
  <si>
    <t xml:space="preserve">7 Quai de Brienne                                                                                                </t>
  </si>
  <si>
    <t>07 69 41 53 04</t>
  </si>
  <si>
    <t>ledireautrement.fr</t>
  </si>
  <si>
    <t>https://assos.bordeaux.fr/association/detail/785</t>
  </si>
  <si>
    <t>VOISINAGES</t>
  </si>
  <si>
    <t>Faciliter les rencontres et les échanges entre habitants, permettre à ses adhérents et aux associatons amies adhérentes de developper des
animatons de rue ou de quartiers, faciliter leurs actions ou la réalisaton de leurs projets.
Favoriser le développement du pouvoir d'agir de ses membres.</t>
  </si>
  <si>
    <t xml:space="preserve">39 rue Lachassaigne                                                                                                </t>
  </si>
  <si>
    <t>06 50 19 27 04</t>
  </si>
  <si>
    <t>David THELIER</t>
  </si>
  <si>
    <t>https://assos.bordeaux.fr/association/detail/592</t>
  </si>
  <si>
    <t>CPCT AQUITAINE</t>
  </si>
  <si>
    <t>GESTION DES CENTRES PSYCHANALYTIQUES DE CONSULTATIONS ET DE TRAITEMENT</t>
  </si>
  <si>
    <t xml:space="preserve">3 rue Aristide Briand                                                                                                 </t>
  </si>
  <si>
    <t>06 62 72 00 33</t>
  </si>
  <si>
    <t>Catherine  Lacaze-Paule</t>
  </si>
  <si>
    <t>https://assos.bordeaux.fr/association/detail/758</t>
  </si>
  <si>
    <t>ASSOCIATION DES CENTRES D'ANIMATION DE QUARTIERS DE BORDEAUX - CENTRE D'ANIMATION BASTIDE BENAUGE - ACAQB</t>
  </si>
  <si>
    <t>L’association des centres d’animation de quartiers de Bordeaux (ACAQB), se compose aujourd’hui de 11 centres d’animation à vocation sociale et culturelle répartis sur les deux rives de Bordeaux. Le centre d’animation Bastide Benauge propose un large panel d’activités et anime le pôle d’excellence artistique et culturel danses</t>
  </si>
  <si>
    <t xml:space="preserve">23 rue Raymond Poincaré                                                                                                </t>
  </si>
  <si>
    <t>05 56 86 16 21</t>
  </si>
  <si>
    <t>https://assos.bordeaux.fr/association/detail/1308</t>
  </si>
  <si>
    <t>CULTURES DU CŒUR GIRONDE - CDC33</t>
  </si>
  <si>
    <t>L’association a pour but de lutter contre l’exclusion et d’agir en faveur de l’insertion sociale des personnes les plus démunies, en facilitant leur accès à la culture, aux sports et aux loisirs. 
Pour cela, elle contracte des partenariats avec :
-	d’une part des opérateurs culturels, sportifs et de loisirs, 
-	d’autre part des structures sociales, socio-éducatifs et socio-médicales.
Son action concerne la Gironde.</t>
  </si>
  <si>
    <t xml:space="preserve">26 rue du Loret                                                                                                </t>
  </si>
  <si>
    <t>05 56 86 60 06</t>
  </si>
  <si>
    <t>www.culturesducoeur.org</t>
  </si>
  <si>
    <t>https://assos.bordeaux.fr/association/detail/1178</t>
  </si>
  <si>
    <t>HOCKEY GARONNE SPORT - HGS</t>
  </si>
  <si>
    <t>Développer, promouvoir, animer la pratique du Hockey sur Gazon</t>
  </si>
  <si>
    <t xml:space="preserve">51 rue de la benauge                                                                                                </t>
  </si>
  <si>
    <t>06 63 94 32 16</t>
  </si>
  <si>
    <t>https://assos.bordeaux.fr/association/detail/1373</t>
  </si>
  <si>
    <t>STUDIO THÉÂTRE 71</t>
  </si>
  <si>
    <t>Cette association a pour but de proposer un lieu ressource pour les acteurs du spectacle vivant, de promouvoir l'art de l'acteur à travers les arts du spectacle vivant et d'organiser des actions de formation autour du spectacle vivant</t>
  </si>
  <si>
    <t>06 20 74 44 27</t>
  </si>
  <si>
    <t>www.studio-theatre71.fr</t>
  </si>
  <si>
    <t>https://assos.bordeaux.fr/association/detail/1420</t>
  </si>
  <si>
    <t>COMPAGNIE FOENIX - FOENIX</t>
  </si>
  <si>
    <t>- la création, la diffusion, la production et la promotion de tout spectacle vivant.
- l’organisation de cours ou de stages liés aux métiers du spectacle vivant et de l’audiovisuel.</t>
  </si>
  <si>
    <t xml:space="preserve">42 bis cours de l'Argonne                                                                                                </t>
  </si>
  <si>
    <t>06 61 51 72 13</t>
  </si>
  <si>
    <t>www.lepetitplateau.weebly.com</t>
  </si>
  <si>
    <t>https://assos.bordeaux.fr/association/detail/692</t>
  </si>
  <si>
    <t>LOUONS L'ETERNEL (CHORALE GOSPEL) - L.L</t>
  </si>
  <si>
    <t>Évangélisation par le chant (Chorale gospel) et la promotion de la culture chrétienne</t>
  </si>
  <si>
    <t xml:space="preserve">Residence du Lac  appt 84 entree D                                 Avenue de laroque                                                                                                              </t>
  </si>
  <si>
    <t>06 51 20 75 48</t>
  </si>
  <si>
    <t>www.louonsleternel-gospel.fr</t>
  </si>
  <si>
    <t>https://assos.bordeaux.fr/association/detail/1356</t>
  </si>
  <si>
    <t>JAMIRA</t>
  </si>
  <si>
    <t>Favoriser le vivre ensemble entre les personnes en situation d’exil et la population locale, en utilisant notamment la culture comme langage commun.</t>
  </si>
  <si>
    <t xml:space="preserve">rue William                                                                                                </t>
  </si>
  <si>
    <t>06 17 85 35 56</t>
  </si>
  <si>
    <t>www.jamira.fr</t>
  </si>
  <si>
    <t>https://assos.bordeaux.fr/association/detail/760</t>
  </si>
  <si>
    <t>JUNIOR MIAGE CONCEPT BORDEAUX - JMC BORDEAUX</t>
  </si>
  <si>
    <t>Junior MIAGE Concept Bordeaux est une association de type Junior-Entreprise composée d’étudiants en MIAGE à l’Université de Bordeaux. Nous proposons des prestations de services informatiques aux startups et entrepreneurs de Bordeaux Métropole.
Un projet ? Une idée ? Nous serons ravis de partager un moment avec vous : 06.63.28.08.00</t>
  </si>
  <si>
    <t xml:space="preserve">351 Cours de la Libération                                 Secrétariat de la formation MIAGE, Bâtiment A30 - LABRI                                                                                                             </t>
  </si>
  <si>
    <t>06 78 16 59 24</t>
  </si>
  <si>
    <t>Jean-Baptiste Jeannot</t>
  </si>
  <si>
    <t>https://assos.bordeaux.fr/association/detail/868</t>
  </si>
  <si>
    <t>ASSOCIATION CONTRE LA TUBERCULOSE ET LES MALADIES ENDÉMIQUES - ACTUME</t>
  </si>
  <si>
    <t>https://assos.bordeaux.fr/association/detail/1273</t>
  </si>
  <si>
    <t>SIDI BRAHIM DE BORDEAUX ET DU SUD OUEST</t>
  </si>
  <si>
    <t>Association de type "régimentaire" regroupant les anciens chasseurs, à pied, alpins et mécanisés.</t>
  </si>
  <si>
    <t xml:space="preserve">11 Rue Louison Bobet                                                                                                </t>
  </si>
  <si>
    <t>06 61 32 47 34</t>
  </si>
  <si>
    <t>https://assos.bordeaux.fr/association/detail/609</t>
  </si>
  <si>
    <t>BORDEAUX FORRÓ FESTIVAL</t>
  </si>
  <si>
    <t>https://assos.bordeaux.fr/association/detail/1719</t>
  </si>
  <si>
    <t>KIDS'MILE</t>
  </si>
  <si>
    <t>Notre association humanitaire et solidaire a pour vocation de favoriser l'accès à l'éducation au Sénégal. Cette année, notre équipe de 6 étudiants a pour ambition de collecter des fonds en vue de la construction d'un bâtiment pour une école primaire dans la ville de Ziguinchor. S'ensuivra un trek de 15 jours dans la région de la Casamance pour partager des moments auprès des enfants et des populations locales.</t>
  </si>
  <si>
    <t xml:space="preserve">2 rue Voltaire                                                                                                </t>
  </si>
  <si>
    <t>06 38 69 43 97</t>
  </si>
  <si>
    <t>Marie Goldbach</t>
  </si>
  <si>
    <t>https://assos.bordeaux.fr/association/detail/1000</t>
  </si>
  <si>
    <t>LA MAISON DES FEMMES DE BORDEAUX - MDF BX</t>
  </si>
  <si>
    <t>Accueil, écoute, information, orientation, insertion socioprofessionnelle et actions culturelles
Permanences d'accueils et accompagnements de personnes en difficultés et/ou victimes de violences, accès aux droits, ateliers, rencontres/débats, actions de sensibilisation, expositions.</t>
  </si>
  <si>
    <t xml:space="preserve">27, cours Alsace Lorraine                                                                                                </t>
  </si>
  <si>
    <t>05 56 51 30 95</t>
  </si>
  <si>
    <t>www.maisondesfemmes.net</t>
  </si>
  <si>
    <t>https://assos.bordeaux.fr/association/detail/1632</t>
  </si>
  <si>
    <t>LA MAISON DE LOUIS</t>
  </si>
  <si>
    <t>La Maison de Louis a pour objet :
-De créer et gérer une structure d’accueil pour les jeunes avec autisme, âgé de 12 à 25 ans, afin qu’ils progressent dans les tâches fonctionnelles et cognitives et deviennent autonomes
-D’accompagner les familles des personnes avec autisme dans leurs démarches et leurs connaissances de la législation autour de ce handicap
-De faire évoluer la cause et l’acceptation de l’autisme.</t>
  </si>
  <si>
    <t xml:space="preserve">52 RUE DES BAHUTIERS                                                                                                </t>
  </si>
  <si>
    <t>36 32 40 97 87</t>
  </si>
  <si>
    <t>LAURENCE GAUSSEN</t>
  </si>
  <si>
    <t>https://assos.bordeaux.fr/association/detail/1359</t>
  </si>
  <si>
    <t>DROITS DU PIÉTON EN GIRONDE - DDP33</t>
  </si>
  <si>
    <t>https://assos.bordeaux.fr/association/detail/1048</t>
  </si>
  <si>
    <t>UN RIEN C'EST TOUT - URCT</t>
  </si>
  <si>
    <t>Soutenir 4 causes nationales (droit à la dignité, enfance &amp; éducation, santé et environnement) en collectant des dons sur achats en ligne et en caisse afin de réaliser des projets solidaires.</t>
  </si>
  <si>
    <t xml:space="preserve">30 rue desse                                                                                                </t>
  </si>
  <si>
    <t>06 87 46 75 70</t>
  </si>
  <si>
    <t>www.unriencesttout.org</t>
  </si>
  <si>
    <t>https://assos.bordeaux.fr/association/detail/885</t>
  </si>
  <si>
    <t>La production de spectacles vivants et la mise en place de stages de formation artistiques.</t>
  </si>
  <si>
    <t xml:space="preserve">22 rue de Sète                                                                                                </t>
  </si>
  <si>
    <t>06 11 36 53 03</t>
  </si>
  <si>
    <t>https://assos.bordeaux.fr/association/detail/1379</t>
  </si>
  <si>
    <t>SOLIDARITÉ ANAÏS JÉROME EVÉNEMENTIEL - SAJE</t>
  </si>
  <si>
    <t>Association proposant des événements culturels et solidaires afin de promouvoir le mieux vivre ensemble.
Avec SAJE vous êtes acteur de votre projet.
Nous proposons une diversité d'activités afin que chacun puisse s'y retrouver de 7 à 77 ans</t>
  </si>
  <si>
    <t xml:space="preserve">2 esplanade des antilles appt B002 Résidence François Mauriac                                                                                                </t>
  </si>
  <si>
    <t>06 08 41 71 04</t>
  </si>
  <si>
    <t>https://assos.bordeaux.fr/association/detail/1544</t>
  </si>
  <si>
    <t>GIRONDE ROUMANIE ÉCHANGES ET CULTURE</t>
  </si>
  <si>
    <t>L'association Gironde-Roumanie Échanges et Culture a pour objet : d’œuvrer au rapprochement entre français et roumains par des échanges culturels ; de promouvoir les deux cultures par tous les moyens appropriés, dans les deux pays, en fonction des circonstances</t>
  </si>
  <si>
    <t xml:space="preserve">249 bis Rue Lecocq                                                                                                </t>
  </si>
  <si>
    <t>06 88 88 31 64</t>
  </si>
  <si>
    <t>www.gironderoumanie.fr</t>
  </si>
  <si>
    <t>https://assos.bordeaux.fr/association/detail/888</t>
  </si>
  <si>
    <t>SOPHROLOGIE BASTIDE</t>
  </si>
  <si>
    <t>Cette association a pour objet de faire découvrir la sophrologie et promouvoir le bien être et l'épanouissement personnel à travers la découverte et la pratique de techniques (respiration, mouvements doux et visualisation) favorisant la relaxation, le développement personnel, la confiance en soi, la gestion des émotions, sous forme de séances collectives ou d'ateliers pour les adultes, enfants, adolescents.</t>
  </si>
  <si>
    <t xml:space="preserve">12 rue Cenac                                                                                                 </t>
  </si>
  <si>
    <t>06 74 52 10 32</t>
  </si>
  <si>
    <t>https://assos.bordeaux.fr/association/detail/641</t>
  </si>
  <si>
    <t>ASSOCIATION FRANÇOIS AUPETIT - AFA</t>
  </si>
  <si>
    <t>L'association François Aupetit, est à ce jour l’unique organisation agréée et reconnu d'utilité publique à se consacrer exclusivement au soutien aux malades et à la Recherche sur les MICI (Maladies Inflammatoires Chroniques Intestinales), dont les principales sont la maladie de Crohn et la recto-colite hémorragique.</t>
  </si>
  <si>
    <t>Siège 32 rue de Cambrai                                                                                                75019 Paris</t>
  </si>
  <si>
    <t>06 49 28 70 15</t>
  </si>
  <si>
    <t>Chantal Dufresne</t>
  </si>
  <si>
    <t>www.afa.asso.fr</t>
  </si>
  <si>
    <t>https://assos.bordeaux.fr/association/detail/1631</t>
  </si>
  <si>
    <t>ENTREPRISES ET CULTURE  - E&amp;C</t>
  </si>
  <si>
    <t>Créer des événements à des fins caritatives, culturels, oenologiques, gastronomiques etc... dans un ou des lieu de partage, de convivialité et d'enrichissement personnel pour organiser des repas partagés solidaires</t>
  </si>
  <si>
    <t>Bruno Latour</t>
  </si>
  <si>
    <t>https://assos.bordeaux.fr/association/detail/1609</t>
  </si>
  <si>
    <t>ASSOCIATION NATIONALE DES HOSPITALIERS RETRAITÉS - ANHR</t>
  </si>
  <si>
    <t>L'ANHR est une Association au service des hospitaliers retraités, reconnue organisme d'intérêt général. Elle a pour vocation d'être aux côtés de ceux qui pendant de nombreuses années ont consacré leur vie professionnelle au service de l'hôpital public.</t>
  </si>
  <si>
    <t xml:space="preserve">121 rue de la Béchade                                 CS 81285                                                                                                             </t>
  </si>
  <si>
    <t>05 56 69 72 57</t>
  </si>
  <si>
    <t>Maurice TOULLALAN</t>
  </si>
  <si>
    <t>www.retraites-hospitaliers.fr</t>
  </si>
  <si>
    <t>https://assos.bordeaux.fr/association/detail/594</t>
  </si>
  <si>
    <t>CIE TIBERGHIEN</t>
  </si>
  <si>
    <t>L’association Cie Tiberghien a pour but la promotion du théâtre par un travail de création et de formation, articulant les moyens techniques contemporains d’expression et de communication (musique, vidéo, informatique, audiovisuel) et par la promotion, la diffusion et l’achat de spectacles théâtraux.</t>
  </si>
  <si>
    <t xml:space="preserve">12 rue de Lescure                                                                                                </t>
  </si>
  <si>
    <t>09 54 05 50 54</t>
  </si>
  <si>
    <t>www.cietiberghien.com</t>
  </si>
  <si>
    <t>https://assos.bordeaux.fr/association/detail/728</t>
  </si>
  <si>
    <t>SO K DANSE</t>
  </si>
  <si>
    <t>Danses latines : 
Salsa Colombienne
Salsa Cubaine
Bachata
Reggaeton</t>
  </si>
  <si>
    <t xml:space="preserve">36 rue lafaurie de monbadon                                                                                                </t>
  </si>
  <si>
    <t>06 69 14 71 03</t>
  </si>
  <si>
    <t>www.so-k-danse.fr</t>
  </si>
  <si>
    <t>https://assos.bordeaux.fr/association/detail/674</t>
  </si>
  <si>
    <t>SCAPHANDRE</t>
  </si>
  <si>
    <t>https://assos.bordeaux.fr/association/detail/1765</t>
  </si>
  <si>
    <t>ASSOCIATION DES AMIS ET PARENTS DE PERSONNES HANDICAPÉES MENTALES DE LA GIRONDE - ADAPEI33</t>
  </si>
  <si>
    <t>L'Adapei33 est une association de parents qui accueille et défend les intérêts des personnes en situation de handicap intellectuel, psychique ou avec autisme, à tous les âges et dans tous les domaines de leur vie.</t>
  </si>
  <si>
    <t xml:space="preserve">39 rue robert caumont                                  Bureaux du lac II  Bât.R                                                                                                             </t>
  </si>
  <si>
    <t>33049</t>
  </si>
  <si>
    <t>05 56 11 11 11</t>
  </si>
  <si>
    <t>www.adapei33.com</t>
  </si>
  <si>
    <t>https://assos.bordeaux.fr/association/detail/737</t>
  </si>
  <si>
    <t>VIVRE COMME AVANT - VCA</t>
  </si>
  <si>
    <t>Apporter de l'écoute et du soutien aux personnes opérées du sein.</t>
  </si>
  <si>
    <t>14 rue Corvisart                                                                                                75013 Paris</t>
  </si>
  <si>
    <t>06 37 17 29 50</t>
  </si>
  <si>
    <t>https://assos.bordeaux.fr/association/detail/827</t>
  </si>
  <si>
    <t>ASSOCIATION DES ORGANISATIONS POSITIVES DU SUD OUEST - ORGA+</t>
  </si>
  <si>
    <t>• Faire connaître les organisations positives au travers de l’organisation de manifestations (journée annuelle des organisations positives ; afterworks ; formations, diffusion de livres et de plaquettes.
• Faire connaître et fédérer les organisations positives et les intervenants qui les accompagnent.</t>
  </si>
  <si>
    <t xml:space="preserve">18 allées de Tourny                                                                                                </t>
  </si>
  <si>
    <t>06 07 12 43 38</t>
  </si>
  <si>
    <t>orga-positives.com</t>
  </si>
  <si>
    <t>https://assos.bordeaux.fr/association/detail/950</t>
  </si>
  <si>
    <t>ASSOCIATION KALINA'GO - ASS KALINA'GO</t>
  </si>
  <si>
    <t>Promotion et diffusion des arts et cultures tropicales et d'Outremer en France et/ou à l'étranger dans le cadre d'événementiels, de cours de danses, ainsi que le soutien à l'émergence artistique et culturelle des artistes auteurs et des porteurs de projets culturels, artistiques ou pédagogiques, sans que cette liste soit exhaustive par notamment la création et l'organisation d'événements de quelque nature que ce soit</t>
  </si>
  <si>
    <t xml:space="preserve">Athénée municipal 1 place Joseph Wresinski                                 Boîte aux lettres n°18                                                                                                             </t>
  </si>
  <si>
    <t>06 72 22 17 83</t>
  </si>
  <si>
    <t>kalinagoblog.blogspot.com</t>
  </si>
  <si>
    <t>https://assos.bordeaux.fr/association/detail/714</t>
  </si>
  <si>
    <t>INTERNATIONAL CLUB OF BORDEAUX - ICB</t>
  </si>
  <si>
    <t>	Faciliter l’intégration et la vie quotidienne de personnes et de familles issues de la communauté internationale sur Bordeaux et sa Métropole
	Eviter l’isolement et le repli de ces personnes sur leur propre communauté
	Développer le réseau d’échange et de solidarité
	Valoriser l’attractivité de la ville de Bordeaux et de sa Métropole à l’international</t>
  </si>
  <si>
    <t xml:space="preserve">8 place des Quinconces                                 chez l'ACSO                                                                                                             </t>
  </si>
  <si>
    <t>05 56 72 44 46</t>
  </si>
  <si>
    <t>Paula Lamoureux</t>
  </si>
  <si>
    <t>www.icbordeaux.fr</t>
  </si>
  <si>
    <t>https://assos.bordeaux.fr/association/detail/1064</t>
  </si>
  <si>
    <t>LE GRAIN THEATRE DE LA VOIX</t>
  </si>
  <si>
    <t>https://assos.bordeaux.fr/association/detail/1431</t>
  </si>
  <si>
    <t>MUSART</t>
  </si>
  <si>
    <t>Cette association a pour but de : promouvoir la musique et les différentes formes d’art par l’organisation de manifestations et événements de formats et genres divers ; promouvoir la scène musicale et artistique de la Région Nouvelle Aquitaine et plus largement de la France ; promouvoir la musique et les différentes formes d’art auprès de tous en proposant un projet social.</t>
  </si>
  <si>
    <t xml:space="preserve">11 rue saige                                                                                                </t>
  </si>
  <si>
    <t>06 85 61 43 16</t>
  </si>
  <si>
    <t>Nicolas Landreau</t>
  </si>
  <si>
    <t>musartconcept.com</t>
  </si>
  <si>
    <t>https://assos.bordeaux.fr/association/detail/1400</t>
  </si>
  <si>
    <t>THÉÂTRE OMBRE ET LUMIÈRE</t>
  </si>
  <si>
    <t>L'association dite, Théâtre Ombre et Lumière, fondée en août 1992 a pour but de développer et promouvoir la vidéo et le cinéma, le théâtre, le conte et les différentes expressions créatrices, culturelles, sociales et artistiques de l'Homme.</t>
  </si>
  <si>
    <t>Résidence Barthèse Bat 3-B Appt 334</t>
  </si>
  <si>
    <t>06 62 75 99 44</t>
  </si>
  <si>
    <t>www.theatre-ombreetlumiere.fr</t>
  </si>
  <si>
    <t>https://assos.bordeaux.fr/association/detail/658</t>
  </si>
  <si>
    <t>CENTRE DE RECHERCHES ET D'ETUDES EN ART-THÉRAPIE, EXPRESSION ET COMMUNICATION ARTISTIQUES - CREATECA</t>
  </si>
  <si>
    <t>Createca a pour but la recherche et le développement des médiations artistiques à visées thérapeutiques. Ses actions prennent trois formes qui se répondent : les Séances d'Art-Thérapie auprès du public, la Formation en Art-Thérapie appliquée et la Recherche.</t>
  </si>
  <si>
    <t xml:space="preserve">244 rue Pasteur                                                                                                </t>
  </si>
  <si>
    <t>06 14 93 10 42</t>
  </si>
  <si>
    <t>createca.free.fr</t>
  </si>
  <si>
    <t>https://assos.bordeaux.fr/association/detail/1126</t>
  </si>
  <si>
    <t>SECTION GYMNASTIQUE VOLONTAIRE MONTESQUIEU - GV MONTESQUIEU</t>
  </si>
  <si>
    <t>Gymnastique Volontaire, détente,  santé et  bien être</t>
  </si>
  <si>
    <t xml:space="preserve">4 place Longchamps                                 Lycée Montesquieu                                                                                                             </t>
  </si>
  <si>
    <t>06 04 07 37 15</t>
  </si>
  <si>
    <t>Martine LONGIN</t>
  </si>
  <si>
    <t>gvmontesquieubordeaux.weebly.com</t>
  </si>
  <si>
    <t>https://assos.bordeaux.fr/association/detail/881</t>
  </si>
  <si>
    <t>COMPAGNIE CRAZY R</t>
  </si>
  <si>
    <t>Ecole de Trapèze Volant qui rend accessible l'art du trapèze volant à la pratique amateur et professionnelle. Nous promouvons également toutes les activités en rapport avec les arts de la piste, de la rue, de la scène, du spectacle vivant en créant et participant à des projets et manifestations culturels, artistiques, socio-éducatifs, caritatives, de loisirs, à des échanges internationaux et nationaux.</t>
  </si>
  <si>
    <t xml:space="preserve">286 boulevard Alfred Daney                                                                                                </t>
  </si>
  <si>
    <t>06 79 98 93 48</t>
  </si>
  <si>
    <t>www.compagniecrazyr.com</t>
  </si>
  <si>
    <t>https://assos.bordeaux.fr/association/detail/1281</t>
  </si>
  <si>
    <t>Totoche Prod se donne pour mission de produire (faire exister, créer, concevoir ) des événements visant à promouvoir  la création artistique actuelle - Art contemporain, art numérique, performance &amp; art vidéo - ayant pour thème le corps contemporain. Ces événements posent un regard singulier sur le corps et ses représentations dans les arts visuels actuels à travers des réflexions plastiques et artistiques engagées.</t>
  </si>
  <si>
    <t xml:space="preserve">5, rue de l'Observance                                                                                                </t>
  </si>
  <si>
    <t>06 64 91 23 82</t>
  </si>
  <si>
    <t>www.totocheprod.fr</t>
  </si>
  <si>
    <t>https://assos.bordeaux.fr/association/detail/759</t>
  </si>
  <si>
    <t>AMICALE DES LOCATAIRES - ADL PDL</t>
  </si>
  <si>
    <t>Nous favorisons les liens intergénérationnels, ce qui permet de rompre l’isolement. Cela se réalise à travers différentes activités et manifestations.- Médiation Sociale - Veille sociale - Participation aux réunions de cellules de veilles du quartier- Accueil et accompagnement des différents publics et relais d’informations: permanence - Orienter le public vers les différentes structures répondant à leurs besoins</t>
  </si>
  <si>
    <t xml:space="preserve">5 rue Henri Collet,                                  Résidence le Pertuis                                                                                                             </t>
  </si>
  <si>
    <t>09 81 32 45 36</t>
  </si>
  <si>
    <t>Annie Longo</t>
  </si>
  <si>
    <t>https://assos.bordeaux.fr/association/detail/954</t>
  </si>
  <si>
    <t>INNOV'ACTION PÉDAGOGIQUE</t>
  </si>
  <si>
    <t>Innov'Action Pédagogique a pour but la promotion d'idées nouvelles dans le monde de l'enseignement, et de fédérer les initiatives qui existent. Nous organisons des conférences mensuelles et un colloque annuel sur l'enseignement et l'école. Nous avons aussi un blog et des forums en ligne.</t>
  </si>
  <si>
    <t xml:space="preserve">16 rue Coli                                                                                                </t>
  </si>
  <si>
    <t>09 86 60 81 70</t>
  </si>
  <si>
    <t>Baptiste Delvallé</t>
  </si>
  <si>
    <t>www.innovactionpedagogique.com</t>
  </si>
  <si>
    <t>https://assos.bordeaux.fr/association/detail/575</t>
  </si>
  <si>
    <t>NVL - CENTRE DENISE ESCARPIT - NVL - CDE</t>
  </si>
  <si>
    <t>Elle a pour objet la promotion du livre, de la lecture et de la littérature d’enfance et de jeunesse. A cet effet elle publie une revue d'information et de réflexion sur le livre jeunesse , NVL la revue . Et elle gère un centre de ressources humaines et documentaires à destination des médiateurs du livre.</t>
  </si>
  <si>
    <t xml:space="preserve">85 cours du Maréchal Juin                                  CS51247                                                                                                             </t>
  </si>
  <si>
    <t>05 56 99 20 60</t>
  </si>
  <si>
    <t>Claudine Charamnac Stupar</t>
  </si>
  <si>
    <t>www.nvl-larevue.fr</t>
  </si>
  <si>
    <t>https://assos.bordeaux.fr/association/detail/1610</t>
  </si>
  <si>
    <t>Ecole de Français Langue Étrangère-Des cours de français général ou thématique (vin, cuisine, culture, actualité, diplomatie) pour tous les niveaux-Préparation DELF/DALF/TCF - Séjours linguistiques -
French Language School-General French or thematic French lessons (wine, cooking, culture, news, diplomacy) for all levels. DELF/DALF/TCF French exam preparation courses-Language stay
Tram A et B - arrêts Hôtel de ville</t>
  </si>
  <si>
    <t xml:space="preserve">60, rue du Hâ                                                                                                </t>
  </si>
  <si>
    <t>06 84 73 81 18</t>
  </si>
  <si>
    <t>www.comenfrance.net</t>
  </si>
  <si>
    <t>https://assos.bordeaux.fr/association/detail/1798</t>
  </si>
  <si>
    <t>GAYTE DE CHOEUR</t>
  </si>
  <si>
    <t>Gayté de Chœur est un ensemble vocal amateur, composé d'hommes qui chantent pour faire entendre la voix de la tolérance et de la diversité. Réunis autour de valeurs tant humaines qu’artistiques, les chanteurs de Gayté de Chœur défendent la cause des personnes LGBTQI+. Le caractère universel et humaniste du chant choral se révèle être un formidable levier pour sortir des préjugés et accepter les différences.</t>
  </si>
  <si>
    <t xml:space="preserve">C/O Le Girofard Centre LGBT Bordeaux Nouvelle-Aquitaine                                 34 rue Bouquiere                                                                                                             </t>
  </si>
  <si>
    <t>06 83 48 56 38</t>
  </si>
  <si>
    <t>www.gaytedechoeur.org</t>
  </si>
  <si>
    <t>https://assos.bordeaux.fr/association/detail/617</t>
  </si>
  <si>
    <t>JARDIN-ET-ECOTOURISME</t>
  </si>
  <si>
    <t>Jardin-et-écotourisme donne des conseils sur le jardinage naturel. C'est une association nature qui organise aussi des sorties pour découvrir la Nature en Gironde (33) : parcs, forêts, landes, rivière, marais, littoral... Nous agissons également pour la protection de la nature (pose des nichoirs, création de mares, nettoyage de ruisseau, inventaire).</t>
  </si>
  <si>
    <t xml:space="preserve">9, allée des camélias                                                                                                </t>
  </si>
  <si>
    <t>05 56 34 32 47</t>
  </si>
  <si>
    <t>https://assos.bordeaux.fr/association/detail/1745</t>
  </si>
  <si>
    <t>LES NOMADES DE GRAIN DE SABLE AQUITAINE - GDS-BDX</t>
  </si>
  <si>
    <t>L’association GdS Aquitaine est une filiale régionale créée en 2018 pour promouvoir et soutenir l'action de GdS France qui, depuis 1992, participe au développement de la région du Nord Niger, enclavée et défavorisée, en favorisant la scolarisation des enfants et en aidant les adolescent(e)s dans leurs études secondaires. 
GdS Aquitaine organise des évènements pour recueillir des fonds et de nouvelles adhésions.</t>
  </si>
  <si>
    <t xml:space="preserve">10 rue Castéja                                 résidence Palais Gallien                                                                                                             </t>
  </si>
  <si>
    <t>06 50 04 61 92</t>
  </si>
  <si>
    <t>www.graindesable.com</t>
  </si>
  <si>
    <t>https://assos.bordeaux.fr/association/detail/709</t>
  </si>
  <si>
    <t>CENTRE DE FORMATION ADAGE - CF ADAGE</t>
  </si>
  <si>
    <t>Le Centre de Formation ADAGE propose deux formations professionnelles (une section contemporaine et une section hip hop) sur 2 ans qui préparent au diplôme de « danseur-interprète ». L’enseignement est assuré par une équipe pédagogique composée de professeurs Diplômés d’Etat (DE) ou titulaires du CA ainsi que de nombreux intervenants professionnels (chorégraphes, danseurs interprètes…).</t>
  </si>
  <si>
    <t xml:space="preserve">29 rue Tombe l'Oly                                                                                                </t>
  </si>
  <si>
    <t>05 56 31 30 32</t>
  </si>
  <si>
    <t>www.cfadage33.fr</t>
  </si>
  <si>
    <t>https://assos.bordeaux.fr/association/detail/1849</t>
  </si>
  <si>
    <t>LES CROISEURS D'AQUITAINE</t>
  </si>
  <si>
    <t>Vous avez déjà pratiqué la voile, vous souhaitez vous perfectionner, vous avez l'esprit d'équipe, vous aimez partager ... Rejoignez Les Croiseurs d'Aquitaine pour des navigations côtières et hauturières sur ses voiliers.</t>
  </si>
  <si>
    <t xml:space="preserve">Bassin à Flot n°2                                 Quai Ouest                                                                                                             </t>
  </si>
  <si>
    <t>06 77 08 31 07</t>
  </si>
  <si>
    <t>https://assos.bordeaux.fr/association/detail/1770</t>
  </si>
  <si>
    <t>PARLAY FILMS</t>
  </si>
  <si>
    <t>Réalisation, production et diffusion de projets artistiques, audiovisuels et cinématographiques; sa démarche va dans le sens d'une mutualisation de compétences et de ressources ainsi que l'entraide et la solidarité entre ses membres; elle pourra également valoriser d'autres projets artistique par la réalisation de vidéo promotionnelles.</t>
  </si>
  <si>
    <t xml:space="preserve">103 cours de la somme                                                                                                </t>
  </si>
  <si>
    <t>06 47 69 94 04</t>
  </si>
  <si>
    <t>https://assos.bordeaux.fr/association/detail/1465</t>
  </si>
  <si>
    <t>ASSOCIATION OXYGÈNE</t>
  </si>
  <si>
    <t>Nos missions s’inscrivent dans le champ de l’insertion sociale et dans la lutte contre les exclusions et l’isolement en amenant notre public, au travers de nos actions, à retisser du lien social, à retrouver confiance et estime de soi.</t>
  </si>
  <si>
    <t xml:space="preserve">27-29 quai Richelieu                                                                                                </t>
  </si>
  <si>
    <t>05 56 96 96 63</t>
  </si>
  <si>
    <t>www.oxygene-asso.fr</t>
  </si>
  <si>
    <t>https://assos.bordeaux.fr/association/detail/1447</t>
  </si>
  <si>
    <t>CADRES ENTRAIDE</t>
  </si>
  <si>
    <t>Cadres Entraide a été créé pour accueillir et accompagner  des cadres demandeurs d’emploi, de toute la région, autour de la démarche « Bilan Projet » (bilan professionnel, définition de cibles professionnelles, conseil, orientation, développement du réseau relationnel….).
Cet accompagnement peut être réalisé de manière individuelle ou collective.</t>
  </si>
  <si>
    <t xml:space="preserve">Parc d’activité Descartes Bâtiment H - 3 avenue Descartes                                                                                                 </t>
  </si>
  <si>
    <t>05 56 33 20 90</t>
  </si>
  <si>
    <t>JEAN-PAUL HUET</t>
  </si>
  <si>
    <t>https://assos.bordeaux.fr/association/detail/1748</t>
  </si>
  <si>
    <t>DESTINATION MULTIMEDIA</t>
  </si>
  <si>
    <t>Oeuvrer pour la réduction de la fracture numérique et lutter contre l'illectronisme auprès de différentes populations.</t>
  </si>
  <si>
    <t>63 rue Saint-Martin                                                                                                95300 PONTOISE</t>
  </si>
  <si>
    <t>01 71 79 88 64</t>
  </si>
  <si>
    <t>https://assos.bordeaux.fr/association/detail/1130</t>
  </si>
  <si>
    <t>GÉNÉRATIONS FUTURES - GROUPE LOCAL DE BORDEAUX</t>
  </si>
  <si>
    <t>Générations Futures est une association loi 1901 créée en 1996 et reconnue d’intérêt général pour la défense de l’environnement.
Le groupe local de Bordeaux a été créé fin 2015. Ses bénévoles contribuent aux actions d'information sur les risques des pollutions chimiques et de leurs effets sur la santé (particulièrement sur les pesticides), et fait la promotion des alternatives.</t>
  </si>
  <si>
    <t xml:space="preserve">6 rue Ferrere                                  chez Nicolas Nocart                                                                                                             </t>
  </si>
  <si>
    <t>06 76 14 77 66</t>
  </si>
  <si>
    <t>bordeaux.generations-futures.fr</t>
  </si>
  <si>
    <t>https://assos.bordeaux.fr/association/detail/1280</t>
  </si>
  <si>
    <t>Tout Art Faire est une association aux idées bouillonnantes et innovantes qui veut rendre la culture accessible à tous. À pied ou à vélo, dans les musées ou lors de conférences, partagez la bonne humeur et la convivialité de nos intervenants qualifiés ET passionnés ! Depuis 2009, dynamisme, enthousiasme et variété sont les clés de notre succès !</t>
  </si>
  <si>
    <t xml:space="preserve">66 rue de l'école Normale                                                                                                </t>
  </si>
  <si>
    <t>07 68 48 91 52</t>
  </si>
  <si>
    <t>toutartfaire.com</t>
  </si>
  <si>
    <t>https://assos.bordeaux.fr/association/detail/989</t>
  </si>
  <si>
    <t>Association culturelle affiliée au master Ingénierie de Projets Culturels et Interculturels de Bordeaux Montaigne</t>
  </si>
  <si>
    <t xml:space="preserve">Domaine universtaire                                 Université Michel de Montaigne                                                                                                             </t>
  </si>
  <si>
    <t>06 48 33 27 28</t>
  </si>
  <si>
    <t>https://assos.bordeaux.fr/association/detail/1321</t>
  </si>
  <si>
    <t>ASSOCIATION DES AMIS DE ST JACQUES DE COMPOSTELLE DE GRADIGNAN</t>
  </si>
  <si>
    <t>Accueil des pèlerins de passage sur la voie de Tours au gîte du Prieuré de Cayac -  préparation au départ des futurs pèlerins de Compostelle - promotion d'actions culturelles autour des chemins de Saint Jacques.</t>
  </si>
  <si>
    <t xml:space="preserve">1 Rue de Chartrèze                                 Prieuré de Cayac                                                                                                              </t>
  </si>
  <si>
    <t>06 82 00 88 94</t>
  </si>
  <si>
    <t>www.compostellegradignan.fr</t>
  </si>
  <si>
    <t>https://assos.bordeaux.fr/association/detail/565</t>
  </si>
  <si>
    <t>RÉGION NOUVELLE AQUITAINE SOURDS LGBT  - RNAS.LGBT</t>
  </si>
  <si>
    <t>L'Association a pour objet des activités générales de sports pour Sourds LGBT, des conférences générales, de la prévention de santé pour Sourds, des activités culturelles pour Sourds, de l'accompagnement telles que des aides aux victimes Sourds d'homophobie et aides au logement social, organisation de la Gay Pride Sourds Bordeaux.</t>
  </si>
  <si>
    <t xml:space="preserve">17 RUE DE LA FAIENCERIE                                                                                                </t>
  </si>
  <si>
    <t>06 34 99 94 62</t>
  </si>
  <si>
    <t>JEREMIE FAUQUEMBERGUE</t>
  </si>
  <si>
    <t>https://assos.bordeaux.fr/association/detail/1108</t>
  </si>
  <si>
    <t>L’association a pour but d'accueillir et informer les résidents du quartier saint Augustin pour faciliter l’intégration au quartier,
de fédérer les énergies et créer des passerelles avec/entre les autres associations du quartier ou les autres acteurs sociaux
Maintenir les contacts avec les services publics pour participer aux évolutions urbaines.</t>
  </si>
  <si>
    <t xml:space="preserve">66 Allée des peupliers                                                                                                </t>
  </si>
  <si>
    <t>06 46 56 65 90</t>
  </si>
  <si>
    <t>www.saintaugustinavenir.com</t>
  </si>
  <si>
    <t>https://assos.bordeaux.fr/association/detail/693</t>
  </si>
  <si>
    <t>ASSOCIATION DES MALADES ET TRANSPLANTÉS HÉPATIQUES DU SUD-OUEST - AMATHSO</t>
  </si>
  <si>
    <t>L'association a pour but de sensibiliser le public sur les maladies hépatiques, la réalité de la transplantation et la solution qu'elle apporte dans certaines affections. De diffuser une information sur toutes les maladies hépatiques et de faire prendre conscience de l'importance de la prévention, du dépistage et de la vaccination pour ce qui concerne les hépatites. Sensibiliser l’opinion au don d'organes.</t>
  </si>
  <si>
    <t xml:space="preserve">Permanences AMATHSO - Hôpital du Haut Lévêque                                 Magellan - Espace associations                                                                                                             </t>
  </si>
  <si>
    <t>33604</t>
  </si>
  <si>
    <t>05 24 54 90 37</t>
  </si>
  <si>
    <t>www.amathso.org</t>
  </si>
  <si>
    <t>https://assos.bordeaux.fr/association/detail/910</t>
  </si>
  <si>
    <t>ASSOCIATION DE L'ENSEIGNEMENT CATHOLIQUE DE GIRONDE - AECG</t>
  </si>
  <si>
    <t>Activité se rapportant à l'éducation, à l'enseignement et à la formation, permettant de favoriser l'action de l'Enseignement Catholique de Gironde.</t>
  </si>
  <si>
    <t>Isabelle du Mas des Bourboux</t>
  </si>
  <si>
    <t>https://assos.bordeaux.fr/association/detail/1139</t>
  </si>
  <si>
    <t>COMPAGNIE ENUNSEULMOT</t>
  </si>
  <si>
    <t>Vulgariser et défendre la pratique de l'art de l'improvisation théâtrale et du spectacle vivant via la formation et la création.</t>
  </si>
  <si>
    <t xml:space="preserve">52 rue des Treuils                                  La Villa Pia                                                                                                             </t>
  </si>
  <si>
    <t>06 13 25 41 89</t>
  </si>
  <si>
    <t>Laetitia Lambert</t>
  </si>
  <si>
    <t>www.compagnieenunseulmot.com</t>
  </si>
  <si>
    <t>https://assos.bordeaux.fr/association/detail/521</t>
  </si>
  <si>
    <t>Le parrainage est la construction d’une relation affective privilégiée instituée entre un enfant et un adulte, ou une famille. Il prend la forme de temps partagés entre le parrain et l’enfant. Il repose sur des valeurs d’échanges, de réciprocité, d’enrichissement mutuel et sur la confiance. Il est fondé sur un engagement volontaire. Il se met en place dans l’intérêt de l’enfant à la demande des parents.</t>
  </si>
  <si>
    <t>06 95 01 68 21</t>
  </si>
  <si>
    <t>www.parrainage33.com</t>
  </si>
  <si>
    <t>https://assos.bordeaux.fr/association/detail/833</t>
  </si>
  <si>
    <t>COURRIER DE BOVET - CDB</t>
  </si>
  <si>
    <t>Correspondre avec une personne incarcérée en s'engageant pour la durée de sa peine dans un dialogue respectueux et régulier . L'association organise l'anonymat, l'accompagnement du début de la correspondance, la formation et l'information sur l'actualité carcérale.L'adhérent s'engage à participer à la vie de l'association, réunions locales d'échange, visite de prisons ,etc...</t>
  </si>
  <si>
    <t>34 rue Balard                                 BP 70039 75721 Paris Cedex 15                                                                             BP 70039                                75721 Paris</t>
  </si>
  <si>
    <t>01 40 67 11 98</t>
  </si>
  <si>
    <t>https://assos.bordeaux.fr/association/detail/1674</t>
  </si>
  <si>
    <t>- Sensibilisation au tatouage réparateur, par tous les moyens de communication possibles.
- la coordination d'activités, de manifestations artistiques et/ou culturelles, le développement des actions de sensibilisation liées aux bienfaits réparateurs du tatouage artistique.
- organisation de séances de tatouage dans des lieux choisis par l'association.
- organisation de conventions de tatouage spécialisées.</t>
  </si>
  <si>
    <t xml:space="preserve">83 RUE DE LA COURSE                                                                                                </t>
  </si>
  <si>
    <t>06 71 19 67 40</t>
  </si>
  <si>
    <t>www.soeursdencre.fr</t>
  </si>
  <si>
    <t>https://assos.bordeaux.fr/association/detail/1391</t>
  </si>
  <si>
    <t>APF FRANCE HANDICAP - DÉLÉGATION 33</t>
  </si>
  <si>
    <t>Nos missions associatives : 
- Favoriser l'égalité des chances et la citoyenneté des personnes en situation de handicap
- Accueillir et accompagner
- Revendiquer et représenter
- Développer et dynamiser.</t>
  </si>
  <si>
    <t xml:space="preserve">30 rue de Delacroix                                                                                                </t>
  </si>
  <si>
    <t>05 56 08 67 30</t>
  </si>
  <si>
    <t>apf33.blogs.apf.asso.fr</t>
  </si>
  <si>
    <t>https://assos.bordeaux.fr/association/detail/1735</t>
  </si>
  <si>
    <t>ASSOCIATION FEMMES D'IMPACT DE LA NOUVELLE AQUITAINE - FINA</t>
  </si>
  <si>
    <t>https://assos.bordeaux.fr/association/detail/543</t>
  </si>
  <si>
    <t>A2 RUNNING</t>
  </si>
  <si>
    <t>A2 running réunit toutes les personnes qui souhaitent courir en groupe, dans la bonne humeur, l’entraide et surtout sans esprit de compétition.
A2 running rassemble donc, chaque semaine, les mardis et jeudis à 19h30 au Miroir d’eau des coureurs débutants, intermédiaires, confirmés mais aussi des personnes qui courent pour la première fois.</t>
  </si>
  <si>
    <t xml:space="preserve">16 rue du pas saint georges                                                                                                </t>
  </si>
  <si>
    <t>06 61 39 53 87</t>
  </si>
  <si>
    <t>Alice Cavender</t>
  </si>
  <si>
    <t>www.a2running.com</t>
  </si>
  <si>
    <t>https://assos.bordeaux.fr/association/detail/573</t>
  </si>
  <si>
    <t>CAISSE SOCIALE DE DÉVELOPPEMENT LOCAL - CSDL</t>
  </si>
  <si>
    <t>La Caisse Sociale a pour objet l'insertion économique et sociale des populations exclues partiellement ou totalement des circuits bancaires classiques et/ou du monde du travail. A ce titre elle peut accorder des microcrédits pour aider à la création ainsi qu'au maintien d'entreprises et d'emplois. Elle dispense également un accompagnement au profit de ses bénéficiaires pendant toute la durée de remboursement.</t>
  </si>
  <si>
    <t xml:space="preserve">29 rue du Mirail                                                                                                 </t>
  </si>
  <si>
    <t>05 56 33 37 97</t>
  </si>
  <si>
    <t>www.csdl-bordeaux.org</t>
  </si>
  <si>
    <t>https://assos.bordeaux.fr/association/detail/621</t>
  </si>
  <si>
    <t>INSTITUT EUROPÉEN DE SOPHROLOGIE HUMANISTE - IESH</t>
  </si>
  <si>
    <t>L'IESH a pour but l'Étude, la Recherche, l'Application, la Promotion de la Sophrologie Sociale, Médicale et Sportive et la Formation des Praticiens en Sophrologie dans ses différentes Spécialités.
Séances individuelles enfant et adulte, séances de groupe.
Accompagnement pré et post natal,
Préparation: examens,..embauche professionnelle, gestion du stress, accompagnement durant la maladie,...
Communication, mieux-être</t>
  </si>
  <si>
    <t xml:space="preserve">147  rue Judaique                                                                                                </t>
  </si>
  <si>
    <t>06 77 13 45 82</t>
  </si>
  <si>
    <t>Andrés MBOMO</t>
  </si>
  <si>
    <t>www.sophrologiebordeaux.fr</t>
  </si>
  <si>
    <t>https://assos.bordeaux.fr/association/detail/842</t>
  </si>
  <si>
    <t>ASSOCIATION DE DEVELOPPEMENT NATUREL - A. D. N.</t>
  </si>
  <si>
    <t>Promouvoir la pratique du qi gong, art énergétique chinois millénaire. Le qi gong, grâce à des mouvements pratiqués dans le relâchement, allie le corps et l'esprit pour apporter une détente, à tous les âges et dans tous les milieux.</t>
  </si>
  <si>
    <t xml:space="preserve">80, rue de Lacanau                                 La Chêneraie - Bt B                                                                                                             </t>
  </si>
  <si>
    <t>06 62 23 82 55</t>
  </si>
  <si>
    <t>https://assos.bordeaux.fr/association/detail/964</t>
  </si>
  <si>
    <t>MENSA GRAND AQUITAINE</t>
  </si>
  <si>
    <t>Mensa est une association internationale de personnes à haut potentiel intellectuel fondé à Oxford en 1946, qui a depuis essaimé dans une centaine de pays et compte environ 133 000 membres dans le monde. « Mensa » trouve son origine au lendemain de la seconde guerre mondiale et repose sur un idéal de paix mondiale, indispensable au progrès dans tous les domaines et à son partage dans la société.</t>
  </si>
  <si>
    <t xml:space="preserve">30 rue François Mauriac                                                                                                </t>
  </si>
  <si>
    <t>06 74 82 42 20</t>
  </si>
  <si>
    <t>mensa-france.net/</t>
  </si>
  <si>
    <t>https://assos.bordeaux.fr/association/detail/587</t>
  </si>
  <si>
    <t>ASSOCIATION GIRONDINE D'EDUCATION SPÉCIALISÉE ET DE PRÉVENTION SOCIALE - AGEP</t>
  </si>
  <si>
    <t>L’Association a pour objet d’assurer auprès des enfants et de leurs parents toute aide ou action éducative nécessitée par la prévention, l’élucidation et le traitement des difficultés d’ordre psychologique, éducatif et social. Elle procède, soit de sa propre initiative, soit à la requête de l’autorité judiciaire, des administrations et organismes ou des professionnels compétents, soit à la demande des familles.</t>
  </si>
  <si>
    <t xml:space="preserve">60 rue de Pessac                                                                                                 </t>
  </si>
  <si>
    <t>05 57 81 78 20</t>
  </si>
  <si>
    <t>agep.asso.fr</t>
  </si>
  <si>
    <t>https://assos.bordeaux.fr/association/detail/1049</t>
  </si>
  <si>
    <t>Notre association a pour but de favoriser l'accès aux sorties culturelles pour toutes les personnes en perte d'autonomie (personnes handicapées, personnes âgées, personnes empêchées, isolées) en proposant un accompagnement individuel avec un bénévole qui va chercher la personne à son domicile, va au spectacle avec elle et la ramène à son domicile.L'asso prend en charge la billetterie et les déplacements des bénévoles</t>
  </si>
  <si>
    <t>https://assos.bordeaux.fr/association/detail/1549</t>
  </si>
  <si>
    <t>AGENCE LOCALE DE L'ENERGIE ET DU CLIMAT MÉTROPOLE BORDELAISE ET GIRONDE - ALEC MB 33</t>
  </si>
  <si>
    <t>https://assos.bordeaux.fr/association/detail/1361</t>
  </si>
  <si>
    <t>LES MENUTS DES ARTS</t>
  </si>
  <si>
    <t>•	La gestion et l'animation d'un lieu afin de développer et de promouvoir des activités culturelles sous toutes ses formes les plus diverses :
•	L'organisation d'événements et manifestations artistiques et culturelles (ateliers, stages, formation, enseignements, création, expositions)
•	Des échanges culturels avec d'autres associations et collectifs du même type. Partenariat avec convention.</t>
  </si>
  <si>
    <t xml:space="preserve">47 Rue des Menuts                                 Association "Les Menuts des Arts"                                                                                                             </t>
  </si>
  <si>
    <t>06 22 17 27 66</t>
  </si>
  <si>
    <t>VALERIE GUIGOU</t>
  </si>
  <si>
    <t>https://assos.bordeaux.fr/association/detail/1319</t>
  </si>
  <si>
    <t>THE DESK - ART CONTEMPORAIN</t>
  </si>
  <si>
    <t>Promouvoir la création artistique via l'organisation de projets en collaboration avec des artistes plasticiens, notamment dans le domaine des installations, des performances et des ateliers participatifs dans l'espace public urbain et l'espace naturel.</t>
  </si>
  <si>
    <t xml:space="preserve">27 rue de Preignac                                                                                                </t>
  </si>
  <si>
    <t>06 89 89 34 36</t>
  </si>
  <si>
    <t>www.thedeskart.com</t>
  </si>
  <si>
    <t>https://assos.bordeaux.fr/association/detail/1769</t>
  </si>
  <si>
    <t>SHOW 2 VENTS - S2V</t>
  </si>
  <si>
    <t>https://assos.bordeaux.fr/association/detail/1683</t>
  </si>
  <si>
    <t>JOLIE PETITE MAMAN  - J.P.M.</t>
  </si>
  <si>
    <t>Bien être et animations pour tous. Maquillage artistique, bar à sourcils, maquillage classique et conseil sur l’image personnelle. Réflexologie plantaire Thaï. Marches de groupe et randonnées.</t>
  </si>
  <si>
    <t xml:space="preserve">19 rue d’Austerlitz                                                                                                 </t>
  </si>
  <si>
    <t>Cécile  Techeney</t>
  </si>
  <si>
    <t>ctecheney.wixsite.com/jolie-petite-maman</t>
  </si>
  <si>
    <t>https://assos.bordeaux.fr/association/detail/1777</t>
  </si>
  <si>
    <t>MOTO-CLUB BORDEAUX - MCB</t>
  </si>
  <si>
    <t>https://assos.bordeaux.fr/association/detail/1640</t>
  </si>
  <si>
    <t>MIX COLORS UNITED - MCU</t>
  </si>
  <si>
    <t>Promouvoir les danses urbaines</t>
  </si>
  <si>
    <t xml:space="preserve">Pole Citoyenneté                                 Chemin des Iris                                                                                                             </t>
  </si>
  <si>
    <t>33310</t>
  </si>
  <si>
    <t>07 69 00 14 81</t>
  </si>
  <si>
    <t>https://assos.bordeaux.fr/association/detail/623</t>
  </si>
  <si>
    <t>THE WILL</t>
  </si>
  <si>
    <t>La Distribution Artistique et la Direction de Casting, ouvertes à tous et destinées à soutenir et promouvoir la création artistique, notamment par le conseil, l’accompagnement, l’expertise de recrutement et la présélections d’artistes, d’amateurs et de figurants; la production et la diffusion d’œuvres audiovisuelles et la mise en place de projets culturels en lien avec son activité de distribution artistique.</t>
  </si>
  <si>
    <t xml:space="preserve">11 rue Flèche                                                                                                 </t>
  </si>
  <si>
    <t>06 63 83 10 39</t>
  </si>
  <si>
    <t>thewill.fr</t>
  </si>
  <si>
    <t>https://assos.bordeaux.fr/association/detail/537</t>
  </si>
  <si>
    <t>AUTO DÉFENSE ET ARTS MARTIAUX BORDEAUX  - ADAM BORDEAUX</t>
  </si>
  <si>
    <t>L'association ADAM Bordeaux a pour objet l’enseignement et la pratique des arts martiaux en général dont le Krav-Maga, Judo, Jiu Jitsu Brésilien, Grappling et Mix Martial Arts (MMA).</t>
  </si>
  <si>
    <t xml:space="preserve">92 cours le Rouzic                                                                                                </t>
  </si>
  <si>
    <t>06 64 11 81 45</t>
  </si>
  <si>
    <t>Sébastien  VICENTINI</t>
  </si>
  <si>
    <t>www.adam-bordeaux.fr</t>
  </si>
  <si>
    <t>https://assos.bordeaux.fr/association/detail/1016</t>
  </si>
  <si>
    <t>Accompagner toutes personnes confrontées à des problématiques de développement personnel, les aider et les orienter vers des professionnels de différents secteurs. Participer à tous travaux d'étude et de recherche. Organiser des rencontres, conférences, réunions d'information, ateliers personnels ou collectifs.</t>
  </si>
  <si>
    <t xml:space="preserve">5 Rue René Roy de Clotte                                                                                                </t>
  </si>
  <si>
    <t>06 60 81 35 18</t>
  </si>
  <si>
    <t>https://assos.bordeaux.fr/association/detail/1011</t>
  </si>
  <si>
    <t>AIR PASSION AQUITAINE - APA</t>
  </si>
  <si>
    <t>La diffusion et le partage des compétences et du savoir-faire technique aérospatial, l'accompagnement à l'orientation professionnelle dans le secteur aérospatial, la promotion de l'histoire aérospatiale.</t>
  </si>
  <si>
    <t xml:space="preserve">30 rue Marcelin Berthelot                                 Rés Le Flore, appt 15                                                                                                             </t>
  </si>
  <si>
    <t>05 56 02 20 54</t>
  </si>
  <si>
    <t>PIERRE PECASTAINGTS</t>
  </si>
  <si>
    <t>www.airpassion-aquitaine.org</t>
  </si>
  <si>
    <t>https://assos.bordeaux.fr/association/detail/963</t>
  </si>
  <si>
    <t>Association de Solidarité Internationale dans le domaine de l'Education</t>
  </si>
  <si>
    <t xml:space="preserve">99 Boulevard Albert 1er                                  Residence Liotard BT C                                                                                                             </t>
  </si>
  <si>
    <t>06 81 17 13 81</t>
  </si>
  <si>
    <t>https://assos.bordeaux.fr/association/detail/699</t>
  </si>
  <si>
    <t>ASSOCIATION CULTURELLE FRANCO PÉRUVIENNE TAYTA - TAYTA</t>
  </si>
  <si>
    <t>Cette association a pour but de faciliter les échanges culturels et bilatéraux, notamment au niveau gastronomique, entre Pérou  et la France, voir l’Europe, en diffusant les différents expressions et manifestations, ainsi rapprocher les membres des deux cultures avec le but de générer une meilleure intégration et /ou compréhension mutuelle. Facebook : https://www.facebook.com/TaytaBordeaux/</t>
  </si>
  <si>
    <t xml:space="preserve">35 RUE DUBPURDIEU                                                                                                </t>
  </si>
  <si>
    <t>06 25 22 57 09</t>
  </si>
  <si>
    <t>GIANCARLO CACHAY SOTELO</t>
  </si>
  <si>
    <t>https://assos.bordeaux.fr/association/detail/1578</t>
  </si>
  <si>
    <t>Danse avec nous à pour but de promouvoir la Danse en général, tous les styles de danses et univers culturels et artistiques qui sont associés (musique, cinéma, théâtre, peinture ...). 
L'association exerce son activité en France et peut être amenée à produire des événements ou coopérer sur des opérations internationales.</t>
  </si>
  <si>
    <t xml:space="preserve">79, allée Jean Giono                                 Rsd Carré Rive Droite, Apt B26                                                                                                             </t>
  </si>
  <si>
    <t>06 64 94 68 56</t>
  </si>
  <si>
    <t>MARC PINAUD</t>
  </si>
  <si>
    <t>www.danseavecnousbordeaux.fr</t>
  </si>
  <si>
    <t>https://assos.bordeaux.fr/association/detail/542</t>
  </si>
  <si>
    <t>Les Cyranos est une association ouverte à tous proposant des activités de pratique théâtrale et de découverte du patrimoine. Elle organise notamment des jeux à énigmes de type "chasse au trésor". Elle accorde une attention et une bienveillance particulière aux personnes ayant des difficultés autistiques en soutenant les rencontres à travers des projets artistiques et culturels partagés.</t>
  </si>
  <si>
    <t xml:space="preserve">34 rue Castéja                                                                                                </t>
  </si>
  <si>
    <t>06 87 40 39 51</t>
  </si>
  <si>
    <t>lescyranos.fr</t>
  </si>
  <si>
    <t>https://assos.bordeaux.fr/association/detail/1822</t>
  </si>
  <si>
    <t>L'Objet de l'association Les Morphogènistes (loi 1901) :
Mener diverses actions culturelles dans le champ des arts numériques.
Elle s’organise autour de trois pôles principaux : la création, la pédagogie et la recherche.</t>
  </si>
  <si>
    <t xml:space="preserve">35BIS rue de Marmande                                                                                                </t>
  </si>
  <si>
    <t>06 22 37 34 02</t>
  </si>
  <si>
    <t>www.morphogenistes.org</t>
  </si>
  <si>
    <t>https://assos.bordeaux.fr/association/detail/952</t>
  </si>
  <si>
    <t>Ô PLAFOND - O_Ô</t>
  </si>
  <si>
    <t>L’association dite « ô plafond » a pour objet de favoriser la création, la diffusion autour de la culture et de la permaculture ; de gérer un bar associatif et ainsi créer des manifestions pour encourager sous toutes ses formes la rencontre interdisciplinaire.</t>
  </si>
  <si>
    <t xml:space="preserve">14 rue Saint Vincent de Paul                                                                                                </t>
  </si>
  <si>
    <t>06 68 09 80 38</t>
  </si>
  <si>
    <t>o.bar.le.plafond.free.fr</t>
  </si>
  <si>
    <t>https://assos.bordeaux.fr/association/detail/1661</t>
  </si>
  <si>
    <t>CUIVRES DU SUD</t>
  </si>
  <si>
    <t>https://assos.bordeaux.fr/association/detail/1353</t>
  </si>
  <si>
    <t>ASSOCIATION NOTRE DAME DES BARRAILS</t>
  </si>
  <si>
    <t>L'Association a pour objet d'accueillir dans les lieux qu'elle a à sa disposition, des personnes (avec ou sans addiction) ou des familles en errance (de toutes nationalités ou religions) qui veulent se mettre à l'abri pour changer de vie. Il s'agit de vivre ensemble avec des personnes de bonne volonté pour les aider à se saisir de toutes les possibilités qui leur seront proposées pour faire aboutir leurs projets.</t>
  </si>
  <si>
    <t xml:space="preserve">14 place Saint Martial                                 Maison de Marie                                                                                                             </t>
  </si>
  <si>
    <t>06 60 04 27 35</t>
  </si>
  <si>
    <t>https://assos.bordeaux.fr/association/detail/1146</t>
  </si>
  <si>
    <t>L’association anime une épicerie solidaire de proximité ouverte à tout public et dans laquelle certaines aides des services sociaux sont utilisables. 
Ancrée dans les réalités sociales, culturelles et économiques du territoire, l'association développe avec ses adhérents des projets autour de la problématique alimentation/précarité/santé. Les activités collectives sont gratuites et menées avec l'appui du bénévolat.</t>
  </si>
  <si>
    <t>05 56 31 87 81</t>
  </si>
  <si>
    <t>françoise bouvet</t>
  </si>
  <si>
    <t>www.epicerie-solidaire.fr</t>
  </si>
  <si>
    <t>https://assos.bordeaux.fr/association/detail/940</t>
  </si>
  <si>
    <t>LE MOT À LA BOUCHE</t>
  </si>
  <si>
    <t>Notre association dispense des cours de langues : Anglais, Espagnol, Russe et Français pour les étrangers. Nous nous adressons à un public d'enfants, d'adolescents et d'adultes. Les cours ou ateliers peuvent être ludiques, scolaires ou professionnels selon les besoins de chacun.</t>
  </si>
  <si>
    <t xml:space="preserve">51 rue de Nuits                                                                                                </t>
  </si>
  <si>
    <t>06 60 94 63 91</t>
  </si>
  <si>
    <t>http:www.lemot.org</t>
  </si>
  <si>
    <t>https://assos.bordeaux.fr/association/detail/790</t>
  </si>
  <si>
    <t>COLLECTIF TROIS TIERS</t>
  </si>
  <si>
    <t>Le Collectif Trois-Tiers, pour tiers-temps, tiers-lieux et habitants, rassemble des passionnés des questions de développement local qui ont pour objectif commun de mettre l’habitant et les usagers au cœur du processus d'évolution des territoires ruraux.</t>
  </si>
  <si>
    <t xml:space="preserve">35 rue des bahutiers                                                                                                </t>
  </si>
  <si>
    <t>06 72 02 26 66</t>
  </si>
  <si>
    <t>collectiftroistiers.com</t>
  </si>
  <si>
    <t>https://assos.bordeaux.fr/association/detail/1073</t>
  </si>
  <si>
    <t>CIB (CLUB INDÉPENDANT BORDELAIS) - CIB</t>
  </si>
  <si>
    <t>Activité : CYCLOTOURISME
Randonnées/découvertes à vélo à la journée chaque jeudi - chaque dimanche - chaque jour férié  
majoritairement au départ de Bordeaux et une fois par mois avec un départ excentré (gare ou autre à 80 kms environ de Bordeaux)</t>
  </si>
  <si>
    <t xml:space="preserve">37, rue Genesta                                                                                                </t>
  </si>
  <si>
    <t>06 77 50 84 71</t>
  </si>
  <si>
    <t>Danièle ROBART</t>
  </si>
  <si>
    <t>cib.ffct.org/index.html</t>
  </si>
  <si>
    <t>https://assos.bordeaux.fr/association/detail/1304</t>
  </si>
  <si>
    <t>ASSOCIATION POUR LE RESPECT DE L'ENVIRONNEMENT SUR LES MANIFESTATIONS CULTURELLES ET SPORTIVES  - AREMACS</t>
  </si>
  <si>
    <t>Aremacs est une association loi 1901 à but non lucratif créée en 2004. Elle a pour objectif de limiter les impacts environnementaux des manifestations sociales, culturelles et sportives en proposant des solutions concrètes aux organisateurs d’événements pour réduire, gérer et valoriser les déchets et en sensibilisant les publics des événements au respect de l’environnement.</t>
  </si>
  <si>
    <t xml:space="preserve">11 rue des puits descazeaux                                                                                                </t>
  </si>
  <si>
    <t>06 13 95 08 61</t>
  </si>
  <si>
    <t>aremacs.com</t>
  </si>
  <si>
    <t>https://assos.bordeaux.fr/association/detail/1377</t>
  </si>
  <si>
    <t>TOUS AUX ABRIS !</t>
  </si>
  <si>
    <t>Concevoir et réaliser des abris de protection pour animaux liminaires menacés (oiseaux, chauve-souris, hérissons, abeilles…), dans une démarche sociale participative et pédagogique, ainsi que prospective sur le plan scientifique.
Concevoir et réaliser en atelier partagé du mobilier intérieur et extérieur pour abriter le vivant, afin de favoriser la biodiversité.
Expérimenter une organisation collégiale.</t>
  </si>
  <si>
    <t xml:space="preserve">31 bis rue Barillet Deschamps                                                                                                </t>
  </si>
  <si>
    <t>06 70 61 84 42</t>
  </si>
  <si>
    <t>tousauxabris.org</t>
  </si>
  <si>
    <t>https://assos.bordeaux.fr/association/detail/1548</t>
  </si>
  <si>
    <t>PALLIA PLUS</t>
  </si>
  <si>
    <t>Accompagnement et écoute de personnes malades et/ou en fin de vie en soins palliatifs, de leurs familles et proches.</t>
  </si>
  <si>
    <t xml:space="preserve">30 rue Kléber                                                                                                </t>
  </si>
  <si>
    <t>05 56 08 24 68</t>
  </si>
  <si>
    <t>www.palliaplus.org</t>
  </si>
  <si>
    <t>https://assos.bordeaux.fr/association/detail/1474</t>
  </si>
  <si>
    <t>GV PERGOLA STÉHÉLIN</t>
  </si>
  <si>
    <t>Vous souhaitez bouger, vous dépenser, entretenir votre forme, préserver votre capital Santé, maintenir votre autonomie, mieux vieillir, faire de nouvelles rencontres dans une ambiance conviviale ?
N'hésitez plus, contactez-nous et nous vous accueillerons avec plaisir pour 2 séances d'essai gratuites.
Encadrée par six animatrices diplômées et affiliées à la Fédération Française de Gymnastique Volontaire et d'Education Physique + une équipe de bénévoles dynamiques et dévoué(e)s, notre association, détentrice du Label Sport Santé, est active sur notre secteur depuis 50 ans.
Ce club GV est affilié à la FFEPGV et profite d'une longue expérience de l'activité physique et sportive pour les pratiquants adultes de tous âges. Il est ouvert à tous.</t>
  </si>
  <si>
    <t xml:space="preserve">213 avenue Léon Blum                                 C/O M. Serge Rous                                                                                                             </t>
  </si>
  <si>
    <t>06 75 80 59 46</t>
  </si>
  <si>
    <t>https://assos.bordeaux.fr/association/detail/722</t>
  </si>
  <si>
    <t>GINGA NAGÔ GIRONDE</t>
  </si>
  <si>
    <t>L'Association Ginga Nagô Gironde, affiliée au Groupe Ginga Nagô, se propose de diffuser et d'enseigner la capoeira et les arts culturels afrobrésiliens.</t>
  </si>
  <si>
    <t xml:space="preserve">146 avenue du Taillan-Médoc                                                                                                </t>
  </si>
  <si>
    <t>06 12 14 08 73</t>
  </si>
  <si>
    <t>www.bordeaux-capoeira.fr</t>
  </si>
  <si>
    <t>https://assos.bordeaux.fr/association/detail/1101</t>
  </si>
  <si>
    <t>HABITAT POUR ACTIFS ET RETRAITÉS AUTONOMES ET SOLIDAIRES - SARAH</t>
  </si>
  <si>
    <t>L’élaboration de projets d’habitat coopératif régi par une charte du vivre ensemble. Pour ce faire, elle facilitera l'élaboration de Sociétés Coopératives de construction ou de toute autre forme juridique adaptée qui construiront un ou des ensembles immobiliers dans la Métropole de Bordeaux.</t>
  </si>
  <si>
    <t xml:space="preserve">SARAH C23 8 rue Charles Durand                                                                                                </t>
  </si>
  <si>
    <t>06 70 11 30 27</t>
  </si>
  <si>
    <t>Véronique De Poncheville</t>
  </si>
  <si>
    <t>https://assos.bordeaux.fr/association/detail/574</t>
  </si>
  <si>
    <t>LES ATELIERS VIVRE ZEN</t>
  </si>
  <si>
    <t>Animation d'atelier DIY autour du bien-être et des produits naturels .
Apprenez à fabriquer vos produits de beautés, ménagés ou divers objets autour de l'écologie ! découvrez les vertus des plantes ...</t>
  </si>
  <si>
    <t xml:space="preserve">7 RUE JOSEPH BRUNET                                                                                                 </t>
  </si>
  <si>
    <t>06 24 87 48 51</t>
  </si>
  <si>
    <t>https://assos.bordeaux.fr/association/detail/1537</t>
  </si>
  <si>
    <t>JADOPTEUNPROJET.COM</t>
  </si>
  <si>
    <t>https://assos.bordeaux.fr/association/detail/1357</t>
  </si>
  <si>
    <t>RESTONS CALMES (DANS LA DIGNITÉ !)</t>
  </si>
  <si>
    <t>Restons Calmes ! (Dans la dignité) est l'une des principales ligues d’improvisation théâtrale de Bordeaux. Grâce à l’implication de chacun, le collectif appartient aujourd’hui aux réseaux régional, national et international de l'improvisation.</t>
  </si>
  <si>
    <t xml:space="preserve">52 rue Surson                                 appt 26                                                                                                             </t>
  </si>
  <si>
    <t>07 52 50 34 13</t>
  </si>
  <si>
    <t>https://assos.bordeaux.fr/association/detail/797</t>
  </si>
  <si>
    <t>ASSOCIATION PETITE ENFANCE, ENFANCE ET FAMILLE - APEEF</t>
  </si>
  <si>
    <t>Notre association loi 1901 anime et gère trois établissements, destinés à l'accueil des enfants et de leurs familles pour "favoriser leur bien être et les aider à grandir et à prendre leur place dans la société". L’APEEF organise aussi des formations et intervient au sein de plusieurs écoles pour les activités périscolaires de fin de journée et les accueils de loisirs les mercredis et pendant les vacances.</t>
  </si>
  <si>
    <t xml:space="preserve">64 rue Magendie                                                                                                </t>
  </si>
  <si>
    <t>05 56 33 86 50</t>
  </si>
  <si>
    <t>apeef.com</t>
  </si>
  <si>
    <t>https://assos.bordeaux.fr/association/detail/912</t>
  </si>
  <si>
    <t>ASSOCIATION "JE CHERCHE UN JOB" - JC1JOB</t>
  </si>
  <si>
    <t>https://assos.bordeaux.fr/association/detail/1775</t>
  </si>
  <si>
    <t>PEI LIN WUSHU SPORT ASSOCIATION</t>
  </si>
  <si>
    <t>Association ayant pour objet l'enseignement des arts martiaux chinois,la préparation de spectacle et la réalisation de vidéo amateurs de scène d'actions.</t>
  </si>
  <si>
    <t xml:space="preserve">188 Rue Pasteur                                  Residence le Darvin                                                                                                              </t>
  </si>
  <si>
    <t>06 22 87 36 60</t>
  </si>
  <si>
    <t>Xiaocui Han</t>
  </si>
  <si>
    <t>https://assos.bordeaux.fr/association/detail/552</t>
  </si>
  <si>
    <t>MALOCA</t>
  </si>
  <si>
    <t>L'association maloca a pour objet d'accompagner , conseiller des personnes âgées par le biais d'un service de mandataire ; le but est de réaliser des projets de vie personnalisés et de fournir les réponses en adéquation avec les besoins et désirs des personnes ayant recours à l'association.</t>
  </si>
  <si>
    <t xml:space="preserve">quai de queyries                                                                                                </t>
  </si>
  <si>
    <t>06 47 18 02 27</t>
  </si>
  <si>
    <t>solene feydy</t>
  </si>
  <si>
    <t>www.maloca.fr</t>
  </si>
  <si>
    <t>https://assos.bordeaux.fr/association/detail/1096</t>
  </si>
  <si>
    <t>COMITÉ DE QUARTIER DE LA BARRIÈRE DE TOULOUSE - CAUDERES</t>
  </si>
  <si>
    <t>L'association CAUDERES a pour objet l'adaptation de l'urbanisme au cadre de vie, la défense de l'environnement, la promotion des mobilités douces et de la démocratie participative à la barrière de Toulouse</t>
  </si>
  <si>
    <t xml:space="preserve">MNE 3 rue de Tauzia                                                                                                 </t>
  </si>
  <si>
    <t>06 99 42 09 49</t>
  </si>
  <si>
    <t>association.cauderes.over-blog.com</t>
  </si>
  <si>
    <t>https://assos.bordeaux.fr/association/detail/1262</t>
  </si>
  <si>
    <t>ASTRONOMIE SENSORIELLE - AS</t>
  </si>
  <si>
    <t>L’association s’adresse à toute sorte de public et de tout âge .L’objectif de l’association étant de faire découvrir l’astronomie à tout public et particulièrement aux personnes en situation de handicap. Et, par une démarche ludique, faire prendre conscience du handicap. En effet, l’association a pour but d’être accessible à un maximum de personnes, ainsi, les activités sont adaptées aux différentes situations.</t>
  </si>
  <si>
    <t xml:space="preserve">16 rue André Darbon                                 Apt. 144                                                                                                             </t>
  </si>
  <si>
    <t>07 61 62 18 02</t>
  </si>
  <si>
    <t>www.astronomiesensorielle.fr</t>
  </si>
  <si>
    <t>https://assos.bordeaux.fr/association/detail/1299</t>
  </si>
  <si>
    <t>Extra a pour but d’ouvrir un champ de recherche, de création et de sensibilisation autour de la notion d’Espace liée à l'architecture mais aussi à d'autres champs disciplinaires (paysage, danse,...). L’activité de l’association se décline autour de pôles : éditions et ateliers. Les livres édités sont des supports pédagogiques pour nos ateliers, menés dans une pédagogie du "faire" et de l'expérimentation.</t>
  </si>
  <si>
    <t xml:space="preserve">13 rue de Cenon                                                                                                </t>
  </si>
  <si>
    <t>06 22 62 83 47</t>
  </si>
  <si>
    <t>www.associationextra.fr</t>
  </si>
  <si>
    <t>https://assos.bordeaux.fr/association/detail/664</t>
  </si>
  <si>
    <t>ACCOMPAGNER VERS LA RÉUSSITE LES PARENTS ET LES JEUNES - ARPEJ-33</t>
  </si>
  <si>
    <t>Soutenir les familles par : l'accompagnement à la scolarité, à l'orientation et à l'insertion professionnelle ; la mise en place d'activités à caractère éducatif, culturel ou social. Le tout en référence à la pédagogie ignatienne.</t>
  </si>
  <si>
    <t xml:space="preserve">40 avenue d'Eysines                                                                                                </t>
  </si>
  <si>
    <t>06 80 15 55 97</t>
  </si>
  <si>
    <t>Norbert  Amiet</t>
  </si>
  <si>
    <t>https://assos.bordeaux.fr/association/detail/1471</t>
  </si>
  <si>
    <t>MERAKI TRIBAL</t>
  </si>
  <si>
    <t>L'association Meraki Tribal a pour but la création d'espace-temps de danse et la diffusion de la danse tribale.</t>
  </si>
  <si>
    <t xml:space="preserve">22 rue soldat moncourrier                                                                                                 </t>
  </si>
  <si>
    <t>06 22 22 21 67</t>
  </si>
  <si>
    <t>https://assos.bordeaux.fr/association/detail/1115</t>
  </si>
  <si>
    <t>AES - AES</t>
  </si>
  <si>
    <t>Aide et soutien aux cadres en recherche d'emploi.</t>
  </si>
  <si>
    <t xml:space="preserve">99 rue Judaïque                                                                                                </t>
  </si>
  <si>
    <t>05 56 24 25 97</t>
  </si>
  <si>
    <t>https://assos.bordeaux.fr/association/detail/817</t>
  </si>
  <si>
    <t>URBAN VIBRATIONS SCHOOL - UVS</t>
  </si>
  <si>
    <t>l’organisation d’actions solidaires, associations de compétences et mélanges des genres, promotion de l’art et des cultures, aide au développement individuel au travers de la pratique artistique et des échanges culturels, aide à la réalisation de projets, promouvoir la citoyenneté et favoriser les échanges autour des valeurs du vivre ensemble.</t>
  </si>
  <si>
    <t xml:space="preserve">153 rue François Roganeau                                                                BP 20031                                </t>
  </si>
  <si>
    <t>33028</t>
  </si>
  <si>
    <t>05 56 80 95 74</t>
  </si>
  <si>
    <t>www.assouvs.fr</t>
  </si>
  <si>
    <t>https://assos.bordeaux.fr/association/detail/528</t>
  </si>
  <si>
    <t>ERNEST CIRCUIT-COURT SOLIDARITÉ - ERNEST CCS</t>
  </si>
  <si>
    <t>L'association se donne pour mission de lutter contre une précarité grandissante dans tous les domaines, et contre la détérioration du lien social au travers de la mise en oeuvre, ou de l'animation de réseaux de solidarité locale et du soutien qu'elle apporte à des organisations oeuvrant sur le terrain ; notamment en initiant et en menant directement des actions concrètes de lutte contre la précarité alimentaire.</t>
  </si>
  <si>
    <t xml:space="preserve">97 rue de Bègles                                                                                                </t>
  </si>
  <si>
    <t>06 50 14 09 92</t>
  </si>
  <si>
    <t>hello-ernest.com/fr</t>
  </si>
  <si>
    <t>https://assos.bordeaux.fr/association/detail/1371</t>
  </si>
  <si>
    <t>INTERNATIONAL NATURAL VANILLA ORGANISATION - INVO</t>
  </si>
  <si>
    <t>International Natural Vanilla Organisation (INVO) est une association dont le siège est à Bordeaux en France et qui oeuvre pour la promotion de la vanille naturelle. Elle a pour vocation de rassembler les acteurs de la filière de vanille naturelle et de les encourager à un dialogue constructif et équitable sur les questions et les enjeux liés à cette filière.</t>
  </si>
  <si>
    <t xml:space="preserve">3 rue Tauzia                                                                                                </t>
  </si>
  <si>
    <t>07 82 04 11 97</t>
  </si>
  <si>
    <t>Nathalie Behajaina</t>
  </si>
  <si>
    <t>www.invo-association.org</t>
  </si>
  <si>
    <t>https://assos.bordeaux.fr/association/detail/1127</t>
  </si>
  <si>
    <t>ASSOCIATION ZEKI - ZEKI</t>
  </si>
  <si>
    <t>Association de lutte contre l'illetrisme</t>
  </si>
  <si>
    <t xml:space="preserve">Chez M. Christian Sauvaitre, 42 Rue de Cauderès                                                                                                </t>
  </si>
  <si>
    <t>06 61 57 43 60</t>
  </si>
  <si>
    <t>https://assos.bordeaux.fr/association/detail/1010</t>
  </si>
  <si>
    <t>MAINTIEN DE LA TRADITION DE DAGPO DRATSANG - M.T.D.D</t>
  </si>
  <si>
    <t>Cette association a pour objet le maintien et la préservation des patrimoines des monastères de Dagpo Dratsang
tant en Inde qu'au Tibet et en Europe.Les ressources excédentaires obtenues au travers des activités prévues par la loi seront exclusivement consacrées au but défini précédemment ,sous forme de reversement à des associations et fondations telles "Entraide Franco Tibétaine" ou" Dagpo Educational Fondation".</t>
  </si>
  <si>
    <t xml:space="preserve">30 rue La Mothe                                                                                                </t>
  </si>
  <si>
    <t>06 89 75 68 28</t>
  </si>
  <si>
    <t>Monique Cherrad</t>
  </si>
  <si>
    <t>https://assos.bordeaux.fr/association/detail/738</t>
  </si>
  <si>
    <t>OFFICE AQUITAIN DE RECHERCHES, D'ETUDES, D'INFORMATION ET DE LIAISON  - OAREIL</t>
  </si>
  <si>
    <t>L'association a pour vocation d'améliorer les conditions de vie sociales et culturelles de tout public.</t>
  </si>
  <si>
    <t xml:space="preserve">3 rue Lafayette                                                                                                </t>
  </si>
  <si>
    <t>05 56 79 22 78</t>
  </si>
  <si>
    <t>www.oareil.org</t>
  </si>
  <si>
    <t>https://assos.bordeaux.fr/association/detail/795</t>
  </si>
  <si>
    <t>Association de commerçants et artisans</t>
  </si>
  <si>
    <t xml:space="preserve">102 rue Sainte Catherine                                                                                                </t>
  </si>
  <si>
    <t>05 56 81 12 97</t>
  </si>
  <si>
    <t>www.larondedesquartiersdebordeaux.com</t>
  </si>
  <si>
    <t>https://assos.bordeaux.fr/association/detail/1040</t>
  </si>
  <si>
    <t>MOLISA</t>
  </si>
  <si>
    <t>L’association Molisa propose des cours d’histoire de l’art, des visites guidées et des voyages culturels à toutes les personnes, actives ou retraitées, désireuses d’enrichir leurs connaissances. Nos activités sont ouvertes à tous, sans prérequis de niveau.</t>
  </si>
  <si>
    <t xml:space="preserve">38 cours Maréchal Foch                                                                                                </t>
  </si>
  <si>
    <t>06 64 78 26 74</t>
  </si>
  <si>
    <t>molisa.fr</t>
  </si>
  <si>
    <t>https://assos.bordeaux.fr/association/detail/1181</t>
  </si>
  <si>
    <t>LE PROTOCOLE</t>
  </si>
  <si>
    <t>création d’une webradio associative, le développement à l’échelle locale et nationale, ainsi que l’organisation d’évènements culturels en lien avec l’univers musical.</t>
  </si>
  <si>
    <t xml:space="preserve">1 rue du docteur bert                                                                                                </t>
  </si>
  <si>
    <t>06 21 55 20 24</t>
  </si>
  <si>
    <t>https://assos.bordeaux.fr/association/detail/1690</t>
  </si>
  <si>
    <t>JOYEUSE COQUILLE</t>
  </si>
  <si>
    <t>https://assos.bordeaux.fr/association/detail/659</t>
  </si>
  <si>
    <t>ESPACE EMPLOI AGIRC ARRCO BORDEAUX</t>
  </si>
  <si>
    <t>L’activité de notre association est basée sur l’accompagnement des demandeurs d’emplois longue durée, désireux de retourner vers l’emploi, programme gratuit de 4 mois pendant lesquels nous mettons en œuvre un suivi hebdomadaire et des ateliers. L'Équipe pluridisciplinaire de l'asso : conseillers en insertion professionnelle, psychologue clinicien et intervenante théâtre. Cet accompagnement est un booster à l'emploi.</t>
  </si>
  <si>
    <t xml:space="preserve">11/13 rue de Gironde                                 Immeuble la Fabrique                                                                                                             </t>
  </si>
  <si>
    <t>05 57 14 20 25</t>
  </si>
  <si>
    <t>Héloïse LAURENT</t>
  </si>
  <si>
    <t>www.agirc-arrco.fr/action-sociale/demandeurs-emploi/#c1095</t>
  </si>
  <si>
    <t>https://assos.bordeaux.fr/association/detail/666</t>
  </si>
  <si>
    <t>ACCOMPAGNER-CONDUIRE-TRANSMETTRE - ACT</t>
  </si>
  <si>
    <t>En relation avec ses partenaires, ACT s'est fixé pour mission de faciliter l'insertion professionnelle des jeunes et des adultes en les préparant aux entretiens de recrutement (Conseils sur le CV et la LM, Simulations d'entretien) qu'il s'agisse d'un accès à l'emploi, d'une entrée en formation ou d'une admission en stage.</t>
  </si>
  <si>
    <t xml:space="preserve">Place Saint Christoly                                 Athénée Père Joseph Wrésinski,  Boîte n°10                                                                                                             </t>
  </si>
  <si>
    <t>07 81 10 16 16</t>
  </si>
  <si>
    <t>Pierre Roques</t>
  </si>
  <si>
    <t>www.actgironde.org</t>
  </si>
  <si>
    <t>https://assos.bordeaux.fr/association/detail/1577</t>
  </si>
  <si>
    <t>INSER-ASAF</t>
  </si>
  <si>
    <t>Notre objectif est multidimensionnelle c’est-à-dire qu’il vise à :
- Lutter contre l’exclusion des plus démunis en apportant tout d’abord des éléments vitaux
- Agir à un autre niveau: social et psychologique. 
- Proposer une aide administrative (domiciliations, instructions et suivi de dossier RSA. 
- Formation</t>
  </si>
  <si>
    <t xml:space="preserve">198 ROUTE DE TOULOUSE                                                                                                 </t>
  </si>
  <si>
    <t>06 28 78 93 61</t>
  </si>
  <si>
    <t>www.inserasaf.com</t>
  </si>
  <si>
    <t>https://assos.bordeaux.fr/association/detail/837</t>
  </si>
  <si>
    <t>ARS ET FIDES</t>
  </si>
  <si>
    <t>Visite d'eglises à Bordeaux   et conférences</t>
  </si>
  <si>
    <t xml:space="preserve">48 avenue Jean Macé                                                                                                </t>
  </si>
  <si>
    <t>06 83 50 93 85</t>
  </si>
  <si>
    <t>https://assos.bordeaux.fr/association/detail/646</t>
  </si>
  <si>
    <t>LOS TREINTA Y TRES - LOS *33*</t>
  </si>
  <si>
    <t>Los "33" est une association loi 1901 de Bordeaux qui regroupe des danseurs passionnés par la salsa, la bachata ou la kizomba ou plusieurs de ces danses ou musique. Elle propose des animations ouvertes à tous telles que : des animations SalBaKiz » au Punta Cana, et à Carcans, le Flasmob International de Rueda de Casino à Bordeaux</t>
  </si>
  <si>
    <t xml:space="preserve">36 RUE DUPATY                                                                                                </t>
  </si>
  <si>
    <t>07 52 62 60 12</t>
  </si>
  <si>
    <t>https://assos.bordeaux.fr/association/detail/997</t>
  </si>
  <si>
    <t>ROSE ASSOCIATION - LA MAISON ROSE</t>
  </si>
  <si>
    <t>La Maison Rose accompagne des hommes et des femmes touchés par le cancer afin d’informer et répondre aux nombreux questionnements que peut susciter la maladie. Ce véritable lieu de vie s’applique à multiplier les moments de rencontres, d’échanges et de réconfort à travers 130 ateliers par mois entièrement gratuits.</t>
  </si>
  <si>
    <t xml:space="preserve">9 rue de Condé                                                                                                 </t>
  </si>
  <si>
    <t>05 40 12 41 20</t>
  </si>
  <si>
    <t>https://assos.bordeaux.fr/association/detail/1657</t>
  </si>
  <si>
    <t>Créer et produire des spectacles vivants originaux ; produire et diffuser des spectacles professionnels et autres supports d’expression ; permettre à des acteurs d’évoluer dans leur art tout en cultivant un esprit d’invention et de transmission ; mettre en place des ateliers sur des thématiques précises liées aux différentes formes d’écriture, de jeu et d’expression ; organiser des évènements culturels.</t>
  </si>
  <si>
    <t xml:space="preserve">31 rue Minvielle                                                                                                </t>
  </si>
  <si>
    <t>06 63 98 85 75</t>
  </si>
  <si>
    <t>www.collectifcliffhanger.fr</t>
  </si>
  <si>
    <t>https://assos.bordeaux.fr/association/detail/763</t>
  </si>
  <si>
    <t>TOUT CEREBROLESE ASSISTANCE - TCA</t>
  </si>
  <si>
    <t>https://assos.bordeaux.fr/association/detail/999</t>
  </si>
  <si>
    <t>GRAINE AQUITAINE</t>
  </si>
  <si>
    <t>Graine Aquitaine, association de loi 1901, regroupe des personnes et des structures qui œuvrent pour une éducation à l'environnement. Elle a pour objet d'animer un réseau régional d'acteurs à l'éducation à l'environnement (EE), d'être un interlocuteur pour les projets d'EE, et de concevoir des projets dans les domaines de la formation, de l'animation et de la sensibilisation.</t>
  </si>
  <si>
    <t xml:space="preserve">8 rue de l'Abbé Gaillard                                                                                                </t>
  </si>
  <si>
    <t>33830</t>
  </si>
  <si>
    <t>05 56 88 19 07</t>
  </si>
  <si>
    <t>www.graine-aquitaine.org</t>
  </si>
  <si>
    <t>https://assos.bordeaux.fr/association/detail/1046</t>
  </si>
  <si>
    <t>ASSOCIATION DES CONCILIATEURS DE JUSTICE DE LA COUR D'APPEL DE BORDEAUX - ACA BORDEAUX</t>
  </si>
  <si>
    <t>Permettre aux justiciables de trouver par la voie de la conciliation une solution à leur litige civil d'un montant inférieur ou égal à 4000€, et éviter une procédure judiciaire.</t>
  </si>
  <si>
    <t xml:space="preserve">Palais de Justice                                  Place de la République                                                                                                              </t>
  </si>
  <si>
    <t>06 80 03 04 52</t>
  </si>
  <si>
    <t>Patrick Tronche</t>
  </si>
  <si>
    <t>https://assos.bordeaux.fr/association/detail/1392</t>
  </si>
  <si>
    <t>Action sociale et culturelle et organisation de manifestations culturelles.</t>
  </si>
  <si>
    <t xml:space="preserve">19, rue du cloître                                                                                                </t>
  </si>
  <si>
    <t>06 49 62 41 87</t>
  </si>
  <si>
    <t>www.ricochetsonore.fr</t>
  </si>
  <si>
    <t>https://assos.bordeaux.fr/association/detail/1629</t>
  </si>
  <si>
    <t>ROTARY CLUB BORDEAUX</t>
  </si>
  <si>
    <t>https://assos.bordeaux.fr/association/detail/1736</t>
  </si>
  <si>
    <t>KEDGE'BEES</t>
  </si>
  <si>
    <t>Installation et entretien de ruches sur le campus de KEDGE Business School (Talence) et vente du miel récolté, de la cire et des produits dérivés.</t>
  </si>
  <si>
    <t xml:space="preserve">36 RUE BARREYRE                                                                                                </t>
  </si>
  <si>
    <t>06 76 16 73 06</t>
  </si>
  <si>
    <t>Marin DUFRAISSE</t>
  </si>
  <si>
    <t>https://assos.bordeaux.fr/association/detail/569</t>
  </si>
  <si>
    <t>ASSOCIATION HABILITÉE DES JEUNES SAPEURS POMPIERS DE LA BENAUGE - AHJSP BENAUGE</t>
  </si>
  <si>
    <t>L'association a pour but : de regrouper des jeunes à partir de 12 ans, ayant une aptitude médicale qui ne présente aucune contre indication à la pratique du sport, en vue de développer leur esprit de solidarité, de dévouement ainsi que leur sens civique ; de les préparer, par des cours théoriques, pratiques et activités sportives aux épreuves du brevet national de JSP ; de faciliter leur recrutement ultérieur</t>
  </si>
  <si>
    <t xml:space="preserve">1 rue de la Benauge                                 Centre de secours de la Benauge                                                                                                             </t>
  </si>
  <si>
    <t>05 56 77 80 46</t>
  </si>
  <si>
    <t>www.jsp-bordeauxbenauge.fr</t>
  </si>
  <si>
    <t>https://assos.bordeaux.fr/association/detail/1418</t>
  </si>
  <si>
    <t>SAPIN</t>
  </si>
  <si>
    <t>Sapin à pour objet la promotions des arts visuels et numérique partout et pour tous ! Nous intervenons auprès des publics de tout âges dans le cadre d'ateliers ou d’éventements festifs afin d'initier aux pratiques artistiques et de sensibiliser aux enjeux auxquels se confrontent les créatifs dans nos sociétés connectées. Nos champs d'actions recouvrent: l’édition, la vidéo, le dessin animé, le documentaire...</t>
  </si>
  <si>
    <t xml:space="preserve">2 Impasse Peruchet                                                                                                </t>
  </si>
  <si>
    <t>33670</t>
  </si>
  <si>
    <t>07 68 63 63 28</t>
  </si>
  <si>
    <t>https://assos.bordeaux.fr/association/detail/1091</t>
  </si>
  <si>
    <t>AMNESTY INTERNATIONAL GROUPE BORDEAUX SUD</t>
  </si>
  <si>
    <t>Amnesty International est un mouvement de plusieurs millions de personnes qui se battent chaque jour et partout dans le monde pour promouvoir et faire respecter l’ensemble des droits humains inscrits dans la DUDH. 
Amnesty est indépendant de tout gouvernement, toute tendance politique, tout intérêt économique et toute croyance religieuse. Permanences Marché des Douves : premier samedi du mois 10h-12h</t>
  </si>
  <si>
    <t xml:space="preserve">Rue PAUL COURTEAULT                                                                BP 10702                                </t>
  </si>
  <si>
    <t>33006</t>
  </si>
  <si>
    <t>05 56 49 22 80</t>
  </si>
  <si>
    <t>www.amnesty.fr/pres-de-chez-vous/bordeaux-sud?previousSearch=%3Faddress%3D33000</t>
  </si>
  <si>
    <t>https://assos.bordeaux.fr/association/detail/859</t>
  </si>
  <si>
    <t>COMITE DES MEDAILLES JEUNESSE, SPORTS ET ENGAGEMENT ASSOCIATIF DE LA GIRONDE - CDMJSEA 33</t>
  </si>
  <si>
    <t>Promouvoir le sport et le bénévolat - faire pratiquer le sport au plus grand nombre et susciter un bénévolat au service des sports - regrouper toutes les personnes titulaires d'une distinction officielle décernée par le Ministère de la Jeunesse, des Sports et de la Vie Associative  et les personnes honorées par le Comité Départemental -  maintenir des liens de solidarité et d'amitié -  valorisation du bénévolat</t>
  </si>
  <si>
    <t xml:space="preserve">153 Rue David Johnston                                 Maison des Sports et de la Vie Associative                                                                                                             </t>
  </si>
  <si>
    <t>06 63 20 69 70</t>
  </si>
  <si>
    <t>Yves PERPIGNAN</t>
  </si>
  <si>
    <t>www.cdmjsea-gironde.fr</t>
  </si>
  <si>
    <t>https://assos.bordeaux.fr/association/detail/946</t>
  </si>
  <si>
    <t>MACLA</t>
  </si>
  <si>
    <t>Diffuser l'art et promouvoir la diversité culturelle d'Amérique Latine en devenant une plateforme d’échanges avec diverses communautés en France et l’international. Macla est un espace de convergence pour des activités artistiques.</t>
  </si>
  <si>
    <t xml:space="preserve">11 rue Segalier                                  Résidence le Pradeau                                                                                                             </t>
  </si>
  <si>
    <t>06 23 33 21 97</t>
  </si>
  <si>
    <t>Arturo  Perdomo</t>
  </si>
  <si>
    <t>maclart.fr</t>
  </si>
  <si>
    <t>https://assos.bordeaux.fr/association/detail/1722</t>
  </si>
  <si>
    <t>ALLIANCE GUINÉE AQUITAINE - AGA</t>
  </si>
  <si>
    <t>Cette association à but non lucratif a pour objet de mobiliser des moyens humains et matériels
en vu d’apporter aide, assistance et développement aux populations sur le territoire national
français, sur l’ensemble du territoire national de la république de guinée ainsi qu’à
l’international.</t>
  </si>
  <si>
    <t xml:space="preserve">9, Rue francois Rabelais                                                                                                </t>
  </si>
  <si>
    <t>06 51 95 13 79</t>
  </si>
  <si>
    <t>Moulaye HAIDARA</t>
  </si>
  <si>
    <t>https://assos.bordeaux.fr/association/detail/821</t>
  </si>
  <si>
    <t>VÉLO-CITÉ</t>
  </si>
  <si>
    <t>Promotion et développement du vélo urbain comme moyen de déplacement quotidien. 
Défense des intérêts des cyclistes. 
Les 3 axes de travail de l'association :
- Aménagements &amp; stationnement (expertise et propositions)
- Formation et sensibilisation (vélo-école, ateliers de réparation participatifs...)
- Promotion et événementiel (Fête du vélo, Les lumières de la ville, Bourses aux vélos...)
www.velo-cite.org</t>
  </si>
  <si>
    <t xml:space="preserve">16 rue Ausone                                                                                                </t>
  </si>
  <si>
    <t>05 56 81 63 89</t>
  </si>
  <si>
    <t>Ludovic  Fouché</t>
  </si>
  <si>
    <t>https://assos.bordeaux.fr/association/detail/1244</t>
  </si>
  <si>
    <t>JEUNESSE NOUVEAU REGARD  - JNR</t>
  </si>
  <si>
    <t>L'association Jeunesse Nouveau Regard a pour mission de contribuer à l'épanouissement puis à l'éducation des jeunes en mettant en valeur leurs différences qui ne sont autre qu'une diversité de richesse et les encourageant d'apprendre de chacun à travers des échanges créatifs; de favoriser les apprentissages de vie en société en inculquant aux jeunes des valeurs d'unité, de partage, de solidarité et de tolérance...</t>
  </si>
  <si>
    <t xml:space="preserve">16 rue Professeur André Lambinet                                 Chez M. N'SOSSOLO DANY Tour 1, Appart. 1, Résidence La Benauge                                                                                                             </t>
  </si>
  <si>
    <t>07 87 35 04 49</t>
  </si>
  <si>
    <t>Dany N'SOSSOLO</t>
  </si>
  <si>
    <t>https://assos.bordeaux.fr/association/detail/1015</t>
  </si>
  <si>
    <t>Cette association a pour objet d’instaurer le changement positif dans la société à travers la formation. Elle assure des formations innovantes auprès de plusieurs publiques, le but étant et de les accompagner vers l’épanouissement en leur donnant les connaissances et compétences nécessaires pour y arriver. Parmi les thèmes traités : l’égalité des chances, l’insertion professionnelle et l’autonomisation des jeunes.</t>
  </si>
  <si>
    <t xml:space="preserve">87 Quai des Queyries                                                                                                </t>
  </si>
  <si>
    <t>07 83 03 16 51</t>
  </si>
  <si>
    <t>www.citizchool.com</t>
  </si>
  <si>
    <t>https://assos.bordeaux.fr/association/detail/922</t>
  </si>
  <si>
    <t>ASSOCIATION POUR LE DÉVELOPPEMENT DE L'ORIENTATION PERSONNELLE ET PROFESSIONNELLE - ADORA</t>
  </si>
  <si>
    <t>L'association Adora mobilise un réseau de professionnels et d'entreprises au service des acteurs de l'orientation, de l'emploi, de l'insertion et de la formation pour permettre à chaque individu de choisir une voie, des études, un parcours.</t>
  </si>
  <si>
    <t xml:space="preserve">20 rue de Grassi                                                                                                </t>
  </si>
  <si>
    <t>05 56 44 71 98</t>
  </si>
  <si>
    <t>Luc Rauscent</t>
  </si>
  <si>
    <t>www.adora-orientation.org</t>
  </si>
  <si>
    <t>https://assos.bordeaux.fr/association/detail/911</t>
  </si>
  <si>
    <t>ASSOCIATION POUR UNE ÉDUCATION BUISSONNIÈRE - APEB</t>
  </si>
  <si>
    <t>Mettre à la disposition de tous des accueils collectifs de mineurs.
Proposer des activités se rapportant directement ou indirectement à l'éducation, la formation, la culture, le sport et le loisir.</t>
  </si>
  <si>
    <t xml:space="preserve">296 avenue Pasteur                                                                                                </t>
  </si>
  <si>
    <t>07 87 40 24 15</t>
  </si>
  <si>
    <t>www.apeb33.com</t>
  </si>
  <si>
    <t>https://assos.bordeaux.fr/association/detail/1787</t>
  </si>
  <si>
    <t>https://assos.bordeaux.fr/association/detail/1068</t>
  </si>
  <si>
    <t>THOTH CIVILISATIONS SANS FRONTIÈRES - THOTHCSF</t>
  </si>
  <si>
    <t>Expressions culturelles, historiques, artistiques et techniques de civilisations du monde entier.</t>
  </si>
  <si>
    <t xml:space="preserve">1 Place Bardineau                                                                                                </t>
  </si>
  <si>
    <t>06 65 68 77 92</t>
  </si>
  <si>
    <t>Bernard Duguay</t>
  </si>
  <si>
    <t>www.thoth-csf.net</t>
  </si>
  <si>
    <t>https://assos.bordeaux.fr/association/detail/1249</t>
  </si>
  <si>
    <t>AGIR TOUS POUR LA DIGNITÉ QUART MONDE BORDEAUX - ATD QM</t>
  </si>
  <si>
    <t>ATD Quart Monde a pour but d’éradiquer la misère en agissant sur trois plans : sur le terrain avec les personnes concernées pour obtenir l’application du droit pour tous ; auprès des institutions et parlementaires, pour faire changer les lois (DALO, CMU, RMI…) ; et auprès de l’opinion publique, par des campagnes citoyennes pour faire changer le regard porté sur les plus pauvres.</t>
  </si>
  <si>
    <t>05 56 33 95 95</t>
  </si>
  <si>
    <t>www.facebook.com/bordeaux.atdquartmonde.5</t>
  </si>
  <si>
    <t>https://assos.bordeaux.fr/association/detail/1116</t>
  </si>
  <si>
    <t>L'association est une librairie qui a pour but de promouvoir et soutenir la création artistique et graphique, de créer du lien social et du réseau entre les créatifs et le public et les associations. Elle a pour mission de proposer des moyens, d'offrir de la visibilité et de favoriser les rencontres à Bordeaux mais aussi partout ailleurs, en France comme à l'étranger.</t>
  </si>
  <si>
    <t xml:space="preserve">31 rue Bergeret                                                                                                </t>
  </si>
  <si>
    <t>https://assos.bordeaux.fr/association/detail/1445</t>
  </si>
  <si>
    <t>FRANCE REIN AQUITAINE</t>
  </si>
  <si>
    <t>Aider et informer les insuffisants rénaux; promouvoir les traitements et leur qualité ; Promouvoir la recherche sur les maladies rénales ; promouvoir la prévention des maladies rénales ; promouvoir le don d'organes</t>
  </si>
  <si>
    <t xml:space="preserve">41 A rue Blanchard-Latour                                                                                                </t>
  </si>
  <si>
    <t>06 08 31 39 64</t>
  </si>
  <si>
    <t>Michel PERDRISET</t>
  </si>
  <si>
    <t>www.francerein-aquitaine.fr</t>
  </si>
  <si>
    <t>https://assos.bordeaux.fr/association/detail/660</t>
  </si>
  <si>
    <t>LE TAUZIN, MAISON DE QUARTIER ET CENTRE SOCIAL</t>
  </si>
  <si>
    <t>Le Tauzin, Maison de Quartier et Centre Social, propose des activités pour tous dans le sport, la culture et les loisirs. Enfants, Jeunes, Adultes, Familles, Seniors... Vous trouverez au Tauzin des activités régulières dans sa brochure annuelle, mais aussi de nombreuses propositions de sorties, ateliers, spectacles, animations festives dans le programme de la PARENThèse.</t>
  </si>
  <si>
    <t>05 56 99 55 10</t>
  </si>
  <si>
    <t>letauzin.com</t>
  </si>
  <si>
    <t>https://assos.bordeaux.fr/association/detail/1045</t>
  </si>
  <si>
    <t>LES BLOUSES ROSES - COMITÉ DE BORDEAUX</t>
  </si>
  <si>
    <t>Les blouses roses se mobilisent auprès des personnes hospitalisées, enfants, adultes et personnes âgées pour les distraire au travers de nombreuses activités ludiques et créatives.</t>
  </si>
  <si>
    <t xml:space="preserve">LES BLOUSES ROSES - HOPITAL DES ENFANTS - ACCUEIL DES FRATRIES                                 PLACE AMELIE RABA LEON                                                                                                             </t>
  </si>
  <si>
    <t>05 56 97 58 92</t>
  </si>
  <si>
    <t>Daphné VIDAL</t>
  </si>
  <si>
    <t>https://assos.bordeaux.fr/association/detail/1141</t>
  </si>
  <si>
    <t>LA PORTE OUVERTE BORDEAUX</t>
  </si>
  <si>
    <t>La Porte Ouverte est un lieu où toute personne qui le désire peut venir rencontrer quelqu'un à qui parler en face à face. Un lieu qui permet tout simplement d'exister dans l'anonymat, la confidentialité et le non jugement, et ce, gratuitement et sans rendez vous.</t>
  </si>
  <si>
    <t xml:space="preserve">14 rue Ségalier                                                                                                </t>
  </si>
  <si>
    <t>06 62 56 91 23</t>
  </si>
  <si>
    <t>https://assos.bordeaux.fr/association/detail/663</t>
  </si>
  <si>
    <t>THÉÂTRE LA LUCARNE</t>
  </si>
  <si>
    <t>Situé à Bordeaux, dans le quartier Saint-Michel, le théâtre La Lucarne a été créé par la compagnie théâtrale L'Oeil après diverses pérégrinations dans les quartiers Saint-Jean, Saint-Pierre et à l'Entrepôt Lainé.
Proposant 70 places, le théâtre accueille chaque année de nombreuses représentations de la compagnie théâtrale L'Oeil mais également d'autres compagnies invitées.</t>
  </si>
  <si>
    <t xml:space="preserve">3 rue Beyssac                                                                                                </t>
  </si>
  <si>
    <t>05 56 92 25 06</t>
  </si>
  <si>
    <t>Jean-Pierre Terracol</t>
  </si>
  <si>
    <t>theatre-la-lucarne.com</t>
  </si>
  <si>
    <t>https://assos.bordeaux.fr/association/detail/652</t>
  </si>
  <si>
    <t>ASSOCIATION NATIONALE DE RETRAITÉS - ANR33</t>
  </si>
  <si>
    <t>Que voulons nous ? Défendre les intérêts des retraités ; préserver activement le système de retraite par répartition pour toutes les générations ; se faire entendre des pouvoirs publics ; développer la solidarité envers nos adhérents, notamment auprès des plus isolés et des plus âgés</t>
  </si>
  <si>
    <t xml:space="preserve">ANR Gironde 2 rue Serge Mallet                                  Résidence Grand Caillou Bat 13                                                                                                             </t>
  </si>
  <si>
    <t>06 32 46 50 98</t>
  </si>
  <si>
    <t>andré vigeolas</t>
  </si>
  <si>
    <t>www.anr33.fr</t>
  </si>
  <si>
    <t>https://assos.bordeaux.fr/association/detail/1746</t>
  </si>
  <si>
    <t>RENAISSANCE DE L'ORGUE A BORDEAUX - ROB</t>
  </si>
  <si>
    <t>Promouvoir l'orgue, sa musique et ses musiciens</t>
  </si>
  <si>
    <t xml:space="preserve">26 rue du Maréchal Gallieni                                                                                                </t>
  </si>
  <si>
    <t>06 62 77 01 19</t>
  </si>
  <si>
    <t>Philippe Clavié</t>
  </si>
  <si>
    <t>www.renaissance-orgue.fr</t>
  </si>
  <si>
    <t>https://assos.bordeaux.fr/association/detail/1625</t>
  </si>
  <si>
    <t>INITIATIVE BORDEAUX-MUNICH</t>
  </si>
  <si>
    <t>https://assos.bordeaux.fr/association/detail/733</t>
  </si>
  <si>
    <t>KFÉ DE FAMILLES</t>
  </si>
  <si>
    <t>Espace de rencontre parents - enfants - habitants</t>
  </si>
  <si>
    <t xml:space="preserve">46 rue de New York                                                                                                </t>
  </si>
  <si>
    <t>06 58 10 40 81</t>
  </si>
  <si>
    <t>www.kfedesfamilles.fr</t>
  </si>
  <si>
    <t>https://assos.bordeaux.fr/association/detail/734</t>
  </si>
  <si>
    <t>COMITÉ DÉPARTEMENTAL OLYMPIQUE ET SPORTIF DE GIRONDE - CDOS GIRONDE</t>
  </si>
  <si>
    <t>Le CDOS Gironde est le représentant du CNOSF en Gironde. Il est le représentant des comités départementaux et des clubs en Gironde et est ainsi à l’écoute et au service de ceux-ci. Il a pour mission de développer et favoriser la pratique sportive pour tous dans le respect des valeurs olympiques. Il informe les acteurs du monde sportif et propose un programme de formations diversifié, gratuit et ouvert à tous.</t>
  </si>
  <si>
    <t xml:space="preserve">Maison Départementale des Sports et de la Vie Associative                                 153 rue david johnston                                                                                                             </t>
  </si>
  <si>
    <t>05 56 00 99 05</t>
  </si>
  <si>
    <t>cdos33.org</t>
  </si>
  <si>
    <t>https://assos.bordeaux.fr/association/detail/1668</t>
  </si>
  <si>
    <t>ASSOCIATION DES MUSICIENS AMATEURS BORDEAUX-GIRONDE - AMABXG</t>
  </si>
  <si>
    <t>Favoriser la rencontre entre musiciens amateurs adultes  pour pratiquer la musique de chambre ou musiques de différents répertoires en petite formation (duos, trios, quatuors).</t>
  </si>
  <si>
    <t xml:space="preserve">12 impasse ducouvent                                                                                                </t>
  </si>
  <si>
    <t>06 26 69 84 18</t>
  </si>
  <si>
    <t>https://assos.bordeaux.fr/association/detail/1454</t>
  </si>
  <si>
    <t>L’association Envol d'Aquitaine fondée le 23 juin 1972 (JO du 8 juillet 1972) 
Agrément DRDJS 33 58 34 83, déclarée à la préfecture de la gironde sous le N° W332002056 est régie par la loi de 1901 ;  a pour but de promouvoir la gymnastique sous toutes ses formes et susciter des liens d’amitié entre ses membres.</t>
  </si>
  <si>
    <t>05 56 91 89 48</t>
  </si>
  <si>
    <t>envoldaquitaine.e-monsite.com</t>
  </si>
  <si>
    <t>https://assos.bordeaux.fr/association/detail/880</t>
  </si>
  <si>
    <t>BORDEAUX ETUDIANTS CLUBS - BEC ESCRIME</t>
  </si>
  <si>
    <t>Le Bordeaux Etudiants Club Escrime apparaît sous sa forme actuelle en 1964 mais il existe déjà sous le nom du Cercle d'Escrime de Bordeaux depuis 1912.
Un des meilleurs clubs formateurs en France, au BEC Escrime, on pratique une multitude d'activités et à tout âge : escrime ancienne, escrime médiévale, escrime artistique, escrime moderne, escrime handisport, tango escrime, séminaires, stages internationaux, fitness.</t>
  </si>
  <si>
    <t xml:space="preserve">53 rue Pauline Kergomard                                                                                                </t>
  </si>
  <si>
    <t>07 87 90 19 05</t>
  </si>
  <si>
    <t>www.bec-escrime.fr</t>
  </si>
  <si>
    <t>https://assos.bordeaux.fr/association/detail/983</t>
  </si>
  <si>
    <t>60 000 REBONDS NOUVELLE AQUITAINE</t>
  </si>
  <si>
    <t>Accompagner les entrepreneurs post-liquidation à rebondir vers un nouveau projet professionnel. 60 000 Rebonds œuvre à changer le regard sur l'échec entrepreneurial.</t>
  </si>
  <si>
    <t xml:space="preserve">EY - Hangar 16 - Entrée 1 quai de Bacalan                                 CS 20052                                                                                                             </t>
  </si>
  <si>
    <t>33070</t>
  </si>
  <si>
    <t>06 88 84 99 04</t>
  </si>
  <si>
    <t>www.60000rebonds.com</t>
  </si>
  <si>
    <t>https://assos.bordeaux.fr/association/detail/1703</t>
  </si>
  <si>
    <t>ABSOLUT BORDEAUX SYSTÉMA - ABS</t>
  </si>
  <si>
    <t>Pratique, enseignement et diffusion d' arts martiaux et de méthodes de bien- étre d' origines russes</t>
  </si>
  <si>
    <t xml:space="preserve">12, rue GENSAN                                                                                                </t>
  </si>
  <si>
    <t>06 50 70 19 75</t>
  </si>
  <si>
    <t>https://assos.bordeaux.fr/association/detail/1111</t>
  </si>
  <si>
    <t>REGROUPEMENT SOLIDAIRE DE TOUT LES CÉRÉBROLÉSÉS  - RSTC</t>
  </si>
  <si>
    <t>Sensibiliser un plus large public aux handicaps des cérébrolésés</t>
  </si>
  <si>
    <t xml:space="preserve">43 rue Paul Berthelot                                 Bât C1 Apt. 502                                                                                                             </t>
  </si>
  <si>
    <t>06 66 14 55 86</t>
  </si>
  <si>
    <t>Mathieu Hipeau</t>
  </si>
  <si>
    <t>https://assos.bordeaux.fr/association/detail/1562</t>
  </si>
  <si>
    <t>UNION AFRIQUE CARAIBES - UAC</t>
  </si>
  <si>
    <t>Cette association culturelle, à vocation éducative et humanitaire, a pour but de faire découvrir et de promouvoir l'histoire et la culture des pays d'Afrique et des Pays de la Caraïbe au grand public.</t>
  </si>
  <si>
    <t>2 Terrasse du 8 Mai 1945 Résidence Le Ponant</t>
  </si>
  <si>
    <t>07 82 99 32 58</t>
  </si>
  <si>
    <t>https://assos.bordeaux.fr/association/detail/945</t>
  </si>
  <si>
    <t>LE JARDIN DU NOVICIAT - SQUARE AUTOGERÉ</t>
  </si>
  <si>
    <t>https://assos.bordeaux.fr/association/detail/732</t>
  </si>
  <si>
    <t>ASTRÉE</t>
  </si>
  <si>
    <t>Astrée a pour vocation de contribuer à la restauration du lien social, de rompre l'isolement et de favoriser le mieux-être de personnes en situation de fragilité sociale et/ou personnelle. Elle aide ces personnes à retrouver un équilibre et à prévenir l'aggravation de leur situation.</t>
  </si>
  <si>
    <t>3 rue Duchefdelaville                                                                                                75013 PARIS</t>
  </si>
  <si>
    <t>01 42 27 64 34</t>
  </si>
  <si>
    <t>www.astree.asso.fr</t>
  </si>
  <si>
    <t>https://assos.bordeaux.fr/association/detail/1022</t>
  </si>
  <si>
    <t>PLUME'PALETTE - P&amp;P</t>
  </si>
  <si>
    <t>https://assos.bordeaux.fr/association/detail/520</t>
  </si>
  <si>
    <t>CLUB ATHLÉTIQUE MUNICIPAL DE BORDEAUX - CAM BORDEAUX</t>
  </si>
  <si>
    <t>L'association a pour objet principal l’organisation et le développement des activités physiques et sportives au profit de ses membres, y compris les personnes handicapées motrices et sensorielles.</t>
  </si>
  <si>
    <t xml:space="preserve">7 rue André Maginot                                                                                                </t>
  </si>
  <si>
    <t>05 56 02 38 38</t>
  </si>
  <si>
    <t>www.cam-bordeaux.com</t>
  </si>
  <si>
    <t>https://assos.bordeaux.fr/association/detail/1105</t>
  </si>
  <si>
    <t>CENTRE DE FORMATION D'ETUDES ET D'INFORMATION FEMME AVENIR - CFEI FA</t>
  </si>
  <si>
    <t>Information, formation, promotion des femmes pour qu'elles participent à la vie civique, sociale et culturelle de la France</t>
  </si>
  <si>
    <t xml:space="preserve">10 Place du Palais                                                                                                </t>
  </si>
  <si>
    <t>06 80 03 73 79</t>
  </si>
  <si>
    <t>Colette Malani</t>
  </si>
  <si>
    <t>https://assos.bordeaux.fr/association/detail/1675</t>
  </si>
  <si>
    <t>ALADIN</t>
  </si>
  <si>
    <t>https://assos.bordeaux.fr/association/detail/998</t>
  </si>
  <si>
    <t>VIVRE AVEC - SOLIDARITÉS INTERGÉNÉRATIONNELLES</t>
  </si>
  <si>
    <t>Vivre Avec promeut la cohabitation intergénérationnelle entre jeune et senior. Il s'agit de mettre en relation des seniors disposant d'une chambre libre dans leur domicile, avec des jeunes  en recherche d'un hébergement calme et chaleureux, dans le cadre d'un échange : hébergement contre présence conviviale et sécurisante. L'association accompagne le senior et le jeune tout au long de la cohabitation.</t>
  </si>
  <si>
    <t xml:space="preserve">40, rue du Sablonat                                                                                                </t>
  </si>
  <si>
    <t>06 50 72 48 99</t>
  </si>
  <si>
    <t>Jean Bouisson</t>
  </si>
  <si>
    <t>www.logement-solidaire.org</t>
  </si>
  <si>
    <t>https://assos.bordeaux.fr/association/detail/865</t>
  </si>
  <si>
    <t>ASSOCIATION VENEZUELA À BORDEAUX</t>
  </si>
  <si>
    <t>Rassembler la communauté vénézuélienne de Bordeaux ainsi que tous les amoureux de ce pays et ce d'où qu'ils viennent. Faire connaître la culture et le patrimoine de Venezuela et de la France et permettre aux membres de l'association d'étudier et de découvrir la richesse de nos deux pays. Nous souhaitons proposer à nos adhérents un espace d'échange , linguistique,culturel, de rencontres .</t>
  </si>
  <si>
    <t xml:space="preserve">Henri Dunant i                                 résidence l’Odyssée - bât A2 - app 138, 28, rue Henri Dunant,                                                                                                             </t>
  </si>
  <si>
    <t>06 37 76 52 59</t>
  </si>
  <si>
    <t>Leida Gamot</t>
  </si>
  <si>
    <t>https://assos.bordeaux.fr/association/detail/620</t>
  </si>
  <si>
    <t>BORDEAUX-USA</t>
  </si>
  <si>
    <t>Bordeaux-USA a pour vocation d’établir ou de développer des relations économiques, scientifiques et culturelles entre Bordeaux et tous les états des Etats-Unis ou Villes Américaines sans exclusion, en plus des relations privilégiées avec Los Angeles, ville jumelée avec Bordeaux, ou avec la Californie.
Elle vise d’autre part à perpétuer l’amitié historique entre la France et les Etats Unis d’Amérique en Gironde.</t>
  </si>
  <si>
    <t xml:space="preserve">38 Allée d'Orléans                                                                                                </t>
  </si>
  <si>
    <t>06 61 71 77 09</t>
  </si>
  <si>
    <t>www.bordeaux-usa.com</t>
  </si>
  <si>
    <t>https://assos.bordeaux.fr/association/detail/1003</t>
  </si>
  <si>
    <t>ASSOCIATION SPORTIVE DE SCIENCES PO BORDEAUX</t>
  </si>
  <si>
    <t>https://assos.bordeaux.fr/association/detail/815</t>
  </si>
  <si>
    <t>LE MÉRIDIEN BORDEAUX</t>
  </si>
  <si>
    <t>Le Méridien Bordeaux est une école de Tai Chi Chuan, art martial doux et complet, voie vers le calme, l’équilibre et la santé. Le mouvement du corps est continu, lent, sans tension ni raideur.  
Cette école enseigne la "Forme 37 pas" de Cheng Man Ching  - la Forme longue (108 postures)  - le Qi Gong et le Dao Yin  - la pratique à deux, poussée des mains (Tui shou)  - les Armes traditionnelles: épée, sabre, éventail.</t>
  </si>
  <si>
    <t>06 14 14 66 78</t>
  </si>
  <si>
    <t>https://assos.bordeaux.fr/association/detail/1008</t>
  </si>
  <si>
    <t>H'NORD ECOQUARTIER DE BORDEAUX</t>
  </si>
  <si>
    <t>L’association a pour objet de promouvoir, accompagner et soutenir la réalisation et le fonctionnement de la Coopérative H’Nord, projet d’habitat coopératif à Bordeaux avec une triple dimension écologique, sociale et participative.</t>
  </si>
  <si>
    <t xml:space="preserve">9 rue Vieillard                                 Chez Mme Françoise HARF                                                                                                             </t>
  </si>
  <si>
    <t>06 82 45 95 26</t>
  </si>
  <si>
    <t>hnord.org</t>
  </si>
  <si>
    <t>https://assos.bordeaux.fr/association/detail/806</t>
  </si>
  <si>
    <t>Avec les Greeters de Bordeaux, entrez dans le patrimoine du quotidien bordelais!
Découvrez les lieux en marge des circuits classiques en compagnie d'un habitant bénévole passionné par sa ville.
Les maîtres mots : invitation, convivialité, rencontres et échanges.</t>
  </si>
  <si>
    <t xml:space="preserve">14 bis rue Marie                                                                                                </t>
  </si>
  <si>
    <t>06 13 82 76 93</t>
  </si>
  <si>
    <t>Adrien MAULAY</t>
  </si>
  <si>
    <t>https://assos.bordeaux.fr/association/detail/1173</t>
  </si>
  <si>
    <t>CERCLE D'ÉTUDES ET DE CULTURE FRANÇAISES - CECF</t>
  </si>
  <si>
    <t>Diffuser des savoirs et partager des connaissances dans des disciplines très diversifiées</t>
  </si>
  <si>
    <t xml:space="preserve">27 rue Tanesse                                                                                                 </t>
  </si>
  <si>
    <t>06 77 93 25 70</t>
  </si>
  <si>
    <t>Paule Bloch</t>
  </si>
  <si>
    <t>https://assos.bordeaux.fr/association/detail/1681</t>
  </si>
  <si>
    <t>MOOVENS</t>
  </si>
  <si>
    <t>Moovens est une association qui dispense des cours de roller (quad et en ligne)
On vous accueille quelles que soient vos motivations à venir rouler : détente et plaisir de la glisse, sport et technique, moyen de déplacement urbain.</t>
  </si>
  <si>
    <t>07 68 85 28 84</t>
  </si>
  <si>
    <t>moovens.net/cours-roller</t>
  </si>
  <si>
    <t>https://assos.bordeaux.fr/association/detail/1113</t>
  </si>
  <si>
    <t>CENTRE D'ANIMATION ARGONNE NANSOUTY SAINT GENÈS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</si>
  <si>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Argonne Nansouty St Genès propose un large panel d’activités et anime un pôle cultures urbaines s’articulant notamment autour de la pratique du Hip-hop.</t>
  </si>
  <si>
    <t xml:space="preserve">1 bis rue Lhérisson                                                                                                </t>
  </si>
  <si>
    <t>05 56 94 70 05</t>
  </si>
  <si>
    <t>https://assos.bordeaux.fr/association/detail/923</t>
  </si>
  <si>
    <t>LES PREMIÈRES NOUVELLE-AQUITAINE</t>
  </si>
  <si>
    <t>https://assos.bordeaux.fr/association/detail/953</t>
  </si>
  <si>
    <t>DOCUMENTS D'ARTISTES NOUVELLE-AQUITAINE - DDANA</t>
  </si>
  <si>
    <t>Le site www.dda-aquitaine.org constitue un fonds documentaire dédié aux arts visuels de la région Nouvelle-Aquitaine, il est conçu comme un projet d’édition en ligne. Documents d’artistes Nouvelle-Aquitaine s’inscrit dans une dynamique de collaboration et de mise en réseau des acteurs de l’art contemporain de la région, en vue d’accompagner les artistes dans leur parcours professionnel. 
Membre de la Fabrique Pola.</t>
  </si>
  <si>
    <t xml:space="preserve">62 rue Fieffé                                                                                                </t>
  </si>
  <si>
    <t>06 16 22 32 32</t>
  </si>
  <si>
    <t>www.dda-aquitaine.org</t>
  </si>
  <si>
    <t>https://assos.bordeaux.fr/association/detail/1297</t>
  </si>
  <si>
    <t>FORUM DES CULTURES ET DES TRADITIONS - APRELIK - FDCDT</t>
  </si>
  <si>
    <t>Le projet de nos ateliers est de cultiver chez les enfants la sensibilité et l’intérêt à la culture russe par l'intermédiaire de l’apprentissage de la langue et par la participation aux activités artistiques (le dessin, la danse, l'artisanat, le théâtre, et le chant) proposées en russe. Nous organisons également des événements culturels liés au calendrier festif russe.</t>
  </si>
  <si>
    <t xml:space="preserve">5 impasse Charlie Parker                                 Résidence Clos des Musiciens                                                                                                             </t>
  </si>
  <si>
    <t>06 25 20 06 63</t>
  </si>
  <si>
    <t>Lioubov Aguilova-Prieur</t>
  </si>
  <si>
    <t>www.aprelik.fr</t>
  </si>
  <si>
    <t>https://assos.bordeaux.fr/association/detail/518</t>
  </si>
  <si>
    <t>ASSOCIATION DE SOUTIEN SCOLAIRE AUX ENFANTS MALADES - ASSEM</t>
  </si>
  <si>
    <t>L'ASSEM prend en charge la scolarité des jeunes déscolarisés pour des raisons de santé
L'ASSEM organise des cours individuels à l'hôpital ou à domicile afin d'éviter la rupture scolaire et de faciliter le retour en classe . 
les membres de l'ASSEM sont des bénévoles .</t>
  </si>
  <si>
    <t xml:space="preserve">89 rue des sablières                                                                                                </t>
  </si>
  <si>
    <t>33077</t>
  </si>
  <si>
    <t>05 56 79 56 88</t>
  </si>
  <si>
    <t>ANNE  BREZILLON</t>
  </si>
  <si>
    <t>www.assem-aquitaine.com</t>
  </si>
  <si>
    <t>https://assos.bordeaux.fr/association/detail/572</t>
  </si>
  <si>
    <t>BORDEAUX HATHA YOGA ET BIEN ÊTRE</t>
  </si>
  <si>
    <t>Une rencontre avec le Yoga, la méditation, la relaxation (Yoga Nidra), la philosophie Indienne  pour adultes, seniors, femmes enceintes, adolescents et maternelles.</t>
  </si>
  <si>
    <t xml:space="preserve">43 rue Judaique                                                                                                </t>
  </si>
  <si>
    <t>06 20 17 40 28</t>
  </si>
  <si>
    <t>www.bordeaux-hatha-yoga-bien-etre.com</t>
  </si>
  <si>
    <t>https://assos.bordeaux.fr/association/detail/1614</t>
  </si>
  <si>
    <t>ATELIER N.O.R.A.  - ART-THÉRAPIE</t>
  </si>
  <si>
    <t>L'association propose des ateliers d'art-thérapie interculturelle et intergénérationnelle par le mouvement dansé et la pleine conscience. Ces ateliers collectifs mensuels de présence active s'adressent à toute personne en recherche de mieux-être et se déroulent à Floirac, studio Jean Jaurès rue de la Paix, le samedi de 10h à 12h. Deux projets d'ateliers hebdomadaires sont en bonne voie de réalisation !</t>
  </si>
  <si>
    <t xml:space="preserve">42, rue Jacques Duclos                                                                                                </t>
  </si>
  <si>
    <t>07 68 58 08 29</t>
  </si>
  <si>
    <t>Nathalie Renault</t>
  </si>
  <si>
    <t>www.ateliernorarth.canalblog.com</t>
  </si>
  <si>
    <t>https://assos.bordeaux.fr/association/detail/1522</t>
  </si>
  <si>
    <t>DESTINATION CONSCIENCE</t>
  </si>
  <si>
    <t>Promouvoir le bien-être physique, moral et intellectuel dans le domaine du développement et de l'épanouissement de la personne.
Organiser des rencontres, des stages et des formations.</t>
  </si>
  <si>
    <t xml:space="preserve">13 rue Paul Valery                                 Résidence les Caudéranaises                                                                                                             </t>
  </si>
  <si>
    <t>06 98 83 35 10</t>
  </si>
  <si>
    <t>PATRICIA CASTAGNE</t>
  </si>
  <si>
    <t>www.libertedetresoi.fr</t>
  </si>
  <si>
    <t>https://assos.bordeaux.fr/association/detail/606</t>
  </si>
  <si>
    <t>LES ENFANTS DOSIRIS  - LES ENFANTS DOS</t>
  </si>
  <si>
    <t>Association culturelle crèche Multi accueil’ ( crèche bilingue et langage des signes ) et centre de loisirs</t>
  </si>
  <si>
    <t xml:space="preserve">190 Rue Lecocq                                                                                                 </t>
  </si>
  <si>
    <t>07 82 57 21 90</t>
  </si>
  <si>
    <t>https://assos.bordeaux.fr/association/detail/984</t>
  </si>
  <si>
    <t>L'organisation de toutes activités ayant trait à l'étude, la préservation et la transmission des traditions et cultures des civilisations himalayennes telles que la philosophie, les sciences, les arts, l'artisanat s'y rattachant, ainsi que l'adaptation et la transmission de ces savoirs à toutes les problématiques du monde actuel. La mise à la disposition du public de tout savoir ayant trait à ces traditions.</t>
  </si>
  <si>
    <t xml:space="preserve">4 avenue de la République                                                                                                </t>
  </si>
  <si>
    <t>09 54 55 58 89</t>
  </si>
  <si>
    <t>www.dhagpo-bordeaux.org</t>
  </si>
  <si>
    <t>https://assos.bordeaux.fr/association/detail/1430</t>
  </si>
  <si>
    <t>RETINA FRANCE - RF</t>
  </si>
  <si>
    <t>https://assos.bordeaux.fr/association/detail/563</t>
  </si>
  <si>
    <t>CLUB ALPIN FRANÇAIS DE BORDEAUX - CAF</t>
  </si>
  <si>
    <t>1 - Regrouper les personnes physiques qui pratiquent ou encouragent les activités physiques, sportives et de plein air se déroulant en montagne et autres sites naturels ou aménagés, notamment : alpinisme, escalade, randonnée pédestre, ski de randonnée, trail…
2 - Promouvoir, développer, coordonner, organiser la pratique de ces activités et la formation des membres de l’association.</t>
  </si>
  <si>
    <t xml:space="preserve">96 Cours de la Martinique                                                                                                </t>
  </si>
  <si>
    <t>05 57 87 66 66</t>
  </si>
  <si>
    <t>www.clubalpinbordeaux.ffcam.fr</t>
  </si>
  <si>
    <t>https://assos.bordeaux.fr/association/detail/1666</t>
  </si>
  <si>
    <t>CERCLE ENTREPRENEURIAL ETUDIANT - CEE</t>
  </si>
  <si>
    <t>Le Cercle Entrepreneurial Etudiant a pour mission de promouvoir la création d'entreprise et le développement de projets au sein de la collectivité bordelaise ainsi que de fédérer la mention Entrepreneuriat à l'Institut des Administrations et des Entreprises de Bordeaux.</t>
  </si>
  <si>
    <t xml:space="preserve">35 Avenue Abadie                                                                                                </t>
  </si>
  <si>
    <t>06 48 86 61 50</t>
  </si>
  <si>
    <t>https://assos.bordeaux.fr/association/detail/1453</t>
  </si>
  <si>
    <t>UFC QUE CHOISIR</t>
  </si>
  <si>
    <t>Objet : informer, conseiller et défendre l’intérêt des consommateurs. 
L’UFC Que choisir c'est :
Un réseau de proximité qui vous accompagne, vous assiste et vous conseille
Des enquêtes de terrain et analyses économiques
Des combats judiciaires pour faire sanctionner des pratiques irrégulières ou faire évoluer la jurisprudence
Des actions de lobby pour faire faire avancer vos droits de consommateurs</t>
  </si>
  <si>
    <t xml:space="preserve">17 Cours Balguerie Stuttenberg                                                                                                </t>
  </si>
  <si>
    <t>05 56 79 91 94</t>
  </si>
  <si>
    <t>https://assos.bordeaux.fr/association/detail/1850</t>
  </si>
  <si>
    <t>LES FLEURS DE BACH BORDEAUX - FDBB</t>
  </si>
  <si>
    <t>Cette association a pour objet de transmettre des connaissances, promouvoir, informer et conseiller auprès de tout public, sur la méthode de soin naturelle "Fleurs de Bach" ainsi que d’autres méthodes naturelles sur le thème du bien-être et de la santé, du développement personnel et spirituel. Et de permettre tous les moyens de rencontre avec les homologues en France ou à l’étranger.</t>
  </si>
  <si>
    <t xml:space="preserve">29 rue Camille Sauvageau                                                                                                </t>
  </si>
  <si>
    <t>07 60 28 73 15</t>
  </si>
  <si>
    <t>Eugenia Di Maio</t>
  </si>
  <si>
    <t>fleursdebachbordeaux.com</t>
  </si>
  <si>
    <t>https://assos.bordeaux.fr/association/detail/1542</t>
  </si>
  <si>
    <t>CHAMBRE SYNDICALE DES PROPRIÉTAIRES ET COPROPRIÉTAIRES DE BORDEAUX ET DE LA GIRONDE - UNPI 33</t>
  </si>
  <si>
    <t>L’UNPI est une association de loi 1901 au service des propriétaires et copropriétaires créée en 1893. L’UNPI assure la défense des intérêts des propriétaires privés auprès du Gouvernement, des Parlementaires et de l’Administration.</t>
  </si>
  <si>
    <t xml:space="preserve">7 Cours de Gourgue                                                                                                </t>
  </si>
  <si>
    <t>05 56 52 57 07</t>
  </si>
  <si>
    <t>Denis Jacques</t>
  </si>
  <si>
    <t>www.33.unpi.org/fr.html</t>
  </si>
  <si>
    <t>https://assos.bordeaux.fr/association/detail/553</t>
  </si>
  <si>
    <t>Promouvoir la musique sous toutes ses formes, du baroque au contemporain</t>
  </si>
  <si>
    <t xml:space="preserve">24 Rue Stéhélin                                 Bâtiment A                                                                                                             </t>
  </si>
  <si>
    <t>07 85 78 89 00</t>
  </si>
  <si>
    <t>Laurent Courbu</t>
  </si>
  <si>
    <t>https://assos.bordeaux.fr/association/detail/683</t>
  </si>
  <si>
    <t>JEANNE SIMONE</t>
  </si>
  <si>
    <t>https://assos.bordeaux.fr/association/detail/718</t>
  </si>
  <si>
    <t>ECHANGE NORD SUD - ENS</t>
  </si>
  <si>
    <t>L’association a pour objet et vocation d’initier une aide au développement durable auprès de populations vulnérables au Nord comme au Sud avec quatre super priorités : - L’éducation ; - La santé ; - La jeunesse ; - Le développement économique.</t>
  </si>
  <si>
    <t xml:space="preserve">5 rue marcel Bensac                                                                                                </t>
  </si>
  <si>
    <t>05 56 35 16 92</t>
  </si>
  <si>
    <t>Pierre Thocaven</t>
  </si>
  <si>
    <t>www.echangenordsud.org</t>
  </si>
  <si>
    <t>https://assos.bordeaux.fr/association/detail/830</t>
  </si>
  <si>
    <t>DANS SON ENVOL</t>
  </si>
  <si>
    <t>L'association loi 1901 "Dans son Envol" dispense des ateliers de danse : éveil corporel, danse classique et danse contemporaine pour les enfants, les adolescents et les adultes, ainsi que des ateliers d'art-thérapie (danse, chant, écriture, peinture, etc.). L'art-thérapie s'adresse à des personnes atteints de handicaps, pathologies, maladies ou troubles de la communication, de la relation, etc.</t>
  </si>
  <si>
    <t xml:space="preserve">3, rue Antoine Monier                                                                                                </t>
  </si>
  <si>
    <t>06 79 36 90 52</t>
  </si>
  <si>
    <t>https://assos.bordeaux.fr/association/detail/690</t>
  </si>
  <si>
    <t>ASSOCIATION BOARD-O</t>
  </si>
  <si>
    <t>Promotion et développement du skateboard sous toutes ses formes.</t>
  </si>
  <si>
    <t xml:space="preserve">81 quais des chartrons                                                                                                </t>
  </si>
  <si>
    <t>06 62 33 86 60</t>
  </si>
  <si>
    <t>Grégoire Grange</t>
  </si>
  <si>
    <t>www.boardo.fr</t>
  </si>
  <si>
    <t>https://assos.bordeaux.fr/association/detail/657</t>
  </si>
  <si>
    <t>Radio CHU est une radio associative reconnue d'intérêt général accueillie au sein du CHU de Bordeaux et destinée aux personnes hospitalisées et leur entourage.Ses principaux objectifs sont de briser la solitude en ouvrant l'hôpital sur l'extérieur et inciter au dialogue, faire oublier la maladie en offrant des moments d'évasions et des occasions de découvertes radiophoniques.</t>
  </si>
  <si>
    <t xml:space="preserve">Tripode Groupe Pellegrin place Amélie Raba Léon                                                                                                </t>
  </si>
  <si>
    <t>07 83 20 00 28</t>
  </si>
  <si>
    <t>Marie Thérèse Audineau</t>
  </si>
  <si>
    <t>www.chu-bordeaux.fr/Patient-proches/Associations-au-service-des-patients/Radio-CHU</t>
  </si>
  <si>
    <t>https://assos.bordeaux.fr/association/detail/854</t>
  </si>
  <si>
    <t>Habitat et Humanisme œuvre dans le logement :
- Logement en diffus pour familles en difficultés accompagnées par nos 2 Conseillères en Économie Sociale et Familiale;
- Une pension de famille "Maison Saint-Fort" pour personnes seules accompagnées par 2 éducateurs et des bénévoles en activité collective.
Notre mission est de rendre l'autonomie locative à nos locataires avec le retour à la dignité de la personne.</t>
  </si>
  <si>
    <t xml:space="preserve">47 Rue Charles Tournemire                                 Cité des Aubiers                                                                                                             </t>
  </si>
  <si>
    <t>05 56 39 98 58</t>
  </si>
  <si>
    <t>https://assos.bordeaux.fr/association/detail/903</t>
  </si>
  <si>
    <t>BOXING CLUB ALAMELE - BCA</t>
  </si>
  <si>
    <t>Pratique de la boxe éducative, loisir amateur ou professionnel, éducation physique et des sports. Accompagnement à la réinsertion sociale et à la scolarité. Lutte contre la sédentarité et promotion des activités physiques et sportives. Atelier santé sur des thématiques liées au bien être et à la santé (nutrition, tabac, sommeil pratique sportive...). Initiation et découverte de la boxe, animation ring gonflable.</t>
  </si>
  <si>
    <t xml:space="preserve">18 avenue André Reinson                                                                                                </t>
  </si>
  <si>
    <t>06 51 49 90 35</t>
  </si>
  <si>
    <t>bc-alamele.fr</t>
  </si>
  <si>
    <t>https://assos.bordeaux.fr/association/detail/707</t>
  </si>
  <si>
    <t>ÉCOLE DES GRANDS PARENTS EUROPÉENS - EGPE</t>
  </si>
  <si>
    <t>Promouvoir les réflexions et recherches sur le rôle des grands-parents dans la famille et dans la société. Privilégier la force du lien des grands-parents avec leurs petits-enfants et leurs enfants. Offrir aux grands-parents un lieu d’écoute, de soutien, d’information. Favoriser les échanges intergénérationnels et interculturels au-delà des frontières. Représenter la génération des grands-parents.</t>
  </si>
  <si>
    <t xml:space="preserve">rue d'Alzon                                                                                                </t>
  </si>
  <si>
    <t>07 82 14 96 94</t>
  </si>
  <si>
    <t>www.egpebordeauxgironde.fr</t>
  </si>
  <si>
    <t>https://assos.bordeaux.fr/association/detail/890</t>
  </si>
  <si>
    <t>FÉDÉRATION FRANÇAISE DES MÉTIERS DE L'ASSISTANAT ET DU SECRÉTARIAT - FFMAS GIRONDE</t>
  </si>
  <si>
    <t>Fédérer, représenter les professionnels de la fonction "secrétariat - assistanat" généralistes ou spécialisés, office-managers, adjoints de direction afférents aux métiers du champ professionnel "gestion - administration" (TPE, PME, multinationales, public, privé, indépendants) ainsi que les responsables de l'enseignement et les apprenants. Promouvoir, valoriser le métier, accompagner les professionnels concernés.</t>
  </si>
  <si>
    <t xml:space="preserve">8 rue cité Conrad                                                                                                 </t>
  </si>
  <si>
    <t>06 88 76 98 80</t>
  </si>
  <si>
    <t>Marie-France Rychener</t>
  </si>
  <si>
    <t>www.ffmas.com</t>
  </si>
  <si>
    <t>https://assos.bordeaux.fr/association/detail/1779</t>
  </si>
  <si>
    <t>LA PETITE COMMUNE</t>
  </si>
  <si>
    <t>Développer des manifestations et initiatives contribuant à tisser du lien social entre les acteurs locaux
(particuliers, associatifs et/ou collectivités) sur le quartier Chartrons / Grand Parc / Jardin Public ; développer des initiatives fraternelles, solidaires et citoyennes.</t>
  </si>
  <si>
    <t xml:space="preserve">Rue Rochambeau                                                                                                </t>
  </si>
  <si>
    <t>06 06 73 72 53</t>
  </si>
  <si>
    <t>lapetitecommune.fr</t>
  </si>
  <si>
    <t>https://assos.bordeaux.fr/association/detail/523</t>
  </si>
  <si>
    <t>Dialogue entre les parents, les lesbiennes, gays, bi et trans, leurs familles et ami.e.s</t>
  </si>
  <si>
    <t xml:space="preserve">38 cours du maréchal Foch                                                                                                </t>
  </si>
  <si>
    <t>05 57 35 71 77</t>
  </si>
  <si>
    <t>www.asso-contact.org/asso/33</t>
  </si>
  <si>
    <t>https://assos.bordeaux.fr/association/detail/1185</t>
  </si>
  <si>
    <t>THÉÂTRE LA BOÎTE À JOUER</t>
  </si>
  <si>
    <t>La Boîte à Jouer accueille des compagnies pour travailler dans ses locaux et propose une programmation nomade qui se balade dans différents quartiers de Bordeaux. Les spectacles sont pour tous les âges (bébés, enfants, ado et tous publics) et de genres multiples (théâtre, marionnette, clown, théâtre-musical...) afin de permettre à toutes personnes de venir selon ses goûts. Ses tarifs sont accessibles.</t>
  </si>
  <si>
    <t xml:space="preserve">50 rue Lombard                                                                                                </t>
  </si>
  <si>
    <t>06 14 36 47 92</t>
  </si>
  <si>
    <t>https://assos.bordeaux.fr/association/detail/1780</t>
  </si>
  <si>
    <t>5UN7 - 5UN7</t>
  </si>
  <si>
    <t>Lieu d'art contemporain porté par des artistes pour des artistes, impliqué dans la vie culturelle de la cité et plus largement dans la création contemporaine, accueillant mensuellement des artistes en devenir et confirmés de la Métropole mais aussi sous forme de résidences courtes des artistes français et internationaux, 5UN7, ouvert sur
tous les champs de l'art contemporain dans un engagement attentif et indépendant</t>
  </si>
  <si>
    <t xml:space="preserve">57 rue de La Rousselle                                                                                                </t>
  </si>
  <si>
    <t>06 25 58 76 31</t>
  </si>
  <si>
    <t>www.5un7.fr</t>
  </si>
  <si>
    <t>https://assos.bordeaux.fr/association/detail/1618</t>
  </si>
  <si>
    <t>AMICALE LAÏQUE DE BACALAN - ALB</t>
  </si>
  <si>
    <t>L'Amicale laïque de Bacalan est née de la volonté de faire vivre un espace d'éducation populaire dans le quartier de Bacalan. 
Elle favorise le lien associatif, l'expression de chacun ainsi que l‘épanouissement de tous à travers des ateliers et des manifestations.</t>
  </si>
  <si>
    <t xml:space="preserve">2 rue Duquesne                                                                                                </t>
  </si>
  <si>
    <t>05 56 50 85 60</t>
  </si>
  <si>
    <t>amicalebacalan.com</t>
  </si>
  <si>
    <t>https://assos.bordeaux.fr/association/detail/677</t>
  </si>
  <si>
    <t>SAINT-MARTIN BORDEAUX CULTURAL CONNECTIONS - SMB2C</t>
  </si>
  <si>
    <t>SMB2C est une association de jeunes Saint-Martinois vivants sur Bordeaux et ses alentours.
L’association à but non lucratif a été créée en octobre 2016 suite à un pique-nique sur les quais de Bordeaux.
Nous avons créé cette association dans l’optique de se réunir autour des activités culturelles en rapport avec Saint Martin.</t>
  </si>
  <si>
    <t xml:space="preserve">26 Rue Mazagran                                                                                                </t>
  </si>
  <si>
    <t>07 88 94 82 34</t>
  </si>
  <si>
    <t>Terrison BENJAMIN</t>
  </si>
  <si>
    <t>https://assos.bordeaux.fr/association/detail/667</t>
  </si>
  <si>
    <t>Monts et merveilles a pour but de développer des actions artistiques fondées sur le contexte et la relation.</t>
  </si>
  <si>
    <t>09 51 55 08 93</t>
  </si>
  <si>
    <t>montsetmerveilles.eu</t>
  </si>
  <si>
    <t>https://assos.bordeaux.fr/association/detail/1856</t>
  </si>
  <si>
    <t>JEUNES EUROPÉENS - BORDEAUX - JEB</t>
  </si>
  <si>
    <t>Depuis 2003, les Jeunes Européens - Bordeaux font la promotion du projet européen, à Bordeaux et en Gironde.
Plusieurs milliers de jeunes sont rassemblés au sein des Jeunes Européens dans le but de promouvoir une Europe plus politique et plus intégrée, mais aussi de susciter un intérêt des citoyens pour les questions européennes.</t>
  </si>
  <si>
    <t xml:space="preserve">125 cours d'Alsace et Lorraine                                 Centre d'informations - Europe Direct                                                                                                             </t>
  </si>
  <si>
    <t>06 04 19 65 14</t>
  </si>
  <si>
    <t>https://assos.bordeaux.fr/association/detail/650</t>
  </si>
  <si>
    <t>UNION DÉPARTEMENTALE DES ASSOCIATIONS FAMILIALES DE LA GIRONDE - UDAF 33</t>
  </si>
  <si>
    <t>L'UDAF de la Gironde
- Représente les intérêts des familles par ses nombreuses représentations assurées par des délégués familiaux et mène l’action politique locale et départementale en faveur des familles.
- Elles observe les besoins des familles
- Elle développe et gère de nombreux services aux familles.</t>
  </si>
  <si>
    <t xml:space="preserve">25 rue Francis Martin                                 CS 11243                                                                                                             </t>
  </si>
  <si>
    <t>33075</t>
  </si>
  <si>
    <t>05 56 01 42 64</t>
  </si>
  <si>
    <t>www.udaf33.fr</t>
  </si>
  <si>
    <t>https://assos.bordeaux.fr/association/detail/1494</t>
  </si>
  <si>
    <t>L'ACADÉMIE DE LA COULEUR</t>
  </si>
  <si>
    <t>Association qui a pour objet la promotion de la couleur, trait d'union entre chercheurs, industriels, praticiens et utilisateurs de la couleur</t>
  </si>
  <si>
    <t xml:space="preserve">23 quai des Chartrons                                                                                                </t>
  </si>
  <si>
    <t>06 32 88 66 67</t>
  </si>
  <si>
    <t>Marie-Pierre SERVANTIE</t>
  </si>
  <si>
    <t>https://assos.bordeaux.fr/association/detail/1795</t>
  </si>
  <si>
    <t>ASSOCIATION VINOSMOSE</t>
  </si>
  <si>
    <t>L'association a créée et commercialisé un vin de marque bordelais</t>
  </si>
  <si>
    <t xml:space="preserve">8 parvis des chartrons                                                                                                </t>
  </si>
  <si>
    <t>07 61 60 44 29</t>
  </si>
  <si>
    <t>https://assos.bordeaux.fr/association/detail/1628</t>
  </si>
  <si>
    <t>PÔLE MAGNETIC</t>
  </si>
  <si>
    <t>Plateforme créative et récréative, épicentre d'un nouveau souffle artistique, le ArtLab a pour ambition de décloisonner les pratiques polymorphes et de cristalliser les énergies autour d’une ligne contemporaine, figurative ou onirique, lyrique ou subversive.</t>
  </si>
  <si>
    <t xml:space="preserve">1 place Avisseau                                                                                                </t>
  </si>
  <si>
    <t>09 54 17 46 43</t>
  </si>
  <si>
    <t>www.polemagnetic.fr</t>
  </si>
  <si>
    <t>https://assos.bordeaux.fr/association/detail/977</t>
  </si>
  <si>
    <t>ASSOCIATION MARIE DE LUZE - MDL</t>
  </si>
  <si>
    <t>L'association a pour but d'accueillir et d'accompagner des jeunes filles qui lui sont confiées et de leur permettre de se reconstruire dans un cadre sécurisant et d'envisager un projet de vie. Elle gère actuellement un établissement composé de 3 pôles dans le cadre de la protection de l'enfance.</t>
  </si>
  <si>
    <t xml:space="preserve">85 rue Laroche                                                                                                </t>
  </si>
  <si>
    <t>05 57 87 22 22</t>
  </si>
  <si>
    <t>https://assos.bordeaux.fr/association/detail/661</t>
  </si>
  <si>
    <t>L’association Les P’tits Gratteurs anime l’espace public de Bordeaux Sud depuis 2001. Elle organise tout au long de l’année, en lien avec les acteurs culturels et sociaux du territoire, des animations et événements culturels et de loisirs, gratuits et ouverts à tous.</t>
  </si>
  <si>
    <t>07 82 79 10 09</t>
  </si>
  <si>
    <t>lesptitsgratteurs.fr</t>
  </si>
  <si>
    <t>https://assos.bordeaux.fr/association/detail/748</t>
  </si>
  <si>
    <t>FAITS DE COEUR'S - FAITSDECOEUR'S</t>
  </si>
  <si>
    <t>L'association a pour objet la mise en place d'actions de solidarité destinées aux personnes agées et aux personnes en situations d'aidants familiaux.</t>
  </si>
  <si>
    <t xml:space="preserve">27 rue Veyssière                                                                                                </t>
  </si>
  <si>
    <t>06 48 53 07 78</t>
  </si>
  <si>
    <t>CHANTAL FRATTI</t>
  </si>
  <si>
    <t>https://assos.bordeaux.fr/association/detail/793</t>
  </si>
  <si>
    <t>ASSOCIATION KURDE ROJAVA GIRONDE</t>
  </si>
  <si>
    <t>L'association KURDE ROJAVA GIRONDE se charge d'organiser, d'initier et de soutenir les activités suivantes : accueil, accompagnement de migrants, réfugiés et autres, favoriser leur intégration par des actions éducatives, culturelles et sportives. Elle organise des manifestations, des collectes en vue de financer ces actions.</t>
  </si>
  <si>
    <t xml:space="preserve">38, rue raymond poincaré                                 appt: 20                                                                                                             </t>
  </si>
  <si>
    <t>06 88 15 36 69</t>
  </si>
  <si>
    <t>Badia Hassan</t>
  </si>
  <si>
    <t>https://assos.bordeaux.fr/association/detail/925</t>
  </si>
  <si>
    <t>RHIZOME</t>
  </si>
  <si>
    <t>Rhizome est une association qui propose un service de collecte et de valorisation des déchets organiques par micro-méthanisation pour les particuliers et les professionnelles.</t>
  </si>
  <si>
    <t xml:space="preserve">15 rue claude taffanel                                                                                                </t>
  </si>
  <si>
    <t>06 43 05 91 77</t>
  </si>
  <si>
    <t>adrien kapper</t>
  </si>
  <si>
    <t>https://assos.bordeaux.fr/association/detail/691</t>
  </si>
  <si>
    <t>ENTRAIDE &amp; ENTREPRENEURS - E &amp; E</t>
  </si>
  <si>
    <t>Soutien bénévole apporté aux entrepreneurs en difficulté dans le but d'éviter les procédures collectives, les pertes d'emploi et de savoir faire. Ils sont accompagnés par un coach spécialisé pour retrouver leur potentiel décisionnel et par un parrainage technique et logistique afin que leur activité soit sauvegardée dans sa pérennité et son intégrité.</t>
  </si>
  <si>
    <t xml:space="preserve">19, rue Gabriel Léglise                                                                                                </t>
  </si>
  <si>
    <t>06 07 98 68 76</t>
  </si>
  <si>
    <t>Claudine Pery</t>
  </si>
  <si>
    <t>http:/www.eefrance.fr</t>
  </si>
  <si>
    <t>https://assos.bordeaux.fr/association/detail/1433</t>
  </si>
  <si>
    <t>https://assos.bordeaux.fr/association/detail/988</t>
  </si>
  <si>
    <t>CENTRE D'ANIMATION BORDEAUX SUD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</si>
  <si>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Sud propose un large panel d’activités en lien avec de nombreux partenaires.</t>
  </si>
  <si>
    <t xml:space="preserve">13 rue du Professeur Devaux                                                                                                </t>
  </si>
  <si>
    <t>05 56 85 76 96</t>
  </si>
  <si>
    <t>https://assos.bordeaux.fr/association/detail/938</t>
  </si>
  <si>
    <t>RACING CLUB DE BORDEAUX MÉTROPOLE - RCBM</t>
  </si>
  <si>
    <t>L'association Racing Club de Bordeaux Métropole a pour objet principalement la pratique du football et plus généralement les activités physiques et de loisirs. Développement de notre pratique sportive et développement du Club sur le plan social et éducatif.</t>
  </si>
  <si>
    <t xml:space="preserve">Chemin de Suzon                                                                                                </t>
  </si>
  <si>
    <t>06 64 94 32 95</t>
  </si>
  <si>
    <t>Olivier Somps</t>
  </si>
  <si>
    <t>https://assos.bordeaux.fr/association/detail/920</t>
  </si>
  <si>
    <t>RÉCUP'R</t>
  </si>
  <si>
    <t>Récup'R est un atelier participatif et solidaire qui incite à l'auto-réparation en mécanique vélo et en couture. Son but est la réduction des déchets par le réemploi. Cette recyclerie donne à ses adhérents l'accès à des outils, du matériel d'occasion et des conseils. Récup'r propose également différentes animations : vélos rigolos, atelier mobile cycle, création couture, sensibilisation à l'environnement...</t>
  </si>
  <si>
    <t xml:space="preserve">4 rue des Terres de Borde                                                                                                </t>
  </si>
  <si>
    <t>05 54 49 11 71</t>
  </si>
  <si>
    <t>recupr.org</t>
  </si>
  <si>
    <t>https://assos.bordeaux.fr/association/detail/1460</t>
  </si>
  <si>
    <t>A.V.E.C LES LIENS DU CŒUR</t>
  </si>
  <si>
    <t>Unique structure composée de médecins, patients, accompagnants et familles de patients. Entreprise à œuvrer ensemble pour l’amélioration des conditions de vie des personnes atteintes de malformations cardiaques (cardiopathies congénitales - du fœtus à l’âge adulte). Les liens du cœur a pour missions : accompagner les patients et leur famille, sensibiliser et former, agir pour l'innovation et la recherche.</t>
  </si>
  <si>
    <t xml:space="preserve">Hôpital Haut Lévêque                                  Avenue de Magellan                                                                                                             </t>
  </si>
  <si>
    <t>06 62 43 13 44</t>
  </si>
  <si>
    <t>JEAN BENOIT THAMBO</t>
  </si>
  <si>
    <t>https://assos.bordeaux.fr/association/detail/589</t>
  </si>
  <si>
    <t>AVOIRUNPCGRATUIT - A1PCG</t>
  </si>
  <si>
    <t>L'association A1PcG basée à Mérignac 33700,  récupère tous vos composants informatique, Pc portable, bureau, particulier, professionnel, entreprise &amp; association, nous les remettons en état pour les mettre à disposition aux personnes démunies GRATUITEMENT...!!!</t>
  </si>
  <si>
    <t xml:space="preserve">Mr Barateau                                 BP 50 052                                                                                                             </t>
  </si>
  <si>
    <t>33703</t>
  </si>
  <si>
    <t>06 66 62 19 61</t>
  </si>
  <si>
    <t>Philippe BARATEAU</t>
  </si>
  <si>
    <t>www.a1pcg.fr</t>
  </si>
  <si>
    <t>https://assos.bordeaux.fr/association/detail/1269</t>
  </si>
  <si>
    <t>CCC33</t>
  </si>
  <si>
    <t>https://assos.bordeaux.fr/association/detail/1235</t>
  </si>
  <si>
    <t>RELAIS HANDICAP INTERNATIONAL DE BORDEAUX - HI33</t>
  </si>
  <si>
    <t>https://assos.bordeaux.fr/association/detail/947</t>
  </si>
  <si>
    <t>100 PROPOS SANS RÉPONSE</t>
  </si>
  <si>
    <t>100 propos sans réponse, compagnie de théâtre, a pour objet la création et la production de spectacles vivants et l'organisation d'activités en lien avec les arts de la scène.</t>
  </si>
  <si>
    <t xml:space="preserve">108 rue prunier                                                                                                </t>
  </si>
  <si>
    <t>06 85 34 24 42</t>
  </si>
  <si>
    <t>https://assos.bordeaux.fr/association/detail/840</t>
  </si>
  <si>
    <t>ENSEMBLE ORCHESTRAL MOLTO ASSAÏ - MOLTO ASSAÏ</t>
  </si>
  <si>
    <t>L’association a pour objet d’offrir aux musiciens amateurs de la région une pratique orchestrale de qualité et de promouvoir la musique en favorisant l’accès de tous à des œuvres classiques ou contemporaines, qu’ils soient musiciens ou auditeurs.</t>
  </si>
  <si>
    <t xml:space="preserve">37 rue Gaston Lespiault                                                                                                </t>
  </si>
  <si>
    <t>06 78 18 00 96</t>
  </si>
  <si>
    <t>www.moltoassai.fr</t>
  </si>
  <si>
    <t>https://assos.bordeaux.fr/association/detail/825</t>
  </si>
  <si>
    <t>ASSOCIATION RÉNOVATION</t>
  </si>
  <si>
    <t>L’Association Rénovation est spécialisée dans la prise en charge d’enfants, d’adolescents et d’adultes affectés par des troubles du comportement et des maladies psychiques. Elle se présente comme une alternative à l’isolement ou l’enfermement et comme une tentative pour permettre à chacun d’intervenir comme sujet parlant et de prendre en main son destin.</t>
  </si>
  <si>
    <t xml:space="preserve">68 rue des Pins Francs                                                                                                </t>
  </si>
  <si>
    <t>05 56 02 00 31</t>
  </si>
  <si>
    <t>https://assos.bordeaux.fr/association/detail/1138</t>
  </si>
  <si>
    <t>PALESTINE33, GROUPE LOCAL DE L'AFPS (ASSOCIATION FRANCE PALESTINE SOLIDARITÉ)</t>
  </si>
  <si>
    <t>Palestine33 a pour but d’apporter un soutien tant moral que matériel au peuple palestinien qui se bat contre l'apartheid, la colonisation, les spoliations, pour que le droit s'impose enfin.
Nos moyens d’action sont notamment des campagnes de souscription pour financer des acteurs locaux, l'information de la population girondine par des conférences, expositions, publications et autres formes d’intervention publique.</t>
  </si>
  <si>
    <t xml:space="preserve">27, rue de Belgique                                                                                                </t>
  </si>
  <si>
    <t>06 49 63 40 14</t>
  </si>
  <si>
    <t>https://assos.bordeaux.fr/association/detail/826</t>
  </si>
  <si>
    <t>LA TRIBUNE MONTESQUIEU</t>
  </si>
  <si>
    <t>La Tribune Montesquieu est une association étudiante ayant pour objectif de libérer la parole par l'écriture, l'éloquence et le débat. Nous éditons un journal rédigé par les étudiants, organisons des procès fictifs, participons au championnat de France de débat et d'éloquence et organisons des ateliers théâtre/improvisation chaque semaine.</t>
  </si>
  <si>
    <t xml:space="preserve">Université de Bordeaux - 16 avenue Léon Duguit                                 bureau A17                                                                                                             </t>
  </si>
  <si>
    <t>06 89 30 06 32</t>
  </si>
  <si>
    <t>Anna Pasternatzky</t>
  </si>
  <si>
    <t>https://assos.bordeaux.fr/association/detail/591</t>
  </si>
  <si>
    <t>THÉÂTRE EN MIETTES</t>
  </si>
  <si>
    <t>Le Théâtre en Miettes a pour objet la promotion et le développement de la création théâtrale, la diffusion et l'animation culturelle dans un but d'éducation populaire. Avec 4 domaines d'interventions (Compagnie Théâtrale, École de Théâtre, Centre de formation professionnelle, salle de spectacle), le Théâtre en miettes couvre de manière transversale ses objectifs d'actions et d'éducations culturelles.</t>
  </si>
  <si>
    <t>05 56 43 06 31</t>
  </si>
  <si>
    <t>www.theatreenmiettes.fr/BPJEPS.htmll</t>
  </si>
  <si>
    <t>https://assos.bordeaux.fr/association/detail/1325</t>
  </si>
  <si>
    <t>L’association dite HAPPE:N fondée en Septembre 2009 a pour but de favoriser la promotion de la vie culturelle de la Communauté Urbaine de Bordeaux et d'Aquitaine, ainsi que la visibilité des artistes locaux.</t>
  </si>
  <si>
    <t xml:space="preserve">34 rue du Cloître                                                                                                </t>
  </si>
  <si>
    <t>06 33 15 87 41</t>
  </si>
  <si>
    <t>https://assos.bordeaux.fr/association/detail/622</t>
  </si>
  <si>
    <t>COLLECTIF LESCURE LE LIEU SANS NOM</t>
  </si>
  <si>
    <t>Cette association a pour but d'animer et de gérer un lieu mutualisé de diffusion et d'accompagnement à la création artistique et culturelle.</t>
  </si>
  <si>
    <t>https://assos.bordeaux.fr/association/detail/780</t>
  </si>
  <si>
    <t>LOCAL'ATTITUDE : DU JARDIN À L'ÉPICERIE - LOCAL'ATTITUDE</t>
  </si>
  <si>
    <t>Face à la précarité grandissante des populations des quartiers nord de Bordeaux, depuis 2012, habitants, bénévoles et équipes des 3 centres sociaux
(GP Intencité, Foyer Fraternel et Bordeaux Nord) ont souhaité voir naître un nouveau lieu ouvert à tous, afin d’apporter une réponse pour faire face aux enjeux liés à l'alimentation et favoriser la mixité et le lien social.</t>
  </si>
  <si>
    <t xml:space="preserve">5 Rue Etienne Huyard                                  Centre Commercial Counord                                                                                                              </t>
  </si>
  <si>
    <t>https://assos.bordeaux.fr/association/detail/643</t>
  </si>
  <si>
    <t>LATINO MEX BORDEAUX - LMB</t>
  </si>
  <si>
    <t>Diffuser, partager et faire découvrir la culture, les traditions, les festivités et les coutumes de l’Amérique Latine, en particulière la culture mexicain, à travers des événements festifs et culturels. Aider les ressortissants latino-américains arrivant à Bordeaux à s’intégrer socialement et culturellement dans la société française. Soutenir et promouvoir la création d’entreprises latino-américaines.</t>
  </si>
  <si>
    <t xml:space="preserve">255, Rue Mandron                                 Appt. 75                                                                                                             </t>
  </si>
  <si>
    <t>06 33 09 12 12</t>
  </si>
  <si>
    <t>Erick VALDEZ</t>
  </si>
  <si>
    <t>https://assos.bordeaux.fr/association/detail/1582</t>
  </si>
  <si>
    <t>Promouvoir les rencontres et les échanges culturels de personnes de toutes nationalités afin de promouvoir une entraide conviviale favorisant l'intégration et véhiculant un sens civique ainsi qu'une bonne moralité dans notre ville et quartier autour de l'art, peinture, sculpture, dessin, musique, édition de revues, expositions et conférences de l'histoire de Bordeaux, dégustation de plats d'ici et d'ailleurs...etc...</t>
  </si>
  <si>
    <t>67, avenue du Général de Gaule                                                                                                47230 LAVARDAC</t>
  </si>
  <si>
    <t>06 06 62 93 63</t>
  </si>
  <si>
    <t>ROSE BAYANG KOUMIGNE</t>
  </si>
  <si>
    <t>https://assos.bordeaux.fr/association/detail/914</t>
  </si>
  <si>
    <t>COLLECTIF JESUISNOIRDEMONDE</t>
  </si>
  <si>
    <t>Le Collectif a pour objet la recherche et la création artistiques, la production et la
diffusion de spectacles vivants, la conduite d’actions culturelles, la sensibilisation
aux pratiques artistiques afin de combattre la fatalité et les discriminations sociales.</t>
  </si>
  <si>
    <t xml:space="preserve">4 bis Avenue du Professeur Vincent                                                                 BP 30034                                </t>
  </si>
  <si>
    <t>33305</t>
  </si>
  <si>
    <t>06 84 97 45 49</t>
  </si>
  <si>
    <t>www.jesuisnoirdemonde.fr</t>
  </si>
  <si>
    <t>https://assos.bordeaux.fr/association/detail/918</t>
  </si>
  <si>
    <t>SOCIÉTÉ ARCHÉOLOGIQUE DE BORDEAUX - SAB</t>
  </si>
  <si>
    <t>Assurer la conservation des antiquités, surveiller les chantiers, organiser des conférences sur des sujets archéologiques et de mise en valeur du patrimoine girondin, organiser des publications sur les mêmes sujets, proposer des visites de sites archéologiques ou patrimoniaux.</t>
  </si>
  <si>
    <t xml:space="preserve">1  place Bardineau                                 Hotel des Sociétés Savantes                                                                                                             </t>
  </si>
  <si>
    <t>06 63 77 03 28</t>
  </si>
  <si>
    <t>www.societe-archeologique-bordeaux.fr</t>
  </si>
  <si>
    <t>https://assos.bordeaux.fr/association/detail/1063</t>
  </si>
  <si>
    <t>A VÉLO SANS AGE  - AVSA</t>
  </si>
  <si>
    <t>Proposer aux résidents d'Ehpad des sorties en triporteur dans l'environnement proche ou plus éloigné (avec transfert en mini-bus), voir dans leur quartier d'origine. Sous la responsabilité du personnel soignant, en coordination avec l'animatrice et selon un planning, afin de prévoir l'encadrement bénévole, pour le pilotage du vélo. Redonner le sourire par le vent dans les cheveux!</t>
  </si>
  <si>
    <t>06 83 22 80 32</t>
  </si>
  <si>
    <t>https://assos.bordeaux.fr/association/detail/1452</t>
  </si>
  <si>
    <t>ABRAZO Y CAMINATA</t>
  </si>
  <si>
    <t>Promouvoir la pratique du tango argentin par l'organisation de cours, stages et soirées.</t>
  </si>
  <si>
    <t xml:space="preserve">64 rue roland garros                                                                                                </t>
  </si>
  <si>
    <t>06 79 74 39 03</t>
  </si>
  <si>
    <t>Eric Tellier-Bitsch</t>
  </si>
  <si>
    <t>www.abrazoycaminata.fr</t>
  </si>
  <si>
    <t>https://assos.bordeaux.fr/association/detail/495</t>
  </si>
  <si>
    <t>SOSSA</t>
  </si>
  <si>
    <t>Karma police Arrest this man He talks in maths He buzzes like a fridge He's like a detuned radio Karma police Arrest this girl Her Hitler hairdo Is making me feel ill And we have crashed her party This is what you'll get This is what you'll get This is what you'll get When you mess with us Karma police I've given all I can It's not enough I've given all I can But we're still on the payroll This is what you'll get</t>
  </si>
  <si>
    <t xml:space="preserve">10 place lafargue                                                                                                 </t>
  </si>
  <si>
    <t>06 25 14 85 74</t>
  </si>
  <si>
    <t>fr.wikipedia.org/wiki/Zin%C3%A9dine_Zidane</t>
  </si>
  <si>
    <t>https://assos.bordeaux.fr/association/detail/861</t>
  </si>
  <si>
    <t>L'ATELIER CHORÉGRAPHIQUE - L.A.C.</t>
  </si>
  <si>
    <t>L'enseignement artistique et culturel pour le développement de projets créatifs originaux, à travers la DANSE dans ses diverses modalités</t>
  </si>
  <si>
    <t xml:space="preserve">17 Bis cours Edouard Vaillant                                                                                                </t>
  </si>
  <si>
    <t>06 13 90 13 01</t>
  </si>
  <si>
    <t>www.latelierchoregraphique.fr</t>
  </si>
  <si>
    <t>https://assos.bordeaux.fr/association/detail/1260</t>
  </si>
  <si>
    <t>BELL'ITALIA</t>
  </si>
  <si>
    <t>Cours d'italien avec des professeurs italiens expérimentés.</t>
  </si>
  <si>
    <t xml:space="preserve">17 rue des Remparts                                                                                                </t>
  </si>
  <si>
    <t>06 07 17 35 95</t>
  </si>
  <si>
    <t>Bernard Marquette</t>
  </si>
  <si>
    <t>https://assos.bordeaux.fr/association/detail/1291</t>
  </si>
  <si>
    <t>W415236524</t>
  </si>
  <si>
    <t>dazfzaf</t>
  </si>
  <si>
    <t xml:space="preserve">10 rue Jean Carmet                                                                                                </t>
  </si>
  <si>
    <t>06 83 85 44 39</t>
  </si>
  <si>
    <t>https://assos.bordeaux.fr/association/detail/1133</t>
  </si>
  <si>
    <t>CENTRE DES PRATIQUES ARTISTIQUES ET RECHERCHES CHORÉGRAPHIQUE LATELIER14 - CPARC</t>
  </si>
  <si>
    <t>Pratique Artistique   et  Recherche  Chorégraphique Danse</t>
  </si>
  <si>
    <t xml:space="preserve">14 cours evrard de fayolle                                                                                                </t>
  </si>
  <si>
    <t>06 62 30 21 84</t>
  </si>
  <si>
    <t>www.latelier14-danse.com</t>
  </si>
  <si>
    <t>https://assos.bordeaux.fr/association/detail/809</t>
  </si>
  <si>
    <t>LA MAISON DES FAMILLES DE BORDEAUX - MDF</t>
  </si>
  <si>
    <t>La Maison des Familles est une maison ouverte aux familles et habitants du quartier, gratuit. Elle se veut un lieu de répit et de lien, où le vivre ensemble, le respect de l'autre dans sa différence est une valeur. Un lieu où le parent est le premier éducateur de son enfant et enfin un lieu où les projets collectifs peuvent voir le jour.</t>
  </si>
  <si>
    <t xml:space="preserve">107 - 109 rue Kleber                                                                                                </t>
  </si>
  <si>
    <t>07 62 10 40 99</t>
  </si>
  <si>
    <t>https://assos.bordeaux.fr/association/detail/973</t>
  </si>
  <si>
    <t>Langue des signes Française, accompagnement des familles en situation de handicap, spectacles adaptés, ateliers, formations</t>
  </si>
  <si>
    <t xml:space="preserve">13, rue Edouard Colonne                                                                                                </t>
  </si>
  <si>
    <t>06 85 97 88 90</t>
  </si>
  <si>
    <t>https://assos.bordeaux.fr/association/detail/1581</t>
  </si>
  <si>
    <t>A P'TITS PAS</t>
  </si>
  <si>
    <t>https://assos.bordeaux.fr/association/detail/935</t>
  </si>
  <si>
    <t>COLLECTIF GENRE</t>
  </si>
  <si>
    <t>https://assos.bordeaux.fr/association/detail/645</t>
  </si>
  <si>
    <t>TOURING PÉDESTRE BORDELAIS - TPB</t>
  </si>
  <si>
    <t>Association à objet sportif, affiliée à la Fédération Française de randonnée. Elle a pour but de proposer à ses adhérents des randonnées tous les dimanches et jeudis de longueurs variées (de 10 à 25 km), conduites par des animateurs qualifiés, des randonnées à thème. De septembre à fin Juin</t>
  </si>
  <si>
    <t xml:space="preserve">59 RUE DE BRACH                                                                                                </t>
  </si>
  <si>
    <t>06 35 95 13 82</t>
  </si>
  <si>
    <t>Michèle LETREUX-RIGAUD</t>
  </si>
  <si>
    <t>https://assos.bordeaux.fr/association/detail/1193</t>
  </si>
  <si>
    <t>CLUB DE CANNE ET BÂTON D'AQUITAINE - CCBA</t>
  </si>
  <si>
    <t>Le CCBA est un club sportif destiné à faire découvrir et pratiquer la canne de combat, un art martial français.</t>
  </si>
  <si>
    <t xml:space="preserve">12 rue de Bègles                                 Appartement 5                                                                                                             </t>
  </si>
  <si>
    <t>06 10 28 12 95</t>
  </si>
  <si>
    <t>Sébastien Boursier</t>
  </si>
  <si>
    <t>https://assos.bordeaux.fr/association/detail/1283</t>
  </si>
  <si>
    <t>Promouvoir et développer la culture, l'esprit et la pratique de la danse de Bal brésilienne "Forró".</t>
  </si>
  <si>
    <t xml:space="preserve">129 cours du Médoc                                 Résidence Saint Estèphe Appt 11- Bâtiment A                                                                                                             </t>
  </si>
  <si>
    <t>06 13 77 01 48</t>
  </si>
  <si>
    <t>Anne FREDEFON</t>
  </si>
  <si>
    <t>www.forrobordeaux.fr</t>
  </si>
  <si>
    <t>https://assos.bordeaux.fr/association/detail/1412</t>
  </si>
  <si>
    <t>VIVRE À CAUDÉRAN</t>
  </si>
  <si>
    <t>Organiser des événements culturels, festifs, éducatifs pour le quartier de Caudéran : fête de l’escargot, printemps de Caudéran, Tour de Gironde, Grand Prix Cycliste de Caudéran….</t>
  </si>
  <si>
    <t xml:space="preserve">28 rue Rabot                                                                                                </t>
  </si>
  <si>
    <t>https://assos.bordeaux.fr/association/detail/1677</t>
  </si>
  <si>
    <t>AFRISOL ECO DÉVELOPPEMENT - AED</t>
  </si>
  <si>
    <t>apporter un soutien par tout moyen direct ou indirect à la réalisation de projets, dans les pays en voie de développement. Ces projets peuvent se faire notamment en lien avec les partenaires locaux et sont destinés à améliorer les conditions de vie des habitants à des fins d’éco-développement local</t>
  </si>
  <si>
    <t xml:space="preserve">23 cours de Québec                                 Porte 316                                                                                                             </t>
  </si>
  <si>
    <t>06 07 84 14 25</t>
  </si>
  <si>
    <t>Francois BAUDIN</t>
  </si>
  <si>
    <t>www.afrisol-eco-developpement.fr</t>
  </si>
  <si>
    <t>https://assos.bordeaux.fr/association/detail/1109</t>
  </si>
  <si>
    <t>LES MARMAILLONS</t>
  </si>
  <si>
    <t>Cette association a pour objet d'être une compagnie amatrice d'enseignement de l'improvisation théâtrale à visée récréative qui produira à titre occasionnel des spectacles à l'entrée libre et à l'entrée payante.</t>
  </si>
  <si>
    <t xml:space="preserve">49 rue Eugène ténot                                                                                                </t>
  </si>
  <si>
    <t>06 74 41 53 04</t>
  </si>
  <si>
    <t>https://assos.bordeaux.fr/association/detail/740</t>
  </si>
  <si>
    <t>ASSOCIATION DES MALADES ET OPÉRÉS CARDIAQUES - AMOC</t>
  </si>
  <si>
    <t>Nous savons que 1 personne sur 3 meurt d'un souci cardiovasculaire, que nous ne sommes que 3% en France à connaître les gestes qui sauvent. Aussi, par son dynamisme, l'AMOC est à l'écoute de tous les usagers et patients (infarctus du myocarde,stressés, stents, coronariens ou valvés, obèses, diabétiques, accidents vasculaires cérébraux…), nous pouvons par la prévention éviter ces accidents. Rejoignez-nous.</t>
  </si>
  <si>
    <t xml:space="preserve">55 ave du Maréchal de Lattre de Tassigny                                                                                                </t>
  </si>
  <si>
    <t>06 86 07 16 71</t>
  </si>
  <si>
    <t>Michelle Remignon</t>
  </si>
  <si>
    <t>www.amoc-asso.com</t>
  </si>
  <si>
    <t>https://assos.bordeaux.fr/association/detail/884</t>
  </si>
  <si>
    <t>Promotion des arts audiovisuels et des cinémas de traverse.
Programmation / diffusion / médiation.</t>
  </si>
  <si>
    <t>https://assos.bordeaux.fr/association/detail/1808</t>
  </si>
  <si>
    <t>ACRO SWING DUO</t>
  </si>
  <si>
    <t>L'association Acro Swing Duo a pour but de promouvoir les arts du mouvement. Nous proposons des cours hebdomadaires d'Acroyoga, de Danse Partnering, d'Equilibres sur les Mains, de Stretching, de Massage thaï et d'Acroyoga parents/enfants. Nous organisons également des stages ponctuels pour ces différentes activités.</t>
  </si>
  <si>
    <t xml:space="preserve">8 rue de Port                                                                                                </t>
  </si>
  <si>
    <t>06 70 77 93 67</t>
  </si>
  <si>
    <t>www.facebook.com/acroswingduo</t>
  </si>
  <si>
    <t>https://assos.bordeaux.fr/association/detail/846</t>
  </si>
  <si>
    <t>ASSOCIATION SAMBA MWANAS - SAMBAMWANAS</t>
  </si>
  <si>
    <t>Samba Mwanas est une organisation d'origine gabonaise ,à vocation humanitaire,
Samba ( accueil chaleureux )
Mwanas (enfant).
Sympathisants, Membres et Bénévoles: 
- Œuvre pour la protection et la promotion des droits de l’enfant et du jeune de 3 à 21 ans. 
- Lutte contre toutes formes de violence et abus sexuels .
- Accompagne les Mineurs non accompagnés(MNA) dans leur parcours d'intégration en République Française.</t>
  </si>
  <si>
    <t xml:space="preserve">3rue de la Rosière                                  Appt 09 / Bat C                                                                                                             </t>
  </si>
  <si>
    <t>07 53 14 03 90</t>
  </si>
  <si>
    <t>HORTENSE NNAME</t>
  </si>
  <si>
    <t>sambamwanas.wordpress.com</t>
  </si>
  <si>
    <t>https://assos.bordeaux.fr/association/detail/1583</t>
  </si>
  <si>
    <t>IMP'ACT</t>
  </si>
  <si>
    <t>Association de médiation et de prévention sociale qui utilise le théâtre de l'invisible comme un outil d'expression collective</t>
  </si>
  <si>
    <t xml:space="preserve">10 rue Carbonneau                                                                                                </t>
  </si>
  <si>
    <t>07 68 90 13 63</t>
  </si>
  <si>
    <t>impactheatre.com</t>
  </si>
  <si>
    <t>https://assos.bordeaux.fr/association/detail/836</t>
  </si>
  <si>
    <t>TROISIEME PORTE À GAUCHE</t>
  </si>
  <si>
    <t>La Troisième Porte à gauche est une structure associative de production de documentaires de création, composée de producteurs, d’auteurs, de vidéastes, de techniciens de l’image et du son. Créée en 2005, la structure a pris le temps de grandir, ce temps était nécessaire pour fédérer les énergies autour du projet d’oeuvrer pour un développement social par l’image et le cinéma documentaire.</t>
  </si>
  <si>
    <t xml:space="preserve">72 bis, rue des menuts                                                                                                </t>
  </si>
  <si>
    <t>09 54 47 47 73</t>
  </si>
  <si>
    <t>www.troisiemeporteagauche.com</t>
  </si>
  <si>
    <t>https://assos.bordeaux.fr/association/detail/705</t>
  </si>
  <si>
    <t>FENÊTRE SUR RUE</t>
  </si>
  <si>
    <t>L'association a pour but la recherche, la création, l'animation et la diffusion artistique entre ses membres et dans le public. Pour ce faire toutes les actions de FenÊtre sur rue sont menées par des artistes en activité : plasticiens, peintres, graveurs, sculpteurs, vidéaste, etc. Ces artistes de proximité interviennent dans de multiples lieux de vie ou alternatifs permettant la découverte et l'expression artistique</t>
  </si>
  <si>
    <t xml:space="preserve">11 rue Thiac                                                                                                </t>
  </si>
  <si>
    <t>06 71 05 43 73</t>
  </si>
  <si>
    <t>www.fenetre-sur-rue.com</t>
  </si>
  <si>
    <t>https://assos.bordeaux.fr/association/detail/1060</t>
  </si>
  <si>
    <t>LIVIN'JAZZ</t>
  </si>
  <si>
    <t>https://assos.bordeaux.fr/association/detail/1458</t>
  </si>
  <si>
    <t>L’association Espoir 33 a pour but d’accueillir et d’accompagner des personnes en situation de handicap psychique avec ou sans handicap associé.
Elle intervient notamment par la promotion de projets innovants, portant sur la création et la gestion d’établissements et de services dédiés à cette cause.</t>
  </si>
  <si>
    <t xml:space="preserve">16 Cours Gambetta                                                                                                </t>
  </si>
  <si>
    <t>05 56 40 43 35</t>
  </si>
  <si>
    <t>http:/www.espoir33.fr</t>
  </si>
  <si>
    <t>https://assos.bordeaux.fr/association/detail/978</t>
  </si>
  <si>
    <t>ANGELSTREE - PROGRAMME BROADWAY DANCE FACTORY</t>
  </si>
  <si>
    <t>Cette association a pour but de promouvoir la pratique de la comédie musicale en développant 2 valeurs principales : la bienveillance, par rapport à soi-même, par rapport à son corps, et par rapport aux autres. Et la collaboration entre personnes avec des compétences/pratiques/sexe/âges etc… différents</t>
  </si>
  <si>
    <t>06 85 03 06 72</t>
  </si>
  <si>
    <t>www.broadwaydancefactory.com</t>
  </si>
  <si>
    <t>https://assos.bordeaux.fr/association/detail/557</t>
  </si>
  <si>
    <t>ATELIER DES BEAUX ARTS SUP BORDEAUX - ADBA</t>
  </si>
  <si>
    <t>Promotion et valorisation culturelle et éducationnelle des arts visuels. Education - Formation initiale et continue - Sensibilisation aux pratiques artistique en arts plastiques. Pour tout public</t>
  </si>
  <si>
    <t xml:space="preserve">59 Cours de la Martinique                                                                                                </t>
  </si>
  <si>
    <t>05 56 20 92 96</t>
  </si>
  <si>
    <t>Pascale ROUX</t>
  </si>
  <si>
    <t>https://assos.bordeaux.fr/association/detail/1075</t>
  </si>
  <si>
    <t>Aide et recherches généalogiques basées sur les archives, l'histoire, en s'appuyant sur les outils informatiques.</t>
  </si>
  <si>
    <t xml:space="preserve">29, rue Famatina                                                                                                </t>
  </si>
  <si>
    <t>06 11 87 60 57</t>
  </si>
  <si>
    <t>www.cahiersdarchives.fr</t>
  </si>
  <si>
    <t>https://assos.bordeaux.fr/association/detail/905</t>
  </si>
  <si>
    <t>L'A. COSMOPOLITAINE</t>
  </si>
  <si>
    <t>L’A Cosmopolitaine est une association culturelle, éducative, lieu privilégié d’échanges, de rencontres, d’information et d’expression. Actuellement elle met en avant les traditions antillaises grâce à ses bénévoles : percussions gwo ka, soirée léwoz, chants, soirée chanté noël, danses quadrille et gwo ka, commémoration des abolitions de l'esclavage, cuisine interculturelle, bal gran Moun, atelier créatif,  ...</t>
  </si>
  <si>
    <t xml:space="preserve"> rue Bouthier                                 Tania SAINT-LEGER Présidente                                                                                                             </t>
  </si>
  <si>
    <t>06 33 83 43 45</t>
  </si>
  <si>
    <t>Tania SAINT-LEGER</t>
  </si>
  <si>
    <t>www.lacosmopolitaine.fr</t>
  </si>
  <si>
    <t>https://assos.bordeaux.fr/association/detail/1316</t>
  </si>
  <si>
    <t>SOCIÉTÉ BORDELAISE D'AQUARELLE - SBA</t>
  </si>
  <si>
    <t>La promotion de l’aquarelle, notamment par le biais d’organisation d’événements, de manifestations, expositions</t>
  </si>
  <si>
    <t xml:space="preserve">112 rue Mac Carthy                                 Résidence Poincare Appt 103                                                                                                             </t>
  </si>
  <si>
    <t>06 71 24 92 24</t>
  </si>
  <si>
    <t>Veronique Legros Sosa</t>
  </si>
  <si>
    <t>https://assos.bordeaux.fr/association/detail/855</t>
  </si>
  <si>
    <t>ASSOCIATION NATIONALE LE REFUGE - LE REFUGE</t>
  </si>
  <si>
    <t>L'ASSOCIATION LE REFUGE A POUR OBJET DE PREVENIR ET LUTTER CONTRE L'ISOLEMENT ET LE SUICIDE DES JEUNES LGBT, DE 18 A 25 ANS, VICTIMES D'HOMOPHOBIE OU DE TRANSPHOBIE ET EN SITUATION DE RUPTURE FAMILIALE. ELLE HEBERGE ET ACCOMPAGNE CES JEUNES VERS LEUR RECONSTRUCTION EMOTIONNELLE ET MATERIELLE.</t>
  </si>
  <si>
    <t xml:space="preserve">35 RUE DES MENUTS                                                                                                </t>
  </si>
  <si>
    <t>07 70 49 64 71</t>
  </si>
  <si>
    <t>NICOLAS NOGUIER</t>
  </si>
  <si>
    <t>https://assos.bordeaux.fr/association/detail/1018</t>
  </si>
  <si>
    <t>CONSEIL POUR LA JUSTICE L'EGALITÉ ET LA PAIX</t>
  </si>
  <si>
    <t>Vivre Ensemble, Humanitaire, Citoyenneté, Culture, Vie Sociale, Vie Etudiante, etc.</t>
  </si>
  <si>
    <t xml:space="preserve">17 rue Edouard Faure                                                                                                </t>
  </si>
  <si>
    <t>03 88 84 49 30</t>
  </si>
  <si>
    <t>Tuba Turkoglu</t>
  </si>
  <si>
    <t>cojep.fr</t>
  </si>
  <si>
    <t>https://assos.bordeaux.fr/association/detail/640</t>
  </si>
  <si>
    <t>UNION SPORTIVE LES CHARTRONS MAISON DE QUARTIER - U.S.C.</t>
  </si>
  <si>
    <t>Sports Loisirs et Culture- L'association dite « Union Sportive les Chartrons » fondée en 1908, a pour but de créer entre toutes les personnes membres du club, une association sportive et culturelle regroupant diverses sections et activités.
L'association est labellisée Maison de Quartier par la Ville de Bordeaux.
Elle propose une trentaine d'activités sportives, culturelles et d'animation sur Bordeaux Maritime.</t>
  </si>
  <si>
    <t xml:space="preserve">5 rue Lucien FAURE                                 Maison de Quartier                                                                                                             </t>
  </si>
  <si>
    <t>05 56 69 08 56</t>
  </si>
  <si>
    <t>ERIC COT</t>
  </si>
  <si>
    <t>www.uschartrons.com</t>
  </si>
  <si>
    <t>https://assos.bordeaux.fr/association/detail/1807</t>
  </si>
  <si>
    <t>L'ATELIER DU RIRE</t>
  </si>
  <si>
    <t>cette association a pour but d'améliorer le mieux être personnel et les relations humaines notamment en :
faisant connaitre la méthode du rire sans raison du docteur Madan Kataria afin d'apporter de la jois de vivre, de la bonne humeur et du bien être,
connectant les gens à travers le rire,
trouvant du bonheur à rendre les autres heureux et en apportant de l'amour inconditionnel.</t>
  </si>
  <si>
    <t xml:space="preserve">26 rue Condillac                                 chez wigi                                                                                                             </t>
  </si>
  <si>
    <t>06 07 72 42 33</t>
  </si>
  <si>
    <t>clubrireetbienetre33.com</t>
  </si>
  <si>
    <t>https://assos.bordeaux.fr/association/detail/533</t>
  </si>
  <si>
    <t>E-GRAINE NOUVELLE AQUITAINE - EGNA</t>
  </si>
  <si>
    <t>Notre association d'éducation à la Citoyenneté Mondiale cherche à cultiver l'envie d'agir auprès de tou.te.s pour que chacun.e puisse être artisan.te d'un monde solidaire et responsable. Par la pédagogie active nous souhaitons développer l'esprit critique pour amener les citoyen.ne.s de tous âges à faire des choix de société en conscience.</t>
  </si>
  <si>
    <t>06 25 09 40 02</t>
  </si>
  <si>
    <t>www.e-graine.org</t>
  </si>
  <si>
    <t>https://assos.bordeaux.fr/association/detail/1726</t>
  </si>
  <si>
    <t>SWALLOOWS</t>
  </si>
  <si>
    <t>Développer la philanthropie par des projets entrepreneuriaux et associatifs, par la mobilisation des citoyens et des institutions du territoire. 
Nous oeuvrons pour le développement de la philanthropie et la démocratisation du don en France. Rendre la philanthropie accessible à tous. Créer une motivation inédite de la philanthropie par de nouveaux outils numériques.</t>
  </si>
  <si>
    <t xml:space="preserve">28 RUE CEREY                                                                                                </t>
  </si>
  <si>
    <t>06 51 32 91 44</t>
  </si>
  <si>
    <t>FABIEN LEMARCHAND</t>
  </si>
  <si>
    <t>https://assos.bordeaux.fr/association/detail/1723</t>
  </si>
  <si>
    <t>ASSOCIATION JEUNESSE ET ENTREPRISES NOUVELLE-AQUITAINE, CLUB DE BORDEAUX - AJE</t>
  </si>
  <si>
    <t>rapprocher les jeunes des entreprises et les entreprises des jeunes, avec le relais des enseignants et des parents d'élèves</t>
  </si>
  <si>
    <t xml:space="preserve">18 avenue Louis Barthou                                                                                                </t>
  </si>
  <si>
    <t>06 72 22 51 23</t>
  </si>
  <si>
    <t>https://assos.bordeaux.fr/association/detail/654</t>
  </si>
  <si>
    <t>IDI INTERACTION D'IDÉES - IDI</t>
  </si>
  <si>
    <t>la mise en place de projets de pratiques artistiques contemporaines destinés à tous les publics, afin de promouvoir la création collective et multiculturelle.</t>
  </si>
  <si>
    <t xml:space="preserve">245 boulevard Godard                                                                                                </t>
  </si>
  <si>
    <t>06 63 90 93 55</t>
  </si>
  <si>
    <t>www.idi-asso.org</t>
  </si>
  <si>
    <t>https://assos.bordeaux.fr/association/detail/1080</t>
  </si>
  <si>
    <t>OBJECTIF FIT</t>
  </si>
  <si>
    <t>Mise en place des solutions visant à lutter contre le surpoids et ses conséquences métaboliques, physiques, psychiques et sociales.</t>
  </si>
  <si>
    <t xml:space="preserve">4 passage Sarget                                                                                                </t>
  </si>
  <si>
    <t>06 17 96 59 88</t>
  </si>
  <si>
    <t>Estelle Bourse</t>
  </si>
  <si>
    <t>https://assos.bordeaux.fr/association/detail/1196</t>
  </si>
  <si>
    <t>JARDIN PARTAGÉ DU PARC RIVIÈRE : J2PR</t>
  </si>
  <si>
    <t>Gestion d'un jardin partagé mis à sa disposition par la ville de Bordeaux dans le parc Rivière</t>
  </si>
  <si>
    <t xml:space="preserve">Résidence Tivoli                                 Entrée D - App 259 - 179 rue Camille Godard                                                                                                             </t>
  </si>
  <si>
    <t>06 10 77 92 35</t>
  </si>
  <si>
    <t>https://assos.bordeaux.fr/association/detail/1271</t>
  </si>
  <si>
    <t>Notre mission est de développer entre les familles, sans distinction de confessions, d'opinions politiques, de catégories professionnelles, de nationalité, de dimension de famille, ni d'origine géographique, un esprit d'entraide et de solidarité et de gérer dans ce but des services d'intérêt général.</t>
  </si>
  <si>
    <t xml:space="preserve">Cours de l'intendance                                                                BP 14                                </t>
  </si>
  <si>
    <t>05 56 51 17 17</t>
  </si>
  <si>
    <t>www.association-familles-gironde.fr</t>
  </si>
  <si>
    <t>https://assos.bordeaux.fr/association/detail/1251</t>
  </si>
  <si>
    <t>SECOURS CATHOLIQUE - CARITAS FRANCE DE LA GIRONDE - SCCF</t>
  </si>
  <si>
    <t>https://assos.bordeaux.fr/association/detail/628</t>
  </si>
  <si>
    <t>DELICATEZEN</t>
  </si>
  <si>
    <t>L'association a pour but de favoriser et d'accompagner des personnes dans leur démarche de développement personnel par l'application de différentes techniques introspectives, artistiques et créatives. L'association pourra étendre ses activités dans le sens le plus large pour satisfaire au mieux la demande ou les besoins de ces accompagnements.</t>
  </si>
  <si>
    <t xml:space="preserve">25 rue Gaspard Philippe                                 Chez Madame SINE                                                                                                             </t>
  </si>
  <si>
    <t>06 74 18 05 86</t>
  </si>
  <si>
    <t>https://assos.bordeaux.fr/association/detail/703</t>
  </si>
  <si>
    <t>Afin de contribuer à la connaissance et à la découverte des différents aspects de la civilisation et de la culture indienne, notre association "Ganapati" a organisé plusieurs événements culturels à  Bordeaux et dans les environs : des conférences et échanges concernant la littérature indienne, les religions et l'histoire ancienne et moderne, les arts plastiques et la musique.</t>
  </si>
  <si>
    <t xml:space="preserve">6 rue Vauban                                 Chez Bauer                                                                                                             </t>
  </si>
  <si>
    <t>05 56 52 56 47</t>
  </si>
  <si>
    <t>Annemarie Lévy</t>
  </si>
  <si>
    <t>https://assos.bordeaux.fr/association/detail/524</t>
  </si>
  <si>
    <t>AQUITAINE CULTURE - AC</t>
  </si>
  <si>
    <t>Pôle de coopération entre Culture &amp; Entreprises en Nouvelle-Aquitaine 
Développement de projets d’innovation sociale
Services d’intermédiation et ingénierie de projets de coopération
Formation continue des professionnels de la culture et de la création</t>
  </si>
  <si>
    <t xml:space="preserve">50 Place des Martyrs de la Résistance                                                                                                </t>
  </si>
  <si>
    <t>09 82 51 00 86</t>
  </si>
  <si>
    <t>www.aquitaineculture.org</t>
  </si>
  <si>
    <t>https://assos.bordeaux.fr/association/detail/1083</t>
  </si>
  <si>
    <t>ASSOCIATION BORDEAUX ROCK</t>
  </si>
  <si>
    <t>Promouvoir la musique rock de Bordeaux et de la région à travers des actions culturelles.</t>
  </si>
  <si>
    <t xml:space="preserve">6 rue Pierre de Coubertin                                                                                                </t>
  </si>
  <si>
    <t>05 56 81 16 92</t>
  </si>
  <si>
    <t>https://assos.bordeaux.fr/association/detail/556</t>
  </si>
  <si>
    <t>HABITAT PARTICIPATIF NOUVELLE AQUITAINE - HAPANA</t>
  </si>
  <si>
    <t>Promouvoir et développer l'habitat participatif en Nouvelle Aquitaine. Aide à l'émergence et au démarrage de projets. Conseils et formations auprès d'individuels, de groupes et de structures. Veille, essaimage et coopération ales les acteurs locaux et régionaux.</t>
  </si>
  <si>
    <t xml:space="preserve">3-5, rue Tauzia                                                                                                </t>
  </si>
  <si>
    <t>07 83 31 49 84</t>
  </si>
  <si>
    <t>www.hapana.org</t>
  </si>
  <si>
    <t>https://assos.bordeaux.fr/association/detail/829</t>
  </si>
  <si>
    <t>ANJE AQUITAINE</t>
  </si>
  <si>
    <t>Association de promotion de l’entrepreneuriat et de soutien aux porteurs de projets et jeunes entrepreneurs.</t>
  </si>
  <si>
    <t xml:space="preserve">19 Rue du Chai des Farines                                 19 rue Chai des Farines                                                                                                             </t>
  </si>
  <si>
    <t>06 50 99 77 33</t>
  </si>
  <si>
    <t>Abdessamad BAAZIZI</t>
  </si>
  <si>
    <t>https://assos.bordeaux.fr/association/detail/1768</t>
  </si>
  <si>
    <t>LUTINE</t>
  </si>
  <si>
    <t>L'association Lutine, gère l'école Sport Dance Complex, créé en 2014, ce studio, dédié aux arts aériens, la pole dance, le hamac, le tissu, le cerceau et au bien-être le yoga, stretching.
Créer des vernissages avec des artistes bordelais lors de présentation de nos disciplines.</t>
  </si>
  <si>
    <t xml:space="preserve">82 bis cour du médoc                                                                                                </t>
  </si>
  <si>
    <t>06 25 60 03 99</t>
  </si>
  <si>
    <t>https://assos.bordeaux.fr/association/detail/583</t>
  </si>
  <si>
    <t>AUDITION &amp; ECOUTE 33 - AE33</t>
  </si>
  <si>
    <t>Aider, informer les personnes atteintes de pathologies auditives, sensibiliser les pouvoirs publics sur les conséquences &amp; la gravité de ces pathologies &amp; la nécessité d'une meilleure prise en charge médicale, sociale, psychologique &amp; financière, réaliser des actions de prévention sur les risques auditifs auprès du public, promouvoir tout ce qui permet aux déficients auditifs de conserver  une vie sociale &amp; autonome.</t>
  </si>
  <si>
    <t xml:space="preserve">17 rue de Metz                                 les Horizons clairs (B-10) - 17 rue de Metz                                                                                                             </t>
  </si>
  <si>
    <t>06 60 21 77 02</t>
  </si>
  <si>
    <t>Odile COLCOMBET</t>
  </si>
  <si>
    <t>ae-33.blogspot.fr</t>
  </si>
  <si>
    <t>https://assos.bordeaux.fr/association/detail/1012</t>
  </si>
  <si>
    <t>Conscient qu’un lien social étroit entre les hommes est nécessaire à la vie en société notre association veut inciter les habitants du 5ème quartier de Bordeaux à se rencontrer et à travailler ensemble. Il y va d'un intérêt général et collectif mais aussi d’un objectif souhaitable pour tous notamment pour les plus isolés.</t>
  </si>
  <si>
    <t xml:space="preserve">36 bis Rue Cadroin                                                                                                </t>
  </si>
  <si>
    <t>06 60 77 63 81</t>
  </si>
  <si>
    <t>https://assos.bordeaux.fr/association/detail/526</t>
  </si>
  <si>
    <t>MAISON DE LA NATURE ET DE L'ENVIRONNEMENT BORDEAUX-AQUITAINE - MNE</t>
  </si>
  <si>
    <t>La Maison de la Nature et de l'Environnement Bordeaux-Aquitaine regroupe 40 associations et collectifs de protection de l'environnement, du cadre de vie et du développement durable actifs sur le territoire de la Gironde autour de thématiques variées (climat, agriculture, mobilités, déchets, habitat, biodiversité etc.) et des typologies d'actions complémentaires (sensibilisation, plaidoyer, mobilisation).</t>
  </si>
  <si>
    <t>www.mne-bordeauxaquitaine.org</t>
  </si>
  <si>
    <t>https://assos.bordeaux.fr/association/detail/1527</t>
  </si>
  <si>
    <t>FORMEAUJARDIN - FAJ</t>
  </si>
  <si>
    <t>Organiser des activité physiques, énergétiques et sportives pour ses membres : séances en groupe de cardio et renforcement musculaire, yoga et randonnées mais aussi des séances individuelles sur rendez-vous de shiatsu, en salle mais aussi en plein air.</t>
  </si>
  <si>
    <t xml:space="preserve">3 rue du Cerf-Volant                                                                                                </t>
  </si>
  <si>
    <t>06 61 56 51 69</t>
  </si>
  <si>
    <t>formeaujardin.com</t>
  </si>
  <si>
    <t>https://assos.bordeaux.fr/association/detail/604</t>
  </si>
  <si>
    <t>FMI CRÉATIVITÉ _ AMBASSADE DE LA VIE LOCALE - FMIC - AVL</t>
  </si>
  <si>
    <t>Nous engageons une démarche de partenariat qui favorise la réussite de l’engagement, de l’initiative et de la responsabilité : matériel et outil, personnes ressources, formation et services gestion, secrétariat (administration, service de paye, communication ,  etc…)
Apporter notre soutien à ceux qui sont engagés quand ils sont confrontés à de questions ou des difficultés qu'ils ne peuvent affronter seuls.</t>
  </si>
  <si>
    <t xml:space="preserve">LA RUCHE                                 66 RUE ABBÉ DE L'ÉPÉE                                                                                                             </t>
  </si>
  <si>
    <t>06 59 03 31 58</t>
  </si>
  <si>
    <t>ambassadevielocale.wordpress.com</t>
  </si>
  <si>
    <t>https://assos.bordeaux.fr/association/detail/1180</t>
  </si>
  <si>
    <t>CENTRE RÉGIONAL D'ÉCO-ÉNERGÉTIQUE D'AQUITAINE - CREAQ</t>
  </si>
  <si>
    <t>Le Centre Régional Eco-Energétique d’AQuitaine assure l’information neutre et objective sur la transition énergétique en Aquitaine : promotion des énergies renouvelables, maîtrise de l'énergie, efficacité énergétique dans le logement.</t>
  </si>
  <si>
    <t xml:space="preserve">5 rue Tauzia                                                                                                </t>
  </si>
  <si>
    <t>05 57 95 09 63</t>
  </si>
  <si>
    <t>Dominique Prost</t>
  </si>
  <si>
    <t>www.creaq.org</t>
  </si>
  <si>
    <t>https://assos.bordeaux.fr/association/detail/580</t>
  </si>
  <si>
    <t>UFAL BORDEAUX - UFAL BORDEAUX</t>
  </si>
  <si>
    <t>L'UFAL Bordeaux a pour objet, dans le cadre d'une société laïque plus libre, plus juste et plus solidaire, de regrouper et de représenter, tant auprès de l'UFAL 33 que de l'UFAL Nationale, les familles adérentes au mouvement UFAL au niveau de son territoire de compétence et d'en assurer la représentation locale pour tous les comaines couverts par son objet auprès de toutes les instances institutionnelles.</t>
  </si>
  <si>
    <t xml:space="preserve">17 cours de Québec                                 Appt 107                                                                                                             </t>
  </si>
  <si>
    <t>06 84 36 16 91</t>
  </si>
  <si>
    <t>Aude DARCHY</t>
  </si>
  <si>
    <t>www.ufal.org</t>
  </si>
  <si>
    <t>https://assos.bordeaux.fr/association/detail/686</t>
  </si>
  <si>
    <t>VSART BORDEAUX</t>
  </si>
  <si>
    <t>https://assos.bordeaux.fr/association/detail/843</t>
  </si>
  <si>
    <t>COMITÉ TONDU CARREIRE</t>
  </si>
  <si>
    <t>Organiser et animer des manifestations festives au sein du quartier</t>
  </si>
  <si>
    <t xml:space="preserve">93 rue des Carmes                                                                                                </t>
  </si>
  <si>
    <t>05 56 98 52 52</t>
  </si>
  <si>
    <t>https://assos.bordeaux.fr/association/detail/1482</t>
  </si>
  <si>
    <t>TEST 14.09.2018</t>
  </si>
  <si>
    <t>Le prix de l'initiative piloté par le LABB est une subvention pour soutenir de jeunes associations dans la réalisation de projets innovants. Renseignements au 05 56 10 34 07. Cap associations, c'est le grand carrefour annuel des associations. Venez à la rencontre de plus de 300 associations engagées dans tous les domaines. Inscrivez votre association dans le tout nouvel annuaire des activités associatives bordelaises</t>
  </si>
  <si>
    <t xml:space="preserve">25 cours Pasteur                                                                                                </t>
  </si>
  <si>
    <t>06 23 15 48 77</t>
  </si>
  <si>
    <t>Ds Lala</t>
  </si>
  <si>
    <t>www.bordeaux.fr/o65495/le-labb</t>
  </si>
  <si>
    <t>https://assos.bordeaux.fr/association/detail/1017</t>
  </si>
  <si>
    <t>Cette association a pour objet d’assurer l'organisation et le bon fonctionnement de l’évènement TEDxBordeaux dans le cadre de la licence TED délivrée à l’un de ses adhérents membres actifs ; organisation de manifestations annexes en lien avec le programme TED et TEDxBordeaux.</t>
  </si>
  <si>
    <t xml:space="preserve">20 passage de la villa                                                                                                </t>
  </si>
  <si>
    <t>06 18 00 51 47</t>
  </si>
  <si>
    <t>www.tedxbordeaux.com</t>
  </si>
  <si>
    <t>https://assos.bordeaux.fr/association/detail/636</t>
  </si>
  <si>
    <t>DYNAM'EAU</t>
  </si>
  <si>
    <t>Cette association a pour but d’apporter une aide aux populations en difficulté dans les domaines de l'eau, de l’assainissement et de l’environnement. Elle peut également mener des actions de sensibilisations à l’éducation au développement sur le thème de l’eau et la solidarité international.</t>
  </si>
  <si>
    <t xml:space="preserve">362 cours de la somme                                                                                                </t>
  </si>
  <si>
    <t>06 74 19 18 01</t>
  </si>
  <si>
    <t>MAxime  Ghesquiere</t>
  </si>
  <si>
    <t>dynameau.org</t>
  </si>
  <si>
    <t>https://assos.bordeaux.fr/association/detail/1103</t>
  </si>
  <si>
    <t>AMBASSADE DES ÉMOTIONS - ADE</t>
  </si>
  <si>
    <t>Mise en place de séminaires, conférences, ateliers, animations, installations interactives fixes, expositions itinérantes autour des débordements émotionnels, pour tous les âges, dans l'objectif de mieux vivre ensemble à travers des outils culturels dynamiques, ludiques et créatifs.</t>
  </si>
  <si>
    <t xml:space="preserve">37 RUE DE SOLFERINO                                                                                                </t>
  </si>
  <si>
    <t>06 61 75 75 97</t>
  </si>
  <si>
    <t>Sylvie Hazebroucq</t>
  </si>
  <si>
    <t>www.infirmerie-a-emotions.com/infirmerie-a-emotions.html</t>
  </si>
  <si>
    <t>https://assos.bordeaux.fr/association/detail/1711</t>
  </si>
  <si>
    <t>TERTIO</t>
  </si>
  <si>
    <t>L'association a pour but de favoriser et d'organiser des temps d'échange, de rencontres et des activités susceptibles de créer du lien social et de l'entraide mutuelle entre des personnes adultes porteuses de Troubles du Spectre de l'Autisme.</t>
  </si>
  <si>
    <t xml:space="preserve">6 Rue Paul Verlaine                                                                                                </t>
  </si>
  <si>
    <t>07 62 52 52 15</t>
  </si>
  <si>
    <t>https://assos.bordeaux.fr/association/detail/679</t>
  </si>
  <si>
    <t>LES JOURNÉES DE LA NUTRITION - JDLN</t>
  </si>
  <si>
    <t>Promouvoir la connaissance de la nutrition en Aquitaine, réunir, informer et aider les patients atteints de la maladie de l'obésité.</t>
  </si>
  <si>
    <t>26 rue Louis Beydts</t>
  </si>
  <si>
    <t>06 10 49 64 44</t>
  </si>
  <si>
    <t>Hélène Dupouy</t>
  </si>
  <si>
    <t>https://assos.bordeaux.fr/association/detail/1043</t>
  </si>
  <si>
    <t>ICRONOS-AFIFA - ICRONOS</t>
  </si>
  <si>
    <t>Promotion de l'archéologie par l'image plus particulièrement par l'organisation de festivals internationaux de films à caractère archéologique.</t>
  </si>
  <si>
    <t xml:space="preserve">207 rue Pelleport                                                                                                </t>
  </si>
  <si>
    <t>06 77 06 76 50</t>
  </si>
  <si>
    <t>Max  Schvoerer</t>
  </si>
  <si>
    <t>https://assos.bordeaux.fr/association/detail/694</t>
  </si>
  <si>
    <t>EQUIPE SAINT VINCENT DE BORDEAUX - ESV DE BORDEAUX</t>
  </si>
  <si>
    <t>Une équipe de femmes bénévoles, qui vient en aide aux familles en difficultés, contribuant à restaurer du lien social par des actions concrètes de proximité. Notre équipe bordelaise dépend d'une Fédération Nationale basée à Paris.</t>
  </si>
  <si>
    <t xml:space="preserve">250, rue de Bègles                                                                                                </t>
  </si>
  <si>
    <t>05 56 94 56 57</t>
  </si>
  <si>
    <t>Catherine DELAUGEAS</t>
  </si>
  <si>
    <t>www.equipes-saint-vincent.com</t>
  </si>
  <si>
    <t>https://assos.bordeaux.fr/association/detail/1197</t>
  </si>
  <si>
    <t>ASSOCIATION ORGAVI (ORNANO-GAVINIÈS-ST VICTOR) - ORGAVI</t>
  </si>
  <si>
    <t>Orgavi est l'association des commerçants du quartier Ornano - Gaviniès - Saint Victor. Elle organise plusieurs manifestations par an afin d'animer le quartier : Festi Folies au printemps : animations pour les enfants offertes, repas préparé par des restaurateurs bénévoles du quartier suivi d'une soirée musicale, un loto à l'automne et en Décembre un Arbre de Noël pour les enfants du quartier.</t>
  </si>
  <si>
    <t xml:space="preserve">268 bis rue d'Ornano                                                                                                </t>
  </si>
  <si>
    <t>06 07 69 66 86</t>
  </si>
  <si>
    <t>Christophe  VIAUD</t>
  </si>
  <si>
    <t>https://assos.bordeaux.fr/association/detail/1708</t>
  </si>
  <si>
    <t>AROEVEN BORDEAUX</t>
  </si>
  <si>
    <t>L’AROEVEN Aquitaine, association d’éducation populaire et complémentaire de l’école, s’inscrit dans un mouvement d’action et de recherche pédagogiques qui milite pour une éducation permanente et globale.</t>
  </si>
  <si>
    <t xml:space="preserve">114 rue Georges Bonnac                                 Tour Paul Victor de Sèze                                                                                                             </t>
  </si>
  <si>
    <t>05 40 54 70 40</t>
  </si>
  <si>
    <t>www.aroeven-bordeaux.fr</t>
  </si>
  <si>
    <t>https://assos.bordeaux.fr/association/detail/1159</t>
  </si>
  <si>
    <t>AQUITAINE PARTAGE - RCF BORDEAUX</t>
  </si>
  <si>
    <t>Radiodiffusion d'émissions d'inspiration chrétienne</t>
  </si>
  <si>
    <t xml:space="preserve">145, rue St Genès                                                                                                </t>
  </si>
  <si>
    <t>05 56 56 68 00</t>
  </si>
  <si>
    <t>Bernard d'Echallens</t>
  </si>
  <si>
    <t>https://assos.bordeaux.fr/association/detail/549</t>
  </si>
  <si>
    <t>GO GAGNANT À L'ORAL</t>
  </si>
  <si>
    <t>Accompagner les lycéens, étudiants et jeunes diplômés à préparer leurs entretiens de motivation, afin d'intégrer une école, une formation sélective, un stage ou un premier emploi. Accompagner toute personne porteuse d'un projet nécessitant une présentation orale de sa motivation. Notre objectif : donner du sens au projet professionnel de chacun, et favoriser l'insertion des candidats dans le tissu économique local.</t>
  </si>
  <si>
    <t xml:space="preserve">177 rue de Pessac                                                                                                </t>
  </si>
  <si>
    <t>06 06 63 07 66</t>
  </si>
  <si>
    <t>www.go-gagnantaloral.fr</t>
  </si>
  <si>
    <t>https://assos.bordeaux.fr/association/detail/1246</t>
  </si>
  <si>
    <t>DEALERS DE SCIENCE  - DDS</t>
  </si>
  <si>
    <t>A pour objet principal la pratique de la médiation scientifique dans le cadre du parcours « Médiation des sciences » du master mention Information et Médiation Scientifique et Technique porté par l’Université Bordeaux Montaigne et l’Université de Bordeaux, Sciences. Elle a aussi pour but de valoriser ce master et de créer un un lien entre les différentes promotions du master à des fins de partage d’expériences.</t>
  </si>
  <si>
    <t xml:space="preserve">UFR STC Université Bordeaux Montaigne                                 19 esplanade des Antilles                                                                                                             </t>
  </si>
  <si>
    <t>06 16 46 18 45</t>
  </si>
  <si>
    <t>Lucile Del Campo</t>
  </si>
  <si>
    <t>https://assos.bordeaux.fr/association/detail/1364</t>
  </si>
  <si>
    <t>L'ASCENSEUR VÉGÉTAL</t>
  </si>
  <si>
    <t>https://assos.bordeaux.fr/association/detail/735</t>
  </si>
  <si>
    <t>GRANDIR ENSEMBLE - CENTRE PAPILLON</t>
  </si>
  <si>
    <t>le centre papillon lieu ressource d'accompagnement à la Parentalité et à l'Handiparentalité pour tous les parents et futurs-parents et jusqu'au 9 ans de l'enfant. Une équipe pluridisciplinaire de professionnels du secteur de la santé et de la petite enfance vous accueille, vous écoute et vous soutient dans votre rôle. Découvrez nos actions sur www.centre-papillon.fr</t>
  </si>
  <si>
    <t xml:space="preserve">127 avenue Emile Counord Apt 5 Résidence ARC-EN-CIEL                                                                                                </t>
  </si>
  <si>
    <t>09 82 27 95 31</t>
  </si>
  <si>
    <t>www.centre-papillon.fr</t>
  </si>
  <si>
    <t>https://assos.bordeaux.fr/association/detail/753</t>
  </si>
  <si>
    <t>ÉVEILLEZ LES BÉBÉS - CRÈCHE COUCOU</t>
  </si>
  <si>
    <t>La crèche associative est ouverte à Bordeaux, 4 rue François Daunes, sous le nom de "Coucou", à l’initiative de l’association "Éveillez les bébés" et dispose de 30 places dont 10 places peuvent être consacrées à de l’accueil occasionnel. La crèche Coucou bénéficie du concours financier de la CAF de la Gironde et de la ville de Bordeaux. Elle est adhérente du réseau ACEPP.</t>
  </si>
  <si>
    <t xml:space="preserve">4 rue François Daunes                                                                                                </t>
  </si>
  <si>
    <t>05 56 51 41 96</t>
  </si>
  <si>
    <t>crechecoucoubordeaux.over-blog.com</t>
  </si>
  <si>
    <t>https://assos.bordeaux.fr/association/detail/539</t>
  </si>
  <si>
    <t>ENTENTE DES GÉNÉRATIONS POUR L'EMPLOI ET L'ENTREPRISE - EGEE</t>
  </si>
  <si>
    <t>L'association : Entente des Générations pour l’Emploi et l’Entreprise, en abrégé “ EGEE ”, fondée en 1982, a pour objet la transmission intergénérationnelle des savoirs professionnels et de l’expérience dans le cadre du bénévolat de compétences à vocation sociale.</t>
  </si>
  <si>
    <t xml:space="preserve">96, rue de la Liberté                                                                                                </t>
  </si>
  <si>
    <t>07 83 54 29 33</t>
  </si>
  <si>
    <t>www.egee.asso.fr</t>
  </si>
  <si>
    <t>https://assos.bordeaux.fr/association/detail/883</t>
  </si>
  <si>
    <t>L'ÈRE H</t>
  </si>
  <si>
    <t>Aider les étudiants et les jeunes diplômés dans la recherche d'un stage, emploi à travers l'élaboration d'un réseau social et professionnel ; fédérer les professionnels et les étudiants en permettant de créer du lien entre les anciennes promotions, la promotion en cours et les professeurs intervenants dans l'enseignement des ressources humaines.</t>
  </si>
  <si>
    <t xml:space="preserve">35 Avenue Abadie                                 IAE - association L'ère H                                                                                                             </t>
  </si>
  <si>
    <t>06 52 17 06 11</t>
  </si>
  <si>
    <t>Khalil Ait Said</t>
  </si>
  <si>
    <t>lereh.jimdo.com</t>
  </si>
  <si>
    <t>https://assos.bordeaux.fr/association/detail/1624</t>
  </si>
  <si>
    <t>BONNE ROOTS</t>
  </si>
  <si>
    <t>accompagnement au bien-être - soins alternatifs et complémentaires à la prise en charge conventionnelle dans une vision holistique de la personne-</t>
  </si>
  <si>
    <t xml:space="preserve">145 rue de Capeyron                                                                                                </t>
  </si>
  <si>
    <t>06 81 30 03 21</t>
  </si>
  <si>
    <t>Kim Byeol Maffre</t>
  </si>
  <si>
    <t>https://assos.bordeaux.fr/association/detail/985</t>
  </si>
  <si>
    <t>CENTRE RESSOURCE POUR L'ENFANT L'ADULTE ET LA FAMILLE - CREAF</t>
  </si>
  <si>
    <t>centre de thérapie systémique. Une équipe de psychologues, propose des suivi en individuel, pour le couple et la famille</t>
  </si>
  <si>
    <t xml:space="preserve">67 RUE CHEVALIER                                 1 ETAGE                                                                                                             </t>
  </si>
  <si>
    <t>05 56 06 19 54</t>
  </si>
  <si>
    <t>creaf-bordeaux.org</t>
  </si>
  <si>
    <t>https://assos.bordeaux.fr/association/detail/849</t>
  </si>
  <si>
    <t>ASTROPOPHE</t>
  </si>
  <si>
    <t>Astropophe est un collectif ouvert sur les arts, centré sur le théâtre, qui a pour ambition de faire vivre des expériences aux spectateurs en mettant son intimité au cœur de la création. Réfléchisseurs, insatisfaits, conscients, honnêtes et curieux, Astropophe souhaite embarquer le public à travers différents prismes, en utilisant la poésie et le comique, afin de faire résonner ses propos en dehors des murs.</t>
  </si>
  <si>
    <t xml:space="preserve">21 rue bauducheu                                                                                                </t>
  </si>
  <si>
    <t>06 29 70 48 04</t>
  </si>
  <si>
    <t>https://assos.bordeaux.fr/association/detail/1733</t>
  </si>
  <si>
    <t>ASSOCIATION POUR LA RÉALISATION CONCERTÉE EN COLLECTIF D’INITIATIVES POUR L’ENCADREMENT EDUCATIF ET DE LOISIRS. - ARC EN CIEL</t>
  </si>
  <si>
    <t>l’association a pour objet :
- Le développement de loisirs éducatifs à destination de la jeunesse
- La recherche, l’organisation et la gestion d’activités culturelles et de loisirs, développant l’initiative individuelle et le sens de la collectivité
- La formation de ses membres à ces objectifs
L'association organise des séjours de vacances et des formations BAFA</t>
  </si>
  <si>
    <t xml:space="preserve">66 rue abbé de l'épée                                 La Ruche                                                                                                             </t>
  </si>
  <si>
    <t>06 64 88 08 70</t>
  </si>
  <si>
    <t>www.arcenciel-formationsbafa.com</t>
  </si>
  <si>
    <t>https://assos.bordeaux.fr/association/detail/1122</t>
  </si>
  <si>
    <t>CENTRE D'ANIMATION SARAH BERNHARDT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</si>
  <si>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Sarah Bernhardt, au cœur du quartier Ginko, propose un large panel d’activités en lien avec de nombreux partenaires.</t>
  </si>
  <si>
    <t xml:space="preserve"> cours du Québec                                                                                                </t>
  </si>
  <si>
    <t>05 56 04 61 80</t>
  </si>
  <si>
    <t>https://assos.bordeaux.fr/association/detail/1781</t>
  </si>
  <si>
    <t>MASCARADE</t>
  </si>
  <si>
    <t>Association socio-culturelle, organisation de concerts, soirées et d'ateliers culturels.</t>
  </si>
  <si>
    <t xml:space="preserve">65 passage des graves                                                                                                </t>
  </si>
  <si>
    <t>07 60 45 80 05</t>
  </si>
  <si>
    <t>https://assos.bordeaux.fr/association/detail/822</t>
  </si>
  <si>
    <t>AQUINUM</t>
  </si>
  <si>
    <t>Aquinum est l'association des professionnels du numérique en Aquitaine qui fédère et anime une communauté de près de 450 professionnels / ou futurs professionnels (comme les étudiants) du numérique : développeurs, rédacteurs, graphistes, consultants, vidéastes, programmateurs, community manager, formateurs, spécialistes du référencement, etc.</t>
  </si>
  <si>
    <t xml:space="preserve">12 rue des faussets                                                                                                </t>
  </si>
  <si>
    <t>07 82 07 04 27</t>
  </si>
  <si>
    <t>Marc / Céline LANGLOIS / LEROY</t>
  </si>
  <si>
    <t>www.aquinum.fr</t>
  </si>
  <si>
    <t>https://assos.bordeaux.fr/association/detail/1434</t>
  </si>
  <si>
    <t>VISITEURS DES MALADES EN ÉTABLISSEMENTS HOSPITALIERS DE LA GIRONDE - VMEH33</t>
  </si>
  <si>
    <t>Visite des malades dans les établissements hospitaliers est une association humanitaire de proximité, apolitique et non confessionnelle. Nous sommes présents également dans les cliniques, les maisons de convalescence, de rééducation, et les maisons de retraite. Nous sommes là pour partager, réconforter, apporter une présence dans ces moments difficiles tant auprès des personnes fragilisées que de leur entourage.</t>
  </si>
  <si>
    <t xml:space="preserve">95 rue Ernest Renan                                 Maison de Retraite Terre Nègre                                                                                                             </t>
  </si>
  <si>
    <t>33081</t>
  </si>
  <si>
    <t>06 87 56 57 36</t>
  </si>
  <si>
    <t>https://assos.bordeaux.fr/association/detail/510</t>
  </si>
  <si>
    <t>BORDEAUX OPEN AIR - BOA</t>
  </si>
  <si>
    <t>Bordeaux Open Air est un festival de musique électronique ayant lieu plusieurs dimanches lors de la période estivale sur Bordeaux &amp; sa Métropole. Gratuit, multi générationnel et vecteur de lien social, BOA a pour ambition de développer sa région via l'échange &amp; la culture électronique.</t>
  </si>
  <si>
    <t xml:space="preserve">11 place Fernand Lafargue                                                                                                </t>
  </si>
  <si>
    <t>06 18 22 82 22</t>
  </si>
  <si>
    <t>htp://www.bordeauxopenair.fr</t>
  </si>
  <si>
    <t>https://assos.bordeaux.fr/association/detail/585</t>
  </si>
  <si>
    <t>ASSOCIATION ACCOMPAGNEMENT COOPÉRER AFRIQUE  - ACA2</t>
  </si>
  <si>
    <t>Cette association a pour objectif principal le développement des soins palliatifs et de l’accompagnement bénévole dans les pays du continent africain, dans une dynamique de réciprocité et d’autonomie. Cette association a notamment pour objectif secondaire le soutien de programmes et de structures spécifiques de soins palliatifs et d’accompagnement bénévole.</t>
  </si>
  <si>
    <t xml:space="preserve">207 COURS BALGUERIE                                                                                                </t>
  </si>
  <si>
    <t>06 15 45 66 97</t>
  </si>
  <si>
    <t>BENOIT BURUCOA</t>
  </si>
  <si>
    <t>https://assos.bordeaux.fr/association/detail/665</t>
  </si>
  <si>
    <t>JEUNES-SCIENCE BORDEAUX - JSB</t>
  </si>
  <si>
    <t>Jeunes-Science Bordeaux propose depuis 1958 des activités sur les Sciences et Techniques aux jeunes de 9 à 25 ans.</t>
  </si>
  <si>
    <t xml:space="preserve">208 rue Carle-Vernet                                                                                                </t>
  </si>
  <si>
    <t>05 56 85 75 15</t>
  </si>
  <si>
    <t>Charles TRESSENS</t>
  </si>
  <si>
    <t>https://assos.bordeaux.fr/association/detail/1239</t>
  </si>
  <si>
    <t>COUPDPOUCE</t>
  </si>
  <si>
    <t>AIDE A DOMICILE
- aide au repas
- aide aux courses
- aide à l'entretien du domicile
- accompagnement extérieur</t>
  </si>
  <si>
    <t xml:space="preserve">59 rue Monsarrat                                                                                                </t>
  </si>
  <si>
    <t>05 57 95 83 49</t>
  </si>
  <si>
    <t>https://assos.bordeaux.fr/association/detail/1183</t>
  </si>
  <si>
    <t>GREENPEACE</t>
  </si>
  <si>
    <t>La protection de l'environnement et de la planète notamment : la lutte contre la menace nucléaire et la promotion du désarmement et de la paix ; la promotion des énergies renouvelables et des économies d’énergie ; la lutte contre la pollution des océans, du sol, du sous-sol, de l'air, de l'eau, de la biosphère, du climat, des sites et paysages ; la défense des consommateurs en matière d'environnement, de santé.</t>
  </si>
  <si>
    <t>06 89 71 88 46</t>
  </si>
  <si>
    <t>www.greenpeace.fr/bordeaux</t>
  </si>
  <si>
    <t>https://assos.bordeaux.fr/association/detail/823</t>
  </si>
  <si>
    <t>ASSOCIATION PROMOTION INSERTION SPORT - APIS</t>
  </si>
  <si>
    <t>L'association APIS intervient sur le quartier de Bordeaux Maritime depuis plus de 15 ans dans le but de favoriser l'accès au Sport pour tous. Sa vocation sociale et éducative en fait un acteur majeur du développement de ce territoire. A travers ses sections sportives Handball et Football et ses activités multisports, elle est créatrice de lien social, lutte contre les discriminations et favorise la mixité.</t>
  </si>
  <si>
    <t xml:space="preserve">Maison des Droits de l'Homme et du Citoyen, Le Dôme Avenue de Thouars                                                                                                </t>
  </si>
  <si>
    <t>05 24 72 23 09</t>
  </si>
  <si>
    <t>https://assos.bordeaux.fr/association/detail/649</t>
  </si>
  <si>
    <t>ASSOCIATION POUR LA RÉADAPTATION ET L'INTÉGRATION - ARI</t>
  </si>
  <si>
    <t>L’association a pour but d’accompagner des personnes en situation de handicap psychique ou porteuses de TSA, en leur fournissant, ainsi qu’à leur famille, l’aide thérapeutique, socio-éducative et sociale susceptible de favoriser leur insertion sociale et professionnelle.(...) Conformément à ses buts, l’association assure la gestion technique, administrative et financière d’établissements et de services.</t>
  </si>
  <si>
    <t xml:space="preserve">261 avenue Thiers                                                                BP 60003                                </t>
  </si>
  <si>
    <t>33015</t>
  </si>
  <si>
    <t>05 56 33 23 90</t>
  </si>
  <si>
    <t>François BRIDIER</t>
  </si>
  <si>
    <t>www.ari-accompagnement.fr</t>
  </si>
  <si>
    <t>https://assos.bordeaux.fr/association/detail/899</t>
  </si>
  <si>
    <t>EKOLO[GEEK]</t>
  </si>
  <si>
    <t>Sensibilisation et mobilisation aux éco-gestes (eau, énergie, déchets et consommation) sur le web (site &amp; réseaux sociaux) et le terrain (événements, péri- et scolaire...) auprès du jeune, grand public et des professionnels.
Notre association est dynamisée grâce à nos salarié·e·s, volontaire et de plus d'une trentaine de bénévoles.</t>
  </si>
  <si>
    <t xml:space="preserve">3 rue de Tauzia                                 Maison de la Nature et de l'Environnement de Bordeaux-Aquitaine                                                                                                             </t>
  </si>
  <si>
    <t>06 74 97 10 08</t>
  </si>
  <si>
    <t>www.ekologeek.com</t>
  </si>
  <si>
    <t>https://assos.bordeaux.fr/association/detail/1541</t>
  </si>
  <si>
    <t>ALLIANCE VITA</t>
  </si>
  <si>
    <t>Alliance VITA a pour objet l'aide aux personnes confrontées aux épreuves de la vie (par le biais de ses deux services d'écoute SOS bébé et SOS fin de vie), et la sensibilisation du public et des décideurs au respect de la vie et de la dignité de tout être humain, à tous les stades de son existence. Elle décrypte l'actualité bioéthique et forme le grand public à ces enjeux.</t>
  </si>
  <si>
    <t xml:space="preserve">17 rue Yves du Manoir                                                                                                </t>
  </si>
  <si>
    <t>06 62 13 14 60</t>
  </si>
  <si>
    <t>www.alliancevita.org</t>
  </si>
  <si>
    <t>https://assos.bordeaux.fr/association/detail/804</t>
  </si>
  <si>
    <t>AGEAC CSF CANAILLOUS</t>
  </si>
  <si>
    <t>AGEAC CSF Canaillous est une association de 3 établissements et services d'accueil des jeunes enfants.</t>
  </si>
  <si>
    <t xml:space="preserve">13 RUE LAFFITEAU                                                                                                </t>
  </si>
  <si>
    <t>06 87 27 05 54</t>
  </si>
  <si>
    <t>https://assos.bordeaux.fr/association/detail/1752</t>
  </si>
  <si>
    <t>HF BORDEAUX</t>
  </si>
  <si>
    <t>https://assos.bordeaux.fr/association/detail/810</t>
  </si>
  <si>
    <t>ASSOCIATION PARENTS ENFANTS SOLEIL</t>
  </si>
  <si>
    <t>Une Maison "comme à la maison" pour accueillir les parents d'enfants hospitalisés. 
Ouverte en 2001, la Maison des Parents Ronald McDonald de Bordeaux, gérée par l'association Parents Enfants Soleil, est une maison "comme à la maison" située dans l'enceinte de l'hôpital Pellegrin. Composée de 17 chambres, elle permet de conserver l'unité familiale tout au long de l'hospitalisation.</t>
  </si>
  <si>
    <t xml:space="preserve">Place Amélie Raba Léon                                  Groupe Hospitalier Pellegrin                                                                                                              </t>
  </si>
  <si>
    <t>05 56 56 04 66</t>
  </si>
  <si>
    <t>Franck Boutaric</t>
  </si>
  <si>
    <t>www.fondation-ronald-mcdonald.fr/vous-aider/maison-bordeaux</t>
  </si>
  <si>
    <t>https://assos.bordeaux.fr/association/detail/670</t>
  </si>
  <si>
    <t>LA CLÉ DU QUAI - CDQ</t>
  </si>
  <si>
    <t>Mettre en mouvement ! Fondée en 2010, La Clé Du Quai est une association qui a pour but de partager avec ses adhérents la passion du théâtre, de la danse-théâtre et de la danse contemporaine, à travers ses cours et ses stages ; la création de sa compagnie professionnelle ; l'organisation de son Festival "Le Bruit des Corps" ; et la gestion du "Tchaï", son café associatif culturel.</t>
  </si>
  <si>
    <t xml:space="preserve">49 rue du Mirail                                                                                                </t>
  </si>
  <si>
    <t>06 88 02 81 99</t>
  </si>
  <si>
    <t>www.lacleduquai.com</t>
  </si>
  <si>
    <t>https://assos.bordeaux.fr/association/detail/939</t>
  </si>
  <si>
    <t>AMIS DE SAINT-JACQUES DE COMPOSTELLE EN AQUITAINE</t>
  </si>
  <si>
    <t>Accueil des pèlerins dans le refuge associatif, préparer les futurs pèlerins à la grande itinérance, promouvoir la culture jacquaire</t>
  </si>
  <si>
    <t xml:space="preserve">Amis de Saint Jacques de Compostelle en Aquitaine, 4 rue blanqui                                                                                                </t>
  </si>
  <si>
    <t>06 04 47 12 23</t>
  </si>
  <si>
    <t>www.saint-jacques-aquitaine.com</t>
  </si>
  <si>
    <t>https://assos.bordeaux.fr/association/detail/1005</t>
  </si>
  <si>
    <t>BANQUE ALIMENTAIRE DE BORDEAUX ET DE LA GIRONDE - BABG</t>
  </si>
  <si>
    <t>La BABG a pour objet, dans une démarche de solidarité, d'apporter une aide alimentaire aux personnes les plus démunies en partenariat avec des Associations et Organismes sociaux. Cette aide vise à promouvoir une alimentation de qualité et créatrice de lien, facteur de retour à une vie normale pour ces personnes.</t>
  </si>
  <si>
    <t xml:space="preserve">15, rue Bougainville                                                                                                </t>
  </si>
  <si>
    <t>05 56 43 10 63</t>
  </si>
  <si>
    <t>Pierre POUGET</t>
  </si>
  <si>
    <t>www.banquealimentaire33.org</t>
  </si>
  <si>
    <t>https://assos.bordeaux.fr/association/detail/1279</t>
  </si>
  <si>
    <t>CHANTECLER BORDEAUX - SCBNL</t>
  </si>
  <si>
    <t>Chantecler est une association à but non lucratif proposant des activités sur tous les temps jeunesse (CAL, périscolaire et interclasses), mais aussi : 18 activités sportives , 15 activités fitness et gym, 7 activités bien-être, 13 activités culture, 1 pôle jeux, 1 école de musique et 4 écoles de danse (classique, modern jazz, hip-hop et africaine)</t>
  </si>
  <si>
    <t xml:space="preserve">2 IMPASSE SAINTE-ELISABETH                                                                                                </t>
  </si>
  <si>
    <t>05 57 87 02 57</t>
  </si>
  <si>
    <t>www.maisondequartierchantecler.fr</t>
  </si>
  <si>
    <t>https://assos.bordeaux.fr/association/detail/936</t>
  </si>
  <si>
    <t>SANTÉ UN DROIT POUR TOUS</t>
  </si>
  <si>
    <t>Défense de l'hôpital public, défense de la santé solidaire, lutte contre les dépassements d'honoraires.</t>
  </si>
  <si>
    <t xml:space="preserve">6 rue de Balaclava                                                                                                </t>
  </si>
  <si>
    <t>06 14 55 54 78</t>
  </si>
  <si>
    <t>https://assos.bordeaux.fr/association/detail/1697</t>
  </si>
  <si>
    <t>ASSOCIATION FAMILLES LAÏQUES  BASTIDE - AFLB</t>
  </si>
  <si>
    <t>https://assos.bordeaux.fr/association/detail/1366</t>
  </si>
  <si>
    <t>GASR33 GROUPEMENT DES ASSOCIATIONS POUR LA SÉCURITÉ ROUTIÈRE DE GIRONDE - GASR33</t>
  </si>
  <si>
    <t>Constituer tête de réseau visant la thématique sécurité routière
Développer une synergie de compétences à travers un réseau de partenaires
Initier des actions de prévention routière à destination de tous les publics
Structurer une conférence permanente pour améliorer la sécurité routière en Gironde et le sort des victimes de la route
Mutualiser, autant que faire se peut, les moyens de ses partenaires</t>
  </si>
  <si>
    <t xml:space="preserve">153, Rue David Jonhston                                                                                                </t>
  </si>
  <si>
    <t>05 56 23 34 96</t>
  </si>
  <si>
    <t>www.gasr33.com</t>
  </si>
  <si>
    <t>https://assos.bordeaux.fr/association/detail/1300</t>
  </si>
  <si>
    <t>HALLES DE BOURBON - H2B</t>
  </si>
  <si>
    <t>L’association les Halles de Bourbon (H2B) est née en 2016 dans un quartier en pleine mutation, entre le cours Edouard Vaillant et la rue Lucien Faure. L’association s’est développée par la rencontre de quelques habitants partageant le souhait de construire une âme de quartier, en favorisant le lien social autour d’une vie de quartier, riche, conviviale et dans un environnement vert.</t>
  </si>
  <si>
    <t xml:space="preserve">6 rue Charles Durand                                 Résidence La Factory Apt. B14                                                                                                             </t>
  </si>
  <si>
    <t>06 29 86 75 18</t>
  </si>
  <si>
    <t>https://assos.bordeaux.fr/association/detail/1782</t>
  </si>
  <si>
    <t>ART ET COMPAGNIE PAS BÊTE LA MOUCHE - ART &amp; CIE PBLM</t>
  </si>
  <si>
    <t>https://assos.bordeaux.fr/association/detail/779</t>
  </si>
  <si>
    <t>Alter Insertion est une association d'intermédiation et de gestion locative reconnue d'intérêt général et qui a pour objet de susciter, faciliter ou participer à toute initiative en faveur de l'insertion en milieu ordinaire de personnes handicapées / cérébrolésées sur la Gironde mais aussi sur le territoire national.</t>
  </si>
  <si>
    <t xml:space="preserve">30 rue du Commerce                                                                                                </t>
  </si>
  <si>
    <t>09 75 85 45 65</t>
  </si>
  <si>
    <t>Rodolphe Peter</t>
  </si>
  <si>
    <t>www.alterinsertion.org</t>
  </si>
  <si>
    <t>https://assos.bordeaux.fr/association/detail/1276</t>
  </si>
  <si>
    <t>COLLECTIF COMMENTC'ESTMAINTENANT? - COLLECTIF CCM</t>
  </si>
  <si>
    <t>Le collectif CCM expérimente des formes toutes différentes car attachées à l’instant présent, à l’instinctif, au décalage et à la mise en action du corps dans son environnement, là où il est au moment où il s’exprime ; la performance, sous des formes modulables, est le langage du collectif. Ces formes sont ce qu’il souhaite transmettre pour apporter son regard sur les choses qui l'environnent et le construisent.</t>
  </si>
  <si>
    <t xml:space="preserve">43 rue Gouffrand                                                                                                </t>
  </si>
  <si>
    <t>06 08 82 82 16</t>
  </si>
  <si>
    <t>collectifccm.wixsite.com/collectifccm</t>
  </si>
  <si>
    <t>https://assos.bordeaux.fr/association/detail/607</t>
  </si>
  <si>
    <t>ACCUEIL ET INSERTION DES MIGRANTS ET EXILÉS - AIME</t>
  </si>
  <si>
    <t>L'association AIME (Accueil et Insertion des Migrants et Exilés) a pour vocation d'aider les migrants qui le souhaitent à suivre une formation universitaire. Dans ce cadre, l'association AIME oriente, forme au Français Langue Etrangère avec l'objectif d'atteindre le niveau B2 exigé pour l'inscription et met en relation des étudiants bénévoles avec les migrants pour assurer un pont social.</t>
  </si>
  <si>
    <t xml:space="preserve">Chez Université de Bordeaux                                 3 Ter Place de la Victoire                                                                                                             </t>
  </si>
  <si>
    <t>06 88 98 79 71</t>
  </si>
  <si>
    <t>reseau-aime.fr</t>
  </si>
  <si>
    <t>https://assos.bordeaux.fr/association/detail/731</t>
  </si>
  <si>
    <t>GYMNASTIQUE VOLONTAIRE BORDEAUX CHAUFFOUR - GV CHAUFFOUR</t>
  </si>
  <si>
    <t>pratique de la gymnastique volontaire adaptée à la demande des adhérents aujourd'hui majoritairement séniors.</t>
  </si>
  <si>
    <t xml:space="preserve">rue de Pessac                                                                                                </t>
  </si>
  <si>
    <t>06 16 88 59 12</t>
  </si>
  <si>
    <t>https://assos.bordeaux.fr/association/detail/1771</t>
  </si>
  <si>
    <t>"UNE VIE - UN PROJET" - UVUP</t>
  </si>
  <si>
    <t>Association de Loi 1901 œuvrant pour l’information, l’orientation, l’accueil, l’accompagnement des personnes majeures porteuses d’un Trouble du Spectre Autistique dans le cadre des démarches administratives sociales et juridiques auprès des Instances et Institutions Publiques gérant le handicap.</t>
  </si>
  <si>
    <t xml:space="preserve">298 rue d'Ornano                                                                                                </t>
  </si>
  <si>
    <t>06 27 49 76 17</t>
  </si>
  <si>
    <t>"Une Vie - KONTE</t>
  </si>
  <si>
    <t>https://assos.bordeaux.fr/association/detail/1094</t>
  </si>
  <si>
    <t>ATLAS, IMPROS DU MONDE</t>
  </si>
  <si>
    <t>Tisser des liens entre les différentes cultures par la pratique de l'improvisation théâtrale, afin de faire dialoguer les réalités d'ici et d'ailleurs. Organiser des ateliers et des spectacles d'improvisation interculturelle et multilingue. Proposer des prestations autour de l'intégration sociale et culturelle.  Ouvert à toute personne quelles que soient ses origines et son expérience en improvisation théâtrale.</t>
  </si>
  <si>
    <t xml:space="preserve">135 rue Saint Catherine                                                                                                </t>
  </si>
  <si>
    <t>06 95 27 91 27</t>
  </si>
  <si>
    <t>Charlotte  Galliot</t>
  </si>
  <si>
    <t>atlasimpro.com</t>
  </si>
  <si>
    <t>https://assos.bordeaux.fr/association/detail/873</t>
  </si>
  <si>
    <t>PASSERELLES ET COMPÉTENCES - PETC</t>
  </si>
  <si>
    <t>Passerelles et Compétences a pour vocation de développer et promouvoir le « bénévolat de compétences », une forme simple et efficace de solidarité. Plus précisément, l’objectif est de développer le bénévolat de compétences en mettant en relation des associations de solidarité et des bénévoles experts pour développer les projets des associations et permettre aux personnes de se mobiliser pour un monde solidaire.</t>
  </si>
  <si>
    <t xml:space="preserve">43 rue Bertrand de Goth                                                                                                </t>
  </si>
  <si>
    <t>07 60 08 79 61</t>
  </si>
  <si>
    <t>www.passerellesetcompetences.org</t>
  </si>
  <si>
    <t>https://assos.bordeaux.fr/association/detail/1278</t>
  </si>
  <si>
    <t>Notre troupe entièrement composée de bénévoles donne l'opportunité de « faire du théâtre » à ceux qui n'en ont jamais fait, de faire du théâtre à ceux qui en ont déjà fait mais surtout de faire du théâtre avec ceux qui souhaitent en faire. 
C'est en voulant promouvoir le théâtre amateur engagé et esthétique qu'un vrai groupe avec des vrai gens se retrouve une fois par mois pour le plaisir de jouer.</t>
  </si>
  <si>
    <t xml:space="preserve">14 rue chantecrit                                  Apt 21                                                                                                             </t>
  </si>
  <si>
    <t>06 87 59 60 67</t>
  </si>
  <si>
    <t>Txomin Olazabal</t>
  </si>
  <si>
    <t>www.compagniechronique.com</t>
  </si>
  <si>
    <t>https://assos.bordeaux.fr/association/detail/1702</t>
  </si>
  <si>
    <t>ASSOCIATION DE DÉFENSE DES MUSIQUES ALTERNATIVES EN AQUITAINE - ADMAA</t>
  </si>
  <si>
    <t>ADMAA a pour objectif premier de contribuer au développement de la culture émergente locale, par le biais d’une dynamisation des tissus associatifs locaux, poursuivis par l’intermédiaire du développement d’une programmation musicale innovante, associant aussi bien d’importants spectacles d’artistes internationaux que des groupes locaux en développement. Allez Les Filles est l'organisateur du festival estival Relache.</t>
  </si>
  <si>
    <t xml:space="preserve">9, rue Teulère                                                                                                </t>
  </si>
  <si>
    <t>07 84 91 30 66</t>
  </si>
  <si>
    <t>https://assos.bordeaux.fr/association/detail/1842</t>
  </si>
  <si>
    <t>ASSOCIATION CULTURELLE FRANCO-PORTUGAISE  RADIO OS LATINOS 33 - RADIOOSLATINOS3</t>
  </si>
  <si>
    <t>emettre des ondes de radio via web en diffusant de la musique ,multi media,conferences,ceremonies,fetes en representation de la communaute franco portugaise;participer a des evenements artistiques;organiser par des tiers:foire,salon expositions,festival etc</t>
  </si>
  <si>
    <t xml:space="preserve">14 Rue Des Freres Portmann                                  Residence H3 14 eme Etage Appart 1407                                                                                                              </t>
  </si>
  <si>
    <t>06 11 72 50 26</t>
  </si>
  <si>
    <t>Jose  Almeida Pereira</t>
  </si>
  <si>
    <t>https://assos.bordeaux.fr/association/detail/839</t>
  </si>
  <si>
    <t>EBB ENTREPRISE BIEN-ÊTRE BORDEAUX - EBB</t>
  </si>
  <si>
    <t>Promouvoir le bien-être dans les entreprises au niveau régional.
Établir des partenariats avec des institutions publiques ou privées dont la mission est en lien avec la pratique et la déontologie des professionnels du bien-être 
Tisser un réseau solidaire avec les associations accompagnant les professionnels ( reconversion ...)
Sensibiliser les entreprise à l'amélioration de la qualité de vie au travail</t>
  </si>
  <si>
    <t xml:space="preserve">8 rue Périnot Le Vinci A                                                                                                </t>
  </si>
  <si>
    <t>06 30 74 10 69</t>
  </si>
  <si>
    <t>LAETITIA VALENTIN</t>
  </si>
  <si>
    <t>entreprisebienetre.wixsite.com/monsite</t>
  </si>
  <si>
    <t>https://assos.bordeaux.fr/association/detail/577</t>
  </si>
  <si>
    <t>TOOBORDO - TOOBORDO</t>
  </si>
  <si>
    <t>Depuis 2012, tooBordo est média numérique de proximité qui a pour ambition de faire connaître les acteurs associatifs qui dynamisent le quotidien de nos quartiers et permettre à tous les publics (jeunes, seniors, personnes handicapées...) de découvrir la pratique de ce média grâce à des ateliers radio mobiles ludiques et pédagogiques.</t>
  </si>
  <si>
    <t xml:space="preserve">31 rue  des chênes lièges                                                                                                </t>
  </si>
  <si>
    <t>06 74 31 20 37</t>
  </si>
  <si>
    <t>www.toobordo.net</t>
  </si>
  <si>
    <t>https://assos.bordeaux.fr/association/detail/1098</t>
  </si>
  <si>
    <t>EÍNAÏ</t>
  </si>
  <si>
    <t>Eínaï a pour objet de promouvoir une réflexion élargie sur la culture à partir de centres d’intérêts individuels. Ceci dans les domaines de l’art (peinture, littérature, musique, danse, théâtre, cinéma), la philosophie, l'anthropologie et l’exploration de tous les domaines propres aux relations humaines.</t>
  </si>
  <si>
    <t xml:space="preserve">16 cours Saint Louis                                 Apt 58                                                                                                             </t>
  </si>
  <si>
    <t>06 12 93 35 46</t>
  </si>
  <si>
    <t>https://assos.bordeaux.fr/association/detail/1658</t>
  </si>
  <si>
    <t>FÉDÉRATION DÉPARTEMENTALE DES ASSOCIATIONS AGRÉÉES DE PÊCHE ET DE PROTECTION DU MILIEU AQUATIQUE DE LA GIRONDE - FDAAPPMA33</t>
  </si>
  <si>
    <t>La fédération a pour objet le développement durable de la pêche amateur, la mise en œuvre d’actions de promotion du loisir-pêche par toutes mesures adaptées, en cohérence avec les orientations nationales et la protection des milieux aquatiques, la mise en valeur et la surveillance du domaine piscicole départemental.</t>
  </si>
  <si>
    <t xml:space="preserve">10 ZA du Lapin                                                                                                </t>
  </si>
  <si>
    <t>33750</t>
  </si>
  <si>
    <t>05 56 92 59 48</t>
  </si>
  <si>
    <t>Daniel BOURDIE</t>
  </si>
  <si>
    <t>www.peche33.com</t>
  </si>
  <si>
    <t>https://assos.bordeaux.fr/association/detail/1568</t>
  </si>
  <si>
    <t>ALCOOL ASSISTANCE GIRONDE</t>
  </si>
  <si>
    <t>Association à but d'accompagner les personnes en situation de dépendance (alcool, drogues, jeux, sexe, sport, nourriture etc) ainsi que leur entourage. Pour cela des espaces de paroles ont lieu tous les mardis de 19h à 21h à l'Athénée Municipale de Bordeaux ( place st Christoly ). Il est également possible de rencontrer quelqu'un en entretien individuel avant de venir au groupe ne vous convient pas. 0632559651</t>
  </si>
  <si>
    <t xml:space="preserve">95 rue de bégles                                                                                                </t>
  </si>
  <si>
    <t>06 32 55 96 51</t>
  </si>
  <si>
    <t>https://assos.bordeaux.fr/association/detail/513</t>
  </si>
  <si>
    <t>ACTIFS 33 - ACTIFS 33</t>
  </si>
  <si>
    <t>Les missions principales sont:
- l'accompagnement des demandeurs d'emploi
- l'aide au recrutement
- l'accompagnement VAE
- l'aide à la création et à la reprise d'entreprise
- organisme de formation: formations anglais, français FLS, bureautique, Compta-gestion, confiance en soi
-</t>
  </si>
  <si>
    <t xml:space="preserve">176 rue Achard                                 ZA Achard- Bâtiment D1                                                                                                             </t>
  </si>
  <si>
    <t>05 56 95 62 85</t>
  </si>
  <si>
    <t>Philippe Bousquet</t>
  </si>
  <si>
    <t>actifs33.wordpress.com</t>
  </si>
  <si>
    <t>https://assos.bordeaux.fr/association/detail/1590</t>
  </si>
  <si>
    <t>ENFANTS ET SANTÉ - ECS</t>
  </si>
  <si>
    <t>https://assos.bordeaux.fr/association/detail/745</t>
  </si>
  <si>
    <t>ACTION-RECHERCHE-DÉVELOPPEMENT - ARD</t>
  </si>
  <si>
    <t>Promouvoir la recherche pour le développement, développer des actions visant à renforcer les capacités des femmes, initier des actions pour venir en aide aux populations en situation de pauvreté en participant activement à l'élaboration et la mise en oeuvre des projets de recherche appliquée</t>
  </si>
  <si>
    <t xml:space="preserve">49 rue de Bordeaux                                                                                                </t>
  </si>
  <si>
    <t>06 13 05 52 52</t>
  </si>
  <si>
    <t>https://assos.bordeaux.fr/association/detail/1151</t>
  </si>
  <si>
    <t>LA FLÈCHE DE BORDEAUX - LFB</t>
  </si>
  <si>
    <t>L'association a pour objet la pratique de l'éducation physique, les sports individuels ou collectifs, l'épanouissement et le bien-être de la personne ainsi que les activités socioculturelles ou culturelles.</t>
  </si>
  <si>
    <t xml:space="preserve">21 rue Ulysse Despaux                                                                                                </t>
  </si>
  <si>
    <t>05 56 92 04 43</t>
  </si>
  <si>
    <t>https://assos.bordeaux.fr/association/detail/847</t>
  </si>
  <si>
    <t>L'association a pour objet la mise en œuvre de projets à vocation artistique et/ou d'éducation populaire, dans un cadre amateur ou professionnel, comprenant la création, la diffusion, la production et la médiation d'objets artistiques ou d'autres types d'actions culturelles. L'association vise à rassembler différentes esthétiques à travers un fonctionnement collectif et mutualisé.</t>
  </si>
  <si>
    <t xml:space="preserve">140 cours de la Marne                                                                                                </t>
  </si>
  <si>
    <t>06 86 54 63 75</t>
  </si>
  <si>
    <t>www.laflambee.org</t>
  </si>
  <si>
    <t>https://assos.bordeaux.fr/association/detail/1261</t>
  </si>
  <si>
    <t>LES AMIS DE L'OASIS DU COQ À L'ÂME</t>
  </si>
  <si>
    <t>Soutenir la construction et la vie d'un éco-lieu</t>
  </si>
  <si>
    <t xml:space="preserve">73 rue Caména d'Almeida                                                                                                </t>
  </si>
  <si>
    <t>06 07 05 04 96</t>
  </si>
  <si>
    <t>https://assos.bordeaux.fr/association/detail/509</t>
  </si>
  <si>
    <t>Le Photoclub de Bordeaux est une association loi 1901 visant à promouvoir la photographie. Tous niveaux, tous âges, mais une volonté commune de progresser dans la découverte, la prise de vue et le traitement de photographies. Les activités du club s’organisent autour de séances d’échanges et d’un forum internet privé. Le fonctionnement est basé sur la convivialité et l’entre-aide.</t>
  </si>
  <si>
    <t xml:space="preserve">10 avenue Bel Air                                                                                                </t>
  </si>
  <si>
    <t>06 25 95 05 48</t>
  </si>
  <si>
    <t>Claude Roussillon</t>
  </si>
  <si>
    <t>photoclubdebordeaux.com</t>
  </si>
  <si>
    <t>https://assos.bordeaux.fr/association/detail/1119</t>
  </si>
  <si>
    <t>AIDE À LA JEUNESSE DU CONGO - AJC</t>
  </si>
  <si>
    <t>Investir durablement dans l'avenir des étudiants de l'université de l'Uélé en RDC en leur accordant des bourses d'études.</t>
  </si>
  <si>
    <t xml:space="preserve">20 RUE DES AYRES                                                                                                </t>
  </si>
  <si>
    <t>07 53 91 06 97</t>
  </si>
  <si>
    <t>Antoine TINGBA</t>
  </si>
  <si>
    <t>https://assos.bordeaux.fr/association/detail/1233</t>
  </si>
  <si>
    <t>9 ÈME TEMPS</t>
  </si>
  <si>
    <t>L’association 9ème temps a vu le jour en janvier 2017. Nous sommes onze jeunes danseurs enthousiastes, âgés de 20 à 28 ans.
Notre objectif premier est de développer la culture dansée à travers différents évènements tels que des spectacles, des stages, des ateliers et autres rencontres avec divers publics : enfants, adultes, professionnels et non-initiés …</t>
  </si>
  <si>
    <t>06 59 15 84 11</t>
  </si>
  <si>
    <t>KLARA MORHAIN</t>
  </si>
  <si>
    <t>https://assos.bordeaux.fr/association/detail/934</t>
  </si>
  <si>
    <t>ASSOCIATION DE FAMILLES DE TRAUMATISÉS CRÂNIENS ET CÉRÉBROLÉSÉS DE GIRONDE - AFTC  GIRONDE</t>
  </si>
  <si>
    <t>Aide , soutien et  écoute des familles et des traumatisés crâniens et cérébrolésés</t>
  </si>
  <si>
    <t>Noèle Mme  BOISGUERIN</t>
  </si>
  <si>
    <t>https://assos.bordeaux.fr/association/detail/1167</t>
  </si>
  <si>
    <t>ASSOCIATION GESTALT-THÉRAPIE INITIATIVE RETROUVÉE - AGIR</t>
  </si>
  <si>
    <t>Promouvoir le développement de la gestalt-thérapie par un travail sur la relation interpersonnelle</t>
  </si>
  <si>
    <t xml:space="preserve">19 RUE CRAMPEL                                                                                                </t>
  </si>
  <si>
    <t>06 22 41 37 89</t>
  </si>
  <si>
    <t>https://assos.bordeaux.fr/association/detail/1104</t>
  </si>
  <si>
    <t>LES PETITS FRÈRES DES PAUVRES - PFP</t>
  </si>
  <si>
    <t>L'association les petits frères des Pauvres a pour objet l'accueil, l'aide et l'accompagnement dans une relation fraternelle  et désintéressée, des personnes, en priorité de plus de 50 ans, souffrant de pauvreté, de solitude, d'exclusion, de précarité, de maladie grave, par des moyens et dans des conditions adaptées à chacune d'elles.
L'association sensibilise et alerte également l'opinion et les pouvoirs publics.</t>
  </si>
  <si>
    <t xml:space="preserve">7 rue Bouquière                                                                                                </t>
  </si>
  <si>
    <t>05 56 79 29 05</t>
  </si>
  <si>
    <t>www.petitsfreresdespauvres.fr</t>
  </si>
  <si>
    <t>https://assos.bordeaux.fr/association/detail/1118</t>
  </si>
  <si>
    <t>SOS RACISME GIRONDE</t>
  </si>
  <si>
    <t>d'entreprendre, faire entreprendre toute action par toutes formes de moyens susceptible de résoudre les problèmes de discrimination, d'antisémitisme et de racisme ( sensibilisation, information,formation, vigilance)
SOS Racisme s'est développée sur l'ensemble du territoire a la suite d'une mobilisation massive de citoyens dans les années 1980 ayant pour volonté de faire progresser l’Égalité des droits.</t>
  </si>
  <si>
    <t xml:space="preserve">20 rue bergeret                                                                                                </t>
  </si>
  <si>
    <t>07 83 49 01 87</t>
  </si>
  <si>
    <t>https://assos.bordeaux.fr/association/detail/1639</t>
  </si>
  <si>
    <t>FÉDÉRATION GIRONDINE DE GÉNÉALOGIE - FGG</t>
  </si>
  <si>
    <t>L'association a pour vocation de venir en aide bénévolement aux personnes qui recherchent leurs ancêtres.</t>
  </si>
  <si>
    <t xml:space="preserve">Archives Départementales de la Gironde                                 72/78 cours Balguerie Sttutenberg                                                                                                             </t>
  </si>
  <si>
    <t>05 56 28 12 67</t>
  </si>
  <si>
    <t>Francis CHASSAGNAC</t>
  </si>
  <si>
    <t>fggen33.free.fr</t>
  </si>
  <si>
    <t>https://assos.bordeaux.fr/association/detail/886</t>
  </si>
  <si>
    <t>ASSOCIATION TERRITOIRES &amp; INNOVATION SOCIALE - ATIS</t>
  </si>
  <si>
    <t>L'association ATIS accompagne l'émergence de projets d'innovation sociale et entreprises de l'économie sociale et solidaire en Nouvelle-Aquitaine.</t>
  </si>
  <si>
    <t xml:space="preserve">90 rue Malbec                                                                                                </t>
  </si>
  <si>
    <t>06 60 49 56 60</t>
  </si>
  <si>
    <t>atis-asso.org</t>
  </si>
  <si>
    <t>https://assos.bordeaux.fr/association/detail/1029</t>
  </si>
  <si>
    <t>CLUB D'EXPLORATION SOUS-MARINE D'AQUITAINE - CESMA</t>
  </si>
  <si>
    <t>Club de plongée sous-marine, d'apnée et de nages avec palmes.
Formation, loisir et compétition</t>
  </si>
  <si>
    <t xml:space="preserve">69 Avenue d'ARES                                                                                                </t>
  </si>
  <si>
    <t>05 56 99 46 26</t>
  </si>
  <si>
    <t>cesma-plongee.fr</t>
  </si>
  <si>
    <t>https://assos.bordeaux.fr/association/detail/708</t>
  </si>
  <si>
    <t>HAÏTI EN VIE</t>
  </si>
  <si>
    <t>https://assos.bordeaux.fr/association/detail/895</t>
  </si>
  <si>
    <t>NDG HOME</t>
  </si>
  <si>
    <t>Encourager l'entrepreneuriat des jeunes diplômés.</t>
  </si>
  <si>
    <t xml:space="preserve">29 rue Adèle Esquiros                                                                                                </t>
  </si>
  <si>
    <t>33500</t>
  </si>
  <si>
    <t>07 60 20 72 92</t>
  </si>
  <si>
    <t>Mantila Tauzin</t>
  </si>
  <si>
    <t>https://assos.bordeaux.fr/association/detail/1184</t>
  </si>
  <si>
    <t>AAMI BÈGLES</t>
  </si>
  <si>
    <t>https://assos.bordeaux.fr/association/detail/1443</t>
  </si>
  <si>
    <t>REGARDS CROISÉS</t>
  </si>
  <si>
    <t>L'engagement éco-solidaire : la convivialité, la solidarité, l’entraide, l’économie circulaire, équitable, solidaire, le développement durable 
​L'interculturalité : les échanges interculturels, la mixité sociale, culturelle et intergénérationnelle, la communication bienveillante et non-violente, l’éducation populaire
​Les liens humain-nature : la pédagogie du dehors, la découverte et et le respect à la nature</t>
  </si>
  <si>
    <t xml:space="preserve">17 rue Lamothe Pichon                                                                                                </t>
  </si>
  <si>
    <t>06 74 43 82 65</t>
  </si>
  <si>
    <t>www.regardscroises.net</t>
  </si>
  <si>
    <t>https://assos.bordeaux.fr/association/detail/786</t>
  </si>
  <si>
    <t>Promotion et diffusion des littératures étrangères en Nouvelle-Aquitaine</t>
  </si>
  <si>
    <t xml:space="preserve">9 rue Etobon Chenebier                                                                                                </t>
  </si>
  <si>
    <t>09 53 08 50 10</t>
  </si>
  <si>
    <t>lettresdumonde33.com</t>
  </si>
  <si>
    <t>https://assos.bordeaux.fr/association/detail/1789</t>
  </si>
  <si>
    <t>LA VIE DES SENS - LVDS</t>
  </si>
  <si>
    <t>Assurer des actions de :
Sensibilistation et prévention des risques auditifs auprès de différentes populations ( scolaires, etudiants, professionnels, personnes agées, ...) via la diffusion de Serious Games utilisables sur PC, Smartphone ou tablettes tactiles.
Animer des session de formation et de sensibilisation dans des colleges, lycées, écoles, entreprises.</t>
  </si>
  <si>
    <t xml:space="preserve">41, rue Malleret - Apt 24                                                                                                </t>
  </si>
  <si>
    <t>05 57 30 93 92</t>
  </si>
  <si>
    <t>Pascal QUIL</t>
  </si>
  <si>
    <t>www.laviedessens.org</t>
  </si>
  <si>
    <t>https://assos.bordeaux.fr/association/detail/894</t>
  </si>
  <si>
    <t>Aider, développer, promouvoir les activités artisanales, artistiques et l'économie locale de Bordeaux Métropole et de la région par
1/ L’accès à un espace de travail 
2/ Le partage, la mise en commun des savoir-faire, techniques et talents pour favoriser la création
3/ La mise en valeur de chaque individu en lui donnant sa place au sein d'un collectif</t>
  </si>
  <si>
    <t xml:space="preserve">77 rue Reinette                                                                                                </t>
  </si>
  <si>
    <t>05 24 54 70 47</t>
  </si>
  <si>
    <t>www.lachiffonnerit.com</t>
  </si>
  <si>
    <t>https://assos.bordeaux.fr/association/detail/1264</t>
  </si>
  <si>
    <t>TASHI DELEK BORDEAUX - TDB</t>
  </si>
  <si>
    <t>L'association a pour but de contribuer à faire connaître l'histoire, la culture et la civilisation du peuple tibétain, informer et communiquer sur la situation au Tibet.</t>
  </si>
  <si>
    <t xml:space="preserve">44 rue Moulinié                                                                                                </t>
  </si>
  <si>
    <t>06 83 62 37 61</t>
  </si>
  <si>
    <t>https://assos.bordeaux.fr/association/detail/1607</t>
  </si>
  <si>
    <t>ASS'TECH</t>
  </si>
  <si>
    <t>Portée par les étudiants de Gestion Urbaine et Solidarités, Ass’Tech est une association fondée en 1997. Si son rôle principal est d’organiser, au fil des ans, le Festival des Solidarités, nos actions sont multiples. Mettre en en place des voyages d’études, sensibiliser notre entourage à des thématiques qui nous tiennent à coeur... Ass’Tech est ouverte  à toute initiative pour tendre vers un monde meilleur !</t>
  </si>
  <si>
    <t xml:space="preserve">1 rue Jacques Ellul                                 IUT Bordeaux Montaigne                                                                                                             </t>
  </si>
  <si>
    <t>06 41 06 15 23</t>
  </si>
  <si>
    <t>https://assos.bordeaux.fr/association/detail/1540</t>
  </si>
  <si>
    <t>LA MAISON SOUDANAISE À BORDEAUX  - LMSB</t>
  </si>
  <si>
    <t>Association socioculturelle pour un but de faire connaitre la culture et la tradition du soudan à Bordeaux</t>
  </si>
  <si>
    <t xml:space="preserve">1 place Jean Cayrol                                                                                                 </t>
  </si>
  <si>
    <t>06 13 32 83 94</t>
  </si>
  <si>
    <t>https://assos.bordeaux.fr/association/detail/762</t>
  </si>
  <si>
    <t>COQS ROUGES BORDEAUX - CRB</t>
  </si>
  <si>
    <t>Les Coqs Rouges, c’est une association historique du centre-ville de Bordeaux. Créée en 1891, elle demeure encore aujourd’hui, un vecteur important de lien social du centre-ville bordelais, de par sa dynamique sur les plans sportif et culturel, et ses valeurs spirituelles. Notre association offre une large palette d’activités sportives, culturelles et artistiques, pour petits et grands, en compétition ou loisir.</t>
  </si>
  <si>
    <t xml:space="preserve">14 Place Sainte-Eulalie                                                                                                </t>
  </si>
  <si>
    <t>05 56 91 59 68</t>
  </si>
  <si>
    <t>Gilles Chaligné</t>
  </si>
  <si>
    <t>www.coqsrouges.fr</t>
  </si>
  <si>
    <t>https://assos.bordeaux.fr/association/detail/1100</t>
  </si>
  <si>
    <t>ARC EN CIEL THÉÂTRE AQUITAINE - ACTA</t>
  </si>
  <si>
    <t>La production de spectacles vivants, la diffusion, le développement et l'étude des actions de théâtre-forum institutionnel menées en direction des populations,
par la mise en place de manifestations, animations, actions de formation ou d'interventions locales ou coordonnées nationales, publications, stages, sans que cette liste soit limitative.</t>
  </si>
  <si>
    <t>22 cours Reverseaux                                                                                                17100 Saintes</t>
  </si>
  <si>
    <t>06 72 76 13 45</t>
  </si>
  <si>
    <t>https://assos.bordeaux.fr/association/detail/696</t>
  </si>
  <si>
    <t>FGM</t>
  </si>
  <si>
    <t>Cette association a pour but:
•	d’organiser des animations, activités culturelles et de loisirs, telles, par exemple, que sorties à moto en France comme à l’étranger, kermesses, animations, fêtes….
•	de concevoir, fabriquer, ou faire fabriquer, et vendre des vêtements, pins, patches et autres objets en relation avec l’association, 
•	de développer des relations avec d’autres organisations ou associations, notamment m</t>
  </si>
  <si>
    <t xml:space="preserve">86 Cours Marc Nouaux                                  APT 19                                                                                                             </t>
  </si>
  <si>
    <t>06 32 06 95 50</t>
  </si>
  <si>
    <t>https://assos.bordeaux.fr/association/detail/1093</t>
  </si>
  <si>
    <t>AMICALE DES RETRAITÉS UGRR-ISICA DE BORDEAUX</t>
  </si>
  <si>
    <t>Proposer des moments de partage afin de lutter contre l'isolement des personnes retraitées 
Solidarité - Activités Loisirs - Chorale - Bowling - Sorties : culturelles - patrimoine - théâtre 
Voyages.</t>
  </si>
  <si>
    <t xml:space="preserve">Résidence services - 16 rue Maryse Bastié - Appartement 116                                                                                                </t>
  </si>
  <si>
    <t>06 01 78 08 04</t>
  </si>
  <si>
    <t>https://assos.bordeaux.fr/association/detail/1416</t>
  </si>
  <si>
    <t>JONATHAN PIERRES VIVANTES, ASSOCIATION DÉPARTEMENTALE DE LA GIRONDE - JPV</t>
  </si>
  <si>
    <t>Accueil des parents, frères et soeurs endeuillés (par le décès d'un enfant). Accueil par des écoutants bénévoles eux-mêmes endeuillés.</t>
  </si>
  <si>
    <t xml:space="preserve">UDAF - 25 rue Francis Martin                                                                                                </t>
  </si>
  <si>
    <t>06 64 66 24 62</t>
  </si>
  <si>
    <t>www.anjpv.org</t>
  </si>
  <si>
    <t>https://assos.bordeaux.fr/association/detail/568</t>
  </si>
  <si>
    <t>KOIDOUKAI</t>
  </si>
  <si>
    <t>Le Koidoukai est la première troupe de yosakoi à avoir été créée en France ! Le yosakoi est une danse venue du Japon. Ouverte à tous, elle est dynamique et énergique. La troupe s'entraîne une fois par semaine et participe à des événements autour du Japon dans le Sud-Ouest et au-delà ! Nous visons également les Jeux Olympiques de 2020 pour nous participer à la cérémonie  de clôture à Tokyo !</t>
  </si>
  <si>
    <t xml:space="preserve">12 rue Lapie                                 résidence tapis vert appartement 14                                                                                                             </t>
  </si>
  <si>
    <t>06 05 40 83 81</t>
  </si>
  <si>
    <t>koidoukai.jimdo.com/la-troupe-koidoukai</t>
  </si>
  <si>
    <t>https://assos.bordeaux.fr/association/detail/721</t>
  </si>
  <si>
    <t>LA 58ÈME</t>
  </si>
  <si>
    <t>La 58ème, association et fédération d’associations, a été créée le 28 juin 2010 et fédère la vie associative à Darwin. Elle rassemble aujourd’hui une cinquantaine d’associations et a pour objet de participer à la valorisation des initiatives et pratiques culturelles, sportives, solidaires, sociales, citoyennes et environnementales.</t>
  </si>
  <si>
    <t xml:space="preserve">87 quai des Queyries                                  Darwin Ecosystème                                                                                                             </t>
  </si>
  <si>
    <t>caserneniel.org</t>
  </si>
  <si>
    <t>https://assos.bordeaux.fr/association/detail/1305</t>
  </si>
  <si>
    <t>W437789764</t>
  </si>
  <si>
    <t>Cccx</t>
  </si>
  <si>
    <t xml:space="preserve">jhjhjk                                                                                                </t>
  </si>
  <si>
    <t>https://assos.bordeaux.fr/association/detail/966</t>
  </si>
  <si>
    <t>ARTS MARTIAUX TRADITIONNELS BORDELAIS - AMTB</t>
  </si>
  <si>
    <t>L'association AMTB a pour objet la pratique de la méthode Wa-Jutsu, issue des arts martiaux traditionnels japonais et pratiquée dans l'esprit traditionnel du Budo.
Cette méthode est non compétitive, ne nécessite pas d'aptitudes physiques particulières. La progression est adaptée à tous les âges, depuis les enfants à partir de 6 ans jusqu'aux adultes vétérans.</t>
  </si>
  <si>
    <t xml:space="preserve">6, rue Lavoisier                                                                                                </t>
  </si>
  <si>
    <t>06 72 19 73 89</t>
  </si>
  <si>
    <t>www.arts-martiaux-traditionnels-bordeaux.fr</t>
  </si>
  <si>
    <t>https://assos.bordeaux.fr/association/detail/512</t>
  </si>
  <si>
    <t>ARTS MARTIAUX SHAOLIN-BORDEAUX</t>
  </si>
  <si>
    <t>Association sportive pour développer la pratique -de loisir et/ou de compétition- des Arts Martiaux chinois sous l’égide de sa fédération nationale, en proposant des cours de Kung Fu, des cours de Taichi et de Qi Gong. Favoriser le développement économique local par la création d’emplois dans le secteur sportif, socio-culturel et de loisir.</t>
  </si>
  <si>
    <t xml:space="preserve">4 rue Cazenave                                                                                                 </t>
  </si>
  <si>
    <t>05 56 86 95 46</t>
  </si>
  <si>
    <t>www.shaolin-bordeaux.fr</t>
  </si>
  <si>
    <t>https://assos.bordeaux.fr/association/detail/1248</t>
  </si>
  <si>
    <t>SYPRES</t>
  </si>
  <si>
    <t>promouvoir les rites funéraires laïques</t>
  </si>
  <si>
    <t xml:space="preserve">223 cours de l'Yser                                                                                                </t>
  </si>
  <si>
    <t>06 67 12 20 82</t>
  </si>
  <si>
    <t>https://assos.bordeaux.fr/association/detail/1417</t>
  </si>
  <si>
    <t>Produire et diffuser des créations artistiques rattachées au domaine du spectacle vivant et plus particulièrement du théâtre et de la lecture dans un esprit d’éducation populaire.
Promouvoir la rencontre des professionnels et des amateurs du spectacle vivant autour de la mise en place de projets artistiques à vocation solidaire et collective.
Sensibiliser les publics à la découverte et à la pratique du théâtre</t>
  </si>
  <si>
    <t xml:space="preserve">29 rue Ausone                                                                                                </t>
  </si>
  <si>
    <t>06 85 24 89 56</t>
  </si>
  <si>
    <t>lamargerousse.com</t>
  </si>
  <si>
    <t>https://assos.bordeaux.fr/association/detail/1238</t>
  </si>
  <si>
    <t>INSUP FORMATION</t>
  </si>
  <si>
    <t>Insup Formation est un organisme de formation présent en Nouvelle-Aquitaine et en Vendée. Nos missions depuis près de 40 ans consiste à soutenir les entreprises du territoire dans leur politique de formation, faciliter l’accès de tous à la formation, accompagner salariés et demandeurs d'emploi dans leur projet professionnel, aider chaque individu à trouver ou retrouver sa place dans la société-le marché du travail.</t>
  </si>
  <si>
    <t xml:space="preserve">37 rue Labottière                                                                                                </t>
  </si>
  <si>
    <t>05 56 01 31 70</t>
  </si>
  <si>
    <t>Michel Férillot</t>
  </si>
  <si>
    <t>insup.org</t>
  </si>
  <si>
    <t>https://assos.bordeaux.fr/association/detail/951</t>
  </si>
  <si>
    <t>L’ESPRIT GAMBETTA</t>
  </si>
  <si>
    <t>Développement du lien social dans le quartier Gambetta de Bordeaux : création d'une commission des commerçants et pérennisation de l’équipe communication. 
Protection du patrimoine et bon partage de l’espace public : lutte contre les pollutions atmosphériques et sonores, valorisation du patrimoine architectural et paysagé et vigilance sur le respect des réglementations pour faciliter le bien vivre ensemble.</t>
  </si>
  <si>
    <t xml:space="preserve">1 rue du Palais Gallien                                                                                                </t>
  </si>
  <si>
    <t>06 61 47 87 73</t>
  </si>
  <si>
    <t>Patrick Bosc</t>
  </si>
  <si>
    <t>sosplacegambetta.fr</t>
  </si>
  <si>
    <t>https://assos.bordeaux.fr/association/detail/536</t>
  </si>
  <si>
    <t>ASSOCIATION - REGARD 9 - REGARD 9</t>
  </si>
  <si>
    <t>L'objet de l'association Regard 9 est de promouvoir, soutenir et favoriser toutes initiatives d'ordre culturel, social et/ou récréatif en faveur de la bande dessinée, de l'illustration, du livre en général et de ses auteurs</t>
  </si>
  <si>
    <t xml:space="preserve">15 rue Profeseur demons                                                                                                </t>
  </si>
  <si>
    <t>06 15 53 29 26</t>
  </si>
  <si>
    <t>9-33.fr</t>
  </si>
  <si>
    <t>https://assos.bordeaux.fr/association/detail/1512</t>
  </si>
  <si>
    <t>Le Centre d'Accueil d'Information et d'Orientation (CAIO) comprend le service "Plateforme d'Accueil des Personnes en Errance" (PAPE) qui consiste à organiser dans un lieu unique l'accueil, l'information, l'orientation et l'accompagnement social des ménages de plus de 18 ans, seul ou en couple, avec ou sans enfant, sans résidence stable sur la ville de Bordeaux.</t>
  </si>
  <si>
    <t xml:space="preserve">6 rue du Noviciat                                 CS 71343                                                                                                             </t>
  </si>
  <si>
    <t>33080</t>
  </si>
  <si>
    <t>05 56 33 47 80</t>
  </si>
  <si>
    <t>https://assos.bordeaux.fr/association/detail/896</t>
  </si>
  <si>
    <t>DANCE IN WEST</t>
  </si>
  <si>
    <t>Promouvoir et développer la danse sur Bordeaux et ses alentours par des interventions régulières. Organiser des événements régionaux, nationaux et internationaux permettant l'extension et l'épanouissement de la danse à travers des manifestations ouvertes au grand public et facilitant l'échange en toute convivialité.</t>
  </si>
  <si>
    <t xml:space="preserve">7a chemin de BOS                                                                                                </t>
  </si>
  <si>
    <t>06 61 18 71 43</t>
  </si>
  <si>
    <t>Elise Nguyen Ba</t>
  </si>
  <si>
    <t>www.danceinwest.fr</t>
  </si>
  <si>
    <t>https://assos.bordeaux.fr/association/detail/1268</t>
  </si>
  <si>
    <t>AUX CAPTIFS LA LIBÉRATION</t>
  </si>
  <si>
    <t>Dans un esprit à orientation chrétienne, l'association a pour objet la tournée-rue, l'accueil des personnes de la rue, principalement prostituées, visant à la sortie de l'exclusion et à la réinsertion sociale et professionnelle.</t>
  </si>
  <si>
    <t xml:space="preserve">10 rue de la Seiglière                                                                                                </t>
  </si>
  <si>
    <t>07 68 68 22 73</t>
  </si>
  <si>
    <t>https://assos.bordeaux.fr/association/detail/867</t>
  </si>
  <si>
    <t>ASSOCIATION CULTURELLE TRÉSORS D'IRAN - ACTI</t>
  </si>
  <si>
    <t>Contribution à la promotion de la civilisation iranienne et à la diffusion des cultures d’Iran ainsi que la contribution au développement et à la promotion de la production intellectuelle et culturelle liée à l’ensemble des questions culturelles d’Iran en France et à l'étranger. Contribution à la promotion de l’intégration et la cohésion sociale à travers des projets d’entre aide et des actions humanitaires.</t>
  </si>
  <si>
    <t xml:space="preserve">55 Avenue du Maréchal de Lattre de Tassigny                                 la Maison des Associations de Mérignac                                                                                                             </t>
  </si>
  <si>
    <t>06 84 53 82 05</t>
  </si>
  <si>
    <t>https://assos.bordeaux.fr/association/detail/1247</t>
  </si>
  <si>
    <t>Bordeaux Entrepreneurs a pour vocation est de soutenir l’écosystème entrepreneurial et d’accompagner le développement des startups dans la région bordelaise.
Avec aujourd'hui plus de 100 startups adhérentes, Bordeaux Entrepreneurs se fixe des objectifs très concrets pour les créateurs d’entreprises et les sociétés souhaitant se développer ou s’implanter dans la région : ateliers, conférences, événements, etc.</t>
  </si>
  <si>
    <t xml:space="preserve">74 Avenue Thiers                                 (Coworking Héméra)                                                                                                             </t>
  </si>
  <si>
    <t>Alexandre de Roumefort</t>
  </si>
  <si>
    <t>www.bordeaux-entrepreneurs.com</t>
  </si>
  <si>
    <t>https://assos.bordeaux.fr/association/detail/1847</t>
  </si>
  <si>
    <t>COACHING NOMADE "SUR LES AILES DE LA VIE...ET DANS L'ACTION"</t>
  </si>
  <si>
    <t>De développer des actions de coaching à destination de ceux qui en ont besoin sans disposer des moyens et qui sont soit porteur de projet de création d'entreprise ou d'activité, soit créateur ou repreneur (depuis moins de 2 ans). Les bénéficiaires des actions de coaching sont appréciés sur dossier. Les actions sont des actions de soutien personnel et d'appui à la communication, au marketing et à la créativité.</t>
  </si>
  <si>
    <t xml:space="preserve">5, allée de Tourny                                                                                                </t>
  </si>
  <si>
    <t>07 66 20 62 19</t>
  </si>
  <si>
    <t>www.coaching-nomade.fr</t>
  </si>
  <si>
    <t>https://assos.bordeaux.fr/association/detail/1591</t>
  </si>
  <si>
    <t>- La production et la diffusion d’événements artistiques initiés par Romie Esteves
- La  promotion et la recherche artistique autour de l’art lyrique en collaboration avec d’autres structures
- la formation artistique ainsi que toutes les activités susceptibles de faciliter la réalisation et la promotion de l’art lyrique.</t>
  </si>
  <si>
    <t xml:space="preserve">10 rue Rose                                                                                                </t>
  </si>
  <si>
    <t>06 60 22 22 39</t>
  </si>
  <si>
    <t>www.romie-esteves.com/compagnie-la-marginaire</t>
  </si>
  <si>
    <t>https://assos.bordeaux.fr/association/detail/1123</t>
  </si>
  <si>
    <t>CENTRE D'ANIMATION MONSÉJOUR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</si>
  <si>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Monséjour, au cœur de Caudéran, propose un large panel d’activités et anime un pôle d’excellence arts plastiques et artisanat d’art.</t>
  </si>
  <si>
    <t xml:space="preserve">Rue François Coppée                                                                                                </t>
  </si>
  <si>
    <t>05 56 97 58 10</t>
  </si>
  <si>
    <t>https://assos.bordeaux.fr/association/detail/1326</t>
  </si>
  <si>
    <t>ASSOCIATION BORDEAUX NIHONGO HOSHU JUGYOKO</t>
  </si>
  <si>
    <t>https://assos.bordeaux.fr/association/detail/1039</t>
  </si>
  <si>
    <t>IN PEACE EVENT</t>
  </si>
  <si>
    <t>In Peace Event est une association humanitaire et événementielle créée en 2014 et basée au coeur du quartier La Bastide à Bordeaux.</t>
  </si>
  <si>
    <t xml:space="preserve">9 rue de Pineau                                                                                                </t>
  </si>
  <si>
    <t>07 68 56 00 25</t>
  </si>
  <si>
    <t>Owayss Majnani</t>
  </si>
  <si>
    <t>inpeaceevent.org</t>
  </si>
  <si>
    <t>https://assos.bordeaux.fr/association/detail/1676</t>
  </si>
  <si>
    <t>LES HÉBERGEURS SOLIDAIRES DE BORDEAUX - HSB</t>
  </si>
  <si>
    <t>Les Hébergeurs Solidaires de Bordeaux ont pour vocation d’accueillir et d’héberger dans la dignité les enfants en danger, dits mineurs non-accompagnés, en attente d’une prise en charge du département et/ou de l’Etat, au sein du territoire girondin à travers la mise en place d’un réseau d’hébergement temporaire d’accueillants bénévoles; une mise en lien avec les associations du territoire, des actions de plaidoyer...</t>
  </si>
  <si>
    <t xml:space="preserve">10 Rue Causserouge                                                                                                </t>
  </si>
  <si>
    <t>07 69 56 96 12</t>
  </si>
  <si>
    <t>https://assos.bordeaux.fr/association/detail/887</t>
  </si>
  <si>
    <t>ASSOCIATION MALADIES CHRONIQUES, SPORT &amp; BIEN ÊTRE - AMCSB</t>
  </si>
  <si>
    <t>Cette association a pour but de permettre aux personnes atteintes de maladies chroniques de pratiquer une activité physique.</t>
  </si>
  <si>
    <t xml:space="preserve">10 rue Gaston Marchou                                  chez Melle Gaëlle Gaudin                                                                                                             </t>
  </si>
  <si>
    <t>06 51 68 50 30</t>
  </si>
  <si>
    <t>Laurence Colombel</t>
  </si>
  <si>
    <t>https://assos.bordeaux.fr/association/detail/908</t>
  </si>
  <si>
    <t>RESTOS DU COEUR DE GIRONDE</t>
  </si>
  <si>
    <t>Apporter une assistance bénévole aux personnes démunies
Notamment dans le domaine alimentaire par l’accès à des repas gratuits 
et par la participation à leur insertion sociale et économique.
Ainsi qu’à toute action contre la pauvreté sous toutes ses formes .</t>
  </si>
  <si>
    <t xml:space="preserve">Rue Robert Mathieu                                 ZI de Fret                                                                                                             </t>
  </si>
  <si>
    <t>33521</t>
  </si>
  <si>
    <t>07 83 68 39 54</t>
  </si>
  <si>
    <t>https://assos.bordeaux.fr/association/detail/971</t>
  </si>
  <si>
    <t>L'association La Maison de Soi a pour vocation d'offrir des espaces dédiés à la pratique de Bien-être , de Santé et d'évolution personnelle .L'activité principale est la Biodanza .Elle se pratique en groupe et invite à se libérer  du stress ,de blocages physiques et psychiques grâce à des propositions de danses et mouvements sur des musique du monde . Aucun pas enseigné , plaisir , joie ,profondeur,convivialité</t>
  </si>
  <si>
    <t xml:space="preserve">161 rue Fernand Audeguil                                                                                                </t>
  </si>
  <si>
    <t>06 88 69 19 87</t>
  </si>
  <si>
    <t>www.biodanzabordeaux.com</t>
  </si>
  <si>
    <t>https://assos.bordeaux.fr/association/detail/1574</t>
  </si>
  <si>
    <t>COMPAGNIE LES SOUTERRAINES</t>
  </si>
  <si>
    <t>L'objet de l'association est de favoriser, développer, et promouvoir la création artistique par : 
la production de spectacles et d'événements culturels, l'activité de formation et la mise en place de stages, la mise en place d'activités de recherche sur le travail psycho, physico-émotionnel et vocal de l'acteur, la diffusion et la promotion de spectacles vivants et/ou de manifestations culturelles.</t>
  </si>
  <si>
    <t xml:space="preserve">199 RUE PELLEPORT                                                                                                </t>
  </si>
  <si>
    <t>06 84 39 13 28</t>
  </si>
  <si>
    <t>https://assos.bordeaux.fr/association/detail/1603</t>
  </si>
  <si>
    <t>Prévention de l'exclusion financière, par des actions d'information et d'accompagnements sur les thématiques en lien avec le budget.</t>
  </si>
  <si>
    <t xml:space="preserve">29 rue du Mirail                                                                                                </t>
  </si>
  <si>
    <t>05 56 94 68 18</t>
  </si>
  <si>
    <t>www.latelierbudgetaire.org</t>
  </si>
  <si>
    <t>https://assos.bordeaux.fr/association/detail/907</t>
  </si>
  <si>
    <t>BORDEAUX TEATRO ITALIANO - BTI</t>
  </si>
  <si>
    <t>Etudier la langue et la culture italienne à travers la pratique du théâtre en italien
Organiser et promouvoir des activités à caractère culturel : spectacles, échanges, rencontres,ateliers</t>
  </si>
  <si>
    <t xml:space="preserve">53 rue Raymond Lavigne                                 Botanica 314                                                                                                             </t>
  </si>
  <si>
    <t>05 56 78 30 97</t>
  </si>
  <si>
    <t>https://assos.bordeaux.fr/association/detail/550</t>
  </si>
  <si>
    <t>Production et diffusion du spectacle vivant lyrique, théâtral et chorégraphique mélant différents arts de la scène</t>
  </si>
  <si>
    <t xml:space="preserve">62, rue Hortense                                                                                                </t>
  </si>
  <si>
    <t>06 61 99 75 96</t>
  </si>
  <si>
    <t>www.chant-libre.org</t>
  </si>
  <si>
    <t>AVERAGE of Montant du fonds de concours ou de la subvention (numéraire)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</si>
</sst>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color rgb="FF434343"/>
    </font>
    <font/>
    <font>
      <name val="Arial"/>
    </font>
    <font>
      <b/>
      <name val="Arial"/>
    </font>
    <font>
      <u/>
      <color rgb="FF0000FF"/>
    </font>
    <font>
      <u/>
      <color rgb="FF0000FF"/>
    </font>
    <font>
      <u/>
      <color rgb="FF0000FF"/>
    </font>
    <font>
      <u/>
      <color rgb="FF0000FF"/>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shrinkToFit="0" vertical="center" wrapText="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vertical="bottom" wrapText="1"/>
    </xf>
    <xf borderId="0" fillId="0" fontId="4"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0" fontId="3" numFmtId="4" xfId="0" applyAlignment="1" applyFont="1" applyNumberFormat="1">
      <alignment horizontal="right" shrinkToFit="0" vertical="bottom" wrapText="1"/>
    </xf>
    <xf borderId="0" fillId="0" fontId="3" numFmtId="0" xfId="0" applyAlignment="1" applyFont="1">
      <alignment readingOrder="0" shrinkToFit="0" vertical="bottom" wrapText="1"/>
    </xf>
    <xf borderId="0" fillId="0" fontId="2" numFmtId="0" xfId="0" applyAlignment="1" applyFont="1">
      <alignment readingOrder="0"/>
    </xf>
    <xf borderId="0" fillId="0" fontId="2" numFmtId="10" xfId="0" applyFont="1" applyNumberFormat="1"/>
    <xf borderId="0" fillId="0" fontId="3" numFmtId="4" xfId="0" applyAlignment="1" applyFont="1" applyNumberFormat="1">
      <alignment shrinkToFit="0" vertical="bottom" wrapText="1"/>
    </xf>
    <xf borderId="0" fillId="0" fontId="2" numFmtId="4" xfId="0" applyAlignment="1" applyFont="1" applyNumberFormat="1">
      <alignment readingOrder="0" shrinkToFit="0" wrapText="1"/>
    </xf>
    <xf borderId="0" fillId="0" fontId="2" numFmtId="4" xfId="0" applyAlignment="1" applyFont="1" applyNumberFormat="1">
      <alignment shrinkToFit="0" wrapText="1"/>
    </xf>
    <xf borderId="0" fillId="0" fontId="5" numFmtId="0" xfId="0" applyAlignment="1" applyFont="1">
      <alignment shrinkToFit="0" wrapText="1"/>
    </xf>
    <xf borderId="0" fillId="0" fontId="6" numFmtId="0" xfId="0" applyFont="1"/>
    <xf borderId="0" fillId="0" fontId="2" numFmtId="4" xfId="0" applyFont="1" applyNumberFormat="1"/>
    <xf borderId="0" fillId="0" fontId="2" numFmtId="0" xfId="0" applyAlignment="1" applyFont="1">
      <alignment readingOrder="0" shrinkToFit="0" wrapText="0"/>
    </xf>
    <xf borderId="0" fillId="0" fontId="7" numFmtId="0" xfId="0" applyAlignment="1" applyFont="1">
      <alignment readingOrder="0" shrinkToFit="0" wrapText="0"/>
    </xf>
    <xf borderId="0" fillId="0" fontId="8" numFmtId="0" xfId="0" applyAlignment="1" applyFont="1">
      <alignment readingOrder="0" shrinkToFit="0" wrapText="1"/>
    </xf>
  </cellXfs>
  <cellStyles count="1">
    <cellStyle xfId="0" name="Normal" builtinId="0"/>
  </cellStyles>
  <dxfs count="8">
    <dxf>
      <font/>
      <fill>
        <patternFill patternType="solid">
          <fgColor rgb="FFE06666"/>
          <bgColor rgb="FFE06666"/>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solid">
          <fgColor rgb="FFB7E1CD"/>
          <bgColor rgb="FFB7E1CD"/>
        </patternFill>
      </fill>
      <border/>
    </dxf>
  </dxfs>
  <tableStyles count="1">
    <tableStyle count="12" table="0" name="Google Sheets Pivot Table Style">
      <tableStyleElement dxfId="2" type="wholeTable"/>
      <tableStyleElement dxfId="3" type="firstRowSubheading"/>
      <tableStyleElement dxfId="3" type="secondRowSubheading"/>
      <tableStyleElement dxfId="3" type="thirdRowSubheading"/>
      <tableStyleElement dxfId="4" type="firstColumnSubheading"/>
      <tableStyleElement dxfId="4" type="secondColumnSubheading"/>
      <tableStyleElement dxfId="4" type="thirdColumnSubheading"/>
      <tableStyleElement dxfId="4" type="headerRow"/>
      <tableStyleElement dxfId="5" type="firstSubtotalRow"/>
      <tableStyleElement dxfId="5" type="secondSubtotalRow"/>
      <tableStyleElement dxfId="5" type="thirdSubtotalRow"/>
      <tableStyleElement dxfId="6" type="totalRow"/>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pivotCacheDefinition" Target="pivotCache/pivotCacheDefinition1.xml"/><Relationship Id="rId23" Type="http://schemas.openxmlformats.org/officeDocument/2006/relationships/worksheet" Target="worksheets/sheet20.xml"/><Relationship Id="rId26" Type="http://schemas.openxmlformats.org/officeDocument/2006/relationships/pivotCacheDefinition" Target="pivotCache/pivotCacheDefinition3.xml"/><Relationship Id="rId25" Type="http://schemas.openxmlformats.org/officeDocument/2006/relationships/pivotCacheDefinition" Target="pivotCache/pivotCacheDefinition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SUM of Montant du fonds de concours ou de la subvention (numéraire) vs. categorie</a:t>
            </a:r>
          </a:p>
        </c:rich>
      </c:tx>
      <c:overlay val="0"/>
    </c:title>
    <c:plotArea>
      <c:layout/>
      <c:barChart>
        <c:barDir val="col"/>
        <c:ser>
          <c:idx val="0"/>
          <c:order val="0"/>
          <c:tx>
            <c:strRef>
              <c:f>analyse5!$B$1</c:f>
            </c:strRef>
          </c:tx>
          <c:spPr>
            <a:solidFill>
              <a:srgbClr val="4285F4"/>
            </a:solidFill>
            <a:ln cmpd="sng">
              <a:solidFill>
                <a:srgbClr val="000000"/>
              </a:solidFill>
            </a:ln>
          </c:spPr>
          <c:cat>
            <c:strRef>
              <c:f>analyse5!$A$2:$A$12</c:f>
            </c:strRef>
          </c:cat>
          <c:val>
            <c:numRef>
              <c:f>analyse5!$B$2:$B$12</c:f>
              <c:numCache/>
            </c:numRef>
          </c:val>
        </c:ser>
        <c:axId val="1539179093"/>
        <c:axId val="2142287253"/>
      </c:barChart>
      <c:catAx>
        <c:axId val="153917909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categorie</a:t>
                </a:r>
              </a:p>
            </c:rich>
          </c:tx>
          <c:overlay val="0"/>
        </c:title>
        <c:numFmt formatCode="General" sourceLinked="1"/>
        <c:majorTickMark val="none"/>
        <c:minorTickMark val="none"/>
        <c:spPr/>
        <c:txPr>
          <a:bodyPr/>
          <a:lstStyle/>
          <a:p>
            <a:pPr lvl="0">
              <a:defRPr b="0">
                <a:solidFill>
                  <a:srgbClr val="000000"/>
                </a:solidFill>
                <a:latin typeface="Roboto"/>
              </a:defRPr>
            </a:pPr>
          </a:p>
        </c:txPr>
        <c:crossAx val="2142287253"/>
      </c:catAx>
      <c:valAx>
        <c:axId val="21422872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SUM of Montant du fonds de concours ou de la subvention (numéraire)</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39179093"/>
      </c:valAx>
    </c:plotArea>
    <c:legend>
      <c:legendPos val="r"/>
      <c:overlay val="0"/>
      <c:txPr>
        <a:bodyPr/>
        <a:lstStyle/>
        <a:p>
          <a:pPr lvl="0">
            <a:defRPr b="0">
              <a:solidFill>
                <a:srgbClr val="000000"/>
              </a:solidFill>
              <a:latin typeface="Roboto"/>
            </a:defRPr>
          </a:pPr>
        </a:p>
      </c:txPr>
    </c:legend>
    <c:plotVisOnly val="1"/>
  </c:chart>
</c:chartSpace>
</file>

<file path=xl/drawings/_rels/drawing2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13</xdr:row>
      <xdr:rowOff>95250</xdr:rowOff>
    </xdr:from>
    <xdr:ext cx="5057775" cy="3124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1534" sheet="analyse1"/>
  </cacheSource>
  <cacheFields>
    <cacheField name="nom des bénéficiaires" numFmtId="0">
      <sharedItems>
        <s v="OPERA NATIONAL DE BORDEAUX"/>
        <s v="ASSOCIATION DES CENTRES D'ANIMATION DE QUARTIERS DE BORDEAUX - ACAQB"/>
        <s v="CCAS DE BORDEAUX"/>
        <s v="ECOLE D'ENSEIGNEMENT SUPÉRIEUR D'ART DE BORDEAUX - ESAB"/>
        <s v="ASSOCIATION PITCHOUN"/>
        <s v="THEATRE NATIONAL DE BORDEAUX EN AQUITAINE - TNBA"/>
        <s v="ASSOCIATION PETITE ENFANCE ENFANCE ET FAMILLE - APEEF"/>
        <s v="UNION SAINT-BRUNO "/>
        <s v="SPORTING CHANTECLER BORDEAUX NORD LE LAC "/>
        <s v="AVANT GARDE ET JEANNE D'ARC DE BORDEAUX CAUDERAN - AGJA BORDEAUX CAUDERAN"/>
        <s v="UNION SPORTIVE LES CHARTRONS "/>
        <s v="LES JEUNES DE SAINT AUGUSTIN - JSA "/>
        <s v="UNION SAINT JEAN - MAISON DE QUARTIER "/>
        <s v="STADE BORDELAIS ASPTT "/>
        <s v="ARC EN REVE"/>
        <s v="MAISON DE L'EMPLOI, DE L'INSERTION ECONOMIQUE ET DE L'ENTREPRISE DE BORDEAUX"/>
        <s v="CLUB PYRENEES AQUITAINE, ASSOCIATION SPORTIVE, EDUCATIVE ET CULTURELLE"/>
        <s v="P'TIT BOUT'CHOU"/>
        <s v="ASSOCIATION BRINS D'EVEIL"/>
        <s v="ASSOCIATION DE GESTION ET D'ANIMATION DES CRECHES C.S.F. (AGEAC/CSF)"/>
        <s v="MISSION LOCALE BORDEAUX AVENIR JEUNES"/>
        <s v="GP INTENCITE CENTRE SOCIAL ET CULTUREL DU GRAND PARC"/>
        <s v="INTERLUDE"/>
        <s v="CENTRE SOCIAL ET FAMILIAL BORDEAUX NORD "/>
        <s v="AMICALE LAIQUE DAVID JOHNSTON LAGRANGE ALBERT BARRAUD NAUJAC"/>
        <s v="SASP UNION BORDEAUX BEGLES"/>
        <s v="FOYER FRATERNEL"/>
        <s v="FESTIVAL DES ARTS DE BORDEAUX"/>
        <s v="ASSOCIATION DU COMITE DES OEUVRES SOCIALES DES MUNICIPAUX DE BORDEAUX - ACOSMB"/>
        <s v="POLE D'ENSEIGNEMENT SUPERIEUR DE LA MUSIQUE ET DE LA DANSE DE BORDEAUX AQUITAINE - PESMD"/>
        <s v="AUTEUIL PETITE ENFANCE"/>
        <s v="LES COQS ROUGES"/>
        <s v="BORDEAUX GRANDS EVENEMENTS (BGE)"/>
        <s v="GESTION DU CENTRE DE LOISIRS DE LA POSTE ALEMA"/>
        <s v="ASSOCIATION PETITS BOUCHONS"/>
        <s v="ASSOCIATION POUR L'INNOVATION EN MATIERE D'INTEGRATION"/>
        <s v="BOXERS DE BORDEAUX"/>
        <s v="SASP JSA BORDEAUX METROPOLE"/>
        <s v="CLUB ATHLETIQUE MUNICIPAL DE BORDEAUX - CAM "/>
        <s v="LES ENFANTS D'OSIRIS"/>
        <s v="PARALLELES ATTITUDES DIFFUSION - ROCKSCHOOL "/>
        <s v="BORDEAUX ETUDIANTS CLUB - BEC "/>
        <s v="EVEILLEZ LES BEBES"/>
        <s v="LES PARENTS DE CAUDERAN"/>
        <s v="LUCILANN"/>
        <s v="BORDEAUX GIRONDE INVESTISSEMENT"/>
        <s v="LA MANUFACTURE ATLANTIQUE "/>
        <s v="GROUPEMENT D'INTERET PUBLIC BORDEAUX MEDIATION"/>
        <s v="ESCALES LITTERAIRES BORDEAUX AQUITAINE"/>
        <s v="ASSOCIATION LA COCCINELLE"/>
        <s v="O'PTIMÔMES LOISIRS"/>
        <s v="ASTROLABE"/>
        <s v="GIRONDINS DE BORDEAUX BASTIDE HANDBALL CLUB "/>
        <s v="LES GIRONDINS DE BORDEAUX "/>
        <s v="NUAGE BLEU"/>
        <s v="OGEC LYCEE BEL ORME"/>
        <s v="LA RONDE DES QUARTIERS DE BORDEAUX"/>
        <s v="VILLA PRIMROSE "/>
        <s v="EMULATION NAUTIQUE DE BORDEAUX "/>
        <s v="CAISSE SOCIALE DE DEVELOPPEMENT LOCAL"/>
        <s v="COS VILLA PIA - EHPAD LES DAMES DE LA FOI"/>
        <s v="GLOB THEATRE"/>
        <s v="MAISON DES JEUNES ET DE LA CULTURE CENTRE DE LOISIRS DES DEUX VILLES - MJC CL2V"/>
        <s v="ECOLE SUPERIEURE DE THEATRE BORDEAUX AQUITAINE - ESTBA"/>
        <s v="UNIS CITE"/>
        <s v="FOOTBALL CLUB DES GIRONDINS DE BORDEAUX - FCGB"/>
        <s v="UNION BORDEAUX METROPOLE - UBM"/>
        <s v="AMICALE DES ETABLISSEMENTS SCOLAIRES LAIQUES DE BACALAN - ALB"/>
        <s v="CAP SCIENCES"/>
        <s v="BORDEAUX MERIGNAC VOLLEY"/>
        <s v="LA HALLE DES DOUVES"/>
        <s v="SOLIHA, SOLIDAIRES POUR L'HABITAT, GIRONDE"/>
        <s v="SEMER LE DOUTE "/>
        <s v="HALTE 33"/>
        <s v="RESEAU PAUL BERT CENTRE SOCIAL ET CULTUREL"/>
        <s v="AGENCE D'URBANISME BORDEAUX METROPOLE AQUITAINE (A'URBA)"/>
        <s v="CHAHUTS"/>
        <s v="LA CAISSE A OUTILS"/>
        <s v="LA MEMOIRE DE BORDEAUX METROPOLE"/>
        <s v="MAISON DE L'EUROPE BORDEAUX-AQUITAINE (MEBA)"/>
        <s v="ASSOCIATION LAIQUE LE PRADO"/>
        <s v="LES PETITS DEBROUILLARDS AQUITAINE"/>
        <s v="FONDATION D'AUTEUIL AQUITAINE"/>
        <s v="THEATRE DU PONT TOURNANT"/>
        <s v="REGIE DE QUARTIER HABITER BACALAN"/>
        <s v="ASSOCIATION DE DEFENSE DES MUSIQUES ALTERNATIVES EN AQUITAINE - ADMAA (ALLEZ LES FILLES)"/>
        <s v="ASSOCIATION UNION BORDEAUX BEGLES"/>
        <s v="LA CITE DU VIN"/>
        <s v="LE SERVICE GAGNANT"/>
        <s v="MAIRES RESPONSABLES METROPOLES FRANCOPHONES - AIMF"/>
        <s v="CENTRE D'INFORMATION JEUNESSE AQUITAINE - CIJA"/>
        <s v="ECOLE DE CIRQUE DE BORDEAUX, CENTRE CULTUREL DES ARTS DU CIRQUE"/>
        <s v="MAISON DE NOLAN"/>
        <s v="ASSOCIATION GIRONDINE D'EDUCATION SPECIALISEE ET DE PREVENTION SOCIALE - AGEP"/>
        <s v="ATELIER GRAPHITE"/>
        <s v="COMPAGNIE DES MARCHES DE L'ETE"/>
        <s v="MUSIQUES DE NUIT - DIFFUSION"/>
        <s v="CONGRES ET EXPOSITIONS DE BORDEAUX"/>
        <s v="ASSOCIATION PROMOTION INSERTION SPORT EN AQUITAINE - APIS"/>
        <s v="MIGRATIONS CULTURELLES AQUITAINE - AFRIQUES (MC2A) "/>
        <s v="ASSOCIATION DU LIEN INTERCULTUREL FAMILIAL ET SOCIAL - ALIFS"/>
        <s v="BORDEAUX BASTIDE BASKET"/>
        <s v="MANA"/>
        <s v="GROUPEMENT D'INTERET PUBLIC DE LA REUSSITE EDUCATIVE DE BORDEAUX"/>
        <s v="QUATUORS A BORDEAUX"/>
        <s v="FORUM AVIGNON"/>
        <s v="TRANSFERT"/>
        <s v="CIE LE SOLEIL BLEU"/>
        <s v="PROMO-FEMMES SAINT MICHEL"/>
        <s v="ENSEMBLE PYGMALION"/>
        <s v="BANQUE ALIMENTAIRE DE BORDEAUX ET DE LA GIRONDE"/>
        <s v="ANPAA - ASSOCIATION NATIONALE DE PREVENTION EN ALCOOLOGIE ET EN ADDICTOLOGIE"/>
        <s v="BORDEAUX GIRONDE HOCKEY SUR GLACE"/>
        <s v="CENTRE D'ACCUEIL D'INFORMATION ET D'ORIENTATION - CAIO"/>
        <s v="DIACONAT DE BORDEAUX"/>
        <s v="RESEAU AQUITAIN DEVELOPPEMENT SOLIDARITE INTERNATIONALE"/>
        <s v="LES JARDINS D'AUJOURD'HUI"/>
        <s v="MASCARETS"/>
        <s v="URBAN VIBRATIONS SCHOOL"/>
        <s v="BORDEAUX SPORTS DE GLACE"/>
        <s v="COLLECTIF DE RESSOURCES BORDEAUX-NORD"/>
        <s v="ASSOCIATION SPORTIVE CHARLES MARTIN - USEP"/>
        <s v="ASSOCIATION FAMILIALE LAIQUE DE BORDEAUX NORD - AFL"/>
        <s v="ECLATS"/>
        <s v="ORGAN PHANTOM "/>
        <s v="ASSOCIATION POUR UNE EDUCATION BUISSONNIERE"/>
        <s v="INSTITUT FRANCAIS"/>
        <s v="TRAFIC"/>
        <s v="IPPO (INFORMATION, PREVENTION, PROXIMITE, ORIENTATION)"/>
        <s v="COMPAGNIE REVOLUTION DANCE"/>
        <s v="L'EPICERIE"/>
        <s v="LE SPORTING-CLUB DE LA BASTIDIENNE "/>
        <s v="ZEBRA 3"/>
        <s v="LE KIOSQUE CULTURE"/>
        <s v="OUVRE LE CHIEN (DANS L'IMMEDIAT)"/>
        <s v="ACADEMIE YOUNUS "/>
        <s v="ACINQBYS_ESPACE 29 A5BIS"/>
        <s v="LA BOITE A JOUER"/>
        <s v="RACING CLUB DE BORDEAUX METROPOLE"/>
        <s v="BORDEAUX ENTREPRENEURS"/>
        <s v="VENUS"/>
        <s v="POLE MAGNETIC"/>
        <s v="AQUINUM - ASSOCIATION DES PROFESSIONNELS DU NUMERIQUE EN AQUITAINE"/>
        <s v="BORDEAUX SERVICE SOLIDARITE"/>
        <s v="INCUBATEUR AU FEMININ BORDEAUX AQUITAINE"/>
        <s v="O SOL DE PORTUGAL"/>
        <s v="CENTRE JEAN VIGO EVENEMENTS"/>
        <s v="COMITE D'ETUDE ET D'INFORMATION SUR DROGUE (PREV. ET TRAITEMENT TOXICOMANIES ET AUTRES ADDICTIONS)"/>
        <s v="AIM ACTIONS INTER MEDIATION"/>
        <s v="UNION SPORTIVE JEUNES DE SAINT-AUGUSTIN - CLUB PYRENEES-AQUITAINE (US JSA-CPA)"/>
        <s v="9-33"/>
        <s v="CIRQUE ECLAIR ECOLE CIRQUE D'AQUITAINE"/>
        <s v="SURF INSERTION"/>
        <s v="LE KFE DES FAMILLES"/>
        <s v="MONOQUINI"/>
        <s v="COMPAGNIE PAUL LES OISEAUX"/>
        <s v="COMPAGNIE THEATRE L'OEIL DE LA LUCARNE"/>
        <s v="N'A QU'UN OEIL"/>
        <s v="YAKAFAUCON"/>
        <s v="SOCIETE ARCHEOLOGIQUE DE BORDEAUX"/>
        <s v="LYCEE PROFESSIONNEL JEHAN DUPERIER"/>
        <s v="COMPAGNONS BATISSEURS AQUITAINE"/>
        <s v="FEDERATION DES SOCIETES CARNAVALESQUES DE L'AGGLOMERATION BORDELAISE"/>
        <s v="GROUPE ANAMORPHOSE"/>
        <s v="L'ATELIER REMUMENAGE"/>
        <s v="LYCEE VITICOLE-CFPPA CHATEAU DILLON (EPLEFPA)"/>
        <s v="CLUB DES ENTREPRISES DE BORDEAUX"/>
        <s v="ASSOCIATION DE SOUTIEN AUX INVENTIONS LIBRES (ASIL)"/>
        <s v="FAMILLES EN GIRONDE - FEDERATION DE LA GIRONDE"/>
        <s v="ASSOCIATION ALCHIMIST"/>
        <s v="AMOS"/>
        <s v="BRUIT DU FRIGO"/>
        <s v="CARTOONING FOR PEACE"/>
        <s v="CONSEIL DEPARTEMENTAL DES ASSOCIATIONS FAMILIALES LAIQUES DE LA GIRONDE - CDAFAL 33"/>
        <s v="ENTREPRISE INTERMEDIAIRE DE PRODUCTION ET DE FORMATION - EIPF"/>
        <s v="FONDS REGIONAL D'ART CONTEMPORAIN - COLLECTION AQUITAINE"/>
        <s v="LA FABRIQUE POLA"/>
        <s v="UNION DEPARTEMENTALE DES CADRES DE LA GIRONDE"/>
        <s v="CENTRE SOCIAL BAGATELLE DISPENSAIRE DE BAGATELLE"/>
        <s v="ENTR-AUTRES"/>
        <s v="MAISON DES ADOLESCENTS DE LA GIRONDE"/>
        <s v="BORDEAUX ROCK"/>
        <s v="EINSTEIN ON THE BEACH"/>
        <s v="ITINERAIRES DES PHOTOGRAPHES VOYAGEURS"/>
        <s v="LE 308"/>
        <s v="LES LEOPARDS DE GUYENNE"/>
        <s v="OPERA PAGAI"/>
        <s v="BORDEAUX ATHLETIC CLUB "/>
        <s v="ENVOL D'AQUITAINE "/>
        <s v="LA COMA"/>
        <s v="YAWATA ASSOCIATION DES ECHANGES DE PROCEDES ARTISTIQUES"/>
        <s v="INSTITUT D'ETUDES POLITIQUES SCIENCES PO"/>
        <s v="AQUITEC"/>
        <s v="INFODROITS"/>
        <s v="MAISON DE L'INITIATIVE ET DE L'ENTREPRENEURIAT - MIE"/>
        <s v="TRAVAUX PUBLICS COMPAGNIE"/>
        <s v="LE 4 DE BORDEAUX"/>
        <s v="CENTRE CULTUREL ET D'ANIMATION DES JEUNES - YAVNE"/>
        <s v="BOXING CLUB BORDELAIS"/>
        <s v="CENTRE DE PREVENTION ET DE LOISIRS DES JEUNES DE BORDEAUX - CPLJ Bordeaux"/>
        <s v="LETTRES DU MONDE"/>
        <s v="COMPAGNIE PRESENCE MICHEL CAHUZAC"/>
        <s v="COULEURS GARONNE"/>
        <s v="AMIS DE L'ORCHESTRE D'HARMONIE DE BORDEAUX"/>
        <s v="AIR ROLLER (ATTENTION INERTIE RENOUVELABLE)"/>
        <s v="ASSOCIATION DES COMMERCANTS ET RIVERAINS DU QUARTIER VICTOIRE"/>
        <s v="COLLECTIF OS'O"/>
        <s v="CONTRÔLE Z AQUITAINE"/>
        <s v="CHAMBRE DES METIERS DE LA GIRONDE"/>
        <s v="JEUNES SCIENCE BORDEAUX"/>
        <s v="ACIDD, ASSOCIATION COMMUNICATION ET INFORMATION POUR LE DEVELOPPEMENT DURABLE"/>
        <s v="ASSOCIATION EMMAUS AQUITAINE BORDEAUX FONDATEUR ABBE PIERRE"/>
        <s v="CENTRE D'ACTION ET DE PREVENTION CONTRE LA RADICALISATION LIEE A L'ISLAMISME (CAPRI)"/>
        <s v="CENTRE RENCONTRES ACTION CULTURELLE BEGLES-CREAC"/>
        <s v="DISPARATE"/>
        <s v="IUFN"/>
        <s v="L'OUMIGMAG"/>
        <s v="MOUVEMENT ATD QUART MONDE"/>
        <s v="NEW BASKET ATTITUDE"/>
        <s v="PERMANENCES DE LA LITTERATURE"/>
        <s v="PROXIMA CENTAURI"/>
        <s v="RESEAU ENTREPRENDRE AQUITAINE"/>
        <s v="RESTAURANTS DU COEUR - RELAIS DU COEUR DE LA GIRONDE"/>
        <s v="SOCIETE PHILOMATHIQUE DE BORDEAUX"/>
        <s v="STADE BASTIDE BORDEAUX BENAUGE - S3B"/>
        <s v="TERRE ET OCEAN"/>
        <s v="SEW &amp; LAINE"/>
        <s v="ARESVI"/>
        <s v="RICOCHET SONORE"/>
        <s v="CULTURES DU COEUR GIRONDE"/>
        <s v="RECHERCHES ET SOLIDARITES"/>
        <s v="DROP DE BETON"/>
        <s v="LES VIVRES DE L'ART"/>
        <s v="SOCIETE DE SAINT-VINCENT-DE-PAUL - CONSEIL DEPARTEMENTAL DE LA GIRONDE"/>
        <s v="ASSOCIATION DES COMMERCANTS DE CAUDERAN SAINT AMAND"/>
        <s v="INSTITUT FRANCAIS DE GEORGIE"/>
        <s v="L'AGENCE CREATIVE"/>
        <s v="LA FLECHE DE BORDEAUX "/>
        <s v="LES P'TITS GRATTEURS"/>
        <s v="LIGUE INTERNATIONALE CONTRE LE RACISME ET L'ANTISEMITISME - SECTION BORDEAUX &amp; GIRONDE - LICRA"/>
        <s v="ZEKI"/>
        <s v="ASSOCIATION DES BROCANTEURS DES CHARTRONS - ABC"/>
        <s v="CLUB SERVICES 33"/>
        <s v="LANGUES EN SCÈNE"/>
        <s v="AMICALE DES PARENTS D'ELEVES DE L'ECOLE STEHELIN"/>
        <s v="BORDEAUX CHANSON"/>
        <s v="ASSOCIATION DES COMMERCANTS &quot;BARRIERE DE PESSAC&quot; BORDEAUX-TALENCE"/>
        <s v="HOCKEY GARONNE SPORT"/>
        <s v="VILLAGE DE LA GROSSE CLOCHE"/>
        <s v="CENTRE DE VOILE DE BORDEAUX-LAC"/>
        <s v="BORDEAUX ACCUEILLE"/>
        <s v="COMITE REGIONAL UFOLEP AQUITAINE"/>
        <s v="COMPAGNIE DES LUBIES"/>
        <s v="CRYPSUM"/>
        <s v="DEFI"/>
        <s v="L'ENVERS"/>
        <s v="LA COMPAGNIE BOUGRELAS"/>
        <s v="LE COKTAIL"/>
        <s v="THEATRE POPULAIRE JOB"/>
        <s v="UNION DEPARTEMENTALE DES ASSOCIATIONS DE COMBATTANTS ET VICTIMES DE GUERRE DE LA GIRONDE (UDAC)"/>
        <s v="APSARAS"/>
        <s v="DANSE AVEC NOUS"/>
        <s v="MONTS ET MERVEILLES"/>
        <s v="UNION BORDEAUX NORD DES ASSOCIATIONS DE PREVENTION SPECIALISEE"/>
        <s v="ACADEMIE DES SCIENCES, BELLES LETTRES ET ARTS DE BORDEAUX"/>
        <s v="GRAND PORT MARITIME DE BORDEAUX"/>
        <s v="AQUITAINE ACTIVE"/>
        <s v="LE GIROFARD"/>
        <s v="ASSOCIATION DES COMMERCANTS DE SAINT-AUGUSTIN"/>
        <s v="KAN-KRA TEAM"/>
        <s v="CALK - COMITE D'ANIMATION LAFONTAINE KLEBER"/>
        <s v="RECUP'R"/>
        <s v="ASSOCIATION RENAISSANCE DES CITES D'EUROPE"/>
        <s v="BORDEAUX OPEN AIR"/>
        <s v="CENTRE D'INFORMATION SUR LES DROITS DES FEMMES ET DES FAMILLES DE LA GIRONDE"/>
        <s v="CENTRE REGIONAL D'ECO-ENERGETIQUE D'AQUITAINE - CREAQ"/>
        <s v="IMPACTS AQUITAINE"/>
        <s v="LA TIERCE"/>
        <s v="LOGEA"/>
        <s v="FOYER SOCIO-EDUCATIF HORTICOLE"/>
        <s v="VIVRE A CAUDERAN"/>
        <s v="UNION DEPARTEMENTALE CONSOMMATION LOGEMENT ET CADRE DE VIE"/>
        <s v="ACTIMAGE"/>
        <s v="LES CAPRICES DE MARIANNE"/>
        <s v="TOMBES DU CIEL"/>
        <s v="TUTTI"/>
        <s v="VERY CHEAP PRODUCTION"/>
        <s v="LE FESTIN "/>
        <s v="RUE BOUFFARD - ASSOCIATION DES COMMERCANTS"/>
        <s v="UNION FRANCAISE SANTE BUCCO-DENTAIRE 33"/>
        <s v="AGENCE LOCALE DE L'ENERGIE ET DU CLIMAT (ALEC)"/>
        <s v="CLAP SUD OUEST"/>
        <s v="COMPAGNIE FOND VERT"/>
        <s v="COMPAGNIE LE GRAIN"/>
        <s v="J'ADORE CE QUE VOUS FAITES"/>
        <s v="LA CHIFFONE RIT"/>
        <s v="LA MAISON DES FAMILLES DE BORDEAUX"/>
        <s v="LES FEES PAPILLONS"/>
        <s v="MAISON DES FEMMES DE BORDEAUX"/>
        <s v="MANDORA"/>
        <s v="RENAISSANCE DE L'ORGUE A BORDEAUX"/>
        <s v="ASSOCIATION JUDAIQUE ST SEURIN"/>
        <s v="CDANSLABOITE"/>
        <s v="ASSOCIATION DES COMMERCANTS DU GRAND PARC"/>
        <s v="AIDES AQUITAINE"/>
        <s v="ASSOCIATION CULTURELLE DU MARCHE DES CHARTRONS"/>
        <s v="GRANDIR ENSEMBLE"/>
        <s v="MERCI GERTRUDE"/>
        <s v="VELO CITE"/>
        <s v="ACCOMPAGNEMENT PSYCHOLOGIQUE ET MEDIATION INTERCULTURELLE - AMI"/>
        <s v="ADORA"/>
        <s v="AGORA DES ARTS"/>
        <s v="ASSOCIATION DU PATRIMOINE ISRAELITE D'AQUITAINE"/>
        <s v="ASSOCIATION GENERATION DUPATY"/>
        <s v="ASSOCIATION OXYGENE"/>
        <s v="BOXING CLUB ALAMELE"/>
        <s v="CLUB REGIONAL DES ENTREPRISES POUR L'INSERTION DE GIRONDE"/>
        <s v="COMPAGNIE HORS SÉRIE"/>
        <s v="CROUS DE BORDEAUX (CENTRE REGIONAL DES OEUVRES UNIVERSITAIRES ET SCOLAIRES)"/>
        <s v="FEDERATION FRANCAISE D'ATHLETISME"/>
        <s v="GUYENNE HANDI-NAGES"/>
        <s v="LE DESSOUS DES BALANCOIRES"/>
        <s v="LE PAIN DE L'AMITIE"/>
        <s v="LES DISQUES DU FENNEC"/>
        <s v="MAISON DE SANTE PROTESTANTE DE BORDEAUX BAGATELLE"/>
        <s v="UNIVERSITE SCIENCES TECHNOLOGIES LILLE 1 - CUEEP"/>
        <s v="WIMOOV"/>
        <s v="BORDEAUX METROPOLE"/>
        <s v="ASSOCIATION DES COMMERCANTS DE LA BARRIERE JUDAIQUE"/>
        <s v="ASPOM JUDO CLUB"/>
        <s v="ASSOCIATION DES COMMERCANTS DU CENTRE COMMERCIAL MERIADECK"/>
        <s v="LE LABO, REVELATEUR D'IMAGES"/>
        <s v="ASSOCIATION SPORTIVE DU GOLF DE BORDEAUX LAC"/>
        <s v="ATELIER D'ECO SOLIDAIRE"/>
        <s v="ACCORDERIE BORDEAUX SUD"/>
        <s v="ALLIANCE DEPARTEMENT 33, JUSQU'AU BOUT ACCOMPAGNER LA VIE..."/>
        <s v="EN ROUTE POUR TRAVAILLER"/>
        <s v="IMAGINA MUSIC"/>
        <s v="L'ESPRIT DU PIANO"/>
        <s v="LA TRIBALE DEMARCHE"/>
        <s v="LUDOLUDIK"/>
        <s v="MAM LES LUCIOLES"/>
        <s v="ASSOCIATION DES COMMERCANTS DE LA RUE DES REMPARTS"/>
        <s v="ASSOCIATION DES EXPLOITANTS DU CENTRE COMMERCIAL QUAI DES MARQUES"/>
        <s v="SAINT CHRISTOLY GIE"/>
        <s v="Ô PLAFOND Entreprises"/>
        <s v="FOOT BALL CLUB BORDEAUX AQUITAINE 33"/>
        <s v="ASSOCIATION DES ECLAIREUSES ET ECLAIREURS DE FRANCE - REGION AQUITAINE"/>
        <s v="AMICALE DES LOCATAIRES DU PORT DE LA LUNE"/>
        <s v="AR'KHAN"/>
        <s v="ASSOCIATION DE GESTION DES CENTRES PSYCHANALYTIQUES DE CONSULTATIONS ET DE TRAITEMENT (CPCT)"/>
        <s v="ASSOCIATION DE SOLIDARITE AVEC TOUS LES IMMIGRES - BORDEAUX (ASTI BORDEAUX)"/>
        <s v="ASSOCIATION DES COMMERÇANTS DU QUARTIER SAINT MICHEL AUTOUR DE LA FLECHE"/>
        <s v="ASSOCIATION LES CREANTS"/>
        <s v="ASSOCIATION SPORT EMPLOI"/>
        <s v="BORDEAUX-BASTIDE-ESCRIME"/>
        <s v="BREV’ART "/>
        <s v="DATCHA"/>
        <s v="DRISSE"/>
        <s v="ECOM33"/>
        <s v="ELLIPTIQUE DYNAMO"/>
        <s v="EQUIPE SAINT VINCENT BORDEAUX CENTRE"/>
        <s v="GROUPE 33"/>
        <s v="JEUNES MUSULMANS DE LA GIRONDE - JMG"/>
        <s v="L'ATELIER DES BAINS DOUCHES"/>
        <s v="LE QUAI AUX LIVRES"/>
        <s v="LES AMIS DU GRAND THEATRE - OPERA DE BORDEAUX"/>
        <s v="MA PTITE MAM ECOLO"/>
        <s v="MOUVEMENT AUTONOME DE DETOURNEMENT EURISTIQUE (MADE)"/>
        <s v="MOUVEMENT DU 8 OCTOBRE"/>
        <s v="NOS REVES PRODUCTIONS"/>
        <s v="OLA"/>
        <s v="PLUME PALETTE"/>
        <s v="SKIN JACKIN BORDEAUX"/>
        <s v="SUR MESURE"/>
        <s v="UNISPHERES"/>
        <s v="COMMERCANTS DU VILLAGE NANSOUTY"/>
        <s v="POMME D'API"/>
        <s v="BORDEAUX MARITIME SAUVETAGE &amp; SECOURISME - BM2S"/>
        <s v="SAINT AUGUSTIN 2015"/>
        <s v="ASSOCIATION BORDEAUX-COMPOSTELLE HOSPITALITE SAINT-JACQUES"/>
        <s v="ASSOCIATION PROMOTION DU GRAND SAINT-MICHEL"/>
        <s v="BASTIDE BENAUGE FUTSAL"/>
        <s v="COMPAGNIE DES LIMBES"/>
        <s v="ESPRIT DE QUARTIER"/>
        <s v="LA CHEVRE NOIRE"/>
        <s v="SCRIPT"/>
        <s v="UNION SPORTIVE VILLENAVAISE CYCLISME"/>
        <s v="UNIVERSITE DE BORDEAUX"/>
        <s v="VOLONTAIRES BORDEAUX 98"/>
        <s v="JEUNE CHAMBRE ECONOMIQUE DE BORDEAUX"/>
        <s v="ASSOCIATION BORDEAUX GAMES"/>
        <s v="ASSOCIATION DES PARALYSES DE FRANCE - APF"/>
        <s v="BORDEAUX-GIRONDE-QUEBEC"/>
        <s v="LA CABANE A GRATTER"/>
        <s v="AMIS DE L'HOTEL DE LALANDE"/>
        <s v="ASSOCIATION DEPARTEMENTALE POUR INFORMATION AU LOGEMENT 33 - ADIL33"/>
        <s v="A PETIT PAS"/>
        <s v="APPRENTISSA'JEU"/>
        <s v="ASSOCIATION DES COMMERCANTS ET ARTISANS LES BERGES DU LAC"/>
        <s v="ASSOCIATION L'ALTERNATIVE-KOUABO"/>
        <s v="ASSOCIATION NATIONALE DES JEUNES ENTREPRENEURS D AQUITAINE"/>
        <s v="ASSOCIATION NATIONALE LE REFUGE"/>
        <s v="ASSOCIATION PETRONILLE"/>
        <s v="ASSOCIATION RAYMONDE ROUSSELLE"/>
        <s v="BACALAN TENNIS CLUB - BTC"/>
        <s v="BADMINTON CLUB BARBEY"/>
        <s v="BORDEAUX FOOTBALL AMERICAIN - LES LIONS DE BORDEAUX"/>
        <s v="CATHEDRA"/>
        <s v="CIE L'ESPECE FABULATRICE"/>
        <s v="CIMADE - SERVICE OECUMENIQUE D'ENTRAIDE"/>
        <s v="CLUB ALPIN FRANCAIS DE BORDEAUX"/>
        <s v="COMPAGNIE BIVOUAC"/>
        <s v="COMPAGNIE ILLICITE FABIO LOPEZ"/>
        <s v="COMPAGNIE REG'ART"/>
        <s v="D'ASQUES ET D'AILLEURS"/>
        <s v="DOCUMENTS D'ARTISTES"/>
        <s v="ENSEMBLE VOCAL SAGITTARIUS"/>
        <s v="EURROM"/>
        <s v="FENETRE SUR RUE"/>
        <s v="FRANCE BENEVOLAT BORDEAUX GIRONDE"/>
        <s v="HABITAT ET HUMANISME GIRONDE - HH33"/>
        <s v="INCITE - BORDEAUX CUB"/>
        <s v="INFO SECTES AQUITAINE"/>
        <s v="JE CHERCHE UN JOB"/>
        <s v="JUDO CLUB BACALANAIS"/>
        <s v="L'ART HACHE SCENE"/>
        <s v="L'ILE AUX OURSONS"/>
        <s v="LA BOITE A SEL"/>
        <s v="LA MAISON DU DIABETE ET DE LA NUTRITION"/>
        <s v="LA NUIT VENUE"/>
        <s v="LA PETITE PALUCHE"/>
        <s v="LES GINKOBILOBIENS"/>
        <s v="LES SURPRISES"/>
        <s v="LIGUE DE L'ENSEIGNEMENT"/>
        <s v="MEDECINS DU MONDE"/>
        <s v="POINT DE FUITE"/>
        <s v="SACREE MARMAILLE"/>
        <s v="TENNIS CLUB BORDEAUX BASTIDE"/>
        <s v="TIMELESS BALLET"/>
        <s v="VIVRE AVEC - SOLIDARITES INTERGENERATIONNELLES"/>
        <s v="ASSOCIATION DU PARC D'ACTIVITE DE BORDEAUX NORD"/>
        <s v="GENERATIONS TAUZIN"/>
        <s v="LES PETITS FRERES DES PAUVRES DE BORDEAUX"/>
        <s v="AQUITAINE CULTURE"/>
        <s v="ASSOCIATION DES COMMERCANTS RUE VOLTAIRE"/>
        <s v="COMMERCANTS DE LA RUE DU TEMPLE"/>
        <s v="AMICALE LAIQUE BORDEAUX CENTRE"/>
        <s v="AQUITAINE PARTAGE"/>
        <s v="ASSOCIATION HABILITEE DES JEUNES SAPEURS POMPIERS DE LA BENAUGE"/>
        <s v="ASSOCIATION PALLIA PLUS"/>
        <s v="ASSOCIATION POUR L'ETUDE ET LA PREVENTION DU SUICIDE EN AQUITAINE"/>
        <s v="BE WELL"/>
        <s v="BORDEAUX BASTIDE BOXE"/>
        <s v="BORDEAUX CRITERIUM CYCLISTE INTERNATIONAL - BCCI"/>
        <s v="CERCLE ARTISTIQUE SAINT AUGUSTIN (CASA)"/>
        <s v="COLLECTIF INTERASSOCIATIF SANTE AQUITAINE (CISSA)"/>
        <s v="GROUPEMENT POUR L'INSERTION DES HANDICAPES PHYSIQUES D'AQUITAINE - GIHP AQUITAINE"/>
        <s v="INSTANT LIBRE"/>
        <s v="LA COMPAGNIE DES PETITES SECOUSSES"/>
        <s v="LA PREVENTION ROUTIERE"/>
        <s v="LES AMIS DE SUPERCOOP"/>
        <s v="MEDIATHEQUE DES MALADES DES HOPITAUX DE BORDEAUX"/>
        <s v="MOI NON PLUS"/>
        <s v="ORIGAMI"/>
        <s v="OZIMAGES"/>
        <s v="PHENIX ECOUTE ET PAROLES"/>
        <s v="SOCIETE D'HORTICULTURE, D'ARBORICULTURE ET DE VITICULTURE DE CAUDERAN"/>
        <s v="SOS AMITIE - REGION DE BORDEAUX AQUITAINE"/>
        <s v="UNION DEPARTEMENTALE DE LA CONFEDERATION SYNDICALE DES FAMILLES EN GIRONDE"/>
        <s v="USEP ELEMENTAIRE FLORNOY"/>
        <s v="ACTIFS 33"/>
        <s v="COLLECTIF MIXERATUM ERGO SUM"/>
        <s v="LES ECHOS DU LAC"/>
        <s v="EXTRA"/>
        <s v="TOOBORDO"/>
        <s v="ASSOCIATION DES COMMERCANTS DE LA RUE SAINT-SERNIN"/>
        <s v="COMPAGNONS DU TOUR FRANCE DES DEVOIRS UNIS"/>
        <s v="DROLE DE SCENE"/>
        <s v="SOCIETE DES MEILLEURS OUVRIERS DE FRANCE GROUPE DE LA GIRONDE"/>
        <s v="ASSOCIATION DE LA RUE NOTRE DAME DES CHARTRONS"/>
        <s v="ASSOCIATION DES COMMERCANTS DE LA RUE JJ ROUSSEAU"/>
        <s v="A PART ENTIERE"/>
        <s v="AIDE AUX AIDANTS DU PAVILLON"/>
        <s v="AIKIDO BORDEAUX BASTIDE"/>
        <s v="AMIS D'ARS ET FIDES BORDEAUX"/>
        <s v="ASSOCIATION COEXISTER"/>
        <s v="ASSOCIATION ESPACE 33"/>
        <s v="ASSOCIATION NATIONALE DES AMIS DE JEAN MOULIN"/>
        <s v="AUTISME GIRONDE"/>
        <s v="CAMPE"/>
        <s v="CENTRE ACCUEIL CONSULTATION INFORMATION SEXUALITE"/>
        <s v="CHANTIERS TRAMASSET"/>
        <s v="COLLEGE JACQUES ELLUL"/>
        <s v="COMITE DE BIENFAISANCE ET DE DEFENSE DES INTERETS DU QUARTIER CAUDERAN-SUD"/>
        <s v="COMPAGNIE JEANNE SIMONE"/>
        <s v="CORP'ART FRANCE"/>
        <s v="ENTENTE DES GENERATIONS POUR L’EMPLOI ET L’ENTREPRISE - EGEE"/>
        <s v="FEDERATION NATIONALE DES ANCIENS DES FORCES FRANCAISES EN ALLEMAGNE ET EN AUTRICHE"/>
        <s v="FEDERATION SOS RACISME GIRONDE-AQUITAINE"/>
        <s v="FONDAUDEGEMENT VOTRE"/>
        <s v="KINO SESSION"/>
        <s v="L'AGENCE DE GEOGRAPHIE AFFECTIVE"/>
        <s v="L'AUBERGE MUSICALE"/>
        <s v="LA CHAMBRE BLEUE"/>
        <s v="LA GROSSE SITUATION"/>
        <s v="LA MANNE EUROPE"/>
        <s v="LA MARGE ROUSSE"/>
        <s v="LA RESERVE"/>
        <s v="MEMOIRES ET PARTAGES"/>
        <s v="MOUVEMENT FRANCAIS POUR LE PLANNING FAMILIAL - ASSOCIATION DEPARTEMENTALE DE LA GIRONDE"/>
        <s v="OBSERVATOIRE DE L'IMMOBILIER D'ENTREPRISE BX METROPOLE"/>
        <s v="PENSION DE FAMILLE"/>
        <s v="RESEAU D'ECHANGES INTERCULTURELS"/>
        <s v="RUELLE (RELAIS URBAIN D'ECHANGES ET DE LUTTE CONTRE L'EXPLOITATION)"/>
        <s v="SAVATE BOXE FRANÇAISE DE BORDEAUX - SBFB"/>
        <s v="SCELMAA SOUTIEN, CULTURE ET LOISIRS DES MAGHREBINS, ALGERIENS EN AQUITAINE"/>
        <s v="SMART COMPAGNIE"/>
        <s v="SOCIETE HISTORIQUE DE BORDEAUX"/>
        <s v="SURFRIDER FOUNDATION EUROPE SIEGE"/>
        <s v="SWINGTIME BORDEAUX"/>
        <s v="THEATRE EN MIETTES"/>
        <s v="UNION LIBRE 2016"/>
        <s v="60 000 REBONDS"/>
        <s v="GEOCACHING ET TOURISME EN AQUITAINE"/>
        <s v="LES AMIS DE SAINTE GENEVIEVE (ASG)"/>
        <s v="MAISON CULTURELLE COREENNE DE BORDEAUX"/>
        <s v="PART-AGE"/>
        <s v="COMMERCANTS, DES RIVERAINS ET SYMPATISANTS DU QUARTIER GAMBETTA"/>
        <s v="ASSOPOURQUOIPAS33 "/>
        <s v="CLUB DES PARISIENS DE BORDEAUX"/>
        <s v="L'AIGLON CENTRE DE JEUNESSE"/>
        <s v="MAITRISE DE BX PETITS CHANTEURS DE BORDEAUX"/>
        <s v="PAUPIETTE"/>
        <s v="COMITE DE QUARTIER BRACH VINCENNES"/>
        <s v="COMITE DES FETES ET DE BIENFAIS. DU QUARTIER NANSOUTY"/>
        <s v="INSTITUT DON BOSCO"/>
        <s v="ECHANGE NORD-SUD"/>
        <s v="ADRIA"/>
        <s v="AFRICAFRANCE"/>
        <s v="APEC (33PASSAJE )"/>
        <s v="ASSOCIATION DES COMMERCANTS ET ARTISANS DU QUARTIER REPUBLIQUE"/>
        <s v="ASSOCIATION DES COMMERCANTS ORNANO - GAVINIES - St VICTOR"/>
        <s v="ASSOCIATION POUR L'ANIMATION ET LES LOISIRS DES PERSONNES AGEES - APALPA"/>
        <s v="ASSOCIATION PRENDRE SOIN DU LIEN - APSL"/>
        <s v="ASSOCIATION SPORTIVE DES SOURDS DE BORDEAUX - ASSB 33"/>
        <s v="BETTY BLUES THEATRE ET MUSIQUE"/>
        <s v="BORDEAUX 5 DE COEUR"/>
        <s v="CIE COIN TRANQUILLE-MANUELLA AZEVEDO"/>
        <s v="CLUB D'ENTREPRISES MERIADECK"/>
        <s v="COMITE DE QUARTIER MARECHAUX/POINCARE"/>
        <s v="COOP ALPHA COOPERATIVE D'ACTIVITES ET D'EMPLOI 33"/>
        <s v="COUP DE POUCE AVENIR"/>
        <s v="GROUPEMENT DES INTELLECTUELS, AVEUGLES OU AMBLYOPES"/>
        <s v="IDEE D'ENSEMBLE"/>
        <s v="INSTITUT DES AFRIQUES"/>
        <s v="L'OUVRE BOITE"/>
        <s v="LE CAFE HISTORIQUE"/>
        <s v="LES JOURNEES DE LA NUTRITION - JDLN"/>
        <s v="MAISON DUPEUX"/>
        <s v="OGEC SAINTE THERESE"/>
        <s v="PETITES SOEURS DES PAUVRES"/>
        <s v="R'2 JEUX (RECYCLAGE DE JEUX)"/>
        <s v="SOLIDARITE BAYTI"/>
        <s v="UNION DEPARTEMENTALE DES ASSOCIATIONS FAMILIALES - UDAF"/>
        <s v="UNION REGIONALE DES INGENIEURS ET DES SCIENTIFIQUES D'AQUITAINE - URISA"/>
        <s v="ENQUETE"/>
        <s v="CONTACT AQUITAINE"/>
        <s v="CENTRE DE RESSOURCES D'ECOLOGIE PEDAGOGIQUE D'AQUITAINE - CREPAQ"/>
        <s v="COMITE GIRONDIN D'ORGANISATION DU CONCOURS UN DES MEILLEURS OUVRIERS DE FRANCE"/>
        <s v="USEP ECOLE PRIMAIRE LAC 1"/>
        <s v="DES JARDINS, DES VOISINS"/>
        <s v="DUENDE ANDALUZ"/>
        <s v="LA BELLE ESTAMPE"/>
        <s v="LES COLCHIQUES DE CONDORCET"/>
        <s v="CALIXTE COEUR DE BASTIDE"/>
        <s v="5UN7"/>
        <s v="AMADEUS"/>
        <s v="AMICALE DES ANCIENS DE LA LEGION ETRANGERE"/>
        <s v="AMICALE DU PATRONAGE LAIQUE ET DU CONSEIL DE PARENTS D'ELEVES DU GROUPE SCOLAIRE NUYENS"/>
        <s v="ARTS MARTIAUX SHAOLIN BORDEAUX"/>
        <s v="ASSOCIATION DES AUDITEURS INSTITUT HAUTES ETUDES DEFENSE NATIONALE REGION AQUITAINE - AQUI IHEDN"/>
        <s v="ASSOCIATION POUR LA CONNAISSANCE DU MONDE VEGETAL"/>
        <s v="ASSOCIATION REFEED"/>
        <s v="ASSOCIATION SPORTIVE DU BARREAU DE BORDEAUX"/>
        <s v="BORDEAUX BRIDGE CLUB ESPRIT DES LOIS"/>
        <s v="BORDEAUX CITE TANGO BCT"/>
        <s v="BORDEAUX HANDISPORT TENNIS"/>
        <s v="BORDEAUX YOUNG BUSINESS CLUB - BYBC"/>
        <s v="CENTRE HA 32"/>
        <s v="CLUB PETANQUE GRAND PARC"/>
        <s v="COLLECTIF FETE DU JEU DE BORDEAUX"/>
        <s v="COMITE ANIMATION DU QUARTIER TONDU-CARREIRE"/>
        <s v="COMITE DE BIENFAISANCE ET DE DEFENSE DU QUARTIER SIMIOT"/>
        <s v="COMITE DEPARTEMENTAL OLYMPIQUE ET SPORTIF DE LA GIRONDE"/>
        <s v="COMITE DES FETES DE BACALAN, BLANQUI ET CLAVEAU"/>
        <s v="COMITE FEMININ GIRONDE POUR LA PREVENTION ET LE DEPISTAGE DES CANCERS"/>
        <s v="CONSERVATOIRE DE LA LANGUE RUSSE ET DE SES FETES TRADITIONNELLES"/>
        <s v="CREAF"/>
        <s v="CULTURE HORS LIMITES"/>
        <s v="ENSEMBLE ORCHESTRAL MOLTO ASSAI"/>
        <s v="ENSEMBLE VOCAL DE BORDEAUX"/>
        <s v="FEDERATION DES RADIOS ASSOCIATIVES DE LA GIRONDE - FEDERA 33"/>
        <s v="GIP CDAD 33"/>
        <s v="GROUPEMENT DE BORDEAUX DES ANCIENS PORTE-DRAPEAUX VOLONTAIRES REGION MILITAIRE DEFENSE AQUITAINE"/>
        <s v="INSTITUT DES CONDUITES ALIMENTAIRES (ICAL)"/>
        <s v="L'OVERGROUND"/>
        <s v="LE CRAYON PAPOTE"/>
        <s v="LES CLOWNS STETHOSCOPES"/>
        <s v="MAGIK'HOPITAL AQUITAINE"/>
        <s v="OGEC ECOLE SPECIA ST FERDINAND"/>
        <s v="OSONS, ICI ET MAINTENANT (OIM)"/>
        <s v="PARRAINAGE 33"/>
        <s v="PHILOSPHERES"/>
        <s v="POLAR EN CABANES - LES AMIS DE CHESTER HIMES EN AQUITAINE, A ARCACHON ET SUR LE BASSIN (ACHAAB)"/>
        <s v="SLAPZINE"/>
        <s v="STAGIAIRES ET ETUDIANTS AFRICAINS EN FRANCE"/>
        <s v="TOUT ART FAIRE"/>
        <s v="VELOPHONIE"/>
        <s v="DES LOUPS DANS LES MURS"/>
        <s v="ASSOCIATION DES COMMERCANTS DU CENTRE COMMERCIAL DES BASTIDES"/>
        <s v="CAMPUS CHARTRONS"/>
        <s v="LES CYRANOS"/>
        <s v="RECREATION INFORMATIQUE TECHNIQUE ARTS APPLIQUES"/>
        <s v="UNION REGIONALE D'AQUITAINE DE L'UNION EUROPEENNE FEMININE SECTION FRANÇAISE"/>
        <s v="OCCE DE LA GIRONDE"/>
        <s v="ASSOCIATION EKOLO[GEEK]"/>
        <s v="ASSOCIATION LE VILLAGE BORDEAUX SUD"/>
        <s v="ASSOCIATION SALAM ET RAHMA"/>
        <s v="BURDIGALA PHOTOS CLUB"/>
        <s v="CHANT LIBRE"/>
        <s v="CHANTE ECOLE"/>
        <s v="COLLECTIF DES ORGANISATIONS DE SOLIDARITE INTERNATIONALE ISSUES DES MIGRATIONS EN AQUITAINE (COSIM)"/>
        <s v="COLLECTIF PARENTS INDEPENDANTS COLLEGE EMILE COMBES BORDEAUX"/>
        <s v="FEDERATION REGIONALE DU SUD-OUEST DES CAMARADES DE COMBAT"/>
        <s v="INTENDANT DU LYCEE MICHEL MONTAIGNE"/>
        <s v="LA PORTE OUVERTE DE BORDEAUX"/>
        <s v="LE CHOEUR DES ECLUSES"/>
        <s v="LE CHOEUR MELUSINE"/>
        <s v="LES BLOUSES ROSES"/>
        <s v="LES FILS DU TONAIRES"/>
        <s v="MIX COLOR UNITED - M.C.U."/>
        <s v="MOUVEMENT ETUDIANT REPUBLICAIN POUR LE DEBAT ET L'ENGAGEMENT"/>
        <s v="PETANQUE REPUBLIQUE"/>
        <s v="RUGBYTOTS"/>
        <s v="VIVONS LA BASTIDE"/>
        <s v="AMIS D'ICI ET D'AILLEURS"/>
        <s v="ASSOCIATION RHIN ET DANUBE ANCIENS DE LA PREMIERE ARMEE FRANCAISE DU DEPARTEMENT DE LA GIRONDE"/>
        <s v="COMITE DE L'ACCOMPAGNEMENT DE L'URBANISME, DEFENSE ENVIRONNEMENT ET RESPECT DE LA SECURITE-CAUDERES"/>
        <s v="COMITE DEPARTEMENTAL DE L'ASSOCIATION DE DEFENSE DES MALADES INVALIDES ET HANDICAPES"/>
        <s v="FEDERATION DES ASSOCIATIONS FAMILIALES CATHOLIQUES - AFC"/>
        <s v="LIBER LANGUE CULTURE CREATION"/>
        <s v="ASSOCIO ASSOCIATION DES ETUDIANTS EN SOCIOLOGIE DE L'UNIVERSITE VICTOR SEGALEN"/>
        <s v="CULTIV'ACTIONS"/>
        <s v="EUROFEEL"/>
        <s v="INTERNATIONAL CLUB OF BORDEAUX (ICB)"/>
        <s v="PEP'S BAND"/>
        <s v="UNION NATIONALE DES COMBATTANTS DE BORDEAUX-CAUDERAN-LE BOUSCAT (UNC)"/>
        <s v="S.A.D.I. QUARTIER BORDEAUX SAINT GENES"/>
        <s v="ASSOCIATION DEFENSE DES RESIDENTS DES QUARTIERS BORDEAUX METROPOLE"/>
        <s v="BORDEAUX ROLLERBLADING ASSOCIATION - BRA"/>
        <s v="LA CIGOGNE DES CAPUS"/>
        <s v="OMEGA ZELLES"/>
        <s v="OPTIMISATION MEMOIRE"/>
        <s v="RESTONS CALMES ! (DANS LA DIGNITE)"/>
        <s v="AMELIORATION DES CONDITIONS DE VIE DES ENFANTS ADOLESCENTS HOSPITALISES"/>
        <s v="A L EAU MUSIC"/>
        <s v="ADDAH 33"/>
        <s v="AGIR POUR UN COMMERE EQUITABLE ET SOLIDAIRE EN AQUITAINE - ACESA"/>
        <s v="AMBASSADE REGIONALE DES CONFRERIES DE PRODUITS DE TERROIR ET DU GOUT"/>
        <s v="AMICALE DES ANCIENS DES TROUPES DE MARINE DE BORDEAUX ET D'AQUITAINE"/>
        <s v="ASSOCIATION DES MEMBRES LA LEGION D'HONNEUR DECORES AU PERIL DE LEUR VIE SECTION AQUITAINE OUEST"/>
        <s v="ASSOCIATION POUR LA READAPTATION ET L'INTEGRATION - ARI"/>
        <s v="ASSOCIATION REGIONALE DES DIPLOMES D'UNIVERSITE D'AQUITAINE - ARDUA"/>
        <s v="ASSOCIATION SCOLAIRE ECOLE CONDORCET 33 (ASEC 33)"/>
        <s v="ASSOCIATION SPORTIVE COLLEGE EDOUARD VAILLANT"/>
        <s v="ASSOCIATION UNION NATIONALE DES COMBATTANTS DE BORDEAUX-CENTRE"/>
        <s v="BORDEAUX PIPE BAND"/>
        <s v="COLLECTIF BTP"/>
        <s v="COMITE DE QUARTIER DANGUILHEM-EMILE ZOLA-BARRIERE DE PESSAC"/>
        <s v="COMITE DES FETES DE BIENFAISANCE ET DES INTERETS DE ST-GENES TALENCE BORDEAUX"/>
        <s v="CONSEIL DEPARTEMENTAL DES PARENTS D'ELEVES DES ECOLES PUBLIQUES DE LA GIRONDE"/>
        <s v="DIZGUYS"/>
        <s v="EKLEKTIKK"/>
        <s v="ETUDIANTS MAROCAINS DE BORDEAUX - EMB"/>
        <s v="FEDE ALIENOR"/>
        <s v="FEMMES SOLIDAIRES DU LAC"/>
        <s v="FOYER SOCIO EDUCATIF SPORTIF COLLEGE BLANQUI"/>
        <s v="GENEPI - GROUPEMENT ETUDIANT NATIONAL D'ENSEIGNEMENT AUX PERSONNES INCARCEREES"/>
        <s v="GIRONDE INFIRMES MOTEURS CEREBRAUX"/>
        <s v="GROUPE D'ACCOMPAGNEMENTS ET DE LOISIRS ADAPTÉS"/>
        <s v="INCROYABLES COMESTIBLES BORDEAUX"/>
        <s v="L'A COSMOPOLITAINE « COSMODANCE »"/>
        <s v="L'ATELIER BUDGETAIRE"/>
        <s v="L'OUTIL EN MAIN DE LA GIRONDE"/>
        <s v="LA REVERB'"/>
        <s v="LE COURRIER DE BOVET"/>
        <s v="LES 13 LUNES"/>
        <s v="LES ARCHERS DE GUYENNE"/>
        <s v="LES BLESSES MULTIPLES ET IMPOTENTS DE GUERRE SECTION DE LA GIRONDE"/>
        <s v="LES JARDINS DE POINCARE"/>
        <s v="OBLIC SOLUTION"/>
        <s v="PETANQUE-CLUB DES TROIS"/>
        <s v="POKER SOURDS BORDEAUX"/>
        <s v="SOCIETE D'ENTRAIDE DE LA MEDAILLE MILITAIRE 12EME SECTION DE BORDEAUX"/>
        <s v="TRETEAUX DE GUYENNE"/>
        <s v="TRISOMIE 21 GIRONDE"/>
        <s v="UNION DES ASSOCIATIONS POUR UNE MAISON DES SOURDS UAMS 33"/>
        <s v="UNION NATIONALE DE FAMILLES ET AMIS DE PERSONNES MALADES"/>
        <s v="VIE ET TRAVAIL A BORDEAUX BACALAN"/>
        <s v="VIE LIBRE"/>
        <s v="LAC 2 SPORTS SCOLAIRES"/>
        <s v="ASSOCIATION DES PSYCHOLOGUES ETUDIANTS (APE)"/>
        <s v="ASSOCIATION POUR LA JEUNESSE, LES INITIATIVES ET LE RESEAU DE L'ENGAGEMENT - AJIRE"/>
        <s v="ASSOCIATION REPUBLICAINE DES ANCIENS COMBATTANTS ET VICTIMES DE LA GUERRE - ARAC"/>
        <s v="C'EST PAR ISIC (INSTIUT DES SCIENCES DE L'INFORMATION ET DE LA COMMUNICATION)"/>
        <s v="CROIX DE GUERRE ET VALEUR MILITAIRE"/>
        <s v="LE TERROIR"/>
        <s v="LYSIAS-BORDEAUX"/>
        <s v="U-TOPOS"/>
        <s v="UNION DEPARTEMENTALE DES SOUS-OFFICIERS EN RETRAITE DE LA GIRONDE (UDSOR)"/>
        <s v="UNION NATIONALE DES COMBATTANTS DE BORDEAUX RIVE-DROITE - UNC"/>
        <s v="ACCOMPAGNER CONDUIRE TRANSMETTRE - ACT"/>
        <s v="AMICALE DES PARACHUTISTES DU SUD-OUEST"/>
        <s v="ASSOCIATION DE DEFENSE DES INTERETS DU QUARTIER DE BACALAN - ADIQ"/>
        <s v="ASSOCIATION NATIONALE DES VISITEURS DE PRISON - ANVP"/>
        <s v="BORDEAUX OPERETTES"/>
        <s v="IMAD IBN ZIATEN POUR LA JEUNESSE ET LA PAIE"/>
        <s v="MAISON ACCUEIL ET INFORMATION 33"/>
        <s v="SOCIETE ASTRONOMIQUE DE BORDEAUX"/>
        <s v="SOCIETE DE PHILOSOPHIE DE BORDEAUX"/>
        <s v="ASSOCIATION NATIONALE MEMBRES DE L'ORDRE NATIONAL DU MERITE - SECTION DEPARTEMENTALE DE LA GIRONDE"/>
        <s v="ASSOCIATION REGIONALE D'AQUITAINE DES COMBATTANTS VOLONTAIRES DE LA RESISTANCE"/>
        <s v="OFFICE AQUITAIN DE RECHERCHES, ETUDES, INFORMATION ET LIAISON SUR PROBLEMES PERSONNES AGEES-OAREIL"/>
        <s v="SOLIDARITE ANAIS JEROME EVENEMENTIEL - SAJE"/>
        <s v="CERCLE D'ETUDES ET DE CULTURE FRANÇAISES (CECF)"/>
        <s v="POP PROJECT"/>
        <s v="LE POQUELIN THEATRE"/>
        <s v="COLLECTIF BORDEAUX-MARINOPOLE"/>
        <s v="RESEAU CANOPE SITE DE POITIERS - CNDP Autres"/>
        <s v="&quot;BAMBINO BERTHELOT&quot; ASSOCIATION DE PARENTS D'ELEVES DE L'ECOLE MATERNELLE BERTHELOT A BORDEAUX"/>
        <s v="1001 JEUNES BORDELAIS"/>
        <s v="2AA"/>
        <s v="2SI2LA"/>
        <s v="4 CATS"/>
        <s v="A TRAVERS CHANT"/>
        <s v="A2RUNNING"/>
        <s v="ABALONE CHASSE BORDEAUX"/>
        <s v="ABEILLES BORDELAISES"/>
        <s v="ACADEMIE BUSHIKAI KARATE DO"/>
        <s v="ACADEMIE PROSPECTIVE NOUVELLES TECHNOLOGIES"/>
        <s v="ACCOMPAGNEMENT ET RECHERCHE PSYCHO-SOCIO EDUCATIFS POUR LES JEUNES (ARPEJE)"/>
        <s v="ACHATS GROUPES ASSOCIATIF POUR L'ECONOMIE SOLIDAIRE DE BORDEAUX - AGAPES"/>
        <s v="ACTA GIRONDE - AGIR CONTRE LA TORTURE DES ANIMAUX"/>
        <s v="ACTION CONTRE LA FAIM"/>
        <s v="ACTION INTERNATIONALE POUR LA PAIX ET LE DEVELOPPEMENT"/>
        <s v="AD LUCEM THEATRE"/>
        <s v="AEP SAINT PROJET"/>
        <s v="AGENCE REGIONALE DE SANTE NOUVELLE AQUITAINE"/>
        <s v="AIGUILLES ET CALAME"/>
        <s v="ALAM AMIS DU LIVRE ANCIEN ET MODERNE"/>
        <s v="ALGERIENS DE L'AQUITAINE"/>
        <s v="ALLIANCE FRANCAISE DE BORDEAUX AQUITAINE"/>
        <s v="ALPTIS"/>
        <s v="ALTER INSERTION"/>
        <s v="AMEPI"/>
        <s v="AMICALE BORDELAISE TRACTION AVANT CITROEN"/>
        <s v="AMICALE COMORIENNE DE BORDEAUX"/>
        <s v="AMICALE DE LA RESIDENCE DU LAC"/>
        <s v="AMICALE DES ANCIENS DE MARIE-BRIZARD - AAMB"/>
        <s v="AMICALE DES ANCIENS DES NOUVELLES GALERIES DE BORDEAUX"/>
        <s v="AMICALE DES ANCIENS GUERILLEROS ESPAGNOLS EN FRANCE-FFI - SECTION DE LA GIRONDE"/>
        <s v="AMICALE DES AVEYRONNAIS DE BORDEAUX ET GIRONDE"/>
        <s v="AMICALE DES PHILIPPEVILLOIS, CONSTANTINOIS ET LEURS AMIS - APCA"/>
        <s v="AMICALE DES RETRAITES U.G.R.R. - I.S.I.C.A. DE BORDEAUX"/>
        <s v="AMICALE LAIQUE DU GROUPE SCOLAIRE LEONARD-LENOIR - MONTAUD - NUITS"/>
        <s v="AMICALE LAIQUE LEONARD LENOIR"/>
        <s v="AMICALE NATIONALE DES RETRAITES DE L'AUDIOVISUEL"/>
        <s v="AMIS DU CAPC MUSEE"/>
        <s v="AMITIES FRANCAISES"/>
        <s v="AMITIES GENEALOGIQUES BORDELAISES"/>
        <s v="AMNESTY INTERNATIONAL GROUPE 234 DE BORDEAUX CENTRE"/>
        <s v="AMOR DEL TANGO"/>
        <s v="ANCIENS BASTIDIENS-CLUB"/>
        <s v="ANIMATIONS VILLAGE SAINT-SEURIN"/>
        <s v="APNEE 33"/>
        <s v="APPEL DES CENT POUR LA PAIX COLLECTIF BORDELAIS"/>
        <s v="APPRENDRE AVEC MONTESSORI AUJOURD'HUI"/>
        <s v="APPRENTIS D'AUTEUIL - DELEGATION AQUITAINE"/>
        <s v="AQUATIC BORDEAUX CAUDERAN CLUB - AB2C"/>
        <s v="AQUITAINE PLONGEE SPORT NAUTIQUE APSN"/>
        <s v="AQUITAINE PREFI-CRESS"/>
        <s v="ARC'ANGECIEL VOYAGES"/>
        <s v="ARCHIMUSE - BORDEAUX"/>
        <s v="AREPT"/>
        <s v="ART EN ACTION - TIC-TAC THEATRE"/>
        <s v="ART EN PRODUCTION"/>
        <s v="ART MEDIUM EN SCENES"/>
        <s v="ART PASTEL"/>
        <s v="ARTISANS DU MONDE BORDEAUX"/>
        <s v="ARTS CROISES"/>
        <s v="ARTS ET COMMUNICATION DU MONDE - ACM"/>
        <s v="ARTS ET LETTRES DE FRANCE ASSOCIATION CULTURELLE INTERNATIONALE"/>
        <s v="ARTS ET SCIENCES"/>
        <s v="ARTS MARTIAUX ET BIEN ETRE"/>
        <s v="ARTS MARTIAUX TRADITIONNELS BORDELAIS"/>
        <s v="ASAD DE BORDEAUX, ASSOCIATION SERVICES D’AIDE A DOMICILE DE BORDEAUX"/>
        <s v="ASC BNP PARIBAS BX TT"/>
        <s v="ASPER 33"/>
        <s v="ASSOCIATION &quot;LA BOULANGERIE&quot;"/>
        <s v="ASSOCIATION AFRICAN SOLIDARITE FRANCE (AASF)"/>
        <s v="ASSOCIATION AMITIE LAO MEKONG DE LA GIRONDE"/>
        <s v="ASSOCIATION AQUITAINE DE QUILLES FINLANDAISES (QUIF)"/>
        <s v="ASSOCIATION ARTS &amp; RENCONTRES"/>
        <s v="ASSOCIATION AUTONOME DES PARENTS D'ELEVES DE BORDEAUX : ECOLES JEAN COCTEAU"/>
        <s v="ASSOCIATION BI-IZARRAK (LES DEUX ETOILES)"/>
        <s v="ASSOCIATION BORDEAUX - USA"/>
        <s v="ASSOCIATION BORDEAUX CULTURE GRAPPLING (ABC GRAPPLING)"/>
        <s v="ASSOCIATION BORDEAUX QUINCONCES"/>
        <s v="ASSOCIATION BORDEAUX-TANESSE"/>
        <s v="ASSOCIATION BORDELAISE DE TAEKWONDO INTERNATIONAL ATLANTICA"/>
        <s v="ASSOCIATION BULGARE CULTURELLE - ABC"/>
        <s v="ASSOCIATION COMUNIDAD"/>
        <s v="ASSOCIATION CONTRE LA TUBERCULOSE ET LES MALADIES ENDEMIQUES - ACTUME"/>
        <s v="ASSOCIATION COOPERATIVE DE L'INSTITUT UNIVERSITAIRE DE TECHNOLOGIE"/>
        <s v="ASSOCIATION CREMATISTE DE LA GIRONDE"/>
        <s v="ASSOCIATION CULTURE ET MUSIQUE DE L'ESTUAIRE - ACME"/>
        <s v="ASSOCIATION CULTURELLE DES ALEVIS DE GIRONDE"/>
        <s v="ASSOCIATION CULTURELLE DES ELEVES DU LYCEE MONTESQUIEU - ACELM"/>
        <s v="ASSOCIATION CULTURELLE DES KABYLES DE BORDEAUX (ACKB)"/>
        <s v="ASSOCIATION D'AQUITAINE DES AMIS D'ALGERIANIE"/>
        <s v="ASSOCIATION DAVID ET JONATHAN"/>
        <s v="ASSOCIATION DE CARDIOLOGIE D'AQUITAINE"/>
        <s v="ASSOCIATION DE DEFENSE DES RESIDENTS DE LA GALERIE (ADREGA)"/>
        <s v="ASSOCIATION DE DEVELOPPEMENT NATUREL (A.D.N.)"/>
        <s v="ASSOCIATION DE FAMILLES DE TRAUMATISES CRANIENS AVENIR - AFTC AVENIR"/>
        <s v="ASSOCIATION DE L'AIDE FAMILIALE POPULAIRE - U.D.C.S.F."/>
        <s v="ASSOCIATION DE L'ECOLE COREENNE DE BORDEAUX - AECB"/>
        <s v="ASSOCIATION DE LA FONDATION ETUDIANTE POUR LA VILLE - AFEV"/>
        <s v="ASSOCIATION DE LOCATAIRES SEM-LM"/>
        <s v="ASSOCIATION DE MEDECINE PHYSIQUE ET READAPTATION D'AQUITAINE (AMPRA)"/>
        <s v="ASSOCIATION DE PARENTS D'ELEVES DE L'ENSEIGNEMENT LIBRE SAINT-MICHEL/SAINT-GENES"/>
        <s v="ASSOCIATION DE PATIENTS POUR PREVENTION TRAITEMENT LUTTE CONTRE MALADIE CHRONIQUE L'OBESITE (ALOA)"/>
        <s v="ASSOCIATION DE PREFIGURATION DE LA COOPERATIVE DE PRESTATAIRES RESPONSABLES SUD-OUEST"/>
        <s v="ASSOCIATION DE PREFIGURATION D’UNE PLATEFORME D’AQUITAINE POUR LE COMMERCE EQUITABLE (LA PLACE)"/>
        <s v="ASSOCIATION DE RIVERAINS BASTIDE-ID"/>
        <s v="ASSOCIATION DE SOLIDARITE BORDEAUX"/>
        <s v="ASSOCIATION DE SOPHROLOGIE EXISTENTIELLE DE BORDEAUX"/>
        <s v="ASSOCIATION DEPART. AMIS ET PARENTS DE PERS. HANDICAPEES MENTALES - LES PAPILLONS BLANCS (ADAPEI)"/>
        <s v="ASSOCIATION DEPARTEMENTALE APAJH DE LA GIRONDE"/>
        <s v="ASSOCIATION DEPARTEMENTALE DE L'OFFICE CENTRAL DE LA COOPERATION A L'ECOLE DE LA GIRONDE - AD-OCCE"/>
        <s v="ASSOCIATION DEPARTEMENTALE DES CONJOINTS SURVIVANTS ET PARENTS D'ORPHELINS DE LA GIRONDE - FAVEC 33"/>
        <s v="ASSOCIATION DEPARTEMENTALE DES PARENTS D'ELEVES DE L'ENSEIGNEMENT PUBLIC DE LA GIRONDE - PEEP AD 33"/>
        <s v="ASSOCIATION DES AMIS D'ELIANE LAVAIL"/>
        <s v="ASSOCIATION DES CITES DU SECOURS CATHOLIQUE - DELEGATION BORDEAUX"/>
        <s v="ASSOCIATION DES COMMERCANTS BORDEAUX RIVE DROITE (BRD)"/>
        <s v="ASSOCIATION DES COMMERCANTS CAUDERAN CENTRE"/>
        <s v="ASSOCIATION DES COMMERCANTS ET ARTISANS DU QUARTIER SAINT MICHEL"/>
        <s v="ASSOCIATION DES COMMERCANTS ET ARTISANS DU QUARTIER STEHELIN"/>
        <s v="ASSOCIATION DES COMMERCANTS ET PROFESSIONNELS DE L'ART DE LA RUE BOUFFARD"/>
        <s v="ASSOCIATION DES COREENS DE BORDEAUX (ACB)"/>
        <s v="ASSOCIATION DES DAMES DU CALVAIRE DE BORDEAUX - MAISON DE SANTE MARIE GALENE"/>
        <s v="ASSOCIATION DES DONNEURS DE VOIX"/>
        <s v="ASSOCIATION DES ELEVES AVOCATS ALIENOR 2015 - ADEAA"/>
        <s v="ASSOCIATION DES ELEVES INGENIEURS DE L'ECOLE NATIONALE SUPERIEURE DES ARTS ET METIERS - AE ENSAM"/>
        <s v="ASSOCIATION DES ELEVES-AVOCATS ALIENOR 2016"/>
        <s v="ASSOCIATION DES ETUDIANTS EN PSYCHOLOGIE DU TRAVAIL ET ERGONOMIE DES SYSTEMES"/>
        <s v="ASSOCIATION DES ETUDIANTS REUNIONNAIS A BORDEAUX - AERB"/>
        <s v="ASSOCIATION DES FAMILLES D'ENFANTS DE LA POSTE ET D'ORANGE - AFEH"/>
        <s v="ASSOCIATION DES GROUPES BIBLIQUES ET UNIVERSITAIRES DE FRANCE - AGBUF-GBU"/>
        <s v="ASSOCIATION DES GUIDES INTERPRETES ET CONFERENCIERS D'AQUITAINE - AGICA"/>
        <s v="ASSOCIATION DES MAIRES DE LA GIRONDE"/>
        <s v="ASSOCIATION DES MUSULMANS DE BORDEAUX NORD (A.M.B.N.)"/>
        <s v="ASSOCIATION DES MUSULMANS DE LA GIRONDE"/>
        <s v="ASSOCIATION DES PARENTS D'ELEVES DE L'ENSEIGNEMENT PUBLIC DU LYCEE CAMILLE JULLIAN"/>
        <s v="ASSOCIATION DES PROFESSIONNELS AQUITAINS DE LA COMMUNICATION (APACOM)"/>
        <s v="ASSOCIATION DES PSYCHOMOTRICIENS DE LA GIRONDE"/>
        <s v="ASSOCIATION DES RESIDENCES DE L'ILOT BONNAC"/>
        <s v="ASSOCIATION DES RETRAITES IRSEA D'AQUITAINE (A.R.I.A.)."/>
        <s v="ASSOCIATION DES RIVERAINS DE LA PLACE MITCHELL"/>
        <s v="ASSOCIATION DES RIVERAINS DU QUARTIER ORNANO-GAVINIES"/>
        <s v="ASSOCIATION DES STAGIAIRES ET ETUDIANTS CAMEROUNAIS DE BORDEAUX (ASECB)"/>
        <s v="ASSOCIATION DES ŒUVRES GIRONDINES DE PROTECTION DE L'ENFANCE"/>
        <s v="ASSOCIATION DU PERSONNEL DE L'OPERA NATIONAL DE BORDEAUX"/>
        <s v="ASSOCIATION DU SOUVENIR DES FUSILLES DE SOUGE"/>
        <s v="ASSOCIATION DU VELO TOUTES VIGNES (AVTV)"/>
        <s v="ASSOCIATION ECOPOLES"/>
        <s v="ASSOCIATION EDUCATIVE D'INSERTION SOCIALE (AEIS)"/>
        <s v="ASSOCIATION EMMAUS GIRONDE"/>
        <s v="ASSOCIATION ETUDIANTE CULTURELLE BOIS DE ROSE"/>
        <s v="ASSOCIATION FAMILIALE CATHOLIQUE BORDEAUX SAINTE-EULALIE VICTOIRE"/>
        <s v="ASSOCIATION FORMATION ET EDUCATION PERMANENTE DE TIVOLI - AFEPT"/>
        <s v="ASSOCIATION FRANCAISE DE PERSONNES SOUFFRANT DE TROUBLES OBSESSIONNELS COMPULSIFS AFTOC"/>
        <s v="ASSOCIATION FRANCAISE DES FUNDRAISERS - GROUPE AQUITAINE"/>
        <s v="ASSOCIATION FRANCO-BRESILIENNE POUR LA RECHERCHE DE L'EQUILIBRE - AFBRE"/>
        <s v="ASSOCIATION FRANCO-KURDE"/>
        <s v="ASSOCIATION France - UKRAINE"/>
        <s v="ASSOCIATION GENERALE DES LOCATAIRES"/>
        <s v="ASSOCIATION GENERALE INTERVENANTS RETRAITES POUR ACTIONS BENEVOLES DE COOPERATION ET DEVELOPPEMENT"/>
        <s v="ASSOCIATION GIRONDINE DES ACTIVITES PROTEGEES - SPORT - LOISIRS (AGAP - SPORT - LOISIRS)"/>
        <s v="ASSOCIATION GOLF D'ENTREPRISES INTER-ENTREPRISES GOLF DE BORDEAUX - IEGB"/>
        <s v="ASSOCIATION INTERNATIONALE POUR LA CULTURE, LE DEVELOPPEMENT ET LA PAIX (AICDP)"/>
        <s v="ASSOCIATION INTERPROFESSIONNELLE BIO REGIONALE (AQUITAINE/LIMOUSIN/POITOU-CHARENTES OU EQUIVALENT)"/>
        <s v="ASSOCIATION JEUNESSE FUTSAL (A.J.F.)"/>
        <s v="ASSOCIATION LE MERLE MOQUEUR"/>
        <s v="ASSOCIATION LEA - UNIVERSITE BORDEAUX MONTAIGNE"/>
        <s v="ASSOCIATION MALADIE CHRONIQUE SPORT BIEN ETRE"/>
        <s v="ASSOCIATION MALINE"/>
        <s v="ASSOCIATION MARIE DE LUZE"/>
        <s v="ASSOCIATION MUSICALARUE"/>
        <s v="ASSOCIATION NATIONALE DES ANCIENS ET AMIS DE L'INDOCHINE ET DU SOUVENIR INDOCHINOIS"/>
        <s v="ASSOCIATION NATIONALE DES RETRAITES DE LA POSTE ET DE France TELECOM"/>
        <s v="ASSOCIATION NATIONALE DES RETRAITES HOSPITALIERS"/>
        <s v="ASSOCIATION NATIONALE POUR LES ENFANTS INTELLECTUELLEMENT PRECOCES DE L'AQUITAINE - ANPEIP"/>
        <s v="ASSOCIATION PAROLE BEGAIEMENT - APB - DELEGATION DEPARTEMENTALE"/>
        <s v="ASSOCIATION POUR L'ENTRAIDE CONTRE LA RECHUTE DE DEPRESSION - AERD"/>
        <s v="ASSOCIATION POUR L'ENVIRONNEMENT ET LA SECURITE EN AQUITAINE - APESA"/>
        <s v="ASSOCIATION POUR L'UNIFICATION DU DROIT DES AFFAIRES EN EUROPE (AUDE)"/>
        <s v="ASSOCIATION POUR LA DEFENSE DE LA FAMILLE ET DE L'INDIVIDU (ADFI)"/>
        <s v="ASSOCIATION POUR LA PROMOTION DES ARTISTES ET CULTURES DU MONDE APAC"/>
        <s v="ASSOCIATION POUR LA RECHERCHE CLINIQUE DE BORDEAUX NORD - ARCBN"/>
        <s v="ASSOCIATION POUR LA SURVEILLANCE DE LA QUALITE DE L'AIR EN AQUITAINE - AIRAQ"/>
        <s v="ASSOCIATION POUR LA VALORISATION EN RELATION AVEC LES PROFESSIONNELS REGION AQUITAINE"/>
        <s v="ASSOCIATION POUR LE DEVELOPPEMENT DES ACTIVITES PHYSIQUES ADAPTEES - ADAPA"/>
        <s v="ASSOCIATION POUR LE DEVELOPPEMENT L'INSERTION ET L'ACCOMPAGNEMENT PERSONNES HANDICAPEES - ADIAPH"/>
        <s v="ASSOCIATION POUR LE DON DE SANG BENEVOLE DE BORDEAUX ET ENVIRONS"/>
        <s v="ASSOCIATION POUR LE DROIT A L'INITIATIVE ECONOMIQUE - ADIE"/>
        <s v="ASSOCIATION POUR LES FOUILLES ARCHEOLOGIQUES NATIONALES - AFAN"/>
        <s v="ASSOCIATION PSYCHANALYTIQUE DES THERAPEUTES FAMILIAUX D'AQUITAINE - APSYFA"/>
        <s v="ASSOCIATION RENOVATION"/>
        <s v="ASSOCIATION RUN FEMINA TOUR"/>
        <s v="ASSOCIATION SOCIALE POUR L'EMPLOI - ASPE"/>
        <s v="ASSOCIATION SOCIO CULTURELLE DE L'ECOLE DE REEDUCATION PROFESSIONNELLE - ASCERP"/>
        <s v="ASSOCIATION SOCIO CULTURELLE LE TAYTA"/>
        <s v="ASSOCIATION SOLIDARTE EMPLOI (ASE) - ADELPHE"/>
        <s v="ASSOCIATION SPORTIVE BANQUE POPULAIRE DU SUD-OUEST"/>
        <s v="ASSOCIATION SPORTIVE COLBERT ASC"/>
        <s v="ASSOCIATION SPORTIVE CULTURELLE DU GAN (ASC GAN)"/>
        <s v="ASSOCIATION SPORTIVE DE LA POLICE JUDICIAIRE DE BORDEAUX"/>
        <s v="ASSOCIATION SPORTIVE DES ANCIENS ET AMIS DE L'ECOLE NORMALE D'INSTITUTEURS (ASAAENI)"/>
        <s v="ASSOCIATION SPORTIVE ET CULTURELLE DE MAYOTTE"/>
        <s v="ASSOCIATION SPORTIVE FC PORTO DE BORDEAUX"/>
        <s v="ASSOCIATION SPORTIVE KASHIRA AIKIDO"/>
        <s v="ASSOCIATION SPORTIVE KUNG-FU WUSHU DE BACALAN"/>
        <s v="ASSOCIATION SPORTIVE LOVENTA AUTOMATIQUE"/>
        <s v="ASSOCIATION SPORTIVE SALINIERES"/>
        <s v="ASSOCIATION TERRITOIRES ET INNOVATION SOCIALE (ATIS)"/>
        <s v="ASSOCIATION THEATR'ACTIF"/>
        <s v="ASSOCIATION VENEZUELA A BORDEAUX"/>
        <s v="ASSOENCORE"/>
        <s v="ATELIER 14 CENTRE DE PRATIQUES ARTISTIQUES ET DE RECHERCHES CHOREGRAPHIQUES"/>
        <s v="ATELIER D’ASTROLOGIE D’AQUITAINE"/>
        <s v="ATELIER VOCAL D'AQUITAINE"/>
        <s v="ATELIERS LIBRES D'AQUITAINE"/>
        <s v="ATELIERS TLC"/>
        <s v="ATLANTIC OLDTIMER.COM"/>
        <s v="AU-DELA DES DUNES"/>
        <s v="AUDITION ET ECOUTE 33 - ASSOCIATION DES PERSONNES ATTEINTES DE PATHOLOGIE AUDITIVE DE LA GIRONDE"/>
        <s v="AUDITION SOLIDAIRE FRANCE SENEGAL"/>
        <s v="BASTIDE EN SCENES"/>
        <s v="BELLIBULLE"/>
        <s v="BENEVOLES EN ACTION"/>
        <s v="BIBLIOTHECA"/>
        <s v="BIEN-ETRE &amp; BONHEUR DE VIVRE - BBV"/>
        <s v="BIO D'AQUITAINE"/>
        <s v="BIO'GUSTIN"/>
        <s v="BOK DIEUF"/>
        <s v="BORD'EAUX LOISIR PECHE"/>
        <s v="BORDEAUX AQUITAINE AERONAUTIQUE ET SPATIAL"/>
        <s v="BORDEAUX BACKGAMMON CLUB"/>
        <s v="BORDEAUX CAUDERAN BRIDGE CLUB (BCBC)"/>
        <s v="BORDEAUX DANCE'IN CLUB "/>
        <s v="BORDEAUX DEMAIN"/>
        <s v="BORDEAUX FUTSAL CLUB"/>
        <s v="BORDEAUX INTER CHALLENGE - BIC"/>
        <s v="BORDEAUX MAYOTTE 101"/>
        <s v="BORDEAUX NIHONGO HOSHU JUGYOKO (ECOLE COMPLEMENTAIRE JAPONAISE DE BORDEAUX)"/>
        <s v="BORDEAUX PALMES AVENTURE"/>
        <s v="BORDEAUX SPORTS"/>
        <s v="BORDEAUX TEATRO ITALIANO BTI"/>
        <s v="BORDEAUX WOMEN'S CLUB"/>
        <s v="BORDEAUX Y NOV CAMPUS"/>
        <s v="BORDELAIS ASSOCIATIFS FALUCHARDS"/>
        <s v="BOULEVARD DES POTES"/>
        <s v="BOXING CLUB BACALANAIS"/>
        <s v="BRASS BAND BORGIAQ"/>
        <s v="BURDIGALA CORPORATION"/>
        <s v="BURDIGALA SAVATE-CLUB"/>
        <s v="C.F.A. - CENTRE DE FORMATION ADAGE"/>
        <s v="C.O.D. FORMATION (FORMASUP CAMPUS)"/>
        <s v="CAC33"/>
        <s v="CAHIERS D'ARCHIVES"/>
        <s v="CALICONTE"/>
        <s v="CANCER SUPPORT FRANCE BORDEAUX &amp; REGION (CSF BORDEAUX &amp; REGION)"/>
        <s v="CAP AND CO"/>
        <s v="CAP CARREIRE : CULTURES, ANIMATIONS ET PARTAGES"/>
        <s v="CAP DE VIE"/>
        <s v="CARABINS DE BORDEAUX"/>
        <s v="CDISCOUNT@SPORT"/>
        <s v="CENTRE ATLANTIC"/>
        <s v="CENTRE CULTUREL TURC DE BORDEAUX ET SES ENVIRONS"/>
        <s v="CENTRE D'ETUDES DE L'AUTO CONNAISSANCE"/>
        <s v="CENTRE D'INFORMATION METAPSYCHIQUE - CDIM"/>
        <s v="CENTRE DE LIAISON DES EQUIPES DE RECHERCHE, CLER AMOUR ET FAMILLES"/>
        <s v="CENTRE DE MUSICOTHERAPIE DE LA GIRONDE"/>
        <s v="CENTRE DE RECHERCHE ET D'INFORMATION POUR LE DEVELOPPEMENT - CRID"/>
        <s v="CENTRE DE SOPHROLOGIE DYNAMIQUE DE BORDEAUX"/>
        <s v="CENTRE DES ETUDES DE LA REPUBLIQUE DEMOCRATIQUE"/>
        <s v="CENTRE DES FESTIVALS FRANCE-RUSSIE"/>
        <s v="CENTRE ENTREPRISE COMMUNICATION AVANCEE - CECA"/>
        <s v="CENTRE REGIONAL D'AQUITAINE D'ETUDES ET D'ACTIONS SUR LES HANDICAPS ET LES INADAPTATIONS - CREAHI"/>
        <s v="CERCLE BORDELAIS DE SANTE (C.B.S.)"/>
        <s v="CERCLE D'AIDE A LA VIE PAR LA VOIE SPIRITUELLE-FRANCE"/>
        <s v="CERCLE D'ETUDES RUSSES"/>
        <s v="CERCLE DES COIFFEURS CREATEURS"/>
        <s v="CERCLE DES ESCRIMEURS BORDELAIS (CEB)"/>
        <s v="CERCLE JEAN BAPTISTE LYNCH"/>
        <s v="CERCLE OENOPHILE AQUITAIN"/>
        <s v="CERCLE PHILATELIQUE BORDEAUX AQUITAINE"/>
        <s v="CERCLE POLITEIA"/>
        <s v="CERCLE POLITZER"/>
        <s v="CHAMBRE PROFESSIONNELLE DES AGENTS COMMERCIAUX DU SUD-OUEST"/>
        <s v="CHEMIN DES ETOILES - CDE"/>
        <s v="CHEMINS DE VIES"/>
        <s v="CHEVRE FOOTBALL CLUB - CFC"/>
        <s v="CINERESEAUX"/>
        <s v="CLAC"/>
        <s v="CLAIR-OBSCUR"/>
        <s v="CLUB 41 FRANCAIS BORDEAUX N° 110"/>
        <s v="CLUB 89"/>
        <s v="CLUB AFRIQUE EN PERSPECTIVES"/>
        <s v="CLUB AMICAL CHAUFFOUR"/>
        <s v="CLUB ATHLETIQUE DU PORT AUTONOME DE BORDEAUX"/>
        <s v="CLUB BORDEAUX-CAMEROUN-FRANCE"/>
        <s v="CLUB BORDELAIS DU CHOCOLAT &quot;CHOCO PASSION&quot;"/>
        <s v="CLUB BOULISTE ALBERT 1er"/>
        <s v="CLUB D'ENTREPRISES BORDEAUX EURATLANTIQUE"/>
        <s v="CLUB D'EXPLORATION SOUS MARINE D'AQUITAINE - CESMA"/>
        <s v="CLUB D'ULTIMATE DE BORDEAUX - 33 TOURS"/>
        <s v="CLUB DE CANNE ET BATON D'AQUITAINE"/>
        <s v="CLUB DE LA PRESSE DE BORDEAUX"/>
        <s v="CLUB DES RANDONNEURS DU PYLA ET DU BASSIN D'ARCACHON"/>
        <s v="CLUB ERASMUS ET MUNDUS"/>
        <s v="CLUB INDEPENDANT BORDELAIS"/>
        <s v="CLUB PHILOSOPHIQUE PENSEE ET AVENIR"/>
        <s v="CLUB « BON GOUT D'AQUITAINE »"/>
        <s v="COJEP BORDEAUX - CONSEIL POUR LA JUSTICE, L'EGALITE ET LA PAIX"/>
        <s v="COLIBRI 33"/>
        <s v="COLLECTIF 33 : LA SANTE UN DROIT POUR TOUS"/>
        <s v="COLLECTIF DES ASSOCIATIONS D'OUTRE-MER EN AQUITAINE DIT C.A.O.M.A."/>
        <s v="COLLECTIF GIRONDIN DES ASSOCIATIONS AUTOUR DE L'AUTISME (CG3A)"/>
        <s v="COLORS INC"/>
        <s v="COMENFRANCE"/>
        <s v="COMITE ACTION PALESTINE"/>
        <s v="COMITE AQUITAIN DE L'ASSOCIATION FRANCAISE DES HEMOPHILES"/>
        <s v="COMITE BORDEAUX BRISTOL"/>
        <s v="COMITE BORDEAUX SUD"/>
        <s v="COMITE D'ANIMATION, DE BIENFAISANCE ET DE DEFENSE DES INTERETS DU QUARTIER NANSOUTY"/>
        <s v="COMITE DE DEFENSE DES INTERETS DES HABITANTS DU LOTISSEMENT JASMIN ET ANNEXES"/>
        <s v="COMITE DE DEFENSE DES TAXIS DE LA GIRONDE"/>
        <s v="COMITE DE LIAISON DES ACTEURS DE LA PROMOTION DANS LE SUD-OUEST - CLAP SUD-OUEST"/>
        <s v="COMITE DE QUARTIER DE CAUDERAN - CQC"/>
        <s v="COMITE DEPARTEMENTAL DE CYCLISME"/>
        <s v="COMITE DEPARTEMENTAL DE L'UNION FRANÇAISE DES OEUVRES LAIQUES D'EDUCATION PHYSIQUE - UFOLEP"/>
        <s v="COMITE DEPARTEMENTAL DE L'UNION SPORTIVE DE L'ENSEIGNEMENT DU PREMIER DEGRE DE LA GIRONDE - USEP 33"/>
        <s v="COMITE DEPARTEMENTAL DE NATATION DE LA GIRONDE"/>
        <s v="COMITE DEPARTEMENTAL DU SPORT ADAPTE DE LA GIRONDE (CDSA 33)"/>
        <s v="COMITE GIRONDIN DE COURSE D'ORIENTATION"/>
        <s v="COMITE MIRABEAU BORDELAIS 2017"/>
        <s v="COMITE PALESTINE 33"/>
        <s v="COMITE REGIONAL DES ASSOCIATIONS DE JEUNESSE ET D'EDUCATION POPULAIRE AQUITAINE (CRAJEP AQUITAINE)"/>
        <s v="COMITE REGIONAL HANDISPORT D'AQUITAINE"/>
        <s v="COMITE REPRESENTATIF DES IDENTITES SOURDES"/>
        <s v="COMMANDERIE DU BONTEMPS MEDOC ET GRAVES - SAUTERNES ET BARSAC"/>
        <s v="COMMUNAUTE CAMEROUNAISE DE BORDEAUX (CCB)"/>
        <s v="COMMUNIC'ARTE"/>
        <s v="COMPAGNIE DONC Y CHOCS"/>
        <s v="COMPAGNIE ELVIRE 40"/>
        <s v="COMPAGNIE EN APARTE"/>
        <s v="COMPAGNIE INDIRA"/>
        <s v="COMPAGNIE JEUNE TALENT"/>
        <s v="COMPAGNIE LEITMOTIV"/>
        <s v="COMPAGNIE REVOLUTION"/>
        <s v="COMPETENCES EN TEMPS PARTAGE GUYENNE - CTP GUYENNE"/>
        <s v="COMPTOIR DE LA CULTURE BRESILIENNE"/>
        <s v="CONSEIL DEPARTEMENTAL DE LA GIRONDE"/>
        <s v="CONVENTION DE LA DIASPORA GABONAISE"/>
        <s v="COORDINATION POUR PROMOUVOIR LES COMPETENCES ET LE VOLONTARIAT AQUITAINE - CPCV AQUITAINE"/>
        <s v="COULEUR COREE"/>
        <s v="CREASSEMBLE"/>
        <s v="CRESUS GIRONDE"/>
        <s v="CRISTINAREY"/>
        <s v="CROISSANT FERTILE"/>
        <s v="CROIX ROUGE FRANÇAISE - DELEGATION LOCALE"/>
        <s v="CTE ETS SEXTANT AVIONIQUE"/>
        <s v="CULTURE ET BIBLIOTHEQUES POUR TOUS"/>
        <s v="CULTURE-S"/>
        <s v="CULTURES DES ARTS CREOLES ET DU MONDE 33 (CACM33)"/>
        <s v="D'SIGN"/>
        <s v="DE VOLTES ET D'ASSAUTS"/>
        <s v="DEALERS DE SCIENCE"/>
        <s v="DEFENSE DE LA LANGUE FRANCAISE, ASSOCIATION DE BORDEAUX"/>
        <s v="DHAGPO BORDEAUX"/>
        <s v="DISCO SOUPE"/>
        <s v="DIVAN D'OUEST"/>
        <s v="DIVERSCITES"/>
        <s v="DLIBERETS"/>
        <s v="DOJO"/>
        <s v="DOULEURS SANS FRONTIERES - DSF"/>
        <s v="DRAG RACING TEAM - DRT"/>
        <s v="DU CHIEN DANS LES DENTS"/>
        <s v="DU SOLEIL DANS LES PIEDS"/>
        <s v="DULCENE"/>
        <s v="DV2G (THEATRE VICTOIRE)"/>
        <s v="ECHIQUIER BORDELAIS"/>
        <s v="ECOLE CHINOISE DE BORDEAUX"/>
        <s v="ECOLE DES GRANDS-PARENTS EUROPEENS BORDEAUX-GIRONDE - EGPE BORDEAUX-GIRONDE"/>
        <s v="ECOLE ESSENTIALISTE"/>
        <s v="ECOLE MUNICIPALE DE NATATION"/>
        <s v="ECOUTE S'IL PLEUT"/>
        <s v="ECOUTER SON CORPS"/>
        <s v="EINAI"/>
        <s v="ELLES CONNECT"/>
        <s v="EN MARCHE"/>
        <s v="ENDOFRANCE"/>
        <s v="ENFANCE ET FAMILLES D'ADOPTION DE LA GIRONDE - ASSOCIATION DES FOYERS ADOPTIFS DE GIRONDE (EFA 33)"/>
        <s v="ENSEMBLE OSKAR ALBERTO"/>
        <s v="ENSEMBLE UN"/>
        <s v="ENSEMBLE VOCAL JUBILATE"/>
        <s v="ENTRAIDE SCOLAIRE AMICALE (ESA)"/>
        <s v="ESCAPADES 33"/>
        <s v="ESKUALDUNEN BILTZARRA - BORDELEKO ESKUAL ETXEA ou MAISON BASQUE DE BORDEAUX"/>
        <s v="ESPACE DECOUVERTE MADAGASCAR"/>
        <s v="ESPACE INTER HANDICAP EUROPEEN A HAUTEUR D'HOMME"/>
        <s v="ESPACES MARX AQUITAINE BORDEAUX GIRONDE EXPLORER CONFRONTER INNOVER"/>
        <s v="ESPOIR 33"/>
        <s v="ESPRIT ETUDIANT-MONTESQUIEU"/>
        <s v="ESSPLICITE"/>
        <s v="ETUDIANTS MUSULMANS DE FRANCE BORDEAUX - EMF BORDEAUX"/>
        <s v="EUROPEAN MENTORING &amp; COACHING COUNCIL, L'ASSOCIATION EUROPEENNE DE COACHING"/>
        <s v="EXPLORER LE SENTIR"/>
        <s v="FAIS UN VOEU MAKE-A -WISH ® FRANCE"/>
        <s v="FAIT DE CI DE SOI"/>
        <s v="FC CARTES ET SERVICES"/>
        <s v="FEDERATION ADDICTION"/>
        <s v="FEDERATION ADMR GIRONDE"/>
        <s v="FEDERATION DE LA GIRONDE POUR LA PECHE ET LA PROTECTION MILIEU AQUATIQUE (FDAAPPMA DE LA GIRONDE)"/>
        <s v="FEDERATION DE PSYCHANALYSE CONTEMPORAINE - FPC"/>
        <s v="FEDERATION DEPARTEMENTALE DU SECOURS POPULAIRE FRANCAIS"/>
        <s v="FEDERATION DES DESIGNERS EN AQUITAINE (FDA)"/>
        <s v="FEDERATION DES MANDATAIRES JUDICIAIRES INDEPENDANTS A PROTECTION MAJEURS AQUITAINE (FMJI AQUITAINE)"/>
        <s v="FEDERATION FRANCAISE DE NATATION"/>
        <s v="FEDERATION FRANCAISE DES PSYCHOLOGUES ET DE PSYCHOLOGIE - FFPP"/>
        <s v="FEDERATION GIRONDINE DE GENEALOGIE - FGG"/>
        <s v="FEDERATION MUSULMANE DE LA GIRONDE"/>
        <s v="FEDERATION NATIONALE D'AIDE AUX INSUFFISANTS RENAUX D'AQUITAINE - FNAIR AQUITANE"/>
        <s v="FEDERATION NATIONALE DES SERVICES SOCIAUX SPECIALISES DE PROTECTION DE L'ENFANCE - FN3S"/>
        <s v="FEDERATION POUR LA RECHERCHE SUR LE CERVEAU - CAMPAGNE DU NEURODON 2004"/>
        <s v="FEDERATION REGIONALE DES DECORES DU TRAVAIL NOUVELLE-AQUITAINE (FRDT)"/>
        <s v="FEDERATION SYNDICALE UNITAIRE 33 - FSU 33"/>
        <s v="FEMMES INTERNATIONALES MURS BRISES"/>
        <s v="FISH AND SHOES"/>
        <s v="FITNESS FREESTYLE"/>
        <s v="FOIRE AUX PLAISIRS DE BORDEAUX"/>
        <s v="FONDA SUD-OUEST"/>
        <s v="FONDATION DU PATRIMOINE - DELEGATION AQUITAINE"/>
        <s v="FONDATION MAISON DE LA GENDARMERIE"/>
        <s v="FOOT LOISIRS DOCKERS DE BORDEAUX"/>
        <s v="FOOTBALL CLUB DE LA PRESSE BORDELAISE"/>
        <s v="FOOTBALL-CLUB BORDEAUX OCEAN"/>
        <s v="FOOTBALL-CLUB ROUGE"/>
        <s v="FORCE FEMMES"/>
        <s v="FORRO BORDEAUX"/>
        <s v="FORUM DES CULTURES ET DES TRADITIONS"/>
        <s v="FOYER SOCIO-EDUCATIF DU COLLEGE ALAIN FOURNIER"/>
        <s v="FRANCE ALZHEIMER GIRONDE"/>
        <s v="FRANCE AMERIQUE LATINE COMITE BORDEAUX GIRONDE"/>
        <s v="FRANCE PLUS GIRONDE"/>
        <s v="FRANCE PSORIASIS"/>
        <s v="France PARKINSON"/>
        <s v="GABON, SOLIDARITE ET PAIX"/>
        <s v="GARGANTUA"/>
        <s v="GASP'ART"/>
        <s v="GAZELLISSIMES"/>
        <s v="GEAR LOCKER"/>
        <s v="GEM &quot;LES NEUROFESTIFS 33&quot;"/>
        <s v="GIRONDE ROUMANIE ECHANGES ET CULTURE"/>
        <s v="GIRONDINS DE BORDEAUX TIR"/>
        <s v="GRAIN DE SABLE"/>
        <s v="GRAINES DE SOLIDARITE"/>
        <s v="GROUPE ATTAC 33"/>
        <s v="GROUPE D'ETUDE POUR L'INSERTION SOCIALE DES PERSONNES PORTEUSES D'UNE TRISOMIE 21 - GEIST 21"/>
        <s v="GROUPE LOCAL ACTION DES CHRETIENS POUR L'ABOLITION DE LA TORTURE DE BORDEAUX"/>
        <s v="GROUPE PASSERELLE"/>
        <s v="GROUPE VOCAL ARPEGE DE BORDEAUX"/>
        <s v="GROUPEMENT DES RETRAITES EDUCATEURS SANS FRONTIERES - GREF"/>
        <s v="GYMNASTIQUE VOLONTAIRE BORDEAUX BASTIDE"/>
        <s v="GYMNASTIQUE VOLONTAIRE BORDEAUX LOUCHEUR"/>
        <s v="GYMNASTIQUE VOLONTAIRE CHAUFFOUR"/>
        <s v="GYMNASTIQUE VOLONTAIRE LESCURE"/>
        <s v="GYMNASTIQUE VOLONTAIRE PERGOLA STEHELIN"/>
        <s v="GYMNASTIQUE VOLONTAIRE QUARTIER ST NICOLAS"/>
        <s v="H NORD ECOQUARTIER DE BORDEAUX - H NORD"/>
        <s v="HABAD LOUBAVITCH BORDEAUX"/>
        <s v="HABITATS JEUNES SIMONE NOAILLES"/>
        <s v="HAITI EN VIE"/>
        <s v="HALEIWA"/>
        <s v="HANDICAP INTERNATIONAL"/>
        <s v="HANDISPORT 33 AMICALE SPORTIVE DES HANDICAPES PHYSIQUES D'AQUITAINE - ASHPA"/>
        <s v="HARMONIE STRETCH ET DETENTE"/>
        <s v="HISTOIRE(S) DE LA BASTIDE"/>
        <s v="HORS BORD"/>
        <s v="ICRONOS"/>
        <s v="IDEH - INITIATIVES POUR LE DEVELOPPEMENT HUMAIN"/>
        <s v="ILOT DES MOTS"/>
        <s v="INNER WHEEL CLUB DE BORDEAUX MEDOC"/>
        <s v="INSTANCE REGIONALE D'EDUCATION ET DE PROMOTION SANTE NOUVELLE-AQUITAINE (IREPS NOUVELLE-AQUITAINE)"/>
        <s v="INSTANTS BORDELAIS"/>
        <s v="INSTITUT BERGONIE"/>
        <s v="INSTITUT DE FORMATION ET D'APPUI AUX INITIATIVES DE DEVELOPPEMENT - IFAID AQUITAINE"/>
        <s v="INSTITUT DE JOURNALISME BORDEAUX AQUITAINE"/>
        <s v="INSTITUT MACONNIQUE D'AQUITAINE"/>
        <s v="INSTITUT MEDICO-PEDAGOGIQUE SAINT JOSEPH"/>
        <s v="INSTITUT REGIONAL DES SOURDS ET DES AVEUGLES - IRSA"/>
        <s v="IRON SPORT BORDEAUX"/>
        <s v="ITAL'ICI"/>
        <s v="JARDIN ET ECOTOURISME"/>
        <s v="JETER L'ENCRE"/>
        <s v="JEUNE ACADEMIE VOCALE D'AQUITAINE"/>
        <s v="JEUNE BALLET D AQUITAINE"/>
        <s v="JUDO-CLUB GIRONDIN OMNISPORTS"/>
        <s v="KALINA'GO"/>
        <s v="KARAVAN BORDELAISE"/>
        <s v="KAZ ANANDA"/>
        <s v="KEEP A BREAST EUROPE FOUNDATION"/>
        <s v="KI E KI"/>
        <s v="KILOMBO KINTWADI"/>
        <s v="KPOP DANCE MOVE BORDEAUX - KDM BORDEAUX"/>
        <s v="KUNG-FU WUSHU ACADEMIE (KFWA)"/>
        <s v="L'AMICALE DES CHINOIS DU SUD-OUEST (ADCSO)"/>
        <s v="L'ASSOCIATION DES BISSAU-GUINEENS"/>
        <s v="L'ASSOCIATION SLAVE"/>
        <s v="L'ASSOS DIET"/>
        <s v="L'ATELIER CHOREGRAPHIQUE"/>
        <s v="L'ATELIER VIDEO PIRATE"/>
        <s v="L'ATEUL"/>
        <s v="L'AUTRE - ASSOCIATION DES ETUDIANTS EN ANTHROPOLOGIE SOCIALE ET CULTURELLE"/>
        <s v="L'ERE H"/>
        <s v="L'ESTEY"/>
        <s v="L'INSTITUT BORDELAIS DE STYLISME MODELISME"/>
        <s v="L'OLYMPIQUE-CLUB BORDELAIS - OCB"/>
        <s v="L'ORANGEADE"/>
        <s v="L'OSTAU OCCITAN"/>
        <s v="LA CIGOGNE"/>
        <s v="LA CLE DU QUAI"/>
        <s v="LA COMPAGNIE &quot;LES FOUS DE LA RAMPE&quot;"/>
        <s v="LA COMPAGNIE CHRONIQUE"/>
        <s v="LA COMPAGNIE DES FIGURES"/>
        <s v="LA COMPAGNIE GARONOTES"/>
        <s v="LA COUR DES ENFANTS"/>
        <s v="LA DAME A LA LICORNE"/>
        <s v="LA GALERIE EPHEMERE"/>
        <s v="LA GYM SUEDOISE BORDEAUX"/>
        <s v="LA HOULETTE"/>
        <s v="LA MAIN A L’OREILLE"/>
        <s v="LA MAISON DE MARIE"/>
        <s v="LA MANIF POUR TOUS 33"/>
        <s v="LA MARMAILLE"/>
        <s v="LA MOBYLETTE"/>
        <s v="LA PARENTELE"/>
        <s v="LA PLUME ET L'OREILLE"/>
        <s v="LA ROUTE DES VINS - ECOLE DE COMMERCE EUROPEENNE"/>
        <s v="LABE'ART"/>
        <s v="LACLE - LA MAISON DES PARENTS ET DES MINEURS"/>
        <s v="LADAPT LIGUE ADAPTATION DIMINUES PHYSIQUE AU TRAVAIL"/>
        <s v="LADIES' CIRCLE BORDEAUX 20"/>
        <s v="LAFEDERATION 33"/>
        <s v="LATINO MEX BORDEAUX"/>
        <s v="LAXMI GIRONDE"/>
        <s v="LE CANNELE D'ADRESSES"/>
        <s v="LE CHAINON MANQUANT"/>
        <s v="LE CHOEUR VOYAGEUR"/>
        <s v="LE LABO DES HISTOIRES section Sud-Atlantique"/>
        <s v="LE LABO DES LETTRES"/>
        <s v="LE LYS ET LE LEOPARD"/>
        <s v="LE P'TIT BOUT DE QUARTIER"/>
        <s v="LE PETIT INSTITUT DE CHINE : ECOLE D'ARTS MARTIAUX ET CULTURE CHINOISE"/>
        <s v="LE RELAIS GIRONDE"/>
        <s v="LE THEATRE DES EGREGORES"/>
        <s v="LEGATO CIE"/>
        <s v="LEO CLUB BORDEAUX INTERNATIONAL - LBI"/>
        <s v="LES AMIS AQUITAINS DES SEMAINES SOCIALES DE France"/>
        <s v="LES AMIS DE BORDEAUX-SUD"/>
        <s v="LES AMIS DE LA RUE KLEBER"/>
        <s v="LES AMIS DE LA TERRE GIRONDE"/>
        <s v="LES ANCIENS DE BACALAN CLAVEAU"/>
        <s v="LES ANNALES DE L'ESPRIT"/>
        <s v="LES BORDELUCHES"/>
        <s v="LES BRUITS DE LA RUE"/>
        <s v="LES COQUELICOTS"/>
        <s v="LES COUCOUS"/>
        <s v="LES DOSSIERS D'AQUITAINE ET D'AILLEURS"/>
        <s v="LES ENTREPRENEURS ET DIRIGEANTS CHRETIENS"/>
        <s v="LES FEES REIKI"/>
        <s v="LES FEES RUE"/>
        <s v="LES FILLES D'A COTE"/>
        <s v="LES GOUPILS"/>
        <s v="LES HABITANTS ET RIVERAINS DU QUARTIER SAINT-GENES-BOURSE DU TRAVAIL - COSTEDOAT"/>
        <s v="LES IMPROVISATEURS ANONYMES"/>
        <s v="LES INDEPENDANTS PLASTICIENS DE BORDEAUX"/>
        <s v="LES INSTRUMENTS ANCIENS DE BORDEAUX"/>
        <s v="LES JOIES HUMAINES"/>
        <s v="LES MORPHOGENISTES"/>
        <s v="LES MUSCLES BORDELAIS"/>
        <s v="LES PETITS TRETEAUX"/>
        <s v="LES PINSONS"/>
        <s v="LES PRODUCTIONS DE L'ANGE"/>
        <s v="LES RIVERAINS DU STADE PROMIS"/>
        <s v="LES ROSES DE DAMAS"/>
        <s v="LES VAILLANTS DE SAINT SEURIN"/>
        <s v="LES Z'ARPETES"/>
        <s v="LESBIAN &amp; GAY PRIDE BORDEAUX DITE AUSSI LGP BORDEAUX"/>
        <s v="LIBRE PENSEE"/>
        <s v="LICHORE"/>
        <s v="LIGUE CONTRE LE CANCER"/>
        <s v="LIGUE D'AQUITAINE DE HANDBALL"/>
        <s v="LIGUE D'AQUITAINE DE VOLLEY BALL"/>
        <s v="LIGUE FRANÇAISE POUR LA DEFENSE DROITS DE L'HOMME ET DU CITOYEN (LDH) ET LIGUE DROITS DE L'HOMME"/>
        <s v="LIGUE NATIONAL DE RUGBY"/>
        <s v="LIONS BORDEAUX SAINT AUGUSTIN"/>
        <s v="LIONS CLUB BORDEAUX - EUROPE - DISTRICT 103 SUD-OUEST"/>
        <s v="LIONS CLUB BORDEAUX LE BOUSCAT"/>
        <s v="LIONS CLUB BORDEAUX RIVE-GAUCHE"/>
        <s v="LIONS CLUB BORDEAUX TOURNY"/>
        <s v="LIONS CLUB DE BORDEAUX LA FAYETTE"/>
        <s v="LIONS-CLUB DE BORDEAUX CAUDERAN"/>
        <s v="LOS TREINTA Y TRES"/>
        <s v="LOUONS L'ETERNEL"/>
        <s v="LUNA D'AIGA"/>
        <s v="LUPUS DE FRANCE"/>
        <s v="L’ASSOCIATION POUR LE MAINTIEN DE L’AGRICULTURE PAYSANNE DITE &quot;L’AMAP CAUDERANAISE&quot;"/>
        <s v="MACCABI SPORTS DE BORDEAUX"/>
        <s v="MADE IN MOVEMENT"/>
        <s v="MAGNETOGRAMMES ASSOCIATION"/>
        <s v="MAISON D'ALGERIE EN AQUITAINE"/>
        <s v="MAISON DE LA NATURE ET DE L'ENVIRONNEMENT"/>
        <s v="MAISON DES METIERS DE L'IMPRIMERIE"/>
        <s v="MAISON DES SOURDS DE LA GIRONDE - MS 33"/>
        <s v="MAJ"/>
        <s v="MAM'OURS"/>
        <s v="MANTA PLONGEE"/>
        <s v="MARATHON JOB EUROPA"/>
        <s v="MAROC, DEVOIRS ET DROITS"/>
        <s v="MAWA DE GIRONDE"/>
        <s v="MBOLO ASSOCIATION DES GABONAIS DE LA GIRONDE"/>
        <s v="MELTING SIGNES"/>
        <s v="MENSA AQUITAINE"/>
        <s v="MHIGE INSEEC - MISSION INTER GRANDES ECOLES DE L'INSEEC"/>
        <s v="MINE DE RIEN"/>
        <s v="MIRAIL INFORMATIQUE"/>
        <s v="MOTO CLUB HEXAGON BORDEAUX"/>
        <s v="MOTS ET MATIERES(S)"/>
        <s v="MOUVEMENT EUROPEEN FRANCE-GIRONDE"/>
        <s v="MUSIC'S COOL"/>
        <s v="MUSICA IN CATHEDRA"/>
        <s v="MUSIQUE MUNICIPALE"/>
        <s v="MUSIQUES EN ROUTE"/>
        <s v="MY KARTEL"/>
        <s v="NACAO PALMARES CAPOEIRA DE BORDEAUX"/>
        <s v="NIRE LAGUNA THOMAS"/>
        <s v="NOTRE DAME DE BARRAILS"/>
        <s v="NOTRE ITALIE"/>
        <s v="NOUS CITOYENS"/>
        <s v="NOUS VOULONS LIRE !"/>
        <s v="NOUVEAU COMITE FOIRE AUX PLAISIRS"/>
        <s v="NOUVELLE DONNE"/>
        <s v="OCCS"/>
        <s v="OCTANDRE"/>
        <s v="OFFICE ARTISTIQUE DE REGION AQUITAINE"/>
        <s v="OFFICIERS DE RESERVE"/>
        <s v="OKIWI"/>
        <s v="ONG QUISHUAR"/>
        <s v="OPERA BASTIDE"/>
        <s v="OPUS 33"/>
        <s v="ORGANISATION SOCIO-CULTURELLE DE BORDEAUX IV OSB IV"/>
        <s v="OSEZ LE FEMINISME 33 !"/>
        <s v="OUI A LA VIE"/>
        <s v="PALLIAQUITAINE"/>
        <s v="PARTI OUVRIER INDEPENDANT DEMOCRATIQUE DE LA GIRONDE - POID33"/>
        <s v="PASSERELLES ET COMPETENCES"/>
        <s v="PAUSE-CAFE"/>
        <s v="PENA FLAMENCA COPAS Y COMPAS"/>
        <s v="PENA MADRIDISTA DE BORDEAUX"/>
        <s v="PERCEPTA - TAI CHI CHUAN ET DEVELOPPEMENT PERSONNEL"/>
        <s v="PERES &amp; FILS RUGBY 33"/>
        <s v="PETANQUE BACALANAISE"/>
        <s v="PETANQUE CLUB EMILE COMBES"/>
        <s v="PEUPLES SOLIDAIRES"/>
        <s v="PHENIX DE BELCIER"/>
        <s v="PHOTO CLUB DE BORDEAUX"/>
        <s v="PICTUR'ART"/>
        <s v="PLAN INTERNATIONAL FRANCE - PLAN FRANCE"/>
        <s v="PLANETE BORDEAUX"/>
        <s v="PLATEFORME AQUITAINE DE COMMERCE EQUITABLE - PLACE"/>
        <s v="PLENI'OM"/>
        <s v="POINT RENCONTRE DE BORDEAUX"/>
        <s v="POLIFONIA ELIANE LAVAIL"/>
        <s v="POLSKIE BORDEAUX"/>
        <s v="POLYCAP 33"/>
        <s v="POUR UN COMMERCE ETHIQUE DE L'ART, RENCONTRES, TOURISME - PUCEART"/>
        <s v="POUR UN SOURIRE D'ENFANT AQUITAINE"/>
        <s v="PRISME"/>
        <s v="PROF'APA"/>
        <s v="PROJETS HORS LES MURS - PHM"/>
        <s v="PROMETHEE"/>
        <s v="QUETZALCOATL"/>
        <s v="RADIO CHU"/>
        <s v="RASSEMBLEMENT DU PEUPLE SOUVERAIN POUR UNE FRANCE INDEPENDANTE ET UNE REPUBLIQUE SOCIALE"/>
        <s v="REBATIR LA FRANCE"/>
        <s v="REG'ARTS D'AILLEURS"/>
        <s v="REGGAE SUN SKA"/>
        <s v="RELAIS AMICAL MALAKOFF MEDERIC BORDEAUX AQUITAINE"/>
        <s v="RESEAU AQUITAIN DES MUSIQUES ACTUELLES - RAMA"/>
        <s v="RESEAU FRANCAIS SUR L’ENTENTE DE VOIX (REV FRANCE)"/>
        <s v="RESEAUX ADOS GIRONDE"/>
        <s v="RIVE DROITE 2000"/>
        <s v="ROLLER DERBY BORDEAUX CLUB"/>
        <s v="ROSE ATTITUDE BORDEAUX"/>
        <s v="ROTARY CLUB DE BORDEAUX-OUEST"/>
        <s v="ROTARY-CLUB DE BORDEAUX-SUD"/>
        <s v="SAAPERLIPOPETTE"/>
        <s v="SAINT MARTIN BORDEAUX CULTURAL CONNECTIONS"/>
        <s v="SALAM"/>
        <s v="SASP FOOTBALL CLUB DES GIRONDINS DE BORDEAUX"/>
        <s v="SCOUTS ET GUIDES DE FRANCE - Section de Tarbes"/>
        <s v="SE CANTO BASTIDE"/>
        <s v="SECOURS CATHOLIQUE-CARITAS FRANCE (DELEGATION DE LA GIRONDE)"/>
        <s v="SECUCAF BORDEAUX FOOTBALL D'ENTREPRISE"/>
        <s v="SERVICE DEPARTEMENTAL D'INCENDIE ET DE SECOURS DE LA GIRONDE"/>
        <s v="SERVICE UNIVERSITAIRE DES ACTIVITES PHYSIQUES ET SPORTIVES (SUAPS)"/>
        <s v="SIDACTION"/>
        <s v="SOCIETE BORDELAISE D'AQUARELLE"/>
        <s v="SOCIETE D'ENTRAIDE DES MEMBRES DE LA LEGION D'HONNEUR COMITE DE BORDEAUX SECTEUR CAUDERAN"/>
        <s v="SOCIETE D'HISTOIRE DE BORDEAUX"/>
        <s v="SOCIETE DE GEOGRAPHIE DE BORDEAUX"/>
        <s v="SOCIETE DES AMIS DU MUSEE DES BEAUX-ARTS DE BORDEAUX"/>
        <s v="SOCIETE DES BIBLIOPHILES DE GUYENNE"/>
        <s v="SOCIETE DES COMPAGNONS DU TOUR DE France DU DEVOIR EGALITAIRE - CHAMBRE COMPAGNONALE DE BORDEAUX"/>
        <s v="SOCIETE DES FETES CAUDERANAISES"/>
        <s v="SOCIETE DES NEUROSCIENCES"/>
        <s v="SOCIETE SYMPHONIQUE DE BORDEAUX-CAUDERAN"/>
        <s v="SOLIDARITE-LOGEMENT BORDEAUX-BOULEVARDS"/>
        <s v="SOMATO-PSYCHO-PEDAGOGIE EN AQUITAINE"/>
        <s v="SONG LONG BORDEAUX"/>
        <s v="SOS PLACE GAMBETTA"/>
        <s v="SOUTIEN, CULTURE ET LOISIRS DES MAGHREBINS ET ALGERIENS EN AQUITAINE - SCELMAA"/>
        <s v="SPECIAL OLYMPICS FRANCE (SOF)"/>
        <s v="SPHERE CPP BORDEAUX"/>
        <s v="STELLA MONTIS"/>
        <s v="STOP AND GO DANCE 33"/>
        <s v="SUKHALI - AIDE AU DEVELOPPEMENT LOCAL PAR LES FEMMES AU SENEGAL"/>
        <s v="SURVIE GIRONDE"/>
        <s v="SYNDICAT DES QUARTIERS BELCIER, CARLE VERNET"/>
        <s v="T.E.A. TIME - TALENTUEUX EMOTIFS ANONYMES"/>
        <s v="TANGO BORDEAUX"/>
        <s v="TANGO HOY"/>
        <s v="TANGO MILONGUERO BORDEAUX"/>
        <s v="TANGO NOMADE"/>
        <s v="TASHI DELEK BORDEAUX ASSOCIATION GIRONDINE POUR LE TIBET"/>
        <s v="TATHATA- VRINDHAM AQUITAINE"/>
        <s v="TCHERNOBLAYE"/>
        <s v="TEMPS DE PAROLE ASSOCIATION SANTE ET SECURITE PROFESSIONNELLES"/>
        <s v="TENNIS CLUB DE BORDEAUX"/>
        <s v="TERANGA"/>
        <s v="TERANUI TAHITI"/>
        <s v="TERIYA"/>
        <s v="TERRA FEES"/>
        <s v="THEATR'ACTION"/>
        <s v="THEATRE DE L'ESCALE"/>
        <s v="THEATRE DES TAFURS"/>
        <s v="THEATRE FEMINA"/>
        <s v="THEATRE-EDUCATION-AQUITAINE"/>
        <s v="THEATRIUM"/>
        <s v="THIANT GUI"/>
        <s v="THOTH CIVILISATION SANS FRONTIERES"/>
        <s v="TOURING PEDESTRE BORDELAIS"/>
        <s v="TRACE UNE DIAGONALE"/>
        <s v="TRADOBORDELEAU"/>
        <s v="TRANZIT KREOL"/>
        <s v="TRAUMATISES CRANIENS ASSISTANCE"/>
        <s v="TREMPLIN UTC"/>
        <s v="ULCR"/>
        <s v="ULTRAS BB"/>
        <s v="UNICEF"/>
        <s v="UNION ALCOOLIQUES ANONYMES"/>
        <s v="UNION AU DEVELOPPEMENT AFRICAIN - UDA"/>
        <s v="UNION COOP DE LA PAGE BLANCHE"/>
        <s v="UNION DEPARTEMENTALE CFDT DE LA GIRONDE"/>
        <s v="UNION DES AVEUGLES ET DEFICIENTS VISUELS"/>
        <s v="UNION DES TRAVAILLEURS IVOIRIENS DE FRANCE - UTIF"/>
        <s v="UNION GENERALE SPORTIVE DE L'ENSEIGNEMENT LIBRE DE LA GIRONDE"/>
        <s v="UNION GIRONDINE DES RETRAITES MILITAIRES, ANCIENS MILITAIRES ET DE LEURS CONJOINTS (URM 33)"/>
        <s v="UNION NATIONALE DES AMIS ET FAMILLES DE MALADES PSYCHIQUES - UNAFAM"/>
        <s v="UNION NATIONALE DU SPORT SCOLAIRE - DIRECTION REGIONALE"/>
        <s v="UNION REGIONALE PACT HABITAT ET DEVELOPPEMENT DE LA REGION AQUITAINE"/>
        <s v="UNIVERSEUL"/>
        <s v="UNIVERSITE BORDEAUX MONTAIGNE BORDEAUX III - BIBLIOTHEQUE FRANCO-ALLEMANDE (BIFA)"/>
        <s v="UNIVERSITE POPULAIRE DE BORDEAUX - UPB"/>
        <s v="URPS - AQUITAINE"/>
        <s v="UTOPIA"/>
        <s v="V'INSEEC BORDEAUX, VINS ET SPIRITUEUX"/>
        <s v="VA K BAND"/>
        <s v="VACANCES ANIMATION LOISIRS TOURISME DE LA GIRONDE"/>
        <s v="VACANCES TOURISME FAMILLES - VTF"/>
        <s v="VAHINE ORA"/>
        <s v="VARIANCE MELODIE"/>
        <s v="VILLA 88"/>
        <s v="VILLAGE D'AUDEGE"/>
        <s v="VISIONS CROISEES"/>
        <s v="VISIONS PARTAGEES"/>
        <s v="VISITE DES MALADES DANS LES ETABLISSEMENTS HOSPITALIERS DU DEPARTEMENT DE LA GIRONDE - VMEH"/>
        <s v="VIVRE COMME AVANT"/>
        <s v="VOCATION SOCIOLOGUE"/>
        <s v="VOVINAM VIET VO DAO-CLUB DE BORDEAUX"/>
        <s v="WEJOB"/>
        <s v="WISE"/>
        <s v="WOUXIA CLAN"/>
        <s v="YA DLA JOIE ET DL'EMPLOI (YDLJE)"/>
        <s v="YOBALEMA"/>
        <s v="YOGA ET YOGA"/>
        <s v="YOGALBEDO"/>
        <s v="YOGHINY"/>
        <s v="ZANSHIN CLUB"/>
      </sharedItems>
    </cacheField>
    <cacheField name="Montant du fonds de concours ou de la subvention (numéraire)" numFmtId="0">
      <sharedItems containsSemiMixedTypes="0" containsString="0" containsNumber="1">
        <n v="1.616767E7"/>
        <n v="8060927.5"/>
        <n v="7912204.0"/>
        <n v="3120000.0"/>
        <n v="1735000.0"/>
        <n v="1646816.0"/>
        <n v="1578403.0"/>
        <n v="1537650.0"/>
        <n v="1128560.0"/>
        <n v="1089439.0"/>
        <n v="896350.0"/>
        <n v="892663.0"/>
        <n v="879983.0"/>
        <n v="819458.0"/>
        <n v="752250.0"/>
        <n v="678000.0"/>
        <n v="634600.0"/>
        <n v="567000.0"/>
        <n v="532800.0"/>
        <n v="512833.33"/>
        <n v="494000.0"/>
        <n v="492222.0"/>
        <n v="478850.0"/>
        <n v="461165.0"/>
        <n v="450195.0"/>
        <n v="450000.0"/>
        <n v="426565.0"/>
        <n v="402000.0"/>
        <n v="380000.0"/>
        <n v="357672.0"/>
        <n v="347000.0"/>
        <n v="343924.0"/>
        <n v="339500.0"/>
        <n v="334000.0"/>
        <n v="311500.0"/>
        <n v="300000.0"/>
        <n v="283000.0"/>
        <n v="280000.0"/>
        <n v="243834.0"/>
        <n v="240000.0"/>
        <n v="237000.0"/>
        <n v="223734.0"/>
        <n v="210000.0"/>
        <n v="205000.0"/>
        <n v="200000.0"/>
        <n v="198775.0"/>
        <n v="198000.0"/>
        <n v="190000.0"/>
        <n v="185000.0"/>
        <n v="180000.0"/>
        <n v="170592.0"/>
        <n v="153407.0"/>
        <n v="141174.0"/>
        <n v="132000.0"/>
        <n v="130000.0"/>
        <n v="120000.0"/>
        <n v="119100.0"/>
        <n v="119000.0"/>
        <n v="118603.0"/>
        <n v="115000.0"/>
        <n v="110350.0"/>
        <n v="109834.0"/>
        <n v="105000.0"/>
        <n v="100000.0"/>
        <n v="83680.0"/>
        <n v="82238.0"/>
        <n v="81568.0"/>
        <n v="80000.0"/>
        <n v="73900.0"/>
        <n v="73250.0"/>
        <n v="66000.0"/>
        <n v="64000.0"/>
        <n v="60000.0"/>
        <n v="57500.0"/>
        <n v="57005.0"/>
        <n v="56105.0"/>
        <n v="56000.0"/>
        <n v="55000.0"/>
        <n v="54201.0"/>
        <n v="52500.0"/>
        <n v="52250.0"/>
        <n v="51000.0"/>
        <n v="50580.0"/>
        <n v="50000.0"/>
        <n v="49000.0"/>
        <n v="46500.0"/>
        <n v="46000.0"/>
        <n v="45400.0"/>
        <n v="44200.0"/>
        <n v="41500.0"/>
        <n v="40700.0"/>
        <n v="40000.0"/>
        <n v="37754.0"/>
        <n v="37500.0"/>
        <n v="37000.0"/>
        <n v="35895.0"/>
        <n v="35500.0"/>
        <n v="35000.0"/>
        <n v="33251.0"/>
        <n v="32987.75"/>
        <n v="32500.0"/>
        <n v="31500.0"/>
        <n v="31000.0"/>
        <n v="30500.0"/>
        <n v="30000.0"/>
        <n v="29985.0"/>
        <n v="29750.0"/>
        <n v="29000.0"/>
        <n v="28500.0"/>
        <n v="28000.0"/>
        <n v="27778.0"/>
        <n v="27500.0"/>
        <n v="27000.0"/>
        <n v="25062.0"/>
        <n v="25000.0"/>
        <n v="24500.0"/>
        <n v="23000.0"/>
        <n v="22500.0"/>
        <n v="22000.0"/>
        <n v="21600.0"/>
        <n v="21500.0"/>
        <n v="21350.0"/>
        <n v="21000.0"/>
        <n v="20686.0"/>
        <n v="20500.0"/>
        <n v="20060.0"/>
        <n v="19500.0"/>
        <n v="19000.0"/>
        <n v="18800.0"/>
        <n v="17528.0"/>
        <n v="17500.0"/>
        <n v="17000.0"/>
        <n v="16770.0"/>
        <n v="16628.76"/>
        <n v="16000.0"/>
        <n v="15920.46"/>
        <n v="15800.0"/>
        <n v="15500.0"/>
        <n v="15280.0"/>
        <n v="15000.0"/>
        <n v="14800.0"/>
        <n v="14653.49"/>
        <n v="14500.0"/>
        <n v="14000.0"/>
        <n v="13600.0"/>
        <n v="13050.0"/>
        <n v="13000.0"/>
        <n v="12000.0"/>
        <n v="11950.0"/>
        <n v="11620.0"/>
        <n v="11500.0"/>
        <n v="11380.0"/>
        <n v="11176.0"/>
        <n v="11011.0"/>
        <n v="11000.0"/>
        <n v="10730.0"/>
        <n v="10536.77"/>
        <n v="10083.0"/>
        <n v="10000.0"/>
        <n v="9980.0"/>
        <n v="9880.0"/>
        <n v="9750.0"/>
        <n v="9600.0"/>
        <n v="9520.0"/>
        <n v="9500.0"/>
        <n v="9400.0"/>
        <n v="9000.0"/>
        <n v="8907.0"/>
        <n v="8800.0"/>
        <n v="8640.0"/>
        <n v="8605.0"/>
        <n v="8500.0"/>
        <n v="8400.0"/>
        <n v="8308.0"/>
        <n v="8300.0"/>
        <n v="8200.0"/>
        <n v="8000.0"/>
        <n v="7932.0"/>
        <n v="7800.0"/>
        <n v="7600.0"/>
        <n v="7500.0"/>
        <n v="7475.0"/>
        <n v="7370.0"/>
        <n v="7300.0"/>
        <n v="7100.0"/>
        <n v="7000.0"/>
        <n v="6900.0"/>
        <n v="6800.0"/>
        <n v="6500.0"/>
        <n v="6400.0"/>
        <n v="6182.0"/>
        <n v="6100.0"/>
        <n v="6000.0"/>
        <n v="5900.0"/>
        <n v="5750.0"/>
        <n v="5688.0"/>
        <n v="5500.0"/>
        <n v="5394.0"/>
        <n v="5000.0"/>
        <n v="4880.0"/>
        <n v="4850.0"/>
        <n v="4700.0"/>
        <n v="4634.0"/>
        <n v="4600.0"/>
        <n v="4550.0"/>
        <n v="4500.0"/>
        <n v="4420.0"/>
        <n v="4400.0"/>
        <n v="4300.0"/>
        <n v="4250.0"/>
        <n v="4072.0"/>
        <n v="4000.0"/>
        <n v="3917.0"/>
        <n v="3800.0"/>
        <n v="3700.0"/>
        <n v="3500.0"/>
        <n v="3400.0"/>
        <n v="3300.0"/>
        <n v="3220.0"/>
        <n v="3200.0"/>
        <n v="3109.0"/>
        <n v="3030.0"/>
        <n v="3000.0"/>
        <n v="2800.0"/>
        <n v="2700.0"/>
        <n v="2670.0"/>
        <n v="2635.0"/>
        <n v="2500.0"/>
        <n v="2450.0"/>
        <n v="2400.0"/>
        <n v="2300.0"/>
        <n v="2250.0"/>
        <n v="2200.0"/>
        <n v="2150.0"/>
        <n v="2100.0"/>
        <n v="2064.0"/>
        <n v="2055.0"/>
        <n v="2000.0"/>
        <n v="1800.0"/>
        <n v="1728.0"/>
        <n v="1700.0"/>
        <n v="1650.0"/>
        <n v="1600.0"/>
        <n v="1550.0"/>
        <n v="1534.0"/>
        <n v="1500.0"/>
        <n v="1410.0"/>
        <n v="1400.0"/>
        <n v="1300.0"/>
        <n v="1200.0"/>
        <n v="1080.0"/>
        <n v="1000.0"/>
        <n v="950.0"/>
        <n v="920.0"/>
        <n v="900.0"/>
        <n v="865.0"/>
        <n v="800.0"/>
        <n v="750.0"/>
        <n v="741.0"/>
        <n v="700.0"/>
        <n v="650.0"/>
        <n v="600.0"/>
        <n v="571.0"/>
        <n v="500.0"/>
        <n v="420.0"/>
        <n v="400.0"/>
        <n v="300.0"/>
        <n v="250.0"/>
        <n v="200.0"/>
        <n v="150.0"/>
        <n v="120.0"/>
        <n v="100.0"/>
        <n v="82.0"/>
        <n v="0.0"/>
      </sharedItems>
    </cacheField>
    <cacheField name="Prestations en nature" numFmtId="0">
      <sharedItems containsBlank="1">
        <m/>
        <s v="Communication, locaux, équipements sportifs,"/>
        <s v="Locaux"/>
        <s v="Communication, locaux"/>
        <s v="Locaux, matériel pour manifestations"/>
        <s v="Locaux, équipements sportifs, matériel pour"/>
        <s v="Communication, matériel pour manifestations, locaux"/>
        <s v="Matériel pour manifestations"/>
        <s v="Equipements sportifs"/>
        <s v="Equipements sportifs, matériel pour manifestations"/>
        <s v="Locaux, matériel pour manifestations, matériel"/>
        <s v="Communication, locaux, matériel pour"/>
        <s v="Communication, locaux, matériel pour manifestations"/>
        <s v="Communication, équipements sportifs, matériel pour"/>
        <s v="Locaux, équipements sportifs"/>
        <s v="Locaux, matériel informatique"/>
        <s v="Communication, matériel pour manifestations"/>
        <s v="Communication"/>
        <s v="Communication, matériel informatique"/>
        <s v="Matériel informatique"/>
      </sharedItems>
    </cacheField>
    <cacheField name="avec/sans" numFmtId="0">
      <sharedItems>
        <s v="AVEC"/>
        <s v="SAN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3140" sheet="consolidvert2"/>
  </cacheSource>
  <cacheFields>
    <cacheField name="Année" numFmtId="0">
      <sharedItems containsSemiMixedTypes="0" containsString="0" containsNumber="1" containsInteger="1">
        <n v="2016.0"/>
        <n v="2017.0"/>
      </sharedItems>
    </cacheField>
    <cacheField name="nom des bénéficiaires" numFmtId="0">
      <sharedItems>
        <s v="OPERA NATIONAL DE BORDEAUX"/>
        <s v="ASSOCIATION DES CENTRES D'ANIMATION DE QUARTIERS DE BORDEAUX - ACAQB"/>
        <s v="CCAS DE BORDEAUX"/>
        <s v="ECOLE D'ENSEIGNEMENT SUPÉRIEUR D'ART DE BORDEAUX - ESAB"/>
        <s v="ASSOCIATION PITCHOUN"/>
        <s v="THEATRE NATIONAL DE BORDEAUX EN AQUITAINE - TNBA"/>
        <s v="ASSOCIATION PETITE ENFANCE ENFANCE ET FAMILLE - APEEF"/>
        <s v="UNION SAINT-BRUNO "/>
        <s v="SPORTING CHANTECLER BORDEAUX NORD LE LAC "/>
        <s v="AVANT GARDE ET JEANNE D'ARC DE BORDEAUX CAUDERAN - AGJA BORDEAUX CAUDERAN"/>
        <s v="UNION SPORTIVE LES CHARTRONS "/>
        <s v="LES JEUNES DE SAINT AUGUSTIN - JSA "/>
        <s v="UNION SAINT JEAN - MAISON DE QUARTIER "/>
        <s v="STADE BORDELAIS ASPTT "/>
        <s v="ARC EN REVE"/>
        <s v="MAISON DE L'EMPLOI, DE L'INSERTION ECONOMIQUE ET DE L'ENTREPRISE DE BORDEAUX"/>
        <s v="CLUB PYRENEES AQUITAINE, ASSOCIATION SPORTIVE, EDUCATIVE ET CULTURELLE"/>
        <s v="P'TIT BOUT'CHOU"/>
        <s v="ASSOCIATION BRINS D'EVEIL"/>
        <s v="ASSOCIATION DE GESTION ET D'ANIMATION DES CRECHES C.S.F. (AGEAC/CSF)"/>
        <s v="MISSION LOCALE BORDEAUX AVENIR JEUNES"/>
        <s v="GP INTENCITE CENTRE SOCIAL ET CULTUREL DU GRAND PARC"/>
        <s v="INTERLUDE"/>
        <s v="CENTRE SOCIAL ET FAMILIAL BORDEAUX NORD "/>
        <s v="AMICALE LAIQUE DAVID JOHNSTON LAGRANGE ALBERT BARRAUD NAUJAC"/>
        <s v="SASP UNION BORDEAUX BEGLES"/>
        <s v="FOYER FRATERNEL"/>
        <s v="FESTIVAL DES ARTS DE BORDEAUX"/>
        <s v="ASSOCIATION DU COMITE DES OEUVRES SOCIALES DES MUNICIPAUX DE BORDEAUX - ACOSMB"/>
        <s v="POLE D'ENSEIGNEMENT SUPERIEUR DE LA MUSIQUE ET DE LA DANSE DE BORDEAUX AQUITAINE - PESMD"/>
        <s v="AUTEUIL PETITE ENFANCE"/>
        <s v="LES COQS ROUGES"/>
        <s v="BORDEAUX GRANDS EVENEMENTS (BGE)"/>
        <s v="GESTION DU CENTRE DE LOISIRS DE LA POSTE ALEMA"/>
        <s v="ASSOCIATION PETITS BOUCHONS"/>
        <s v="ASSOCIATION POUR L'INNOVATION EN MATIERE D'INTEGRATION"/>
        <s v="BOXERS DE BORDEAUX"/>
        <s v="SASP JSA BORDEAUX METROPOLE"/>
        <s v="CLUB ATHLETIQUE MUNICIPAL DE BORDEAUX - CAM "/>
        <s v="LES ENFANTS D'OSIRIS"/>
        <s v="PARALLELES ATTITUDES DIFFUSION - ROCKSCHOOL "/>
        <s v="BORDEAUX ETUDIANTS CLUB - BEC "/>
        <s v="EVEILLEZ LES BEBES"/>
        <s v="LES PARENTS DE CAUDERAN"/>
        <s v="LUCILANN"/>
        <s v="BORDEAUX GIRONDE INVESTISSEMENT"/>
        <s v="LA MANUFACTURE ATLANTIQUE "/>
        <s v="GROUPEMENT D'INTERET PUBLIC BORDEAUX MEDIATION"/>
        <s v="ESCALES LITTERAIRES BORDEAUX AQUITAINE"/>
        <s v="ASSOCIATION LA COCCINELLE"/>
        <s v="O'PTIMÔMES LOISIRS"/>
        <s v="ASTROLABE"/>
        <s v="GIRONDINS DE BORDEAUX BASTIDE HANDBALL CLUB "/>
        <s v="LES GIRONDINS DE BORDEAUX "/>
        <s v="NUAGE BLEU"/>
        <s v="OGEC LYCEE BEL ORME"/>
        <s v="LA RONDE DES QUARTIERS DE BORDEAUX"/>
        <s v="VILLA PRIMROSE "/>
        <s v="EMULATION NAUTIQUE DE BORDEAUX "/>
        <s v="CAISSE SOCIALE DE DEVELOPPEMENT LOCAL"/>
        <s v="COS VILLA PIA - EHPAD LES DAMES DE LA FOI"/>
        <s v="GLOB THEATRE"/>
        <s v="MAISON DES JEUNES ET DE LA CULTURE CENTRE DE LOISIRS DES DEUX VILLES - MJC CL2V"/>
        <s v="ECOLE SUPERIEURE DE THEATRE BORDEAUX AQUITAINE - ESTBA"/>
        <s v="UNIS CITE"/>
        <s v="FOOTBALL CLUB DES GIRONDINS DE BORDEAUX - FCGB"/>
        <s v="UNION BORDEAUX METROPOLE - UBM"/>
        <s v="AMICALE DES ETABLISSEMENTS SCOLAIRES LAIQUES DE BACALAN - ALB"/>
        <s v="CAP SCIENCES"/>
        <s v="BORDEAUX MERIGNAC VOLLEY"/>
        <s v="LA HALLE DES DOUVES"/>
        <s v="SOLIHA, SOLIDAIRES POUR L'HABITAT, GIRONDE"/>
        <s v="SEMER LE DOUTE "/>
        <s v="HALTE 33"/>
        <s v="RESEAU PAUL BERT CENTRE SOCIAL ET CULTUREL"/>
        <s v="AGENCE D'URBANISME BORDEAUX METROPOLE AQUITAINE (A'URBA)"/>
        <s v="CHAHUTS"/>
        <s v="LA CAISSE A OUTILS"/>
        <s v="LA MEMOIRE DE BORDEAUX METROPOLE"/>
        <s v="MAISON DE L'EUROPE BORDEAUX-AQUITAINE (MEBA)"/>
        <s v="ASSOCIATION LAIQUE LE PRADO"/>
        <s v="LES PETITS DEBROUILLARDS AQUITAINE"/>
        <s v="FONDATION D'AUTEUIL AQUITAINE"/>
        <s v="THEATRE DU PONT TOURNANT"/>
        <s v="REGIE DE QUARTIER HABITER BACALAN"/>
        <s v="ASSOCIATION DE DEFENSE DES MUSIQUES ALTERNATIVES EN AQUITAINE - ADMAA (ALLEZ LES FILLES)"/>
        <s v="ASSOCIATION UNION BORDEAUX BEGLES"/>
        <s v="LA CITE DU VIN"/>
        <s v="LE SERVICE GAGNANT"/>
        <s v="MAIRES RESPONSABLES METROPOLES FRANCOPHONES - AIMF"/>
        <s v="CENTRE D'INFORMATION JEUNESSE AQUITAINE - CIJA"/>
        <s v="ECOLE DE CIRQUE DE BORDEAUX, CENTRE CULTUREL DES ARTS DU CIRQUE"/>
        <s v="MAISON DE NOLAN"/>
        <s v="ASSOCIATION GIRONDINE D'EDUCATION SPECIALISEE ET DE PREVENTION SOCIALE - AGEP"/>
        <s v="ATELIER GRAPHITE"/>
        <s v="COMPAGNIE DES MARCHES DE L'ETE"/>
        <s v="MUSIQUES DE NUIT - DIFFUSION"/>
        <s v="CONGRES ET EXPOSITIONS DE BORDEAUX"/>
        <s v="ASSOCIATION PROMOTION INSERTION SPORT EN AQUITAINE - APIS"/>
        <s v="MIGRATIONS CULTURELLES AQUITAINE - AFRIQUES (MC2A) "/>
        <s v="ASSOCIATION DU LIEN INTERCULTUREL FAMILIAL ET SOCIAL - ALIFS"/>
        <s v="BORDEAUX BASTIDE BASKET"/>
        <s v="MANA"/>
        <s v="GROUPEMENT D'INTERET PUBLIC DE LA REUSSITE EDUCATIVE DE BORDEAUX"/>
        <s v="QUATUORS A BORDEAUX"/>
        <s v="FORUM AVIGNON"/>
        <s v="TRANSFERT"/>
        <s v="CIE LE SOLEIL BLEU"/>
        <s v="PROMO-FEMMES SAINT MICHEL"/>
        <s v="ENSEMBLE PYGMALION"/>
        <s v="BANQUE ALIMENTAIRE DE BORDEAUX ET DE LA GIRONDE"/>
        <s v="ANPAA - ASSOCIATION NATIONALE DE PREVENTION EN ALCOOLOGIE ET EN ADDICTOLOGIE"/>
        <s v="BORDEAUX GIRONDE HOCKEY SUR GLACE"/>
        <s v="CENTRE D'ACCUEIL D'INFORMATION ET D'ORIENTATION - CAIO"/>
        <s v="DIACONAT DE BORDEAUX"/>
        <s v="RESEAU AQUITAIN DEVELOPPEMENT SOLIDARITE INTERNATIONALE"/>
        <s v="LES JARDINS D'AUJOURD'HUI"/>
        <s v="MASCARETS"/>
        <s v="URBAN VIBRATIONS SCHOOL"/>
        <s v="BORDEAUX SPORTS DE GLACE"/>
        <s v="COLLECTIF DE RESSOURCES BORDEAUX-NORD"/>
        <s v="ASSOCIATION SPORTIVE CHARLES MARTIN - USEP"/>
        <s v="ASSOCIATION FAMILIALE LAIQUE DE BORDEAUX NORD - AFL"/>
        <s v="ECLATS"/>
        <s v="ORGAN PHANTOM "/>
        <s v="ASSOCIATION POUR UNE EDUCATION BUISSONNIERE"/>
        <s v="INSTITUT FRANCAIS"/>
        <s v="TRAFIC"/>
        <s v="IPPO (INFORMATION, PREVENTION, PROXIMITE, ORIENTATION)"/>
        <s v="COMPAGNIE REVOLUTION DANCE"/>
        <s v="L'EPICERIE"/>
        <s v="LE SPORTING-CLUB DE LA BASTIDIENNE "/>
        <s v="ZEBRA 3"/>
        <s v="LE KIOSQUE CULTURE"/>
        <s v="OUVRE LE CHIEN (DANS L'IMMEDIAT)"/>
        <s v="ACADEMIE YOUNUS "/>
        <s v="ACINQBYS_ESPACE 29 A5BIS"/>
        <s v="LA BOITE A JOUER"/>
        <s v="RACING CLUB DE BORDEAUX METROPOLE"/>
        <s v="BORDEAUX ENTREPRENEURS"/>
        <s v="VENUS"/>
        <s v="POLE MAGNETIC"/>
        <s v="AQUINUM - ASSOCIATION DES PROFESSIONNELS DU NUMERIQUE EN AQUITAINE"/>
        <s v="BORDEAUX SERVICE SOLIDARITE"/>
        <s v="INCUBATEUR AU FEMININ BORDEAUX AQUITAINE"/>
        <s v="O SOL DE PORTUGAL"/>
        <s v="CENTRE JEAN VIGO EVENEMENTS"/>
        <s v="COMITE D'ETUDE ET D'INFORMATION SUR DROGUE (PREV. ET TRAITEMENT TOXICOMANIES ET AUTRES ADDICTIONS)"/>
        <s v="AIM ACTIONS INTER MEDIATION"/>
        <s v="UNION SPORTIVE JEUNES DE SAINT-AUGUSTIN - CLUB PYRENEES-AQUITAINE (US JSA-CPA)"/>
        <s v="9-33"/>
        <s v="CIRQUE ECLAIR ECOLE CIRQUE D'AQUITAINE"/>
        <s v="SURF INSERTION"/>
        <s v="LE KFE DES FAMILLES"/>
        <s v="MONOQUINI"/>
        <s v="COMPAGNIE PAUL LES OISEAUX"/>
        <s v="COMPAGNIE THEATRE L'OEIL DE LA LUCARNE"/>
        <s v="N'A QU'UN OEIL"/>
        <s v="YAKAFAUCON"/>
        <s v="SOCIETE ARCHEOLOGIQUE DE BORDEAUX"/>
        <s v="LYCEE PROFESSIONNEL JEHAN DUPERIER"/>
        <s v="COMPAGNONS BATISSEURS AQUITAINE"/>
        <s v="FEDERATION DES SOCIETES CARNAVALESQUES DE L'AGGLOMERATION BORDELAISE"/>
        <s v="GROUPE ANAMORPHOSE"/>
        <s v="L'ATELIER REMUMENAGE"/>
        <s v="LYCEE VITICOLE-CFPPA CHATEAU DILLON (EPLEFPA)"/>
        <s v="CLUB DES ENTREPRISES DE BORDEAUX"/>
        <s v="ASSOCIATION DE SOUTIEN AUX INVENTIONS LIBRES (ASIL)"/>
        <s v="FAMILLES EN GIRONDE - FEDERATION DE LA GIRONDE"/>
        <s v="ASSOCIATION ALCHIMIST"/>
        <s v="AMOS"/>
        <s v="BRUIT DU FRIGO"/>
        <s v="CARTOONING FOR PEACE"/>
        <s v="CONSEIL DEPARTEMENTAL DES ASSOCIATIONS FAMILIALES LAIQUES DE LA GIRONDE - CDAFAL 33"/>
        <s v="ENTREPRISE INTERMEDIAIRE DE PRODUCTION ET DE FORMATION - EIPF"/>
        <s v="FONDS REGIONAL D'ART CONTEMPORAIN - COLLECTION AQUITAINE"/>
        <s v="LA FABRIQUE POLA"/>
        <s v="UNION DEPARTEMENTALE DES CADRES DE LA GIRONDE"/>
        <s v="CENTRE SOCIAL BAGATELLE DISPENSAIRE DE BAGATELLE"/>
        <s v="ENTR-AUTRES"/>
        <s v="MAISON DES ADOLESCENTS DE LA GIRONDE"/>
        <s v="BORDEAUX ROCK"/>
        <s v="EINSTEIN ON THE BEACH"/>
        <s v="ITINERAIRES DES PHOTOGRAPHES VOYAGEURS"/>
        <s v="LE 308"/>
        <s v="LES LEOPARDS DE GUYENNE"/>
        <s v="OPERA PAGAI"/>
        <s v="BORDEAUX ATHLETIC CLUB "/>
        <s v="ENVOL D'AQUITAINE "/>
        <s v="LA COMA"/>
        <s v="YAWATA ASSOCIATION DES ECHANGES DE PROCEDES ARTISTIQUES"/>
        <s v="INSTITUT D'ETUDES POLITIQUES SCIENCES PO"/>
        <s v="AQUITEC"/>
        <s v="INFODROITS"/>
        <s v="MAISON DE L'INITIATIVE ET DE L'ENTREPRENEURIAT - MIE"/>
        <s v="TRAVAUX PUBLICS COMPAGNIE"/>
        <s v="LE 4 DE BORDEAUX"/>
        <s v="CENTRE CULTUREL ET D'ANIMATION DES JEUNES - YAVNE"/>
        <s v="BOXING CLUB BORDELAIS"/>
        <s v="CENTRE DE PREVENTION ET DE LOISIRS DES JEUNES DE BORDEAUX - CPLJ Bordeaux"/>
        <s v="LETTRES DU MONDE"/>
        <s v="COMPAGNIE PRESENCE MICHEL CAHUZAC"/>
        <s v="COULEURS GARONNE"/>
        <s v="AMIS DE L'ORCHESTRE D'HARMONIE DE BORDEAUX"/>
        <s v="AIR ROLLER (ATTENTION INERTIE RENOUVELABLE)"/>
        <s v="ASSOCIATION DES COMMERCANTS ET RIVERAINS DU QUARTIER VICTOIRE"/>
        <s v="COLLECTIF OS'O"/>
        <s v="CONTRÔLE Z AQUITAINE"/>
        <s v="CHAMBRE DES METIERS DE LA GIRONDE"/>
        <s v="JEUNES SCIENCE BORDEAUX"/>
        <s v="ACIDD, ASSOCIATION COMMUNICATION ET INFORMATION POUR LE DEVELOPPEMENT DURABLE"/>
        <s v="ASSOCIATION EMMAUS AQUITAINE BORDEAUX FONDATEUR ABBE PIERRE"/>
        <s v="CENTRE D'ACTION ET DE PREVENTION CONTRE LA RADICALISATION LIEE A L'ISLAMISME (CAPRI)"/>
        <s v="CENTRE RENCONTRES ACTION CULTURELLE BEGLES-CREAC"/>
        <s v="DISPARATE"/>
        <s v="IUFN"/>
        <s v="L'OUMIGMAG"/>
        <s v="MOUVEMENT ATD QUART MONDE"/>
        <s v="NEW BASKET ATTITUDE"/>
        <s v="PERMANENCES DE LA LITTERATURE"/>
        <s v="PROXIMA CENTAURI"/>
        <s v="RESEAU ENTREPRENDRE AQUITAINE"/>
        <s v="RESTAURANTS DU COEUR - RELAIS DU COEUR DE LA GIRONDE"/>
        <s v="SOCIETE PHILOMATHIQUE DE BORDEAUX"/>
        <s v="STADE BASTIDE BORDEAUX BENAUGE - S3B"/>
        <s v="TERRE ET OCEAN"/>
        <s v="SEW &amp; LAINE"/>
        <s v="ARESVI"/>
        <s v="RICOCHET SONORE"/>
        <s v="CULTURES DU COEUR GIRONDE"/>
        <s v="RECHERCHES ET SOLIDARITES"/>
        <s v="DROP DE BETON"/>
        <s v="LES VIVRES DE L'ART"/>
        <s v="SOCIETE DE SAINT-VINCENT-DE-PAUL - CONSEIL DEPARTEMENTAL DE LA GIRONDE"/>
        <s v="ASSOCIATION DES COMMERCANTS DE CAUDERAN SAINT AMAND"/>
        <s v="INSTITUT FRANCAIS DE GEORGIE"/>
        <s v="L'AGENCE CREATIVE"/>
        <s v="LA FLECHE DE BORDEAUX "/>
        <s v="LES P'TITS GRATTEURS"/>
        <s v="LIGUE INTERNATIONALE CONTRE LE RACISME ET L'ANTISEMITISME - SECTION BORDEAUX &amp; GIRONDE - LICRA"/>
        <s v="ZEKI"/>
        <s v="ASSOCIATION DES BROCANTEURS DES CHARTRONS - ABC"/>
        <s v="CLUB SERVICES 33"/>
        <s v="LANGUES EN SCÈNE"/>
        <s v="AMICALE DES PARENTS D'ELEVES DE L'ECOLE STEHELIN"/>
        <s v="BORDEAUX CHANSON"/>
        <s v="ASSOCIATION DES COMMERCANTS &quot;BARRIERE DE PESSAC&quot; BORDEAUX-TALENCE"/>
        <s v="HOCKEY GARONNE SPORT"/>
        <s v="VILLAGE DE LA GROSSE CLOCHE"/>
        <s v="CENTRE DE VOILE DE BORDEAUX-LAC"/>
        <s v="BORDEAUX ACCUEILLE"/>
        <s v="COMITE REGIONAL UFOLEP AQUITAINE"/>
        <s v="COMPAGNIE DES LUBIES"/>
        <s v="CRYPSUM"/>
        <s v="DEFI"/>
        <s v="L'ENVERS"/>
        <s v="LA COMPAGNIE BOUGRELAS"/>
        <s v="LE COKTAIL"/>
        <s v="THEATRE POPULAIRE JOB"/>
        <s v="UNION DEPARTEMENTALE DES ASSOCIATIONS DE COMBATTANTS ET VICTIMES DE GUERRE DE LA GIRONDE (UDAC)"/>
        <s v="APSARAS"/>
        <s v="DANSE AVEC NOUS"/>
        <s v="MONTS ET MERVEILLES"/>
        <s v="UNION BORDEAUX NORD DES ASSOCIATIONS DE PREVENTION SPECIALISEE"/>
        <s v="ACADEMIE DES SCIENCES, BELLES LETTRES ET ARTS DE BORDEAUX"/>
        <s v="GRAND PORT MARITIME DE BORDEAUX"/>
        <s v="AQUITAINE ACTIVE"/>
        <s v="LE GIROFARD"/>
        <s v="ASSOCIATION DES COMMERCANTS DE SAINT-AUGUSTIN"/>
        <s v="KAN-KRA TEAM"/>
        <s v="CALK - COMITE D'ANIMATION LAFONTAINE KLEBER"/>
        <s v="RECUP'R"/>
        <s v="ASSOCIATION RENAISSANCE DES CITES D'EUROPE"/>
        <s v="BORDEAUX OPEN AIR"/>
        <s v="CENTRE D'INFORMATION SUR LES DROITS DES FEMMES ET DES FAMILLES DE LA GIRONDE"/>
        <s v="CENTRE REGIONAL D'ECO-ENERGETIQUE D'AQUITAINE - CREAQ"/>
        <s v="IMPACTS AQUITAINE"/>
        <s v="LA TIERCE"/>
        <s v="LOGEA"/>
        <s v="FOYER SOCIO-EDUCATIF HORTICOLE"/>
        <s v="VIVRE A CAUDERAN"/>
        <s v="UNION DEPARTEMENTALE CONSOMMATION LOGEMENT ET CADRE DE VIE"/>
        <s v="ACTIMAGE"/>
        <s v="LES CAPRICES DE MARIANNE"/>
        <s v="TOMBES DU CIEL"/>
        <s v="TUTTI"/>
        <s v="VERY CHEAP PRODUCTION"/>
        <s v="LE FESTIN "/>
        <s v="RUE BOUFFARD - ASSOCIATION DES COMMERCANTS"/>
        <s v="UNION FRANCAISE SANTE BUCCO-DENTAIRE 33"/>
        <s v="AGENCE LOCALE DE L'ENERGIE ET DU CLIMAT (ALEC)"/>
        <s v="CLAP SUD OUEST"/>
        <s v="COMPAGNIE FOND VERT"/>
        <s v="COMPAGNIE LE GRAIN"/>
        <s v="J'ADORE CE QUE VOUS FAITES"/>
        <s v="LA CHIFFONE RIT"/>
        <s v="LA MAISON DES FAMILLES DE BORDEAUX"/>
        <s v="LES FEES PAPILLONS"/>
        <s v="MAISON DES FEMMES DE BORDEAUX"/>
        <s v="MANDORA"/>
        <s v="RENAISSANCE DE L'ORGUE A BORDEAUX"/>
        <s v="ASSOCIATION JUDAIQUE ST SEURIN"/>
        <s v="CDANSLABOITE"/>
        <s v="ASSOCIATION DES COMMERCANTS DU GRAND PARC"/>
        <s v="AIDES AQUITAINE"/>
        <s v="ASSOCIATION CULTURELLE DU MARCHE DES CHARTRONS"/>
        <s v="GRANDIR ENSEMBLE"/>
        <s v="MERCI GERTRUDE"/>
        <s v="VELO CITE"/>
        <s v="ACCOMPAGNEMENT PSYCHOLOGIQUE ET MEDIATION INTERCULTURELLE - AMI"/>
        <s v="ADORA"/>
        <s v="AGORA DES ARTS"/>
        <s v="ASSOCIATION DU PATRIMOINE ISRAELITE D'AQUITAINE"/>
        <s v="ASSOCIATION GENERATION DUPATY"/>
        <s v="ASSOCIATION OXYGENE"/>
        <s v="BOXING CLUB ALAMELE"/>
        <s v="CLUB REGIONAL DES ENTREPRISES POUR L'INSERTION DE GIRONDE"/>
        <s v="COMPAGNIE HORS SÉRIE"/>
        <s v="CROUS DE BORDEAUX (CENTRE REGIONAL DES OEUVRES UNIVERSITAIRES ET SCOLAIRES)"/>
        <s v="FEDERATION FRANCAISE D'ATHLETISME"/>
        <s v="GUYENNE HANDI-NAGES"/>
        <s v="LE DESSOUS DES BALANCOIRES"/>
        <s v="LE PAIN DE L'AMITIE"/>
        <s v="LES DISQUES DU FENNEC"/>
        <s v="MAISON DE SANTE PROTESTANTE DE BORDEAUX BAGATELLE"/>
        <s v="UNIVERSITE SCIENCES TECHNOLOGIES LILLE 1 - CUEEP"/>
        <s v="WIMOOV"/>
        <s v="BORDEAUX METROPOLE"/>
        <s v="ASSOCIATION DES COMMERCANTS DE LA BARRIERE JUDAIQUE"/>
        <s v="ASPOM JUDO CLUB"/>
        <s v="ASSOCIATION DES COMMERCANTS DU CENTRE COMMERCIAL MERIADECK"/>
        <s v="LE LABO, REVELATEUR D'IMAGES"/>
        <s v="ASSOCIATION SPORTIVE DU GOLF DE BORDEAUX LAC"/>
        <s v="ATELIER D'ECO SOLIDAIRE"/>
        <s v="ACCORDERIE BORDEAUX SUD"/>
        <s v="ALLIANCE DEPARTEMENT 33, JUSQU'AU BOUT ACCOMPAGNER LA VIE..."/>
        <s v="EN ROUTE POUR TRAVAILLER"/>
        <s v="IMAGINA MUSIC"/>
        <s v="L'ESPRIT DU PIANO"/>
        <s v="LA TRIBALE DEMARCHE"/>
        <s v="LUDOLUDIK"/>
        <s v="MAM LES LUCIOLES"/>
        <s v="ASSOCIATION DES COMMERCANTS DE LA RUE DES REMPARTS"/>
        <s v="ASSOCIATION DES EXPLOITANTS DU CENTRE COMMERCIAL QUAI DES MARQUES"/>
        <s v="SAINT CHRISTOLY GIE"/>
        <s v="Ô PLAFOND Entreprises"/>
        <s v="FOOT BALL CLUB BORDEAUX AQUITAINE 33"/>
        <s v="ASSOCIATION DES ECLAIREUSES ET ECLAIREURS DE FRANCE - REGION AQUITAINE"/>
        <s v="AMICALE DES LOCATAIRES DU PORT DE LA LUNE"/>
        <s v="AR'KHAN"/>
        <s v="ASSOCIATION DE GESTION DES CENTRES PSYCHANALYTIQUES DE CONSULTATIONS ET DE TRAITEMENT (CPCT)"/>
        <s v="ASSOCIATION DE SOLIDARITE AVEC TOUS LES IMMIGRES - BORDEAUX (ASTI BORDEAUX)"/>
        <s v="ASSOCIATION DES COMMERÇANTS DU QUARTIER SAINT MICHEL AUTOUR DE LA FLECHE"/>
        <s v="ASSOCIATION LES CREANTS"/>
        <s v="ASSOCIATION SPORT EMPLOI"/>
        <s v="BORDEAUX-BASTIDE-ESCRIME"/>
        <s v="BREV’ART "/>
        <s v="DATCHA"/>
        <s v="DRISSE"/>
        <s v="ECOM33"/>
        <s v="ELLIPTIQUE DYNAMO"/>
        <s v="EQUIPE SAINT VINCENT BORDEAUX CENTRE"/>
        <s v="GROUPE 33"/>
        <s v="JEUNES MUSULMANS DE LA GIRONDE - JMG"/>
        <s v="L'ATELIER DES BAINS DOUCHES"/>
        <s v="LE QUAI AUX LIVRES"/>
        <s v="LES AMIS DU GRAND THEATRE - OPERA DE BORDEAUX"/>
        <s v="MA PTITE MAM ECOLO"/>
        <s v="MOUVEMENT AUTONOME DE DETOURNEMENT EURISTIQUE (MADE)"/>
        <s v="MOUVEMENT DU 8 OCTOBRE"/>
        <s v="NOS REVES PRODUCTIONS"/>
        <s v="OLA"/>
        <s v="PLUME PALETTE"/>
        <s v="SKIN JACKIN BORDEAUX"/>
        <s v="SUR MESURE"/>
        <s v="UNISPHERES"/>
        <s v="COMMERCANTS DU VILLAGE NANSOUTY"/>
        <s v="POMME D'API"/>
        <s v="BORDEAUX MARITIME SAUVETAGE &amp; SECOURISME - BM2S"/>
        <s v="SAINT AUGUSTIN 2015"/>
        <s v="ASSOCIATION BORDEAUX-COMPOSTELLE HOSPITALITE SAINT-JACQUES"/>
        <s v="ASSOCIATION PROMOTION DU GRAND SAINT-MICHEL"/>
        <s v="BASTIDE BENAUGE FUTSAL"/>
        <s v="COMPAGNIE DES LIMBES"/>
        <s v="ESPRIT DE QUARTIER"/>
        <s v="LA CHEVRE NOIRE"/>
        <s v="SCRIPT"/>
        <s v="UNION SPORTIVE VILLENAVAISE CYCLISME"/>
        <s v="UNIVERSITE DE BORDEAUX"/>
        <s v="VOLONTAIRES BORDEAUX 98"/>
        <s v="JEUNE CHAMBRE ECONOMIQUE DE BORDEAUX"/>
        <s v="ASSOCIATION BORDEAUX GAMES"/>
        <s v="ASSOCIATION DES PARALYSES DE FRANCE - APF"/>
        <s v="BORDEAUX-GIRONDE-QUEBEC"/>
        <s v="LA CABANE A GRATTER"/>
        <s v="AMIS DE L'HOTEL DE LALANDE"/>
        <s v="ASSOCIATION DEPARTEMENTALE POUR INFORMATION AU LOGEMENT 33 - ADIL33"/>
        <s v="A PETIT PAS"/>
        <s v="APPRENTISSA'JEU"/>
        <s v="ASSOCIATION DES COMMERCANTS ET ARTISANS LES BERGES DU LAC"/>
        <s v="ASSOCIATION L'ALTERNATIVE-KOUABO"/>
        <s v="ASSOCIATION NATIONALE DES JEUNES ENTREPRENEURS D AQUITAINE"/>
        <s v="ASSOCIATION NATIONALE LE REFUGE"/>
        <s v="ASSOCIATION PETRONILLE"/>
        <s v="ASSOCIATION RAYMONDE ROUSSELLE"/>
        <s v="BACALAN TENNIS CLUB - BTC"/>
        <s v="BADMINTON CLUB BARBEY"/>
        <s v="BORDEAUX FOOTBALL AMERICAIN - LES LIONS DE BORDEAUX"/>
        <s v="CATHEDRA"/>
        <s v="CIE L'ESPECE FABULATRICE"/>
        <s v="CIMADE - SERVICE OECUMENIQUE D'ENTRAIDE"/>
        <s v="CLUB ALPIN FRANCAIS DE BORDEAUX"/>
        <s v="COMPAGNIE BIVOUAC"/>
        <s v="COMPAGNIE ILLICITE FABIO LOPEZ"/>
        <s v="COMPAGNIE REG'ART"/>
        <s v="D'ASQUES ET D'AILLEURS"/>
        <s v="DOCUMENTS D'ARTISTES"/>
        <s v="ENSEMBLE VOCAL SAGITTARIUS"/>
        <s v="EURROM"/>
        <s v="FENETRE SUR RUE"/>
        <s v="FRANCE BENEVOLAT BORDEAUX GIRONDE"/>
        <s v="HABITAT ET HUMANISME GIRONDE - HH33"/>
        <s v="INCITE - BORDEAUX CUB"/>
        <s v="INFO SECTES AQUITAINE"/>
        <s v="JE CHERCHE UN JOB"/>
        <s v="JUDO CLUB BACALANAIS"/>
        <s v="L'ART HACHE SCENE"/>
        <s v="L'ILE AUX OURSONS"/>
        <s v="LA BOITE A SEL"/>
        <s v="LA MAISON DU DIABETE ET DE LA NUTRITION"/>
        <s v="LA NUIT VENUE"/>
        <s v="LA PETITE PALUCHE"/>
        <s v="LES GINKOBILOBIENS"/>
        <s v="LES SURPRISES"/>
        <s v="LIGUE DE L'ENSEIGNEMENT"/>
        <s v="MEDECINS DU MONDE"/>
        <s v="POINT DE FUITE"/>
        <s v="SACREE MARMAILLE"/>
        <s v="TENNIS CLUB BORDEAUX BASTIDE"/>
        <s v="TIMELESS BALLET"/>
        <s v="VIVRE AVEC - SOLIDARITES INTERGENERATIONNELLES"/>
        <s v="ASSOCIATION DU PARC D'ACTIVITE DE BORDEAUX NORD"/>
        <s v="GENERATIONS TAUZIN"/>
        <s v="LES PETITS FRERES DES PAUVRES DE BORDEAUX"/>
        <s v="AQUITAINE CULTURE"/>
        <s v="ASSOCIATION DES COMMERCANTS RUE VOLTAIRE"/>
        <s v="COMMERCANTS DE LA RUE DU TEMPLE"/>
        <s v="AMICALE LAIQUE BORDEAUX CENTRE"/>
        <s v="AQUITAINE PARTAGE"/>
        <s v="ASSOCIATION HABILITEE DES JEUNES SAPEURS POMPIERS DE LA BENAUGE"/>
        <s v="ASSOCIATION PALLIA PLUS"/>
        <s v="ASSOCIATION POUR L'ETUDE ET LA PREVENTION DU SUICIDE EN AQUITAINE"/>
        <s v="BE WELL"/>
        <s v="BORDEAUX BASTIDE BOXE"/>
        <s v="BORDEAUX CRITERIUM CYCLISTE INTERNATIONAL - BCCI"/>
        <s v="CERCLE ARTISTIQUE SAINT AUGUSTIN (CASA)"/>
        <s v="COLLECTIF INTERASSOCIATIF SANTE AQUITAINE (CISSA)"/>
        <s v="GROUPEMENT POUR L'INSERTION DES HANDICAPES PHYSIQUES D'AQUITAINE - GIHP AQUITAINE"/>
        <s v="INSTANT LIBRE"/>
        <s v="LA COMPAGNIE DES PETITES SECOUSSES"/>
        <s v="LA PREVENTION ROUTIERE"/>
        <s v="LES AMIS DE SUPERCOOP"/>
        <s v="MEDIATHEQUE DES MALADES DES HOPITAUX DE BORDEAUX"/>
        <s v="MOI NON PLUS"/>
        <s v="ORIGAMI"/>
        <s v="OZIMAGES"/>
        <s v="PHENIX ECOUTE ET PAROLES"/>
        <s v="SOCIETE D'HORTICULTURE, D'ARBORICULTURE ET DE VITICULTURE DE CAUDERAN"/>
        <s v="SOS AMITIE - REGION DE BORDEAUX AQUITAINE"/>
        <s v="UNION DEPARTEMENTALE DE LA CONFEDERATION SYNDICALE DES FAMILLES EN GIRONDE"/>
        <s v="USEP ELEMENTAIRE FLORNOY"/>
        <s v="ACTIFS 33"/>
        <s v="COLLECTIF MIXERATUM ERGO SUM"/>
        <s v="LES ECHOS DU LAC"/>
        <s v="EXTRA"/>
        <s v="TOOBORDO"/>
        <s v="ASSOCIATION DES COMMERCANTS DE LA RUE SAINT-SERNIN"/>
        <s v="COMPAGNONS DU TOUR FRANCE DES DEVOIRS UNIS"/>
        <s v="DROLE DE SCENE"/>
        <s v="SOCIETE DES MEILLEURS OUVRIERS DE FRANCE GROUPE DE LA GIRONDE"/>
        <s v="ASSOCIATION DE LA RUE NOTRE DAME DES CHARTRONS"/>
        <s v="ASSOCIATION DES COMMERCANTS DE LA RUE JJ ROUSSEAU"/>
        <s v="A PART ENTIERE"/>
        <s v="AIDE AUX AIDANTS DU PAVILLON"/>
        <s v="AIKIDO BORDEAUX BASTIDE"/>
        <s v="AMIS D'ARS ET FIDES BORDEAUX"/>
        <s v="ASSOCIATION COEXISTER"/>
        <s v="ASSOCIATION ESPACE 33"/>
        <s v="ASSOCIATION NATIONALE DES AMIS DE JEAN MOULIN"/>
        <s v="AUTISME GIRONDE"/>
        <s v="CAMPE"/>
        <s v="CENTRE ACCUEIL CONSULTATION INFORMATION SEXUALITE"/>
        <s v="CHANTIERS TRAMASSET"/>
        <s v="COLLEGE JACQUES ELLUL"/>
        <s v="COMITE DE BIENFAISANCE ET DE DEFENSE DES INTERETS DU QUARTIER CAUDERAN-SUD"/>
        <s v="COMPAGNIE JEANNE SIMONE"/>
        <s v="CORP'ART FRANCE"/>
        <s v="ENTENTE DES GENERATIONS POUR L’EMPLOI ET L’ENTREPRISE - EGEE"/>
        <s v="FEDERATION NATIONALE DES ANCIENS DES FORCES FRANCAISES EN ALLEMAGNE ET EN AUTRICHE"/>
        <s v="FEDERATION SOS RACISME GIRONDE-AQUITAINE"/>
        <s v="FONDAUDEGEMENT VOTRE"/>
        <s v="KINO SESSION"/>
        <s v="L'AGENCE DE GEOGRAPHIE AFFECTIVE"/>
        <s v="L'AUBERGE MUSICALE"/>
        <s v="LA CHAMBRE BLEUE"/>
        <s v="LA GROSSE SITUATION"/>
        <s v="LA MANNE EUROPE"/>
        <s v="LA MARGE ROUSSE"/>
        <s v="LA RESERVE"/>
        <s v="MEMOIRES ET PARTAGES"/>
        <s v="MOUVEMENT FRANCAIS POUR LE PLANNING FAMILIAL - ASSOCIATION DEPARTEMENTALE DE LA GIRONDE"/>
        <s v="OBSERVATOIRE DE L'IMMOBILIER D'ENTREPRISE BX METROPOLE"/>
        <s v="PENSION DE FAMILLE"/>
        <s v="RESEAU D'ECHANGES INTERCULTURELS"/>
        <s v="RUELLE (RELAIS URBAIN D'ECHANGES ET DE LUTTE CONTRE L'EXPLOITATION)"/>
        <s v="SAVATE BOXE FRANÇAISE DE BORDEAUX - SBFB"/>
        <s v="SCELMAA SOUTIEN, CULTURE ET LOISIRS DES MAGHREBINS, ALGERIENS EN AQUITAINE"/>
        <s v="SMART COMPAGNIE"/>
        <s v="SOCIETE HISTORIQUE DE BORDEAUX"/>
        <s v="SURFRIDER FOUNDATION EUROPE SIEGE"/>
        <s v="SWINGTIME BORDEAUX"/>
        <s v="THEATRE EN MIETTES"/>
        <s v="UNION LIBRE 2016"/>
        <s v="60 000 REBONDS"/>
        <s v="GEOCACHING ET TOURISME EN AQUITAINE"/>
        <s v="LES AMIS DE SAINTE GENEVIEVE (ASG)"/>
        <s v="MAISON CULTURELLE COREENNE DE BORDEAUX"/>
        <s v="PART-AGE"/>
        <s v="COMMERCANTS, DES RIVERAINS ET SYMPATISANTS DU QUARTIER GAMBETTA"/>
        <s v="ASSOPOURQUOIPAS33 "/>
        <s v="CLUB DES PARISIENS DE BORDEAUX"/>
        <s v="L'AIGLON CENTRE DE JEUNESSE"/>
        <s v="MAITRISE DE BX PETITS CHANTEURS DE BORDEAUX"/>
        <s v="PAUPIETTE"/>
        <s v="COMITE DE QUARTIER BRACH VINCENNES"/>
        <s v="COMITE DES FETES ET DE BIENFAIS. DU QUARTIER NANSOUTY"/>
        <s v="INSTITUT DON BOSCO"/>
        <s v="ECHANGE NORD-SUD"/>
        <s v="ADRIA"/>
        <s v="AFRICAFRANCE"/>
        <s v="APEC (33PASSAJE )"/>
        <s v="ASSOCIATION DES COMMERCANTS ET ARTISANS DU QUARTIER REPUBLIQUE"/>
        <s v="ASSOCIATION DES COMMERCANTS ORNANO - GAVINIES - St VICTOR"/>
        <s v="ASSOCIATION POUR L'ANIMATION ET LES LOISIRS DES PERSONNES AGEES - APALPA"/>
        <s v="ASSOCIATION PRENDRE SOIN DU LIEN - APSL"/>
        <s v="ASSOCIATION SPORTIVE DES SOURDS DE BORDEAUX - ASSB 33"/>
        <s v="BETTY BLUES THEATRE ET MUSIQUE"/>
        <s v="BORDEAUX 5 DE COEUR"/>
        <s v="CIE COIN TRANQUILLE-MANUELLA AZEVEDO"/>
        <s v="CLUB D'ENTREPRISES MERIADECK"/>
        <s v="COMITE DE QUARTIER MARECHAUX/POINCARE"/>
        <s v="COOP ALPHA COOPERATIVE D'ACTIVITES ET D'EMPLOI 33"/>
        <s v="COUP DE POUCE AVENIR"/>
        <s v="GROUPEMENT DES INTELLECTUELS, AVEUGLES OU AMBLYOPES"/>
        <s v="IDEE D'ENSEMBLE"/>
        <s v="INSTITUT DES AFRIQUES"/>
        <s v="L'OUVRE BOITE"/>
        <s v="LE CAFE HISTORIQUE"/>
        <s v="LES JOURNEES DE LA NUTRITION - JDLN"/>
        <s v="MAISON DUPEUX"/>
        <s v="OGEC SAINTE THERESE"/>
        <s v="PETITES SOEURS DES PAUVRES"/>
        <s v="R'2 JEUX (RECYCLAGE DE JEUX)"/>
        <s v="SOLIDARITE BAYTI"/>
        <s v="UNION DEPARTEMENTALE DES ASSOCIATIONS FAMILIALES - UDAF"/>
        <s v="UNION REGIONALE DES INGENIEURS ET DES SCIENTIFIQUES D'AQUITAINE - URISA"/>
        <s v="ENQUETE"/>
        <s v="CONTACT AQUITAINE"/>
        <s v="CENTRE DE RESSOURCES D'ECOLOGIE PEDAGOGIQUE D'AQUITAINE - CREPAQ"/>
        <s v="COMITE GIRONDIN D'ORGANISATION DU CONCOURS UN DES MEILLEURS OUVRIERS DE FRANCE"/>
        <s v="USEP ECOLE PRIMAIRE LAC 1"/>
        <s v="DES JARDINS, DES VOISINS"/>
        <s v="DUENDE ANDALUZ"/>
        <s v="LA BELLE ESTAMPE"/>
        <s v="LES COLCHIQUES DE CONDORCET"/>
        <s v="CALIXTE COEUR DE BASTIDE"/>
        <s v="5UN7"/>
        <s v="AMADEUS"/>
        <s v="AMICALE DES ANCIENS DE LA LEGION ETRANGERE"/>
        <s v="AMICALE DU PATRONAGE LAIQUE ET DU CONSEIL DE PARENTS D'ELEVES DU GROUPE SCOLAIRE NUYENS"/>
        <s v="ARTS MARTIAUX SHAOLIN BORDEAUX"/>
        <s v="ASSOCIATION DES AUDITEURS INSTITUT HAUTES ETUDES DEFENSE NATIONALE REGION AQUITAINE - AQUI IHEDN"/>
        <s v="ASSOCIATION POUR LA CONNAISSANCE DU MONDE VEGETAL"/>
        <s v="ASSOCIATION REFEED"/>
        <s v="ASSOCIATION SPORTIVE DU BARREAU DE BORDEAUX"/>
        <s v="BORDEAUX BRIDGE CLUB ESPRIT DES LOIS"/>
        <s v="BORDEAUX CITE TANGO BCT"/>
        <s v="BORDEAUX HANDISPORT TENNIS"/>
        <s v="BORDEAUX YOUNG BUSINESS CLUB - BYBC"/>
        <s v="CENTRE HA 32"/>
        <s v="CLUB PETANQUE GRAND PARC"/>
        <s v="COLLECTIF FETE DU JEU DE BORDEAUX"/>
        <s v="COMITE ANIMATION DU QUARTIER TONDU-CARREIRE"/>
        <s v="COMITE DE BIENFAISANCE ET DE DEFENSE DU QUARTIER SIMIOT"/>
        <s v="COMITE DEPARTEMENTAL OLYMPIQUE ET SPORTIF DE LA GIRONDE"/>
        <s v="COMITE DES FETES DE BACALAN, BLANQUI ET CLAVEAU"/>
        <s v="COMITE FEMININ GIRONDE POUR LA PREVENTION ET LE DEPISTAGE DES CANCERS"/>
        <s v="CONSERVATOIRE DE LA LANGUE RUSSE ET DE SES FETES TRADITIONNELLES"/>
        <s v="CREAF"/>
        <s v="CULTURE HORS LIMITES"/>
        <s v="ENSEMBLE ORCHESTRAL MOLTO ASSAI"/>
        <s v="ENSEMBLE VOCAL DE BORDEAUX"/>
        <s v="FEDERATION DES RADIOS ASSOCIATIVES DE LA GIRONDE - FEDERA 33"/>
        <s v="GIP CDAD 33"/>
        <s v="GROUPEMENT DE BORDEAUX DES ANCIENS PORTE-DRAPEAUX VOLONTAIRES REGION MILITAIRE DEFENSE AQUITAINE"/>
        <s v="INSTITUT DES CONDUITES ALIMENTAIRES (ICAL)"/>
        <s v="L'OVERGROUND"/>
        <s v="LE CRAYON PAPOTE"/>
        <s v="LES CLOWNS STETHOSCOPES"/>
        <s v="MAGIK'HOPITAL AQUITAINE"/>
        <s v="OGEC ECOLE SPECIA ST FERDINAND"/>
        <s v="OSONS, ICI ET MAINTENANT (OIM)"/>
        <s v="PARRAINAGE 33"/>
        <s v="PHILOSPHERES"/>
        <s v="POLAR EN CABANES - LES AMIS DE CHESTER HIMES EN AQUITAINE, A ARCACHON ET SUR LE BASSIN (ACHAAB)"/>
        <s v="SLAPZINE"/>
        <s v="STAGIAIRES ET ETUDIANTS AFRICAINS EN FRANCE"/>
        <s v="TOUT ART FAIRE"/>
        <s v="VELOPHONIE"/>
        <s v="DES LOUPS DANS LES MURS"/>
        <s v="ASSOCIATION DES COMMERCANTS DU CENTRE COMMERCIAL DES BASTIDES"/>
        <s v="CAMPUS CHARTRONS"/>
        <s v="LES CYRANOS"/>
        <s v="RECREATION INFORMATIQUE TECHNIQUE ARTS APPLIQUES"/>
        <s v="UNION REGIONALE D'AQUITAINE DE L'UNION EUROPEENNE FEMININE SECTION FRANÇAISE"/>
        <s v="OCCE DE LA GIRONDE"/>
        <s v="ASSOCIATION EKOLO[GEEK]"/>
        <s v="ASSOCIATION LE VILLAGE BORDEAUX SUD"/>
        <s v="ASSOCIATION SALAM ET RAHMA"/>
        <s v="BURDIGALA PHOTOS CLUB"/>
        <s v="CHANT LIBRE"/>
        <s v="CHANTE ECOLE"/>
        <s v="COLLECTIF DES ORGANISATIONS DE SOLIDARITE INTERNATIONALE ISSUES DES MIGRATIONS EN AQUITAINE (COSIM)"/>
        <s v="COLLECTIF PARENTS INDEPENDANTS COLLEGE EMILE COMBES BORDEAUX"/>
        <s v="FEDERATION REGIONALE DU SUD-OUEST DES CAMARADES DE COMBAT"/>
        <s v="INTENDANT DU LYCEE MICHEL MONTAIGNE"/>
        <s v="LA PORTE OUVERTE DE BORDEAUX"/>
        <s v="LE CHOEUR DES ECLUSES"/>
        <s v="LE CHOEUR MELUSINE"/>
        <s v="LES BLOUSES ROSES"/>
        <s v="LES FILS DU TONAIRES"/>
        <s v="MIX COLOR UNITED - M.C.U."/>
        <s v="MOUVEMENT ETUDIANT REPUBLICAIN POUR LE DEBAT ET L'ENGAGEMENT"/>
        <s v="PETANQUE REPUBLIQUE"/>
        <s v="RUGBYTOTS"/>
        <s v="VIVONS LA BASTIDE"/>
        <s v="AMIS D'ICI ET D'AILLEURS"/>
        <s v="ASSOCIATION RHIN ET DANUBE ANCIENS DE LA PREMIERE ARMEE FRANCAISE DU DEPARTEMENT DE LA GIRONDE"/>
        <s v="COMITE DE L'ACCOMPAGNEMENT DE L'URBANISME, DEFENSE ENVIRONNEMENT ET RESPECT DE LA SECURITE-CAUDERES"/>
        <s v="COMITE DEPARTEMENTAL DE L'ASSOCIATION DE DEFENSE DES MALADES INVALIDES ET HANDICAPES"/>
        <s v="FEDERATION DES ASSOCIATIONS FAMILIALES CATHOLIQUES - AFC"/>
        <s v="LIBER LANGUE CULTURE CREATION"/>
        <s v="ASSOCIO ASSOCIATION DES ETUDIANTS EN SOCIOLOGIE DE L'UNIVERSITE VICTOR SEGALEN"/>
        <s v="CULTIV'ACTIONS"/>
        <s v="EUROFEEL"/>
        <s v="INTERNATIONAL CLUB OF BORDEAUX (ICB)"/>
        <s v="PEP'S BAND"/>
        <s v="UNION NATIONALE DES COMBATTANTS DE BORDEAUX-CAUDERAN-LE BOUSCAT (UNC)"/>
        <s v="S.A.D.I. QUARTIER BORDEAUX SAINT GENES"/>
        <s v="ASSOCIATION DEFENSE DES RESIDENTS DES QUARTIERS BORDEAUX METROPOLE"/>
        <s v="BORDEAUX ROLLERBLADING ASSOCIATION - BRA"/>
        <s v="LA CIGOGNE DES CAPUS"/>
        <s v="OMEGA ZELLES"/>
        <s v="OPTIMISATION MEMOIRE"/>
        <s v="RESTONS CALMES ! (DANS LA DIGNITE)"/>
        <s v="AMELIORATION DES CONDITIONS DE VIE DES ENFANTS ADOLESCENTS HOSPITALISES"/>
        <s v="A L EAU MUSIC"/>
        <s v="ADDAH 33"/>
        <s v="AGIR POUR UN COMMERE EQUITABLE ET SOLIDAIRE EN AQUITAINE - ACESA"/>
        <s v="AMBASSADE REGIONALE DES CONFRERIES DE PRODUITS DE TERROIR ET DU GOUT"/>
        <s v="AMICALE DES ANCIENS DES TROUPES DE MARINE DE BORDEAUX ET D'AQUITAINE"/>
        <s v="ASSOCIATION DES MEMBRES LA LEGION D'HONNEUR DECORES AU PERIL DE LEUR VIE SECTION AQUITAINE OUEST"/>
        <s v="ASSOCIATION POUR LA READAPTATION ET L'INTEGRATION - ARI"/>
        <s v="ASSOCIATION REGIONALE DES DIPLOMES D'UNIVERSITE D'AQUITAINE - ARDUA"/>
        <s v="ASSOCIATION SCOLAIRE ECOLE CONDORCET 33 (ASEC 33)"/>
        <s v="ASSOCIATION SPORTIVE COLLEGE EDOUARD VAILLANT"/>
        <s v="ASSOCIATION UNION NATIONALE DES COMBATTANTS DE BORDEAUX-CENTRE"/>
        <s v="BORDEAUX PIPE BAND"/>
        <s v="COLLECTIF BTP"/>
        <s v="COMITE DE QUARTIER DANGUILHEM-EMILE ZOLA-BARRIERE DE PESSAC"/>
        <s v="COMITE DES FETES DE BIENFAISANCE ET DES INTERETS DE ST-GENES TALENCE BORDEAUX"/>
        <s v="CONSEIL DEPARTEMENTAL DES PARENTS D'ELEVES DES ECOLES PUBLIQUES DE LA GIRONDE"/>
        <s v="DIZGUYS"/>
        <s v="EKLEKTIKK"/>
        <s v="ETUDIANTS MAROCAINS DE BORDEAUX - EMB"/>
        <s v="FEDE ALIENOR"/>
        <s v="FEMMES SOLIDAIRES DU LAC"/>
        <s v="FOYER SOCIO EDUCATIF SPORTIF COLLEGE BLANQUI"/>
        <s v="GENEPI - GROUPEMENT ETUDIANT NATIONAL D'ENSEIGNEMENT AUX PERSONNES INCARCEREES"/>
        <s v="GIRONDE INFIRMES MOTEURS CEREBRAUX"/>
        <s v="GROUPE D'ACCOMPAGNEMENTS ET DE LOISIRS ADAPTÉS"/>
        <s v="INCROYABLES COMESTIBLES BORDEAUX"/>
        <s v="L'A COSMOPOLITAINE « COSMODANCE »"/>
        <s v="L'ATELIER BUDGETAIRE"/>
        <s v="L'OUTIL EN MAIN DE LA GIRONDE"/>
        <s v="LA REVERB'"/>
        <s v="LE COURRIER DE BOVET"/>
        <s v="LES 13 LUNES"/>
        <s v="LES ARCHERS DE GUYENNE"/>
        <s v="LES BLESSES MULTIPLES ET IMPOTENTS DE GUERRE SECTION DE LA GIRONDE"/>
        <s v="LES JARDINS DE POINCARE"/>
        <s v="OBLIC SOLUTION"/>
        <s v="PETANQUE-CLUB DES TROIS"/>
        <s v="POKER SOURDS BORDEAUX"/>
        <s v="SOCIETE D'ENTRAIDE DE LA MEDAILLE MILITAIRE 12EME SECTION DE BORDEAUX"/>
        <s v="TRETEAUX DE GUYENNE"/>
        <s v="TRISOMIE 21 GIRONDE"/>
        <s v="UNION DES ASSOCIATIONS POUR UNE MAISON DES SOURDS UAMS 33"/>
        <s v="UNION NATIONALE DE FAMILLES ET AMIS DE PERSONNES MALADES"/>
        <s v="VIE ET TRAVAIL A BORDEAUX BACALAN"/>
        <s v="VIE LIBRE"/>
        <s v="LAC 2 SPORTS SCOLAIRES"/>
        <s v="ASSOCIATION DES PSYCHOLOGUES ETUDIANTS (APE)"/>
        <s v="ASSOCIATION POUR LA JEUNESSE, LES INITIATIVES ET LE RESEAU DE L'ENGAGEMENT - AJIRE"/>
        <s v="ASSOCIATION REPUBLICAINE DES ANCIENS COMBATTANTS ET VICTIMES DE LA GUERRE - ARAC"/>
        <s v="C'EST PAR ISIC (INSTIUT DES SCIENCES DE L'INFORMATION ET DE LA COMMUNICATION)"/>
        <s v="CROIX DE GUERRE ET VALEUR MILITAIRE"/>
        <s v="LE TERROIR"/>
        <s v="LYSIAS-BORDEAUX"/>
        <s v="U-TOPOS"/>
        <s v="UNION DEPARTEMENTALE DES SOUS-OFFICIERS EN RETRAITE DE LA GIRONDE (UDSOR)"/>
        <s v="UNION NATIONALE DES COMBATTANTS DE BORDEAUX RIVE-DROITE - UNC"/>
        <s v="ACCOMPAGNER CONDUIRE TRANSMETTRE - ACT"/>
        <s v="AMICALE DES PARACHUTISTES DU SUD-OUEST"/>
        <s v="ASSOCIATION DE DEFENSE DES INTERETS DU QUARTIER DE BACALAN - ADIQ"/>
        <s v="ASSOCIATION NATIONALE DES VISITEURS DE PRISON - ANVP"/>
        <s v="BORDEAUX OPERETTES"/>
        <s v="IMAD IBN ZIATEN POUR LA JEUNESSE ET LA PAIE"/>
        <s v="MAISON ACCUEIL ET INFORMATION 33"/>
        <s v="SOCIETE ASTRONOMIQUE DE BORDEAUX"/>
        <s v="SOCIETE DE PHILOSOPHIE DE BORDEAUX"/>
        <s v="ASSOCIATION NATIONALE MEMBRES DE L'ORDRE NATIONAL DU MERITE - SECTION DEPARTEMENTALE DE LA GIRONDE"/>
        <s v="ASSOCIATION REGIONALE D'AQUITAINE DES COMBATTANTS VOLONTAIRES DE LA RESISTANCE"/>
        <s v="OFFICE AQUITAIN DE RECHERCHES, ETUDES, INFORMATION ET LIAISON SUR PROBLEMES PERSONNES AGEES-OAREIL"/>
        <s v="SOLIDARITE ANAIS JEROME EVENEMENTIEL - SAJE"/>
        <s v="CERCLE D'ETUDES ET DE CULTURE FRANÇAISES (CECF)"/>
        <s v="POP PROJECT"/>
        <s v="LE POQUELIN THEATRE"/>
        <s v="COLLECTIF BORDEAUX-MARINOPOLE"/>
        <s v="RESEAU CANOPE SITE DE POITIERS - CNDP Autres"/>
        <s v="&quot;BAMBINO BERTHELOT&quot; ASSOCIATION DE PARENTS D'ELEVES DE L'ECOLE MATERNELLE BERTHELOT A BORDEAUX"/>
        <s v="1001 JEUNES BORDELAIS"/>
        <s v="2AA"/>
        <s v="2SI2LA"/>
        <s v="4 CATS"/>
        <s v="A TRAVERS CHANT"/>
        <s v="A2RUNNING"/>
        <s v="ABALONE CHASSE BORDEAUX"/>
        <s v="ABEILLES BORDELAISES"/>
        <s v="ACADEMIE BUSHIKAI KARATE DO"/>
        <s v="ACADEMIE PROSPECTIVE NOUVELLES TECHNOLOGIES"/>
        <s v="ACCOMPAGNEMENT ET RECHERCHE PSYCHO-SOCIO EDUCATIFS POUR LES JEUNES (ARPEJE)"/>
        <s v="ACHATS GROUPES ASSOCIATIF POUR L'ECONOMIE SOLIDAIRE DE BORDEAUX - AGAPES"/>
        <s v="ACTA GIRONDE - AGIR CONTRE LA TORTURE DES ANIMAUX"/>
        <s v="ACTION CONTRE LA FAIM"/>
        <s v="ACTION INTERNATIONALE POUR LA PAIX ET LE DEVELOPPEMENT"/>
        <s v="AD LUCEM THEATRE"/>
        <s v="AEP SAINT PROJET"/>
        <s v="AGENCE REGIONALE DE SANTE NOUVELLE AQUITAINE"/>
        <s v="AIGUILLES ET CALAME"/>
        <s v="ALAM AMIS DU LIVRE ANCIEN ET MODERNE"/>
        <s v="ALGERIENS DE L'AQUITAINE"/>
        <s v="ALLIANCE FRANCAISE DE BORDEAUX AQUITAINE"/>
        <s v="ALPTIS"/>
        <s v="ALTER INSERTION"/>
        <s v="AMEPI"/>
        <s v="AMICALE BORDELAISE TRACTION AVANT CITROEN"/>
        <s v="AMICALE COMORIENNE DE BORDEAUX"/>
        <s v="AMICALE DE LA RESIDENCE DU LAC"/>
        <s v="AMICALE DES ANCIENS DE MARIE-BRIZARD - AAMB"/>
        <s v="AMICALE DES ANCIENS DES NOUVELLES GALERIES DE BORDEAUX"/>
        <s v="AMICALE DES ANCIENS GUERILLEROS ESPAGNOLS EN FRANCE-FFI - SECTION DE LA GIRONDE"/>
        <s v="AMICALE DES AVEYRONNAIS DE BORDEAUX ET GIRONDE"/>
        <s v="AMICALE DES PHILIPPEVILLOIS, CONSTANTINOIS ET LEURS AMIS - APCA"/>
        <s v="AMICALE DES RETRAITES U.G.R.R. - I.S.I.C.A. DE BORDEAUX"/>
        <s v="AMICALE LAIQUE DU GROUPE SCOLAIRE LEONARD-LENOIR - MONTAUD - NUITS"/>
        <s v="AMICALE LAIQUE LEONARD LENOIR"/>
        <s v="AMICALE NATIONALE DES RETRAITES DE L'AUDIOVISUEL"/>
        <s v="AMIS DU CAPC MUSEE"/>
        <s v="AMITIES FRANCAISES"/>
        <s v="AMITIES GENEALOGIQUES BORDELAISES"/>
        <s v="AMNESTY INTERNATIONAL GROUPE 234 DE BORDEAUX CENTRE"/>
        <s v="AMOR DEL TANGO"/>
        <s v="ANCIENS BASTIDIENS-CLUB"/>
        <s v="ANIMATIONS VILLAGE SAINT-SEURIN"/>
        <s v="APNEE 33"/>
        <s v="APPEL DES CENT POUR LA PAIX COLLECTIF BORDELAIS"/>
        <s v="APPRENDRE AVEC MONTESSORI AUJOURD'HUI"/>
        <s v="APPRENTIS D'AUTEUIL - DELEGATION AQUITAINE"/>
        <s v="AQUATIC BORDEAUX CAUDERAN CLUB - AB2C"/>
        <s v="AQUITAINE PLONGEE SPORT NAUTIQUE APSN"/>
        <s v="AQUITAINE PREFI-CRESS"/>
        <s v="ARC'ANGECIEL VOYAGES"/>
        <s v="ARCHIMUSE - BORDEAUX"/>
        <s v="AREPT"/>
        <s v="ART EN ACTION - TIC-TAC THEATRE"/>
        <s v="ART EN PRODUCTION"/>
        <s v="ART MEDIUM EN SCENES"/>
        <s v="ART PASTEL"/>
        <s v="ARTISANS DU MONDE BORDEAUX"/>
        <s v="ARTS CROISES"/>
        <s v="ARTS ET COMMUNICATION DU MONDE - ACM"/>
        <s v="ARTS ET LETTRES DE FRANCE ASSOCIATION CULTURELLE INTERNATIONALE"/>
        <s v="ARTS ET SCIENCES"/>
        <s v="ARTS MARTIAUX ET BIEN ETRE"/>
        <s v="ARTS MARTIAUX TRADITIONNELS BORDELAIS"/>
        <s v="ASAD DE BORDEAUX, ASSOCIATION SERVICES D’AIDE A DOMICILE DE BORDEAUX"/>
        <s v="ASC BNP PARIBAS BX TT"/>
        <s v="ASPER 33"/>
        <s v="ASSOCIATION &quot;LA BOULANGERIE&quot;"/>
        <s v="ASSOCIATION AFRICAN SOLIDARITE FRANCE (AASF)"/>
        <s v="ASSOCIATION AMITIE LAO MEKONG DE LA GIRONDE"/>
        <s v="ASSOCIATION AQUITAINE DE QUILLES FINLANDAISES (QUIF)"/>
        <s v="ASSOCIATION ARTS &amp; RENCONTRES"/>
        <s v="ASSOCIATION AUTONOME DES PARENTS D'ELEVES DE BORDEAUX : ECOLES JEAN COCTEAU"/>
        <s v="ASSOCIATION BI-IZARRAK (LES DEUX ETOILES)"/>
        <s v="ASSOCIATION BORDEAUX - USA"/>
        <s v="ASSOCIATION BORDEAUX CULTURE GRAPPLING (ABC GRAPPLING)"/>
        <s v="ASSOCIATION BORDEAUX QUINCONCES"/>
        <s v="ASSOCIATION BORDEAUX-TANESSE"/>
        <s v="ASSOCIATION BORDELAISE DE TAEKWONDO INTERNATIONAL ATLANTICA"/>
        <s v="ASSOCIATION BULGARE CULTURELLE - ABC"/>
        <s v="ASSOCIATION COMUNIDAD"/>
        <s v="ASSOCIATION CONTRE LA TUBERCULOSE ET LES MALADIES ENDEMIQUES - ACTUME"/>
        <s v="ASSOCIATION COOPERATIVE DE L'INSTITUT UNIVERSITAIRE DE TECHNOLOGIE"/>
        <s v="ASSOCIATION CREMATISTE DE LA GIRONDE"/>
        <s v="ASSOCIATION CULTURE ET MUSIQUE DE L'ESTUAIRE - ACME"/>
        <s v="ASSOCIATION CULTURELLE DES ALEVIS DE GIRONDE"/>
        <s v="ASSOCIATION CULTURELLE DES ELEVES DU LYCEE MONTESQUIEU - ACELM"/>
        <s v="ASSOCIATION CULTURELLE DES KABYLES DE BORDEAUX (ACKB)"/>
        <s v="ASSOCIATION D'AQUITAINE DES AMIS D'ALGERIANIE"/>
        <s v="ASSOCIATION DAVID ET JONATHAN"/>
        <s v="ASSOCIATION DE CARDIOLOGIE D'AQUITAINE"/>
        <s v="ASSOCIATION DE DEFENSE DES RESIDENTS DE LA GALERIE (ADREGA)"/>
        <s v="ASSOCIATION DE DEVELOPPEMENT NATUREL (A.D.N.)"/>
        <s v="ASSOCIATION DE FAMILLES DE TRAUMATISES CRANIENS AVENIR - AFTC AVENIR"/>
        <s v="ASSOCIATION DE L'AIDE FAMILIALE POPULAIRE - U.D.C.S.F."/>
        <s v="ASSOCIATION DE L'ECOLE COREENNE DE BORDEAUX - AECB"/>
        <s v="ASSOCIATION DE LA FONDATION ETUDIANTE POUR LA VILLE - AFEV"/>
        <s v="ASSOCIATION DE LOCATAIRES SEM-LM"/>
        <s v="ASSOCIATION DE MEDECINE PHYSIQUE ET READAPTATION D'AQUITAINE (AMPRA)"/>
        <s v="ASSOCIATION DE PARENTS D'ELEVES DE L'ENSEIGNEMENT LIBRE SAINT-MICHEL/SAINT-GENES"/>
        <s v="ASSOCIATION DE PATIENTS POUR PREVENTION TRAITEMENT LUTTE CONTRE MALADIE CHRONIQUE L'OBESITE (ALOA)"/>
        <s v="ASSOCIATION DE PREFIGURATION DE LA COOPERATIVE DE PRESTATAIRES RESPONSABLES SUD-OUEST"/>
        <s v="ASSOCIATION DE PREFIGURATION D’UNE PLATEFORME D’AQUITAINE POUR LE COMMERCE EQUITABLE (LA PLACE)"/>
        <s v="ASSOCIATION DE RIVERAINS BASTIDE-ID"/>
        <s v="ASSOCIATION DE SOLIDARITE BORDEAUX"/>
        <s v="ASSOCIATION DE SOPHROLOGIE EXISTENTIELLE DE BORDEAUX"/>
        <s v="ASSOCIATION DEPART. AMIS ET PARENTS DE PERS. HANDICAPEES MENTALES - LES PAPILLONS BLANCS (ADAPEI)"/>
        <s v="ASSOCIATION DEPARTEMENTALE APAJH DE LA GIRONDE"/>
        <s v="ASSOCIATION DEPARTEMENTALE DE L'OFFICE CENTRAL DE LA COOPERATION A L'ECOLE DE LA GIRONDE - AD-OCCE"/>
        <s v="ASSOCIATION DEPARTEMENTALE DES CONJOINTS SURVIVANTS ET PARENTS D'ORPHELINS DE LA GIRONDE - FAVEC 33"/>
        <s v="ASSOCIATION DEPARTEMENTALE DES PARENTS D'ELEVES DE L'ENSEIGNEMENT PUBLIC DE LA GIRONDE - PEEP AD 33"/>
        <s v="ASSOCIATION DES AMIS D'ELIANE LAVAIL"/>
        <s v="ASSOCIATION DES CITES DU SECOURS CATHOLIQUE - DELEGATION BORDEAUX"/>
        <s v="ASSOCIATION DES COMMERCANTS BORDEAUX RIVE DROITE (BRD)"/>
        <s v="ASSOCIATION DES COMMERCANTS CAUDERAN CENTRE"/>
        <s v="ASSOCIATION DES COMMERCANTS ET ARTISANS DU QUARTIER SAINT MICHEL"/>
        <s v="ASSOCIATION DES COMMERCANTS ET ARTISANS DU QUARTIER STEHELIN"/>
        <s v="ASSOCIATION DES COMMERCANTS ET PROFESSIONNELS DE L'ART DE LA RUE BOUFFARD"/>
        <s v="ASSOCIATION DES COREENS DE BORDEAUX (ACB)"/>
        <s v="ASSOCIATION DES DAMES DU CALVAIRE DE BORDEAUX - MAISON DE SANTE MARIE GALENE"/>
        <s v="ASSOCIATION DES DONNEURS DE VOIX"/>
        <s v="ASSOCIATION DES ELEVES AVOCATS ALIENOR 2015 - ADEAA"/>
        <s v="ASSOCIATION DES ELEVES INGENIEURS DE L'ECOLE NATIONALE SUPERIEURE DES ARTS ET METIERS - AE ENSAM"/>
        <s v="ASSOCIATION DES ELEVES-AVOCATS ALIENOR 2016"/>
        <s v="ASSOCIATION DES ETUDIANTS EN PSYCHOLOGIE DU TRAVAIL ET ERGONOMIE DES SYSTEMES"/>
        <s v="ASSOCIATION DES ETUDIANTS REUNIONNAIS A BORDEAUX - AERB"/>
        <s v="ASSOCIATION DES FAMILLES D'ENFANTS DE LA POSTE ET D'ORANGE - AFEH"/>
        <s v="ASSOCIATION DES GROUPES BIBLIQUES ET UNIVERSITAIRES DE FRANCE - AGBUF-GBU"/>
        <s v="ASSOCIATION DES GUIDES INTERPRETES ET CONFERENCIERS D'AQUITAINE - AGICA"/>
        <s v="ASSOCIATION DES MAIRES DE LA GIRONDE"/>
        <s v="ASSOCIATION DES MUSULMANS DE BORDEAUX NORD (A.M.B.N.)"/>
        <s v="ASSOCIATION DES MUSULMANS DE LA GIRONDE"/>
        <s v="ASSOCIATION DES PARENTS D'ELEVES DE L'ENSEIGNEMENT PUBLIC DU LYCEE CAMILLE JULLIAN"/>
        <s v="ASSOCIATION DES PROFESSIONNELS AQUITAINS DE LA COMMUNICATION (APACOM)"/>
        <s v="ASSOCIATION DES PSYCHOMOTRICIENS DE LA GIRONDE"/>
        <s v="ASSOCIATION DES RESIDENCES DE L'ILOT BONNAC"/>
        <s v="ASSOCIATION DES RETRAITES IRSEA D'AQUITAINE (A.R.I.A.)."/>
        <s v="ASSOCIATION DES RIVERAINS DE LA PLACE MITCHELL"/>
        <s v="ASSOCIATION DES RIVERAINS DU QUARTIER ORNANO-GAVINIES"/>
        <s v="ASSOCIATION DES STAGIAIRES ET ETUDIANTS CAMEROUNAIS DE BORDEAUX (ASECB)"/>
        <s v="ASSOCIATION DES ŒUVRES GIRONDINES DE PROTECTION DE L'ENFANCE"/>
        <s v="ASSOCIATION DU PERSONNEL DE L'OPERA NATIONAL DE BORDEAUX"/>
        <s v="ASSOCIATION DU SOUVENIR DES FUSILLES DE SOUGE"/>
        <s v="ASSOCIATION DU VELO TOUTES VIGNES (AVTV)"/>
        <s v="ASSOCIATION ECOPOLES"/>
        <s v="ASSOCIATION EDUCATIVE D'INSERTION SOCIALE (AEIS)"/>
        <s v="ASSOCIATION EMMAUS GIRONDE"/>
        <s v="ASSOCIATION ETUDIANTE CULTURELLE BOIS DE ROSE"/>
        <s v="ASSOCIATION FAMILIALE CATHOLIQUE BORDEAUX SAINTE-EULALIE VICTOIRE"/>
        <s v="ASSOCIATION FORMATION ET EDUCATION PERMANENTE DE TIVOLI - AFEPT"/>
        <s v="ASSOCIATION FRANCAISE DE PERSONNES SOUFFRANT DE TROUBLES OBSESSIONNELS COMPULSIFS AFTOC"/>
        <s v="ASSOCIATION FRANCAISE DES FUNDRAISERS - GROUPE AQUITAINE"/>
        <s v="ASSOCIATION FRANCO-BRESILIENNE POUR LA RECHERCHE DE L'EQUILIBRE - AFBRE"/>
        <s v="ASSOCIATION FRANCO-KURDE"/>
        <s v="ASSOCIATION France - UKRAINE"/>
        <s v="ASSOCIATION GENERALE DES LOCATAIRES"/>
        <s v="ASSOCIATION GENERALE INTERVENANTS RETRAITES POUR ACTIONS BENEVOLES DE COOPERATION ET DEVELOPPEMENT"/>
        <s v="ASSOCIATION GIRONDINE DES ACTIVITES PROTEGEES - SPORT - LOISIRS (AGAP - SPORT - LOISIRS)"/>
        <s v="ASSOCIATION GOLF D'ENTREPRISES INTER-ENTREPRISES GOLF DE BORDEAUX - IEGB"/>
        <s v="ASSOCIATION INTERNATIONALE POUR LA CULTURE, LE DEVELOPPEMENT ET LA PAIX (AICDP)"/>
        <s v="ASSOCIATION INTERPROFESSIONNELLE BIO REGIONALE (AQUITAINE/LIMOUSIN/POITOU-CHARENTES OU EQUIVALENT)"/>
        <s v="ASSOCIATION JEUNESSE FUTSAL (A.J.F.)"/>
        <s v="ASSOCIATION LE MERLE MOQUEUR"/>
        <s v="ASSOCIATION LEA - UNIVERSITE BORDEAUX MONTAIGNE"/>
        <s v="ASSOCIATION MALADIE CHRONIQUE SPORT BIEN ETRE"/>
        <s v="ASSOCIATION MALINE"/>
        <s v="ASSOCIATION MARIE DE LUZE"/>
        <s v="ASSOCIATION MUSICALARUE"/>
        <s v="ASSOCIATION NATIONALE DES ANCIENS ET AMIS DE L'INDOCHINE ET DU SOUVENIR INDOCHINOIS"/>
        <s v="ASSOCIATION NATIONALE DES RETRAITES DE LA POSTE ET DE France TELECOM"/>
        <s v="ASSOCIATION NATIONALE DES RETRAITES HOSPITALIERS"/>
        <s v="ASSOCIATION NATIONALE POUR LES ENFANTS INTELLECTUELLEMENT PRECOCES DE L'AQUITAINE - ANPEIP"/>
        <s v="ASSOCIATION PAROLE BEGAIEMENT - APB - DELEGATION DEPARTEMENTALE"/>
        <s v="ASSOCIATION POUR L'ENTRAIDE CONTRE LA RECHUTE DE DEPRESSION - AERD"/>
        <s v="ASSOCIATION POUR L'ENVIRONNEMENT ET LA SECURITE EN AQUITAINE - APESA"/>
        <s v="ASSOCIATION POUR L'UNIFICATION DU DROIT DES AFFAIRES EN EUROPE (AUDE)"/>
        <s v="ASSOCIATION POUR LA DEFENSE DE LA FAMILLE ET DE L'INDIVIDU (ADFI)"/>
        <s v="ASSOCIATION POUR LA PROMOTION DES ARTISTES ET CULTURES DU MONDE APAC"/>
        <s v="ASSOCIATION POUR LA RECHERCHE CLINIQUE DE BORDEAUX NORD - ARCBN"/>
        <s v="ASSOCIATION POUR LA SURVEILLANCE DE LA QUALITE DE L'AIR EN AQUITAINE - AIRAQ"/>
        <s v="ASSOCIATION POUR LA VALORISATION EN RELATION AVEC LES PROFESSIONNELS REGION AQUITAINE"/>
        <s v="ASSOCIATION POUR LE DEVELOPPEMENT DES ACTIVITES PHYSIQUES ADAPTEES - ADAPA"/>
        <s v="ASSOCIATION POUR LE DEVELOPPEMENT L'INSERTION ET L'ACCOMPAGNEMENT PERSONNES HANDICAPEES - ADIAPH"/>
        <s v="ASSOCIATION POUR LE DON DE SANG BENEVOLE DE BORDEAUX ET ENVIRONS"/>
        <s v="ASSOCIATION POUR LE DROIT A L'INITIATIVE ECONOMIQUE - ADIE"/>
        <s v="ASSOCIATION POUR LES FOUILLES ARCHEOLOGIQUES NATIONALES - AFAN"/>
        <s v="ASSOCIATION PSYCHANALYTIQUE DES THERAPEUTES FAMILIAUX D'AQUITAINE - APSYFA"/>
        <s v="ASSOCIATION RENOVATION"/>
        <s v="ASSOCIATION RUN FEMINA TOUR"/>
        <s v="ASSOCIATION SOCIALE POUR L'EMPLOI - ASPE"/>
        <s v="ASSOCIATION SOCIO CULTURELLE DE L'ECOLE DE REEDUCATION PROFESSIONNELLE - ASCERP"/>
        <s v="ASSOCIATION SOCIO CULTURELLE LE TAYTA"/>
        <s v="ASSOCIATION SOLIDARTE EMPLOI (ASE) - ADELPHE"/>
        <s v="ASSOCIATION SPORTIVE BANQUE POPULAIRE DU SUD-OUEST"/>
        <s v="ASSOCIATION SPORTIVE COLBERT ASC"/>
        <s v="ASSOCIATION SPORTIVE CULTURELLE DU GAN (ASC GAN)"/>
        <s v="ASSOCIATION SPORTIVE DE LA POLICE JUDICIAIRE DE BORDEAUX"/>
        <s v="ASSOCIATION SPORTIVE DES ANCIENS ET AMIS DE L'ECOLE NORMALE D'INSTITUTEURS (ASAAENI)"/>
        <s v="ASSOCIATION SPORTIVE ET CULTURELLE DE MAYOTTE"/>
        <s v="ASSOCIATION SPORTIVE FC PORTO DE BORDEAUX"/>
        <s v="ASSOCIATION SPORTIVE KASHIRA AIKIDO"/>
        <s v="ASSOCIATION SPORTIVE KUNG-FU WUSHU DE BACALAN"/>
        <s v="ASSOCIATION SPORTIVE LOVENTA AUTOMATIQUE"/>
        <s v="ASSOCIATION SPORTIVE SALINIERES"/>
        <s v="ASSOCIATION TERRITOIRES ET INNOVATION SOCIALE (ATIS)"/>
        <s v="ASSOCIATION THEATR'ACTIF"/>
        <s v="ASSOCIATION VENEZUELA A BORDEAUX"/>
        <s v="ASSOENCORE"/>
        <s v="ATELIER 14 CENTRE DE PRATIQUES ARTISTIQUES ET DE RECHERCHES CHOREGRAPHIQUES"/>
        <s v="ATELIER D’ASTROLOGIE D’AQUITAINE"/>
        <s v="ATELIER VOCAL D'AQUITAINE"/>
        <s v="ATELIERS LIBRES D'AQUITAINE"/>
        <s v="ATELIERS TLC"/>
        <s v="ATLANTIC OLDTIMER.COM"/>
        <s v="AU-DELA DES DUNES"/>
        <s v="AUDITION ET ECOUTE 33 - ASSOCIATION DES PERSONNES ATTEINTES DE PATHOLOGIE AUDITIVE DE LA GIRONDE"/>
        <s v="AUDITION SOLIDAIRE FRANCE SENEGAL"/>
        <s v="BASTIDE EN SCENES"/>
        <s v="BELLIBULLE"/>
        <s v="BENEVOLES EN ACTION"/>
        <s v="BIBLIOTHECA"/>
        <s v="BIEN-ETRE &amp; BONHEUR DE VIVRE - BBV"/>
        <s v="BIO D'AQUITAINE"/>
        <s v="BIO'GUSTIN"/>
        <s v="BOK DIEUF"/>
        <s v="BORD'EAUX LOISIR PECHE"/>
        <s v="BORDEAUX AQUITAINE AERONAUTIQUE ET SPATIAL"/>
        <s v="BORDEAUX BACKGAMMON CLUB"/>
        <s v="BORDEAUX CAUDERAN BRIDGE CLUB (BCBC)"/>
        <s v="BORDEAUX DANCE'IN CLUB "/>
        <s v="BORDEAUX DEMAIN"/>
        <s v="BORDEAUX FUTSAL CLUB"/>
        <s v="BORDEAUX INTER CHALLENGE - BIC"/>
        <s v="BORDEAUX MAYOTTE 101"/>
        <s v="BORDEAUX NIHONGO HOSHU JUGYOKO (ECOLE COMPLEMENTAIRE JAPONAISE DE BORDEAUX)"/>
        <s v="BORDEAUX PALMES AVENTURE"/>
        <s v="BORDEAUX SPORTS"/>
        <s v="BORDEAUX TEATRO ITALIANO BTI"/>
        <s v="BORDEAUX WOMEN'S CLUB"/>
        <s v="BORDEAUX Y NOV CAMPUS"/>
        <s v="BORDELAIS ASSOCIATIFS FALUCHARDS"/>
        <s v="BOULEVARD DES POTES"/>
        <s v="BOXING CLUB BACALANAIS"/>
        <s v="BRASS BAND BORGIAQ"/>
        <s v="BURDIGALA CORPORATION"/>
        <s v="BURDIGALA SAVATE-CLUB"/>
        <s v="C.F.A. - CENTRE DE FORMATION ADAGE"/>
        <s v="C.O.D. FORMATION (FORMASUP CAMPUS)"/>
        <s v="CAC33"/>
        <s v="CAHIERS D'ARCHIVES"/>
        <s v="CALICONTE"/>
        <s v="CANCER SUPPORT FRANCE BORDEAUX &amp; REGION (CSF BORDEAUX &amp; REGION)"/>
        <s v="CAP AND CO"/>
        <s v="CAP CARREIRE : CULTURES, ANIMATIONS ET PARTAGES"/>
        <s v="CAP DE VIE"/>
        <s v="CARABINS DE BORDEAUX"/>
        <s v="CDISCOUNT@SPORT"/>
        <s v="CENTRE ATLANTIC"/>
        <s v="CENTRE CULTUREL TURC DE BORDEAUX ET SES ENVIRONS"/>
        <s v="CENTRE D'ETUDES DE L'AUTO CONNAISSANCE"/>
        <s v="CENTRE D'INFORMATION METAPSYCHIQUE - CDIM"/>
        <s v="CENTRE DE LIAISON DES EQUIPES DE RECHERCHE, CLER AMOUR ET FAMILLES"/>
        <s v="CENTRE DE MUSICOTHERAPIE DE LA GIRONDE"/>
        <s v="CENTRE DE RECHERCHE ET D'INFORMATION POUR LE DEVELOPPEMENT - CRID"/>
        <s v="CENTRE DE SOPHROLOGIE DYNAMIQUE DE BORDEAUX"/>
        <s v="CENTRE DES ETUDES DE LA REPUBLIQUE DEMOCRATIQUE"/>
        <s v="CENTRE DES FESTIVALS FRANCE-RUSSIE"/>
        <s v="CENTRE ENTREPRISE COMMUNICATION AVANCEE - CECA"/>
        <s v="CENTRE REGIONAL D'AQUITAINE D'ETUDES ET D'ACTIONS SUR LES HANDICAPS ET LES INADAPTATIONS - CREAHI"/>
        <s v="CERCLE BORDELAIS DE SANTE (C.B.S.)"/>
        <s v="CERCLE D'AIDE A LA VIE PAR LA VOIE SPIRITUELLE-FRANCE"/>
        <s v="CERCLE D'ETUDES RUSSES"/>
        <s v="CERCLE DES COIFFEURS CREATEURS"/>
        <s v="CERCLE DES ESCRIMEURS BORDELAIS (CEB)"/>
        <s v="CERCLE JEAN BAPTISTE LYNCH"/>
        <s v="CERCLE OENOPHILE AQUITAIN"/>
        <s v="CERCLE PHILATELIQUE BORDEAUX AQUITAINE"/>
        <s v="CERCLE POLITEIA"/>
        <s v="CERCLE POLITZER"/>
        <s v="CHAMBRE PROFESSIONNELLE DES AGENTS COMMERCIAUX DU SUD-OUEST"/>
        <s v="CHEMIN DES ETOILES - CDE"/>
        <s v="CHEMINS DE VIES"/>
        <s v="CHEVRE FOOTBALL CLUB - CFC"/>
        <s v="CINERESEAUX"/>
        <s v="CLAC"/>
        <s v="CLAIR-OBSCUR"/>
        <s v="CLUB 41 FRANCAIS BORDEAUX N° 110"/>
        <s v="CLUB 89"/>
        <s v="CLUB AFRIQUE EN PERSPECTIVES"/>
        <s v="CLUB AMICAL CHAUFFOUR"/>
        <s v="CLUB ATHLETIQUE DU PORT AUTONOME DE BORDEAUX"/>
        <s v="CLUB BORDEAUX-CAMEROUN-FRANCE"/>
        <s v="CLUB BORDELAIS DU CHOCOLAT &quot;CHOCO PASSION&quot;"/>
        <s v="CLUB BOULISTE ALBERT 1er"/>
        <s v="CLUB D'ENTREPRISES BORDEAUX EURATLANTIQUE"/>
        <s v="CLUB D'EXPLORATION SOUS MARINE D'AQUITAINE - CESMA"/>
        <s v="CLUB D'ULTIMATE DE BORDEAUX - 33 TOURS"/>
        <s v="CLUB DE CANNE ET BATON D'AQUITAINE"/>
        <s v="CLUB DE LA PRESSE DE BORDEAUX"/>
        <s v="CLUB DES RANDONNEURS DU PYLA ET DU BASSIN D'ARCACHON"/>
        <s v="CLUB ERASMUS ET MUNDUS"/>
        <s v="CLUB INDEPENDANT BORDELAIS"/>
        <s v="CLUB PHILOSOPHIQUE PENSEE ET AVENIR"/>
        <s v="CLUB « BON GOUT D'AQUITAINE »"/>
        <s v="COJEP BORDEAUX - CONSEIL POUR LA JUSTICE, L'EGALITE ET LA PAIX"/>
        <s v="COLIBRI 33"/>
        <s v="COLLECTIF 33 : LA SANTE UN DROIT POUR TOUS"/>
        <s v="COLLECTIF DES ASSOCIATIONS D'OUTRE-MER EN AQUITAINE DIT C.A.O.M.A."/>
        <s v="COLLECTIF GIRONDIN DES ASSOCIATIONS AUTOUR DE L'AUTISME (CG3A)"/>
        <s v="COLORS INC"/>
        <s v="COMENFRANCE"/>
        <s v="COMITE ACTION PALESTINE"/>
        <s v="COMITE AQUITAIN DE L'ASSOCIATION FRANCAISE DES HEMOPHILES"/>
        <s v="COMITE BORDEAUX BRISTOL"/>
        <s v="COMITE BORDEAUX SUD"/>
        <s v="COMITE D'ANIMATION, DE BIENFAISANCE ET DE DEFENSE DES INTERETS DU QUARTIER NANSOUTY"/>
        <s v="COMITE DE DEFENSE DES INTERETS DES HABITANTS DU LOTISSEMENT JASMIN ET ANNEXES"/>
        <s v="COMITE DE DEFENSE DES TAXIS DE LA GIRONDE"/>
        <s v="COMITE DE LIAISON DES ACTEURS DE LA PROMOTION DANS LE SUD-OUEST - CLAP SUD-OUEST"/>
        <s v="COMITE DE QUARTIER DE CAUDERAN - CQC"/>
        <s v="COMITE DEPARTEMENTAL DE CYCLISME"/>
        <s v="COMITE DEPARTEMENTAL DE L'UNION FRANÇAISE DES OEUVRES LAIQUES D'EDUCATION PHYSIQUE - UFOLEP"/>
        <s v="COMITE DEPARTEMENTAL DE L'UNION SPORTIVE DE L'ENSEIGNEMENT DU PREMIER DEGRE DE LA GIRONDE - USEP 33"/>
        <s v="COMITE DEPARTEMENTAL DE NATATION DE LA GIRONDE"/>
        <s v="COMITE DEPARTEMENTAL DU SPORT ADAPTE DE LA GIRONDE (CDSA 33)"/>
        <s v="COMITE GIRONDIN DE COURSE D'ORIENTATION"/>
        <s v="COMITE MIRABEAU BORDELAIS 2017"/>
        <s v="COMITE PALESTINE 33"/>
        <s v="COMITE REGIONAL DES ASSOCIATIONS DE JEUNESSE ET D'EDUCATION POPULAIRE AQUITAINE (CRAJEP AQUITAINE)"/>
        <s v="COMITE REGIONAL HANDISPORT D'AQUITAINE"/>
        <s v="COMITE REPRESENTATIF DES IDENTITES SOURDES"/>
        <s v="COMMANDERIE DU BONTEMPS MEDOC ET GRAVES - SAUTERNES ET BARSAC"/>
        <s v="COMMUNAUTE CAMEROUNAISE DE BORDEAUX (CCB)"/>
        <s v="COMMUNIC'ARTE"/>
        <s v="COMPAGNIE DONC Y CHOCS"/>
        <s v="COMPAGNIE ELVIRE 40"/>
        <s v="COMPAGNIE EN APARTE"/>
        <s v="COMPAGNIE INDIRA"/>
        <s v="COMPAGNIE JEUNE TALENT"/>
        <s v="COMPAGNIE LEITMOTIV"/>
        <s v="COMPAGNIE REVOLUTION"/>
        <s v="COMPETENCES EN TEMPS PARTAGE GUYENNE - CTP GUYENNE"/>
        <s v="COMPTOIR DE LA CULTURE BRESILIENNE"/>
        <s v="CONSEIL DEPARTEMENTAL DE LA GIRONDE"/>
        <s v="CONVENTION DE LA DIASPORA GABONAISE"/>
        <s v="COORDINATION POUR PROMOUVOIR LES COMPETENCES ET LE VOLONTARIAT AQUITAINE - CPCV AQUITAINE"/>
        <s v="COULEUR COREE"/>
        <s v="CREASSEMBLE"/>
        <s v="CRESUS GIRONDE"/>
        <s v="CRISTINAREY"/>
        <s v="CROISSANT FERTILE"/>
        <s v="CROIX ROUGE FRANÇAISE - DELEGATION LOCALE"/>
        <s v="CTE ETS SEXTANT AVIONIQUE"/>
        <s v="CULTURE ET BIBLIOTHEQUES POUR TOUS"/>
        <s v="CULTURE-S"/>
        <s v="CULTURES DES ARTS CREOLES ET DU MONDE 33 (CACM33)"/>
        <s v="D'SIGN"/>
        <s v="DE VOLTES ET D'ASSAUTS"/>
        <s v="DEALERS DE SCIENCE"/>
        <s v="DEFENSE DE LA LANGUE FRANCAISE, ASSOCIATION DE BORDEAUX"/>
        <s v="DHAGPO BORDEAUX"/>
        <s v="DISCO SOUPE"/>
        <s v="DIVAN D'OUEST"/>
        <s v="DIVERSCITES"/>
        <s v="DLIBERETS"/>
        <s v="DOJO"/>
        <s v="DOULEURS SANS FRONTIERES - DSF"/>
        <s v="DRAG RACING TEAM - DRT"/>
        <s v="DU CHIEN DANS LES DENTS"/>
        <s v="DU SOLEIL DANS LES PIEDS"/>
        <s v="DULCENE"/>
        <s v="DV2G (THEATRE VICTOIRE)"/>
        <s v="ECHIQUIER BORDELAIS"/>
        <s v="ECOLE CHINOISE DE BORDEAUX"/>
        <s v="ECOLE DES GRANDS-PARENTS EUROPEENS BORDEAUX-GIRONDE - EGPE BORDEAUX-GIRONDE"/>
        <s v="ECOLE ESSENTIALISTE"/>
        <s v="ECOLE MUNICIPALE DE NATATION"/>
        <s v="ECOUTE S'IL PLEUT"/>
        <s v="ECOUTER SON CORPS"/>
        <s v="EINAI"/>
        <s v="ELLES CONNECT"/>
        <s v="EN MARCHE"/>
        <s v="ENDOFRANCE"/>
        <s v="ENFANCE ET FAMILLES D'ADOPTION DE LA GIRONDE - ASSOCIATION DES FOYERS ADOPTIFS DE GIRONDE (EFA 33)"/>
        <s v="ENSEMBLE OSKAR ALBERTO"/>
        <s v="ENSEMBLE UN"/>
        <s v="ENSEMBLE VOCAL JUBILATE"/>
        <s v="ENTRAIDE SCOLAIRE AMICALE (ESA)"/>
        <s v="ESCAPADES 33"/>
        <s v="ESKUALDUNEN BILTZARRA - BORDELEKO ESKUAL ETXEA ou MAISON BASQUE DE BORDEAUX"/>
        <s v="ESPACE DECOUVERTE MADAGASCAR"/>
        <s v="ESPACE INTER HANDICAP EUROPEEN A HAUTEUR D'HOMME"/>
        <s v="ESPACES MARX AQUITAINE BORDEAUX GIRONDE EXPLORER CONFRONTER INNOVER"/>
        <s v="ESPOIR 33"/>
        <s v="ESPRIT ETUDIANT-MONTESQUIEU"/>
        <s v="ESSPLICITE"/>
        <s v="ETUDIANTS MUSULMANS DE FRANCE BORDEAUX - EMF BORDEAUX"/>
        <s v="EUROPEAN MENTORING &amp; COACHING COUNCIL, L'ASSOCIATION EUROPEENNE DE COACHING"/>
        <s v="EXPLORER LE SENTIR"/>
        <s v="FAIS UN VOEU MAKE-A -WISH ® FRANCE"/>
        <s v="FAIT DE CI DE SOI"/>
        <s v="FC CARTES ET SERVICES"/>
        <s v="FEDERATION ADDICTION"/>
        <s v="FEDERATION ADMR GIRONDE"/>
        <s v="FEDERATION DE LA GIRONDE POUR LA PECHE ET LA PROTECTION MILIEU AQUATIQUE (FDAAPPMA DE LA GIRONDE)"/>
        <s v="FEDERATION DE PSYCHANALYSE CONTEMPORAINE - FPC"/>
        <s v="FEDERATION DEPARTEMENTALE DU SECOURS POPULAIRE FRANCAIS"/>
        <s v="FEDERATION DES DESIGNERS EN AQUITAINE (FDA)"/>
        <s v="FEDERATION DES MANDATAIRES JUDICIAIRES INDEPENDANTS A PROTECTION MAJEURS AQUITAINE (FMJI AQUITAINE)"/>
        <s v="FEDERATION FRANCAISE DE NATATION"/>
        <s v="FEDERATION FRANCAISE DES PSYCHOLOGUES ET DE PSYCHOLOGIE - FFPP"/>
        <s v="FEDERATION GIRONDINE DE GENEALOGIE - FGG"/>
        <s v="FEDERATION MUSULMANE DE LA GIRONDE"/>
        <s v="FEDERATION NATIONALE D'AIDE AUX INSUFFISANTS RENAUX D'AQUITAINE - FNAIR AQUITANE"/>
        <s v="FEDERATION NATIONALE DES SERVICES SOCIAUX SPECIALISES DE PROTECTION DE L'ENFANCE - FN3S"/>
        <s v="FEDERATION POUR LA RECHERCHE SUR LE CERVEAU - CAMPAGNE DU NEURODON 2004"/>
        <s v="FEDERATION REGIONALE DES DECORES DU TRAVAIL NOUVELLE-AQUITAINE (FRDT)"/>
        <s v="FEDERATION SYNDICALE UNITAIRE 33 - FSU 33"/>
        <s v="FEMMES INTERNATIONALES MURS BRISES"/>
        <s v="FISH AND SHOES"/>
        <s v="FITNESS FREESTYLE"/>
        <s v="FOIRE AUX PLAISIRS DE BORDEAUX"/>
        <s v="FONDA SUD-OUEST"/>
        <s v="FONDATION DU PATRIMOINE - DELEGATION AQUITAINE"/>
        <s v="FONDATION MAISON DE LA GENDARMERIE"/>
        <s v="FOOT LOISIRS DOCKERS DE BORDEAUX"/>
        <s v="FOOTBALL CLUB DE LA PRESSE BORDELAISE"/>
        <s v="FOOTBALL-CLUB BORDEAUX OCEAN"/>
        <s v="FOOTBALL-CLUB ROUGE"/>
        <s v="FORCE FEMMES"/>
        <s v="FORRO BORDEAUX"/>
        <s v="FORUM DES CULTURES ET DES TRADITIONS"/>
        <s v="FOYER SOCIO-EDUCATIF DU COLLEGE ALAIN FOURNIER"/>
        <s v="FRANCE ALZHEIMER GIRONDE"/>
        <s v="FRANCE AMERIQUE LATINE COMITE BORDEAUX GIRONDE"/>
        <s v="FRANCE PLUS GIRONDE"/>
        <s v="FRANCE PSORIASIS"/>
        <s v="France PARKINSON"/>
        <s v="GABON, SOLIDARITE ET PAIX"/>
        <s v="GARGANTUA"/>
        <s v="GASP'ART"/>
        <s v="GAZELLISSIMES"/>
        <s v="GEAR LOCKER"/>
        <s v="GEM &quot;LES NEUROFESTIFS 33&quot;"/>
        <s v="GIRONDE ROUMANIE ECHANGES ET CULTURE"/>
        <s v="GIRONDINS DE BORDEAUX TIR"/>
        <s v="GRAIN DE SABLE"/>
        <s v="GRAINES DE SOLIDARITE"/>
        <s v="GROUPE ATTAC 33"/>
        <s v="GROUPE D'ETUDE POUR L'INSERTION SOCIALE DES PERSONNES PORTEUSES D'UNE TRISOMIE 21 - GEIST 21"/>
        <s v="GROUPE LOCAL ACTION DES CHRETIENS POUR L'ABOLITION DE LA TORTURE DE BORDEAUX"/>
        <s v="GROUPE PASSERELLE"/>
        <s v="GROUPE VOCAL ARPEGE DE BORDEAUX"/>
        <s v="GROUPEMENT DES RETRAITES EDUCATEURS SANS FRONTIERES - GREF"/>
        <s v="GYMNASTIQUE VOLONTAIRE BORDEAUX BASTIDE"/>
        <s v="GYMNASTIQUE VOLONTAIRE BORDEAUX LOUCHEUR"/>
        <s v="GYMNASTIQUE VOLONTAIRE CHAUFFOUR"/>
        <s v="GYMNASTIQUE VOLONTAIRE LESCURE"/>
        <s v="GYMNASTIQUE VOLONTAIRE PERGOLA STEHELIN"/>
        <s v="GYMNASTIQUE VOLONTAIRE QUARTIER ST NICOLAS"/>
        <s v="H NORD ECOQUARTIER DE BORDEAUX - H NORD"/>
        <s v="HABAD LOUBAVITCH BORDEAUX"/>
        <s v="HABITATS JEUNES SIMONE NOAILLES"/>
        <s v="HAITI EN VIE"/>
        <s v="HALEIWA"/>
        <s v="HANDICAP INTERNATIONAL"/>
        <s v="HANDISPORT 33 AMICALE SPORTIVE DES HANDICAPES PHYSIQUES D'AQUITAINE - ASHPA"/>
        <s v="HARMONIE STRETCH ET DETENTE"/>
        <s v="HISTOIRE(S) DE LA BASTIDE"/>
        <s v="HORS BORD"/>
        <s v="ICRONOS"/>
        <s v="IDEH - INITIATIVES POUR LE DEVELOPPEMENT HUMAIN"/>
        <s v="ILOT DES MOTS"/>
        <s v="INNER WHEEL CLUB DE BORDEAUX MEDOC"/>
        <s v="INSTANCE REGIONALE D'EDUCATION ET DE PROMOTION SANTE NOUVELLE-AQUITAINE (IREPS NOUVELLE-AQUITAINE)"/>
        <s v="INSTANTS BORDELAIS"/>
        <s v="INSTITUT BERGONIE"/>
        <s v="INSTITUT DE FORMATION ET D'APPUI AUX INITIATIVES DE DEVELOPPEMENT - IFAID AQUITAINE"/>
        <s v="INSTITUT DE JOURNALISME BORDEAUX AQUITAINE"/>
        <s v="INSTITUT MACONNIQUE D'AQUITAINE"/>
        <s v="INSTITUT MEDICO-PEDAGOGIQUE SAINT JOSEPH"/>
        <s v="INSTITUT REGIONAL DES SOURDS ET DES AVEUGLES - IRSA"/>
        <s v="IRON SPORT BORDEAUX"/>
        <s v="ITAL'ICI"/>
        <s v="JARDIN ET ECOTOURISME"/>
        <s v="JETER L'ENCRE"/>
        <s v="JEUNE ACADEMIE VOCALE D'AQUITAINE"/>
        <s v="JEUNE BALLET D AQUITAINE"/>
        <s v="JUDO-CLUB GIRONDIN OMNISPORTS"/>
        <s v="KALINA'GO"/>
        <s v="KARAVAN BORDELAISE"/>
        <s v="KAZ ANANDA"/>
        <s v="KEEP A BREAST EUROPE FOUNDATION"/>
        <s v="KI E KI"/>
        <s v="KILOMBO KINTWADI"/>
        <s v="KPOP DANCE MOVE BORDEAUX - KDM BORDEAUX"/>
        <s v="KUNG-FU WUSHU ACADEMIE (KFWA)"/>
        <s v="L'AMICALE DES CHINOIS DU SUD-OUEST (ADCSO)"/>
        <s v="L'ASSOCIATION DES BISSAU-GUINEENS"/>
        <s v="L'ASSOCIATION SLAVE"/>
        <s v="L'ASSOS DIET"/>
        <s v="L'ATELIER CHOREGRAPHIQUE"/>
        <s v="L'ATELIER VIDEO PIRATE"/>
        <s v="L'ATEUL"/>
        <s v="L'AUTRE - ASSOCIATION DES ETUDIANTS EN ANTHROPOLOGIE SOCIALE ET CULTURELLE"/>
        <s v="L'ERE H"/>
        <s v="L'ESTEY"/>
        <s v="L'INSTITUT BORDELAIS DE STYLISME MODELISME"/>
        <s v="L'OLYMPIQUE-CLUB BORDELAIS - OCB"/>
        <s v="L'ORANGEADE"/>
        <s v="L'OSTAU OCCITAN"/>
        <s v="LA CIGOGNE"/>
        <s v="LA CLE DU QUAI"/>
        <s v="LA COMPAGNIE &quot;LES FOUS DE LA RAMPE&quot;"/>
        <s v="LA COMPAGNIE CHRONIQUE"/>
        <s v="LA COMPAGNIE DES FIGURES"/>
        <s v="LA COMPAGNIE GARONOTES"/>
        <s v="LA COUR DES ENFANTS"/>
        <s v="LA DAME A LA LICORNE"/>
        <s v="LA GALERIE EPHEMERE"/>
        <s v="LA GYM SUEDOISE BORDEAUX"/>
        <s v="LA HOULETTE"/>
        <s v="LA MAIN A L’OREILLE"/>
        <s v="LA MAISON DE MARIE"/>
        <s v="LA MANIF POUR TOUS 33"/>
        <s v="LA MARMAILLE"/>
        <s v="LA MOBYLETTE"/>
        <s v="LA PARENTELE"/>
        <s v="LA PLUME ET L'OREILLE"/>
        <s v="LA ROUTE DES VINS - ECOLE DE COMMERCE EUROPEENNE"/>
        <s v="LABE'ART"/>
        <s v="LACLE - LA MAISON DES PARENTS ET DES MINEURS"/>
        <s v="LADAPT LIGUE ADAPTATION DIMINUES PHYSIQUE AU TRAVAIL"/>
        <s v="LADIES' CIRCLE BORDEAUX 20"/>
        <s v="LAFEDERATION 33"/>
        <s v="LATINO MEX BORDEAUX"/>
        <s v="LAXMI GIRONDE"/>
        <s v="LE CANNELE D'ADRESSES"/>
        <s v="LE CHAINON MANQUANT"/>
        <s v="LE CHOEUR VOYAGEUR"/>
        <s v="LE LABO DES HISTOIRES section Sud-Atlantique"/>
        <s v="LE LABO DES LETTRES"/>
        <s v="LE LYS ET LE LEOPARD"/>
        <s v="LE P'TIT BOUT DE QUARTIER"/>
        <s v="LE PETIT INSTITUT DE CHINE : ECOLE D'ARTS MARTIAUX ET CULTURE CHINOISE"/>
        <s v="LE RELAIS GIRONDE"/>
        <s v="LE THEATRE DES EGREGORES"/>
        <s v="LEGATO CIE"/>
        <s v="LEO CLUB BORDEAUX INTERNATIONAL - LBI"/>
        <s v="LES AMIS AQUITAINS DES SEMAINES SOCIALES DE France"/>
        <s v="LES AMIS DE BORDEAUX-SUD"/>
        <s v="LES AMIS DE LA RUE KLEBER"/>
        <s v="LES AMIS DE LA TERRE GIRONDE"/>
        <s v="LES ANCIENS DE BACALAN CLAVEAU"/>
        <s v="LES ANNALES DE L'ESPRIT"/>
        <s v="LES BORDELUCHES"/>
        <s v="LES BRUITS DE LA RUE"/>
        <s v="LES COQUELICOTS"/>
        <s v="LES COUCOUS"/>
        <s v="LES DOSSIERS D'AQUITAINE ET D'AILLEURS"/>
        <s v="LES ENTREPRENEURS ET DIRIGEANTS CHRETIENS"/>
        <s v="LES FEES REIKI"/>
        <s v="LES FEES RUE"/>
        <s v="LES FILLES D'A COTE"/>
        <s v="LES GOUPILS"/>
        <s v="LES HABITANTS ET RIVERAINS DU QUARTIER SAINT-GENES-BOURSE DU TRAVAIL - COSTEDOAT"/>
        <s v="LES IMPROVISATEURS ANONYMES"/>
        <s v="LES INDEPENDANTS PLASTICIENS DE BORDEAUX"/>
        <s v="LES INSTRUMENTS ANCIENS DE BORDEAUX"/>
        <s v="LES JOIES HUMAINES"/>
        <s v="LES MORPHOGENISTES"/>
        <s v="LES MUSCLES BORDELAIS"/>
        <s v="LES PETITS TRETEAUX"/>
        <s v="LES PINSONS"/>
        <s v="LES PRODUCTIONS DE L'ANGE"/>
        <s v="LES RIVERAINS DU STADE PROMIS"/>
        <s v="LES ROSES DE DAMAS"/>
        <s v="LES VAILLANTS DE SAINT SEURIN"/>
        <s v="LES Z'ARPETES"/>
        <s v="LESBIAN &amp; GAY PRIDE BORDEAUX DITE AUSSI LGP BORDEAUX"/>
        <s v="LIBRE PENSEE"/>
        <s v="LICHORE"/>
        <s v="LIGUE CONTRE LE CANCER"/>
        <s v="LIGUE D'AQUITAINE DE HANDBALL"/>
        <s v="LIGUE D'AQUITAINE DE VOLLEY BALL"/>
        <s v="LIGUE FRANÇAISE POUR LA DEFENSE DROITS DE L'HOMME ET DU CITOYEN (LDH) ET LIGUE DROITS DE L'HOMME"/>
        <s v="LIGUE NATIONAL DE RUGBY"/>
        <s v="LIONS BORDEAUX SAINT AUGUSTIN"/>
        <s v="LIONS CLUB BORDEAUX - EUROPE - DISTRICT 103 SUD-OUEST"/>
        <s v="LIONS CLUB BORDEAUX LE BOUSCAT"/>
        <s v="LIONS CLUB BORDEAUX RIVE-GAUCHE"/>
        <s v="LIONS CLUB BORDEAUX TOURNY"/>
        <s v="LIONS CLUB DE BORDEAUX LA FAYETTE"/>
        <s v="LIONS-CLUB DE BORDEAUX CAUDERAN"/>
        <s v="LOS TREINTA Y TRES"/>
        <s v="LOUONS L'ETERNEL"/>
        <s v="LUNA D'AIGA"/>
        <s v="LUPUS DE FRANCE"/>
        <s v="L’ASSOCIATION POUR LE MAINTIEN DE L’AGRICULTURE PAYSANNE DITE &quot;L’AMAP CAUDERANAISE&quot;"/>
        <s v="MACCABI SPORTS DE BORDEAUX"/>
        <s v="MADE IN MOVEMENT"/>
        <s v="MAGNETOGRAMMES ASSOCIATION"/>
        <s v="MAISON D'ALGERIE EN AQUITAINE"/>
        <s v="MAISON DE LA NATURE ET DE L'ENVIRONNEMENT"/>
        <s v="MAISON DES METIERS DE L'IMPRIMERIE"/>
        <s v="MAISON DES SOURDS DE LA GIRONDE - MS 33"/>
        <s v="MAJ"/>
        <s v="MAM'OURS"/>
        <s v="MANTA PLONGEE"/>
        <s v="MARATHON JOB EUROPA"/>
        <s v="MAROC, DEVOIRS ET DROITS"/>
        <s v="MAWA DE GIRONDE"/>
        <s v="MBOLO ASSOCIATION DES GABONAIS DE LA GIRONDE"/>
        <s v="MELTING SIGNES"/>
        <s v="MENSA AQUITAINE"/>
        <s v="MHIGE INSEEC - MISSION INTER GRANDES ECOLES DE L'INSEEC"/>
        <s v="MINE DE RIEN"/>
        <s v="MIRAIL INFORMATIQUE"/>
        <s v="MOTO CLUB HEXAGON BORDEAUX"/>
        <s v="MOTS ET MATIERES(S)"/>
        <s v="MOUVEMENT EUROPEEN FRANCE-GIRONDE"/>
        <s v="MUSIC'S COOL"/>
        <s v="MUSICA IN CATHEDRA"/>
        <s v="MUSIQUE MUNICIPALE"/>
        <s v="MUSIQUES EN ROUTE"/>
        <s v="MY KARTEL"/>
        <s v="NACAO PALMARES CAPOEIRA DE BORDEAUX"/>
        <s v="NIRE LAGUNA THOMAS"/>
        <s v="NOTRE DAME DE BARRAILS"/>
        <s v="NOTRE ITALIE"/>
        <s v="NOUS CITOYENS"/>
        <s v="NOUS VOULONS LIRE !"/>
        <s v="NOUVEAU COMITE FOIRE AUX PLAISIRS"/>
        <s v="NOUVELLE DONNE"/>
        <s v="OCCS"/>
        <s v="OCTANDRE"/>
        <s v="OFFICE ARTISTIQUE DE REGION AQUITAINE"/>
        <s v="OFFICIERS DE RESERVE"/>
        <s v="OKIWI"/>
        <s v="ONG QUISHUAR"/>
        <s v="OPERA BASTIDE"/>
        <s v="OPUS 33"/>
        <s v="ORGANISATION SOCIO-CULTURELLE DE BORDEAUX IV OSB IV"/>
        <s v="OSEZ LE FEMINISME 33 !"/>
        <s v="OUI A LA VIE"/>
        <s v="PALLIAQUITAINE"/>
        <s v="PARTI OUVRIER INDEPENDANT DEMOCRATIQUE DE LA GIRONDE - POID33"/>
        <s v="PASSERELLES ET COMPETENCES"/>
        <s v="PAUSE-CAFE"/>
        <s v="PENA FLAMENCA COPAS Y COMPAS"/>
        <s v="PENA MADRIDISTA DE BORDEAUX"/>
        <s v="PERCEPTA - TAI CHI CHUAN ET DEVELOPPEMENT PERSONNEL"/>
        <s v="PERES &amp; FILS RUGBY 33"/>
        <s v="PETANQUE BACALANAISE"/>
        <s v="PETANQUE CLUB EMILE COMBES"/>
        <s v="PEUPLES SOLIDAIRES"/>
        <s v="PHENIX DE BELCIER"/>
        <s v="PHOTO CLUB DE BORDEAUX"/>
        <s v="PICTUR'ART"/>
        <s v="PLAN INTERNATIONAL FRANCE - PLAN FRANCE"/>
        <s v="PLANETE BORDEAUX"/>
        <s v="PLATEFORME AQUITAINE DE COMMERCE EQUITABLE - PLACE"/>
        <s v="PLENI'OM"/>
        <s v="POINT RENCONTRE DE BORDEAUX"/>
        <s v="POLIFONIA ELIANE LAVAIL"/>
        <s v="POLSKIE BORDEAUX"/>
        <s v="POLYCAP 33"/>
        <s v="POUR UN COMMERCE ETHIQUE DE L'ART, RENCONTRES, TOURISME - PUCEART"/>
        <s v="POUR UN SOURIRE D'ENFANT AQUITAINE"/>
        <s v="PRISME"/>
        <s v="PROF'APA"/>
        <s v="PROJETS HORS LES MURS - PHM"/>
        <s v="PROMETHEE"/>
        <s v="QUETZALCOATL"/>
        <s v="RADIO CHU"/>
        <s v="RASSEMBLEMENT DU PEUPLE SOUVERAIN POUR UNE FRANCE INDEPENDANTE ET UNE REPUBLIQUE SOCIALE"/>
        <s v="REBATIR LA FRANCE"/>
        <s v="REG'ARTS D'AILLEURS"/>
        <s v="REGGAE SUN SKA"/>
        <s v="RELAIS AMICAL MALAKOFF MEDERIC BORDEAUX AQUITAINE"/>
        <s v="RESEAU AQUITAIN DES MUSIQUES ACTUELLES - RAMA"/>
        <s v="RESEAU FRANCAIS SUR L’ENTENTE DE VOIX (REV FRANCE)"/>
        <s v="RESEAUX ADOS GIRONDE"/>
        <s v="RIVE DROITE 2000"/>
        <s v="ROLLER DERBY BORDEAUX CLUB"/>
        <s v="ROSE ATTITUDE BORDEAUX"/>
        <s v="ROTARY CLUB DE BORDEAUX-OUEST"/>
        <s v="ROTARY-CLUB DE BORDEAUX-SUD"/>
        <s v="SAAPERLIPOPETTE"/>
        <s v="SAINT MARTIN BORDEAUX CULTURAL CONNECTIONS"/>
        <s v="SALAM"/>
        <s v="SASP FOOTBALL CLUB DES GIRONDINS DE BORDEAUX"/>
        <s v="SCOUTS ET GUIDES DE FRANCE - Section de Tarbes"/>
        <s v="SE CANTO BASTIDE"/>
        <s v="SECOURS CATHOLIQUE-CARITAS FRANCE (DELEGATION DE LA GIRONDE)"/>
        <s v="SECUCAF BORDEAUX FOOTBALL D'ENTREPRISE"/>
        <s v="SERVICE DEPARTEMENTAL D'INCENDIE ET DE SECOURS DE LA GIRONDE"/>
        <s v="SERVICE UNIVERSITAIRE DES ACTIVITES PHYSIQUES ET SPORTIVES (SUAPS)"/>
        <s v="SIDACTION"/>
        <s v="SOCIETE BORDELAISE D'AQUARELLE"/>
        <s v="SOCIETE D'ENTRAIDE DES MEMBRES DE LA LEGION D'HONNEUR COMITE DE BORDEAUX SECTEUR CAUDERAN"/>
        <s v="SOCIETE D'HISTOIRE DE BORDEAUX"/>
        <s v="SOCIETE DE GEOGRAPHIE DE BORDEAUX"/>
        <s v="SOCIETE DES AMIS DU MUSEE DES BEAUX-ARTS DE BORDEAUX"/>
        <s v="SOCIETE DES BIBLIOPHILES DE GUYENNE"/>
        <s v="SOCIETE DES COMPAGNONS DU TOUR DE France DU DEVOIR EGALITAIRE - CHAMBRE COMPAGNONALE DE BORDEAUX"/>
        <s v="SOCIETE DES FETES CAUDERANAISES"/>
        <s v="SOCIETE DES NEUROSCIENCES"/>
        <s v="SOCIETE SYMPHONIQUE DE BORDEAUX-CAUDERAN"/>
        <s v="SOLIDARITE-LOGEMENT BORDEAUX-BOULEVARDS"/>
        <s v="SOMATO-PSYCHO-PEDAGOGIE EN AQUITAINE"/>
        <s v="SONG LONG BORDEAUX"/>
        <s v="SOS PLACE GAMBETTA"/>
        <s v="SOUTIEN, CULTURE ET LOISIRS DES MAGHREBINS ET ALGERIENS EN AQUITAINE - SCELMAA"/>
        <s v="SPECIAL OLYMPICS FRANCE (SOF)"/>
        <s v="SPHERE CPP BORDEAUX"/>
        <s v="STELLA MONTIS"/>
        <s v="STOP AND GO DANCE 33"/>
        <s v="SUKHALI - AIDE AU DEVELOPPEMENT LOCAL PAR LES FEMMES AU SENEGAL"/>
        <s v="SURVIE GIRONDE"/>
        <s v="SYNDICAT DES QUARTIERS BELCIER, CARLE VERNET"/>
        <s v="T.E.A. TIME - TALENTUEUX EMOTIFS ANONYMES"/>
        <s v="TANGO BORDEAUX"/>
        <s v="TANGO HOY"/>
        <s v="TANGO MILONGUERO BORDEAUX"/>
        <s v="TANGO NOMADE"/>
        <s v="TASHI DELEK BORDEAUX ASSOCIATION GIRONDINE POUR LE TIBET"/>
        <s v="TATHATA- VRINDHAM AQUITAINE"/>
        <s v="TCHERNOBLAYE"/>
        <s v="TEMPS DE PAROLE ASSOCIATION SANTE ET SECURITE PROFESSIONNELLES"/>
        <s v="TENNIS CLUB DE BORDEAUX"/>
        <s v="TERANGA"/>
        <s v="TERANUI TAHITI"/>
        <s v="TERIYA"/>
        <s v="TERRA FEES"/>
        <s v="THEATR'ACTION"/>
        <s v="THEATRE DE L'ESCALE"/>
        <s v="THEATRE DES TAFURS"/>
        <s v="THEATRE FEMINA"/>
        <s v="THEATRE-EDUCATION-AQUITAINE"/>
        <s v="THEATRIUM"/>
        <s v="THIANT GUI"/>
        <s v="THOTH CIVILISATION SANS FRONTIERES"/>
        <s v="TOURING PEDESTRE BORDELAIS"/>
        <s v="TRACE UNE DIAGONALE"/>
        <s v="TRADOBORDELEAU"/>
        <s v="TRANZIT KREOL"/>
        <s v="TRAUMATISES CRANIENS ASSISTANCE"/>
        <s v="TREMPLIN UTC"/>
        <s v="ULCR"/>
        <s v="ULTRAS BB"/>
        <s v="UNICEF"/>
        <s v="UNION ALCOOLIQUES ANONYMES"/>
        <s v="UNION AU DEVELOPPEMENT AFRICAIN - UDA"/>
        <s v="UNION COOP DE LA PAGE BLANCHE"/>
        <s v="UNION DEPARTEMENTALE CFDT DE LA GIRONDE"/>
        <s v="UNION DES AVEUGLES ET DEFICIENTS VISUELS"/>
        <s v="UNION DES TRAVAILLEURS IVOIRIENS DE FRANCE - UTIF"/>
        <s v="UNION GENERALE SPORTIVE DE L'ENSEIGNEMENT LIBRE DE LA GIRONDE"/>
        <s v="UNION GIRONDINE DES RETRAITES MILITAIRES, ANCIENS MILITAIRES ET DE LEURS CONJOINTS (URM 33)"/>
        <s v="UNION NATIONALE DES AMIS ET FAMILLES DE MALADES PSYCHIQUES - UNAFAM"/>
        <s v="UNION NATIONALE DU SPORT SCOLAIRE - DIRECTION REGIONALE"/>
        <s v="UNION REGIONALE PACT HABITAT ET DEVELOPPEMENT DE LA REGION AQUITAINE"/>
        <s v="UNIVERSEUL"/>
        <s v="UNIVERSITE BORDEAUX MONTAIGNE BORDEAUX III - BIBLIOTHEQUE FRANCO-ALLEMANDE (BIFA)"/>
        <s v="UNIVERSITE POPULAIRE DE BORDEAUX - UPB"/>
        <s v="URPS - AQUITAINE"/>
        <s v="UTOPIA"/>
        <s v="V'INSEEC BORDEAUX, VINS ET SPIRITUEUX"/>
        <s v="VA K BAND"/>
        <s v="VACANCES ANIMATION LOISIRS TOURISME DE LA GIRONDE"/>
        <s v="VACANCES TOURISME FAMILLES - VTF"/>
        <s v="VAHINE ORA"/>
        <s v="VARIANCE MELODIE"/>
        <s v="VILLA 88"/>
        <s v="VILLAGE D'AUDEGE"/>
        <s v="VISIONS CROISEES"/>
        <s v="VISIONS PARTAGEES"/>
        <s v="VISITE DES MALADES DANS LES ETABLISSEMENTS HOSPITALIERS DU DEPARTEMENT DE LA GIRONDE - VMEH"/>
        <s v="VIVRE COMME AVANT"/>
        <s v="VOCATION SOCIOLOGUE"/>
        <s v="VOVINAM VIET VO DAO-CLUB DE BORDEAUX"/>
        <s v="WEJOB"/>
        <s v="WISE"/>
        <s v="WOUXIA CLAN"/>
        <s v="YA DLA JOIE ET DL'EMPLOI (YDLJE)"/>
        <s v="YOBALEMA"/>
        <s v="YOGA ET YOGA"/>
        <s v="YOGALBEDO"/>
        <s v="YOGHINY"/>
        <s v="ZANSHIN CLUB"/>
        <s v="100 PROPOS SANS REPONSE"/>
        <s v="2A - ATELIERS ARTISTIQUES"/>
        <s v="2MOIZAILES"/>
        <s v="9EME TEMPS"/>
        <s v="A FOND TU PEUX !"/>
        <s v="A PART CA TOUT VA BIEN"/>
        <s v="A.A.O (AM ANGEGEBENEM ORT)"/>
        <s v="ABALONE CHASSE BORDEAUX - ACB"/>
        <s v="ABICE"/>
        <s v="ACARBO"/>
        <s v="ACCOMPAGNEMENT RECHERCHE PSYCHO EDUCATIFS POUR LES JEUNES"/>
        <s v="ACCORDERIE BORDEAUX"/>
        <s v="ACEPP 33/47 - ASSOCIATION DES COLLECTIFS ENFANTS PARENTS PROFESSIONNELS 33/47"/>
        <s v="ACTION INTERNATIONALE POUR LA PAIX ET LE DEVELOPPEMENT (AIPD)"/>
        <s v="ACTION JAZZ"/>
        <s v="ACTIV'ACTION"/>
        <s v="AD HOC : ASSOCIATION DES DOCTORANTS EN DROIT DE L'UNIVERSITE DE BORDEAUX"/>
        <s v="ADORA - ASS. DEVELOPPEMENT ET ACCOMPAGNEMENT AQUITAINE ORIENTATION PERS. ET PROF. TOUT AU LONG VIE"/>
        <s v="AEP SAINT GABRIEL"/>
        <s v="AES"/>
        <s v="AGENCE LOCALE DE L'ENERGIE ET DU CLIMAT - ALEC"/>
        <s v="AGIR POUR UN COMMERCE EQUITABLE ET SOLIDAIRE EN AQUITAINE - ACESA"/>
        <s v="AIDE AUX MINEURS DEFAVORISES - AAMD"/>
        <s v="AIDE AUX PARENTS D'ENFANTS SOUFFRANT DU SYNDROME DE L'ANTI-CONVULSIVANT (APESAC)"/>
        <s v="AIDOMI"/>
        <s v="AIR 3 (AIR CUBE)"/>
        <s v="AKELIO ACCOMPAGNEMENT (RESEAU JEUNESSE OUTRE MER)"/>
        <s v="ALCHIMYSTIK EVENTS"/>
        <s v="ALLO AMIANTE"/>
        <s v="ALPHONSE"/>
        <s v="ALTAIR (ASSOCIATION LES TERRITOIRES DE L'ART DE L'INDIVIDU DE LA RELATION)"/>
        <s v="ALTERNATIVE URBAINE DE BORDEAUX"/>
        <s v="AMICALE DE MADAGASCAR (AM)"/>
        <s v="AMICALE DES IVOIRIENS VIVANT EN GIRONDE AKWABA"/>
        <s v="AMICALE DES SAPEURS POMPIERS DU SECTEUR D'INTERVENTION DE BORDEAUX METROPOLE"/>
        <s v="AMICALE LAIQUE BORDEAUX BENAUGE"/>
        <s v="AMIS DU SCOUTISME EUROPEEN DE GIRONDE"/>
        <s v="AMITIE MULTICULTURELLE INTEGRATION SOCIO-ECONOMIQUE, PROMOTION, ANIMATION, DEVELOPPEMENT (AMISPAD)"/>
        <s v="ANTROPOLOGIA"/>
        <s v="APA SANTE NUTRITION"/>
        <s v="APEL ASSOMPTION SAINTE CLOTIDE"/>
        <s v="APOSTROPHE Z"/>
        <s v="AQUITAINE AFRIQUE INITIATIVES (AQAFI)"/>
        <s v="AQUITAINE ARTISTIQUE ANIMATION"/>
        <s v="AQUITAINE SPORT POUR TOUS"/>
        <s v="ARCH-EVENT"/>
        <s v="ARCHITECTURE ET MAITRE D'OUVRAGES AQUITAINE - AMO AQUITAINE"/>
        <s v="ARELABOR"/>
        <s v="ART DN"/>
        <s v="ART ET TECHNIQUES MIXTES"/>
        <s v="ART+ENTREPRISE/ARRET SUR L'IMAGE GALERIE"/>
        <s v="ARTAMBUL"/>
        <s v="ARTELI"/>
        <s v="ARTELIERS - ASSO REGION. TRAVAIL EXPRESSION LIBRE INADAPTES POUR EPANOUISSEMENT RECONNAISS. SOCIALE"/>
        <s v="ARTIMAGE"/>
        <s v="ARTQUIPAGE"/>
        <s v="ARTYCHAUDS"/>
        <s v="ASOBU ASSOCIATION (ASOBU)"/>
        <s v="ASS-TECH (ASSOCIATION DES ETUDIANTS DE TECHNIQUES DU DEVELOPPEMENT)"/>
        <s v="ASSIETTE EN TRANSITION"/>
        <s v="ASSO GAMBETTA"/>
        <s v="ASSO GENERALE INTERVENANTS RETRAITES POUR ACTIONS BENEVOLES COOPERATION ET DEVELOPPEMENT - AGIRabcd"/>
        <s v="ASSO PARENTS ELEVES ENSEIGNEMENT LIBRE SAINT-MICHEL/SAINT-GENES (APEL SAINT-MICHEL/SAINT-GENES)"/>
        <s v="ASSOCIATION 2C.SPORTS"/>
        <s v="ASSOCIATION ACCORDS LIBRES"/>
        <s v="ASSOCIATION ALBERT BARRAUD"/>
        <s v="ASSOCIATION AUDITEURS INSTITUT HAUTES ETUDES DE DEFENSE NATIONALE REGION AQUITAINE - AQUI IHEDN"/>
        <s v="ASSOCIATION CLUB AMBASSADORS DE LA TRUFFE"/>
        <s v="ASSOCIATION COOPERATIVE DES ETUDIANTS EN PHARMACIE DE BORDEAUX - ACEPB"/>
        <s v="ASSOCIATION CULTURE ET MUSIQUE DE L'ESTUAIRE"/>
        <s v="ASSOCIATION CULTURELLE ARMENIENNE DE BORDEAUX AQUITAINE"/>
        <s v="ASSOCIATION CULTURELLE ET TRADITIONNELLE DE GIRONDE - ACT 33"/>
        <s v="ASSOCIATION D'AMITIE FRANCO-VIETNAMIENNE (AAFV)"/>
        <s v="ASSOCIATION DANSE, ANIMATION DE LA GIRONDE - ADAGE"/>
        <s v="ASSOCIATION DE DEVELOPPEMENT NATUREL (ADN)"/>
        <s v="ASSOCIATION DE L'ENSEIGNEMENT CATHOLIQUE DE GIRONDE"/>
        <s v="ASSOCIATION DE PREFIGURATION D'UNE PLATEFORME D'AQUITAINE POUR LE COMMERCE EQUITABLE (LA PLACE)"/>
        <s v="ASSOCIATION DE RECHERCHE CLINIQUE SUR L'ADOLESCENCE -ARCAD-"/>
        <s v="ASSOCIATION DE RIVERAINS BAST-ID"/>
        <s v="ASSOCIATION DE SOPHROLOGIE EXISTENTIELLE DE BORDEAUX (ASEB)"/>
        <s v="ASSOCIATION DE SPORTS, DE CULTURE ET D'ENTRAIDE DE LA GIRONDE"/>
        <s v="ASSOCIATION DECOUVERTE VACANCES EQUILIBRE"/>
        <s v="ASSOCIATION DEPARTEMENTALE DES ANCIENS COMBATTANTS ET AMIS DE L'INDOCHINE"/>
        <s v="ASSOCIATION DEPARTEMENTALE DES PUPILLES DE L’ENSEIGNEMENT PUBLIC DE LA GIRONDE - PEP 33"/>
        <s v="ASSOCIATION DES COMMERCANTS DE CAUDERAN SAINT-AMAND"/>
        <s v="ASSOCIATION DES DOCKERS ET DES TRAVAILLEURS PORTUAIRES VICTIMES DE L'AMIANTE DU PORT DE BORDEAUX"/>
        <s v="ASSOCIATION DES ELEVES-AVOCATS ALIENOR 2017 (ADEAA 2017)"/>
        <s v="ASSOCIATION DES ETUDIANTS ET RESSORTISSANTS MAURITANIENS DE GIRONDE (AERMG)"/>
        <s v="ASSOCIATION DES EXPLOITANTS QUAI DES MARQUES BORDEAUX"/>
        <s v="ASSOCIATION DES GUIDES INTERPRETES ET CONFERENCIER D'AQUITAINE - AGICA"/>
        <s v="ASSOCIATION DES LOCATAIRES SEM-LM"/>
        <s v="ASSOCIATION DES MEDECINS RETRAITES ET DES VEUVES ALLOCATAIRES DE LA CARMF DITE AMEREVE AQUITAINE"/>
        <s v="ASSOCIATION DES OEUVRES GIRONDINES DE PROTECTION DE L'ENFANCE"/>
        <s v="ASSOCIATION DES OFFICIERS ET CADRES DE RESERVE DE BORDEAUX GIRONDE"/>
        <s v="ASSOCIATION DES PARENTS ET FUTURS PARENTS GAYS ET LESBIENS APGL"/>
        <s v="ASSOCIATION DES PIEGEURS DE LA PRESQU'ILE D'AMBES"/>
        <s v="ASSOCIATION DES PRODUCTEURS DE GRAVES DE VAYRES"/>
        <s v="ASSOCIATION DES RETRAITES IRSEA D'AQUITAINE (ARIA)"/>
        <s v="ASSOCIATION DES RIVERAINS DE L'IMPASSE GOURDIN"/>
        <s v="ASSOCIATION DES RIVERAINS DU QUARTIER SAINT GENES"/>
        <s v="ASSOCIATION DORSA BARLOW"/>
        <s v="ASSOCIATION DU FLOCON A LA VAGUE"/>
        <s v="ASSOCIATION ELEVES INGENIEURS ARTS METIERS PARIS-TECH CENTRE REGIONAL BORDEAUX TALENCE - AE ENSAM"/>
        <s v="ASSOCIATION FAIS ET REVE"/>
        <s v="ASSOCIATION FAMILIALE LAIQUE BASTIDE"/>
        <s v="ASSOCIATION FRANCAISE CONTRE LES MYOPATHIES - AFM"/>
        <s v="ASSOCIATION FRANCAISE DE L'ECLAIRAGE - CENTRE REGIONAL SUD-OUEST ATLANTIQUE"/>
        <s v="ASSOCIATION FRANCAISE DES JURISTES D'ENTREPRISE - AFJE"/>
        <s v="ASSOCIATION FRANCAISE DES MALADES DE LA THYROIDE"/>
        <s v="ASSOCIATION FRANCO-TCHEQUE D'AQUITAINE"/>
        <s v="ASSOCIATION FRANCO-VIETNAMIENNE, BORDEAUX-AQUITAINE"/>
        <s v="ASSOCIATION FRANCOIS AUPETIT"/>
        <s v="ASSOCIATION FRERES DES HOMMES"/>
        <s v="ASSOCIATION GENERALE DES ENSEIGNANTS DES ECOLES ET CLASSES MATERNELLES PUBLIQUES"/>
        <s v="ASSOCIATION GESTION CENTRES PSYCHANALYTIQUES DE CONSULTATIONS ET DE TRAITEMENT (CPCT) D'AQUITAINE"/>
        <s v="ASSOCIATION GIRONDINE DES INFIRMES MOTEURS CEREBRAUX - AGIMC"/>
        <s v="ASSOCIATION GIRONDINE POUR L'AGRICULTURE PAYSANE (AGAP)"/>
        <s v="ASSOCIATION HORIZON CAUDERAN"/>
        <s v="ASSOCIATION INDEPENDANTE DE PARENTS D'ELEVES DU GROUPE SCOLAIRE FLORNOY"/>
        <s v="ASSOCIATION JEUNESSE FUTSAL (AJF)"/>
        <s v="ASSOCIATION LABA-JOUR"/>
        <s v="ASSOCIATION LAIQUE DU PRADO (ALP)"/>
        <s v="ASSOCIATION LES Z ARPETES"/>
        <s v="ASSOCIATION LYCHORE"/>
        <s v="ASSOCIATION LYONNAISE PREVOYANCE DES TRAVAILLEURS INDEPENDANTS DES ISOLES ET DES SALARIES - ALPTIS"/>
        <s v="ASSOCIATION MEMBRES DE LA LEGION D'HONNEUR DECORES AU PERIL DE LEUR VIE SECTION AQUITAINE OUEST"/>
        <s v="ASSOCIATION MUSICALE ORCHESTRE JEAN-CLAUDE FRANCOIS"/>
        <s v="ASSOCIATION NATIONALE DES HOSPITALIERS RETRAITES"/>
        <s v="ASSOCIATION NATIONALE DES PUERICULTRICES DIPLOMEES ET DES ETUDIANTES - ANPDE"/>
        <s v="ASSOCIATION NATIONALE DES RETRAITES DE LA POSTE, DE FRANCE TELECOM ET DE LEURS FILIALES ANR"/>
        <s v="ASSOCIATION NATIONALE MEMBRES ORDRE NATIONAL DU MERITE - SECTION DEPARTEMENTALE DE LA GIRONDE"/>
        <s v="ASSOCIATION NATIONALE VILLES ET PAYS ART ET HISTOIRE ET DES VILLES SECTEURS SAUVEGARDES ET PROTEGES"/>
        <s v="ASSOCIATION NOUVELLE ACROPOLE BORDEAUX - ANAB"/>
        <s v="ASSOCIATION OSTEOPATHE ET PERINATALITE"/>
        <s v="ASSOCIATION PATRONAGE ECOLES LAIQUES ST BRUNO"/>
        <s v="ASSOCIATION PEDAGOGIQUE DE L'ECOLE BEL AIR - APEBA"/>
        <s v="ASSOCIATION POUR L'INNOVATION EN MATIERE D'INTEGRATION - APIMI"/>
        <s v="ASSOCIATION POUR LA FORMATION ET L'EDUCATION PERMANENTE DE TIVOLI - AFEPT"/>
        <s v="ASSOCIATION POUR LA MEDIATION FAMILIALE - APMF"/>
        <s v="ASSOCIATION POUR LA PREVENTION DU HANDICAP DU AUX TROUBLES DU SOMMEIL ET DE LA VIGILANCE (UP2SV)"/>
        <s v="ASSOCIATION POUR LA SURVEILLANCE DE LA QUALITE DE L'AIR EN AQUITAINE (AIRAQ)"/>
        <s v="ASSOCIATION POUR UNE EDUCATION BUISSONNIERE (- APEB)"/>
        <s v="ASSOCIATION POUR VALORISATION EN RELATION AVEC PROFESSIONNELS - REGION AQUITAINE - AVARAP AQUITAINE"/>
        <s v="ASSOCIATION PSYCHANALITIQUE DES THERAPEUTES FAMILIAUX D'AQUITAINE - APSYFA"/>
        <s v="ASSOCIATION PUCEART"/>
        <s v="ASSOCIATION REGIONALE D'AQUITAINE DES CENTRES D'ENTRAINEMENTS AUX METHODES D'EDUCATION ACTIVE"/>
        <s v="ASSOCIATION REGIONALE DE PSYCHOLOGIE DU TRAVAIL AQUITAINE - AREPT"/>
        <s v="ASSOCIATION REGIONALE DES OEUVRES EDUCATIVES ET DE VACANCES DE L'EDUCATION NATIONALE - AROEVEN"/>
        <s v="ASSOCIATION REPUBLICAINE DES ANCIENS COMBATTANTS ET VICTIMES DE LA GUERRE - ARAC-VG"/>
        <s v="ASSOCIATION REVES - DELEGATION DEPARTEMENTALE DE LA GIRONDE"/>
        <s v="ASSOCIATION SOCIALE POUR L'EMPLOI - ASPE SERVICE AUX PERSONNES - ANTENNE BORDEAUX"/>
        <s v="ASSOCIATION SPORTIVE AUTOMOBILE CLUB DU SUD-OUEST"/>
        <s v="ASSOCIATION SPORTIVE CE BP ACA"/>
        <s v="ASSOCIATION SPORTIVE CHARLES MARTIN"/>
        <s v="ASSOCIATION SPORTIVE DE LA CAISSE D'EPARGNE AQUITAINE POITOU CHARENTES (APC SPORTS)"/>
        <s v="ASSOCIATION SPORTIVE DE PREPARATION OLYMPIQUE DU MIDI - SECTION ARTS MARTIAUX (ASPOM JUDO BORDEAUX)"/>
        <s v="ASSOCIATION SPORTIVE DES LUSITANOS DE CENON"/>
        <s v="ASSOCIATION SPORTIVE ET CULTURELLE DU GROUPE DES ASSURANCES NATIONALES (ASC GAN)"/>
        <s v="ASSOCIATION SPORTIVE LYCEE CONDORCET"/>
        <s v="ASSOCIATION TCHADIENNE DE LA NOUVELLE-AQUITAINE - ATNA"/>
        <s v="ASSOCIATION TEMPS DE PAROLE"/>
        <s v="ASSOCIATION THEATRE OMBRE ET LUMIERE"/>
        <s v="ASSOCIATION UFORCA-BORDEAUX POUR LA FORMATION PERMANENTE"/>
        <s v="ASSOCIATION UNTENDANSES"/>
        <s v="ASSOCIATION XIKOMBA"/>
        <s v="ASSOCIATIONS : NOS REVES PRODUCTIONS - NR-PROD"/>
        <s v="ASSOPOURQUOIPAS33"/>
        <s v="ASTROLABE "/>
        <s v="ATELIER 14 CIE ISABELLE CHEVEAU/VINCENT HARISDO - CENTRE PRATIQUES ARTIST. ET RECH. CHOREGRAPHIQUES"/>
        <s v="ATELIER AQUITAINE"/>
        <s v="AU CLAIR DE LA LUNE"/>
        <s v="AUDITION ET ECOUTE 33 - ASSOCIATION DES PERSONNES ATTEINTES DE PATHOLOGIES AUDITIVES DE LA GIRONDE"/>
        <s v="AUTO DEFENSE ET ARTS MARTIAUX (ADAM)"/>
        <s v="AVISCENE"/>
        <s v="BATESTA"/>
        <s v="BELEZA"/>
        <s v="BEROCCA PRODUCTIONS"/>
        <s v="BETTER PLAY BASKETBALL (BPB)"/>
        <s v="BIBLIOTHEQUES SANS FRONTIERES (LIBRARIES WITHOUT BORDERS)"/>
        <s v="BORD'EAUX LOISIR PECHE - CLUB DE PECHES SPORTIVES - (BLP)"/>
        <s v="BORDEAUX ALIENOR D'AQUITAINE"/>
        <s v="BORDEAUX ART CONTEMPORAIN (BAC)"/>
        <s v="BORDEAUX ASPOM ECHECS"/>
        <s v="BORDEAUX BEACH CHILLERS"/>
        <s v="BORDEAUX BRITISH COMMUNITY - BBC"/>
        <s v="BORDEAUX DANCE'IN CLUB"/>
        <s v="BORDEAUX DANCESPORT GALAXY (BDSG)"/>
        <s v="BORDEAUX ECOLE INTERNATIONALE DE LOUANGE (BEIL)"/>
        <s v="BORDEAUX FOOD CLUB"/>
        <s v="BORDEAUX GIRONDE HOCKEY SUR GLACE (BGHG)"/>
        <s v="BORDEAUX GIRONDE QUEBEC"/>
        <s v="BORDEAUX GREETERS"/>
        <s v="BORDEAUX POUR TOUS"/>
        <s v="BORDEAUX ROCK "/>
        <s v="BORDEAUX TEATRO ITALIANO (BTI)"/>
        <s v="BORDEAUX-ACCUEILLE METROPOLE"/>
        <s v="BORDEAUX-LIMA, LA MAISON DU PEROU"/>
        <s v="BRIDGE CLUB BORDEAUX SAINT AUGUSTIN"/>
        <s v="BULL BORDEAUX FOOTBALL"/>
        <s v="BURKIN@PAMA.FR"/>
        <s v="BXA - ESPRIT VOILE"/>
        <s v="BÔYE-PÂH"/>
        <s v="CAISSE SOCIALE DE DEVELOPPEMENT LOCAL - CSDL"/>
        <s v="CAMERATA OCEANA"/>
        <s v="CANINE TERRITORIALE DE LA GIRONDE"/>
        <s v="CAP SCIENCES - CENTRE DE CULTURE SCIENTIFIQUE TECHNIQUE ET INDUSTRIELLE BORDEAUX AQUITAINE"/>
        <s v="CASTILLON 1453 - UN TERRITOIRE AU COEUR DE L'HISTOIRE"/>
        <s v="CAURI"/>
        <s v="CENTRE D'ETUDES DE L'AUTO-CONNAISSANCE - CEA"/>
        <s v="CENTRE D'INFORMATION SUR LES DROITS DES FEMMES ET DES FAMILLES DE LA GIRONDE - CIDFF"/>
        <s v="CENTRE DE LIAISON DES EQUIPES DE RECHERCHE (CLER AMOUR ET FAMILLES)"/>
        <s v="CENTRE DE VOILE DE BORDEAUX LAC"/>
        <s v="CENTRE REGIONAL D'AQUITAINE D'ETUDES ET D'ACTIONS SUR LES HANDICAPS ET LES INADAPTATIONS - CREAI"/>
        <s v="CERCLE BORDELAIS DE SANTE (CBS)"/>
        <s v="CERCLE D'ART BORDELAIS - CAB"/>
        <s v="CERCLE ENTREPRISES DU SUD-OUEST (CESO)"/>
        <s v="CHAMBRE NATIONALE DES PROPRIETAIRES"/>
        <s v="CHEMINS DE TERRE"/>
        <s v="CHOEUR DE FRANCE ATLANTIQUE - CDFA"/>
        <s v="CINE MARGES"/>
        <s v="CINEMA AFRICAIN PROMOTION"/>
        <s v="CINEPHILES DE NOTRE TEMPS"/>
        <s v="CITADEL"/>
        <s v="CLUB AGORA BORDEAUX 1 « 20 »"/>
        <s v="CLUB ALPIN FRANÇAIS DE BORDEAUX"/>
        <s v="CLUB DES ENTREPRISES DE BORDEAUX MARITIME"/>
        <s v="CLUB HISTOIRE ET PATRIMOINE, ARTS ET TECHNIQUES - &quot;CLUB HEPAT&quot;"/>
        <s v="CLUB LOISIRS AQUITAINE CULTURE (CLAC)"/>
        <s v="CLUB MAQUETTES BORDEAUX METROPOLE"/>
        <s v="COLIBRIS"/>
        <s v="COLLECTIF CLIFFHANGER"/>
        <s v="COLLECTIF COMMENT C'EST MAINTENANT?"/>
        <s v="COLLECTIF DES ASSOCIATIONS D'OUTRE-MER EN AQUITAINE DIT CAOMA"/>
        <s v="COLLECTIF INTERASSOCIATIF SUR LA SANTE EN AQUITAINE - CISSA"/>
        <s v="COLLECTIF KLOUDBOX LABORATOIRE DE CREATIONS AUDIOVISUELLES ET GRAPHIQUES"/>
        <s v="COLLECTIF LESCURE"/>
        <s v="COLLECTIF LIBRE ET INDEPENDANT DE LA POLICE DE GIRONDE (CLIP 33)"/>
        <s v="COLLECTIF ORGANISATIONS SOLIDARITE INTERNATIONALE ISSUES MIGRATIONS EN AQUITAINE (COSIM AQUITAINE)"/>
        <s v="COLLECTIF T CAP"/>
        <s v="COMITE ACCOMPAGNEMENT URBANISME, DEFENSE DE L'ENVIRONNEMENT ET RESPECT DE LA SECURITE - CAUDERES"/>
        <s v="COMITE AQUITAIN DE L'ASSOCIATION FRANÇAISE DES HEMOPHILES (CAAFH)"/>
        <s v="COMITE AQUITAIN DE LA PLANETE TERRE (CAP TERRE)"/>
        <s v="COMITE DE CURVY AQUITAINE"/>
        <s v="COMITE DE GIRONDE D'ATHLETISME"/>
        <s v="COMITE DE GIRONDE DE BADMINTON (CO.GI.BAD)"/>
        <s v="COMITE DE SOUTIEN POUR JOHAN GIRAUD-GIRARD"/>
        <s v="COMITE DEPARTEMENTAL DE L'ASSOCIATION DE DEFENSE DES MALADES INVALIDES ET HANDICAPES - AMI 33"/>
        <s v="COMITE DEPARTEMENTAL DE LA GIRONDE CONTRE LE CANCER (CODECOC 33)"/>
        <s v="COMITE DEPARTEMENTAL DE LA RANDONNEE PEDESTRE DE GIRONDE"/>
        <s v="COMITE DEPARTEMENTAL DES MEDAILLES DE LA JEUNESSE, DES SPORTS ET DE L'ENGAGEMENT ASSOCIATIF GIRONDE"/>
        <s v="COMITE DEPARTEMENTAL HANDISPORT DE LA GIRONDE"/>
        <s v="COMITE DES COMMERCANTS DE LA RUE DE GRASSI"/>
        <s v="COMITE D’ANIMATION LAFONTAINE-KLEBER (CALK)"/>
        <s v="COMITE ETUDE ET INFORM. DROGUE (PREV. ET TRAIT. TOXICOMANIES ET AUTRES ADDICTIONS), CEID-ADDICTIONS"/>
        <s v="COMITE FRANCAIS POUR LE FONDS DES NATIONS UNIES POUR L'ENFANCE - UNICEF FRANCE"/>
        <s v="COMITE REGIONAL D’AQUITAINE DE NATATION"/>
        <s v="COMITE REPRESENTATIF DES IDENTITES SOURDES - CRIS"/>
        <s v="COMITE SCIENTIFIQUE DU CENTRE D'EXPERTISE MEDICALE DU PERSONNEL NAVIGANT DE BORDEAUX (CEMPN)"/>
        <s v="COMMUNE LIBRE DU QUARTIER SAINT-PIERRE"/>
        <s v="COMMUNIQUER EN EUROPE"/>
        <s v="COMPAGNIE ACCESS"/>
        <s v="COMPAGNIE BETTY BLUES (THEATRE ET MUSIQUE)"/>
        <s v="COMPAGNIE CRU DES SENS"/>
        <s v="COMPAGNIE DU BARRAGE"/>
        <s v="COMPAGNIE DU SI"/>
        <s v="COMPAGNIE GABRIEL"/>
        <s v="COMPAGNIE HORS SERIE"/>
        <s v="COMPAGNIE LA MARGINAIRE"/>
        <s v="COMPAGNIE NEE D'UN DOUTE"/>
        <s v="COMPAGNIE THEATRALE L'OEIL"/>
        <s v="COMPAGNONS DU TOUR DE FRANCE DES DEVOIRS UNIS"/>
        <s v="CONCORDIA AQUITAINE"/>
        <s v="CONGLOMIRA"/>
        <s v="CONSEIL CITOYENS DE BACALAN"/>
        <s v="CONSEIL INTERPROFESSIONNEL DU VIN DE BORDEAUX"/>
        <s v="CONSEIL REPRESENTATIF DES INSTITUTIONS JUIVES DE FRANCE - CRIF SUD OUEST AQUITAINE"/>
        <s v="CONVENTION NATIONALE DES AVOCATS"/>
        <s v="CORNER"/>
        <s v="COTRAVAUX AQUITAINE"/>
        <s v="COUPE COURT"/>
        <s v="CRE'ART : COMPAGNIE REG'ART"/>
        <s v="CRESS AQUITAINE (CHAMBRE REGIONALE DE L'ECONOMIE SOCIALE ET SOLIDAIRE D'AQUITAINE)"/>
        <s v="CROIX ROUGE FRANÇAISE"/>
        <s v="CULTURE ET BIBLIOTHEQUES POUR TOUS DU DEPARTEMENT DE LA GIRONDE"/>
        <s v="CULTURE INDISCIPLINEE"/>
        <s v="CULTURE SOUND SYSTEM"/>
        <s v="CVLR ET ASSOCIES"/>
        <s v="DADDYLOVE FILMS"/>
        <s v="DANTE ALIGHIERI"/>
        <s v="DARRY PERIER"/>
        <s v="DEBOUT LA FRANCE DEBOUT LA REPUBLIQUE (DLF-DLR)"/>
        <s v="DEFENSE DE LA LANGUE FRANÇAISE - ASSOCIATION DE BORDEAUX"/>
        <s v="DEKA-EWE"/>
        <s v="DONNEZ-NOUS UN SOURIRE"/>
        <s v="DOUBADIDOU"/>
        <s v="DUTCH CONNECTION BORDEAUX - DCBDX ASSOCIATION"/>
        <s v="DYSPRAXIQUE MAIS FANTASTIQUE 33 - DMF 33"/>
        <s v="EABA (ENSEIGNEMENT ARTISTIQUE BEAUX ARTS)"/>
        <s v="EBB - ENTREPRISE BIEN-ETRE BORDEAUX"/>
        <s v="ECLORE"/>
        <s v="ECOLE DE KARATE BORDELAISE"/>
        <s v="ECOLO CRECHE"/>
        <s v="EDITIONS DE LA CERISE"/>
        <s v="EDUCATION ET SANTE AU SENEGAL"/>
        <s v="EICOSA"/>
        <s v="EL SOLAR ESPANOL"/>
        <s v="EMULATION NAUTIQUE DE BORDEAUX"/>
        <s v="EN 3 ACTES"/>
        <s v="EN FACE"/>
        <s v="EN MARCHE - EMA"/>
        <s v="EN MODE EVENT (EME)"/>
        <s v="EN STOP"/>
        <s v="ENDOFRANCE, ASSOCIATION FRANÇAISE DE LUTTE CONTRE L'ENDOMETRIOSE"/>
        <s v="ENFANCE ET FAMILLES D'ADOPTION DE LA GIRONDE - ASSOCIATION DES FOYERS ADOPTIFS GIRONDE (EFA 33)"/>
        <s v="ENFANTS ET SANTE FRANCE AQUITAINE"/>
        <s v="ENSEMBLE ORCHESTRAL DE BORDEAUX"/>
        <s v="ENSEMBLE VOCAL VARIANCE MELODIE"/>
        <s v="ENVOL D'AQUITAINE"/>
        <s v="ERE NOUVELLE DES COMPAGNONS ET ASPIRANTS EGALITAIRES CHAMBRE DE BORDEAUX"/>
        <s v="ERNEST CIRCUIT COURT SOLIDARITE - ERNEST CCS"/>
        <s v="ESCAPADE EN POLYNESIE"/>
        <s v="ESPACE CULTUEL MUSULMAN - ECM"/>
        <s v="ESPACE DECOUVERTE MADAGASCAR (EDM)"/>
        <s v="ESPACES MARX AQUITAINE BORDEAUX GIRONDE - EXPLORER, CONFRONTER, INNOVER"/>
        <s v="ESPRIT BASTIDE"/>
        <s v="ESPRIT DE CORPS - NOM D'USAGE LA MANUFACTURE CDCN"/>
        <s v="ETRE ET DEVENIR"/>
        <s v="ETXEKOAK"/>
        <s v="EUFONIA-BORDEAUX FESTIVAL-CONCOURS INTERNATIONAL DE CHANT CHORAL"/>
        <s v="EUROPEAN MENTORING &amp; COACHING COUNCIL, L'ASSOCIATION EUROPEENNE DE COACHING - EMCC France"/>
        <s v="EVER (EYES, VOICE, EARS, RHYTHM)"/>
        <s v="EXPLORATION DU MOUVEMENT"/>
        <s v="EXTERIEUR NUIT"/>
        <s v="FAIS ET REVE"/>
        <s v="FAITS DE COEUR'S"/>
        <s v="FEARLESS CULTURE"/>
        <s v="FEDERATION ASSOCIATIONS DE PARENTS ELEVES ENSEIGNEMENT LIBRE DE LA GIRONDE - APEL DE LA GIRONDE"/>
        <s v="FEDERATION DES MAISONS DES LYCEENS - FDML"/>
        <s v="FEDERATION DES PARTICULIERS EMPLOYEURS DE GIRONDE"/>
        <s v="FEDERATION FRANCAISE DE JUDO JUJITSU, KENDO et DISCIPLINES ASSOCIEES (FFJDA)"/>
        <s v="FEDERATION FRANCAISE DE PSYCHOTHERAPIE ET PSYCHANALYSE (FF2P)"/>
        <s v="FEDERATION FRANCAISE RUGBY (FFR)"/>
        <s v="FEDERATION FREUDIENNE DE PSYCHANALYSE"/>
        <s v="FEDERATION GIRONDE POUR LA PECHE ET LA PROTECTION DU MILIEU AQUATIQUE (FDAAPPMA DE LA GIRONDE)"/>
        <s v="FEDERATION GIRONDINE DE LA LIBRE PENSEE"/>
        <s v="FEDERATION PROTESTANTE DE FRANCE - POLE BORDEAUX GIRONDE"/>
        <s v="FEDERATION REGIONALE D'AGRICULTURE BIOLOGIQUE NOUVELLE-AQUITAINE"/>
        <s v="FEDERATION REGIONALE DES DECORES DU TRAVAIL NOUVELLE-AQUITAINE (FRDT) - SECTION DE CAUDERAN"/>
        <s v="FESTES BAROQUES AU PAYS DES GRAVES"/>
        <s v="FETE LE MUR BORDEAUX GIRONDE AQUITAINE"/>
        <s v="FNAC SUD-OUEST"/>
        <s v="FONDATION DE FRANCE"/>
        <s v="FONDATION POUR LA CULTURE ET LES CIVILISATIONS DU VIN"/>
        <s v="FONDS REGIONAL D'ART CONTEMPORAIN - COLLECTION AQUITAINE (FRAC AQUITAINE)"/>
        <s v="FOOT EMERGENCE"/>
        <s v="FOOTBALL CLUB DE LA PRESSE BORDELAISE - FCPB"/>
        <s v="FOOTBALL CLUB LE BON JOUET"/>
        <s v="FOOTBALL CLUB NOBI NOBI"/>
        <s v="FOOTBALL CLUB TROPICAL (FCT)"/>
        <s v="FORMATION SECOURS"/>
        <s v="FORRO BORDEAUX "/>
        <s v="FOYER FRATERNEL "/>
        <s v="FOYER SOCIO-EDUCATIF DU C.E.S GRAND PARC"/>
        <s v="FOYER SOCIO-EDUCATIF DU COLLEGE ALIENOR-D'AQUITAINE DE CASTILLON-LA-BATAILLE"/>
        <s v="FRACAS"/>
        <s v="FRANCE AVC 33"/>
        <s v="FREEFIT CONCEPT - BORDEAUX"/>
        <s v="FRICHE AND CHEAP"/>
        <s v="GANAPATI"/>
        <s v="GENERATIONS COBAYE"/>
        <s v="GO GAGNANT A L'ORAL"/>
        <s v="GRAINE D'ADULTE"/>
        <s v="GREENPEACE FRANCE - GROUPE LOCAL DE BORDEAUX"/>
        <s v="GROUPE APACHE"/>
        <s v="GROUPE D'ACCOMPAGNEMENTS ET DE LOISIRS ADAPTES"/>
        <s v="GROUPE KEDGE BUSINESS SCHOOL"/>
        <s v="GROUPEMENT DES EDUCATEURS SANS FRONTIERES - GREF"/>
        <s v="GROUPEMENT DES ETUDIANTS EN DENTAIRE DE BORDEAUX (GED 33)"/>
        <s v="GROUPEMENT EUROPEEN DES MAGISTRATS POUR LA MEDIATION GEMME"/>
        <s v="GYMNASTIQUE VOLONTAIRE DU QUARTIER SAINT NICOLAS"/>
        <s v="HAND TO HAND"/>
        <s v="HANDIC'APTITUDE"/>
        <s v="HANDICAP AUTONOME"/>
        <s v="HAPPE:N"/>
        <s v="HAPPY MOMENT"/>
        <s v="HELIOS EVENEMENTS"/>
        <s v="HEUREUX A BORDEAUX"/>
        <s v="HISTOIRES DE CARTONS"/>
        <s v="ICRONOS ASSOCIATION DU FESTIVAL INTERNATIONAL DU FILM ARCHEOLOGIQUE"/>
        <s v="IMPACTS 33"/>
        <s v="IMPALA"/>
        <s v="INSTANCE REGIONALE EDUCATION ET PROMOTION DE LA SANTE NOUVELLE-AQUITAINE (IREPS NOUVELLE-AQUITAINE)"/>
        <s v="INSTITUT CULTUREL AFRICAIN (ICA)"/>
        <s v="INSTITUT DE L'ENGAGEMENT (IDE)"/>
        <s v="INSTITUT MICHEL MONTAIGNE"/>
        <s v="INSTITUT SUPERIEUR EUROPEEN DE FORMATION PAR ALTERNANCE ET CONTINUE (ISEFAC) BACHELOR BORDEAUX"/>
        <s v="INTERIEUR NUIT"/>
        <s v="INTERNATIONAL COACH FEDERATION FRANCE (ICFF)"/>
        <s v="INTERNATIONAL NATURAL VANILLA ORGANISATION (INVO)"/>
        <s v="ISIC RIDER"/>
        <s v="ISIS EST AU 106"/>
        <s v="J'AI PAS TOUT COMPRIS"/>
        <s v="JEUNE BALLET D'AQUITAINE"/>
        <s v="JEUNE ORCHESTRE SYMPHONIQUE DE L'ENTRE-DEUX-MERS (JOSEM)"/>
        <s v="JEUNESSE NOUVEAU REGARD (JNR)"/>
        <s v="JEUX DE MOT"/>
        <s v="JSA BORDEAUX METROPOLE BASKET"/>
        <s v="KAIZOKU, CINEBAT'EAU"/>
        <s v="KALOS"/>
        <s v="KER PHILIA"/>
        <s v="KIZOINDESIGN"/>
        <s v="L'ADAPT"/>
        <s v="L'ARBRE DE VIE"/>
        <s v="L'ART &amp; SCENE"/>
        <s v="L'ASSEMBLEE CREATIVE"/>
        <s v="L'ASSO POINCARE"/>
        <s v="L'ASSOCIATION DE LA REVUE"/>
        <s v="L'AUTRE CERCLE AQUITAINE"/>
        <s v="L'AVENTURE PEUGEOT CITROEN DS"/>
        <s v="L'ECOLE DU BONHEUR"/>
        <s v="L'ESSENCE DE VIE (EDV)"/>
        <s v="L'ILE AUX ENFANTS"/>
        <s v="L'INCONGRU"/>
        <s v="L'OSTAU OCCITAN (SECTION DE L'INSTITUT D'ETUDES OCCITANES POUR LE DEPARTEMENT DE LA GIRONDE)"/>
        <s v="LA BELLE ENDORMIE"/>
        <s v="LA BOITE DE OUF"/>
        <s v="LA CASE"/>
        <s v="LA CHIFFONNE RIT"/>
        <s v="LA CIGOGNE - COORDINATION INDEPENDANTE GIRONDINE D'ASSISTANTES MATERNELLES"/>
        <s v="LA CLE DES ONDES"/>
        <s v="LA COMEDIE TRIBALE - LCT"/>
        <s v="LA COMPAGNIE ADN"/>
        <s v="LA COMPAGNIE DES 3M"/>
        <s v="LA COMPAGNIE DES SONGES"/>
        <s v="LA COMPAGNIE DES... CURIOSITES!"/>
        <s v="LA COMPAGNIE DU REFECTOIRE - THEATRE D'ECHANGES INTERNATIONAUX"/>
        <s v="LA COMPAGNIE « LES FOUS DE LA RAMPE »"/>
        <s v="LA FABRIQUE OPERA BORDEAUX AQUITAINE"/>
        <s v="LA FLAMBEE"/>
        <s v="LA KAHUTABAM"/>
        <s v="LA LIBELLULE"/>
        <s v="LA LIGUE DE L'ENSEIGNEMENT - FEDERATION OEUVRES LAIQUES DE LA GIRONDE"/>
        <s v="LA MAISON DE SOI"/>
        <s v="LA MANUFACTURE ATLANTIQUE"/>
        <s v="LA MIEL"/>
        <s v="LA PLUME ET LE CRAYON"/>
        <s v="LA POLKA"/>
        <s v="LA ROUTE DES VINS"/>
        <s v="LA TRAVERSEE"/>
        <s v="LA TRIBU DU CHANGEMENT"/>
        <s v="LA TROISIEME PORTE A GAUCHE"/>
        <s v="LA VIE A DOMICILE - MAISON DE LA SANTE ET DES AIDANTS"/>
        <s v="LA VOLIERE"/>
        <s v="LANGAGE TOI"/>
        <s v="LATESTA PROTECTION DE L'HABITAT"/>
        <s v="LE BLEU DU CIEL EDITIONS"/>
        <s v="LE CARREAU"/>
        <s v="LE COLLECTIF DES JARDINIERS URBAINS"/>
        <s v="LE DIRE AUTREMENT"/>
        <s v="LE FESTIN"/>
        <s v="LE FRIIIX CLUB"/>
        <s v="LE GARAGE MODERNE"/>
        <s v="LE LEVAIN HABITATS JEUNES SIMONE NOAILLES"/>
        <s v="LE NOM LIEU"/>
        <s v="LE PONT DES ARTS"/>
        <s v="LE REVE"/>
        <s v="LE SATELLITE, ASSO ACTIVITE EMPLOI, LABEL MUSICAL, EDITORIAL PLATEFORME PRODUCT. DIFFUSION, FORMAT."/>
        <s v="LECOKTAIL"/>
        <s v="LENA D'AZY"/>
        <s v="LES AMIS DE LA CATHEDRALE ST ANDRE DE BORDEAUX"/>
        <s v="LES AMIS DU FRAC AQUITAINE"/>
        <s v="LES AMIS DU LIVRE ANCIEN ET MODERNE (ALAM)"/>
        <s v="LES APPRENTIS PHILOSOPHES"/>
        <s v="LES ARAIGNEES PHILOSOPHES"/>
        <s v="LES ATELIERS DU GRAND VOYAGEUR"/>
        <s v="LES BALADES ALTERNATIVES"/>
        <s v="LES BIDIBULLES"/>
        <s v="LES BLOUSES ROSES - ANIMATION LOISIRS A L'HOPITAL COMITE DE BORDEAUX"/>
        <s v="LES CHANTIERS TRAMASSET"/>
        <s v="LES CONCILIATEURS DE JUSTICE DE LA COUR D'APPEL DE BORDEAUX"/>
        <s v="LES DETRITIVORES"/>
        <s v="LES DROITS DU PIETON EN GIRONDE"/>
        <s v="LES FELIS MARGARITA"/>
        <s v="LES FEMMES CHEFS D'ENTREPRISES-FCE FRANCE"/>
        <s v="LES MAINS POUR LE DIRE"/>
        <s v="LES MARDIS DE L'ART"/>
        <s v="LES MARINS DE LA LUNE"/>
        <s v="LES MORDUC"/>
        <s v="LES ORCHIDEES ROUGES"/>
        <s v="LES P'TITES QUENOTTES"/>
        <s v="LES PARENTS INDEPENDANTS D'ANATOLE-FRANCE - PIAF"/>
        <s v="LES REQUINS MARTEAUX"/>
        <s v="LES SALINIERES ASSOCIATION SPORTIVE"/>
        <s v="LES TETES DE L'ART"/>
        <s v="LIGUE AQUITAINE DE SAVATE ET DISCIPLINES ASSOCIEES"/>
        <s v="LIGUE AQUITAINE DE TAEKWONDO"/>
        <s v="LIGUE D’AQUITAINE D’ATHLETISME"/>
        <s v="LIGUE FRANCAISE POUR DEFENSE DROITS DE L'HOMME ET DU CITOYEN (LDH) ET LIGUE DES DROITS DE L'HOMME"/>
        <s v="LIGUE REGIONALE DE LA FEDERATION DE MUAY THAI ET DISCIPLINES ASSOCIEES REGION AQUITAINE - FMDA"/>
        <s v="LIONS CLUB BORDEAUX ROYAL"/>
        <s v="LIONS CLUB BORDEAUX SAINT AUGUSTIN"/>
        <s v="LIONS CLUB BORDEAUX-EUROPE - DISTRICT 103 SUD-OUEST"/>
        <s v="LIONS CLUB DE BORDEAUX CAUDERAN"/>
        <s v="LIONS-CLUB BORDEAUX-MASCARET"/>
        <s v="LO TALHIER - ATELIER MUSIQUE ET DANSE TRADITIONNELLES DE BORDEAUX-CAUDERAN"/>
        <s v="LOCAL ATTITUDE"/>
        <s v="LUSO KIZOMBA"/>
        <s v="LYCEUM CLUB INTERNATIONAL DE BORDEAUX"/>
        <s v="M-TECH MECANIQUE TECHNOLOGIE"/>
        <s v="MAINTIEN DE LA TRADITION DE DAGPO DRATSANG"/>
        <s v="MAISON DE LA NATURE ET DE L'ENVIRONNEMENT BORDEAUX-AQUITAINE"/>
        <s v="MAISON DES ADOLESCENTS DE LA GIRONDE (MDA 33)"/>
        <s v="MAISON DES METIERS DE L'IMPRIMERIE - AMHITEIM"/>
        <s v="MAISON EUROPEENNE DE LA CITOYENNETE"/>
        <s v="MAKESENSE"/>
        <s v="MAM IL ETAIT UNE FOIS"/>
        <s v="MAM LES PETITS LIONS BLEUS"/>
        <s v="MAM STRAM GRAM"/>
        <s v="MANECOUNDA"/>
        <s v="MARTINE CHEZ L'ORTHODONTISTE"/>
        <s v="MAYOTTE-GIRONDE"/>
        <s v="MECHANIC CIRCUS"/>
        <s v="MEDULLA"/>
        <s v="MEEGOT"/>
        <s v="MELIMEL'ONDES"/>
        <s v="MIAOU RECORDS"/>
        <s v="MIGRATIONS CULTURELLES AQUITAINE - AFRIQUES (MC2A)"/>
        <s v="MINI JACK"/>
        <s v="MINI POPPINS"/>
        <s v="MONTPELLIER BEACH VOLLEY"/>
        <s v="MOTO CLUB HEXAGON 33"/>
        <s v="MOUVEMENT DES ENTREPRENEURS SOCIAUX"/>
        <s v="MUSICA LUNAE"/>
        <s v="NAFASSY BORDEAUX"/>
        <s v="NANTES SUMMERCAMP"/>
        <s v="NAÇAO PALMARES CAPOEIRA DE BORDEAUX"/>
        <s v="NEELA CHANDRA"/>
        <s v="NOS D'ART"/>
        <s v="NOTRE-DAME DES BARRAILS"/>
        <s v="NOUVELLE GESTION DES RESSOURCES HUMAINES (NGRH)"/>
        <s v="NOUVELLE-AQUITAINE FILMS"/>
        <s v="NQT (NOS QUARTIERS ONT DU TALENT) - NOUVELLE AQUITAINE"/>
        <s v="NVL/CRALEJ - NOUS VOULONS LIRE !/CENTRE RECH. RESS. AQUIT. LIVRE LECTURE LITTERATURE ENF. JEUNESSE"/>
        <s v="O'PTIMOMES LOISIRS"/>
        <s v="ODE, ORGANISATEUR D'EVENEMENTS"/>
        <s v="OFFICE AQUITAIN RECHERCHES, ETUDES, INFORMATION ET LIAISON SUR PROBLEMES PERSONNES AGEES - OAREIL"/>
        <s v="ORGAN PHANTOM"/>
        <s v="ORGANISATIONS POSITIVES DU SUD OUEST"/>
        <s v="OXYJEN'"/>
        <s v="PAINTING BORDEAUX"/>
        <s v="PARALLELES ATTITUDES DIFFUSION - ROCKSCHOOL"/>
        <s v="PARLECOUTER"/>
        <s v="PARTAGE BORDEAUX GIRONDE"/>
        <s v="PETRONILLE, PATRIMOINE ET DECOUVERTE"/>
        <s v="PIZZICATI"/>
        <s v="PMI FRANCE CHAPTER - BRANCHE NOUVELLE AQUITAINE"/>
        <s v="POUR L'AMOUR DES ANIMAUX"/>
        <s v="POUR UNE EDUCATION BIEN-VEILLANTE"/>
        <s v="PREMICES"/>
        <s v="PROLOGUE"/>
        <s v="RAGNAROCK"/>
        <s v="REGARD 9 - AGENCE METROPOLITAINE DE LA BANDE DESSINEE"/>
        <s v="RESEAU ALTERNATIF CULTUREL ET ARTISTIQUE INTERNATIONAL"/>
        <s v="RESEAU FRANCAIS DES ETUDIANTS POUR LE DEVELOPPEMENT DURABLE - REFEDD"/>
        <s v="RESEAU « AGIR 33 » - RESEAU ADDICTIONS GIRONDE"/>
        <s v="RESISTANCE GABONAISE DE BORDEAUX (RG33)"/>
        <s v="REZ DE CHAUSSEE"/>
        <s v="RIRE A BORDEAUX"/>
        <s v="ROCK'N SWING CLUB"/>
        <s v="ROTARY CLUB BORDEAUX-EST"/>
        <s v="ROTARY-CLUB DE BORDEAUX-NORD"/>
        <s v="ROTEX 1690"/>
        <s v="RUDEBOYZ RECORDS"/>
        <s v="RUE BOUFFARD ASSOCIATION DES COMMERÇANTS"/>
        <s v="SAMBA MWANAS (SAMBAMWANAS)"/>
        <s v="SARAH (HABITAT POUR ACTIFS ET RETRAITES, AUTONOMES ET SOLIDAIRES)"/>
        <s v="SAUVAGE GARAGE"/>
        <s v="SCOUTS ET GUIDES DE FRANCE"/>
        <s v="SCOUTS ET GUIDES DE FRANCE -- GROUPE MARIN DE BORDEAUX"/>
        <s v="SENIORS SOURDS DE LA GIRONDE"/>
        <s v="SENSECUBE"/>
        <s v="SHAKE &amp; FIT"/>
        <s v="SLOT RACING CLUB DE BORDEAUX - SRCB"/>
        <s v="SMA - SKATE MACHINE ARSACAISE"/>
        <s v="SO COOPERATION"/>
        <s v="SOCIETE D'HYGIENE ET DE MEDECINE DU TRAVAIL DANS LES ARMEES ET INDUSTRIES D'ARMEMENT SHMTAIA"/>
        <s v="SOCIETE HIPPIQUE DE LEOGNAN"/>
        <s v="SOCIETE SYMPHONIQUE DE BORDEAUX CAUDERAN"/>
        <s v="SOEURS D'ENCRE BY ROSE TATTOO"/>
        <s v="SOLID'EARTH"/>
        <s v="SOLIDARITE ET PROGRES"/>
        <s v="SOLIDARITES NOUVELLES FACE AU CHOMAGE - SNC"/>
        <s v="SOLIHA UNION REGIONALE NOUVELLE AQUITAINE"/>
        <s v="SOLINUM"/>
        <s v="SONS DE TOILE"/>
        <s v="SOROPTIMIST INTERNATIONAL - CLUB DE BORDEAUX METROPOLE"/>
        <s v="SOYONS LE CHANGEMENT"/>
        <s v="SPORT ADDICT"/>
        <s v="SPORT, EVOLUTION, ARTS ENERGETIQUES"/>
        <s v="STADE BORDELAIS - ASPTT "/>
        <s v="STATION ESSENCE"/>
        <s v="STOP AUX VIOLENCES SEXUELLES - 33"/>
        <s v="STOP HARCELEMENT DE RUE"/>
        <s v="STREET WORKOUT BORDEAUX"/>
        <s v="SUD-OUEST SOLIDARITE"/>
        <s v="SUKHALI DEVELOPPEMENT LOCAL PAR LES FEMMES AU SENEGAL"/>
        <s v="SUR NOS GARDES"/>
        <s v="SURFRIDER FOUNDATION EUROPE"/>
        <s v="SURVIE-GIRONDE"/>
        <s v="TABLE RONDE FRANÇAISE BORDEAUX 135"/>
        <s v="TEDX IN BORDEAUX"/>
        <s v="THE ARTIST"/>
        <s v="THEATRE ONYX"/>
        <s v="THOTH CIVILISATIONS SANS FRONTIERES"/>
        <s v="TIBI GLORIA"/>
        <s v="TOTOCHE PROD"/>
        <s v="TOUS AZIMUTS"/>
        <s v="TOUT CEREBROLESE ASSISTANCE"/>
        <s v="TOUT EST POSSIBLE (TEP)"/>
        <s v="TOUT UN ART"/>
        <s v="TRISOMIE 21 AQUITAINE"/>
        <s v="TROUPE D'IMPROVISATION THEATRALE D'AQUITAINE NOBLE SCENE (TITANS)"/>
        <s v="UKRAINE AMITIE (UA)"/>
        <s v="UNION AFRIQUE CARAIBES (UAC)"/>
        <s v="UNION BEGLES BORDEAUX-MIOS BIGANOS"/>
        <s v="UNION BORDEAUX NORD DES ASSOCIATIONS DE PREVENTION SPECIALISEE - UBAPS"/>
        <s v="UNION DES FAMILLES LAIQUES DE BORDEAUX - UFAL BORDEAUX"/>
        <s v="UNION DES TRAVAILLEURS SENEGALAIS EN FRANCE - SCT GDE"/>
        <s v="UNION FRANCAISE POUR LA SANTE DU PIED"/>
        <s v="UNION GENERALE SPORTIVE DE L'ENSEIGNEMENT LIBRE D'AQUITAINE (UGSEL)"/>
        <s v="UNION LAIQUE DES CAMPEURS RANDONNEURS - ULCR"/>
        <s v="UNION LOCALE DE LA CONSOMMATION DU LOGEMENT ET CADRE DE VIE DE BORDEAUX RIVE DROITE - CLCV"/>
        <s v="UNION NATIONALE DES COMBATTANTS DU DEPARTEMENT DE LA GIRONDE"/>
        <s v="UNION REGIONALE DES CENTRES D'INFORMATION SUR LES DROITS DES FEMMES ET DES FAMILLES"/>
        <s v="UNION REGIONALE POUR L’HABITAT DES JEUNES D’ AQUITAINE (URHAJ AQUITAINE)"/>
        <s v="USEP BORDEAUX BENAUGE"/>
        <s v="UTOPIA COLLECTIF CINEMA"/>
        <s v="VACANCES ANIMATION LOISIRS TOURISME 33 - VALT 33"/>
        <s v="VARIETES CLUB DE BORDEAUX - VCB"/>
        <s v="VERS LA CONNAISSANCE DE SOI"/>
        <s v="VERY CHEAP PRODUCTION (VCP)"/>
        <s v="VIVRE SANS THYROIDE"/>
        <s v="VOVINAM VIET VO DAO - CLUB DE BORDEAUX CHAUFFOUR"/>
        <s v="WA TID SAOU ALLONS DANSER"/>
        <s v="WELCOME BORDEAUX (RESEAU D'HOSPITALITE POUR DES DEMANDEURS D'ASILE DANS LA REGION DE BORDEAUX)"/>
        <s v="WINTEGREAT"/>
        <s v="WISE SCA (WELSH, IRISH, SCOTTISH &amp; ENGLISH SPORTING &amp; CULTURAL ASSOCIATION)"/>
        <s v="WUNDERSTUDIO"/>
        <s v="WWW.AV-LO.COM"/>
        <s v="YA DE LA JOIE DE VIVRE"/>
        <s v="YOGALBEDO (ASSOCIATION DE KUNDALINI YOGA)"/>
        <s v="ZAZOUS PRODUCTIONS"/>
        <s v="ZUP DE CO"/>
        <s v="ADOMA"/>
        <s v="EBS LE RELAIS VAL DE SEINE - LE RELAIS GIRONDE"/>
        <s v="EUTERPE PROMOTION"/>
        <s v="OBOEM"/>
        <s v="OWENZA"/>
        <s v="SOCIETE EDITRICE DU MONDE"/>
        <s v="UNION COOP DE LA PAGE BLANCHE Personnes physiques"/>
        <s v="BORDEAUX MECENES SOLIDAIRES"/>
        <s v="QUOY SYGRID"/>
        <s v="SOLIDAIRES SUD EMPLOI AQUITAINE Personnes de droit public"/>
        <s v="DEPARTEMENT DE LA GIRONDE Communes"/>
        <s v="UNIVERSITE DE BORDEAUX Autres"/>
        <s v="CHAMBRE DE COMMERCE D'INDUSTRIE TERRITORIALE BORDEAUX GIRONDE"/>
        <s v="ECOLE D'ENSEIGNEMENT SUPERIEUR D'ART DE BORDEAUX - ESAB"/>
        <s v="ECOLE NATIONALE SUPERIEURE D'ARCHITECTURE ET DE PAYSAGE DE BORDEAUX - ENSAP"/>
        <s v="MUSEE DES DOUANES"/>
      </sharedItems>
    </cacheField>
    <cacheField name="Montant du fonds de concours ou de la subvention (numéraire)" numFmtId="0">
      <sharedItems containsSemiMixedTypes="0" containsString="0" containsNumber="1">
        <n v="1.616767E7"/>
        <n v="8060927.5"/>
        <n v="7912204.0"/>
        <n v="3120000.0"/>
        <n v="1735000.0"/>
        <n v="1646816.0"/>
        <n v="1578403.0"/>
        <n v="1537650.0"/>
        <n v="1128560.0"/>
        <n v="1089439.0"/>
        <n v="896350.0"/>
        <n v="892663.0"/>
        <n v="879983.0"/>
        <n v="819458.0"/>
        <n v="752250.0"/>
        <n v="678000.0"/>
        <n v="634600.0"/>
        <n v="567000.0"/>
        <n v="532800.0"/>
        <n v="512833.33"/>
        <n v="494000.0"/>
        <n v="492222.0"/>
        <n v="478850.0"/>
        <n v="461165.0"/>
        <n v="450195.0"/>
        <n v="450000.0"/>
        <n v="426565.0"/>
        <n v="402000.0"/>
        <n v="380000.0"/>
        <n v="357672.0"/>
        <n v="347000.0"/>
        <n v="343924.0"/>
        <n v="339500.0"/>
        <n v="334000.0"/>
        <n v="311500.0"/>
        <n v="300000.0"/>
        <n v="283000.0"/>
        <n v="280000.0"/>
        <n v="243834.0"/>
        <n v="240000.0"/>
        <n v="237000.0"/>
        <n v="223734.0"/>
        <n v="210000.0"/>
        <n v="205000.0"/>
        <n v="200000.0"/>
        <n v="198775.0"/>
        <n v="198000.0"/>
        <n v="190000.0"/>
        <n v="185000.0"/>
        <n v="180000.0"/>
        <n v="170592.0"/>
        <n v="153407.0"/>
        <n v="141174.0"/>
        <n v="132000.0"/>
        <n v="130000.0"/>
        <n v="120000.0"/>
        <n v="119100.0"/>
        <n v="119000.0"/>
        <n v="118603.0"/>
        <n v="115000.0"/>
        <n v="110350.0"/>
        <n v="109834.0"/>
        <n v="105000.0"/>
        <n v="100000.0"/>
        <n v="83680.0"/>
        <n v="82238.0"/>
        <n v="81568.0"/>
        <n v="80000.0"/>
        <n v="73900.0"/>
        <n v="73250.0"/>
        <n v="66000.0"/>
        <n v="64000.0"/>
        <n v="60000.0"/>
        <n v="57500.0"/>
        <n v="57005.0"/>
        <n v="56105.0"/>
        <n v="56000.0"/>
        <n v="55000.0"/>
        <n v="54201.0"/>
        <n v="52500.0"/>
        <n v="52250.0"/>
        <n v="51000.0"/>
        <n v="50580.0"/>
        <n v="50000.0"/>
        <n v="49000.0"/>
        <n v="46500.0"/>
        <n v="46000.0"/>
        <n v="45400.0"/>
        <n v="44200.0"/>
        <n v="41500.0"/>
        <n v="40700.0"/>
        <n v="40000.0"/>
        <n v="37754.0"/>
        <n v="37500.0"/>
        <n v="37000.0"/>
        <n v="35895.0"/>
        <n v="35500.0"/>
        <n v="35000.0"/>
        <n v="33251.0"/>
        <n v="32987.75"/>
        <n v="32500.0"/>
        <n v="31500.0"/>
        <n v="31000.0"/>
        <n v="30500.0"/>
        <n v="30000.0"/>
        <n v="29985.0"/>
        <n v="29750.0"/>
        <n v="29000.0"/>
        <n v="28500.0"/>
        <n v="28000.0"/>
        <n v="27778.0"/>
        <n v="27500.0"/>
        <n v="27000.0"/>
        <n v="25062.0"/>
        <n v="25000.0"/>
        <n v="24500.0"/>
        <n v="23000.0"/>
        <n v="22500.0"/>
        <n v="22000.0"/>
        <n v="21600.0"/>
        <n v="21500.0"/>
        <n v="21350.0"/>
        <n v="21000.0"/>
        <n v="20686.0"/>
        <n v="20500.0"/>
        <n v="20060.0"/>
        <n v="19500.0"/>
        <n v="19000.0"/>
        <n v="18800.0"/>
        <n v="17528.0"/>
        <n v="17500.0"/>
        <n v="17000.0"/>
        <n v="16770.0"/>
        <n v="16628.76"/>
        <n v="16000.0"/>
        <n v="15920.46"/>
        <n v="15800.0"/>
        <n v="15500.0"/>
        <n v="15280.0"/>
        <n v="15000.0"/>
        <n v="14800.0"/>
        <n v="14653.49"/>
        <n v="14500.0"/>
        <n v="14000.0"/>
        <n v="13600.0"/>
        <n v="13050.0"/>
        <n v="13000.0"/>
        <n v="12000.0"/>
        <n v="11950.0"/>
        <n v="11620.0"/>
        <n v="11500.0"/>
        <n v="11380.0"/>
        <n v="11176.0"/>
        <n v="11011.0"/>
        <n v="11000.0"/>
        <n v="10730.0"/>
        <n v="10536.77"/>
        <n v="10083.0"/>
        <n v="10000.0"/>
        <n v="9980.0"/>
        <n v="9880.0"/>
        <n v="9750.0"/>
        <n v="9600.0"/>
        <n v="9520.0"/>
        <n v="9500.0"/>
        <n v="9400.0"/>
        <n v="9000.0"/>
        <n v="8907.0"/>
        <n v="8800.0"/>
        <n v="8640.0"/>
        <n v="8605.0"/>
        <n v="8500.0"/>
        <n v="8400.0"/>
        <n v="8308.0"/>
        <n v="8300.0"/>
        <n v="8200.0"/>
        <n v="8000.0"/>
        <n v="7932.0"/>
        <n v="7800.0"/>
        <n v="7600.0"/>
        <n v="7500.0"/>
        <n v="7475.0"/>
        <n v="7370.0"/>
        <n v="7300.0"/>
        <n v="7100.0"/>
        <n v="7000.0"/>
        <n v="6900.0"/>
        <n v="6800.0"/>
        <n v="6500.0"/>
        <n v="6400.0"/>
        <n v="6182.0"/>
        <n v="6100.0"/>
        <n v="6000.0"/>
        <n v="5900.0"/>
        <n v="5750.0"/>
        <n v="5688.0"/>
        <n v="5500.0"/>
        <n v="5394.0"/>
        <n v="5000.0"/>
        <n v="4880.0"/>
        <n v="4850.0"/>
        <n v="4700.0"/>
        <n v="4634.0"/>
        <n v="4600.0"/>
        <n v="4550.0"/>
        <n v="4500.0"/>
        <n v="4420.0"/>
        <n v="4400.0"/>
        <n v="4300.0"/>
        <n v="4250.0"/>
        <n v="4072.0"/>
        <n v="4000.0"/>
        <n v="3917.0"/>
        <n v="3800.0"/>
        <n v="3700.0"/>
        <n v="3500.0"/>
        <n v="3400.0"/>
        <n v="3300.0"/>
        <n v="3220.0"/>
        <n v="3200.0"/>
        <n v="3109.0"/>
        <n v="3030.0"/>
        <n v="3000.0"/>
        <n v="2800.0"/>
        <n v="2700.0"/>
        <n v="2670.0"/>
        <n v="2635.0"/>
        <n v="2500.0"/>
        <n v="2450.0"/>
        <n v="2400.0"/>
        <n v="2300.0"/>
        <n v="2250.0"/>
        <n v="2200.0"/>
        <n v="2150.0"/>
        <n v="2100.0"/>
        <n v="2064.0"/>
        <n v="2055.0"/>
        <n v="2000.0"/>
        <n v="1800.0"/>
        <n v="1728.0"/>
        <n v="1700.0"/>
        <n v="1650.0"/>
        <n v="1600.0"/>
        <n v="1550.0"/>
        <n v="1534.0"/>
        <n v="1500.0"/>
        <n v="1410.0"/>
        <n v="1400.0"/>
        <n v="1300.0"/>
        <n v="1200.0"/>
        <n v="1080.0"/>
        <n v="1000.0"/>
        <n v="950.0"/>
        <n v="920.0"/>
        <n v="900.0"/>
        <n v="865.0"/>
        <n v="800.0"/>
        <n v="750.0"/>
        <n v="741.0"/>
        <n v="700.0"/>
        <n v="650.0"/>
        <n v="600.0"/>
        <n v="571.0"/>
        <n v="500.0"/>
        <n v="420.0"/>
        <n v="400.0"/>
        <n v="300.0"/>
        <n v="250.0"/>
        <n v="200.0"/>
        <n v="150.0"/>
        <n v="120.0"/>
        <n v="100.0"/>
        <n v="82.0"/>
        <n v="0.0"/>
        <n v="760.0"/>
        <n v="22016.0"/>
        <n v="6180.0"/>
        <n v="20000.0"/>
        <n v="10738.0"/>
        <n v="550.0"/>
        <n v="88869.0"/>
        <n v="1759.0"/>
        <n v="389346.0"/>
        <n v="2434.58"/>
        <n v="1512.0"/>
        <n v="481688.0"/>
        <n v="35374.0"/>
        <n v="522000.0"/>
        <n v="6782.0"/>
        <n v="8035091.0"/>
        <n v="10100.0"/>
        <n v="3750.0"/>
        <n v="450.0"/>
        <n v="7601.0"/>
        <n v="1100.0"/>
        <n v="26600.0"/>
        <n v="10623.0"/>
        <n v="45000.0"/>
        <n v="3600.0"/>
        <n v="336.0"/>
        <n v="1691826.0"/>
        <n v="310000.0"/>
        <n v="1815900.0"/>
        <n v="23606.0"/>
        <n v="36821.0"/>
        <n v="31796.0"/>
        <n v="5600.0"/>
        <n v="1180.0"/>
        <n v="152533.0"/>
        <n v="42900.0"/>
        <n v="1074006.0"/>
        <n v="49012.08"/>
        <n v="2071.77"/>
        <n v="38117.0"/>
        <n v="209595.0"/>
        <n v="32000.0"/>
        <n v="68775.0"/>
        <n v="84000.0"/>
        <n v="18000.0"/>
        <n v="16250.0"/>
        <n v="2415.0"/>
        <n v="1104.1"/>
        <n v="56264.0"/>
        <n v="5400.0"/>
        <n v="11358.0"/>
        <n v="460887.0"/>
        <n v="57000.0"/>
        <n v="11033.13"/>
        <n v="229827.0"/>
        <n v="627135.0"/>
        <n v="3100.0"/>
        <n v="9200.0"/>
        <n v="41400.0"/>
        <n v="2085.0"/>
        <n v="980.0"/>
        <n v="42000.0"/>
        <n v="10500.0"/>
        <n v="11040.0"/>
        <n v="3882.0"/>
        <n v="43000.0"/>
        <n v="1551.0"/>
        <n v="118107.65"/>
        <n v="8560.0"/>
        <n v="113603.0"/>
        <n v="38000.0"/>
        <n v="10300.0"/>
        <n v="14712.0"/>
        <n v="177500.0"/>
        <n v="1250.0"/>
        <n v="44000.0"/>
        <n v="4664.0"/>
        <n v="4750.0"/>
        <n v="327000.0"/>
        <n v="6190.0"/>
        <n v="1450.0"/>
        <n v="90000.0"/>
        <n v="444542.0"/>
        <n v="129693.0"/>
        <n v="470044.0"/>
        <n v="2600.0"/>
        <n v="12041.0"/>
        <n v="4800.0"/>
        <n v="481561.0"/>
        <n v="10533.0"/>
        <n v="860.0"/>
        <n v="57357.0"/>
        <n v="6300.0"/>
        <n v="8900.0"/>
        <n v="74000.0"/>
        <n v="51819.78"/>
        <n v="121000.0"/>
        <n v="480.0"/>
        <n v="15180.0"/>
        <n v="5955.0"/>
        <n v="26852.0"/>
        <n v="6200.0"/>
        <n v="350358.0"/>
        <n v="374400.0"/>
        <n v="111800.0"/>
        <n v="946685.0"/>
        <n v="12500.0"/>
        <n v="44620.0"/>
        <n v="3813.45"/>
        <n v="648000.0"/>
        <n v="13262.69"/>
        <n v="112450.0"/>
        <n v="69000.0"/>
        <n v="31418.0"/>
        <n v="175215.0"/>
        <n v="238200.0"/>
        <n v="337986.0"/>
        <n v="22520.0"/>
        <n v="7560.0"/>
        <n v="47500.0"/>
        <n v="30192.0"/>
        <n v="67600.0"/>
        <n v="640.0"/>
        <n v="5487.0"/>
        <n v="1150.0"/>
        <n v="4200.0"/>
        <n v="72000.0"/>
        <n v="8815.0"/>
        <n v="72400.0"/>
        <n v="1026622.0"/>
        <n v="863827.0"/>
        <n v="13500.0"/>
        <n v="51500.0"/>
        <n v="80300.0"/>
        <n v="15600.0"/>
        <n v="5300.0"/>
        <n v="6075.0"/>
        <n v="750595.0"/>
        <n v="1495999.0"/>
        <n v="980549.0"/>
        <n v="40250.0"/>
        <n v="4940.0"/>
        <n v="3558.0"/>
        <n v="126000.0"/>
        <n v="9800.0"/>
        <n v="11800.0"/>
        <n v="1660153.0"/>
        <n v="53250.0"/>
        <n v="13003.28"/>
        <n v="44521.21"/>
        <n v="1.6115663E7"/>
        <n v="6700.0"/>
        <n v="7823937.0"/>
        <n v="3140000.0"/>
        <n v="290000.0"/>
      </sharedItems>
    </cacheField>
    <cacheField name="Prestations en nature" numFmtId="0">
      <sharedItems containsBlank="1">
        <m/>
        <s v="Communication, locaux, équipements sportifs,"/>
        <s v="Locaux"/>
        <s v="Communication, locaux"/>
        <s v="Locaux, matériel pour manifestations"/>
        <s v="Locaux, équipements sportifs, matériel pour"/>
        <s v="Communication, matériel pour manifestations, locaux"/>
        <s v="Matériel pour manifestations"/>
        <s v="Equipements sportifs"/>
        <s v="Equipements sportifs, matériel pour manifestations"/>
        <s v="Locaux, matériel pour manifestations, matériel"/>
        <s v="Communication, locaux, matériel pour"/>
        <s v="Communication, locaux, matériel pour manifestations"/>
        <s v="Communication, équipements sportifs, matériel pour"/>
        <s v="Locaux, équipements sportifs"/>
        <s v="Locaux, matériel informatique"/>
        <s v="Communication, matériel pour manifestations"/>
        <s v="Communication"/>
        <s v="Communication, matériel informatique"/>
        <s v="Matériel informatique"/>
        <s v="Equipements sportifs, locaux"/>
        <s v="Matériel pour manifestations, équipements sportifs,"/>
        <s v="Matériel pour manifestations, locaux"/>
        <s v="Communication, matériel pour manifestations,"/>
        <s v="Matériel pour manifestations, équipements sportifs"/>
        <s v="Matériel informatique, locaux"/>
        <s v="Communication, équipements sportifs"/>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534" sheet="consolid2"/>
  </cacheSource>
  <cacheFields>
    <cacheField name="nom des bénéficiaires" numFmtId="0">
      <sharedItems>
        <s v="OPERA NATIONAL DE BORDEAUX"/>
        <s v="ASSOCIATION DES CENTRES D'ANIMATION DE QUARTIERS DE BORDEAUX - ACAQB"/>
        <s v="CCAS DE BORDEAUX"/>
        <s v="ECOLE D'ENSEIGNEMENT SUPÉRIEUR D'ART DE BORDEAUX - ESAB"/>
        <s v="ASSOCIATION PITCHOUN"/>
        <s v="THEATRE NATIONAL DE BORDEAUX EN AQUITAINE - TNBA"/>
        <s v="ASSOCIATION PETITE ENFANCE ENFANCE ET FAMILLE - APEEF"/>
        <s v="UNION SAINT-BRUNO "/>
        <s v="SPORTING CHANTECLER BORDEAUX NORD LE LAC "/>
        <s v="AVANT GARDE ET JEANNE D'ARC DE BORDEAUX CAUDERAN - AGJA BORDEAUX CAUDERAN"/>
        <s v="UNION SPORTIVE LES CHARTRONS "/>
        <s v="LES JEUNES DE SAINT AUGUSTIN - JSA "/>
        <s v="UNION SAINT JEAN - MAISON DE QUARTIER "/>
        <s v="STADE BORDELAIS ASPTT "/>
        <s v="ARC EN REVE"/>
        <s v="MAISON DE L'EMPLOI, DE L'INSERTION ECONOMIQUE ET DE L'ENTREPRISE DE BORDEAUX"/>
        <s v="CLUB PYRENEES AQUITAINE, ASSOCIATION SPORTIVE, EDUCATIVE ET CULTURELLE"/>
        <s v="P'TIT BOUT'CHOU"/>
        <s v="ASSOCIATION BRINS D'EVEIL"/>
        <s v="ASSOCIATION DE GESTION ET D'ANIMATION DES CRECHES C.S.F. (AGEAC/CSF)"/>
        <s v="MISSION LOCALE BORDEAUX AVENIR JEUNES"/>
        <s v="GP INTENCITE CENTRE SOCIAL ET CULTUREL DU GRAND PARC"/>
        <s v="INTERLUDE"/>
        <s v="CENTRE SOCIAL ET FAMILIAL BORDEAUX NORD "/>
        <s v="AMICALE LAIQUE DAVID JOHNSTON LAGRANGE ALBERT BARRAUD NAUJAC"/>
        <s v="SASP UNION BORDEAUX BEGLES"/>
        <s v="FOYER FRATERNEL"/>
        <s v="FESTIVAL DES ARTS DE BORDEAUX"/>
        <s v="ASSOCIATION DU COMITE DES OEUVRES SOCIALES DES MUNICIPAUX DE BORDEAUX - ACOSMB"/>
        <s v="POLE D'ENSEIGNEMENT SUPERIEUR DE LA MUSIQUE ET DE LA DANSE DE BORDEAUX AQUITAINE - PESMD"/>
        <s v="AUTEUIL PETITE ENFANCE"/>
        <s v="LES COQS ROUGES"/>
        <s v="BORDEAUX GRANDS EVENEMENTS (BGE)"/>
        <s v="GESTION DU CENTRE DE LOISIRS DE LA POSTE ALEMA"/>
        <s v="ASSOCIATION PETITS BOUCHONS"/>
        <s v="ASSOCIATION POUR L'INNOVATION EN MATIERE D'INTEGRATION"/>
        <s v="BOXERS DE BORDEAUX"/>
        <s v="SASP JSA BORDEAUX METROPOLE"/>
        <s v="CLUB ATHLETIQUE MUNICIPAL DE BORDEAUX - CAM "/>
        <s v="LES ENFANTS D'OSIRIS"/>
        <s v="PARALLELES ATTITUDES DIFFUSION - ROCKSCHOOL "/>
        <s v="BORDEAUX ETUDIANTS CLUB - BEC "/>
        <s v="EVEILLEZ LES BEBES"/>
        <s v="LES PARENTS DE CAUDERAN"/>
        <s v="LUCILANN"/>
        <s v="BORDEAUX GIRONDE INVESTISSEMENT"/>
        <s v="LA MANUFACTURE ATLANTIQUE "/>
        <s v="GROUPEMENT D'INTERET PUBLIC BORDEAUX MEDIATION"/>
        <s v="ESCALES LITTERAIRES BORDEAUX AQUITAINE"/>
        <s v="ASSOCIATION LA COCCINELLE"/>
        <s v="O'PTIMÔMES LOISIRS"/>
        <s v="ASTROLABE"/>
        <s v="GIRONDINS DE BORDEAUX BASTIDE HANDBALL CLUB "/>
        <s v="LES GIRONDINS DE BORDEAUX "/>
        <s v="NUAGE BLEU"/>
        <s v="OGEC LYCEE BEL ORME"/>
        <s v="LA RONDE DES QUARTIERS DE BORDEAUX"/>
        <s v="VILLA PRIMROSE "/>
        <s v="EMULATION NAUTIQUE DE BORDEAUX "/>
        <s v="CAISSE SOCIALE DE DEVELOPPEMENT LOCAL"/>
        <s v="COS VILLA PIA - EHPAD LES DAMES DE LA FOI"/>
        <s v="GLOB THEATRE"/>
        <s v="MAISON DES JEUNES ET DE LA CULTURE CENTRE DE LOISIRS DES DEUX VILLES - MJC CL2V"/>
        <s v="ECOLE SUPERIEURE DE THEATRE BORDEAUX AQUITAINE - ESTBA"/>
        <s v="UNIS CITE"/>
        <s v="FOOTBALL CLUB DES GIRONDINS DE BORDEAUX - FCGB"/>
        <s v="UNION BORDEAUX METROPOLE - UBM"/>
        <s v="AMICALE DES ETABLISSEMENTS SCOLAIRES LAIQUES DE BACALAN - ALB"/>
        <s v="CAP SCIENCES"/>
        <s v="BORDEAUX MERIGNAC VOLLEY"/>
        <s v="LA HALLE DES DOUVES"/>
        <s v="SOLIHA, SOLIDAIRES POUR L'HABITAT, GIRONDE"/>
        <s v="SEMER LE DOUTE "/>
        <s v="HALTE 33"/>
        <s v="RESEAU PAUL BERT CENTRE SOCIAL ET CULTUREL"/>
        <s v="AGENCE D'URBANISME BORDEAUX METROPOLE AQUITAINE (A'URBA)"/>
        <s v="CHAHUTS"/>
        <s v="LA CAISSE A OUTILS"/>
        <s v="LA MEMOIRE DE BORDEAUX METROPOLE"/>
        <s v="MAISON DE L'EUROPE BORDEAUX-AQUITAINE (MEBA)"/>
        <s v="ASSOCIATION LAIQUE LE PRADO"/>
        <s v="LES PETITS DEBROUILLARDS AQUITAINE"/>
        <s v="FONDATION D'AUTEUIL AQUITAINE"/>
        <s v="THEATRE DU PONT TOURNANT"/>
        <s v="REGIE DE QUARTIER HABITER BACALAN"/>
        <s v="ASSOCIATION DE DEFENSE DES MUSIQUES ALTERNATIVES EN AQUITAINE - ADMAA (ALLEZ LES FILLES)"/>
        <s v="ASSOCIATION UNION BORDEAUX BEGLES"/>
        <s v="LA CITE DU VIN"/>
        <s v="LE SERVICE GAGNANT"/>
        <s v="MAIRES RESPONSABLES METROPOLES FRANCOPHONES - AIMF"/>
        <s v="CENTRE D'INFORMATION JEUNESSE AQUITAINE - CIJA"/>
        <s v="ECOLE DE CIRQUE DE BORDEAUX, CENTRE CULTUREL DES ARTS DU CIRQUE"/>
        <s v="MAISON DE NOLAN"/>
        <s v="ASSOCIATION GIRONDINE D'EDUCATION SPECIALISEE ET DE PREVENTION SOCIALE - AGEP"/>
        <s v="ATELIER GRAPHITE"/>
        <s v="COMPAGNIE DES MARCHES DE L'ETE"/>
        <s v="MUSIQUES DE NUIT - DIFFUSION"/>
        <s v="CONGRES ET EXPOSITIONS DE BORDEAUX"/>
        <s v="ASSOCIATION PROMOTION INSERTION SPORT EN AQUITAINE - APIS"/>
        <s v="MIGRATIONS CULTURELLES AQUITAINE - AFRIQUES (MC2A) "/>
        <s v="ASSOCIATION DU LIEN INTERCULTUREL FAMILIAL ET SOCIAL - ALIFS"/>
        <s v="BORDEAUX BASTIDE BASKET"/>
        <s v="MANA"/>
        <s v="GROUPEMENT D'INTERET PUBLIC DE LA REUSSITE EDUCATIVE DE BORDEAUX"/>
        <s v="QUATUORS A BORDEAUX"/>
        <s v="FORUM AVIGNON"/>
        <s v="TRANSFERT"/>
        <s v="CIE LE SOLEIL BLEU"/>
        <s v="PROMO-FEMMES SAINT MICHEL"/>
        <s v="ENSEMBLE PYGMALION"/>
        <s v="BANQUE ALIMENTAIRE DE BORDEAUX ET DE LA GIRONDE"/>
        <s v="ANPAA - ASSOCIATION NATIONALE DE PREVENTION EN ALCOOLOGIE ET EN ADDICTOLOGIE"/>
        <s v="BORDEAUX GIRONDE HOCKEY SUR GLACE"/>
        <s v="CENTRE D'ACCUEIL D'INFORMATION ET D'ORIENTATION - CAIO"/>
        <s v="DIACONAT DE BORDEAUX"/>
        <s v="RESEAU AQUITAIN DEVELOPPEMENT SOLIDARITE INTERNATIONALE"/>
        <s v="LES JARDINS D'AUJOURD'HUI"/>
        <s v="MASCARETS"/>
        <s v="URBAN VIBRATIONS SCHOOL"/>
        <s v="BORDEAUX SPORTS DE GLACE"/>
        <s v="COLLECTIF DE RESSOURCES BORDEAUX-NORD"/>
        <s v="ASSOCIATION SPORTIVE CHARLES MARTIN - USEP"/>
        <s v="ASSOCIATION FAMILIALE LAIQUE DE BORDEAUX NORD - AFL"/>
        <s v="ECLATS"/>
        <s v="ORGAN PHANTOM "/>
        <s v="ASSOCIATION POUR UNE EDUCATION BUISSONNIERE"/>
        <s v="INSTITUT FRANCAIS"/>
        <s v="TRAFIC"/>
        <s v="IPPO (INFORMATION, PREVENTION, PROXIMITE, ORIENTATION)"/>
        <s v="COMPAGNIE REVOLUTION DANCE"/>
        <s v="L'EPICERIE"/>
        <s v="LE SPORTING-CLUB DE LA BASTIDIENNE "/>
        <s v="ZEBRA 3"/>
        <s v="LE KIOSQUE CULTURE"/>
        <s v="OUVRE LE CHIEN (DANS L'IMMEDIAT)"/>
        <s v="ACADEMIE YOUNUS "/>
        <s v="ACINQBYS_ESPACE 29 A5BIS"/>
        <s v="LA BOITE A JOUER"/>
        <s v="RACING CLUB DE BORDEAUX METROPOLE"/>
        <s v="BORDEAUX ENTREPRENEURS"/>
        <s v="VENUS"/>
        <s v="POLE MAGNETIC"/>
        <s v="AQUINUM - ASSOCIATION DES PROFESSIONNELS DU NUMERIQUE EN AQUITAINE"/>
        <s v="BORDEAUX SERVICE SOLIDARITE"/>
        <s v="INCUBATEUR AU FEMININ BORDEAUX AQUITAINE"/>
        <s v="O SOL DE PORTUGAL"/>
        <s v="CENTRE JEAN VIGO EVENEMENTS"/>
        <s v="COMITE D'ETUDE ET D'INFORMATION SUR DROGUE (PREV. ET TRAITEMENT TOXICOMANIES ET AUTRES ADDICTIONS)"/>
        <s v="AIM ACTIONS INTER MEDIATION"/>
        <s v="UNION SPORTIVE JEUNES DE SAINT-AUGUSTIN - CLUB PYRENEES-AQUITAINE (US JSA-CPA)"/>
        <s v="9-33"/>
        <s v="CIRQUE ECLAIR ECOLE CIRQUE D'AQUITAINE"/>
        <s v="SURF INSERTION"/>
        <s v="LE KFE DES FAMILLES"/>
        <s v="MONOQUINI"/>
        <s v="COMPAGNIE PAUL LES OISEAUX"/>
        <s v="COMPAGNIE THEATRE L'OEIL DE LA LUCARNE"/>
        <s v="N'A QU'UN OEIL"/>
        <s v="YAKAFAUCON"/>
        <s v="SOCIETE ARCHEOLOGIQUE DE BORDEAUX"/>
        <s v="LYCEE PROFESSIONNEL JEHAN DUPERIER"/>
        <s v="COMPAGNONS BATISSEURS AQUITAINE"/>
        <s v="FEDERATION DES SOCIETES CARNAVALESQUES DE L'AGGLOMERATION BORDELAISE"/>
        <s v="GROUPE ANAMORPHOSE"/>
        <s v="L'ATELIER REMUMENAGE"/>
        <s v="LYCEE VITICOLE-CFPPA CHATEAU DILLON (EPLEFPA)"/>
        <s v="CLUB DES ENTREPRISES DE BORDEAUX"/>
        <s v="ASSOCIATION DE SOUTIEN AUX INVENTIONS LIBRES (ASIL)"/>
        <s v="FAMILLES EN GIRONDE - FEDERATION DE LA GIRONDE"/>
        <s v="ASSOCIATION ALCHIMIST"/>
        <s v="AMOS"/>
        <s v="BRUIT DU FRIGO"/>
        <s v="CARTOONING FOR PEACE"/>
        <s v="CONSEIL DEPARTEMENTAL DES ASSOCIATIONS FAMILIALES LAIQUES DE LA GIRONDE - CDAFAL 33"/>
        <s v="ENTREPRISE INTERMEDIAIRE DE PRODUCTION ET DE FORMATION - EIPF"/>
        <s v="FONDS REGIONAL D'ART CONTEMPORAIN - COLLECTION AQUITAINE"/>
        <s v="LA FABRIQUE POLA"/>
        <s v="UNION DEPARTEMENTALE DES CADRES DE LA GIRONDE"/>
        <s v="CENTRE SOCIAL BAGATELLE DISPENSAIRE DE BAGATELLE"/>
        <s v="ENTR-AUTRES"/>
        <s v="MAISON DES ADOLESCENTS DE LA GIRONDE"/>
        <s v="BORDEAUX ROCK"/>
        <s v="EINSTEIN ON THE BEACH"/>
        <s v="ITINERAIRES DES PHOTOGRAPHES VOYAGEURS"/>
        <s v="LE 308"/>
        <s v="LES LEOPARDS DE GUYENNE"/>
        <s v="OPERA PAGAI"/>
        <s v="BORDEAUX ATHLETIC CLUB "/>
        <s v="ENVOL D'AQUITAINE "/>
        <s v="LA COMA"/>
        <s v="YAWATA ASSOCIATION DES ECHANGES DE PROCEDES ARTISTIQUES"/>
        <s v="INSTITUT D'ETUDES POLITIQUES SCIENCES PO"/>
        <s v="AQUITEC"/>
        <s v="INFODROITS"/>
        <s v="MAISON DE L'INITIATIVE ET DE L'ENTREPRENEURIAT - MIE"/>
        <s v="TRAVAUX PUBLICS COMPAGNIE"/>
        <s v="LE 4 DE BORDEAUX"/>
        <s v="CENTRE CULTUREL ET D'ANIMATION DES JEUNES - YAVNE"/>
        <s v="BOXING CLUB BORDELAIS"/>
        <s v="CENTRE DE PREVENTION ET DE LOISIRS DES JEUNES DE BORDEAUX - CPLJ Bordeaux"/>
        <s v="LETTRES DU MONDE"/>
        <s v="COMPAGNIE PRESENCE MICHEL CAHUZAC"/>
        <s v="COULEURS GARONNE"/>
        <s v="AMIS DE L'ORCHESTRE D'HARMONIE DE BORDEAUX"/>
        <s v="AIR ROLLER (ATTENTION INERTIE RENOUVELABLE)"/>
        <s v="ASSOCIATION DES COMMERCANTS ET RIVERAINS DU QUARTIER VICTOIRE"/>
        <s v="COLLECTIF OS'O"/>
        <s v="CONTRÔLE Z AQUITAINE"/>
        <s v="CHAMBRE DES METIERS DE LA GIRONDE"/>
        <s v="JEUNES SCIENCE BORDEAUX"/>
        <s v="ACIDD, ASSOCIATION COMMUNICATION ET INFORMATION POUR LE DEVELOPPEMENT DURABLE"/>
        <s v="ASSOCIATION EMMAUS AQUITAINE BORDEAUX FONDATEUR ABBE PIERRE"/>
        <s v="CENTRE D'ACTION ET DE PREVENTION CONTRE LA RADICALISATION LIEE A L'ISLAMISME (CAPRI)"/>
        <s v="CENTRE RENCONTRES ACTION CULTURELLE BEGLES-CREAC"/>
        <s v="DISPARATE"/>
        <s v="IUFN"/>
        <s v="L'OUMIGMAG"/>
        <s v="MOUVEMENT ATD QUART MONDE"/>
        <s v="NEW BASKET ATTITUDE"/>
        <s v="PERMANENCES DE LA LITTERATURE"/>
        <s v="PROXIMA CENTAURI"/>
        <s v="RESEAU ENTREPRENDRE AQUITAINE"/>
        <s v="RESTAURANTS DU COEUR - RELAIS DU COEUR DE LA GIRONDE"/>
        <s v="SOCIETE PHILOMATHIQUE DE BORDEAUX"/>
        <s v="STADE BASTIDE BORDEAUX BENAUGE - S3B"/>
        <s v="TERRE ET OCEAN"/>
        <s v="SEW &amp; LAINE"/>
        <s v="ARESVI"/>
        <s v="RICOCHET SONORE"/>
        <s v="CULTURES DU COEUR GIRONDE"/>
        <s v="RECHERCHES ET SOLIDARITES"/>
        <s v="DROP DE BETON"/>
        <s v="LES VIVRES DE L'ART"/>
        <s v="SOCIETE DE SAINT-VINCENT-DE-PAUL - CONSEIL DEPARTEMENTAL DE LA GIRONDE"/>
        <s v="ASSOCIATION DES COMMERCANTS DE CAUDERAN SAINT AMAND"/>
        <s v="INSTITUT FRANCAIS DE GEORGIE"/>
        <s v="L'AGENCE CREATIVE"/>
        <s v="LA FLECHE DE BORDEAUX "/>
        <s v="LES P'TITS GRATTEURS"/>
        <s v="LIGUE INTERNATIONALE CONTRE LE RACISME ET L'ANTISEMITISME - SECTION BORDEAUX &amp; GIRONDE - LICRA"/>
        <s v="ZEKI"/>
        <s v="ASSOCIATION DES BROCANTEURS DES CHARTRONS - ABC"/>
        <s v="CLUB SERVICES 33"/>
        <s v="LANGUES EN SCÈNE"/>
        <s v="AMICALE DES PARENTS D'ELEVES DE L'ECOLE STEHELIN"/>
        <s v="BORDEAUX CHANSON"/>
        <s v="ASSOCIATION DES COMMERCANTS &quot;BARRIERE DE PESSAC&quot; BORDEAUX-TALENCE"/>
        <s v="HOCKEY GARONNE SPORT"/>
        <s v="VILLAGE DE LA GROSSE CLOCHE"/>
        <s v="CENTRE DE VOILE DE BORDEAUX-LAC"/>
        <s v="BORDEAUX ACCUEILLE"/>
        <s v="COMITE REGIONAL UFOLEP AQUITAINE"/>
        <s v="COMPAGNIE DES LUBIES"/>
        <s v="CRYPSUM"/>
        <s v="DEFI"/>
        <s v="L'ENVERS"/>
        <s v="LA COMPAGNIE BOUGRELAS"/>
        <s v="LE COKTAIL"/>
        <s v="THEATRE POPULAIRE JOB"/>
        <s v="UNION DEPARTEMENTALE DES ASSOCIATIONS DE COMBATTANTS ET VICTIMES DE GUERRE DE LA GIRONDE (UDAC)"/>
        <s v="APSARAS"/>
        <s v="DANSE AVEC NOUS"/>
        <s v="MONTS ET MERVEILLES"/>
        <s v="UNION BORDEAUX NORD DES ASSOCIATIONS DE PREVENTION SPECIALISEE"/>
        <s v="ACADEMIE DES SCIENCES, BELLES LETTRES ET ARTS DE BORDEAUX"/>
        <s v="GRAND PORT MARITIME DE BORDEAUX"/>
        <s v="AQUITAINE ACTIVE"/>
        <s v="LE GIROFARD"/>
        <s v="ASSOCIATION DES COMMERCANTS DE SAINT-AUGUSTIN"/>
        <s v="KAN-KRA TEAM"/>
        <s v="CALK - COMITE D'ANIMATION LAFONTAINE KLEBER"/>
        <s v="RECUP'R"/>
        <s v="ASSOCIATION RENAISSANCE DES CITES D'EUROPE"/>
        <s v="BORDEAUX OPEN AIR"/>
        <s v="CENTRE D'INFORMATION SUR LES DROITS DES FEMMES ET DES FAMILLES DE LA GIRONDE"/>
        <s v="CENTRE REGIONAL D'ECO-ENERGETIQUE D'AQUITAINE - CREAQ"/>
        <s v="IMPACTS AQUITAINE"/>
        <s v="LA TIERCE"/>
        <s v="LOGEA"/>
        <s v="FOYER SOCIO-EDUCATIF HORTICOLE"/>
        <s v="VIVRE A CAUDERAN"/>
        <s v="UNION DEPARTEMENTALE CONSOMMATION LOGEMENT ET CADRE DE VIE"/>
        <s v="ACTIMAGE"/>
        <s v="LES CAPRICES DE MARIANNE"/>
        <s v="TOMBES DU CIEL"/>
        <s v="TUTTI"/>
        <s v="VERY CHEAP PRODUCTION"/>
        <s v="LE FESTIN "/>
        <s v="RUE BOUFFARD - ASSOCIATION DES COMMERCANTS"/>
        <s v="UNION FRANCAISE SANTE BUCCO-DENTAIRE 33"/>
        <s v="AGENCE LOCALE DE L'ENERGIE ET DU CLIMAT (ALEC)"/>
        <s v="CLAP SUD OUEST"/>
        <s v="COMPAGNIE FOND VERT"/>
        <s v="COMPAGNIE LE GRAIN"/>
        <s v="J'ADORE CE QUE VOUS FAITES"/>
        <s v="LA CHIFFONE RIT"/>
        <s v="LA MAISON DES FAMILLES DE BORDEAUX"/>
        <s v="LES FEES PAPILLONS"/>
        <s v="MAISON DES FEMMES DE BORDEAUX"/>
        <s v="MANDORA"/>
        <s v="RENAISSANCE DE L'ORGUE A BORDEAUX"/>
        <s v="ASSOCIATION JUDAIQUE ST SEURIN"/>
        <s v="CDANSLABOITE"/>
        <s v="ASSOCIATION DES COMMERCANTS DU GRAND PARC"/>
        <s v="AIDES AQUITAINE"/>
        <s v="ASSOCIATION CULTURELLE DU MARCHE DES CHARTRONS"/>
        <s v="GRANDIR ENSEMBLE"/>
        <s v="MERCI GERTRUDE"/>
        <s v="VELO CITE"/>
        <s v="ACCOMPAGNEMENT PSYCHOLOGIQUE ET MEDIATION INTERCULTURELLE - AMI"/>
        <s v="ADORA"/>
        <s v="AGORA DES ARTS"/>
        <s v="ASSOCIATION DU PATRIMOINE ISRAELITE D'AQUITAINE"/>
        <s v="ASSOCIATION GENERATION DUPATY"/>
        <s v="ASSOCIATION OXYGENE"/>
        <s v="BOXING CLUB ALAMELE"/>
        <s v="CLUB REGIONAL DES ENTREPRISES POUR L'INSERTION DE GIRONDE"/>
        <s v="COMPAGNIE HORS SÉRIE"/>
        <s v="CROUS DE BORDEAUX (CENTRE REGIONAL DES OEUVRES UNIVERSITAIRES ET SCOLAIRES)"/>
        <s v="FEDERATION FRANCAISE D'ATHLETISME"/>
        <s v="GUYENNE HANDI-NAGES"/>
        <s v="LE DESSOUS DES BALANCOIRES"/>
        <s v="LE PAIN DE L'AMITIE"/>
        <s v="LES DISQUES DU FENNEC"/>
        <s v="MAISON DE SANTE PROTESTANTE DE BORDEAUX BAGATELLE"/>
        <s v="UNIVERSITE SCIENCES TECHNOLOGIES LILLE 1 - CUEEP"/>
        <s v="WIMOOV"/>
        <s v="BORDEAUX METROPOLE"/>
        <s v="ASSOCIATION DES COMMERCANTS DE LA BARRIERE JUDAIQUE"/>
        <s v="ASPOM JUDO CLUB"/>
        <s v="ASSOCIATION DES COMMERCANTS DU CENTRE COMMERCIAL MERIADECK"/>
        <s v="LE LABO, REVELATEUR D'IMAGES"/>
        <s v="ASSOCIATION SPORTIVE DU GOLF DE BORDEAUX LAC"/>
        <s v="ATELIER D'ECO SOLIDAIRE"/>
        <s v="ACCORDERIE BORDEAUX SUD"/>
        <s v="ALLIANCE DEPARTEMENT 33, JUSQU'AU BOUT ACCOMPAGNER LA VIE..."/>
        <s v="EN ROUTE POUR TRAVAILLER"/>
        <s v="IMAGINA MUSIC"/>
        <s v="L'ESPRIT DU PIANO"/>
        <s v="LA TRIBALE DEMARCHE"/>
        <s v="LUDOLUDIK"/>
        <s v="MAM LES LUCIOLES"/>
        <s v="ASSOCIATION DES COMMERCANTS DE LA RUE DES REMPARTS"/>
        <s v="ASSOCIATION DES EXPLOITANTS DU CENTRE COMMERCIAL QUAI DES MARQUES"/>
        <s v="SAINT CHRISTOLY GIE"/>
        <s v="Ô PLAFOND Entreprises"/>
        <s v="FOOT BALL CLUB BORDEAUX AQUITAINE 33"/>
        <s v="ASSOCIATION DES ECLAIREUSES ET ECLAIREURS DE FRANCE - REGION AQUITAINE"/>
        <s v="AMICALE DES LOCATAIRES DU PORT DE LA LUNE"/>
        <s v="AR'KHAN"/>
        <s v="ASSOCIATION DE GESTION DES CENTRES PSYCHANALYTIQUES DE CONSULTATIONS ET DE TRAITEMENT (CPCT)"/>
        <s v="ASSOCIATION DE SOLIDARITE AVEC TOUS LES IMMIGRES - BORDEAUX (ASTI BORDEAUX)"/>
        <s v="ASSOCIATION DES COMMERÇANTS DU QUARTIER SAINT MICHEL AUTOUR DE LA FLECHE"/>
        <s v="ASSOCIATION LES CREANTS"/>
        <s v="ASSOCIATION SPORT EMPLOI"/>
        <s v="BORDEAUX-BASTIDE-ESCRIME"/>
        <s v="BREV’ART "/>
        <s v="DATCHA"/>
        <s v="DRISSE"/>
        <s v="ECOM33"/>
        <s v="ELLIPTIQUE DYNAMO"/>
        <s v="EQUIPE SAINT VINCENT BORDEAUX CENTRE"/>
        <s v="GROUPE 33"/>
        <s v="JEUNES MUSULMANS DE LA GIRONDE - JMG"/>
        <s v="L'ATELIER DES BAINS DOUCHES"/>
        <s v="LE QUAI AUX LIVRES"/>
        <s v="LES AMIS DU GRAND THEATRE - OPERA DE BORDEAUX"/>
        <s v="MA PTITE MAM ECOLO"/>
        <s v="MOUVEMENT AUTONOME DE DETOURNEMENT EURISTIQUE (MADE)"/>
        <s v="MOUVEMENT DU 8 OCTOBRE"/>
        <s v="NOS REVES PRODUCTIONS"/>
        <s v="OLA"/>
        <s v="PLUME PALETTE"/>
        <s v="SKIN JACKIN BORDEAUX"/>
        <s v="SUR MESURE"/>
        <s v="UNISPHERES"/>
        <s v="COMMERCANTS DU VILLAGE NANSOUTY"/>
        <s v="POMME D'API"/>
        <s v="BORDEAUX MARITIME SAUVETAGE &amp; SECOURISME - BM2S"/>
        <s v="SAINT AUGUSTIN 2015"/>
        <s v="ASSOCIATION BORDEAUX-COMPOSTELLE HOSPITALITE SAINT-JACQUES"/>
        <s v="ASSOCIATION PROMOTION DU GRAND SAINT-MICHEL"/>
        <s v="BASTIDE BENAUGE FUTSAL"/>
        <s v="COMPAGNIE DES LIMBES"/>
        <s v="ESPRIT DE QUARTIER"/>
        <s v="LA CHEVRE NOIRE"/>
        <s v="SCRIPT"/>
        <s v="UNION SPORTIVE VILLENAVAISE CYCLISME"/>
        <s v="UNIVERSITE DE BORDEAUX"/>
        <s v="VOLONTAIRES BORDEAUX 98"/>
        <s v="JEUNE CHAMBRE ECONOMIQUE DE BORDEAUX"/>
        <s v="ASSOCIATION BORDEAUX GAMES"/>
        <s v="ASSOCIATION DES PARALYSES DE FRANCE - APF"/>
        <s v="BORDEAUX-GIRONDE-QUEBEC"/>
        <s v="LA CABANE A GRATTER"/>
        <s v="AMIS DE L'HOTEL DE LALANDE"/>
        <s v="ASSOCIATION DEPARTEMENTALE POUR INFORMATION AU LOGEMENT 33 - ADIL33"/>
        <s v="A PETIT PAS"/>
        <s v="APPRENTISSA'JEU"/>
        <s v="ASSOCIATION DES COMMERCANTS ET ARTISANS LES BERGES DU LAC"/>
        <s v="ASSOCIATION L'ALTERNATIVE-KOUABO"/>
        <s v="ASSOCIATION NATIONALE DES JEUNES ENTREPRENEURS D AQUITAINE"/>
        <s v="ASSOCIATION NATIONALE LE REFUGE"/>
        <s v="ASSOCIATION PETRONILLE"/>
        <s v="ASSOCIATION RAYMONDE ROUSSELLE"/>
        <s v="BACALAN TENNIS CLUB - BTC"/>
        <s v="BADMINTON CLUB BARBEY"/>
        <s v="BORDEAUX FOOTBALL AMERICAIN - LES LIONS DE BORDEAUX"/>
        <s v="CATHEDRA"/>
        <s v="CIE L'ESPECE FABULATRICE"/>
        <s v="CIMADE - SERVICE OECUMENIQUE D'ENTRAIDE"/>
        <s v="CLUB ALPIN FRANCAIS DE BORDEAUX"/>
        <s v="COMPAGNIE BIVOUAC"/>
        <s v="COMPAGNIE ILLICITE FABIO LOPEZ"/>
        <s v="COMPAGNIE REG'ART"/>
        <s v="D'ASQUES ET D'AILLEURS"/>
        <s v="DOCUMENTS D'ARTISTES"/>
        <s v="ENSEMBLE VOCAL SAGITTARIUS"/>
        <s v="EURROM"/>
        <s v="FENETRE SUR RUE"/>
        <s v="FRANCE BENEVOLAT BORDEAUX GIRONDE"/>
        <s v="HABITAT ET HUMANISME GIRONDE - HH33"/>
        <s v="INCITE - BORDEAUX CUB"/>
        <s v="INFO SECTES AQUITAINE"/>
        <s v="JE CHERCHE UN JOB"/>
        <s v="JUDO CLUB BACALANAIS"/>
        <s v="L'ART HACHE SCENE"/>
        <s v="L'ILE AUX OURSONS"/>
        <s v="LA BOITE A SEL"/>
        <s v="LA MAISON DU DIABETE ET DE LA NUTRITION"/>
        <s v="LA NUIT VENUE"/>
        <s v="LA PETITE PALUCHE"/>
        <s v="LES GINKOBILOBIENS"/>
        <s v="LES SURPRISES"/>
        <s v="LIGUE DE L'ENSEIGNEMENT"/>
        <s v="MEDECINS DU MONDE"/>
        <s v="POINT DE FUITE"/>
        <s v="SACREE MARMAILLE"/>
        <s v="TENNIS CLUB BORDEAUX BASTIDE"/>
        <s v="TIMELESS BALLET"/>
        <s v="VIVRE AVEC - SOLIDARITES INTERGENERATIONNELLES"/>
        <s v="ASSOCIATION DU PARC D'ACTIVITE DE BORDEAUX NORD"/>
        <s v="GENERATIONS TAUZIN"/>
        <s v="LES PETITS FRERES DES PAUVRES DE BORDEAUX"/>
        <s v="AQUITAINE CULTURE"/>
        <s v="ASSOCIATION DES COMMERCANTS RUE VOLTAIRE"/>
        <s v="COMMERCANTS DE LA RUE DU TEMPLE"/>
        <s v="AMICALE LAIQUE BORDEAUX CENTRE"/>
        <s v="AQUITAINE PARTAGE"/>
        <s v="ASSOCIATION HABILITEE DES JEUNES SAPEURS POMPIERS DE LA BENAUGE"/>
        <s v="ASSOCIATION PALLIA PLUS"/>
        <s v="ASSOCIATION POUR L'ETUDE ET LA PREVENTION DU SUICIDE EN AQUITAINE"/>
        <s v="BE WELL"/>
        <s v="BORDEAUX BASTIDE BOXE"/>
        <s v="BORDEAUX CRITERIUM CYCLISTE INTERNATIONAL - BCCI"/>
        <s v="CERCLE ARTISTIQUE SAINT AUGUSTIN (CASA)"/>
        <s v="COLLECTIF INTERASSOCIATIF SANTE AQUITAINE (CISSA)"/>
        <s v="GROUPEMENT POUR L'INSERTION DES HANDICAPES PHYSIQUES D'AQUITAINE - GIHP AQUITAINE"/>
        <s v="INSTANT LIBRE"/>
        <s v="LA COMPAGNIE DES PETITES SECOUSSES"/>
        <s v="LA PREVENTION ROUTIERE"/>
        <s v="LES AMIS DE SUPERCOOP"/>
        <s v="MEDIATHEQUE DES MALADES DES HOPITAUX DE BORDEAUX"/>
        <s v="MOI NON PLUS"/>
        <s v="ORIGAMI"/>
        <s v="OZIMAGES"/>
        <s v="PHENIX ECOUTE ET PAROLES"/>
        <s v="SOCIETE D'HORTICULTURE, D'ARBORICULTURE ET DE VITICULTURE DE CAUDERAN"/>
        <s v="SOS AMITIE - REGION DE BORDEAUX AQUITAINE"/>
        <s v="UNION DEPARTEMENTALE DE LA CONFEDERATION SYNDICALE DES FAMILLES EN GIRONDE"/>
        <s v="USEP ELEMENTAIRE FLORNOY"/>
        <s v="ACTIFS 33"/>
        <s v="COLLECTIF MIXERATUM ERGO SUM"/>
        <s v="LES ECHOS DU LAC"/>
        <s v="EXTRA"/>
        <s v="TOOBORDO"/>
        <s v="ASSOCIATION DES COMMERCANTS DE LA RUE SAINT-SERNIN"/>
        <s v="COMPAGNONS DU TOUR FRANCE DES DEVOIRS UNIS"/>
        <s v="DROLE DE SCENE"/>
        <s v="SOCIETE DES MEILLEURS OUVRIERS DE FRANCE GROUPE DE LA GIRONDE"/>
        <s v="ASSOCIATION DE LA RUE NOTRE DAME DES CHARTRONS"/>
        <s v="ASSOCIATION DES COMMERCANTS DE LA RUE JJ ROUSSEAU"/>
        <s v="A PART ENTIERE"/>
        <s v="AIDE AUX AIDANTS DU PAVILLON"/>
        <s v="AIKIDO BORDEAUX BASTIDE"/>
        <s v="AMIS D'ARS ET FIDES BORDEAUX"/>
        <s v="ASSOCIATION COEXISTER"/>
        <s v="ASSOCIATION ESPACE 33"/>
        <s v="ASSOCIATION NATIONALE DES AMIS DE JEAN MOULIN"/>
        <s v="AUTISME GIRONDE"/>
        <s v="CAMPE"/>
        <s v="CENTRE ACCUEIL CONSULTATION INFORMATION SEXUALITE"/>
        <s v="CHANTIERS TRAMASSET"/>
        <s v="COLLEGE JACQUES ELLUL"/>
        <s v="COMITE DE BIENFAISANCE ET DE DEFENSE DES INTERETS DU QUARTIER CAUDERAN-SUD"/>
        <s v="COMPAGNIE JEANNE SIMONE"/>
        <s v="CORP'ART FRANCE"/>
        <s v="ENTENTE DES GENERATIONS POUR L’EMPLOI ET L’ENTREPRISE - EGEE"/>
        <s v="FEDERATION NATIONALE DES ANCIENS DES FORCES FRANCAISES EN ALLEMAGNE ET EN AUTRICHE"/>
        <s v="FEDERATION SOS RACISME GIRONDE-AQUITAINE"/>
        <s v="FONDAUDEGEMENT VOTRE"/>
        <s v="KINO SESSION"/>
        <s v="L'AGENCE DE GEOGRAPHIE AFFECTIVE"/>
        <s v="L'AUBERGE MUSICALE"/>
        <s v="LA CHAMBRE BLEUE"/>
        <s v="LA GROSSE SITUATION"/>
        <s v="LA MANNE EUROPE"/>
        <s v="LA MARGE ROUSSE"/>
        <s v="LA RESERVE"/>
        <s v="MEMOIRES ET PARTAGES"/>
        <s v="MOUVEMENT FRANCAIS POUR LE PLANNING FAMILIAL - ASSOCIATION DEPARTEMENTALE DE LA GIRONDE"/>
        <s v="OBSERVATOIRE DE L'IMMOBILIER D'ENTREPRISE BX METROPOLE"/>
        <s v="PENSION DE FAMILLE"/>
        <s v="RESEAU D'ECHANGES INTERCULTURELS"/>
        <s v="RUELLE (RELAIS URBAIN D'ECHANGES ET DE LUTTE CONTRE L'EXPLOITATION)"/>
        <s v="SAVATE BOXE FRANÇAISE DE BORDEAUX - SBFB"/>
        <s v="SCELMAA SOUTIEN, CULTURE ET LOISIRS DES MAGHREBINS, ALGERIENS EN AQUITAINE"/>
        <s v="SMART COMPAGNIE"/>
        <s v="SOCIETE HISTORIQUE DE BORDEAUX"/>
        <s v="SURFRIDER FOUNDATION EUROPE SIEGE"/>
        <s v="SWINGTIME BORDEAUX"/>
        <s v="THEATRE EN MIETTES"/>
        <s v="UNION LIBRE 2016"/>
        <s v="60 000 REBONDS"/>
        <s v="GEOCACHING ET TOURISME EN AQUITAINE"/>
        <s v="LES AMIS DE SAINTE GENEVIEVE (ASG)"/>
        <s v="MAISON CULTURELLE COREENNE DE BORDEAUX"/>
        <s v="PART-AGE"/>
        <s v="COMMERCANTS, DES RIVERAINS ET SYMPATISANTS DU QUARTIER GAMBETTA"/>
        <s v="ASSOPOURQUOIPAS33 "/>
        <s v="CLUB DES PARISIENS DE BORDEAUX"/>
        <s v="L'AIGLON CENTRE DE JEUNESSE"/>
        <s v="MAITRISE DE BX PETITS CHANTEURS DE BORDEAUX"/>
        <s v="PAUPIETTE"/>
        <s v="COMITE DE QUARTIER BRACH VINCENNES"/>
        <s v="COMITE DES FETES ET DE BIENFAIS. DU QUARTIER NANSOUTY"/>
        <s v="INSTITUT DON BOSCO"/>
        <s v="ECHANGE NORD-SUD"/>
        <s v="ADRIA"/>
        <s v="AFRICAFRANCE"/>
        <s v="APEC (33PASSAJE )"/>
        <s v="ASSOCIATION DES COMMERCANTS ET ARTISANS DU QUARTIER REPUBLIQUE"/>
        <s v="ASSOCIATION DES COMMERCANTS ORNANO - GAVINIES - St VICTOR"/>
        <s v="ASSOCIATION POUR L'ANIMATION ET LES LOISIRS DES PERSONNES AGEES - APALPA"/>
        <s v="ASSOCIATION PRENDRE SOIN DU LIEN - APSL"/>
        <s v="ASSOCIATION SPORTIVE DES SOURDS DE BORDEAUX - ASSB 33"/>
        <s v="BETTY BLUES THEATRE ET MUSIQUE"/>
        <s v="BORDEAUX 5 DE COEUR"/>
        <s v="CIE COIN TRANQUILLE-MANUELLA AZEVEDO"/>
        <s v="CLUB D'ENTREPRISES MERIADECK"/>
        <s v="COMITE DE QUARTIER MARECHAUX/POINCARE"/>
        <s v="COOP ALPHA COOPERATIVE D'ACTIVITES ET D'EMPLOI 33"/>
        <s v="COUP DE POUCE AVENIR"/>
        <s v="GROUPEMENT DES INTELLECTUELS, AVEUGLES OU AMBLYOPES"/>
        <s v="IDEE D'ENSEMBLE"/>
        <s v="INSTITUT DES AFRIQUES"/>
        <s v="L'OUVRE BOITE"/>
        <s v="LE CAFE HISTORIQUE"/>
        <s v="LES JOURNEES DE LA NUTRITION - JDLN"/>
        <s v="MAISON DUPEUX"/>
        <s v="OGEC SAINTE THERESE"/>
        <s v="PETITES SOEURS DES PAUVRES"/>
        <s v="R'2 JEUX (RECYCLAGE DE JEUX)"/>
        <s v="SOLIDARITE BAYTI"/>
        <s v="UNION DEPARTEMENTALE DES ASSOCIATIONS FAMILIALES - UDAF"/>
        <s v="UNION REGIONALE DES INGENIEURS ET DES SCIENTIFIQUES D'AQUITAINE - URISA"/>
        <s v="ENQUETE"/>
        <s v="CONTACT AQUITAINE"/>
        <s v="CENTRE DE RESSOURCES D'ECOLOGIE PEDAGOGIQUE D'AQUITAINE - CREPAQ"/>
        <s v="COMITE GIRONDIN D'ORGANISATION DU CONCOURS UN DES MEILLEURS OUVRIERS DE FRANCE"/>
        <s v="USEP ECOLE PRIMAIRE LAC 1"/>
        <s v="DES JARDINS, DES VOISINS"/>
        <s v="DUENDE ANDALUZ"/>
        <s v="LA BELLE ESTAMPE"/>
        <s v="LES COLCHIQUES DE CONDORCET"/>
        <s v="CALIXTE COEUR DE BASTIDE"/>
        <s v="5UN7"/>
        <s v="AMADEUS"/>
        <s v="AMICALE DES ANCIENS DE LA LEGION ETRANGERE"/>
        <s v="AMICALE DU PATRONAGE LAIQUE ET DU CONSEIL DE PARENTS D'ELEVES DU GROUPE SCOLAIRE NUYENS"/>
        <s v="ARTS MARTIAUX SHAOLIN BORDEAUX"/>
        <s v="ASSOCIATION DES AUDITEURS INSTITUT HAUTES ETUDES DEFENSE NATIONALE REGION AQUITAINE - AQUI IHEDN"/>
        <s v="ASSOCIATION POUR LA CONNAISSANCE DU MONDE VEGETAL"/>
        <s v="ASSOCIATION REFEED"/>
        <s v="ASSOCIATION SPORTIVE DU BARREAU DE BORDEAUX"/>
        <s v="BORDEAUX BRIDGE CLUB ESPRIT DES LOIS"/>
        <s v="BORDEAUX CITE TANGO BCT"/>
        <s v="BORDEAUX HANDISPORT TENNIS"/>
        <s v="BORDEAUX YOUNG BUSINESS CLUB - BYBC"/>
        <s v="CENTRE HA 32"/>
        <s v="CLUB PETANQUE GRAND PARC"/>
        <s v="COLLECTIF FETE DU JEU DE BORDEAUX"/>
        <s v="COMITE ANIMATION DU QUARTIER TONDU-CARREIRE"/>
        <s v="COMITE DE BIENFAISANCE ET DE DEFENSE DU QUARTIER SIMIOT"/>
        <s v="COMITE DEPARTEMENTAL OLYMPIQUE ET SPORTIF DE LA GIRONDE"/>
        <s v="COMITE DES FETES DE BACALAN, BLANQUI ET CLAVEAU"/>
        <s v="COMITE FEMININ GIRONDE POUR LA PREVENTION ET LE DEPISTAGE DES CANCERS"/>
        <s v="CONSERVATOIRE DE LA LANGUE RUSSE ET DE SES FETES TRADITIONNELLES"/>
        <s v="CREAF"/>
        <s v="CULTURE HORS LIMITES"/>
        <s v="ENSEMBLE ORCHESTRAL MOLTO ASSAI"/>
        <s v="ENSEMBLE VOCAL DE BORDEAUX"/>
        <s v="FEDERATION DES RADIOS ASSOCIATIVES DE LA GIRONDE - FEDERA 33"/>
        <s v="GIP CDAD 33"/>
        <s v="GROUPEMENT DE BORDEAUX DES ANCIENS PORTE-DRAPEAUX VOLONTAIRES REGION MILITAIRE DEFENSE AQUITAINE"/>
        <s v="INSTITUT DES CONDUITES ALIMENTAIRES (ICAL)"/>
        <s v="L'OVERGROUND"/>
        <s v="LE CRAYON PAPOTE"/>
        <s v="LES CLOWNS STETHOSCOPES"/>
        <s v="MAGIK'HOPITAL AQUITAINE"/>
        <s v="OGEC ECOLE SPECIA ST FERDINAND"/>
        <s v="OSONS, ICI ET MAINTENANT (OIM)"/>
        <s v="PARRAINAGE 33"/>
        <s v="PHILOSPHERES"/>
        <s v="POLAR EN CABANES - LES AMIS DE CHESTER HIMES EN AQUITAINE, A ARCACHON ET SUR LE BASSIN (ACHAAB)"/>
        <s v="SLAPZINE"/>
        <s v="STAGIAIRES ET ETUDIANTS AFRICAINS EN FRANCE"/>
        <s v="TOUT ART FAIRE"/>
        <s v="VELOPHONIE"/>
        <s v="DES LOUPS DANS LES MURS"/>
        <s v="ASSOCIATION DES COMMERCANTS DU CENTRE COMMERCIAL DES BASTIDES"/>
        <s v="CAMPUS CHARTRONS"/>
        <s v="LES CYRANOS"/>
        <s v="RECREATION INFORMATIQUE TECHNIQUE ARTS APPLIQUES"/>
        <s v="UNION REGIONALE D'AQUITAINE DE L'UNION EUROPEENNE FEMININE SECTION FRANÇAISE"/>
        <s v="OCCE DE LA GIRONDE"/>
        <s v="ASSOCIATION EKOLO[GEEK]"/>
        <s v="ASSOCIATION LE VILLAGE BORDEAUX SUD"/>
        <s v="ASSOCIATION SALAM ET RAHMA"/>
        <s v="BURDIGALA PHOTOS CLUB"/>
        <s v="CHANT LIBRE"/>
        <s v="CHANTE ECOLE"/>
        <s v="COLLECTIF DES ORGANISATIONS DE SOLIDARITE INTERNATIONALE ISSUES DES MIGRATIONS EN AQUITAINE (COSIM)"/>
        <s v="COLLECTIF PARENTS INDEPENDANTS COLLEGE EMILE COMBES BORDEAUX"/>
        <s v="FEDERATION REGIONALE DU SUD-OUEST DES CAMARADES DE COMBAT"/>
        <s v="INTENDANT DU LYCEE MICHEL MONTAIGNE"/>
        <s v="LA PORTE OUVERTE DE BORDEAUX"/>
        <s v="LE CHOEUR DES ECLUSES"/>
        <s v="LE CHOEUR MELUSINE"/>
        <s v="LES BLOUSES ROSES"/>
        <s v="LES FILS DU TONAIRES"/>
        <s v="MIX COLOR UNITED - M.C.U."/>
        <s v="MOUVEMENT ETUDIANT REPUBLICAIN POUR LE DEBAT ET L'ENGAGEMENT"/>
        <s v="PETANQUE REPUBLIQUE"/>
        <s v="RUGBYTOTS"/>
        <s v="VIVONS LA BASTIDE"/>
        <s v="AMIS D'ICI ET D'AILLEURS"/>
        <s v="ASSOCIATION RHIN ET DANUBE ANCIENS DE LA PREMIERE ARMEE FRANCAISE DU DEPARTEMENT DE LA GIRONDE"/>
        <s v="COMITE DE L'ACCOMPAGNEMENT DE L'URBANISME, DEFENSE ENVIRONNEMENT ET RESPECT DE LA SECURITE-CAUDERES"/>
        <s v="COMITE DEPARTEMENTAL DE L'ASSOCIATION DE DEFENSE DES MALADES INVALIDES ET HANDICAPES"/>
        <s v="FEDERATION DES ASSOCIATIONS FAMILIALES CATHOLIQUES - AFC"/>
        <s v="LIBER LANGUE CULTURE CREATION"/>
        <s v="ASSOCIO ASSOCIATION DES ETUDIANTS EN SOCIOLOGIE DE L'UNIVERSITE VICTOR SEGALEN"/>
        <s v="CULTIV'ACTIONS"/>
        <s v="EUROFEEL"/>
        <s v="INTERNATIONAL CLUB OF BORDEAUX (ICB)"/>
        <s v="PEP'S BAND"/>
        <s v="UNION NATIONALE DES COMBATTANTS DE BORDEAUX-CAUDERAN-LE BOUSCAT (UNC)"/>
        <s v="S.A.D.I. QUARTIER BORDEAUX SAINT GENES"/>
        <s v="ASSOCIATION DEFENSE DES RESIDENTS DES QUARTIERS BORDEAUX METROPOLE"/>
        <s v="BORDEAUX ROLLERBLADING ASSOCIATION - BRA"/>
        <s v="LA CIGOGNE DES CAPUS"/>
        <s v="OMEGA ZELLES"/>
        <s v="OPTIMISATION MEMOIRE"/>
        <s v="RESTONS CALMES ! (DANS LA DIGNITE)"/>
        <s v="AMELIORATION DES CONDITIONS DE VIE DES ENFANTS ADOLESCENTS HOSPITALISES"/>
        <s v="A L EAU MUSIC"/>
        <s v="ADDAH 33"/>
        <s v="AGIR POUR UN COMMERE EQUITABLE ET SOLIDAIRE EN AQUITAINE - ACESA"/>
        <s v="AMBASSADE REGIONALE DES CONFRERIES DE PRODUITS DE TERROIR ET DU GOUT"/>
        <s v="AMICALE DES ANCIENS DES TROUPES DE MARINE DE BORDEAUX ET D'AQUITAINE"/>
        <s v="ASSOCIATION DES MEMBRES LA LEGION D'HONNEUR DECORES AU PERIL DE LEUR VIE SECTION AQUITAINE OUEST"/>
        <s v="ASSOCIATION POUR LA READAPTATION ET L'INTEGRATION - ARI"/>
        <s v="ASSOCIATION REGIONALE DES DIPLOMES D'UNIVERSITE D'AQUITAINE - ARDUA"/>
        <s v="ASSOCIATION SCOLAIRE ECOLE CONDORCET 33 (ASEC 33)"/>
        <s v="ASSOCIATION SPORTIVE COLLEGE EDOUARD VAILLANT"/>
        <s v="ASSOCIATION UNION NATIONALE DES COMBATTANTS DE BORDEAUX-CENTRE"/>
        <s v="BORDEAUX PIPE BAND"/>
        <s v="COLLECTIF BTP"/>
        <s v="COMITE DE QUARTIER DANGUILHEM-EMILE ZOLA-BARRIERE DE PESSAC"/>
        <s v="COMITE DES FETES DE BIENFAISANCE ET DES INTERETS DE ST-GENES TALENCE BORDEAUX"/>
        <s v="CONSEIL DEPARTEMENTAL DES PARENTS D'ELEVES DES ECOLES PUBLIQUES DE LA GIRONDE"/>
        <s v="DIZGUYS"/>
        <s v="EKLEKTIKK"/>
        <s v="ETUDIANTS MAROCAINS DE BORDEAUX - EMB"/>
        <s v="FEDE ALIENOR"/>
        <s v="FEMMES SOLIDAIRES DU LAC"/>
        <s v="FOYER SOCIO EDUCATIF SPORTIF COLLEGE BLANQUI"/>
        <s v="GENEPI - GROUPEMENT ETUDIANT NATIONAL D'ENSEIGNEMENT AUX PERSONNES INCARCEREES"/>
        <s v="GIRONDE INFIRMES MOTEURS CEREBRAUX"/>
        <s v="GROUPE D'ACCOMPAGNEMENTS ET DE LOISIRS ADAPTÉS"/>
        <s v="INCROYABLES COMESTIBLES BORDEAUX"/>
        <s v="L'A COSMOPOLITAINE « COSMODANCE »"/>
        <s v="L'ATELIER BUDGETAIRE"/>
        <s v="L'OUTIL EN MAIN DE LA GIRONDE"/>
        <s v="LA REVERB'"/>
        <s v="LE COURRIER DE BOVET"/>
        <s v="LES 13 LUNES"/>
        <s v="LES ARCHERS DE GUYENNE"/>
        <s v="LES BLESSES MULTIPLES ET IMPOTENTS DE GUERRE SECTION DE LA GIRONDE"/>
        <s v="LES JARDINS DE POINCARE"/>
        <s v="OBLIC SOLUTION"/>
        <s v="PETANQUE-CLUB DES TROIS"/>
        <s v="POKER SOURDS BORDEAUX"/>
        <s v="SOCIETE D'ENTRAIDE DE LA MEDAILLE MILITAIRE 12EME SECTION DE BORDEAUX"/>
        <s v="TRETEAUX DE GUYENNE"/>
        <s v="TRISOMIE 21 GIRONDE"/>
        <s v="UNION DES ASSOCIATIONS POUR UNE MAISON DES SOURDS UAMS 33"/>
        <s v="UNION NATIONALE DE FAMILLES ET AMIS DE PERSONNES MALADES"/>
        <s v="VIE ET TRAVAIL A BORDEAUX BACALAN"/>
        <s v="VIE LIBRE"/>
        <s v="LAC 2 SPORTS SCOLAIRES"/>
        <s v="ASSOCIATION DES PSYCHOLOGUES ETUDIANTS (APE)"/>
        <s v="ASSOCIATION POUR LA JEUNESSE, LES INITIATIVES ET LE RESEAU DE L'ENGAGEMENT - AJIRE"/>
        <s v="ASSOCIATION REPUBLICAINE DES ANCIENS COMBATTANTS ET VICTIMES DE LA GUERRE - ARAC"/>
        <s v="C'EST PAR ISIC (INSTIUT DES SCIENCES DE L'INFORMATION ET DE LA COMMUNICATION)"/>
        <s v="CROIX DE GUERRE ET VALEUR MILITAIRE"/>
        <s v="LE TERROIR"/>
        <s v="LYSIAS-BORDEAUX"/>
        <s v="U-TOPOS"/>
        <s v="UNION DEPARTEMENTALE DES SOUS-OFFICIERS EN RETRAITE DE LA GIRONDE (UDSOR)"/>
        <s v="UNION NATIONALE DES COMBATTANTS DE BORDEAUX RIVE-DROITE - UNC"/>
        <s v="ACCOMPAGNER CONDUIRE TRANSMETTRE - ACT"/>
        <s v="AMICALE DES PARACHUTISTES DU SUD-OUEST"/>
        <s v="ASSOCIATION DE DEFENSE DES INTERETS DU QUARTIER DE BACALAN - ADIQ"/>
        <s v="ASSOCIATION NATIONALE DES VISITEURS DE PRISON - ANVP"/>
        <s v="BORDEAUX OPERETTES"/>
        <s v="IMAD IBN ZIATEN POUR LA JEUNESSE ET LA PAIE"/>
        <s v="MAISON ACCUEIL ET INFORMATION 33"/>
        <s v="SOCIETE ASTRONOMIQUE DE BORDEAUX"/>
        <s v="SOCIETE DE PHILOSOPHIE DE BORDEAUX"/>
        <s v="ASSOCIATION NATIONALE MEMBRES DE L'ORDRE NATIONAL DU MERITE - SECTION DEPARTEMENTALE DE LA GIRONDE"/>
        <s v="ASSOCIATION REGIONALE D'AQUITAINE DES COMBATTANTS VOLONTAIRES DE LA RESISTANCE"/>
        <s v="OFFICE AQUITAIN DE RECHERCHES, ETUDES, INFORMATION ET LIAISON SUR PROBLEMES PERSONNES AGEES-OAREIL"/>
        <s v="SOLIDARITE ANAIS JEROME EVENEMENTIEL - SAJE"/>
        <s v="CERCLE D'ETUDES ET DE CULTURE FRANÇAISES (CECF)"/>
        <s v="POP PROJECT"/>
        <s v="LE POQUELIN THEATRE"/>
        <s v="COLLECTIF BORDEAUX-MARINOPOLE"/>
        <s v="RESEAU CANOPE SITE DE POITIERS - CNDP Autres"/>
        <s v="&quot;BAMBINO BERTHELOT&quot; ASSOCIATION DE PARENTS D'ELEVES DE L'ECOLE MATERNELLE BERTHELOT A BORDEAUX"/>
        <s v="1001 JEUNES BORDELAIS"/>
        <s v="2AA"/>
        <s v="2SI2LA"/>
        <s v="4 CATS"/>
        <s v="A TRAVERS CHANT"/>
        <s v="A2RUNNING"/>
        <s v="ABALONE CHASSE BORDEAUX"/>
        <s v="ABEILLES BORDELAISES"/>
        <s v="ACADEMIE BUSHIKAI KARATE DO"/>
        <s v="ACADEMIE PROSPECTIVE NOUVELLES TECHNOLOGIES"/>
        <s v="ACCOMPAGNEMENT ET RECHERCHE PSYCHO-SOCIO EDUCATIFS POUR LES JEUNES (ARPEJE)"/>
        <s v="ACHATS GROUPES ASSOCIATIF POUR L'ECONOMIE SOLIDAIRE DE BORDEAUX - AGAPES"/>
        <s v="ACTA GIRONDE - AGIR CONTRE LA TORTURE DES ANIMAUX"/>
        <s v="ACTION CONTRE LA FAIM"/>
        <s v="ACTION INTERNATIONALE POUR LA PAIX ET LE DEVELOPPEMENT"/>
        <s v="AD LUCEM THEATRE"/>
        <s v="AEP SAINT PROJET"/>
        <s v="AGENCE REGIONALE DE SANTE NOUVELLE AQUITAINE"/>
        <s v="AIGUILLES ET CALAME"/>
        <s v="ALAM AMIS DU LIVRE ANCIEN ET MODERNE"/>
        <s v="ALGERIENS DE L'AQUITAINE"/>
        <s v="ALLIANCE FRANCAISE DE BORDEAUX AQUITAINE"/>
        <s v="ALPTIS"/>
        <s v="ALTER INSERTION"/>
        <s v="AMEPI"/>
        <s v="AMICALE BORDELAISE TRACTION AVANT CITROEN"/>
        <s v="AMICALE COMORIENNE DE BORDEAUX"/>
        <s v="AMICALE DE LA RESIDENCE DU LAC"/>
        <s v="AMICALE DES ANCIENS DE MARIE-BRIZARD - AAMB"/>
        <s v="AMICALE DES ANCIENS DES NOUVELLES GALERIES DE BORDEAUX"/>
        <s v="AMICALE DES ANCIENS GUERILLEROS ESPAGNOLS EN FRANCE-FFI - SECTION DE LA GIRONDE"/>
        <s v="AMICALE DES AVEYRONNAIS DE BORDEAUX ET GIRONDE"/>
        <s v="AMICALE DES PHILIPPEVILLOIS, CONSTANTINOIS ET LEURS AMIS - APCA"/>
        <s v="AMICALE DES RETRAITES U.G.R.R. - I.S.I.C.A. DE BORDEAUX"/>
        <s v="AMICALE LAIQUE DU GROUPE SCOLAIRE LEONARD-LENOIR - MONTAUD - NUITS"/>
        <s v="AMICALE LAIQUE LEONARD LENOIR"/>
        <s v="AMICALE NATIONALE DES RETRAITES DE L'AUDIOVISUEL"/>
        <s v="AMIS DU CAPC MUSEE"/>
        <s v="AMITIES FRANCAISES"/>
        <s v="AMITIES GENEALOGIQUES BORDELAISES"/>
        <s v="AMNESTY INTERNATIONAL GROUPE 234 DE BORDEAUX CENTRE"/>
        <s v="AMOR DEL TANGO"/>
        <s v="ANCIENS BASTIDIENS-CLUB"/>
        <s v="ANIMATIONS VILLAGE SAINT-SEURIN"/>
        <s v="APNEE 33"/>
        <s v="APPEL DES CENT POUR LA PAIX COLLECTIF BORDELAIS"/>
        <s v="APPRENDRE AVEC MONTESSORI AUJOURD'HUI"/>
        <s v="APPRENTIS D'AUTEUIL - DELEGATION AQUITAINE"/>
        <s v="AQUATIC BORDEAUX CAUDERAN CLUB - AB2C"/>
        <s v="AQUITAINE PLONGEE SPORT NAUTIQUE APSN"/>
        <s v="AQUITAINE PREFI-CRESS"/>
        <s v="ARC'ANGECIEL VOYAGES"/>
        <s v="ARCHIMUSE - BORDEAUX"/>
        <s v="AREPT"/>
        <s v="ART EN ACTION - TIC-TAC THEATRE"/>
        <s v="ART EN PRODUCTION"/>
        <s v="ART MEDIUM EN SCENES"/>
        <s v="ART PASTEL"/>
        <s v="ARTISANS DU MONDE BORDEAUX"/>
        <s v="ARTS CROISES"/>
        <s v="ARTS ET COMMUNICATION DU MONDE - ACM"/>
        <s v="ARTS ET LETTRES DE FRANCE ASSOCIATION CULTURELLE INTERNATIONALE"/>
        <s v="ARTS ET SCIENCES"/>
        <s v="ARTS MARTIAUX ET BIEN ETRE"/>
        <s v="ARTS MARTIAUX TRADITIONNELS BORDELAIS"/>
        <s v="ASAD DE BORDEAUX, ASSOCIATION SERVICES D’AIDE A DOMICILE DE BORDEAUX"/>
        <s v="ASC BNP PARIBAS BX TT"/>
        <s v="ASPER 33"/>
        <s v="ASSOCIATION &quot;LA BOULANGERIE&quot;"/>
        <s v="ASSOCIATION AFRICAN SOLIDARITE FRANCE (AASF)"/>
        <s v="ASSOCIATION AMITIE LAO MEKONG DE LA GIRONDE"/>
        <s v="ASSOCIATION AQUITAINE DE QUILLES FINLANDAISES (QUIF)"/>
        <s v="ASSOCIATION ARTS &amp; RENCONTRES"/>
        <s v="ASSOCIATION AUTONOME DES PARENTS D'ELEVES DE BORDEAUX : ECOLES JEAN COCTEAU"/>
        <s v="ASSOCIATION BI-IZARRAK (LES DEUX ETOILES)"/>
        <s v="ASSOCIATION BORDEAUX - USA"/>
        <s v="ASSOCIATION BORDEAUX CULTURE GRAPPLING (ABC GRAPPLING)"/>
        <s v="ASSOCIATION BORDEAUX QUINCONCES"/>
        <s v="ASSOCIATION BORDEAUX-TANESSE"/>
        <s v="ASSOCIATION BORDELAISE DE TAEKWONDO INTERNATIONAL ATLANTICA"/>
        <s v="ASSOCIATION BULGARE CULTURELLE - ABC"/>
        <s v="ASSOCIATION COMUNIDAD"/>
        <s v="ASSOCIATION CONTRE LA TUBERCULOSE ET LES MALADIES ENDEMIQUES - ACTUME"/>
        <s v="ASSOCIATION COOPERATIVE DE L'INSTITUT UNIVERSITAIRE DE TECHNOLOGIE"/>
        <s v="ASSOCIATION CREMATISTE DE LA GIRONDE"/>
        <s v="ASSOCIATION CULTURE ET MUSIQUE DE L'ESTUAIRE - ACME"/>
        <s v="ASSOCIATION CULTURELLE DES ALEVIS DE GIRONDE"/>
        <s v="ASSOCIATION CULTURELLE DES ELEVES DU LYCEE MONTESQUIEU - ACELM"/>
        <s v="ASSOCIATION CULTURELLE DES KABYLES DE BORDEAUX (ACKB)"/>
        <s v="ASSOCIATION D'AQUITAINE DES AMIS D'ALGERIANIE"/>
        <s v="ASSOCIATION DAVID ET JONATHAN"/>
        <s v="ASSOCIATION DE CARDIOLOGIE D'AQUITAINE"/>
        <s v="ASSOCIATION DE DEFENSE DES RESIDENTS DE LA GALERIE (ADREGA)"/>
        <s v="ASSOCIATION DE DEVELOPPEMENT NATUREL (A.D.N.)"/>
        <s v="ASSOCIATION DE FAMILLES DE TRAUMATISES CRANIENS AVENIR - AFTC AVENIR"/>
        <s v="ASSOCIATION DE L'AIDE FAMILIALE POPULAIRE - U.D.C.S.F."/>
        <s v="ASSOCIATION DE L'ECOLE COREENNE DE BORDEAUX - AECB"/>
        <s v="ASSOCIATION DE LA FONDATION ETUDIANTE POUR LA VILLE - AFEV"/>
        <s v="ASSOCIATION DE LOCATAIRES SEM-LM"/>
        <s v="ASSOCIATION DE MEDECINE PHYSIQUE ET READAPTATION D'AQUITAINE (AMPRA)"/>
        <s v="ASSOCIATION DE PARENTS D'ELEVES DE L'ENSEIGNEMENT LIBRE SAINT-MICHEL/SAINT-GENES"/>
        <s v="ASSOCIATION DE PATIENTS POUR PREVENTION TRAITEMENT LUTTE CONTRE MALADIE CHRONIQUE L'OBESITE (ALOA)"/>
        <s v="ASSOCIATION DE PREFIGURATION DE LA COOPERATIVE DE PRESTATAIRES RESPONSABLES SUD-OUEST"/>
        <s v="ASSOCIATION DE PREFIGURATION D’UNE PLATEFORME D’AQUITAINE POUR LE COMMERCE EQUITABLE (LA PLACE)"/>
        <s v="ASSOCIATION DE RIVERAINS BASTIDE-ID"/>
        <s v="ASSOCIATION DE SOLIDARITE BORDEAUX"/>
        <s v="ASSOCIATION DE SOPHROLOGIE EXISTENTIELLE DE BORDEAUX"/>
        <s v="ASSOCIATION DEPART. AMIS ET PARENTS DE PERS. HANDICAPEES MENTALES - LES PAPILLONS BLANCS (ADAPEI)"/>
        <s v="ASSOCIATION DEPARTEMENTALE APAJH DE LA GIRONDE"/>
        <s v="ASSOCIATION DEPARTEMENTALE DE L'OFFICE CENTRAL DE LA COOPERATION A L'ECOLE DE LA GIRONDE - AD-OCCE"/>
        <s v="ASSOCIATION DEPARTEMENTALE DES CONJOINTS SURVIVANTS ET PARENTS D'ORPHELINS DE LA GIRONDE - FAVEC 33"/>
        <s v="ASSOCIATION DEPARTEMENTALE DES PARENTS D'ELEVES DE L'ENSEIGNEMENT PUBLIC DE LA GIRONDE - PEEP AD 33"/>
        <s v="ASSOCIATION DES AMIS D'ELIANE LAVAIL"/>
        <s v="ASSOCIATION DES CITES DU SECOURS CATHOLIQUE - DELEGATION BORDEAUX"/>
        <s v="ASSOCIATION DES COMMERCANTS BORDEAUX RIVE DROITE (BRD)"/>
        <s v="ASSOCIATION DES COMMERCANTS CAUDERAN CENTRE"/>
        <s v="ASSOCIATION DES COMMERCANTS ET ARTISANS DU QUARTIER SAINT MICHEL"/>
        <s v="ASSOCIATION DES COMMERCANTS ET ARTISANS DU QUARTIER STEHELIN"/>
        <s v="ASSOCIATION DES COMMERCANTS ET PROFESSIONNELS DE L'ART DE LA RUE BOUFFARD"/>
        <s v="ASSOCIATION DES COREENS DE BORDEAUX (ACB)"/>
        <s v="ASSOCIATION DES DAMES DU CALVAIRE DE BORDEAUX - MAISON DE SANTE MARIE GALENE"/>
        <s v="ASSOCIATION DES DONNEURS DE VOIX"/>
        <s v="ASSOCIATION DES ELEVES AVOCATS ALIENOR 2015 - ADEAA"/>
        <s v="ASSOCIATION DES ELEVES INGENIEURS DE L'ECOLE NATIONALE SUPERIEURE DES ARTS ET METIERS - AE ENSAM"/>
        <s v="ASSOCIATION DES ELEVES-AVOCATS ALIENOR 2016"/>
        <s v="ASSOCIATION DES ETUDIANTS EN PSYCHOLOGIE DU TRAVAIL ET ERGONOMIE DES SYSTEMES"/>
        <s v="ASSOCIATION DES ETUDIANTS REUNIONNAIS A BORDEAUX - AERB"/>
        <s v="ASSOCIATION DES FAMILLES D'ENFANTS DE LA POSTE ET D'ORANGE - AFEH"/>
        <s v="ASSOCIATION DES GROUPES BIBLIQUES ET UNIVERSITAIRES DE FRANCE - AGBUF-GBU"/>
        <s v="ASSOCIATION DES GUIDES INTERPRETES ET CONFERENCIERS D'AQUITAINE - AGICA"/>
        <s v="ASSOCIATION DES MAIRES DE LA GIRONDE"/>
        <s v="ASSOCIATION DES MUSULMANS DE BORDEAUX NORD (A.M.B.N.)"/>
        <s v="ASSOCIATION DES MUSULMANS DE LA GIRONDE"/>
        <s v="ASSOCIATION DES PARENTS D'ELEVES DE L'ENSEIGNEMENT PUBLIC DU LYCEE CAMILLE JULLIAN"/>
        <s v="ASSOCIATION DES PROFESSIONNELS AQUITAINS DE LA COMMUNICATION (APACOM)"/>
        <s v="ASSOCIATION DES PSYCHOMOTRICIENS DE LA GIRONDE"/>
        <s v="ASSOCIATION DES RESIDENCES DE L'ILOT BONNAC"/>
        <s v="ASSOCIATION DES RETRAITES IRSEA D'AQUITAINE (A.R.I.A.)."/>
        <s v="ASSOCIATION DES RIVERAINS DE LA PLACE MITCHELL"/>
        <s v="ASSOCIATION DES RIVERAINS DU QUARTIER ORNANO-GAVINIES"/>
        <s v="ASSOCIATION DES STAGIAIRES ET ETUDIANTS CAMEROUNAIS DE BORDEAUX (ASECB)"/>
        <s v="ASSOCIATION DES ŒUVRES GIRONDINES DE PROTECTION DE L'ENFANCE"/>
        <s v="ASSOCIATION DU PERSONNEL DE L'OPERA NATIONAL DE BORDEAUX"/>
        <s v="ASSOCIATION DU SOUVENIR DES FUSILLES DE SOUGE"/>
        <s v="ASSOCIATION DU VELO TOUTES VIGNES (AVTV)"/>
        <s v="ASSOCIATION ECOPOLES"/>
        <s v="ASSOCIATION EDUCATIVE D'INSERTION SOCIALE (AEIS)"/>
        <s v="ASSOCIATION EMMAUS GIRONDE"/>
        <s v="ASSOCIATION ETUDIANTE CULTURELLE BOIS DE ROSE"/>
        <s v="ASSOCIATION FAMILIALE CATHOLIQUE BORDEAUX SAINTE-EULALIE VICTOIRE"/>
        <s v="ASSOCIATION FORMATION ET EDUCATION PERMANENTE DE TIVOLI - AFEPT"/>
        <s v="ASSOCIATION FRANCAISE DE PERSONNES SOUFFRANT DE TROUBLES OBSESSIONNELS COMPULSIFS AFTOC"/>
        <s v="ASSOCIATION FRANCAISE DES FUNDRAISERS - GROUPE AQUITAINE"/>
        <s v="ASSOCIATION FRANCO-BRESILIENNE POUR LA RECHERCHE DE L'EQUILIBRE - AFBRE"/>
        <s v="ASSOCIATION FRANCO-KURDE"/>
        <s v="ASSOCIATION France - UKRAINE"/>
        <s v="ASSOCIATION GENERALE DES LOCATAIRES"/>
        <s v="ASSOCIATION GENERALE INTERVENANTS RETRAITES POUR ACTIONS BENEVOLES DE COOPERATION ET DEVELOPPEMENT"/>
        <s v="ASSOCIATION GIRONDINE DES ACTIVITES PROTEGEES - SPORT - LOISIRS (AGAP - SPORT - LOISIRS)"/>
        <s v="ASSOCIATION GOLF D'ENTREPRISES INTER-ENTREPRISES GOLF DE BORDEAUX - IEGB"/>
        <s v="ASSOCIATION INTERNATIONALE POUR LA CULTURE, LE DEVELOPPEMENT ET LA PAIX (AICDP)"/>
        <s v="ASSOCIATION INTERPROFESSIONNELLE BIO REGIONALE (AQUITAINE/LIMOUSIN/POITOU-CHARENTES OU EQUIVALENT)"/>
        <s v="ASSOCIATION JEUNESSE FUTSAL (A.J.F.)"/>
        <s v="ASSOCIATION LE MERLE MOQUEUR"/>
        <s v="ASSOCIATION LEA - UNIVERSITE BORDEAUX MONTAIGNE"/>
        <s v="ASSOCIATION MALADIE CHRONIQUE SPORT BIEN ETRE"/>
        <s v="ASSOCIATION MALINE"/>
        <s v="ASSOCIATION MARIE DE LUZE"/>
        <s v="ASSOCIATION MUSICALARUE"/>
        <s v="ASSOCIATION NATIONALE DES ANCIENS ET AMIS DE L'INDOCHINE ET DU SOUVENIR INDOCHINOIS"/>
        <s v="ASSOCIATION NATIONALE DES RETRAITES DE LA POSTE ET DE France TELECOM"/>
        <s v="ASSOCIATION NATIONALE DES RETRAITES HOSPITALIERS"/>
        <s v="ASSOCIATION NATIONALE POUR LES ENFANTS INTELLECTUELLEMENT PRECOCES DE L'AQUITAINE - ANPEIP"/>
        <s v="ASSOCIATION PAROLE BEGAIEMENT - APB - DELEGATION DEPARTEMENTALE"/>
        <s v="ASSOCIATION POUR L'ENTRAIDE CONTRE LA RECHUTE DE DEPRESSION - AERD"/>
        <s v="ASSOCIATION POUR L'ENVIRONNEMENT ET LA SECURITE EN AQUITAINE - APESA"/>
        <s v="ASSOCIATION POUR L'UNIFICATION DU DROIT DES AFFAIRES EN EUROPE (AUDE)"/>
        <s v="ASSOCIATION POUR LA DEFENSE DE LA FAMILLE ET DE L'INDIVIDU (ADFI)"/>
        <s v="ASSOCIATION POUR LA PROMOTION DES ARTISTES ET CULTURES DU MONDE APAC"/>
        <s v="ASSOCIATION POUR LA RECHERCHE CLINIQUE DE BORDEAUX NORD - ARCBN"/>
        <s v="ASSOCIATION POUR LA SURVEILLANCE DE LA QUALITE DE L'AIR EN AQUITAINE - AIRAQ"/>
        <s v="ASSOCIATION POUR LA VALORISATION EN RELATION AVEC LES PROFESSIONNELS REGION AQUITAINE"/>
        <s v="ASSOCIATION POUR LE DEVELOPPEMENT DES ACTIVITES PHYSIQUES ADAPTEES - ADAPA"/>
        <s v="ASSOCIATION POUR LE DEVELOPPEMENT L'INSERTION ET L'ACCOMPAGNEMENT PERSONNES HANDICAPEES - ADIAPH"/>
        <s v="ASSOCIATION POUR LE DON DE SANG BENEVOLE DE BORDEAUX ET ENVIRONS"/>
        <s v="ASSOCIATION POUR LE DROIT A L'INITIATIVE ECONOMIQUE - ADIE"/>
        <s v="ASSOCIATION POUR LES FOUILLES ARCHEOLOGIQUES NATIONALES - AFAN"/>
        <s v="ASSOCIATION PSYCHANALYTIQUE DES THERAPEUTES FAMILIAUX D'AQUITAINE - APSYFA"/>
        <s v="ASSOCIATION RENOVATION"/>
        <s v="ASSOCIATION RUN FEMINA TOUR"/>
        <s v="ASSOCIATION SOCIALE POUR L'EMPLOI - ASPE"/>
        <s v="ASSOCIATION SOCIO CULTURELLE DE L'ECOLE DE REEDUCATION PROFESSIONNELLE - ASCERP"/>
        <s v="ASSOCIATION SOCIO CULTURELLE LE TAYTA"/>
        <s v="ASSOCIATION SOLIDARTE EMPLOI (ASE) - ADELPHE"/>
        <s v="ASSOCIATION SPORTIVE BANQUE POPULAIRE DU SUD-OUEST"/>
        <s v="ASSOCIATION SPORTIVE COLBERT ASC"/>
        <s v="ASSOCIATION SPORTIVE CULTURELLE DU GAN (ASC GAN)"/>
        <s v="ASSOCIATION SPORTIVE DE LA POLICE JUDICIAIRE DE BORDEAUX"/>
        <s v="ASSOCIATION SPORTIVE DES ANCIENS ET AMIS DE L'ECOLE NORMALE D'INSTITUTEURS (ASAAENI)"/>
        <s v="ASSOCIATION SPORTIVE ET CULTURELLE DE MAYOTTE"/>
        <s v="ASSOCIATION SPORTIVE FC PORTO DE BORDEAUX"/>
        <s v="ASSOCIATION SPORTIVE KASHIRA AIKIDO"/>
        <s v="ASSOCIATION SPORTIVE KUNG-FU WUSHU DE BACALAN"/>
        <s v="ASSOCIATION SPORTIVE LOVENTA AUTOMATIQUE"/>
        <s v="ASSOCIATION SPORTIVE SALINIERES"/>
        <s v="ASSOCIATION TERRITOIRES ET INNOVATION SOCIALE (ATIS)"/>
        <s v="ASSOCIATION THEATR'ACTIF"/>
        <s v="ASSOCIATION VENEZUELA A BORDEAUX"/>
        <s v="ASSOENCORE"/>
        <s v="ATELIER 14 CENTRE DE PRATIQUES ARTISTIQUES ET DE RECHERCHES CHOREGRAPHIQUES"/>
        <s v="ATELIER D’ASTROLOGIE D’AQUITAINE"/>
        <s v="ATELIER VOCAL D'AQUITAINE"/>
        <s v="ATELIERS LIBRES D'AQUITAINE"/>
        <s v="ATELIERS TLC"/>
        <s v="ATLANTIC OLDTIMER.COM"/>
        <s v="AU-DELA DES DUNES"/>
        <s v="AUDITION ET ECOUTE 33 - ASSOCIATION DES PERSONNES ATTEINTES DE PATHOLOGIE AUDITIVE DE LA GIRONDE"/>
        <s v="AUDITION SOLIDAIRE FRANCE SENEGAL"/>
        <s v="BASTIDE EN SCENES"/>
        <s v="BELLIBULLE"/>
        <s v="BENEVOLES EN ACTION"/>
        <s v="BIBLIOTHECA"/>
        <s v="BIEN-ETRE &amp; BONHEUR DE VIVRE - BBV"/>
        <s v="BIO D'AQUITAINE"/>
        <s v="BIO'GUSTIN"/>
        <s v="BOK DIEUF"/>
        <s v="BORD'EAUX LOISIR PECHE"/>
        <s v="BORDEAUX AQUITAINE AERONAUTIQUE ET SPATIAL"/>
        <s v="BORDEAUX BACKGAMMON CLUB"/>
        <s v="BORDEAUX CAUDERAN BRIDGE CLUB (BCBC)"/>
        <s v="BORDEAUX DANCE'IN CLUB "/>
        <s v="BORDEAUX DEMAIN"/>
        <s v="BORDEAUX FUTSAL CLUB"/>
        <s v="BORDEAUX INTER CHALLENGE - BIC"/>
        <s v="BORDEAUX MAYOTTE 101"/>
        <s v="BORDEAUX NIHONGO HOSHU JUGYOKO (ECOLE COMPLEMENTAIRE JAPONAISE DE BORDEAUX)"/>
        <s v="BORDEAUX PALMES AVENTURE"/>
        <s v="BORDEAUX SPORTS"/>
        <s v="BORDEAUX TEATRO ITALIANO BTI"/>
        <s v="BORDEAUX WOMEN'S CLUB"/>
        <s v="BORDEAUX Y NOV CAMPUS"/>
        <s v="BORDELAIS ASSOCIATIFS FALUCHARDS"/>
        <s v="BOULEVARD DES POTES"/>
        <s v="BOXING CLUB BACALANAIS"/>
        <s v="BRASS BAND BORGIAQ"/>
        <s v="BURDIGALA CORPORATION"/>
        <s v="BURDIGALA SAVATE-CLUB"/>
        <s v="C.F.A. - CENTRE DE FORMATION ADAGE"/>
        <s v="C.O.D. FORMATION (FORMASUP CAMPUS)"/>
        <s v="CAC33"/>
        <s v="CAHIERS D'ARCHIVES"/>
        <s v="CALICONTE"/>
        <s v="CANCER SUPPORT FRANCE BORDEAUX &amp; REGION (CSF BORDEAUX &amp; REGION)"/>
        <s v="CAP AND CO"/>
        <s v="CAP CARREIRE : CULTURES, ANIMATIONS ET PARTAGES"/>
        <s v="CAP DE VIE"/>
        <s v="CARABINS DE BORDEAUX"/>
        <s v="CDISCOUNT@SPORT"/>
        <s v="CENTRE ATLANTIC"/>
        <s v="CENTRE CULTUREL TURC DE BORDEAUX ET SES ENVIRONS"/>
        <s v="CENTRE D'ETUDES DE L'AUTO CONNAISSANCE"/>
        <s v="CENTRE D'INFORMATION METAPSYCHIQUE - CDIM"/>
        <s v="CENTRE DE LIAISON DES EQUIPES DE RECHERCHE, CLER AMOUR ET FAMILLES"/>
        <s v="CENTRE DE MUSICOTHERAPIE DE LA GIRONDE"/>
        <s v="CENTRE DE RECHERCHE ET D'INFORMATION POUR LE DEVELOPPEMENT - CRID"/>
        <s v="CENTRE DE SOPHROLOGIE DYNAMIQUE DE BORDEAUX"/>
        <s v="CENTRE DES ETUDES DE LA REPUBLIQUE DEMOCRATIQUE"/>
        <s v="CENTRE DES FESTIVALS FRANCE-RUSSIE"/>
        <s v="CENTRE ENTREPRISE COMMUNICATION AVANCEE - CECA"/>
        <s v="CENTRE REGIONAL D'AQUITAINE D'ETUDES ET D'ACTIONS SUR LES HANDICAPS ET LES INADAPTATIONS - CREAHI"/>
        <s v="CERCLE BORDELAIS DE SANTE (C.B.S.)"/>
        <s v="CERCLE D'AIDE A LA VIE PAR LA VOIE SPIRITUELLE-FRANCE"/>
        <s v="CERCLE D'ETUDES RUSSES"/>
        <s v="CERCLE DES COIFFEURS CREATEURS"/>
        <s v="CERCLE DES ESCRIMEURS BORDELAIS (CEB)"/>
        <s v="CERCLE JEAN BAPTISTE LYNCH"/>
        <s v="CERCLE OENOPHILE AQUITAIN"/>
        <s v="CERCLE PHILATELIQUE BORDEAUX AQUITAINE"/>
        <s v="CERCLE POLITEIA"/>
        <s v="CERCLE POLITZER"/>
        <s v="CHAMBRE PROFESSIONNELLE DES AGENTS COMMERCIAUX DU SUD-OUEST"/>
        <s v="CHEMIN DES ETOILES - CDE"/>
        <s v="CHEMINS DE VIES"/>
        <s v="CHEVRE FOOTBALL CLUB - CFC"/>
        <s v="CINERESEAUX"/>
        <s v="CLAC"/>
        <s v="CLAIR-OBSCUR"/>
        <s v="CLUB 41 FRANCAIS BORDEAUX N° 110"/>
        <s v="CLUB 89"/>
        <s v="CLUB AFRIQUE EN PERSPECTIVES"/>
        <s v="CLUB AMICAL CHAUFFOUR"/>
        <s v="CLUB ATHLETIQUE DU PORT AUTONOME DE BORDEAUX"/>
        <s v="CLUB BORDEAUX-CAMEROUN-FRANCE"/>
        <s v="CLUB BORDELAIS DU CHOCOLAT &quot;CHOCO PASSION&quot;"/>
        <s v="CLUB BOULISTE ALBERT 1er"/>
        <s v="CLUB D'ENTREPRISES BORDEAUX EURATLANTIQUE"/>
        <s v="CLUB D'EXPLORATION SOUS MARINE D'AQUITAINE - CESMA"/>
        <s v="CLUB D'ULTIMATE DE BORDEAUX - 33 TOURS"/>
        <s v="CLUB DE CANNE ET BATON D'AQUITAINE"/>
        <s v="CLUB DE LA PRESSE DE BORDEAUX"/>
        <s v="CLUB DES RANDONNEURS DU PYLA ET DU BASSIN D'ARCACHON"/>
        <s v="CLUB ERASMUS ET MUNDUS"/>
        <s v="CLUB INDEPENDANT BORDELAIS"/>
        <s v="CLUB PHILOSOPHIQUE PENSEE ET AVENIR"/>
        <s v="CLUB « BON GOUT D'AQUITAINE »"/>
        <s v="COJEP BORDEAUX - CONSEIL POUR LA JUSTICE, L'EGALITE ET LA PAIX"/>
        <s v="COLIBRI 33"/>
        <s v="COLLECTIF 33 : LA SANTE UN DROIT POUR TOUS"/>
        <s v="COLLECTIF DES ASSOCIATIONS D'OUTRE-MER EN AQUITAINE DIT C.A.O.M.A."/>
        <s v="COLLECTIF GIRONDIN DES ASSOCIATIONS AUTOUR DE L'AUTISME (CG3A)"/>
        <s v="COLORS INC"/>
        <s v="COMENFRANCE"/>
        <s v="COMITE ACTION PALESTINE"/>
        <s v="COMITE AQUITAIN DE L'ASSOCIATION FRANCAISE DES HEMOPHILES"/>
        <s v="COMITE BORDEAUX BRISTOL"/>
        <s v="COMITE BORDEAUX SUD"/>
        <s v="COMITE D'ANIMATION, DE BIENFAISANCE ET DE DEFENSE DES INTERETS DU QUARTIER NANSOUTY"/>
        <s v="COMITE DE DEFENSE DES INTERETS DES HABITANTS DU LOTISSEMENT JASMIN ET ANNEXES"/>
        <s v="COMITE DE DEFENSE DES TAXIS DE LA GIRONDE"/>
        <s v="COMITE DE LIAISON DES ACTEURS DE LA PROMOTION DANS LE SUD-OUEST - CLAP SUD-OUEST"/>
        <s v="COMITE DE QUARTIER DE CAUDERAN - CQC"/>
        <s v="COMITE DEPARTEMENTAL DE CYCLISME"/>
        <s v="COMITE DEPARTEMENTAL DE L'UNION FRANÇAISE DES OEUVRES LAIQUES D'EDUCATION PHYSIQUE - UFOLEP"/>
        <s v="COMITE DEPARTEMENTAL DE L'UNION SPORTIVE DE L'ENSEIGNEMENT DU PREMIER DEGRE DE LA GIRONDE - USEP 33"/>
        <s v="COMITE DEPARTEMENTAL DE NATATION DE LA GIRONDE"/>
        <s v="COMITE DEPARTEMENTAL DU SPORT ADAPTE DE LA GIRONDE (CDSA 33)"/>
        <s v="COMITE GIRONDIN DE COURSE D'ORIENTATION"/>
        <s v="COMITE MIRABEAU BORDELAIS 2017"/>
        <s v="COMITE PALESTINE 33"/>
        <s v="COMITE REGIONAL DES ASSOCIATIONS DE JEUNESSE ET D'EDUCATION POPULAIRE AQUITAINE (CRAJEP AQUITAINE)"/>
        <s v="COMITE REGIONAL HANDISPORT D'AQUITAINE"/>
        <s v="COMITE REPRESENTATIF DES IDENTITES SOURDES"/>
        <s v="COMMANDERIE DU BONTEMPS MEDOC ET GRAVES - SAUTERNES ET BARSAC"/>
        <s v="COMMUNAUTE CAMEROUNAISE DE BORDEAUX (CCB)"/>
        <s v="COMMUNIC'ARTE"/>
        <s v="COMPAGNIE DONC Y CHOCS"/>
        <s v="COMPAGNIE ELVIRE 40"/>
        <s v="COMPAGNIE EN APARTE"/>
        <s v="COMPAGNIE INDIRA"/>
        <s v="COMPAGNIE JEUNE TALENT"/>
        <s v="COMPAGNIE LEITMOTIV"/>
        <s v="COMPAGNIE REVOLUTION"/>
        <s v="COMPETENCES EN TEMPS PARTAGE GUYENNE - CTP GUYENNE"/>
        <s v="COMPTOIR DE LA CULTURE BRESILIENNE"/>
        <s v="CONSEIL DEPARTEMENTAL DE LA GIRONDE"/>
        <s v="CONVENTION DE LA DIASPORA GABONAISE"/>
        <s v="COORDINATION POUR PROMOUVOIR LES COMPETENCES ET LE VOLONTARIAT AQUITAINE - CPCV AQUITAINE"/>
        <s v="COULEUR COREE"/>
        <s v="CREASSEMBLE"/>
        <s v="CRESUS GIRONDE"/>
        <s v="CRISTINAREY"/>
        <s v="CROISSANT FERTILE"/>
        <s v="CROIX ROUGE FRANÇAISE - DELEGATION LOCALE"/>
        <s v="CTE ETS SEXTANT AVIONIQUE"/>
        <s v="CULTURE ET BIBLIOTHEQUES POUR TOUS"/>
        <s v="CULTURE-S"/>
        <s v="CULTURES DES ARTS CREOLES ET DU MONDE 33 (CACM33)"/>
        <s v="D'SIGN"/>
        <s v="DE VOLTES ET D'ASSAUTS"/>
        <s v="DEALERS DE SCIENCE"/>
        <s v="DEFENSE DE LA LANGUE FRANCAISE, ASSOCIATION DE BORDEAUX"/>
        <s v="DHAGPO BORDEAUX"/>
        <s v="DISCO SOUPE"/>
        <s v="DIVAN D'OUEST"/>
        <s v="DIVERSCITES"/>
        <s v="DLIBERETS"/>
        <s v="DOJO"/>
        <s v="DOULEURS SANS FRONTIERES - DSF"/>
        <s v="DRAG RACING TEAM - DRT"/>
        <s v="DU CHIEN DANS LES DENTS"/>
        <s v="DU SOLEIL DANS LES PIEDS"/>
        <s v="DULCENE"/>
        <s v="DV2G (THEATRE VICTOIRE)"/>
        <s v="ECHIQUIER BORDELAIS"/>
        <s v="ECOLE CHINOISE DE BORDEAUX"/>
        <s v="ECOLE DES GRANDS-PARENTS EUROPEENS BORDEAUX-GIRONDE - EGPE BORDEAUX-GIRONDE"/>
        <s v="ECOLE ESSENTIALISTE"/>
        <s v="ECOLE MUNICIPALE DE NATATION"/>
        <s v="ECOUTE S'IL PLEUT"/>
        <s v="ECOUTER SON CORPS"/>
        <s v="EINAI"/>
        <s v="ELLES CONNECT"/>
        <s v="EN MARCHE"/>
        <s v="ENDOFRANCE"/>
        <s v="ENFANCE ET FAMILLES D'ADOPTION DE LA GIRONDE - ASSOCIATION DES FOYERS ADOPTIFS DE GIRONDE (EFA 33)"/>
        <s v="ENSEMBLE OSKAR ALBERTO"/>
        <s v="ENSEMBLE UN"/>
        <s v="ENSEMBLE VOCAL JUBILATE"/>
        <s v="ENTRAIDE SCOLAIRE AMICALE (ESA)"/>
        <s v="ESCAPADES 33"/>
        <s v="ESKUALDUNEN BILTZARRA - BORDELEKO ESKUAL ETXEA ou MAISON BASQUE DE BORDEAUX"/>
        <s v="ESPACE DECOUVERTE MADAGASCAR"/>
        <s v="ESPACE INTER HANDICAP EUROPEEN A HAUTEUR D'HOMME"/>
        <s v="ESPACES MARX AQUITAINE BORDEAUX GIRONDE EXPLORER CONFRONTER INNOVER"/>
        <s v="ESPOIR 33"/>
        <s v="ESPRIT ETUDIANT-MONTESQUIEU"/>
        <s v="ESSPLICITE"/>
        <s v="ETUDIANTS MUSULMANS DE FRANCE BORDEAUX - EMF BORDEAUX"/>
        <s v="EUROPEAN MENTORING &amp; COACHING COUNCIL, L'ASSOCIATION EUROPEENNE DE COACHING"/>
        <s v="EXPLORER LE SENTIR"/>
        <s v="FAIS UN VOEU MAKE-A -WISH ® FRANCE"/>
        <s v="FAIT DE CI DE SOI"/>
        <s v="FC CARTES ET SERVICES"/>
        <s v="FEDERATION ADDICTION"/>
        <s v="FEDERATION ADMR GIRONDE"/>
        <s v="FEDERATION DE LA GIRONDE POUR LA PECHE ET LA PROTECTION MILIEU AQUATIQUE (FDAAPPMA DE LA GIRONDE)"/>
        <s v="FEDERATION DE PSYCHANALYSE CONTEMPORAINE - FPC"/>
        <s v="FEDERATION DEPARTEMENTALE DU SECOURS POPULAIRE FRANCAIS"/>
        <s v="FEDERATION DES DESIGNERS EN AQUITAINE (FDA)"/>
        <s v="FEDERATION DES MANDATAIRES JUDICIAIRES INDEPENDANTS A PROTECTION MAJEURS AQUITAINE (FMJI AQUITAINE)"/>
        <s v="FEDERATION FRANCAISE DE NATATION"/>
        <s v="FEDERATION FRANCAISE DES PSYCHOLOGUES ET DE PSYCHOLOGIE - FFPP"/>
        <s v="FEDERATION GIRONDINE DE GENEALOGIE - FGG"/>
        <s v="FEDERATION MUSULMANE DE LA GIRONDE"/>
        <s v="FEDERATION NATIONALE D'AIDE AUX INSUFFISANTS RENAUX D'AQUITAINE - FNAIR AQUITANE"/>
        <s v="FEDERATION NATIONALE DES SERVICES SOCIAUX SPECIALISES DE PROTECTION DE L'ENFANCE - FN3S"/>
        <s v="FEDERATION POUR LA RECHERCHE SUR LE CERVEAU - CAMPAGNE DU NEURODON 2004"/>
        <s v="FEDERATION REGIONALE DES DECORES DU TRAVAIL NOUVELLE-AQUITAINE (FRDT)"/>
        <s v="FEDERATION SYNDICALE UNITAIRE 33 - FSU 33"/>
        <s v="FEMMES INTERNATIONALES MURS BRISES"/>
        <s v="FISH AND SHOES"/>
        <s v="FITNESS FREESTYLE"/>
        <s v="FOIRE AUX PLAISIRS DE BORDEAUX"/>
        <s v="FONDA SUD-OUEST"/>
        <s v="FONDATION DU PATRIMOINE - DELEGATION AQUITAINE"/>
        <s v="FONDATION MAISON DE LA GENDARMERIE"/>
        <s v="FOOT LOISIRS DOCKERS DE BORDEAUX"/>
        <s v="FOOTBALL CLUB DE LA PRESSE BORDELAISE"/>
        <s v="FOOTBALL-CLUB BORDEAUX OCEAN"/>
        <s v="FOOTBALL-CLUB ROUGE"/>
        <s v="FORCE FEMMES"/>
        <s v="FORRO BORDEAUX"/>
        <s v="FORUM DES CULTURES ET DES TRADITIONS"/>
        <s v="FOYER SOCIO-EDUCATIF DU COLLEGE ALAIN FOURNIER"/>
        <s v="FRANCE ALZHEIMER GIRONDE"/>
        <s v="FRANCE AMERIQUE LATINE COMITE BORDEAUX GIRONDE"/>
        <s v="FRANCE PLUS GIRONDE"/>
        <s v="FRANCE PSORIASIS"/>
        <s v="France PARKINSON"/>
        <s v="GABON, SOLIDARITE ET PAIX"/>
        <s v="GARGANTUA"/>
        <s v="GASP'ART"/>
        <s v="GAZELLISSIMES"/>
        <s v="GEAR LOCKER"/>
        <s v="GEM &quot;LES NEUROFESTIFS 33&quot;"/>
        <s v="GIRONDE ROUMANIE ECHANGES ET CULTURE"/>
        <s v="GIRONDINS DE BORDEAUX TIR"/>
        <s v="GRAIN DE SABLE"/>
        <s v="GRAINES DE SOLIDARITE"/>
        <s v="GROUPE ATTAC 33"/>
        <s v="GROUPE D'ETUDE POUR L'INSERTION SOCIALE DES PERSONNES PORTEUSES D'UNE TRISOMIE 21 - GEIST 21"/>
        <s v="GROUPE LOCAL ACTION DES CHRETIENS POUR L'ABOLITION DE LA TORTURE DE BORDEAUX"/>
        <s v="GROUPE PASSERELLE"/>
        <s v="GROUPE VOCAL ARPEGE DE BORDEAUX"/>
        <s v="GROUPEMENT DES RETRAITES EDUCATEURS SANS FRONTIERES - GREF"/>
        <s v="GYMNASTIQUE VOLONTAIRE BORDEAUX BASTIDE"/>
        <s v="GYMNASTIQUE VOLONTAIRE BORDEAUX LOUCHEUR"/>
        <s v="GYMNASTIQUE VOLONTAIRE CHAUFFOUR"/>
        <s v="GYMNASTIQUE VOLONTAIRE LESCURE"/>
        <s v="GYMNASTIQUE VOLONTAIRE PERGOLA STEHELIN"/>
        <s v="GYMNASTIQUE VOLONTAIRE QUARTIER ST NICOLAS"/>
        <s v="H NORD ECOQUARTIER DE BORDEAUX - H NORD"/>
        <s v="HABAD LOUBAVITCH BORDEAUX"/>
        <s v="HABITATS JEUNES SIMONE NOAILLES"/>
        <s v="HAITI EN VIE"/>
        <s v="HALEIWA"/>
        <s v="HANDICAP INTERNATIONAL"/>
        <s v="HANDISPORT 33 AMICALE SPORTIVE DES HANDICAPES PHYSIQUES D'AQUITAINE - ASHPA"/>
        <s v="HARMONIE STRETCH ET DETENTE"/>
        <s v="HISTOIRE(S) DE LA BASTIDE"/>
        <s v="HORS BORD"/>
        <s v="ICRONOS"/>
        <s v="IDEH - INITIATIVES POUR LE DEVELOPPEMENT HUMAIN"/>
        <s v="ILOT DES MOTS"/>
        <s v="INNER WHEEL CLUB DE BORDEAUX MEDOC"/>
        <s v="INSTANCE REGIONALE D'EDUCATION ET DE PROMOTION SANTE NOUVELLE-AQUITAINE (IREPS NOUVELLE-AQUITAINE)"/>
        <s v="INSTANTS BORDELAIS"/>
        <s v="INSTITUT BERGONIE"/>
        <s v="INSTITUT DE FORMATION ET D'APPUI AUX INITIATIVES DE DEVELOPPEMENT - IFAID AQUITAINE"/>
        <s v="INSTITUT DE JOURNALISME BORDEAUX AQUITAINE"/>
        <s v="INSTITUT MACONNIQUE D'AQUITAINE"/>
        <s v="INSTITUT MEDICO-PEDAGOGIQUE SAINT JOSEPH"/>
        <s v="INSTITUT REGIONAL DES SOURDS ET DES AVEUGLES - IRSA"/>
        <s v="IRON SPORT BORDEAUX"/>
        <s v="ITAL'ICI"/>
        <s v="JARDIN ET ECOTOURISME"/>
        <s v="JETER L'ENCRE"/>
        <s v="JEUNE ACADEMIE VOCALE D'AQUITAINE"/>
        <s v="JEUNE BALLET D AQUITAINE"/>
        <s v="JUDO-CLUB GIRONDIN OMNISPORTS"/>
        <s v="KALINA'GO"/>
        <s v="KARAVAN BORDELAISE"/>
        <s v="KAZ ANANDA"/>
        <s v="KEEP A BREAST EUROPE FOUNDATION"/>
        <s v="KI E KI"/>
        <s v="KILOMBO KINTWADI"/>
        <s v="KPOP DANCE MOVE BORDEAUX - KDM BORDEAUX"/>
        <s v="KUNG-FU WUSHU ACADEMIE (KFWA)"/>
        <s v="L'AMICALE DES CHINOIS DU SUD-OUEST (ADCSO)"/>
        <s v="L'ASSOCIATION DES BISSAU-GUINEENS"/>
        <s v="L'ASSOCIATION SLAVE"/>
        <s v="L'ASSOS DIET"/>
        <s v="L'ATELIER CHOREGRAPHIQUE"/>
        <s v="L'ATELIER VIDEO PIRATE"/>
        <s v="L'ATEUL"/>
        <s v="L'AUTRE - ASSOCIATION DES ETUDIANTS EN ANTHROPOLOGIE SOCIALE ET CULTURELLE"/>
        <s v="L'ERE H"/>
        <s v="L'ESTEY"/>
        <s v="L'INSTITUT BORDELAIS DE STYLISME MODELISME"/>
        <s v="L'OLYMPIQUE-CLUB BORDELAIS - OCB"/>
        <s v="L'ORANGEADE"/>
        <s v="L'OSTAU OCCITAN"/>
        <s v="LA CIGOGNE"/>
        <s v="LA CLE DU QUAI"/>
        <s v="LA COMPAGNIE &quot;LES FOUS DE LA RAMPE&quot;"/>
        <s v="LA COMPAGNIE CHRONIQUE"/>
        <s v="LA COMPAGNIE DES FIGURES"/>
        <s v="LA COMPAGNIE GARONOTES"/>
        <s v="LA COUR DES ENFANTS"/>
        <s v="LA DAME A LA LICORNE"/>
        <s v="LA GALERIE EPHEMERE"/>
        <s v="LA GYM SUEDOISE BORDEAUX"/>
        <s v="LA HOULETTE"/>
        <s v="LA MAIN A L’OREILLE"/>
        <s v="LA MAISON DE MARIE"/>
        <s v="LA MANIF POUR TOUS 33"/>
        <s v="LA MARMAILLE"/>
        <s v="LA MOBYLETTE"/>
        <s v="LA PARENTELE"/>
        <s v="LA PLUME ET L'OREILLE"/>
        <s v="LA ROUTE DES VINS - ECOLE DE COMMERCE EUROPEENNE"/>
        <s v="LABE'ART"/>
        <s v="LACLE - LA MAISON DES PARENTS ET DES MINEURS"/>
        <s v="LADAPT LIGUE ADAPTATION DIMINUES PHYSIQUE AU TRAVAIL"/>
        <s v="LADIES' CIRCLE BORDEAUX 20"/>
        <s v="LAFEDERATION 33"/>
        <s v="LATINO MEX BORDEAUX"/>
        <s v="LAXMI GIRONDE"/>
        <s v="LE CANNELE D'ADRESSES"/>
        <s v="LE CHAINON MANQUANT"/>
        <s v="LE CHOEUR VOYAGEUR"/>
        <s v="LE LABO DES HISTOIRES section Sud-Atlantique"/>
        <s v="LE LABO DES LETTRES"/>
        <s v="LE LYS ET LE LEOPARD"/>
        <s v="LE P'TIT BOUT DE QUARTIER"/>
        <s v="LE PETIT INSTITUT DE CHINE : ECOLE D'ARTS MARTIAUX ET CULTURE CHINOISE"/>
        <s v="LE RELAIS GIRONDE"/>
        <s v="LE THEATRE DES EGREGORES"/>
        <s v="LEGATO CIE"/>
        <s v="LEO CLUB BORDEAUX INTERNATIONAL - LBI"/>
        <s v="LES AMIS AQUITAINS DES SEMAINES SOCIALES DE France"/>
        <s v="LES AMIS DE BORDEAUX-SUD"/>
        <s v="LES AMIS DE LA RUE KLEBER"/>
        <s v="LES AMIS DE LA TERRE GIRONDE"/>
        <s v="LES ANCIENS DE BACALAN CLAVEAU"/>
        <s v="LES ANNALES DE L'ESPRIT"/>
        <s v="LES BORDELUCHES"/>
        <s v="LES BRUITS DE LA RUE"/>
        <s v="LES COQUELICOTS"/>
        <s v="LES COUCOUS"/>
        <s v="LES DOSSIERS D'AQUITAINE ET D'AILLEURS"/>
        <s v="LES ENTREPRENEURS ET DIRIGEANTS CHRETIENS"/>
        <s v="LES FEES REIKI"/>
        <s v="LES FEES RUE"/>
        <s v="LES FILLES D'A COTE"/>
        <s v="LES GOUPILS"/>
        <s v="LES HABITANTS ET RIVERAINS DU QUARTIER SAINT-GENES-BOURSE DU TRAVAIL - COSTEDOAT"/>
        <s v="LES IMPROVISATEURS ANONYMES"/>
        <s v="LES INDEPENDANTS PLASTICIENS DE BORDEAUX"/>
        <s v="LES INSTRUMENTS ANCIENS DE BORDEAUX"/>
        <s v="LES JOIES HUMAINES"/>
        <s v="LES MORPHOGENISTES"/>
        <s v="LES MUSCLES BORDELAIS"/>
        <s v="LES PETITS TRETEAUX"/>
        <s v="LES PINSONS"/>
        <s v="LES PRODUCTIONS DE L'ANGE"/>
        <s v="LES RIVERAINS DU STADE PROMIS"/>
        <s v="LES ROSES DE DAMAS"/>
        <s v="LES VAILLANTS DE SAINT SEURIN"/>
        <s v="LES Z'ARPETES"/>
        <s v="LESBIAN &amp; GAY PRIDE BORDEAUX DITE AUSSI LGP BORDEAUX"/>
        <s v="LIBRE PENSEE"/>
        <s v="LICHORE"/>
        <s v="LIGUE CONTRE LE CANCER"/>
        <s v="LIGUE D'AQUITAINE DE HANDBALL"/>
        <s v="LIGUE D'AQUITAINE DE VOLLEY BALL"/>
        <s v="LIGUE FRANÇAISE POUR LA DEFENSE DROITS DE L'HOMME ET DU CITOYEN (LDH) ET LIGUE DROITS DE L'HOMME"/>
        <s v="LIGUE NATIONAL DE RUGBY"/>
        <s v="LIONS BORDEAUX SAINT AUGUSTIN"/>
        <s v="LIONS CLUB BORDEAUX - EUROPE - DISTRICT 103 SUD-OUEST"/>
        <s v="LIONS CLUB BORDEAUX LE BOUSCAT"/>
        <s v="LIONS CLUB BORDEAUX RIVE-GAUCHE"/>
        <s v="LIONS CLUB BORDEAUX TOURNY"/>
        <s v="LIONS CLUB DE BORDEAUX LA FAYETTE"/>
        <s v="LIONS-CLUB DE BORDEAUX CAUDERAN"/>
        <s v="LOS TREINTA Y TRES"/>
        <s v="LOUONS L'ETERNEL"/>
        <s v="LUNA D'AIGA"/>
        <s v="LUPUS DE FRANCE"/>
        <s v="L’ASSOCIATION POUR LE MAINTIEN DE L’AGRICULTURE PAYSANNE DITE &quot;L’AMAP CAUDERANAISE&quot;"/>
        <s v="MACCABI SPORTS DE BORDEAUX"/>
        <s v="MADE IN MOVEMENT"/>
        <s v="MAGNETOGRAMMES ASSOCIATION"/>
        <s v="MAISON D'ALGERIE EN AQUITAINE"/>
        <s v="MAISON DE LA NATURE ET DE L'ENVIRONNEMENT"/>
        <s v="MAISON DES METIERS DE L'IMPRIMERIE"/>
        <s v="MAISON DES SOURDS DE LA GIRONDE - MS 33"/>
        <s v="MAJ"/>
        <s v="MAM'OURS"/>
        <s v="MANTA PLONGEE"/>
        <s v="MARATHON JOB EUROPA"/>
        <s v="MAROC, DEVOIRS ET DROITS"/>
        <s v="MAWA DE GIRONDE"/>
        <s v="MBOLO ASSOCIATION DES GABONAIS DE LA GIRONDE"/>
        <s v="MELTING SIGNES"/>
        <s v="MENSA AQUITAINE"/>
        <s v="MHIGE INSEEC - MISSION INTER GRANDES ECOLES DE L'INSEEC"/>
        <s v="MINE DE RIEN"/>
        <s v="MIRAIL INFORMATIQUE"/>
        <s v="MOTO CLUB HEXAGON BORDEAUX"/>
        <s v="MOTS ET MATIERES(S)"/>
        <s v="MOUVEMENT EUROPEEN FRANCE-GIRONDE"/>
        <s v="MUSIC'S COOL"/>
        <s v="MUSICA IN CATHEDRA"/>
        <s v="MUSIQUE MUNICIPALE"/>
        <s v="MUSIQUES EN ROUTE"/>
        <s v="MY KARTEL"/>
        <s v="NACAO PALMARES CAPOEIRA DE BORDEAUX"/>
        <s v="NIRE LAGUNA THOMAS"/>
        <s v="NOTRE DAME DE BARRAILS"/>
        <s v="NOTRE ITALIE"/>
        <s v="NOUS CITOYENS"/>
        <s v="NOUS VOULONS LIRE !"/>
        <s v="NOUVEAU COMITE FOIRE AUX PLAISIRS"/>
        <s v="NOUVELLE DONNE"/>
        <s v="OCCS"/>
        <s v="OCTANDRE"/>
        <s v="OFFICE ARTISTIQUE DE REGION AQUITAINE"/>
        <s v="OFFICIERS DE RESERVE"/>
        <s v="OKIWI"/>
        <s v="ONG QUISHUAR"/>
        <s v="OPERA BASTIDE"/>
        <s v="OPUS 33"/>
        <s v="ORGANISATION SOCIO-CULTURELLE DE BORDEAUX IV OSB IV"/>
        <s v="OSEZ LE FEMINISME 33 !"/>
        <s v="OUI A LA VIE"/>
        <s v="PALLIAQUITAINE"/>
        <s v="PARTI OUVRIER INDEPENDANT DEMOCRATIQUE DE LA GIRONDE - POID33"/>
        <s v="PASSERELLES ET COMPETENCES"/>
        <s v="PAUSE-CAFE"/>
        <s v="PENA FLAMENCA COPAS Y COMPAS"/>
        <s v="PENA MADRIDISTA DE BORDEAUX"/>
        <s v="PERCEPTA - TAI CHI CHUAN ET DEVELOPPEMENT PERSONNEL"/>
        <s v="PERES &amp; FILS RUGBY 33"/>
        <s v="PETANQUE BACALANAISE"/>
        <s v="PETANQUE CLUB EMILE COMBES"/>
        <s v="PEUPLES SOLIDAIRES"/>
        <s v="PHENIX DE BELCIER"/>
        <s v="PHOTO CLUB DE BORDEAUX"/>
        <s v="PICTUR'ART"/>
        <s v="PLAN INTERNATIONAL FRANCE - PLAN FRANCE"/>
        <s v="PLANETE BORDEAUX"/>
        <s v="PLATEFORME AQUITAINE DE COMMERCE EQUITABLE - PLACE"/>
        <s v="PLENI'OM"/>
        <s v="POINT RENCONTRE DE BORDEAUX"/>
        <s v="POLIFONIA ELIANE LAVAIL"/>
        <s v="POLSKIE BORDEAUX"/>
        <s v="POLYCAP 33"/>
        <s v="POUR UN COMMERCE ETHIQUE DE L'ART, RENCONTRES, TOURISME - PUCEART"/>
        <s v="POUR UN SOURIRE D'ENFANT AQUITAINE"/>
        <s v="PRISME"/>
        <s v="PROF'APA"/>
        <s v="PROJETS HORS LES MURS - PHM"/>
        <s v="PROMETHEE"/>
        <s v="QUETZALCOATL"/>
        <s v="RADIO CHU"/>
        <s v="RASSEMBLEMENT DU PEUPLE SOUVERAIN POUR UNE FRANCE INDEPENDANTE ET UNE REPUBLIQUE SOCIALE"/>
        <s v="REBATIR LA FRANCE"/>
        <s v="REG'ARTS D'AILLEURS"/>
        <s v="REGGAE SUN SKA"/>
        <s v="RELAIS AMICAL MALAKOFF MEDERIC BORDEAUX AQUITAINE"/>
        <s v="RESEAU AQUITAIN DES MUSIQUES ACTUELLES - RAMA"/>
        <s v="RESEAU FRANCAIS SUR L’ENTENTE DE VOIX (REV FRANCE)"/>
        <s v="RESEAUX ADOS GIRONDE"/>
        <s v="RIVE DROITE 2000"/>
        <s v="ROLLER DERBY BORDEAUX CLUB"/>
        <s v="ROSE ATTITUDE BORDEAUX"/>
        <s v="ROTARY CLUB DE BORDEAUX-OUEST"/>
        <s v="ROTARY-CLUB DE BORDEAUX-SUD"/>
        <s v="SAAPERLIPOPETTE"/>
        <s v="SAINT MARTIN BORDEAUX CULTURAL CONNECTIONS"/>
        <s v="SALAM"/>
        <s v="SASP FOOTBALL CLUB DES GIRONDINS DE BORDEAUX"/>
        <s v="SCOUTS ET GUIDES DE FRANCE - Section de Tarbes"/>
        <s v="SE CANTO BASTIDE"/>
        <s v="SECOURS CATHOLIQUE-CARITAS FRANCE (DELEGATION DE LA GIRONDE)"/>
        <s v="SECUCAF BORDEAUX FOOTBALL D'ENTREPRISE"/>
        <s v="SERVICE DEPARTEMENTAL D'INCENDIE ET DE SECOURS DE LA GIRONDE"/>
        <s v="SERVICE UNIVERSITAIRE DES ACTIVITES PHYSIQUES ET SPORTIVES (SUAPS)"/>
        <s v="SIDACTION"/>
        <s v="SOCIETE BORDELAISE D'AQUARELLE"/>
        <s v="SOCIETE D'ENTRAIDE DES MEMBRES DE LA LEGION D'HONNEUR COMITE DE BORDEAUX SECTEUR CAUDERAN"/>
        <s v="SOCIETE D'HISTOIRE DE BORDEAUX"/>
        <s v="SOCIETE DE GEOGRAPHIE DE BORDEAUX"/>
        <s v="SOCIETE DES AMIS DU MUSEE DES BEAUX-ARTS DE BORDEAUX"/>
        <s v="SOCIETE DES BIBLIOPHILES DE GUYENNE"/>
        <s v="SOCIETE DES COMPAGNONS DU TOUR DE France DU DEVOIR EGALITAIRE - CHAMBRE COMPAGNONALE DE BORDEAUX"/>
        <s v="SOCIETE DES FETES CAUDERANAISES"/>
        <s v="SOCIETE DES NEUROSCIENCES"/>
        <s v="SOCIETE SYMPHONIQUE DE BORDEAUX-CAUDERAN"/>
        <s v="SOLIDARITE-LOGEMENT BORDEAUX-BOULEVARDS"/>
        <s v="SOMATO-PSYCHO-PEDAGOGIE EN AQUITAINE"/>
        <s v="SONG LONG BORDEAUX"/>
        <s v="SOS PLACE GAMBETTA"/>
        <s v="SOUTIEN, CULTURE ET LOISIRS DES MAGHREBINS ET ALGERIENS EN AQUITAINE - SCELMAA"/>
        <s v="SPECIAL OLYMPICS FRANCE (SOF)"/>
        <s v="SPHERE CPP BORDEAUX"/>
        <s v="STELLA MONTIS"/>
        <s v="STOP AND GO DANCE 33"/>
        <s v="SUKHALI - AIDE AU DEVELOPPEMENT LOCAL PAR LES FEMMES AU SENEGAL"/>
        <s v="SURVIE GIRONDE"/>
        <s v="SYNDICAT DES QUARTIERS BELCIER, CARLE VERNET"/>
        <s v="T.E.A. TIME - TALENTUEUX EMOTIFS ANONYMES"/>
        <s v="TANGO BORDEAUX"/>
        <s v="TANGO HOY"/>
        <s v="TANGO MILONGUERO BORDEAUX"/>
        <s v="TANGO NOMADE"/>
        <s v="TASHI DELEK BORDEAUX ASSOCIATION GIRONDINE POUR LE TIBET"/>
        <s v="TATHATA- VRINDHAM AQUITAINE"/>
        <s v="TCHERNOBLAYE"/>
        <s v="TEMPS DE PAROLE ASSOCIATION SANTE ET SECURITE PROFESSIONNELLES"/>
        <s v="TENNIS CLUB DE BORDEAUX"/>
        <s v="TERANGA"/>
        <s v="TERANUI TAHITI"/>
        <s v="TERIYA"/>
        <s v="TERRA FEES"/>
        <s v="THEATR'ACTION"/>
        <s v="THEATRE DE L'ESCALE"/>
        <s v="THEATRE DES TAFURS"/>
        <s v="THEATRE FEMINA"/>
        <s v="THEATRE-EDUCATION-AQUITAINE"/>
        <s v="THEATRIUM"/>
        <s v="THIANT GUI"/>
        <s v="THOTH CIVILISATION SANS FRONTIERES"/>
        <s v="TOURING PEDESTRE BORDELAIS"/>
        <s v="TRACE UNE DIAGONALE"/>
        <s v="TRADOBORDELEAU"/>
        <s v="TRANZIT KREOL"/>
        <s v="TRAUMATISES CRANIENS ASSISTANCE"/>
        <s v="TREMPLIN UTC"/>
        <s v="ULCR"/>
        <s v="ULTRAS BB"/>
        <s v="UNICEF"/>
        <s v="UNION ALCOOLIQUES ANONYMES"/>
        <s v="UNION AU DEVELOPPEMENT AFRICAIN - UDA"/>
        <s v="UNION COOP DE LA PAGE BLANCHE"/>
        <s v="UNION DEPARTEMENTALE CFDT DE LA GIRONDE"/>
        <s v="UNION DES AVEUGLES ET DEFICIENTS VISUELS"/>
        <s v="UNION DES TRAVAILLEURS IVOIRIENS DE FRANCE - UTIF"/>
        <s v="UNION GENERALE SPORTIVE DE L'ENSEIGNEMENT LIBRE DE LA GIRONDE"/>
        <s v="UNION GIRONDINE DES RETRAITES MILITAIRES, ANCIENS MILITAIRES ET DE LEURS CONJOINTS (URM 33)"/>
        <s v="UNION NATIONALE DES AMIS ET FAMILLES DE MALADES PSYCHIQUES - UNAFAM"/>
        <s v="UNION NATIONALE DU SPORT SCOLAIRE - DIRECTION REGIONALE"/>
        <s v="UNION REGIONALE PACT HABITAT ET DEVELOPPEMENT DE LA REGION AQUITAINE"/>
        <s v="UNIVERSEUL"/>
        <s v="UNIVERSITE BORDEAUX MONTAIGNE BORDEAUX III - BIBLIOTHEQUE FRANCO-ALLEMANDE (BIFA)"/>
        <s v="UNIVERSITE POPULAIRE DE BORDEAUX - UPB"/>
        <s v="URPS - AQUITAINE"/>
        <s v="UTOPIA"/>
        <s v="V'INSEEC BORDEAUX, VINS ET SPIRITUEUX"/>
        <s v="VA K BAND"/>
        <s v="VACANCES ANIMATION LOISIRS TOURISME DE LA GIRONDE"/>
        <s v="VACANCES TOURISME FAMILLES - VTF"/>
        <s v="VAHINE ORA"/>
        <s v="VARIANCE MELODIE"/>
        <s v="VILLA 88"/>
        <s v="VILLAGE D'AUDEGE"/>
        <s v="VISIONS CROISEES"/>
        <s v="VISIONS PARTAGEES"/>
        <s v="VISITE DES MALADES DANS LES ETABLISSEMENTS HOSPITALIERS DU DEPARTEMENT DE LA GIRONDE - VMEH"/>
        <s v="VIVRE COMME AVANT"/>
        <s v="VOCATION SOCIOLOGUE"/>
        <s v="VOVINAM VIET VO DAO-CLUB DE BORDEAUX"/>
        <s v="WEJOB"/>
        <s v="WISE"/>
        <s v="WOUXIA CLAN"/>
        <s v="YA DLA JOIE ET DL'EMPLOI (YDLJE)"/>
        <s v="YOBALEMA"/>
        <s v="YOGA ET YOGA"/>
        <s v="YOGALBEDO"/>
        <s v="YOGHINY"/>
        <s v="ZANSHIN CLUB"/>
      </sharedItems>
    </cacheField>
    <cacheField name="Montant du fonds de concours ou de la subvention (numéraire)" numFmtId="0">
      <sharedItems containsSemiMixedTypes="0" containsString="0" containsNumber="1">
        <n v="1.616767E7"/>
        <n v="8060927.5"/>
        <n v="7912204.0"/>
        <n v="3120000.0"/>
        <n v="1735000.0"/>
        <n v="1646816.0"/>
        <n v="1578403.0"/>
        <n v="1537650.0"/>
        <n v="1128560.0"/>
        <n v="1089439.0"/>
        <n v="896350.0"/>
        <n v="892663.0"/>
        <n v="879983.0"/>
        <n v="819458.0"/>
        <n v="752250.0"/>
        <n v="678000.0"/>
        <n v="634600.0"/>
        <n v="567000.0"/>
        <n v="532800.0"/>
        <n v="512833.33"/>
        <n v="494000.0"/>
        <n v="492222.0"/>
        <n v="478850.0"/>
        <n v="461165.0"/>
        <n v="450195.0"/>
        <n v="450000.0"/>
        <n v="426565.0"/>
        <n v="402000.0"/>
        <n v="380000.0"/>
        <n v="357672.0"/>
        <n v="347000.0"/>
        <n v="343924.0"/>
        <n v="339500.0"/>
        <n v="334000.0"/>
        <n v="311500.0"/>
        <n v="300000.0"/>
        <n v="283000.0"/>
        <n v="280000.0"/>
        <n v="243834.0"/>
        <n v="240000.0"/>
        <n v="237000.0"/>
        <n v="223734.0"/>
        <n v="210000.0"/>
        <n v="205000.0"/>
        <n v="200000.0"/>
        <n v="198775.0"/>
        <n v="198000.0"/>
        <n v="190000.0"/>
        <n v="185000.0"/>
        <n v="180000.0"/>
        <n v="170592.0"/>
        <n v="153407.0"/>
        <n v="141174.0"/>
        <n v="132000.0"/>
        <n v="130000.0"/>
        <n v="120000.0"/>
        <n v="119100.0"/>
        <n v="119000.0"/>
        <n v="118603.0"/>
        <n v="115000.0"/>
        <n v="110350.0"/>
        <n v="109834.0"/>
        <n v="105000.0"/>
        <n v="100000.0"/>
        <n v="83680.0"/>
        <n v="82238.0"/>
        <n v="81568.0"/>
        <n v="80000.0"/>
        <n v="73900.0"/>
        <n v="73250.0"/>
        <n v="66000.0"/>
        <n v="64000.0"/>
        <n v="60000.0"/>
        <n v="57500.0"/>
        <n v="57005.0"/>
        <n v="56105.0"/>
        <n v="56000.0"/>
        <n v="55000.0"/>
        <n v="54201.0"/>
        <n v="52500.0"/>
        <n v="52250.0"/>
        <n v="51000.0"/>
        <n v="50580.0"/>
        <n v="50000.0"/>
        <n v="49000.0"/>
        <n v="46500.0"/>
        <n v="46000.0"/>
        <n v="45400.0"/>
        <n v="44200.0"/>
        <n v="41500.0"/>
        <n v="40700.0"/>
        <n v="40000.0"/>
        <n v="37754.0"/>
        <n v="37500.0"/>
        <n v="37000.0"/>
        <n v="35895.0"/>
        <n v="35500.0"/>
        <n v="35000.0"/>
        <n v="33251.0"/>
        <n v="32987.75"/>
        <n v="32500.0"/>
        <n v="31500.0"/>
        <n v="31000.0"/>
        <n v="30500.0"/>
        <n v="30000.0"/>
        <n v="29985.0"/>
        <n v="29750.0"/>
        <n v="29000.0"/>
        <n v="28500.0"/>
        <n v="28000.0"/>
        <n v="27778.0"/>
        <n v="27500.0"/>
        <n v="27000.0"/>
        <n v="25062.0"/>
        <n v="25000.0"/>
        <n v="24500.0"/>
        <n v="23000.0"/>
        <n v="22500.0"/>
        <n v="22000.0"/>
        <n v="21600.0"/>
        <n v="21500.0"/>
        <n v="21350.0"/>
        <n v="21000.0"/>
        <n v="20686.0"/>
        <n v="20500.0"/>
        <n v="20060.0"/>
        <n v="19500.0"/>
        <n v="19000.0"/>
        <n v="18800.0"/>
        <n v="17528.0"/>
        <n v="17500.0"/>
        <n v="17000.0"/>
        <n v="16770.0"/>
        <n v="16628.76"/>
        <n v="16000.0"/>
        <n v="15920.46"/>
        <n v="15800.0"/>
        <n v="15500.0"/>
        <n v="15280.0"/>
        <n v="15000.0"/>
        <n v="14800.0"/>
        <n v="14653.49"/>
        <n v="14500.0"/>
        <n v="14000.0"/>
        <n v="13600.0"/>
        <n v="13050.0"/>
        <n v="13000.0"/>
        <n v="12000.0"/>
        <n v="11950.0"/>
        <n v="11620.0"/>
        <n v="11500.0"/>
        <n v="11380.0"/>
        <n v="11176.0"/>
        <n v="11011.0"/>
        <n v="11000.0"/>
        <n v="10730.0"/>
        <n v="10536.77"/>
        <n v="10083.0"/>
        <n v="10000.0"/>
        <n v="9980.0"/>
        <n v="9880.0"/>
        <n v="9750.0"/>
        <n v="9600.0"/>
        <n v="9520.0"/>
        <n v="9500.0"/>
        <n v="9400.0"/>
        <n v="9000.0"/>
        <n v="8907.0"/>
        <n v="8800.0"/>
        <n v="8640.0"/>
        <n v="8605.0"/>
        <n v="8500.0"/>
        <n v="8400.0"/>
        <n v="8308.0"/>
        <n v="8300.0"/>
        <n v="8200.0"/>
        <n v="8000.0"/>
        <n v="7932.0"/>
        <n v="7800.0"/>
        <n v="7600.0"/>
        <n v="7500.0"/>
        <n v="7475.0"/>
        <n v="7370.0"/>
        <n v="7300.0"/>
        <n v="7100.0"/>
        <n v="7000.0"/>
        <n v="6900.0"/>
        <n v="6800.0"/>
        <n v="6500.0"/>
        <n v="6400.0"/>
        <n v="6182.0"/>
        <n v="6100.0"/>
        <n v="6000.0"/>
        <n v="5900.0"/>
        <n v="5750.0"/>
        <n v="5688.0"/>
        <n v="5500.0"/>
        <n v="5394.0"/>
        <n v="5000.0"/>
        <n v="4880.0"/>
        <n v="4850.0"/>
        <n v="4700.0"/>
        <n v="4634.0"/>
        <n v="4600.0"/>
        <n v="4550.0"/>
        <n v="4500.0"/>
        <n v="4420.0"/>
        <n v="4400.0"/>
        <n v="4300.0"/>
        <n v="4250.0"/>
        <n v="4072.0"/>
        <n v="4000.0"/>
        <n v="3917.0"/>
        <n v="3800.0"/>
        <n v="3700.0"/>
        <n v="3500.0"/>
        <n v="3400.0"/>
        <n v="3300.0"/>
        <n v="3220.0"/>
        <n v="3200.0"/>
        <n v="3109.0"/>
        <n v="3030.0"/>
        <n v="3000.0"/>
        <n v="2800.0"/>
        <n v="2700.0"/>
        <n v="2670.0"/>
        <n v="2635.0"/>
        <n v="2500.0"/>
        <n v="2450.0"/>
        <n v="2400.0"/>
        <n v="2300.0"/>
        <n v="2250.0"/>
        <n v="2200.0"/>
        <n v="2150.0"/>
        <n v="2100.0"/>
        <n v="2064.0"/>
        <n v="2055.0"/>
        <n v="2000.0"/>
        <n v="1800.0"/>
        <n v="1728.0"/>
        <n v="1700.0"/>
        <n v="1650.0"/>
        <n v="1600.0"/>
        <n v="1550.0"/>
        <n v="1534.0"/>
        <n v="1500.0"/>
        <n v="1410.0"/>
        <n v="1400.0"/>
        <n v="1300.0"/>
        <n v="1200.0"/>
        <n v="1080.0"/>
        <n v="1000.0"/>
        <n v="950.0"/>
        <n v="920.0"/>
        <n v="900.0"/>
        <n v="865.0"/>
        <n v="800.0"/>
        <n v="750.0"/>
        <n v="741.0"/>
        <n v="700.0"/>
        <n v="650.0"/>
        <n v="600.0"/>
        <n v="571.0"/>
        <n v="500.0"/>
        <n v="420.0"/>
        <n v="400.0"/>
        <n v="300.0"/>
        <n v="250.0"/>
        <n v="200.0"/>
        <n v="150.0"/>
        <n v="120.0"/>
        <n v="100.0"/>
        <n v="82.0"/>
        <n v="0.0"/>
      </sharedItems>
    </cacheField>
    <cacheField name="Prestations en nature" numFmtId="0">
      <sharedItems containsBlank="1">
        <m/>
        <s v="Communication, locaux, équipements sportifs,"/>
        <s v="Locaux"/>
        <s v="Communication, locaux"/>
        <s v="Locaux, matériel pour manifestations"/>
        <s v="Locaux, équipements sportifs, matériel pour"/>
        <s v="Communication, matériel pour manifestations, locaux"/>
        <s v="Matériel pour manifestations"/>
        <s v="Equipements sportifs"/>
        <s v="Equipements sportifs, matériel pour manifestations"/>
        <s v="Locaux, matériel pour manifestations, matériel"/>
        <s v="Communication, locaux, matériel pour"/>
        <s v="Communication, locaux, matériel pour manifestations"/>
        <s v="Communication, équipements sportifs, matériel pour"/>
        <s v="Locaux, équipements sportifs"/>
        <s v="Locaux, matériel informatique"/>
        <s v="Communication, matériel pour manifestations"/>
        <s v="Communication"/>
        <s v="Communication, matériel informatique"/>
        <s v="Matériel informatique"/>
      </sharedItems>
    </cacheField>
    <cacheField name="avec/sans" numFmtId="0">
      <sharedItems>
        <s v="AVEC"/>
        <s v="SANS"/>
      </sharedItems>
    </cacheField>
    <cacheField name="categorie" numFmtId="0">
      <sharedItems>
        <e v="#N/A"/>
        <s v="Education - Enfance - Jeunesse - Vie étudiante"/>
        <s v="Economie"/>
        <s v="Sciences"/>
        <s v="Culture"/>
        <s v="Sport"/>
        <s v="Entraide, solidarité, humanitaire"/>
        <s v="Emploi, insertion professionnelle, formation"/>
        <s v="null"/>
        <s v="Santé, bien-être"/>
        <s v="Loisirs"/>
        <s v="Vivre ensemble, vie quotidienne"/>
        <s v="Cadre de vie environnement"/>
      </sharedItems>
    </cacheField>
    <cacheField name="president" numFmtId="0">
      <sharedItems>
        <e v="#N/A"/>
        <s v="Joël DUCOS"/>
        <s v="null"/>
        <s v="Didier POURQUERY"/>
        <s v="François Pouthier"/>
        <s v="françoise bouvet"/>
        <s v="Alexandre de Roumefort"/>
        <s v="MARC PINAUD"/>
        <s v="Patricia CHAUFFOURIER"/>
        <s v="Laurent Courbu"/>
        <s v="ROSE BAYANG KOUMIGNE"/>
        <s v="Rodolphe Peter"/>
        <s v="Sandrine DUPLACEAU"/>
        <s v="Anne FREDEFON"/>
        <s v="Roberte Aubert"/>
        <s v="Txomin Olazabal"/>
        <s v="Adeline Charneau"/>
        <s v="Claude Roussillon"/>
        <s v="Marie Thérèse Audineau"/>
        <s v="Serge CUTILLA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analyse2" cacheId="0" dataCaption="" compact="0" compactData="0">
  <location ref="A1:D23" firstHeaderRow="0" firstDataRow="1" firstDataCol="1"/>
  <pivotFields>
    <pivotField name="nom des bénéficiai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t="default"/>
      </items>
    </pivotField>
    <pivotField name="Montant du fonds de concours ou de la subvention (numér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Prestations en nature" axis="axisRow" compact="0" outline="0" multipleItemSelectionAllowed="1" showAll="0" sortType="ascending">
      <items>
        <item x="0"/>
        <item x="17"/>
        <item x="13"/>
        <item x="3"/>
        <item x="1"/>
        <item x="11"/>
        <item x="12"/>
        <item x="18"/>
        <item x="16"/>
        <item x="6"/>
        <item x="8"/>
        <item x="9"/>
        <item x="2"/>
        <item x="14"/>
        <item x="5"/>
        <item x="15"/>
        <item x="4"/>
        <item x="10"/>
        <item x="19"/>
        <item x="7"/>
        <item t="default"/>
      </items>
    </pivotField>
    <pivotField name="avec/sans" axis="axisCol" compact="0" outline="0" multipleItemSelectionAllowed="1" showAll="0" sortType="ascending">
      <items>
        <item x="0"/>
        <item x="1"/>
        <item t="default"/>
      </items>
    </pivotField>
  </pivotFields>
  <rowFields>
    <field x="2"/>
  </rowFields>
  <colFields>
    <field x="3"/>
  </colFields>
  <dataFields>
    <dataField name="COUNTA of nom des bénéficiaires" fld="0"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verif2" cacheId="1" dataCaption="" compact="0" compactData="0">
  <location ref="A1:B2204" firstHeaderRow="0" firstDataRow="1" firstDataCol="0"/>
  <pivotFields>
    <pivotField name="Année" compact="0" outline="0" multipleItemSelectionAllowed="1" showAll="0">
      <items>
        <item x="0"/>
        <item x="1"/>
        <item t="default"/>
      </items>
    </pivotField>
    <pivotField name="nom des bénéficiaires"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t="default"/>
      </items>
      <autoSortScope>
        <pivotArea>
          <references>
            <reference field="4294967294">
              <x v="0"/>
            </reference>
          </references>
        </pivotArea>
      </autoSortScope>
    </pivotField>
    <pivotField name="Montant du fonds de concours ou de la subvention (numérai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t="default"/>
      </items>
    </pivotField>
    <pivotField name="Prestations en natu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field x="1"/>
  </rowFields>
  <dataFields>
    <dataField name="COUNT of Montant du fonds de concours ou de la subvention (numéraire)" fld="2" subtotal="countNums"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analyse3." cacheId="1" dataCaption="" compact="0" compactData="0">
  <location ref="A1:D2204" firstHeaderRow="0" firstDataRow="2" firstDataCol="0"/>
  <pivotFields>
    <pivotField name="Année" dataField="1" compact="0" outline="0" multipleItemSelectionAllowed="1" showAll="0">
      <items>
        <item x="0"/>
        <item x="1"/>
        <item t="default"/>
      </items>
    </pivotField>
    <pivotField name="nom des bénéficiaires"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t="default"/>
      </items>
      <autoSortScope>
        <pivotArea>
          <references>
            <reference field="4294967294">
              <x v="0"/>
            </reference>
          </references>
        </pivotArea>
      </autoSortScope>
    </pivotField>
    <pivotField name="Montant du fonds de concours ou de la subvention (numérai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t="default"/>
      </items>
    </pivotField>
    <pivotField name="Prestations en natu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field x="1"/>
  </rowFields>
  <colFields>
    <field x="-2"/>
  </colFields>
  <dataFields>
    <dataField name="SUM of Montant du fonds de concours ou de la subvention (numéraire)" fld="2" baseField="0"/>
    <dataField name="COUNT of Montant du fonds de concours ou de la subvention (numéraire)" fld="2" subtotal="countNums" baseField="0"/>
    <dataField name="SUM of Année" fld="0" baseField="0"/>
  </dataFields>
  <pivotTableStyleInfo name="Google Sheets Pivot Table Style" showRowHeaders="1" showColHeaders="1" showLastColumn="1"/>
</pivotTableDefinition>
</file>

<file path=xl/pivotTables/pivotTable4.xml><?xml version="1.0" encoding="utf-8"?>
<pivotTableDefinition xmlns="http://schemas.openxmlformats.org/spreadsheetml/2006/main" name="analyse3" cacheId="2" dataCaption="" compact="0" compactData="0">
  <location ref="A1:C20" firstHeaderRow="0" firstDataRow="2" firstDataCol="0"/>
  <pivotFields>
    <pivotField name="nom des bénéficiai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t="default"/>
      </items>
    </pivotField>
    <pivotField name="Montant du fonds de concours ou de la subvention (numérai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Prestations en natu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vec/sans" compact="0" outline="0" multipleItemSelectionAllowed="1" showAll="0">
      <items>
        <item x="0"/>
        <item x="1"/>
        <item t="default"/>
      </items>
    </pivotField>
    <pivotField name="categorie" compact="0" outline="0" multipleItemSelectionAllowed="1" showAll="0">
      <items>
        <item x="0"/>
        <item x="1"/>
        <item x="2"/>
        <item x="3"/>
        <item x="4"/>
        <item x="5"/>
        <item x="6"/>
        <item x="7"/>
        <item x="8"/>
        <item x="9"/>
        <item x="10"/>
        <item x="11"/>
        <item x="12"/>
        <item t="default"/>
      </items>
    </pivotField>
    <pivotField name="president" axis="axisRow" compact="0" outline="0" multipleItemSelectionAllowed="1" showAll="0" sortType="ascending">
      <items>
        <item x="16"/>
        <item x="6"/>
        <item x="13"/>
        <item x="17"/>
        <item x="3"/>
        <item x="4"/>
        <item x="5"/>
        <item x="1"/>
        <item x="9"/>
        <item x="7"/>
        <item x="18"/>
        <item h="1" x="2"/>
        <item x="8"/>
        <item x="14"/>
        <item x="11"/>
        <item x="10"/>
        <item x="12"/>
        <item x="19"/>
        <item x="15"/>
        <item h="1" x="0"/>
        <item t="default"/>
      </items>
    </pivotField>
  </pivotFields>
  <rowFields>
    <field x="5"/>
  </rowFields>
  <colFields>
    <field x="-2"/>
  </colFields>
  <dataFields>
    <dataField name="COUNTA of nom des bénéficiaires" fld="0" subtotal="count" baseField="0"/>
    <dataField name="SUM of Montant du fonds de concours ou de la subvention (numéraire)" fld="1" baseField="0"/>
  </dataFields>
  <pivotTableStyleInfo name="Google Sheets Pivot Table Style" showRowHeaders="1" showColHeaders="1" showLastColumn="1"/>
</pivotTableDefinition>
</file>

<file path=xl/pivotTables/pivotTable5.xml><?xml version="1.0" encoding="utf-8"?>
<pivotTableDefinition xmlns="http://schemas.openxmlformats.org/spreadsheetml/2006/main" name="analyse4`" cacheId="2" dataCaption="" compact="0" compactData="0">
  <location ref="A1:M10" firstHeaderRow="0" firstDataRow="1" firstDataCol="1"/>
  <pivotFields>
    <pivotField name="nom des bénéficiai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t="default"/>
      </items>
    </pivotField>
    <pivotField name="Montant du fonds de concours ou de la subvention (numér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Prestations en nature" axis="axisRow" compact="0" outline="0" multipleItemSelectionAllowed="1" showAll="0" sortType="ascending">
      <items>
        <item x="0"/>
        <item x="17"/>
        <item x="13"/>
        <item x="3"/>
        <item x="1"/>
        <item x="11"/>
        <item x="12"/>
        <item x="18"/>
        <item x="16"/>
        <item x="6"/>
        <item x="8"/>
        <item x="9"/>
        <item x="2"/>
        <item x="14"/>
        <item x="5"/>
        <item x="15"/>
        <item x="4"/>
        <item x="10"/>
        <item x="19"/>
        <item x="7"/>
        <item t="default"/>
      </items>
    </pivotField>
    <pivotField name="avec/sans" compact="0" outline="0" multipleItemSelectionAllowed="1" showAll="0">
      <items>
        <item x="0"/>
        <item x="1"/>
        <item t="default"/>
      </items>
    </pivotField>
    <pivotField name="categorie" axis="axisCol" compact="0" outline="0" multipleItemSelectionAllowed="1" showAll="0" sortType="ascending">
      <items>
        <item x="12"/>
        <item x="4"/>
        <item x="2"/>
        <item x="1"/>
        <item x="7"/>
        <item x="6"/>
        <item x="10"/>
        <item h="1" x="8"/>
        <item x="9"/>
        <item x="3"/>
        <item x="5"/>
        <item x="11"/>
        <item h="1" x="0"/>
        <item t="default"/>
      </items>
    </pivotField>
    <pivotField name="president"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2"/>
  </rowFields>
  <colFields>
    <field x="4"/>
  </colFields>
  <dataFields>
    <dataField name="COUNTA of nom des bénéficiaires" fld="0" subtotal="count" baseField="0"/>
  </dataFields>
  <pivotTableStyleInfo name="Google Sheets Pivot Table Style" showRowHeaders="1" showColHeaders="1" showLastColumn="1"/>
</pivotTableDefinition>
</file>

<file path=xl/pivotTables/pivotTable6.xml><?xml version="1.0" encoding="utf-8"?>
<pivotTableDefinition xmlns="http://schemas.openxmlformats.org/spreadsheetml/2006/main" name="analyse5" cacheId="2" dataCaption="" compact="0" compactData="0">
  <location ref="A1:C13" firstHeaderRow="0" firstDataRow="2" firstDataCol="0"/>
  <pivotFields>
    <pivotField name="nom des bénéficiai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t="default"/>
      </items>
    </pivotField>
    <pivotField name="Montant du fonds de concours ou de la subvention (numérai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Prestations en natu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vec/sans" compact="0" outline="0" multipleItemSelectionAllowed="1" showAll="0">
      <items>
        <item x="0"/>
        <item x="1"/>
        <item t="default"/>
      </items>
    </pivotField>
    <pivotField name="categorie" axis="axisRow" compact="0" outline="0" multipleItemSelectionAllowed="1" showAll="0" sortType="ascending">
      <items>
        <item x="12"/>
        <item x="4"/>
        <item x="2"/>
        <item x="1"/>
        <item x="7"/>
        <item x="6"/>
        <item x="10"/>
        <item h="1" x="8"/>
        <item x="9"/>
        <item x="3"/>
        <item x="5"/>
        <item x="11"/>
        <item h="1" x="0"/>
        <item t="default"/>
      </items>
    </pivotField>
    <pivotField name="president"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4"/>
  </rowFields>
  <colFields>
    <field x="-2"/>
  </colFields>
  <dataFields>
    <dataField name="AVERAGE of Montant du fonds de concours ou de la subvention (numéraire)" fld="1" subtotal="average" baseField="0"/>
    <dataField name="COUNTA of nom des bénéficiaires" fld="0" subtotal="count" baseField="0"/>
  </dataFields>
  <pivotTableStyleInfo name="Google Sheets Pivot Table Style" showRowHeaders="1" showColHeaders="1" showLastColumn="1"/>
</pivotTableDefinit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av-lo.co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hyperlink" Target="http://www.av-lo.com"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hyperlink" Target="http://www.av-lo.com"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149" Type="http://schemas.openxmlformats.org/officeDocument/2006/relationships/hyperlink" Target="https://assos.bordeaux.fr/association/detail/1302" TargetMode="External"/><Relationship Id="rId4" Type="http://schemas.openxmlformats.org/officeDocument/2006/relationships/hyperlink" Target="https://assos.bordeaux.fr/association/detail/955" TargetMode="External"/><Relationship Id="rId148" Type="http://schemas.openxmlformats.org/officeDocument/2006/relationships/hyperlink" Target="http://cieyakka.com"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9" Type="http://schemas.openxmlformats.org/officeDocument/2006/relationships/hyperlink" Target="https://assos.bordeaux.fr/association/detail/1394" TargetMode="External"/><Relationship Id="rId143" Type="http://schemas.openxmlformats.org/officeDocument/2006/relationships/hyperlink" Target="https://assos.bordeaux.fr/association/detail/1065" TargetMode="External"/><Relationship Id="rId385" Type="http://schemas.openxmlformats.org/officeDocument/2006/relationships/hyperlink" Target="http://smartcie.com" TargetMode="External"/><Relationship Id="rId1095" Type="http://schemas.openxmlformats.org/officeDocument/2006/relationships/hyperlink" Target="https://assos.bordeaux.fr/association/detail/935" TargetMode="External"/><Relationship Id="rId142" Type="http://schemas.openxmlformats.org/officeDocument/2006/relationships/hyperlink" Target="https://assos.bordeaux.fr/association/detail/1744" TargetMode="External"/><Relationship Id="rId384" Type="http://schemas.openxmlformats.org/officeDocument/2006/relationships/hyperlink" Target="https://assos.bordeaux.fr/association/detail/684" TargetMode="External"/><Relationship Id="rId1096" Type="http://schemas.openxmlformats.org/officeDocument/2006/relationships/hyperlink" Target="https://assos.bordeaux.fr/association/detail/645" TargetMode="External"/><Relationship Id="rId141" Type="http://schemas.openxmlformats.org/officeDocument/2006/relationships/hyperlink" Target="http://girondins-handball.clubeo.com" TargetMode="External"/><Relationship Id="rId383" Type="http://schemas.openxmlformats.org/officeDocument/2006/relationships/hyperlink" Target="http://www.chorale-saint-louis-bordeaux.com" TargetMode="External"/><Relationship Id="rId1097" Type="http://schemas.openxmlformats.org/officeDocument/2006/relationships/hyperlink" Target="https://assos.bordeaux.fr/association/detail/1193" TargetMode="External"/><Relationship Id="rId140" Type="http://schemas.openxmlformats.org/officeDocument/2006/relationships/hyperlink" Target="https://assos.bordeaux.fr/association/detail/1002" TargetMode="External"/><Relationship Id="rId382" Type="http://schemas.openxmlformats.org/officeDocument/2006/relationships/hyperlink" Target="https://assos.bordeaux.fr/association/detail/1320" TargetMode="External"/><Relationship Id="rId1098" Type="http://schemas.openxmlformats.org/officeDocument/2006/relationships/hyperlink" Target="https://assos.bordeaux.fr/association/detail/1283" TargetMode="External"/><Relationship Id="rId5" Type="http://schemas.openxmlformats.org/officeDocument/2006/relationships/hyperlink" Target="https://assos.bordeaux.fr/association/detail/588" TargetMode="External"/><Relationship Id="rId147" Type="http://schemas.openxmlformats.org/officeDocument/2006/relationships/hyperlink" Target="https://assos.bordeaux.fr/association/detail/1378" TargetMode="External"/><Relationship Id="rId389" Type="http://schemas.openxmlformats.org/officeDocument/2006/relationships/hyperlink" Target="https://assos.bordeaux.fr/association/detail/662" TargetMode="External"/><Relationship Id="rId1099" Type="http://schemas.openxmlformats.org/officeDocument/2006/relationships/hyperlink" Target="http://www.forrobordeaux.fr" TargetMode="External"/><Relationship Id="rId6" Type="http://schemas.openxmlformats.org/officeDocument/2006/relationships/hyperlink" Target="https://assos.bordeaux.fr/association/detail/680" TargetMode="External"/><Relationship Id="rId146" Type="http://schemas.openxmlformats.org/officeDocument/2006/relationships/hyperlink" Target="https://assos.bordeaux.fr/association/detail/1520" TargetMode="External"/><Relationship Id="rId388" Type="http://schemas.openxmlformats.org/officeDocument/2006/relationships/hyperlink" Target="https://assos.bordeaux.fr/association/detail/751" TargetMode="External"/><Relationship Id="rId7" Type="http://schemas.openxmlformats.org/officeDocument/2006/relationships/hyperlink" Target="http://cacis-pro.fr" TargetMode="External"/><Relationship Id="rId145" Type="http://schemas.openxmlformats.org/officeDocument/2006/relationships/hyperlink" Target="http://www.act-image.fr" TargetMode="External"/><Relationship Id="rId387" Type="http://schemas.openxmlformats.org/officeDocument/2006/relationships/hyperlink" Target="https://assos.bordeaux.fr/association/detail/776" TargetMode="External"/><Relationship Id="rId8" Type="http://schemas.openxmlformats.org/officeDocument/2006/relationships/hyperlink" Target="https://assos.bordeaux.fr/association/detail/1132" TargetMode="External"/><Relationship Id="rId144" Type="http://schemas.openxmlformats.org/officeDocument/2006/relationships/hyperlink" Target="https://assos.bordeaux.fr/association/detail/685"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379" Type="http://schemas.openxmlformats.org/officeDocument/2006/relationships/hyperlink" Target="https://assos.bordeaux.fr/association/detail/1076"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32" Type="http://schemas.openxmlformats.org/officeDocument/2006/relationships/hyperlink" Target="https://assos.bordeaux.fr/association/detail/618" TargetMode="External"/><Relationship Id="rId374" Type="http://schemas.openxmlformats.org/officeDocument/2006/relationships/hyperlink" Target="https://assos.bordeaux.fr/association/detail/1396" TargetMode="External"/><Relationship Id="rId1084" Type="http://schemas.openxmlformats.org/officeDocument/2006/relationships/hyperlink" Target="https://assos.bordeaux.fr/association/detail/495" TargetMode="External"/><Relationship Id="rId131" Type="http://schemas.openxmlformats.org/officeDocument/2006/relationships/hyperlink" Target="https://assos.bordeaux.fr/association/detail/613" TargetMode="External"/><Relationship Id="rId373" Type="http://schemas.openxmlformats.org/officeDocument/2006/relationships/hyperlink" Target="https://assos.bordeaux.fr/association/detail/1797" TargetMode="External"/><Relationship Id="rId1085" Type="http://schemas.openxmlformats.org/officeDocument/2006/relationships/hyperlink" Target="http://fr.wikipedia.org/wiki/Zin%C3%A9dine_Zidane" TargetMode="External"/><Relationship Id="rId130" Type="http://schemas.openxmlformats.org/officeDocument/2006/relationships/hyperlink" Target="http://www.viesantemerignac.fr" TargetMode="External"/><Relationship Id="rId372" Type="http://schemas.openxmlformats.org/officeDocument/2006/relationships/hyperlink" Target="https://assos.bordeaux.fr/association/detail/570" TargetMode="External"/><Relationship Id="rId1086" Type="http://schemas.openxmlformats.org/officeDocument/2006/relationships/hyperlink" Target="https://assos.bordeaux.fr/association/detail/861" TargetMode="External"/><Relationship Id="rId371" Type="http://schemas.openxmlformats.org/officeDocument/2006/relationships/hyperlink" Target="https://assos.bordeaux.fr/association/detail/931" TargetMode="External"/><Relationship Id="rId1087" Type="http://schemas.openxmlformats.org/officeDocument/2006/relationships/hyperlink" Target="http://www.latelierchoregraphique.fr" TargetMode="External"/><Relationship Id="rId136" Type="http://schemas.openxmlformats.org/officeDocument/2006/relationships/hyperlink" Target="https://assos.bordeaux.fr/association/detail/1778" TargetMode="External"/><Relationship Id="rId378" Type="http://schemas.openxmlformats.org/officeDocument/2006/relationships/hyperlink" Target="https://assos.bordeaux.fr/association/detail/1691" TargetMode="External"/><Relationship Id="rId1088" Type="http://schemas.openxmlformats.org/officeDocument/2006/relationships/hyperlink" Target="https://assos.bordeaux.fr/association/detail/1260" TargetMode="External"/><Relationship Id="rId135" Type="http://schemas.openxmlformats.org/officeDocument/2006/relationships/hyperlink" Target="http://www.secourspopulaire.fr/33" TargetMode="External"/><Relationship Id="rId377" Type="http://schemas.openxmlformats.org/officeDocument/2006/relationships/hyperlink" Target="https://assos.bordeaux.fr/association/detail/1102" TargetMode="External"/><Relationship Id="rId1089" Type="http://schemas.openxmlformats.org/officeDocument/2006/relationships/hyperlink" Target="https://assos.bordeaux.fr/association/detail/1291" TargetMode="External"/><Relationship Id="rId134" Type="http://schemas.openxmlformats.org/officeDocument/2006/relationships/hyperlink" Target="https://assos.bordeaux.fr/association/detail/996" TargetMode="External"/><Relationship Id="rId376" Type="http://schemas.openxmlformats.org/officeDocument/2006/relationships/hyperlink" Target="http://www.aides.org" TargetMode="External"/><Relationship Id="rId133" Type="http://schemas.openxmlformats.org/officeDocument/2006/relationships/hyperlink" Target="http://www.orchestrepapageno.com" TargetMode="External"/><Relationship Id="rId375" Type="http://schemas.openxmlformats.org/officeDocument/2006/relationships/hyperlink" Target="https://assos.bordeaux.fr/association/detail/1087"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396" Type="http://schemas.openxmlformats.org/officeDocument/2006/relationships/hyperlink" Target="http://www.maitrisedebordeaux.com" TargetMode="External"/><Relationship Id="rId153" Type="http://schemas.openxmlformats.org/officeDocument/2006/relationships/hyperlink" Target="https://assos.bordeaux.fr/association/detail/619" TargetMode="External"/><Relationship Id="rId395" Type="http://schemas.openxmlformats.org/officeDocument/2006/relationships/hyperlink" Target="https://assos.bordeaux.fr/association/detail/1349" TargetMode="External"/><Relationship Id="rId152" Type="http://schemas.openxmlformats.org/officeDocument/2006/relationships/hyperlink" Target="https://assos.bordeaux.fr/association/detail/514" TargetMode="External"/><Relationship Id="rId394" Type="http://schemas.openxmlformats.org/officeDocument/2006/relationships/hyperlink" Target="https://assos.bordeaux.fr/association/detail/929" TargetMode="External"/><Relationship Id="rId151" Type="http://schemas.openxmlformats.org/officeDocument/2006/relationships/hyperlink" Target="https://assos.bordeaux.fr/association/detail/1432" TargetMode="External"/><Relationship Id="rId393" Type="http://schemas.openxmlformats.org/officeDocument/2006/relationships/hyperlink" Target="http://www.afep-asso.fr"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399" Type="http://schemas.openxmlformats.org/officeDocument/2006/relationships/hyperlink" Target="https://assos.bordeaux.fr/association/detail/1354" TargetMode="External"/><Relationship Id="rId156" Type="http://schemas.openxmlformats.org/officeDocument/2006/relationships/hyperlink" Target="http://www.coursastrologiebordeaux.fr" TargetMode="External"/><Relationship Id="rId398" Type="http://schemas.openxmlformats.org/officeDocument/2006/relationships/hyperlink" Target="http://kansoelissar.wixsite.com/connectif" TargetMode="External"/><Relationship Id="rId155" Type="http://schemas.openxmlformats.org/officeDocument/2006/relationships/hyperlink" Target="https://assos.bordeaux.fr/association/detail/1638" TargetMode="External"/><Relationship Id="rId397" Type="http://schemas.openxmlformats.org/officeDocument/2006/relationships/hyperlink" Target="https://assos.bordeaux.fr/association/detail/1626"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40" Type="http://schemas.openxmlformats.org/officeDocument/2006/relationships/hyperlink" Target="http://www.associationodyssee.fr"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42" Type="http://schemas.openxmlformats.org/officeDocument/2006/relationships/hyperlink" Target="http://www.lacdo.org" TargetMode="External"/><Relationship Id="rId1336" Type="http://schemas.openxmlformats.org/officeDocument/2006/relationships/hyperlink" Target="http://www.romie-esteves.com/compagnie-la-marginaire" TargetMode="External"/><Relationship Id="rId41" Type="http://schemas.openxmlformats.org/officeDocument/2006/relationships/hyperlink" Target="https://assos.bordeaux.fr/association/detail/782" TargetMode="External"/><Relationship Id="rId1337" Type="http://schemas.openxmlformats.org/officeDocument/2006/relationships/hyperlink" Target="https://assos.bordeaux.fr/association/detail/1123" TargetMode="External"/><Relationship Id="rId44" Type="http://schemas.openxmlformats.org/officeDocument/2006/relationships/hyperlink" Target="http://optimomesloisirs.com" TargetMode="External"/><Relationship Id="rId1338" Type="http://schemas.openxmlformats.org/officeDocument/2006/relationships/hyperlink" Target="https://assos.bordeaux.fr/association/detail/1326" TargetMode="External"/><Relationship Id="rId43" Type="http://schemas.openxmlformats.org/officeDocument/2006/relationships/hyperlink" Target="https://assos.bordeaux.fr/association/detail/1042" TargetMode="External"/><Relationship Id="rId1339" Type="http://schemas.openxmlformats.org/officeDocument/2006/relationships/hyperlink" Target="https://assos.bordeaux.fr/association/detail/1039"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745" Type="http://schemas.openxmlformats.org/officeDocument/2006/relationships/hyperlink" Target="http://www.icbordeaux.fr" TargetMode="External"/><Relationship Id="rId987" Type="http://schemas.openxmlformats.org/officeDocument/2006/relationships/hyperlink" Target="https://assos.bordeaux.fr/association/detail/953" TargetMode="External"/><Relationship Id="rId502" Type="http://schemas.openxmlformats.org/officeDocument/2006/relationships/hyperlink" Target="https://assos.bordeaux.fr/association/detail/794" TargetMode="External"/><Relationship Id="rId744" Type="http://schemas.openxmlformats.org/officeDocument/2006/relationships/hyperlink" Target="https://assos.bordeaux.fr/association/detail/714" TargetMode="External"/><Relationship Id="rId986" Type="http://schemas.openxmlformats.org/officeDocument/2006/relationships/hyperlink" Target="https://assos.bordeaux.fr/association/detail/923" TargetMode="External"/><Relationship Id="rId501" Type="http://schemas.openxmlformats.org/officeDocument/2006/relationships/hyperlink" Target="http://ensembleorfeo.fr" TargetMode="External"/><Relationship Id="rId743" Type="http://schemas.openxmlformats.org/officeDocument/2006/relationships/hyperlink" Target="http://kalinagoblog.blogspot.com" TargetMode="External"/><Relationship Id="rId985" Type="http://schemas.openxmlformats.org/officeDocument/2006/relationships/hyperlink" Target="https://assos.bordeaux.fr/association/detail/1113" TargetMode="External"/><Relationship Id="rId500" Type="http://schemas.openxmlformats.org/officeDocument/2006/relationships/hyperlink" Target="https://assos.bordeaux.fr/association/detail/1455" TargetMode="External"/><Relationship Id="rId742" Type="http://schemas.openxmlformats.org/officeDocument/2006/relationships/hyperlink" Target="https://assos.bordeaux.fr/association/detail/950" TargetMode="External"/><Relationship Id="rId984" Type="http://schemas.openxmlformats.org/officeDocument/2006/relationships/hyperlink" Target="http://moovens.net/cours-roller" TargetMode="External"/><Relationship Id="rId507" Type="http://schemas.openxmlformats.org/officeDocument/2006/relationships/hyperlink" Target="https://assos.bordeaux.fr/association/detail/655" TargetMode="External"/><Relationship Id="rId749" Type="http://schemas.openxmlformats.org/officeDocument/2006/relationships/hyperlink" Target="https://assos.bordeaux.fr/association/detail/1400" TargetMode="External"/><Relationship Id="rId506" Type="http://schemas.openxmlformats.org/officeDocument/2006/relationships/hyperlink" Target="https://assos.bordeaux.fr/association/detail/1062" TargetMode="External"/><Relationship Id="rId748" Type="http://schemas.openxmlformats.org/officeDocument/2006/relationships/hyperlink" Target="http://musartconcept.com" TargetMode="External"/><Relationship Id="rId505" Type="http://schemas.openxmlformats.org/officeDocument/2006/relationships/hyperlink" Target="https://assos.bordeaux.fr/association/detail/1066" TargetMode="External"/><Relationship Id="rId747" Type="http://schemas.openxmlformats.org/officeDocument/2006/relationships/hyperlink" Target="https://assos.bordeaux.fr/association/detail/1431" TargetMode="External"/><Relationship Id="rId989" Type="http://schemas.openxmlformats.org/officeDocument/2006/relationships/hyperlink" Target="https://assos.bordeaux.fr/association/detail/1297" TargetMode="External"/><Relationship Id="rId504" Type="http://schemas.openxmlformats.org/officeDocument/2006/relationships/hyperlink" Target="https://assos.bordeaux.fr/association/detail/1001" TargetMode="External"/><Relationship Id="rId746" Type="http://schemas.openxmlformats.org/officeDocument/2006/relationships/hyperlink" Target="https://assos.bordeaux.fr/association/detail/1064" TargetMode="External"/><Relationship Id="rId988" Type="http://schemas.openxmlformats.org/officeDocument/2006/relationships/hyperlink" Target="http://www.dda-aquitaine.org"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741" Type="http://schemas.openxmlformats.org/officeDocument/2006/relationships/hyperlink" Target="http://orga-positives.com" TargetMode="External"/><Relationship Id="rId983" Type="http://schemas.openxmlformats.org/officeDocument/2006/relationships/hyperlink" Target="https://assos.bordeaux.fr/association/detail/1681"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982" Type="http://schemas.openxmlformats.org/officeDocument/2006/relationships/hyperlink" Target="https://assos.bordeaux.fr/association/detail/1173" TargetMode="External"/><Relationship Id="rId1331" Type="http://schemas.openxmlformats.org/officeDocument/2006/relationships/hyperlink" Target="https://assos.bordeaux.fr/association/detail/1247" TargetMode="External"/><Relationship Id="rId981" Type="http://schemas.openxmlformats.org/officeDocument/2006/relationships/hyperlink" Target="https://assos.bordeaux.fr/association/detail/806" TargetMode="External"/><Relationship Id="rId1332" Type="http://schemas.openxmlformats.org/officeDocument/2006/relationships/hyperlink" Target="http://www.bordeaux-entrepreneurs.com" TargetMode="External"/><Relationship Id="rId980" Type="http://schemas.openxmlformats.org/officeDocument/2006/relationships/hyperlink" Target="http://hnord.org"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31" Type="http://schemas.openxmlformats.org/officeDocument/2006/relationships/hyperlink" Target="https://assos.bordeaux.fr/association/detail/711" TargetMode="External"/><Relationship Id="rId1325" Type="http://schemas.openxmlformats.org/officeDocument/2006/relationships/hyperlink" Target="http://9-33.fr" TargetMode="External"/><Relationship Id="rId30" Type="http://schemas.openxmlformats.org/officeDocument/2006/relationships/hyperlink" Target="https://assos.bordeaux.fr/association/detail/1227" TargetMode="External"/><Relationship Id="rId1326" Type="http://schemas.openxmlformats.org/officeDocument/2006/relationships/hyperlink" Target="https://assos.bordeaux.fr/association/detail/1512" TargetMode="External"/><Relationship Id="rId33" Type="http://schemas.openxmlformats.org/officeDocument/2006/relationships/hyperlink" Target="https://assos.bordeaux.fr/association/detail/974" TargetMode="External"/><Relationship Id="rId1327" Type="http://schemas.openxmlformats.org/officeDocument/2006/relationships/hyperlink" Target="https://assos.bordeaux.fr/association/detail/896" TargetMode="External"/><Relationship Id="rId32" Type="http://schemas.openxmlformats.org/officeDocument/2006/relationships/hyperlink" Target="http://www.fdh.org" TargetMode="External"/><Relationship Id="rId1328" Type="http://schemas.openxmlformats.org/officeDocument/2006/relationships/hyperlink" Target="http://www.danceinwest.fr" TargetMode="External"/><Relationship Id="rId35" Type="http://schemas.openxmlformats.org/officeDocument/2006/relationships/hyperlink" Target="https://assos.bordeaux.fr/association/detail/1199" TargetMode="External"/><Relationship Id="rId1329" Type="http://schemas.openxmlformats.org/officeDocument/2006/relationships/hyperlink" Target="https://assos.bordeaux.fr/association/detail/1268" TargetMode="External"/><Relationship Id="rId34" Type="http://schemas.openxmlformats.org/officeDocument/2006/relationships/hyperlink" Target="http://www.philospheres.org"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976" Type="http://schemas.openxmlformats.org/officeDocument/2006/relationships/hyperlink" Target="http://www.bordeaux-usa.com" TargetMode="External"/><Relationship Id="rId733" Type="http://schemas.openxmlformats.org/officeDocument/2006/relationships/hyperlink" Target="http://www.cietiberghien.com" TargetMode="External"/><Relationship Id="rId975" Type="http://schemas.openxmlformats.org/officeDocument/2006/relationships/hyperlink" Target="https://assos.bordeaux.fr/association/detail/620" TargetMode="External"/><Relationship Id="rId732" Type="http://schemas.openxmlformats.org/officeDocument/2006/relationships/hyperlink" Target="https://assos.bordeaux.fr/association/detail/594" TargetMode="External"/><Relationship Id="rId974" Type="http://schemas.openxmlformats.org/officeDocument/2006/relationships/hyperlink" Target="https://assos.bordeaux.fr/association/detail/865" TargetMode="External"/><Relationship Id="rId731" Type="http://schemas.openxmlformats.org/officeDocument/2006/relationships/hyperlink" Target="http://www.retraites-hospitaliers.fr" TargetMode="External"/><Relationship Id="rId973" Type="http://schemas.openxmlformats.org/officeDocument/2006/relationships/hyperlink" Target="http://www.logement-solidaire.org"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979" Type="http://schemas.openxmlformats.org/officeDocument/2006/relationships/hyperlink" Target="https://assos.bordeaux.fr/association/detail/1008" TargetMode="External"/><Relationship Id="rId736" Type="http://schemas.openxmlformats.org/officeDocument/2006/relationships/hyperlink" Target="https://assos.bordeaux.fr/association/detail/674" TargetMode="External"/><Relationship Id="rId978" Type="http://schemas.openxmlformats.org/officeDocument/2006/relationships/hyperlink" Target="https://assos.bordeaux.fr/association/detail/815" TargetMode="External"/><Relationship Id="rId735" Type="http://schemas.openxmlformats.org/officeDocument/2006/relationships/hyperlink" Target="http://www.so-k-danse.fr" TargetMode="External"/><Relationship Id="rId977" Type="http://schemas.openxmlformats.org/officeDocument/2006/relationships/hyperlink" Target="https://assos.bordeaux.fr/association/detail/1003"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730" Type="http://schemas.openxmlformats.org/officeDocument/2006/relationships/hyperlink" Target="https://assos.bordeaux.fr/association/detail/1609"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1320" Type="http://schemas.openxmlformats.org/officeDocument/2006/relationships/hyperlink" Target="https://assos.bordeaux.fr/association/detail/1238" TargetMode="External"/><Relationship Id="rId970" Type="http://schemas.openxmlformats.org/officeDocument/2006/relationships/hyperlink" Target="https://assos.bordeaux.fr/association/detail/1105"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20" Type="http://schemas.openxmlformats.org/officeDocument/2006/relationships/hyperlink" Target="http://www.bxaespritvoile.fr"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22" Type="http://schemas.openxmlformats.org/officeDocument/2006/relationships/hyperlink" Target="http://parlecouter.wixsite.com/bordeaux" TargetMode="External"/><Relationship Id="rId1118" Type="http://schemas.openxmlformats.org/officeDocument/2006/relationships/hyperlink" Target="https://assos.bordeaux.fr/association/detail/1458" TargetMode="External"/><Relationship Id="rId21" Type="http://schemas.openxmlformats.org/officeDocument/2006/relationships/hyperlink" Target="https://assos.bordeaux.fr/association/detail/567" TargetMode="External"/><Relationship Id="rId1119" Type="http://schemas.openxmlformats.org/officeDocument/2006/relationships/hyperlink" Target="https://assos.bordeaux.fr/association/detail/978"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525" Type="http://schemas.openxmlformats.org/officeDocument/2006/relationships/hyperlink" Target="http://www.actionjazz.fr" TargetMode="External"/><Relationship Id="rId767" Type="http://schemas.openxmlformats.org/officeDocument/2006/relationships/hyperlink" Target="http://www.gaytedechoeur.org" TargetMode="External"/><Relationship Id="rId524" Type="http://schemas.openxmlformats.org/officeDocument/2006/relationships/hyperlink" Target="https://assos.bordeaux.fr/association/detail/1009" TargetMode="External"/><Relationship Id="rId766" Type="http://schemas.openxmlformats.org/officeDocument/2006/relationships/hyperlink" Target="https://assos.bordeaux.fr/association/detail/1798" TargetMode="External"/><Relationship Id="rId523" Type="http://schemas.openxmlformats.org/officeDocument/2006/relationships/hyperlink" Target="http://www.anpeip.org/choisir-sa-region/aquitaine" TargetMode="External"/><Relationship Id="rId765" Type="http://schemas.openxmlformats.org/officeDocument/2006/relationships/hyperlink" Target="http://www.comenfrance.net" TargetMode="External"/><Relationship Id="rId522" Type="http://schemas.openxmlformats.org/officeDocument/2006/relationships/hyperlink" Target="https://assos.bordeaux.fr/association/detail/1662" TargetMode="External"/><Relationship Id="rId764" Type="http://schemas.openxmlformats.org/officeDocument/2006/relationships/hyperlink" Target="https://assos.bordeaux.fr/association/detail/1610"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769" Type="http://schemas.openxmlformats.org/officeDocument/2006/relationships/hyperlink" Target="https://assos.bordeaux.fr/association/detail/1745" TargetMode="External"/><Relationship Id="rId526" Type="http://schemas.openxmlformats.org/officeDocument/2006/relationships/hyperlink" Target="https://assos.bordeaux.fr/association/detail/916" TargetMode="External"/><Relationship Id="rId768" Type="http://schemas.openxmlformats.org/officeDocument/2006/relationships/hyperlink" Target="https://assos.bordeaux.fr/association/detail/617"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1350" Type="http://schemas.openxmlformats.org/officeDocument/2006/relationships/hyperlink" Target="https://assos.bordeaux.fr/association/detail/550" TargetMode="External"/><Relationship Id="rId27" Type="http://schemas.openxmlformats.org/officeDocument/2006/relationships/hyperlink" Target="https://assos.bordeaux.fr/association/detail/1317" TargetMode="External"/><Relationship Id="rId1351" Type="http://schemas.openxmlformats.org/officeDocument/2006/relationships/hyperlink" Target="http://www.chant-libre.org" TargetMode="External"/><Relationship Id="rId521" Type="http://schemas.openxmlformats.org/officeDocument/2006/relationships/hyperlink" Target="https://assos.bordeaux.fr/association/detail/669" TargetMode="External"/><Relationship Id="rId763" Type="http://schemas.openxmlformats.org/officeDocument/2006/relationships/hyperlink" Target="http://www.nvl-larevue.fr" TargetMode="External"/><Relationship Id="rId1110" Type="http://schemas.openxmlformats.org/officeDocument/2006/relationships/hyperlink" Target="http://sambamwanas.wordpress.com" TargetMode="External"/><Relationship Id="rId1352" Type="http://schemas.openxmlformats.org/officeDocument/2006/relationships/drawing" Target="../drawings/drawing16.xml"/><Relationship Id="rId29" Type="http://schemas.openxmlformats.org/officeDocument/2006/relationships/hyperlink" Target="https://assos.bordeaux.fr/association/detail/1258" TargetMode="External"/><Relationship Id="rId520" Type="http://schemas.openxmlformats.org/officeDocument/2006/relationships/hyperlink" Target="http://www.bordeauxmasschoir.com" TargetMode="External"/><Relationship Id="rId762" Type="http://schemas.openxmlformats.org/officeDocument/2006/relationships/hyperlink" Target="https://assos.bordeaux.fr/association/detail/575" TargetMode="External"/><Relationship Id="rId1111" Type="http://schemas.openxmlformats.org/officeDocument/2006/relationships/hyperlink" Target="https://assos.bordeaux.fr/association/detail/1583" TargetMode="External"/><Relationship Id="rId761" Type="http://schemas.openxmlformats.org/officeDocument/2006/relationships/hyperlink" Target="http://www.innovactionpedagogique.com" TargetMode="External"/><Relationship Id="rId1112" Type="http://schemas.openxmlformats.org/officeDocument/2006/relationships/hyperlink" Target="http://impactheatre.com" TargetMode="External"/><Relationship Id="rId760" Type="http://schemas.openxmlformats.org/officeDocument/2006/relationships/hyperlink" Target="https://assos.bordeaux.fr/association/detail/954"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345" Type="http://schemas.openxmlformats.org/officeDocument/2006/relationships/hyperlink" Target="http://www.biodanzabordeaux.com" TargetMode="External"/><Relationship Id="rId1104" Type="http://schemas.openxmlformats.org/officeDocument/2006/relationships/hyperlink" Target="https://assos.bordeaux.fr/association/detail/740" TargetMode="External"/><Relationship Id="rId1346" Type="http://schemas.openxmlformats.org/officeDocument/2006/relationships/hyperlink" Target="https://assos.bordeaux.fr/association/detail/1574" TargetMode="External"/><Relationship Id="rId1105" Type="http://schemas.openxmlformats.org/officeDocument/2006/relationships/hyperlink" Target="http://www.amoc-asso.com" TargetMode="External"/><Relationship Id="rId1347" Type="http://schemas.openxmlformats.org/officeDocument/2006/relationships/hyperlink" Target="https://assos.bordeaux.fr/association/detail/1603" TargetMode="External"/><Relationship Id="rId1106" Type="http://schemas.openxmlformats.org/officeDocument/2006/relationships/hyperlink" Target="https://assos.bordeaux.fr/association/detail/884" TargetMode="External"/><Relationship Id="rId1348" Type="http://schemas.openxmlformats.org/officeDocument/2006/relationships/hyperlink" Target="http://www.latelierbudgetaire.org" TargetMode="External"/><Relationship Id="rId11" Type="http://schemas.openxmlformats.org/officeDocument/2006/relationships/hyperlink" Target="http://lescrayonneuses.com" TargetMode="External"/><Relationship Id="rId1107" Type="http://schemas.openxmlformats.org/officeDocument/2006/relationships/hyperlink" Target="https://assos.bordeaux.fr/association/detail/1808" TargetMode="External"/><Relationship Id="rId1349" Type="http://schemas.openxmlformats.org/officeDocument/2006/relationships/hyperlink" Target="https://assos.bordeaux.fr/association/detail/907" TargetMode="External"/><Relationship Id="rId10" Type="http://schemas.openxmlformats.org/officeDocument/2006/relationships/hyperlink" Target="https://assos.bordeaux.fr/association/detail/1820" TargetMode="External"/><Relationship Id="rId1108" Type="http://schemas.openxmlformats.org/officeDocument/2006/relationships/hyperlink" Target="http://www.facebook.com/acroswingduo" TargetMode="External"/><Relationship Id="rId13" Type="http://schemas.openxmlformats.org/officeDocument/2006/relationships/hyperlink" Target="https://assos.bordeaux.fr/association/detail/713" TargetMode="External"/><Relationship Id="rId1109" Type="http://schemas.openxmlformats.org/officeDocument/2006/relationships/hyperlink" Target="https://assos.bordeaux.fr/association/detail/846" TargetMode="External"/><Relationship Id="rId12" Type="http://schemas.openxmlformats.org/officeDocument/2006/relationships/hyperlink" Target="https://assos.bordeaux.fr/association/detail/515"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756" Type="http://schemas.openxmlformats.org/officeDocument/2006/relationships/hyperlink" Target="http://www.compagniecrazyr.com" TargetMode="External"/><Relationship Id="rId998" Type="http://schemas.openxmlformats.org/officeDocument/2006/relationships/hyperlink" Target="http://www.libertedetresoi.fr" TargetMode="External"/><Relationship Id="rId513" Type="http://schemas.openxmlformats.org/officeDocument/2006/relationships/hyperlink" Target="http://www.amereve-aquitaine.org" TargetMode="External"/><Relationship Id="rId755" Type="http://schemas.openxmlformats.org/officeDocument/2006/relationships/hyperlink" Target="https://assos.bordeaux.fr/association/detail/881" TargetMode="External"/><Relationship Id="rId997" Type="http://schemas.openxmlformats.org/officeDocument/2006/relationships/hyperlink" Target="https://assos.bordeaux.fr/association/detail/1522" TargetMode="External"/><Relationship Id="rId512" Type="http://schemas.openxmlformats.org/officeDocument/2006/relationships/hyperlink" Target="https://assos.bordeaux.fr/association/detail/629" TargetMode="External"/><Relationship Id="rId754" Type="http://schemas.openxmlformats.org/officeDocument/2006/relationships/hyperlink" Target="http://gvmontesquieubordeaux.weebly.com" TargetMode="External"/><Relationship Id="rId996" Type="http://schemas.openxmlformats.org/officeDocument/2006/relationships/hyperlink" Target="http://www.ateliernorarth.canalblog.com" TargetMode="External"/><Relationship Id="rId511" Type="http://schemas.openxmlformats.org/officeDocument/2006/relationships/hyperlink" Target="http://www.archersdebordeaux-guyenne.com" TargetMode="External"/><Relationship Id="rId753" Type="http://schemas.openxmlformats.org/officeDocument/2006/relationships/hyperlink" Target="https://assos.bordeaux.fr/association/detail/1126" TargetMode="External"/><Relationship Id="rId995" Type="http://schemas.openxmlformats.org/officeDocument/2006/relationships/hyperlink" Target="https://assos.bordeaux.fr/association/detail/1614"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759" Type="http://schemas.openxmlformats.org/officeDocument/2006/relationships/hyperlink" Target="https://assos.bordeaux.fr/association/detail/759" TargetMode="External"/><Relationship Id="rId516" Type="http://schemas.openxmlformats.org/officeDocument/2006/relationships/hyperlink" Target="https://assos.bordeaux.fr/association/detail/948" TargetMode="External"/><Relationship Id="rId758" Type="http://schemas.openxmlformats.org/officeDocument/2006/relationships/hyperlink" Target="http://www.totocheprod.fr" TargetMode="External"/><Relationship Id="rId515" Type="http://schemas.openxmlformats.org/officeDocument/2006/relationships/hyperlink" Target="http://www.groupedescinq.fr" TargetMode="External"/><Relationship Id="rId757" Type="http://schemas.openxmlformats.org/officeDocument/2006/relationships/hyperlink" Target="https://assos.bordeaux.fr/association/detail/1281" TargetMode="External"/><Relationship Id="rId999" Type="http://schemas.openxmlformats.org/officeDocument/2006/relationships/hyperlink" Target="https://assos.bordeaux.fr/association/detail/606" TargetMode="External"/><Relationship Id="rId15" Type="http://schemas.openxmlformats.org/officeDocument/2006/relationships/hyperlink" Target="https://assos.bordeaux.fr/association/detail/1405" TargetMode="External"/><Relationship Id="rId990" Type="http://schemas.openxmlformats.org/officeDocument/2006/relationships/hyperlink" Target="http://www.aprelik.fr"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340" Type="http://schemas.openxmlformats.org/officeDocument/2006/relationships/hyperlink" Target="http://inpeaceevent.org" TargetMode="External"/><Relationship Id="rId19" Type="http://schemas.openxmlformats.org/officeDocument/2006/relationships/hyperlink" Target="https://assos.bordeaux.fr/association/detail/1053" TargetMode="External"/><Relationship Id="rId510" Type="http://schemas.openxmlformats.org/officeDocument/2006/relationships/hyperlink" Target="https://assos.bordeaux.fr/association/detail/736" TargetMode="External"/><Relationship Id="rId752" Type="http://schemas.openxmlformats.org/officeDocument/2006/relationships/hyperlink" Target="http://createca.free.fr" TargetMode="External"/><Relationship Id="rId994" Type="http://schemas.openxmlformats.org/officeDocument/2006/relationships/hyperlink" Target="http://www.bordeaux-hatha-yoga-bien-etre.com" TargetMode="External"/><Relationship Id="rId1341" Type="http://schemas.openxmlformats.org/officeDocument/2006/relationships/hyperlink" Target="https://assos.bordeaux.fr/association/detail/1676" TargetMode="External"/><Relationship Id="rId18" Type="http://schemas.openxmlformats.org/officeDocument/2006/relationships/hyperlink" Target="http://www.saint-bruno.org" TargetMode="External"/><Relationship Id="rId751" Type="http://schemas.openxmlformats.org/officeDocument/2006/relationships/hyperlink" Target="https://assos.bordeaux.fr/association/detail/658" TargetMode="External"/><Relationship Id="rId993" Type="http://schemas.openxmlformats.org/officeDocument/2006/relationships/hyperlink" Target="https://assos.bordeaux.fr/association/detail/572" TargetMode="External"/><Relationship Id="rId1100" Type="http://schemas.openxmlformats.org/officeDocument/2006/relationships/hyperlink" Target="https://assos.bordeaux.fr/association/detail/1412"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992" Type="http://schemas.openxmlformats.org/officeDocument/2006/relationships/hyperlink" Target="http://www.assem-aquitaine.com" TargetMode="External"/><Relationship Id="rId1101" Type="http://schemas.openxmlformats.org/officeDocument/2006/relationships/hyperlink" Target="https://assos.bordeaux.fr/association/detail/1677" TargetMode="External"/><Relationship Id="rId1343" Type="http://schemas.openxmlformats.org/officeDocument/2006/relationships/hyperlink" Target="https://assos.bordeaux.fr/association/detail/908" TargetMode="External"/><Relationship Id="rId991" Type="http://schemas.openxmlformats.org/officeDocument/2006/relationships/hyperlink" Target="https://assos.bordeaux.fr/association/detail/518" TargetMode="External"/><Relationship Id="rId1102" Type="http://schemas.openxmlformats.org/officeDocument/2006/relationships/hyperlink" Target="http://www.afrisol-eco-developpement.fr" TargetMode="External"/><Relationship Id="rId1344" Type="http://schemas.openxmlformats.org/officeDocument/2006/relationships/hyperlink" Target="https://assos.bordeaux.fr/association/detail/971"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949" Type="http://schemas.openxmlformats.org/officeDocument/2006/relationships/hyperlink" Target="https://assos.bordeaux.fr/association/detail/1625" TargetMode="External"/><Relationship Id="rId706" Type="http://schemas.openxmlformats.org/officeDocument/2006/relationships/hyperlink" Target="http://www.lepetitplateau.weebly.com" TargetMode="External"/><Relationship Id="rId948" Type="http://schemas.openxmlformats.org/officeDocument/2006/relationships/hyperlink" Target="http://www.renaissance-orgue.fr"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01" Type="http://schemas.openxmlformats.org/officeDocument/2006/relationships/hyperlink" Target="http://www.culturesducoeur.org" TargetMode="External"/><Relationship Id="rId943" Type="http://schemas.openxmlformats.org/officeDocument/2006/relationships/hyperlink" Target="https://assos.bordeaux.fr/association/detail/663" TargetMode="External"/><Relationship Id="rId700" Type="http://schemas.openxmlformats.org/officeDocument/2006/relationships/hyperlink" Target="https://assos.bordeaux.fr/association/detail/1308"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705" Type="http://schemas.openxmlformats.org/officeDocument/2006/relationships/hyperlink" Target="https://assos.bordeaux.fr/association/detail/1420" TargetMode="External"/><Relationship Id="rId947" Type="http://schemas.openxmlformats.org/officeDocument/2006/relationships/hyperlink" Target="https://assos.bordeaux.fr/association/detail/1746" TargetMode="External"/><Relationship Id="rId704" Type="http://schemas.openxmlformats.org/officeDocument/2006/relationships/hyperlink" Target="http://www.studio-theatre71.fr" TargetMode="External"/><Relationship Id="rId946" Type="http://schemas.openxmlformats.org/officeDocument/2006/relationships/hyperlink" Target="http://www.anr33.fr" TargetMode="External"/><Relationship Id="rId703" Type="http://schemas.openxmlformats.org/officeDocument/2006/relationships/hyperlink" Target="https://assos.bordeaux.fr/association/detail/1373" TargetMode="External"/><Relationship Id="rId945" Type="http://schemas.openxmlformats.org/officeDocument/2006/relationships/hyperlink" Target="https://assos.bordeaux.fr/association/detail/652" TargetMode="External"/><Relationship Id="rId702" Type="http://schemas.openxmlformats.org/officeDocument/2006/relationships/hyperlink" Target="https://assos.bordeaux.fr/association/detail/1178" TargetMode="External"/><Relationship Id="rId944" Type="http://schemas.openxmlformats.org/officeDocument/2006/relationships/hyperlink" Target="http://theatre-la-lucarne.com"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62" Type="http://schemas.openxmlformats.org/officeDocument/2006/relationships/hyperlink" Target="http://www.associationexpression.com" TargetMode="External"/><Relationship Id="rId1312" Type="http://schemas.openxmlformats.org/officeDocument/2006/relationships/hyperlink" Target="https://assos.bordeaux.fr/association/detail/1305" TargetMode="External"/><Relationship Id="rId61" Type="http://schemas.openxmlformats.org/officeDocument/2006/relationships/hyperlink" Target="https://assos.bordeaux.fr/association/detail/1166" TargetMode="External"/><Relationship Id="rId1313" Type="http://schemas.openxmlformats.org/officeDocument/2006/relationships/hyperlink" Target="https://assos.bordeaux.fr/association/detail/966" TargetMode="External"/><Relationship Id="rId64" Type="http://schemas.openxmlformats.org/officeDocument/2006/relationships/hyperlink" Target="http://www.alliance.asso.fr" TargetMode="External"/><Relationship Id="rId1314" Type="http://schemas.openxmlformats.org/officeDocument/2006/relationships/hyperlink" Target="http://www.arts-martiaux-traditionnels-bordeaux.fr" TargetMode="External"/><Relationship Id="rId63" Type="http://schemas.openxmlformats.org/officeDocument/2006/relationships/hyperlink" Target="https://assos.bordeaux.fr/association/detail/1669" TargetMode="External"/><Relationship Id="rId1315" Type="http://schemas.openxmlformats.org/officeDocument/2006/relationships/hyperlink" Target="https://assos.bordeaux.fr/association/detail/512" TargetMode="External"/><Relationship Id="rId66" Type="http://schemas.openxmlformats.org/officeDocument/2006/relationships/hyperlink" Target="https://assos.bordeaux.fr/association/detail/1072" TargetMode="External"/><Relationship Id="rId1316" Type="http://schemas.openxmlformats.org/officeDocument/2006/relationships/hyperlink" Target="http://www.shaolin-bordeaux.fr" TargetMode="External"/><Relationship Id="rId65" Type="http://schemas.openxmlformats.org/officeDocument/2006/relationships/hyperlink" Target="https://assos.bordeaux.fr/association/detail/593" TargetMode="External"/><Relationship Id="rId1317" Type="http://schemas.openxmlformats.org/officeDocument/2006/relationships/hyperlink" Target="https://assos.bordeaux.fr/association/detail/1248" TargetMode="External"/><Relationship Id="rId68" Type="http://schemas.openxmlformats.org/officeDocument/2006/relationships/hyperlink" Target="https://assos.bordeaux.fr/association/detail/678" TargetMode="External"/><Relationship Id="rId1318" Type="http://schemas.openxmlformats.org/officeDocument/2006/relationships/hyperlink" Target="https://assos.bordeaux.fr/association/detail/1417" TargetMode="External"/><Relationship Id="rId67" Type="http://schemas.openxmlformats.org/officeDocument/2006/relationships/hyperlink" Target="https://assos.bordeaux.fr/association/detail/1706"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60" Type="http://schemas.openxmlformats.org/officeDocument/2006/relationships/hyperlink" Target="https://assos.bordeaux.fr/association/detail/1307" TargetMode="External"/><Relationship Id="rId723" Type="http://schemas.openxmlformats.org/officeDocument/2006/relationships/hyperlink" Target="https://assos.bordeaux.fr/association/detail/1379" TargetMode="External"/><Relationship Id="rId965" Type="http://schemas.openxmlformats.org/officeDocument/2006/relationships/hyperlink" Target="https://assos.bordeaux.fr/association/detail/732" TargetMode="External"/><Relationship Id="rId722" Type="http://schemas.openxmlformats.org/officeDocument/2006/relationships/hyperlink" Target="https://assos.bordeaux.fr/association/detail/885" TargetMode="External"/><Relationship Id="rId964" Type="http://schemas.openxmlformats.org/officeDocument/2006/relationships/hyperlink" Target="https://assos.bordeaux.fr/association/detail/945" TargetMode="External"/><Relationship Id="rId721" Type="http://schemas.openxmlformats.org/officeDocument/2006/relationships/hyperlink" Target="http://www.unriencesttout.org" TargetMode="External"/><Relationship Id="rId963" Type="http://schemas.openxmlformats.org/officeDocument/2006/relationships/hyperlink" Target="https://assos.bordeaux.fr/association/detail/1562" TargetMode="External"/><Relationship Id="rId720" Type="http://schemas.openxmlformats.org/officeDocument/2006/relationships/hyperlink" Target="https://assos.bordeaux.fr/association/detail/1048" TargetMode="External"/><Relationship Id="rId962" Type="http://schemas.openxmlformats.org/officeDocument/2006/relationships/hyperlink" Target="https://assos.bordeaux.fr/association/detail/1111" TargetMode="External"/><Relationship Id="rId727" Type="http://schemas.openxmlformats.org/officeDocument/2006/relationships/hyperlink" Target="https://assos.bordeaux.fr/association/detail/641" TargetMode="External"/><Relationship Id="rId969" Type="http://schemas.openxmlformats.org/officeDocument/2006/relationships/hyperlink" Target="http://www.cam-bordeaux.com" TargetMode="External"/><Relationship Id="rId726" Type="http://schemas.openxmlformats.org/officeDocument/2006/relationships/hyperlink" Target="https://assos.bordeaux.fr/association/detail/888" TargetMode="External"/><Relationship Id="rId968" Type="http://schemas.openxmlformats.org/officeDocument/2006/relationships/hyperlink" Target="https://assos.bordeaux.fr/association/detail/520" TargetMode="External"/><Relationship Id="rId725" Type="http://schemas.openxmlformats.org/officeDocument/2006/relationships/hyperlink" Target="http://www.gironderoumanie.fr" TargetMode="External"/><Relationship Id="rId967" Type="http://schemas.openxmlformats.org/officeDocument/2006/relationships/hyperlink" Target="https://assos.bordeaux.fr/association/detail/1022" TargetMode="External"/><Relationship Id="rId724" Type="http://schemas.openxmlformats.org/officeDocument/2006/relationships/hyperlink" Target="https://assos.bordeaux.fr/association/detail/1544" TargetMode="External"/><Relationship Id="rId966" Type="http://schemas.openxmlformats.org/officeDocument/2006/relationships/hyperlink" Target="http://www.astree.asso.fr" TargetMode="External"/><Relationship Id="rId69" Type="http://schemas.openxmlformats.org/officeDocument/2006/relationships/hyperlink" Target="http://tangonomade.com"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51" Type="http://schemas.openxmlformats.org/officeDocument/2006/relationships/hyperlink" Target="https://assos.bordeaux.fr/association/detail/555" TargetMode="External"/><Relationship Id="rId1301" Type="http://schemas.openxmlformats.org/officeDocument/2006/relationships/hyperlink" Target="https://assos.bordeaux.fr/association/detail/762" TargetMode="External"/><Relationship Id="rId50" Type="http://schemas.openxmlformats.org/officeDocument/2006/relationships/hyperlink" Target="https://assos.bordeaux.fr/association/detail/1734" TargetMode="External"/><Relationship Id="rId1302" Type="http://schemas.openxmlformats.org/officeDocument/2006/relationships/hyperlink" Target="http://www.coqsrouges.fr" TargetMode="External"/><Relationship Id="rId53" Type="http://schemas.openxmlformats.org/officeDocument/2006/relationships/hyperlink" Target="https://assos.bordeaux.fr/association/detail/1182" TargetMode="External"/><Relationship Id="rId1303" Type="http://schemas.openxmlformats.org/officeDocument/2006/relationships/hyperlink" Target="https://assos.bordeaux.fr/association/detail/1100" TargetMode="External"/><Relationship Id="rId52" Type="http://schemas.openxmlformats.org/officeDocument/2006/relationships/hyperlink" Target="http://www.pratikable.com" TargetMode="External"/><Relationship Id="rId1304" Type="http://schemas.openxmlformats.org/officeDocument/2006/relationships/hyperlink" Target="https://assos.bordeaux.fr/association/detail/696" TargetMode="External"/><Relationship Id="rId55" Type="http://schemas.openxmlformats.org/officeDocument/2006/relationships/hyperlink" Target="https://assos.bordeaux.fr/association/detail/668" TargetMode="External"/><Relationship Id="rId1305" Type="http://schemas.openxmlformats.org/officeDocument/2006/relationships/hyperlink" Target="https://assos.bordeaux.fr/association/detail/1093" TargetMode="External"/><Relationship Id="rId54" Type="http://schemas.openxmlformats.org/officeDocument/2006/relationships/hyperlink" Target="https://assos.bordeaux.fr/association/detail/949" TargetMode="External"/><Relationship Id="rId1306" Type="http://schemas.openxmlformats.org/officeDocument/2006/relationships/hyperlink" Target="https://assos.bordeaux.fr/association/detail/1416" TargetMode="External"/><Relationship Id="rId57" Type="http://schemas.openxmlformats.org/officeDocument/2006/relationships/hyperlink" Target="https://assos.bordeaux.fr/association/detail/511" TargetMode="External"/><Relationship Id="rId1307" Type="http://schemas.openxmlformats.org/officeDocument/2006/relationships/hyperlink" Target="http://www.anjpv.org" TargetMode="External"/><Relationship Id="rId56" Type="http://schemas.openxmlformats.org/officeDocument/2006/relationships/hyperlink" Target="http://www.federa33.org/la-federa33"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959" Type="http://schemas.openxmlformats.org/officeDocument/2006/relationships/hyperlink" Target="https://assos.bordeaux.fr/association/detail/983" TargetMode="External"/><Relationship Id="rId712" Type="http://schemas.openxmlformats.org/officeDocument/2006/relationships/hyperlink" Target="https://assos.bordeaux.fr/association/detail/868" TargetMode="External"/><Relationship Id="rId954" Type="http://schemas.openxmlformats.org/officeDocument/2006/relationships/hyperlink" Target="https://assos.bordeaux.fr/association/detail/1668" TargetMode="External"/><Relationship Id="rId711" Type="http://schemas.openxmlformats.org/officeDocument/2006/relationships/hyperlink" Target="https://assos.bordeaux.fr/association/detail/760" TargetMode="External"/><Relationship Id="rId953" Type="http://schemas.openxmlformats.org/officeDocument/2006/relationships/hyperlink" Target="http://cdos33.org" TargetMode="External"/><Relationship Id="rId710" Type="http://schemas.openxmlformats.org/officeDocument/2006/relationships/hyperlink" Target="http://www.jamira.fr"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716" Type="http://schemas.openxmlformats.org/officeDocument/2006/relationships/hyperlink" Target="https://assos.bordeaux.fr/association/detail/1000" TargetMode="External"/><Relationship Id="rId958" Type="http://schemas.openxmlformats.org/officeDocument/2006/relationships/hyperlink" Target="http://www.bec-escrime.fr" TargetMode="External"/><Relationship Id="rId715" Type="http://schemas.openxmlformats.org/officeDocument/2006/relationships/hyperlink" Target="https://assos.bordeaux.fr/association/detail/1719" TargetMode="External"/><Relationship Id="rId957" Type="http://schemas.openxmlformats.org/officeDocument/2006/relationships/hyperlink" Target="https://assos.bordeaux.fr/association/detail/880" TargetMode="External"/><Relationship Id="rId714" Type="http://schemas.openxmlformats.org/officeDocument/2006/relationships/hyperlink" Target="https://assos.bordeaux.fr/association/detail/609" TargetMode="External"/><Relationship Id="rId956" Type="http://schemas.openxmlformats.org/officeDocument/2006/relationships/hyperlink" Target="http://envoldaquitaine.e-monsite.com" TargetMode="External"/><Relationship Id="rId713" Type="http://schemas.openxmlformats.org/officeDocument/2006/relationships/hyperlink" Target="https://assos.bordeaux.fr/association/detail/1273" TargetMode="External"/><Relationship Id="rId955" Type="http://schemas.openxmlformats.org/officeDocument/2006/relationships/hyperlink" Target="https://assos.bordeaux.fr/association/detail/1454"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950" Type="http://schemas.openxmlformats.org/officeDocument/2006/relationships/hyperlink" Target="https://assos.bordeaux.fr/association/detail/733" TargetMode="External"/><Relationship Id="rId1300" Type="http://schemas.openxmlformats.org/officeDocument/2006/relationships/hyperlink" Target="https://assos.bordeaux.fr/association/detail/1540" TargetMode="External"/><Relationship Id="rId590" Type="http://schemas.openxmlformats.org/officeDocument/2006/relationships/hyperlink" Target="https://assos.bordeaux.fr/association/detail/813" TargetMode="External"/><Relationship Id="rId107" Type="http://schemas.openxmlformats.org/officeDocument/2006/relationships/hyperlink" Target="https://assos.bordeaux.fr/association/detail/531" TargetMode="External"/><Relationship Id="rId349" Type="http://schemas.openxmlformats.org/officeDocument/2006/relationships/hyperlink" Target="https://assos.bordeaux.fr/association/detail/522" TargetMode="External"/><Relationship Id="rId106" Type="http://schemas.openxmlformats.org/officeDocument/2006/relationships/hyperlink" Target="https://assos.bordeaux.fr/association/detail/1442" TargetMode="External"/><Relationship Id="rId348" Type="http://schemas.openxmlformats.org/officeDocument/2006/relationships/hyperlink" Target="http://www.pitchoun.org" TargetMode="External"/><Relationship Id="rId105" Type="http://schemas.openxmlformats.org/officeDocument/2006/relationships/hyperlink" Target="http://voilebordeauxlac.fr" TargetMode="External"/><Relationship Id="rId347" Type="http://schemas.openxmlformats.org/officeDocument/2006/relationships/hyperlink" Target="https://assos.bordeaux.fr/association/detail/704" TargetMode="External"/><Relationship Id="rId589" Type="http://schemas.openxmlformats.org/officeDocument/2006/relationships/hyperlink" Target="https://assos.bordeaux.fr/association/detail/632" TargetMode="External"/><Relationship Id="rId104" Type="http://schemas.openxmlformats.org/officeDocument/2006/relationships/hyperlink" Target="https://assos.bordeaux.fr/association/detail/1818" TargetMode="External"/><Relationship Id="rId346" Type="http://schemas.openxmlformats.org/officeDocument/2006/relationships/hyperlink" Target="https://assos.bordeaux.fr/association/detail/1680" TargetMode="External"/><Relationship Id="rId588" Type="http://schemas.openxmlformats.org/officeDocument/2006/relationships/hyperlink" Target="https://assos.bordeaux.fr/association/detail/558" TargetMode="External"/><Relationship Id="rId109" Type="http://schemas.openxmlformats.org/officeDocument/2006/relationships/hyperlink" Target="https://assos.bordeaux.fr/association/detail/838" TargetMode="External"/><Relationship Id="rId1170" Type="http://schemas.openxmlformats.org/officeDocument/2006/relationships/hyperlink" Target="http://www.bordeaux.fr/o65495/le-labb" TargetMode="External"/><Relationship Id="rId108" Type="http://schemas.openxmlformats.org/officeDocument/2006/relationships/hyperlink" Target="https://assos.bordeaux.fr/association/detail/625" TargetMode="External"/><Relationship Id="rId1171" Type="http://schemas.openxmlformats.org/officeDocument/2006/relationships/hyperlink" Target="https://assos.bordeaux.fr/association/detail/1017" TargetMode="External"/><Relationship Id="rId341" Type="http://schemas.openxmlformats.org/officeDocument/2006/relationships/hyperlink" Target="https://assos.bordeaux.fr/association/detail/62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340" Type="http://schemas.openxmlformats.org/officeDocument/2006/relationships/hyperlink" Target="https://assos.bordeaux.fr/association/detail/1809"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103" Type="http://schemas.openxmlformats.org/officeDocument/2006/relationships/hyperlink" Target="http://deuxbouts.org" TargetMode="External"/><Relationship Id="rId345" Type="http://schemas.openxmlformats.org/officeDocument/2006/relationships/hyperlink" Target="https://assos.bordeaux.fr/association/detail/864"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102" Type="http://schemas.openxmlformats.org/officeDocument/2006/relationships/hyperlink" Target="https://assos.bordeaux.fr/association/detail/1821" TargetMode="External"/><Relationship Id="rId344" Type="http://schemas.openxmlformats.org/officeDocument/2006/relationships/hyperlink" Target="http://www.les-embobines.com"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101" Type="http://schemas.openxmlformats.org/officeDocument/2006/relationships/hyperlink" Target="https://assos.bordeaux.fr/association/detail/614" TargetMode="External"/><Relationship Id="rId343" Type="http://schemas.openxmlformats.org/officeDocument/2006/relationships/hyperlink" Target="https://assos.bordeaux.fr/association/detail/1556"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100" Type="http://schemas.openxmlformats.org/officeDocument/2006/relationships/hyperlink" Target="https://assos.bordeaux.fr/association/detail/961" TargetMode="External"/><Relationship Id="rId342" Type="http://schemas.openxmlformats.org/officeDocument/2006/relationships/hyperlink" Target="http://www.afcdam.org"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579" Type="http://schemas.openxmlformats.org/officeDocument/2006/relationships/hyperlink" Target="https://assos.bordeaux.fr/association/detail/995" TargetMode="External"/><Relationship Id="rId336" Type="http://schemas.openxmlformats.org/officeDocument/2006/relationships/hyperlink" Target="https://assos.bordeaux.fr/association/detail/1298" TargetMode="External"/><Relationship Id="rId578" Type="http://schemas.openxmlformats.org/officeDocument/2006/relationships/hyperlink" Target="https://assos.bordeaux.fr/association/detail/1368" TargetMode="External"/><Relationship Id="rId335" Type="http://schemas.openxmlformats.org/officeDocument/2006/relationships/hyperlink" Target="https://assos.bordeaux.fr/association/detail/824" TargetMode="External"/><Relationship Id="rId577" Type="http://schemas.openxmlformats.org/officeDocument/2006/relationships/hyperlink" Target="https://assos.bordeaux.fr/association/detail/1800" TargetMode="External"/><Relationship Id="rId339" Type="http://schemas.openxmlformats.org/officeDocument/2006/relationships/hyperlink" Target="https://assos.bordeaux.fr/association/detail/1799" TargetMode="External"/><Relationship Id="rId1160" Type="http://schemas.openxmlformats.org/officeDocument/2006/relationships/hyperlink" Target="http://formeaujardin.com" TargetMode="External"/><Relationship Id="rId330" Type="http://schemas.openxmlformats.org/officeDocument/2006/relationships/hyperlink" Target="http://www.ukraineamitie.free.fr"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334" Type="http://schemas.openxmlformats.org/officeDocument/2006/relationships/hyperlink" Target="http://www.bordeaux-tango-festival.com"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333" Type="http://schemas.openxmlformats.org/officeDocument/2006/relationships/hyperlink" Target="https://assos.bordeaux.fr/association/detail/1272"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332" Type="http://schemas.openxmlformats.org/officeDocument/2006/relationships/hyperlink" Target="https://assos.bordeaux.fr/association/detail/876"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331" Type="http://schemas.openxmlformats.org/officeDocument/2006/relationships/hyperlink" Target="https://assos.bordeaux.fr/association/detail/1685"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370" Type="http://schemas.openxmlformats.org/officeDocument/2006/relationships/hyperlink" Target="http://umps.fr/index.html"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369" Type="http://schemas.openxmlformats.org/officeDocument/2006/relationships/hyperlink" Target="https://assos.bordeaux.fr/association/detail/789" TargetMode="External"/><Relationship Id="rId126" Type="http://schemas.openxmlformats.org/officeDocument/2006/relationships/hyperlink" Target="https://assos.bordeaux.fr/association/detail/1243" TargetMode="External"/><Relationship Id="rId368" Type="http://schemas.openxmlformats.org/officeDocument/2006/relationships/hyperlink" Target="https://assos.bordeaux.fr/association/detail/720"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21" Type="http://schemas.openxmlformats.org/officeDocument/2006/relationships/hyperlink" Target="https://assos.bordeaux.fr/association/detail/1827" TargetMode="External"/><Relationship Id="rId363" Type="http://schemas.openxmlformats.org/officeDocument/2006/relationships/hyperlink" Target="https://assos.bordeaux.fr/association/detail/1422" TargetMode="External"/><Relationship Id="rId1194" Type="http://schemas.openxmlformats.org/officeDocument/2006/relationships/hyperlink" Target="https://assos.bordeaux.fr/association/detail/539" TargetMode="External"/><Relationship Id="rId120" Type="http://schemas.openxmlformats.org/officeDocument/2006/relationships/hyperlink" Target="https://assos.bordeaux.fr/association/detail/1149" TargetMode="External"/><Relationship Id="rId362" Type="http://schemas.openxmlformats.org/officeDocument/2006/relationships/hyperlink" Target="http://www.udcof33.fr" TargetMode="External"/><Relationship Id="rId1195" Type="http://schemas.openxmlformats.org/officeDocument/2006/relationships/hyperlink" Target="http://www.egee.asso.fr" TargetMode="External"/><Relationship Id="rId361" Type="http://schemas.openxmlformats.org/officeDocument/2006/relationships/hyperlink" Target="https://assos.bordeaux.fr/association/detail/802" TargetMode="External"/><Relationship Id="rId1196" Type="http://schemas.openxmlformats.org/officeDocument/2006/relationships/hyperlink" Target="https://assos.bordeaux.fr/association/detail/883" TargetMode="External"/><Relationship Id="rId360" Type="http://schemas.openxmlformats.org/officeDocument/2006/relationships/hyperlink" Target="https://assos.bordeaux.fr/association/detail/584" TargetMode="External"/><Relationship Id="rId1197" Type="http://schemas.openxmlformats.org/officeDocument/2006/relationships/hyperlink" Target="http://lereh.jimdo.com" TargetMode="External"/><Relationship Id="rId125" Type="http://schemas.openxmlformats.org/officeDocument/2006/relationships/hyperlink" Target="https://assos.bordeaux.fr/association/detail/1323" TargetMode="External"/><Relationship Id="rId367" Type="http://schemas.openxmlformats.org/officeDocument/2006/relationships/hyperlink" Target="https://assos.bordeaux.fr/association/detail/1622" TargetMode="External"/><Relationship Id="rId1198" Type="http://schemas.openxmlformats.org/officeDocument/2006/relationships/hyperlink" Target="https://assos.bordeaux.fr/association/detail/1624" TargetMode="External"/><Relationship Id="rId124" Type="http://schemas.openxmlformats.org/officeDocument/2006/relationships/hyperlink" Target="http://www.danzaevolucion.fr/m" TargetMode="External"/><Relationship Id="rId366" Type="http://schemas.openxmlformats.org/officeDocument/2006/relationships/hyperlink" Target="https://assos.bordeaux.fr/association/detail/900" TargetMode="External"/><Relationship Id="rId1199" Type="http://schemas.openxmlformats.org/officeDocument/2006/relationships/hyperlink" Target="https://assos.bordeaux.fr/association/detail/985" TargetMode="External"/><Relationship Id="rId123" Type="http://schemas.openxmlformats.org/officeDocument/2006/relationships/hyperlink" Target="https://assos.bordeaux.fr/association/detail/965" TargetMode="External"/><Relationship Id="rId365" Type="http://schemas.openxmlformats.org/officeDocument/2006/relationships/hyperlink" Target="https://assos.bordeaux.fr/association/detail/576" TargetMode="External"/><Relationship Id="rId122" Type="http://schemas.openxmlformats.org/officeDocument/2006/relationships/hyperlink" Target="https://assos.bordeaux.fr/association/detail/1785"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359" Type="http://schemas.openxmlformats.org/officeDocument/2006/relationships/hyperlink" Target="https://assos.bordeaux.fr/association/detail/1535" TargetMode="External"/><Relationship Id="rId116" Type="http://schemas.openxmlformats.org/officeDocument/2006/relationships/hyperlink" Target="http://www.we-job.com" TargetMode="External"/><Relationship Id="rId358" Type="http://schemas.openxmlformats.org/officeDocument/2006/relationships/hyperlink" Target="https://assos.bordeaux.fr/association/detail/1459" TargetMode="External"/><Relationship Id="rId115" Type="http://schemas.openxmlformats.org/officeDocument/2006/relationships/hyperlink" Target="https://assos.bordeaux.fr/association/detail/1255" TargetMode="External"/><Relationship Id="rId357" Type="http://schemas.openxmlformats.org/officeDocument/2006/relationships/hyperlink" Target="http://www.acaqb.fr"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9" Type="http://schemas.openxmlformats.org/officeDocument/2006/relationships/hyperlink" Target="https://assos.bordeaux.fr/association/detail/1689" TargetMode="External"/><Relationship Id="rId1182" Type="http://schemas.openxmlformats.org/officeDocument/2006/relationships/hyperlink" Target="https://assos.bordeaux.fr/association/detail/1197" TargetMode="External"/><Relationship Id="rId110" Type="http://schemas.openxmlformats.org/officeDocument/2006/relationships/hyperlink" Target="https://assos.bordeaux.fr/association/detail/820" TargetMode="External"/><Relationship Id="rId352" Type="http://schemas.openxmlformats.org/officeDocument/2006/relationships/hyperlink" Target="https://assos.bordeaux.fr/association/detail/1613"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351" Type="http://schemas.openxmlformats.org/officeDocument/2006/relationships/hyperlink" Target="https://assos.bordeaux.fr/association/detail/1451"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350" Type="http://schemas.openxmlformats.org/officeDocument/2006/relationships/hyperlink" Target="http://www.ukulelebordeaux.com"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114" Type="http://schemas.openxmlformats.org/officeDocument/2006/relationships/hyperlink" Target="https://assos.bordeaux.fr/association/detail/1588" TargetMode="External"/><Relationship Id="rId356" Type="http://schemas.openxmlformats.org/officeDocument/2006/relationships/hyperlink" Target="https://assos.bordeaux.fr/association/detail/750"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113" Type="http://schemas.openxmlformats.org/officeDocument/2006/relationships/hyperlink" Target="http://www.compagnie-leitmotiv.com" TargetMode="External"/><Relationship Id="rId355" Type="http://schemas.openxmlformats.org/officeDocument/2006/relationships/hyperlink" Target="http://europe-bordeaux.eu/fr/accueil"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112" Type="http://schemas.openxmlformats.org/officeDocument/2006/relationships/hyperlink" Target="https://assos.bordeaux.fr/association/detail/805" TargetMode="External"/><Relationship Id="rId354" Type="http://schemas.openxmlformats.org/officeDocument/2006/relationships/hyperlink" Target="https://assos.bordeaux.fr/association/detail/1157"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111" Type="http://schemas.openxmlformats.org/officeDocument/2006/relationships/hyperlink" Target="https://assos.bordeaux.fr/association/detail/778" TargetMode="External"/><Relationship Id="rId353" Type="http://schemas.openxmlformats.org/officeDocument/2006/relationships/hyperlink" Target="https://assos.bordeaux.fr/association/detail/111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305" Type="http://schemas.openxmlformats.org/officeDocument/2006/relationships/hyperlink" Target="https://assos.bordeaux.fr/association/detail/1124" TargetMode="External"/><Relationship Id="rId547" Type="http://schemas.openxmlformats.org/officeDocument/2006/relationships/hyperlink" Target="https://assos.bordeaux.fr/association/detail/1240" TargetMode="External"/><Relationship Id="rId789" Type="http://schemas.openxmlformats.org/officeDocument/2006/relationships/hyperlink" Target="https://assos.bordeaux.fr/association/detail/693" TargetMode="External"/><Relationship Id="rId304" Type="http://schemas.openxmlformats.org/officeDocument/2006/relationships/hyperlink" Target="https://assos.bordeaux.fr/association/detail/1786" TargetMode="External"/><Relationship Id="rId546" Type="http://schemas.openxmlformats.org/officeDocument/2006/relationships/hyperlink" Target="https://assos.bordeaux.fr/association/detail/571" TargetMode="External"/><Relationship Id="rId788" Type="http://schemas.openxmlformats.org/officeDocument/2006/relationships/hyperlink" Target="http://www.saintaugustinavenir.com" TargetMode="External"/><Relationship Id="rId303" Type="http://schemas.openxmlformats.org/officeDocument/2006/relationships/hyperlink" Target="https://assos.bordeaux.fr/association/detail/972" TargetMode="External"/><Relationship Id="rId545" Type="http://schemas.openxmlformats.org/officeDocument/2006/relationships/hyperlink" Target="http://www.collectifbtp.fr" TargetMode="External"/><Relationship Id="rId787" Type="http://schemas.openxmlformats.org/officeDocument/2006/relationships/hyperlink" Target="https://assos.bordeaux.fr/association/detail/1108" TargetMode="External"/><Relationship Id="rId302" Type="http://schemas.openxmlformats.org/officeDocument/2006/relationships/hyperlink" Target="https://assos.bordeaux.fr/association/detail/1656" TargetMode="External"/><Relationship Id="rId544" Type="http://schemas.openxmlformats.org/officeDocument/2006/relationships/hyperlink" Target="https://assos.bordeaux.fr/association/detail/981" TargetMode="External"/><Relationship Id="rId786" Type="http://schemas.openxmlformats.org/officeDocument/2006/relationships/hyperlink" Target="https://assos.bordeaux.fr/association/detail/565"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549" Type="http://schemas.openxmlformats.org/officeDocument/2006/relationships/hyperlink" Target="http://www.aquitaineactive.org" TargetMode="External"/><Relationship Id="rId306" Type="http://schemas.openxmlformats.org/officeDocument/2006/relationships/hyperlink" Target="https://assos.bordeaux.fr/association/detail/1589" TargetMode="External"/><Relationship Id="rId548" Type="http://schemas.openxmlformats.org/officeDocument/2006/relationships/hyperlink" Target="https://assos.bordeaux.fr/association/detail/1306"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301" Type="http://schemas.openxmlformats.org/officeDocument/2006/relationships/hyperlink" Target="http://www.clubhousefrance.org" TargetMode="External"/><Relationship Id="rId543" Type="http://schemas.openxmlformats.org/officeDocument/2006/relationships/hyperlink" Target="https://assos.bordeaux.fr/association/detail/1327" TargetMode="External"/><Relationship Id="rId785" Type="http://schemas.openxmlformats.org/officeDocument/2006/relationships/hyperlink" Target="http://www.compostellegradignan.fr" TargetMode="External"/><Relationship Id="rId1132" Type="http://schemas.openxmlformats.org/officeDocument/2006/relationships/hyperlink" Target="https://assos.bordeaux.fr/association/detail/1807" TargetMode="External"/><Relationship Id="rId300" Type="http://schemas.openxmlformats.org/officeDocument/2006/relationships/hyperlink" Target="https://assos.bordeaux.fr/association/detail/656" TargetMode="External"/><Relationship Id="rId542" Type="http://schemas.openxmlformats.org/officeDocument/2006/relationships/hyperlink" Target="https://assos.bordeaux.fr/association/detail/1234" TargetMode="External"/><Relationship Id="rId784" Type="http://schemas.openxmlformats.org/officeDocument/2006/relationships/hyperlink" Target="https://assos.bordeaux.fr/association/detail/1321"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783" Type="http://schemas.openxmlformats.org/officeDocument/2006/relationships/hyperlink" Target="https://assos.bordeaux.fr/association/detail/989"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782" Type="http://schemas.openxmlformats.org/officeDocument/2006/relationships/hyperlink" Target="http://toutartfaire.com"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778" Type="http://schemas.openxmlformats.org/officeDocument/2006/relationships/hyperlink" Target="https://assos.bordeaux.fr/association/detail/1748" TargetMode="External"/><Relationship Id="rId535" Type="http://schemas.openxmlformats.org/officeDocument/2006/relationships/hyperlink" Target="http://lecoledusamedi.fr" TargetMode="External"/><Relationship Id="rId777" Type="http://schemas.openxmlformats.org/officeDocument/2006/relationships/hyperlink" Target="https://assos.bordeaux.fr/association/detail/1447" TargetMode="External"/><Relationship Id="rId534" Type="http://schemas.openxmlformats.org/officeDocument/2006/relationships/hyperlink" Target="https://assos.bordeaux.fr/association/detail/1693" TargetMode="External"/><Relationship Id="rId776" Type="http://schemas.openxmlformats.org/officeDocument/2006/relationships/hyperlink" Target="http://www.oxygene-asso.fr" TargetMode="External"/><Relationship Id="rId533" Type="http://schemas.openxmlformats.org/officeDocument/2006/relationships/hyperlink" Target="http://www.systemabordeaux.fr" TargetMode="External"/><Relationship Id="rId775" Type="http://schemas.openxmlformats.org/officeDocument/2006/relationships/hyperlink" Target="https://assos.bordeaux.fr/association/detail/1465"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774" Type="http://schemas.openxmlformats.org/officeDocument/2006/relationships/hyperlink" Target="https://assos.bordeaux.fr/association/detail/1770"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773" Type="http://schemas.openxmlformats.org/officeDocument/2006/relationships/hyperlink" Target="https://assos.bordeaux.fr/association/detail/1849"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772" Type="http://schemas.openxmlformats.org/officeDocument/2006/relationships/hyperlink" Target="http://www.cfadage33.fr" TargetMode="External"/><Relationship Id="rId1123" Type="http://schemas.openxmlformats.org/officeDocument/2006/relationships/hyperlink" Target="http://www.cahiersdarchives.fr" TargetMode="External"/><Relationship Id="rId771" Type="http://schemas.openxmlformats.org/officeDocument/2006/relationships/hyperlink" Target="https://assos.bordeaux.fr/association/detail/709"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327" Type="http://schemas.openxmlformats.org/officeDocument/2006/relationships/hyperlink" Target="http://mediagoras.fr/bordeaux" TargetMode="External"/><Relationship Id="rId569" Type="http://schemas.openxmlformats.org/officeDocument/2006/relationships/hyperlink" Target="http://www.cie-revolution.com" TargetMode="External"/><Relationship Id="rId326" Type="http://schemas.openxmlformats.org/officeDocument/2006/relationships/hyperlink" Target="https://assos.bordeaux.fr/association/detail/1692" TargetMode="External"/><Relationship Id="rId568" Type="http://schemas.openxmlformats.org/officeDocument/2006/relationships/hyperlink" Target="https://assos.bordeaux.fr/association/detail/672" TargetMode="External"/><Relationship Id="rId325" Type="http://schemas.openxmlformats.org/officeDocument/2006/relationships/hyperlink" Target="http://www.tapswingandco.fr" TargetMode="External"/><Relationship Id="rId567" Type="http://schemas.openxmlformats.org/officeDocument/2006/relationships/hyperlink" Target="http://www.visuel-lsf.org" TargetMode="External"/><Relationship Id="rId324" Type="http://schemas.openxmlformats.org/officeDocument/2006/relationships/hyperlink" Target="https://assos.bordeaux.fr/association/detail/968" TargetMode="External"/><Relationship Id="rId566" Type="http://schemas.openxmlformats.org/officeDocument/2006/relationships/hyperlink" Target="https://assos.bordeaux.fr/association/detail/906"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323" Type="http://schemas.openxmlformats.org/officeDocument/2006/relationships/hyperlink" Target="https://assos.bordeaux.fr/association/detail/185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322" Type="http://schemas.openxmlformats.org/officeDocument/2006/relationships/hyperlink" Target="https://assos.bordeaux.fr/association/detail/99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321" Type="http://schemas.openxmlformats.org/officeDocument/2006/relationships/hyperlink" Target="https://assos.bordeaux.fr/association/detail/1030"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320" Type="http://schemas.openxmlformats.org/officeDocument/2006/relationships/hyperlink" Target="https://assos.bordeaux.fr/association/detail/119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316" Type="http://schemas.openxmlformats.org/officeDocument/2006/relationships/hyperlink" Target="https://assos.bordeaux.fr/association/detail/562" TargetMode="External"/><Relationship Id="rId558" Type="http://schemas.openxmlformats.org/officeDocument/2006/relationships/hyperlink" Target="http://climat-2020.eu/fr" TargetMode="External"/><Relationship Id="rId315" Type="http://schemas.openxmlformats.org/officeDocument/2006/relationships/hyperlink" Target="https://assos.bordeaux.fr/association/detail/1067" TargetMode="External"/><Relationship Id="rId557" Type="http://schemas.openxmlformats.org/officeDocument/2006/relationships/hyperlink" Target="https://assos.bordeaux.fr/association/detail/889" TargetMode="External"/><Relationship Id="rId799" Type="http://schemas.openxmlformats.org/officeDocument/2006/relationships/hyperlink" Target="https://assos.bordeaux.fr/association/detail/1391" TargetMode="External"/><Relationship Id="rId314" Type="http://schemas.openxmlformats.org/officeDocument/2006/relationships/hyperlink" Target="http://lesratonsguincheurs.fr" TargetMode="External"/><Relationship Id="rId556" Type="http://schemas.openxmlformats.org/officeDocument/2006/relationships/hyperlink" Target="http://fedealienor.fr" TargetMode="External"/><Relationship Id="rId798" Type="http://schemas.openxmlformats.org/officeDocument/2006/relationships/hyperlink" Target="http://www.soeursdencre.fr" TargetMode="External"/><Relationship Id="rId313" Type="http://schemas.openxmlformats.org/officeDocument/2006/relationships/hyperlink" Target="https://assos.bordeaux.fr/association/detail/927" TargetMode="External"/><Relationship Id="rId555" Type="http://schemas.openxmlformats.org/officeDocument/2006/relationships/hyperlink" Target="https://assos.bordeaux.fr/association/detail/1757" TargetMode="External"/><Relationship Id="rId797" Type="http://schemas.openxmlformats.org/officeDocument/2006/relationships/hyperlink" Target="https://assos.bordeaux.fr/association/detail/1674"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1140" Type="http://schemas.openxmlformats.org/officeDocument/2006/relationships/hyperlink" Target="https://assos.bordeaux.fr/association/detail/1080" TargetMode="External"/><Relationship Id="rId790" Type="http://schemas.openxmlformats.org/officeDocument/2006/relationships/hyperlink" Target="http://www.amathso.org"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312" Type="http://schemas.openxmlformats.org/officeDocument/2006/relationships/hyperlink" Target="https://assos.bordeaux.fr/association/detail/1774" TargetMode="External"/><Relationship Id="rId554" Type="http://schemas.openxmlformats.org/officeDocument/2006/relationships/hyperlink" Target="http://www.lespep33.org" TargetMode="External"/><Relationship Id="rId796" Type="http://schemas.openxmlformats.org/officeDocument/2006/relationships/hyperlink" Target="https://assos.bordeaux.fr/association/detail/833" TargetMode="External"/><Relationship Id="rId1143" Type="http://schemas.openxmlformats.org/officeDocument/2006/relationships/hyperlink" Target="http://www.association-familles-gironde.fr" TargetMode="External"/><Relationship Id="rId311" Type="http://schemas.openxmlformats.org/officeDocument/2006/relationships/hyperlink" Target="http://www.kartma.fr" TargetMode="External"/><Relationship Id="rId553" Type="http://schemas.openxmlformats.org/officeDocument/2006/relationships/hyperlink" Target="https://assos.bordeaux.fr/association/detail/544" TargetMode="External"/><Relationship Id="rId795" Type="http://schemas.openxmlformats.org/officeDocument/2006/relationships/hyperlink" Target="http://www.parrainage33.com" TargetMode="External"/><Relationship Id="rId1144" Type="http://schemas.openxmlformats.org/officeDocument/2006/relationships/hyperlink" Target="https://assos.bordeaux.fr/association/detail/1251" TargetMode="External"/><Relationship Id="rId310" Type="http://schemas.openxmlformats.org/officeDocument/2006/relationships/hyperlink" Target="https://assos.bordeaux.fr/association/detail/546" TargetMode="External"/><Relationship Id="rId552" Type="http://schemas.openxmlformats.org/officeDocument/2006/relationships/hyperlink" Target="https://assos.bordeaux.fr/association/detail/1164" TargetMode="External"/><Relationship Id="rId794" Type="http://schemas.openxmlformats.org/officeDocument/2006/relationships/hyperlink" Target="https://assos.bordeaux.fr/association/detail/521"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793" Type="http://schemas.openxmlformats.org/officeDocument/2006/relationships/hyperlink" Target="http://www.compagnieenunseulmot.com" TargetMode="External"/><Relationship Id="rId1146" Type="http://schemas.openxmlformats.org/officeDocument/2006/relationships/hyperlink" Target="https://assos.bordeaux.fr/association/detail/703"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495" Type="http://schemas.openxmlformats.org/officeDocument/2006/relationships/hyperlink" Target="http://www.afgs-syndromes-secs.org" TargetMode="External"/><Relationship Id="rId252" Type="http://schemas.openxmlformats.org/officeDocument/2006/relationships/hyperlink" Target="https://assos.bordeaux.fr/association/detail/1112" TargetMode="External"/><Relationship Id="rId494" Type="http://schemas.openxmlformats.org/officeDocument/2006/relationships/hyperlink" Target="https://assos.bordeaux.fr/association/detail/1322" TargetMode="External"/><Relationship Id="rId251" Type="http://schemas.openxmlformats.org/officeDocument/2006/relationships/hyperlink" Target="https://assos.bordeaux.fr/association/detail/1727" TargetMode="External"/><Relationship Id="rId493" Type="http://schemas.openxmlformats.org/officeDocument/2006/relationships/hyperlink" Target="https://assos.bordeaux.fr/association/detail/1345" TargetMode="External"/><Relationship Id="rId250" Type="http://schemas.openxmlformats.org/officeDocument/2006/relationships/hyperlink" Target="https://assos.bordeaux.fr/association/detail/1593" TargetMode="External"/><Relationship Id="rId492" Type="http://schemas.openxmlformats.org/officeDocument/2006/relationships/hyperlink" Target="http://tradobordeleau.lautre.net" TargetMode="External"/><Relationship Id="rId257" Type="http://schemas.openxmlformats.org/officeDocument/2006/relationships/hyperlink" Target="https://assos.bordeaux.fr/association/detail/1140" TargetMode="External"/><Relationship Id="rId499" Type="http://schemas.openxmlformats.org/officeDocument/2006/relationships/hyperlink" Target="http://copasycompas.fr" TargetMode="External"/><Relationship Id="rId256" Type="http://schemas.openxmlformats.org/officeDocument/2006/relationships/hyperlink" Target="http://www.clafoutis-cie.com" TargetMode="External"/><Relationship Id="rId498" Type="http://schemas.openxmlformats.org/officeDocument/2006/relationships/hyperlink" Target="https://assos.bordeaux.fr/association/detail/1054" TargetMode="External"/><Relationship Id="rId255" Type="http://schemas.openxmlformats.org/officeDocument/2006/relationships/hyperlink" Target="https://assos.bordeaux.fr/association/detail/1530" TargetMode="External"/><Relationship Id="rId497" Type="http://schemas.openxmlformats.org/officeDocument/2006/relationships/hyperlink" Target="http://www.grainedadulte.fr" TargetMode="External"/><Relationship Id="rId254" Type="http://schemas.openxmlformats.org/officeDocument/2006/relationships/hyperlink" Target="https://assos.bordeaux.fr/association/detail/1709" TargetMode="External"/><Relationship Id="rId496" Type="http://schemas.openxmlformats.org/officeDocument/2006/relationships/hyperlink" Target="https://assos.bordeaux.fr/association/detail/1318"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866" Type="http://schemas.openxmlformats.org/officeDocument/2006/relationships/hyperlink" Target="https://assos.bordeaux.fr/association/detail/1775" TargetMode="External"/><Relationship Id="rId623" Type="http://schemas.openxmlformats.org/officeDocument/2006/relationships/hyperlink" Target="http://repair-cafe-bordeaux.org" TargetMode="External"/><Relationship Id="rId865" Type="http://schemas.openxmlformats.org/officeDocument/2006/relationships/hyperlink" Target="https://assos.bordeaux.fr/association/detail/912" TargetMode="External"/><Relationship Id="rId622" Type="http://schemas.openxmlformats.org/officeDocument/2006/relationships/hyperlink" Target="https://assos.bordeaux.fr/association/detail/1352" TargetMode="External"/><Relationship Id="rId864" Type="http://schemas.openxmlformats.org/officeDocument/2006/relationships/hyperlink" Target="http://apeef.com" TargetMode="External"/><Relationship Id="rId621" Type="http://schemas.openxmlformats.org/officeDocument/2006/relationships/hyperlink" Target="http://choeurmelusine.wordpress.com" TargetMode="External"/><Relationship Id="rId863" Type="http://schemas.openxmlformats.org/officeDocument/2006/relationships/hyperlink" Target="https://assos.bordeaux.fr/association/detail/797"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869" Type="http://schemas.openxmlformats.org/officeDocument/2006/relationships/hyperlink" Target="https://assos.bordeaux.fr/association/detail/1096" TargetMode="External"/><Relationship Id="rId626" Type="http://schemas.openxmlformats.org/officeDocument/2006/relationships/hyperlink" Target="https://assos.bordeaux.fr/association/detail/579" TargetMode="External"/><Relationship Id="rId868" Type="http://schemas.openxmlformats.org/officeDocument/2006/relationships/hyperlink" Target="http://www.maloca.fr" TargetMode="External"/><Relationship Id="rId625" Type="http://schemas.openxmlformats.org/officeDocument/2006/relationships/hyperlink" Target="https://assos.bordeaux.fr/association/detail/1136" TargetMode="External"/><Relationship Id="rId867" Type="http://schemas.openxmlformats.org/officeDocument/2006/relationships/hyperlink" Target="https://assos.bordeaux.fr/association/detail/552" TargetMode="External"/><Relationship Id="rId620" Type="http://schemas.openxmlformats.org/officeDocument/2006/relationships/hyperlink" Target="https://assos.bordeaux.fr/association/detail/638"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1210" Type="http://schemas.openxmlformats.org/officeDocument/2006/relationships/hyperlink" Target="https://assos.bordeaux.fr/association/detail/585" TargetMode="External"/><Relationship Id="rId860" Type="http://schemas.openxmlformats.org/officeDocument/2006/relationships/hyperlink" Target="https://assos.bordeaux.fr/association/detail/1537"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855" Type="http://schemas.openxmlformats.org/officeDocument/2006/relationships/hyperlink" Target="https://assos.bordeaux.fr/association/detail/1474" TargetMode="External"/><Relationship Id="rId612" Type="http://schemas.openxmlformats.org/officeDocument/2006/relationships/hyperlink" Target="http://bordeauxdancesportgalaxy.fr" TargetMode="External"/><Relationship Id="rId854" Type="http://schemas.openxmlformats.org/officeDocument/2006/relationships/hyperlink" Target="http://www.palliaplus.org" TargetMode="External"/><Relationship Id="rId611" Type="http://schemas.openxmlformats.org/officeDocument/2006/relationships/hyperlink" Target="https://assos.bordeaux.fr/association/detail/933" TargetMode="External"/><Relationship Id="rId853" Type="http://schemas.openxmlformats.org/officeDocument/2006/relationships/hyperlink" Target="https://assos.bordeaux.fr/association/detail/1548" TargetMode="External"/><Relationship Id="rId610" Type="http://schemas.openxmlformats.org/officeDocument/2006/relationships/hyperlink" Target="http://kalaripayat-bordeaux.org/objectif" TargetMode="External"/><Relationship Id="rId852" Type="http://schemas.openxmlformats.org/officeDocument/2006/relationships/hyperlink" Target="http://tousauxabris.org" TargetMode="External"/><Relationship Id="rId617" Type="http://schemas.openxmlformats.org/officeDocument/2006/relationships/hyperlink" Target="https://assos.bordeaux.fr/association/detail/1716" TargetMode="External"/><Relationship Id="rId859" Type="http://schemas.openxmlformats.org/officeDocument/2006/relationships/hyperlink" Target="https://assos.bordeaux.fr/association/detail/574" TargetMode="External"/><Relationship Id="rId616" Type="http://schemas.openxmlformats.org/officeDocument/2006/relationships/hyperlink" Target="https://assos.bordeaux.fr/association/detail/697" TargetMode="External"/><Relationship Id="rId858" Type="http://schemas.openxmlformats.org/officeDocument/2006/relationships/hyperlink" Target="https://assos.bordeaux.fr/association/detail/1101" TargetMode="External"/><Relationship Id="rId615" Type="http://schemas.openxmlformats.org/officeDocument/2006/relationships/hyperlink" Target="http://www.untendanses.com" TargetMode="External"/><Relationship Id="rId857" Type="http://schemas.openxmlformats.org/officeDocument/2006/relationships/hyperlink" Target="http://www.bordeaux-capoeira.fr" TargetMode="External"/><Relationship Id="rId614" Type="http://schemas.openxmlformats.org/officeDocument/2006/relationships/hyperlink" Target="https://assos.bordeaux.fr/association/detail/828"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646" Type="http://schemas.openxmlformats.org/officeDocument/2006/relationships/hyperlink" Target="https://assos.bordeaux.fr/association/detail/1731" TargetMode="External"/><Relationship Id="rId888" Type="http://schemas.openxmlformats.org/officeDocument/2006/relationships/hyperlink" Target="https://assos.bordeaux.fr/association/detail/795" TargetMode="External"/><Relationship Id="rId403" Type="http://schemas.openxmlformats.org/officeDocument/2006/relationships/hyperlink" Target="https://assos.bordeaux.fr/association/detail/1142" TargetMode="External"/><Relationship Id="rId645" Type="http://schemas.openxmlformats.org/officeDocument/2006/relationships/hyperlink" Target="http://bordeaux-gospel-academy.com" TargetMode="External"/><Relationship Id="rId887" Type="http://schemas.openxmlformats.org/officeDocument/2006/relationships/hyperlink" Target="http://www.oareil.org" TargetMode="External"/><Relationship Id="rId402" Type="http://schemas.openxmlformats.org/officeDocument/2006/relationships/hyperlink" Target="http://www.unionsaintjean.org" TargetMode="External"/><Relationship Id="rId644" Type="http://schemas.openxmlformats.org/officeDocument/2006/relationships/hyperlink" Target="https://assos.bordeaux.fr/association/detail/1170" TargetMode="External"/><Relationship Id="rId886" Type="http://schemas.openxmlformats.org/officeDocument/2006/relationships/hyperlink" Target="https://assos.bordeaux.fr/association/detail/738" TargetMode="External"/><Relationship Id="rId401" Type="http://schemas.openxmlformats.org/officeDocument/2006/relationships/hyperlink" Target="https://assos.bordeaux.fr/association/detail/581" TargetMode="External"/><Relationship Id="rId643" Type="http://schemas.openxmlformats.org/officeDocument/2006/relationships/hyperlink" Target="http://www.optimemoire.fr" TargetMode="External"/><Relationship Id="rId885" Type="http://schemas.openxmlformats.org/officeDocument/2006/relationships/hyperlink" Target="https://assos.bordeaux.fr/association/detail/1010"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649" Type="http://schemas.openxmlformats.org/officeDocument/2006/relationships/hyperlink" Target="https://assos.bordeaux.fr/association/detail/757" TargetMode="External"/><Relationship Id="rId406" Type="http://schemas.openxmlformats.org/officeDocument/2006/relationships/hyperlink" Target="http://www.em-france.org" TargetMode="External"/><Relationship Id="rId648" Type="http://schemas.openxmlformats.org/officeDocument/2006/relationships/hyperlink" Target="http://www.lacase.eu" TargetMode="External"/><Relationship Id="rId405" Type="http://schemas.openxmlformats.org/officeDocument/2006/relationships/hyperlink" Target="https://assos.bordeaux.fr/association/detail/605" TargetMode="External"/><Relationship Id="rId647" Type="http://schemas.openxmlformats.org/officeDocument/2006/relationships/hyperlink" Target="https://assos.bordeaux.fr/association/detail/1168"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642" Type="http://schemas.openxmlformats.org/officeDocument/2006/relationships/hyperlink" Target="https://assos.bordeaux.fr/association/detail/835" TargetMode="External"/><Relationship Id="rId884" Type="http://schemas.openxmlformats.org/officeDocument/2006/relationships/hyperlink" Target="https://assos.bordeaux.fr/association/detail/1127" TargetMode="External"/><Relationship Id="rId1231" Type="http://schemas.openxmlformats.org/officeDocument/2006/relationships/hyperlink" Target="http://www.banquealimentaire33.org" TargetMode="External"/><Relationship Id="rId641" Type="http://schemas.openxmlformats.org/officeDocument/2006/relationships/hyperlink" Target="https://assos.bordeaux.fr/association/detail/1772" TargetMode="External"/><Relationship Id="rId883" Type="http://schemas.openxmlformats.org/officeDocument/2006/relationships/hyperlink" Target="http://www.invo-association.org" TargetMode="External"/><Relationship Id="rId1232" Type="http://schemas.openxmlformats.org/officeDocument/2006/relationships/hyperlink" Target="https://assos.bordeaux.fr/association/detail/1279" TargetMode="External"/><Relationship Id="rId640" Type="http://schemas.openxmlformats.org/officeDocument/2006/relationships/hyperlink" Target="https://assos.bordeaux.fr/association/detail/1007" TargetMode="External"/><Relationship Id="rId882" Type="http://schemas.openxmlformats.org/officeDocument/2006/relationships/hyperlink" Target="https://assos.bordeaux.fr/association/detail/1371" TargetMode="External"/><Relationship Id="rId1233" Type="http://schemas.openxmlformats.org/officeDocument/2006/relationships/hyperlink" Target="http://www.maisondequartierchantecler.fr" TargetMode="External"/><Relationship Id="rId881" Type="http://schemas.openxmlformats.org/officeDocument/2006/relationships/hyperlink" Target="http://hello-ernest.com/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635" Type="http://schemas.openxmlformats.org/officeDocument/2006/relationships/hyperlink" Target="https://assos.bordeaux.fr/association/detail/1725" TargetMode="External"/><Relationship Id="rId877" Type="http://schemas.openxmlformats.org/officeDocument/2006/relationships/hyperlink" Target="https://assos.bordeaux.fr/association/detail/1115" TargetMode="External"/><Relationship Id="rId634" Type="http://schemas.openxmlformats.org/officeDocument/2006/relationships/hyperlink" Target="https://assos.bordeaux.fr/association/detail/566" TargetMode="External"/><Relationship Id="rId876" Type="http://schemas.openxmlformats.org/officeDocument/2006/relationships/hyperlink" Target="https://assos.bordeaux.fr/association/detail/1471" TargetMode="External"/><Relationship Id="rId633" Type="http://schemas.openxmlformats.org/officeDocument/2006/relationships/hyperlink" Target="https://assos.bordeaux.fr/association/detail/590" TargetMode="External"/><Relationship Id="rId875" Type="http://schemas.openxmlformats.org/officeDocument/2006/relationships/hyperlink" Target="https://assos.bordeaux.fr/association/detail/664" TargetMode="External"/><Relationship Id="rId632" Type="http://schemas.openxmlformats.org/officeDocument/2006/relationships/hyperlink" Target="https://assos.bordeaux.fr/association/detail/1804" TargetMode="External"/><Relationship Id="rId874" Type="http://schemas.openxmlformats.org/officeDocument/2006/relationships/hyperlink" Target="http://www.associationextra.fr"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879" Type="http://schemas.openxmlformats.org/officeDocument/2006/relationships/hyperlink" Target="http://www.assouvs.fr" TargetMode="External"/><Relationship Id="rId636" Type="http://schemas.openxmlformats.org/officeDocument/2006/relationships/hyperlink" Target="http://adra.fr" TargetMode="External"/><Relationship Id="rId878" Type="http://schemas.openxmlformats.org/officeDocument/2006/relationships/hyperlink" Target="https://assos.bordeaux.fr/association/detail/817" TargetMode="External"/><Relationship Id="rId631" Type="http://schemas.openxmlformats.org/officeDocument/2006/relationships/hyperlink" Target="http://www.duventdanslesarbres.org" TargetMode="External"/><Relationship Id="rId873" Type="http://schemas.openxmlformats.org/officeDocument/2006/relationships/hyperlink" Target="https://assos.bordeaux.fr/association/detail/1299" TargetMode="External"/><Relationship Id="rId1220" Type="http://schemas.openxmlformats.org/officeDocument/2006/relationships/hyperlink" Target="https://assos.bordeaux.fr/association/detail/1541" TargetMode="External"/><Relationship Id="rId630" Type="http://schemas.openxmlformats.org/officeDocument/2006/relationships/hyperlink" Target="https://assos.bordeaux.fr/association/detail/1415" TargetMode="External"/><Relationship Id="rId872" Type="http://schemas.openxmlformats.org/officeDocument/2006/relationships/hyperlink" Target="http://www.astronomiesensorielle.fr" TargetMode="External"/><Relationship Id="rId1221" Type="http://schemas.openxmlformats.org/officeDocument/2006/relationships/hyperlink" Target="http://www.alliancevita.org" TargetMode="External"/><Relationship Id="rId871" Type="http://schemas.openxmlformats.org/officeDocument/2006/relationships/hyperlink" Target="https://assos.bordeaux.fr/association/detail/1262" TargetMode="External"/><Relationship Id="rId1222" Type="http://schemas.openxmlformats.org/officeDocument/2006/relationships/hyperlink" Target="https://assos.bordeaux.fr/association/detail/804" TargetMode="External"/><Relationship Id="rId870" Type="http://schemas.openxmlformats.org/officeDocument/2006/relationships/hyperlink" Target="http://association.cauderes.over-blog.com" TargetMode="External"/><Relationship Id="rId1223" Type="http://schemas.openxmlformats.org/officeDocument/2006/relationships/hyperlink" Target="https://assos.bordeaux.fr/association/detail/1752"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849" Type="http://schemas.openxmlformats.org/officeDocument/2006/relationships/hyperlink" Target="https://assos.bordeaux.fr/association/detail/1304" TargetMode="External"/><Relationship Id="rId602" Type="http://schemas.openxmlformats.org/officeDocument/2006/relationships/hyperlink" Target="https://assos.bordeaux.fr/association/detail/1242" TargetMode="External"/><Relationship Id="rId844" Type="http://schemas.openxmlformats.org/officeDocument/2006/relationships/hyperlink" Target="https://assos.bordeaux.fr/association/detail/940" TargetMode="External"/><Relationship Id="rId601" Type="http://schemas.openxmlformats.org/officeDocument/2006/relationships/hyperlink" Target="http://www.phonik.org" TargetMode="External"/><Relationship Id="rId843" Type="http://schemas.openxmlformats.org/officeDocument/2006/relationships/hyperlink" Target="http://www.epicerie-solidaire.fr" TargetMode="External"/><Relationship Id="rId600" Type="http://schemas.openxmlformats.org/officeDocument/2006/relationships/hyperlink" Target="https://assos.bordeaux.fr/association/detail/1558"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606" Type="http://schemas.openxmlformats.org/officeDocument/2006/relationships/hyperlink" Target="http://association-agapa.fr" TargetMode="External"/><Relationship Id="rId848" Type="http://schemas.openxmlformats.org/officeDocument/2006/relationships/hyperlink" Target="http://cib.ffct.org/index.html" TargetMode="External"/><Relationship Id="rId605" Type="http://schemas.openxmlformats.org/officeDocument/2006/relationships/hyperlink" Target="https://assos.bordeaux.fr/association/detail/1106" TargetMode="External"/><Relationship Id="rId847" Type="http://schemas.openxmlformats.org/officeDocument/2006/relationships/hyperlink" Target="https://assos.bordeaux.fr/association/detail/1073" TargetMode="External"/><Relationship Id="rId604" Type="http://schemas.openxmlformats.org/officeDocument/2006/relationships/hyperlink" Target="http://nanfutsu.fr" TargetMode="External"/><Relationship Id="rId846" Type="http://schemas.openxmlformats.org/officeDocument/2006/relationships/hyperlink" Target="http://collectiftroistiers.com" TargetMode="External"/><Relationship Id="rId603" Type="http://schemas.openxmlformats.org/officeDocument/2006/relationships/hyperlink" Target="https://assos.bordeaux.fr/association/detail/1380"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469" Type="http://schemas.openxmlformats.org/officeDocument/2006/relationships/hyperlink" Target="https://assos.bordeaux.fr/association/detail/891" TargetMode="External"/><Relationship Id="rId226" Type="http://schemas.openxmlformats.org/officeDocument/2006/relationships/hyperlink" Target="https://assos.bordeaux.fr/association/detail/631" TargetMode="External"/><Relationship Id="rId468" Type="http://schemas.openxmlformats.org/officeDocument/2006/relationships/hyperlink" Target="https://assos.bordeaux.fr/association/detail/1529" TargetMode="External"/><Relationship Id="rId225" Type="http://schemas.openxmlformats.org/officeDocument/2006/relationships/hyperlink" Target="http://sos-suicide-phenix.org"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1292" Type="http://schemas.openxmlformats.org/officeDocument/2006/relationships/hyperlink" Target="https://assos.bordeaux.fr/association/detail/786" TargetMode="External"/><Relationship Id="rId220" Type="http://schemas.openxmlformats.org/officeDocument/2006/relationships/hyperlink" Target="http://www.maisondiabetebordeaux.wordpress.com" TargetMode="External"/><Relationship Id="rId462" Type="http://schemas.openxmlformats.org/officeDocument/2006/relationships/hyperlink" Target="https://assos.bordeaux.fr/association/detail/1646" TargetMode="External"/><Relationship Id="rId1051" Type="http://schemas.openxmlformats.org/officeDocument/2006/relationships/hyperlink" Target="https://assos.bordeaux.fr/association/detail/925"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052" Type="http://schemas.openxmlformats.org/officeDocument/2006/relationships/hyperlink" Target="https://assos.bordeaux.fr/association/detail/691"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053" Type="http://schemas.openxmlformats.org/officeDocument/2006/relationships/hyperlink" Target="https://assos.bordeaux.fr/association/detail/1433" TargetMode="External"/><Relationship Id="rId1295" Type="http://schemas.openxmlformats.org/officeDocument/2006/relationships/hyperlink" Target="http://www.laviedessens.org" TargetMode="External"/><Relationship Id="rId1054" Type="http://schemas.openxmlformats.org/officeDocument/2006/relationships/hyperlink" Target="https://assos.bordeaux.fr/association/detail/988" TargetMode="External"/><Relationship Id="rId1296" Type="http://schemas.openxmlformats.org/officeDocument/2006/relationships/hyperlink" Target="https://assos.bordeaux.fr/association/detail/894" TargetMode="External"/><Relationship Id="rId224" Type="http://schemas.openxmlformats.org/officeDocument/2006/relationships/hyperlink" Target="https://assos.bordeaux.fr/association/detail/1047" TargetMode="External"/><Relationship Id="rId466" Type="http://schemas.openxmlformats.org/officeDocument/2006/relationships/hyperlink" Target="http://www.giaa-aquitaine.fr" TargetMode="External"/><Relationship Id="rId1055" Type="http://schemas.openxmlformats.org/officeDocument/2006/relationships/hyperlink" Target="http://www.acaqb.fr" TargetMode="External"/><Relationship Id="rId1297" Type="http://schemas.openxmlformats.org/officeDocument/2006/relationships/hyperlink" Target="http://www.lachiffonnerit.com" TargetMode="External"/><Relationship Id="rId223" Type="http://schemas.openxmlformats.org/officeDocument/2006/relationships/hyperlink" Target="https://assos.bordeaux.fr/association/detail/812" TargetMode="External"/><Relationship Id="rId465" Type="http://schemas.openxmlformats.org/officeDocument/2006/relationships/hyperlink" Target="https://assos.bordeaux.fr/association/detail/595" TargetMode="External"/><Relationship Id="rId1056" Type="http://schemas.openxmlformats.org/officeDocument/2006/relationships/hyperlink" Target="https://assos.bordeaux.fr/association/detail/938" TargetMode="External"/><Relationship Id="rId1298" Type="http://schemas.openxmlformats.org/officeDocument/2006/relationships/hyperlink" Target="https://assos.bordeaux.fr/association/detail/1264" TargetMode="External"/><Relationship Id="rId222" Type="http://schemas.openxmlformats.org/officeDocument/2006/relationships/hyperlink" Target="http://www.bi-izarrak.com" TargetMode="External"/><Relationship Id="rId464" Type="http://schemas.openxmlformats.org/officeDocument/2006/relationships/hyperlink" Target="https://assos.bordeaux.fr/association/detail/1456" TargetMode="External"/><Relationship Id="rId1057" Type="http://schemas.openxmlformats.org/officeDocument/2006/relationships/hyperlink" Target="https://assos.bordeaux.fr/association/detail/920" TargetMode="External"/><Relationship Id="rId1299" Type="http://schemas.openxmlformats.org/officeDocument/2006/relationships/hyperlink" Target="https://assos.bordeaux.fr/association/detail/1607" TargetMode="External"/><Relationship Id="rId221" Type="http://schemas.openxmlformats.org/officeDocument/2006/relationships/hyperlink" Target="https://assos.bordeaux.fr/association/detail/578" TargetMode="External"/><Relationship Id="rId463" Type="http://schemas.openxmlformats.org/officeDocument/2006/relationships/hyperlink" Target="http://www.association-espace33.fr"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459" Type="http://schemas.openxmlformats.org/officeDocument/2006/relationships/hyperlink" Target="http://www.designlaps.fr" TargetMode="External"/><Relationship Id="rId216" Type="http://schemas.openxmlformats.org/officeDocument/2006/relationships/hyperlink" Target="http://nonprofit.maisondesantenaturelle.com" TargetMode="External"/><Relationship Id="rId458" Type="http://schemas.openxmlformats.org/officeDocument/2006/relationships/hyperlink" Target="https://assos.bordeaux.fr/association/detail/1021" TargetMode="External"/><Relationship Id="rId215" Type="http://schemas.openxmlformats.org/officeDocument/2006/relationships/hyperlink" Target="https://assos.bordeaux.fr/association/detail/878" TargetMode="External"/><Relationship Id="rId457" Type="http://schemas.openxmlformats.org/officeDocument/2006/relationships/hyperlink" Target="http://unisson-acme.com" TargetMode="External"/><Relationship Id="rId699" Type="http://schemas.openxmlformats.org/officeDocument/2006/relationships/hyperlink" Target="http://www.acaqb.fr" TargetMode="External"/><Relationship Id="rId214" Type="http://schemas.openxmlformats.org/officeDocument/2006/relationships/hyperlink" Target="https://assos.bordeaux.fr/association/detail/1790" TargetMode="External"/><Relationship Id="rId456" Type="http://schemas.openxmlformats.org/officeDocument/2006/relationships/hyperlink" Target="https://assos.bordeaux.fr/association/detail/962" TargetMode="External"/><Relationship Id="rId698" Type="http://schemas.openxmlformats.org/officeDocument/2006/relationships/hyperlink" Target="https://assos.bordeaux.fr/association/detail/758" TargetMode="External"/><Relationship Id="rId219" Type="http://schemas.openxmlformats.org/officeDocument/2006/relationships/hyperlink" Target="https://assos.bordeaux.fr/association/detail/819" TargetMode="External"/><Relationship Id="rId1280" Type="http://schemas.openxmlformats.org/officeDocument/2006/relationships/hyperlink" Target="https://assos.bordeaux.fr/association/detail/1118" TargetMode="External"/><Relationship Id="rId218" Type="http://schemas.openxmlformats.org/officeDocument/2006/relationships/hyperlink" Target="http://usepcharlesmartin.overblog.com"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693" Type="http://schemas.openxmlformats.org/officeDocument/2006/relationships/hyperlink" Target="http://www.fifib.com" TargetMode="External"/><Relationship Id="rId1040" Type="http://schemas.openxmlformats.org/officeDocument/2006/relationships/hyperlink" Target="https://assos.bordeaux.fr/association/detail/650"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692" Type="http://schemas.openxmlformats.org/officeDocument/2006/relationships/hyperlink" Target="https://assos.bordeaux.fr/association/detail/719" TargetMode="External"/><Relationship Id="rId1041" Type="http://schemas.openxmlformats.org/officeDocument/2006/relationships/hyperlink" Target="http://www.udaf33.fr" TargetMode="External"/><Relationship Id="rId1283" Type="http://schemas.openxmlformats.org/officeDocument/2006/relationships/hyperlink" Target="https://assos.bordeaux.fr/association/detail/886" TargetMode="External"/><Relationship Id="rId691" Type="http://schemas.openxmlformats.org/officeDocument/2006/relationships/hyperlink" Target="http://www.mecasf.wordpress.com" TargetMode="External"/><Relationship Id="rId1042" Type="http://schemas.openxmlformats.org/officeDocument/2006/relationships/hyperlink" Target="https://assos.bordeaux.fr/association/detail/1494" TargetMode="External"/><Relationship Id="rId1284" Type="http://schemas.openxmlformats.org/officeDocument/2006/relationships/hyperlink" Target="http://atis-asso.org" TargetMode="External"/><Relationship Id="rId690" Type="http://schemas.openxmlformats.org/officeDocument/2006/relationships/hyperlink" Target="https://assos.bordeaux.fr/association/detail/599" TargetMode="External"/><Relationship Id="rId1043" Type="http://schemas.openxmlformats.org/officeDocument/2006/relationships/hyperlink" Target="https://assos.bordeaux.fr/association/detail/1795" TargetMode="External"/><Relationship Id="rId1285" Type="http://schemas.openxmlformats.org/officeDocument/2006/relationships/hyperlink" Target="https://assos.bordeaux.fr/association/detail/1029" TargetMode="External"/><Relationship Id="rId213" Type="http://schemas.openxmlformats.org/officeDocument/2006/relationships/hyperlink" Target="http://tchernoblaye.free.fr" TargetMode="External"/><Relationship Id="rId455" Type="http://schemas.openxmlformats.org/officeDocument/2006/relationships/hyperlink" Target="http://bordeauxdanceinclub.fr" TargetMode="External"/><Relationship Id="rId697" Type="http://schemas.openxmlformats.org/officeDocument/2006/relationships/hyperlink" Target="https://assos.bordeaux.fr/association/detail/592" TargetMode="External"/><Relationship Id="rId1044" Type="http://schemas.openxmlformats.org/officeDocument/2006/relationships/hyperlink" Target="https://assos.bordeaux.fr/association/detail/1628" TargetMode="External"/><Relationship Id="rId1286" Type="http://schemas.openxmlformats.org/officeDocument/2006/relationships/hyperlink" Target="http://cesma-plongee.fr" TargetMode="External"/><Relationship Id="rId212" Type="http://schemas.openxmlformats.org/officeDocument/2006/relationships/hyperlink" Target="https://assos.bordeaux.fr/association/detail/1406" TargetMode="External"/><Relationship Id="rId454" Type="http://schemas.openxmlformats.org/officeDocument/2006/relationships/hyperlink" Target="https://assos.bordeaux.fr/association/detail/1135" TargetMode="External"/><Relationship Id="rId696" Type="http://schemas.openxmlformats.org/officeDocument/2006/relationships/hyperlink" Target="https://assos.bordeaux.fr/association/detail/785" TargetMode="External"/><Relationship Id="rId1045" Type="http://schemas.openxmlformats.org/officeDocument/2006/relationships/hyperlink" Target="http://www.polemagnetic.fr" TargetMode="External"/><Relationship Id="rId1287" Type="http://schemas.openxmlformats.org/officeDocument/2006/relationships/hyperlink" Target="https://assos.bordeaux.fr/association/detail/708" TargetMode="External"/><Relationship Id="rId211" Type="http://schemas.openxmlformats.org/officeDocument/2006/relationships/hyperlink" Target="https://assos.bordeaux.fr/association/detail/960" TargetMode="External"/><Relationship Id="rId453" Type="http://schemas.openxmlformats.org/officeDocument/2006/relationships/hyperlink" Target="https://assos.bordeaux.fr/association/detail/1187" TargetMode="External"/><Relationship Id="rId695" Type="http://schemas.openxmlformats.org/officeDocument/2006/relationships/hyperlink" Target="http://ledireautrement.fr" TargetMode="External"/><Relationship Id="rId1046" Type="http://schemas.openxmlformats.org/officeDocument/2006/relationships/hyperlink" Target="https://assos.bordeaux.fr/association/detail/977" TargetMode="External"/><Relationship Id="rId1288" Type="http://schemas.openxmlformats.org/officeDocument/2006/relationships/hyperlink" Target="https://assos.bordeaux.fr/association/detail/895" TargetMode="External"/><Relationship Id="rId210" Type="http://schemas.openxmlformats.org/officeDocument/2006/relationships/hyperlink" Target="http://www.philomathiquebordeaux.com" TargetMode="External"/><Relationship Id="rId452" Type="http://schemas.openxmlformats.org/officeDocument/2006/relationships/hyperlink" Target="https://assos.bordeaux.fr/association/detail/1145" TargetMode="External"/><Relationship Id="rId694" Type="http://schemas.openxmlformats.org/officeDocument/2006/relationships/hyperlink" Target="https://assos.bordeaux.fr/association/detail/1252" TargetMode="External"/><Relationship Id="rId1047" Type="http://schemas.openxmlformats.org/officeDocument/2006/relationships/hyperlink" Target="https://assos.bordeaux.fr/association/detail/661"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489" Type="http://schemas.openxmlformats.org/officeDocument/2006/relationships/hyperlink" Target="https://assos.bordeaux.fr/association/detail/1253"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484" Type="http://schemas.openxmlformats.org/officeDocument/2006/relationships/hyperlink" Target="https://assos.bordeaux.fr/association/detail/1370"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483" Type="http://schemas.openxmlformats.org/officeDocument/2006/relationships/hyperlink" Target="http://wantedradio.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482" Type="http://schemas.openxmlformats.org/officeDocument/2006/relationships/hyperlink" Target="https://assos.bordeaux.fr/association/detail/532" TargetMode="External"/><Relationship Id="rId1075" Type="http://schemas.openxmlformats.org/officeDocument/2006/relationships/hyperlink" Target="https://assos.bordeaux.fr/association/detail/643" TargetMode="External"/><Relationship Id="rId481" Type="http://schemas.openxmlformats.org/officeDocument/2006/relationships/hyperlink" Target="https://assos.bordeaux.fr/association/detail/1592"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488" Type="http://schemas.openxmlformats.org/officeDocument/2006/relationships/hyperlink" Target="https://assos.bordeaux.fr/association/detail/1617"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487" Type="http://schemas.openxmlformats.org/officeDocument/2006/relationships/hyperlink" Target="https://assos.bordeaux.fr/association/detail/1097"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486" Type="http://schemas.openxmlformats.org/officeDocument/2006/relationships/hyperlink" Target="http://www.controle-z.net"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479" Type="http://schemas.openxmlformats.org/officeDocument/2006/relationships/hyperlink" Target="https://assos.bordeaux.fr/association/detail/1511" TargetMode="External"/><Relationship Id="rId236" Type="http://schemas.openxmlformats.org/officeDocument/2006/relationships/hyperlink" Target="http://fonda.asso.fr/la-fonda-sud-ouest" TargetMode="External"/><Relationship Id="rId478" Type="http://schemas.openxmlformats.org/officeDocument/2006/relationships/hyperlink" Target="https://assos.bordeaux.fr/association/detail/1399"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473" Type="http://schemas.openxmlformats.org/officeDocument/2006/relationships/hyperlink" Target="https://assos.bordeaux.fr/association/detail/1594"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472" Type="http://schemas.openxmlformats.org/officeDocument/2006/relationships/hyperlink" Target="https://assos.bordeaux.fr/association/detail/1440" TargetMode="External"/><Relationship Id="rId1063" Type="http://schemas.openxmlformats.org/officeDocument/2006/relationships/hyperlink" Target="https://assos.bordeaux.fr/association/detail/1235" TargetMode="External"/><Relationship Id="rId471" Type="http://schemas.openxmlformats.org/officeDocument/2006/relationships/hyperlink" Target="https://assos.bordeaux.fr/association/detail/1346" TargetMode="External"/><Relationship Id="rId1064" Type="http://schemas.openxmlformats.org/officeDocument/2006/relationships/hyperlink" Target="https://assos.bordeaux.fr/association/detail/947" TargetMode="External"/><Relationship Id="rId470" Type="http://schemas.openxmlformats.org/officeDocument/2006/relationships/hyperlink" Target="http://www.les4cats.com"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477" Type="http://schemas.openxmlformats.org/officeDocument/2006/relationships/hyperlink" Target="http://www.impacts33.com"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476" Type="http://schemas.openxmlformats.org/officeDocument/2006/relationships/hyperlink" Target="https://assos.bordeaux.fr/association/detail/814"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475" Type="http://schemas.openxmlformats.org/officeDocument/2006/relationships/hyperlink" Target="https://assos.bordeaux.fr/association/detail/807"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474" Type="http://schemas.openxmlformats.org/officeDocument/2006/relationships/hyperlink" Target="http://club.quomodo.com/gymnastiquevolontairebordeauxbastide"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257" Type="http://schemas.openxmlformats.org/officeDocument/2006/relationships/hyperlink" Target="http://entreprisebienetre.wixsite.com/monsite" TargetMode="External"/><Relationship Id="rId1016" Type="http://schemas.openxmlformats.org/officeDocument/2006/relationships/hyperlink" Target="https://assos.bordeaux.fr/association/detail/690" TargetMode="External"/><Relationship Id="rId1258" Type="http://schemas.openxmlformats.org/officeDocument/2006/relationships/hyperlink" Target="https://assos.bordeaux.fr/association/detail/577" TargetMode="External"/><Relationship Id="rId1017" Type="http://schemas.openxmlformats.org/officeDocument/2006/relationships/hyperlink" Target="http://www.boardo.fr" TargetMode="External"/><Relationship Id="rId1259" Type="http://schemas.openxmlformats.org/officeDocument/2006/relationships/hyperlink" Target="http://www.toobordo.net"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426" Type="http://schemas.openxmlformats.org/officeDocument/2006/relationships/hyperlink" Target="https://assos.bordeaux.fr/association/detail/1004" TargetMode="External"/><Relationship Id="rId668" Type="http://schemas.openxmlformats.org/officeDocument/2006/relationships/hyperlink" Target="https://assos.bordeaux.fr/association/detail/1254" TargetMode="External"/><Relationship Id="rId425" Type="http://schemas.openxmlformats.org/officeDocument/2006/relationships/hyperlink" Target="https://assos.bordeaux.fr/association/detail/741" TargetMode="External"/><Relationship Id="rId667" Type="http://schemas.openxmlformats.org/officeDocument/2006/relationships/hyperlink" Target="http://cheminsdevies.fr" TargetMode="External"/><Relationship Id="rId424" Type="http://schemas.openxmlformats.org/officeDocument/2006/relationships/hyperlink" Target="http://wwwpeintureclosbx.cla.fr" TargetMode="External"/><Relationship Id="rId666" Type="http://schemas.openxmlformats.org/officeDocument/2006/relationships/hyperlink" Target="https://assos.bordeaux.fr/association/detail/942" TargetMode="External"/><Relationship Id="rId423" Type="http://schemas.openxmlformats.org/officeDocument/2006/relationships/hyperlink" Target="https://assos.bordeaux.fr/association/detail/1819" TargetMode="External"/><Relationship Id="rId665" Type="http://schemas.openxmlformats.org/officeDocument/2006/relationships/hyperlink" Target="https://assos.bordeaux.fr/association/detail/1372"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010" Type="http://schemas.openxmlformats.org/officeDocument/2006/relationships/hyperlink" Target="http://www.33.unpi.org/fr.html"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664" Type="http://schemas.openxmlformats.org/officeDocument/2006/relationships/hyperlink" Target="http://lenomlieu.wordpress.com/accueil" TargetMode="External"/><Relationship Id="rId1011" Type="http://schemas.openxmlformats.org/officeDocument/2006/relationships/hyperlink" Target="https://assos.bordeaux.fr/association/detail/553"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663" Type="http://schemas.openxmlformats.org/officeDocument/2006/relationships/hyperlink" Target="https://assos.bordeaux.fr/association/detail/917" TargetMode="External"/><Relationship Id="rId1012" Type="http://schemas.openxmlformats.org/officeDocument/2006/relationships/hyperlink" Target="https://assos.bordeaux.fr/association/detail/683"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662" Type="http://schemas.openxmlformats.org/officeDocument/2006/relationships/hyperlink" Target="http://fanfarelebeatcheese.fr" TargetMode="External"/><Relationship Id="rId1013" Type="http://schemas.openxmlformats.org/officeDocument/2006/relationships/hyperlink" Target="https://assos.bordeaux.fr/association/detail/718" TargetMode="External"/><Relationship Id="rId1255" Type="http://schemas.openxmlformats.org/officeDocument/2006/relationships/hyperlink" Target="https://assos.bordeaux.fr/association/detail/1842" TargetMode="External"/><Relationship Id="rId661" Type="http://schemas.openxmlformats.org/officeDocument/2006/relationships/hyperlink" Target="https://assos.bordeaux.fr/association/detail/1033" TargetMode="External"/><Relationship Id="rId1014" Type="http://schemas.openxmlformats.org/officeDocument/2006/relationships/hyperlink" Target="http://www.echangenordsud.org" TargetMode="External"/><Relationship Id="rId1256" Type="http://schemas.openxmlformats.org/officeDocument/2006/relationships/hyperlink" Target="https://assos.bordeaux.fr/association/detail/839" TargetMode="External"/><Relationship Id="rId1004" Type="http://schemas.openxmlformats.org/officeDocument/2006/relationships/hyperlink" Target="http://www.clubalpinbordeaux.ffcam.fr" TargetMode="External"/><Relationship Id="rId1246" Type="http://schemas.openxmlformats.org/officeDocument/2006/relationships/hyperlink" Target="https://assos.bordeaux.fr/association/detail/731" TargetMode="External"/><Relationship Id="rId1005" Type="http://schemas.openxmlformats.org/officeDocument/2006/relationships/hyperlink" Target="https://assos.bordeaux.fr/association/detail/1666" TargetMode="External"/><Relationship Id="rId1247" Type="http://schemas.openxmlformats.org/officeDocument/2006/relationships/hyperlink" Target="https://assos.bordeaux.fr/association/detail/1771" TargetMode="External"/><Relationship Id="rId1006" Type="http://schemas.openxmlformats.org/officeDocument/2006/relationships/hyperlink" Target="https://assos.bordeaux.fr/association/detail/1453" TargetMode="External"/><Relationship Id="rId1248" Type="http://schemas.openxmlformats.org/officeDocument/2006/relationships/hyperlink" Target="https://assos.bordeaux.fr/association/detail/1094" TargetMode="External"/><Relationship Id="rId1007" Type="http://schemas.openxmlformats.org/officeDocument/2006/relationships/hyperlink" Target="https://assos.bordeaux.fr/association/detail/1850" TargetMode="External"/><Relationship Id="rId1249" Type="http://schemas.openxmlformats.org/officeDocument/2006/relationships/hyperlink" Target="http://atlasimpro.com"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415" Type="http://schemas.openxmlformats.org/officeDocument/2006/relationships/hyperlink" Target="https://assos.bordeaux.fr/association/detail/1035" TargetMode="External"/><Relationship Id="rId657" Type="http://schemas.openxmlformats.org/officeDocument/2006/relationships/hyperlink" Target="https://assos.bordeaux.fr/association/detail/1078" TargetMode="External"/><Relationship Id="rId899" Type="http://schemas.openxmlformats.org/officeDocument/2006/relationships/hyperlink" Target="http://www.inserasaf.com" TargetMode="External"/><Relationship Id="rId414" Type="http://schemas.openxmlformats.org/officeDocument/2006/relationships/hyperlink" Target="http://assogarb.wordpress.com" TargetMode="External"/><Relationship Id="rId656" Type="http://schemas.openxmlformats.org/officeDocument/2006/relationships/hyperlink" Target="https://assos.bordeaux.fr/association/detail/1270" TargetMode="External"/><Relationship Id="rId898" Type="http://schemas.openxmlformats.org/officeDocument/2006/relationships/hyperlink" Target="https://assos.bordeaux.fr/association/detail/1577" TargetMode="External"/><Relationship Id="rId413" Type="http://schemas.openxmlformats.org/officeDocument/2006/relationships/hyperlink" Target="https://assos.bordeaux.fr/association/detail/1177" TargetMode="External"/><Relationship Id="rId655" Type="http://schemas.openxmlformats.org/officeDocument/2006/relationships/hyperlink" Target="http://www.bordeaux.francebenevolat.org" TargetMode="External"/><Relationship Id="rId897" Type="http://schemas.openxmlformats.org/officeDocument/2006/relationships/hyperlink" Target="http://www.actgironde.org" TargetMode="External"/><Relationship Id="rId412" Type="http://schemas.openxmlformats.org/officeDocument/2006/relationships/hyperlink" Target="https://assos.bordeaux.fr/association/detail/1375" TargetMode="External"/><Relationship Id="rId654" Type="http://schemas.openxmlformats.org/officeDocument/2006/relationships/hyperlink" Target="https://assos.bordeaux.fr/association/detail/832" TargetMode="External"/><Relationship Id="rId896" Type="http://schemas.openxmlformats.org/officeDocument/2006/relationships/hyperlink" Target="https://assos.bordeaux.fr/association/detail/666"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659" Type="http://schemas.openxmlformats.org/officeDocument/2006/relationships/hyperlink" Target="http://lettresetimages.net" TargetMode="External"/><Relationship Id="rId416" Type="http://schemas.openxmlformats.org/officeDocument/2006/relationships/hyperlink" Target="http://cdafalgironde.wordpress.com" TargetMode="External"/><Relationship Id="rId658" Type="http://schemas.openxmlformats.org/officeDocument/2006/relationships/hyperlink" Target="https://assos.bordeaux.fr/association/detail/1351"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653" Type="http://schemas.openxmlformats.org/officeDocument/2006/relationships/hyperlink" Target="http://www.lesclownsstethoscopes.fr" TargetMode="External"/><Relationship Id="rId895" Type="http://schemas.openxmlformats.org/officeDocument/2006/relationships/hyperlink" Target="http://www.agirc-arrco.fr/action-sociale/demandeurs-emploi/" TargetMode="External"/><Relationship Id="rId1000" Type="http://schemas.openxmlformats.org/officeDocument/2006/relationships/hyperlink" Target="https://assos.bordeaux.fr/association/detail/984"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652" Type="http://schemas.openxmlformats.org/officeDocument/2006/relationships/hyperlink" Target="https://assos.bordeaux.fr/association/detail/1397" TargetMode="External"/><Relationship Id="rId894" Type="http://schemas.openxmlformats.org/officeDocument/2006/relationships/hyperlink" Target="https://assos.bordeaux.fr/association/detail/659" TargetMode="External"/><Relationship Id="rId1001" Type="http://schemas.openxmlformats.org/officeDocument/2006/relationships/hyperlink" Target="http://www.dhagpo-bordeaux.org" TargetMode="External"/><Relationship Id="rId1243" Type="http://schemas.openxmlformats.org/officeDocument/2006/relationships/hyperlink" Target="http://collectifccm.wixsite.com/collectifccm" TargetMode="External"/><Relationship Id="rId651" Type="http://schemas.openxmlformats.org/officeDocument/2006/relationships/hyperlink" Target="https://assos.bordeaux.fr/association/detail/991" TargetMode="External"/><Relationship Id="rId893" Type="http://schemas.openxmlformats.org/officeDocument/2006/relationships/hyperlink" Target="https://assos.bordeaux.fr/association/detail/1690" TargetMode="External"/><Relationship Id="rId1002" Type="http://schemas.openxmlformats.org/officeDocument/2006/relationships/hyperlink" Target="https://assos.bordeaux.fr/association/detail/1430" TargetMode="External"/><Relationship Id="rId1244" Type="http://schemas.openxmlformats.org/officeDocument/2006/relationships/hyperlink" Target="https://assos.bordeaux.fr/association/detail/607" TargetMode="External"/><Relationship Id="rId650" Type="http://schemas.openxmlformats.org/officeDocument/2006/relationships/hyperlink" Target="https://assos.bordeaux.fr/association/detail/1497" TargetMode="External"/><Relationship Id="rId892" Type="http://schemas.openxmlformats.org/officeDocument/2006/relationships/hyperlink" Target="https://assos.bordeaux.fr/association/detail/1181" TargetMode="External"/><Relationship Id="rId1003" Type="http://schemas.openxmlformats.org/officeDocument/2006/relationships/hyperlink" Target="https://assos.bordeaux.fr/association/detail/563" TargetMode="External"/><Relationship Id="rId1245" Type="http://schemas.openxmlformats.org/officeDocument/2006/relationships/hyperlink" Target="http://reseau-aime.fr" TargetMode="External"/><Relationship Id="rId1037" Type="http://schemas.openxmlformats.org/officeDocument/2006/relationships/hyperlink" Target="https://assos.bordeaux.fr/association/detail/667" TargetMode="External"/><Relationship Id="rId1279" Type="http://schemas.openxmlformats.org/officeDocument/2006/relationships/hyperlink" Target="http://www.petitsfreresdespauvres.fr"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448" Type="http://schemas.openxmlformats.org/officeDocument/2006/relationships/hyperlink" Target="https://assos.bordeaux.fr/association/detail/852" TargetMode="External"/><Relationship Id="rId205" Type="http://schemas.openxmlformats.org/officeDocument/2006/relationships/hyperlink" Target="https://assos.bordeaux.fr/association/detail/681" TargetMode="External"/><Relationship Id="rId447" Type="http://schemas.openxmlformats.org/officeDocument/2006/relationships/hyperlink" Target="https://assos.bordeaux.fr/association/detail/710" TargetMode="External"/><Relationship Id="rId689" Type="http://schemas.openxmlformats.org/officeDocument/2006/relationships/hyperlink" Target="https://assos.bordeaux.fr/association/detail/1729" TargetMode="External"/><Relationship Id="rId204" Type="http://schemas.openxmlformats.org/officeDocument/2006/relationships/hyperlink" Target="https://assos.bordeaux.fr/association/detail/1564" TargetMode="External"/><Relationship Id="rId446" Type="http://schemas.openxmlformats.org/officeDocument/2006/relationships/hyperlink" Target="http://unitedbordeaux.blogspot.com" TargetMode="External"/><Relationship Id="rId688" Type="http://schemas.openxmlformats.org/officeDocument/2006/relationships/hyperlink" Target="http://www.leslionsdebordeaux.com" TargetMode="External"/><Relationship Id="rId203" Type="http://schemas.openxmlformats.org/officeDocument/2006/relationships/hyperlink" Target="http://www.coeurdetoile.com" TargetMode="External"/><Relationship Id="rId445" Type="http://schemas.openxmlformats.org/officeDocument/2006/relationships/hyperlink" Target="https://assos.bordeaux.fr/association/detail/1598" TargetMode="External"/><Relationship Id="rId687" Type="http://schemas.openxmlformats.org/officeDocument/2006/relationships/hyperlink" Target="https://assos.bordeaux.fr/association/detail/904"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682" Type="http://schemas.openxmlformats.org/officeDocument/2006/relationships/hyperlink" Target="https://assos.bordeaux.fr/association/detail/944" TargetMode="External"/><Relationship Id="rId1271" Type="http://schemas.openxmlformats.org/officeDocument/2006/relationships/hyperlink" Target="https://assos.bordeaux.fr/association/detail/1261" TargetMode="External"/><Relationship Id="rId681" Type="http://schemas.openxmlformats.org/officeDocument/2006/relationships/hyperlink" Target="https://assos.bordeaux.fr/association/detail/1655" TargetMode="External"/><Relationship Id="rId1030" Type="http://schemas.openxmlformats.org/officeDocument/2006/relationships/hyperlink" Target="http://www.asso-contact.org/asso/33" TargetMode="External"/><Relationship Id="rId1272" Type="http://schemas.openxmlformats.org/officeDocument/2006/relationships/hyperlink" Target="https://assos.bordeaux.fr/association/detail/509" TargetMode="External"/><Relationship Id="rId680" Type="http://schemas.openxmlformats.org/officeDocument/2006/relationships/hyperlink" Target="http://www.r2jeux.org" TargetMode="External"/><Relationship Id="rId1031" Type="http://schemas.openxmlformats.org/officeDocument/2006/relationships/hyperlink" Target="https://assos.bordeaux.fr/association/detail/1185" TargetMode="External"/><Relationship Id="rId1273" Type="http://schemas.openxmlformats.org/officeDocument/2006/relationships/hyperlink" Target="http://photoclubdebordeaux.com" TargetMode="External"/><Relationship Id="rId1032" Type="http://schemas.openxmlformats.org/officeDocument/2006/relationships/hyperlink" Target="https://assos.bordeaux.fr/association/detail/1780" TargetMode="External"/><Relationship Id="rId1274" Type="http://schemas.openxmlformats.org/officeDocument/2006/relationships/hyperlink" Target="https://assos.bordeaux.fr/association/detail/1119" TargetMode="External"/><Relationship Id="rId202" Type="http://schemas.openxmlformats.org/officeDocument/2006/relationships/hyperlink" Target="https://assos.bordeaux.fr/association/detail/1855" TargetMode="External"/><Relationship Id="rId444" Type="http://schemas.openxmlformats.org/officeDocument/2006/relationships/hyperlink" Target="https://assos.bordeaux.fr/association/detail/633" TargetMode="External"/><Relationship Id="rId686" Type="http://schemas.openxmlformats.org/officeDocument/2006/relationships/hyperlink" Target="http://ecomegot.com" TargetMode="External"/><Relationship Id="rId1033" Type="http://schemas.openxmlformats.org/officeDocument/2006/relationships/hyperlink" Target="http://www.5un7.fr" TargetMode="External"/><Relationship Id="rId1275" Type="http://schemas.openxmlformats.org/officeDocument/2006/relationships/hyperlink" Target="https://assos.bordeaux.fr/association/detail/1233" TargetMode="External"/><Relationship Id="rId201" Type="http://schemas.openxmlformats.org/officeDocument/2006/relationships/hyperlink" Target="http://accedeaquitaine.fr" TargetMode="External"/><Relationship Id="rId443" Type="http://schemas.openxmlformats.org/officeDocument/2006/relationships/hyperlink" Target="http://www.mda33.fr" TargetMode="External"/><Relationship Id="rId685" Type="http://schemas.openxmlformats.org/officeDocument/2006/relationships/hyperlink" Target="https://assos.bordeaux.fr/association/detail/1642" TargetMode="External"/><Relationship Id="rId1034" Type="http://schemas.openxmlformats.org/officeDocument/2006/relationships/hyperlink" Target="https://assos.bordeaux.fr/association/detail/1618" TargetMode="External"/><Relationship Id="rId1276" Type="http://schemas.openxmlformats.org/officeDocument/2006/relationships/hyperlink" Target="https://assos.bordeaux.fr/association/detail/934" TargetMode="External"/><Relationship Id="rId200" Type="http://schemas.openxmlformats.org/officeDocument/2006/relationships/hyperlink" Target="https://assos.bordeaux.fr/association/detail/1853" TargetMode="External"/><Relationship Id="rId442" Type="http://schemas.openxmlformats.org/officeDocument/2006/relationships/hyperlink" Target="https://assos.bordeaux.fr/association/detail/586" TargetMode="External"/><Relationship Id="rId684" Type="http://schemas.openxmlformats.org/officeDocument/2006/relationships/hyperlink" Target="http://www.magikhopital.fr" TargetMode="External"/><Relationship Id="rId1035" Type="http://schemas.openxmlformats.org/officeDocument/2006/relationships/hyperlink" Target="http://amicalebacalan.com"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683" Type="http://schemas.openxmlformats.org/officeDocument/2006/relationships/hyperlink" Target="https://assos.bordeaux.fr/association/detail/689" TargetMode="External"/><Relationship Id="rId1036" Type="http://schemas.openxmlformats.org/officeDocument/2006/relationships/hyperlink" Target="https://assos.bordeaux.fr/association/detail/677" TargetMode="External"/><Relationship Id="rId1278" Type="http://schemas.openxmlformats.org/officeDocument/2006/relationships/hyperlink" Target="https://assos.bordeaux.fr/association/detail/1104" TargetMode="External"/><Relationship Id="rId1026" Type="http://schemas.openxmlformats.org/officeDocument/2006/relationships/hyperlink" Target="http://www.ffmas.com" TargetMode="External"/><Relationship Id="rId1268" Type="http://schemas.openxmlformats.org/officeDocument/2006/relationships/hyperlink" Target="https://assos.bordeaux.fr/association/detail/1151" TargetMode="External"/><Relationship Id="rId1027" Type="http://schemas.openxmlformats.org/officeDocument/2006/relationships/hyperlink" Target="https://assos.bordeaux.fr/association/detail/1779" TargetMode="External"/><Relationship Id="rId1269" Type="http://schemas.openxmlformats.org/officeDocument/2006/relationships/hyperlink" Target="https://assos.bordeaux.fr/association/detail/847"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437" Type="http://schemas.openxmlformats.org/officeDocument/2006/relationships/hyperlink" Target="https://assos.bordeaux.fr/association/detail/1186" TargetMode="External"/><Relationship Id="rId679" Type="http://schemas.openxmlformats.org/officeDocument/2006/relationships/hyperlink" Target="https://assos.bordeaux.fr/association/detail/551" TargetMode="External"/><Relationship Id="rId436" Type="http://schemas.openxmlformats.org/officeDocument/2006/relationships/hyperlink" Target="https://assos.bordeaux.fr/association/detail/943" TargetMode="External"/><Relationship Id="rId678" Type="http://schemas.openxmlformats.org/officeDocument/2006/relationships/hyperlink" Target="https://assos.bordeaux.fr/association/detail/1154" TargetMode="External"/><Relationship Id="rId435" Type="http://schemas.openxmlformats.org/officeDocument/2006/relationships/hyperlink" Target="https://assos.bordeaux.fr/association/detail/729" TargetMode="External"/><Relationship Id="rId677" Type="http://schemas.openxmlformats.org/officeDocument/2006/relationships/hyperlink" Target="http://www.imaginamusic.fr" TargetMode="External"/><Relationship Id="rId434" Type="http://schemas.openxmlformats.org/officeDocument/2006/relationships/hyperlink" Target="http://rirespourgairire.jimdo.com" TargetMode="External"/><Relationship Id="rId676" Type="http://schemas.openxmlformats.org/officeDocument/2006/relationships/hyperlink" Target="https://assos.bordeaux.fr/association/detail/727"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671" Type="http://schemas.openxmlformats.org/officeDocument/2006/relationships/hyperlink" Target="https://assos.bordeaux.fr/association/detail/1586" TargetMode="External"/><Relationship Id="rId1260" Type="http://schemas.openxmlformats.org/officeDocument/2006/relationships/hyperlink" Target="https://assos.bordeaux.fr/association/detail/1098" TargetMode="External"/><Relationship Id="rId670" Type="http://schemas.openxmlformats.org/officeDocument/2006/relationships/hyperlink" Target="https://assos.bordeaux.fr/association/detail/1051" TargetMode="External"/><Relationship Id="rId1261" Type="http://schemas.openxmlformats.org/officeDocument/2006/relationships/hyperlink" Target="https://assos.bordeaux.fr/association/detail/1658" TargetMode="External"/><Relationship Id="rId1020" Type="http://schemas.openxmlformats.org/officeDocument/2006/relationships/hyperlink" Target="https://assos.bordeaux.fr/association/detail/854" TargetMode="External"/><Relationship Id="rId1262" Type="http://schemas.openxmlformats.org/officeDocument/2006/relationships/hyperlink" Target="http://www.peche33.com" TargetMode="External"/><Relationship Id="rId1021" Type="http://schemas.openxmlformats.org/officeDocument/2006/relationships/hyperlink" Target="https://assos.bordeaux.fr/association/detail/903"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675" Type="http://schemas.openxmlformats.org/officeDocument/2006/relationships/hyperlink" Target="http://www.club-presse-bordeaux.fr" TargetMode="External"/><Relationship Id="rId1022" Type="http://schemas.openxmlformats.org/officeDocument/2006/relationships/hyperlink" Target="http://bc-alamele.fr"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674" Type="http://schemas.openxmlformats.org/officeDocument/2006/relationships/hyperlink" Target="https://assos.bordeaux.fr/association/detail/845" TargetMode="External"/><Relationship Id="rId1023" Type="http://schemas.openxmlformats.org/officeDocument/2006/relationships/hyperlink" Target="https://assos.bordeaux.fr/association/detail/707"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673" Type="http://schemas.openxmlformats.org/officeDocument/2006/relationships/hyperlink" Target="https://assos.bordeaux.fr/association/detail/1303" TargetMode="External"/><Relationship Id="rId1024" Type="http://schemas.openxmlformats.org/officeDocument/2006/relationships/hyperlink" Target="http://www.egpebordeauxgironde.fr"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672" Type="http://schemas.openxmlformats.org/officeDocument/2006/relationships/hyperlink" Target="https://assos.bordeaux.fr/association/detail/651" TargetMode="External"/><Relationship Id="rId1025" Type="http://schemas.openxmlformats.org/officeDocument/2006/relationships/hyperlink" Target="https://assos.bordeaux.fr/association/detail/890" TargetMode="External"/><Relationship Id="rId1267" Type="http://schemas.openxmlformats.org/officeDocument/2006/relationships/hyperlink" Target="https://assos.bordeaux.fr/association/detail/745"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4.88"/>
  </cols>
  <sheetData>
    <row r="1" ht="96.75" customHeight="1">
      <c r="A1" s="1" t="s">
        <v>0</v>
      </c>
      <c r="E1" s="2"/>
    </row>
    <row r="2">
      <c r="A2" s="3" t="s">
        <v>1</v>
      </c>
      <c r="B2" s="3" t="s">
        <v>2</v>
      </c>
      <c r="C2" s="3" t="s">
        <v>3</v>
      </c>
      <c r="D2" s="4"/>
      <c r="E2" s="4"/>
    </row>
    <row r="3">
      <c r="A3" s="3" t="s">
        <v>4</v>
      </c>
      <c r="B3" s="4"/>
      <c r="C3" s="4"/>
      <c r="D3" s="4"/>
      <c r="E3" s="4"/>
    </row>
    <row r="4">
      <c r="A4" s="3" t="s">
        <v>5</v>
      </c>
      <c r="B4" s="3" t="s">
        <v>2</v>
      </c>
      <c r="C4" s="3" t="s">
        <v>6</v>
      </c>
      <c r="D4" s="4"/>
      <c r="E4" s="4"/>
    </row>
    <row r="5">
      <c r="A5" s="3" t="s">
        <v>7</v>
      </c>
      <c r="B5" s="3" t="s">
        <v>2</v>
      </c>
      <c r="C5" s="3" t="s">
        <v>3</v>
      </c>
      <c r="D5" s="4"/>
      <c r="E5" s="4"/>
    </row>
    <row r="6">
      <c r="A6" s="3" t="s">
        <v>8</v>
      </c>
      <c r="B6" s="3" t="s">
        <v>2</v>
      </c>
      <c r="C6" s="3" t="s">
        <v>3</v>
      </c>
      <c r="D6" s="4"/>
      <c r="E6" s="4"/>
    </row>
    <row r="7">
      <c r="A7" s="3" t="s">
        <v>9</v>
      </c>
      <c r="B7" s="3" t="s">
        <v>2</v>
      </c>
      <c r="C7" s="3" t="s">
        <v>3</v>
      </c>
      <c r="D7" s="4"/>
      <c r="E7" s="4"/>
    </row>
    <row r="8">
      <c r="A8" s="3" t="s">
        <v>10</v>
      </c>
      <c r="B8" s="3" t="s">
        <v>11</v>
      </c>
      <c r="C8" s="4"/>
      <c r="D8" s="4"/>
      <c r="E8" s="4"/>
    </row>
    <row r="9">
      <c r="A9" s="3" t="s">
        <v>12</v>
      </c>
      <c r="B9" s="3" t="s">
        <v>13</v>
      </c>
      <c r="C9" s="4"/>
      <c r="D9" s="4"/>
      <c r="E9" s="4"/>
    </row>
    <row r="10">
      <c r="A10" s="3" t="s">
        <v>14</v>
      </c>
      <c r="B10" s="3" t="s">
        <v>15</v>
      </c>
      <c r="C10" s="3" t="s">
        <v>16</v>
      </c>
      <c r="D10" s="4"/>
      <c r="E10" s="4"/>
    </row>
    <row r="11">
      <c r="A11" s="3" t="s">
        <v>17</v>
      </c>
      <c r="B11" s="3" t="s">
        <v>18</v>
      </c>
      <c r="C11" s="4"/>
      <c r="D11" s="4"/>
      <c r="E11" s="4"/>
    </row>
    <row r="12">
      <c r="A12" s="3" t="s">
        <v>19</v>
      </c>
      <c r="B12" s="3" t="s">
        <v>20</v>
      </c>
      <c r="C12" s="4"/>
      <c r="D12" s="4"/>
      <c r="E12" s="4"/>
    </row>
    <row r="13">
      <c r="A13" s="3" t="s">
        <v>21</v>
      </c>
      <c r="B13" s="3" t="s">
        <v>22</v>
      </c>
      <c r="C13" s="4"/>
      <c r="D13" s="4"/>
      <c r="E13" s="4"/>
    </row>
    <row r="14">
      <c r="A14" s="3" t="s">
        <v>23</v>
      </c>
      <c r="B14" s="3" t="s">
        <v>2</v>
      </c>
      <c r="C14" s="3" t="s">
        <v>3</v>
      </c>
      <c r="D14" s="4"/>
      <c r="E14" s="4"/>
    </row>
    <row r="15">
      <c r="A15" s="3" t="s">
        <v>24</v>
      </c>
      <c r="B15" s="3" t="s">
        <v>2</v>
      </c>
      <c r="C15" s="3" t="s">
        <v>3</v>
      </c>
      <c r="D15" s="4"/>
      <c r="E15" s="4"/>
    </row>
    <row r="16">
      <c r="A16" s="3" t="s">
        <v>25</v>
      </c>
      <c r="B16" s="3" t="s">
        <v>2</v>
      </c>
      <c r="C16" s="3" t="s">
        <v>26</v>
      </c>
      <c r="D16" s="4"/>
      <c r="E16" s="4"/>
    </row>
    <row r="17">
      <c r="A17" s="3" t="s">
        <v>27</v>
      </c>
      <c r="B17" s="3" t="s">
        <v>2</v>
      </c>
      <c r="C17" s="3" t="s">
        <v>3</v>
      </c>
      <c r="D17" s="4"/>
      <c r="E17" s="4"/>
    </row>
    <row r="18">
      <c r="A18" s="3" t="s">
        <v>28</v>
      </c>
      <c r="B18" s="3" t="s">
        <v>2</v>
      </c>
      <c r="C18" s="3" t="s">
        <v>29</v>
      </c>
      <c r="D18" s="4"/>
      <c r="E18" s="4"/>
    </row>
    <row r="19">
      <c r="A19" s="3" t="s">
        <v>30</v>
      </c>
      <c r="B19" s="3" t="s">
        <v>31</v>
      </c>
      <c r="C19" s="3" t="s">
        <v>32</v>
      </c>
      <c r="D19" s="4"/>
      <c r="E19" s="4"/>
    </row>
    <row r="20">
      <c r="A20" s="3" t="s">
        <v>33</v>
      </c>
      <c r="B20" s="4"/>
      <c r="C20" s="4"/>
      <c r="D20" s="4"/>
      <c r="E20" s="4"/>
    </row>
    <row r="21">
      <c r="A21" s="3" t="s">
        <v>34</v>
      </c>
      <c r="B21" s="3" t="s">
        <v>2</v>
      </c>
      <c r="C21" s="3" t="s">
        <v>3</v>
      </c>
      <c r="D21" s="4"/>
      <c r="E21" s="4"/>
    </row>
    <row r="22">
      <c r="A22" s="3" t="s">
        <v>35</v>
      </c>
      <c r="B22" s="3" t="s">
        <v>36</v>
      </c>
      <c r="C22" s="3" t="s">
        <v>37</v>
      </c>
      <c r="D22" s="4"/>
      <c r="E22" s="4"/>
    </row>
    <row r="23">
      <c r="A23" s="4"/>
      <c r="B23" s="4"/>
      <c r="C23" s="3" t="s">
        <v>38</v>
      </c>
      <c r="D23" s="4"/>
      <c r="E23" s="4"/>
    </row>
    <row r="24">
      <c r="A24" s="3" t="s">
        <v>39</v>
      </c>
      <c r="B24" s="3" t="s">
        <v>2</v>
      </c>
      <c r="C24" s="3" t="s">
        <v>3</v>
      </c>
      <c r="D24" s="4"/>
      <c r="E24" s="4"/>
    </row>
    <row r="25">
      <c r="A25" s="3" t="s">
        <v>40</v>
      </c>
      <c r="B25" s="4"/>
      <c r="C25" s="4"/>
      <c r="D25" s="4"/>
      <c r="E25" s="4"/>
    </row>
    <row r="26">
      <c r="A26" s="3" t="s">
        <v>41</v>
      </c>
      <c r="B26" s="3" t="s">
        <v>42</v>
      </c>
      <c r="C26" s="4"/>
      <c r="D26" s="4"/>
      <c r="E26" s="4"/>
    </row>
    <row r="27">
      <c r="A27" s="3" t="s">
        <v>43</v>
      </c>
      <c r="B27" s="4"/>
      <c r="C27" s="4"/>
      <c r="D27" s="4"/>
      <c r="E27" s="4"/>
    </row>
    <row r="28">
      <c r="A28" s="3" t="s">
        <v>44</v>
      </c>
      <c r="B28" s="3" t="s">
        <v>45</v>
      </c>
      <c r="C28" s="3" t="s">
        <v>3</v>
      </c>
      <c r="D28" s="4"/>
      <c r="E28" s="4"/>
    </row>
    <row r="29">
      <c r="A29" s="3" t="s">
        <v>46</v>
      </c>
      <c r="B29" s="3" t="s">
        <v>47</v>
      </c>
      <c r="C29" s="3" t="s">
        <v>3</v>
      </c>
      <c r="D29" s="4"/>
      <c r="E29" s="4"/>
    </row>
    <row r="30">
      <c r="A30" s="3" t="s">
        <v>48</v>
      </c>
      <c r="B30" s="3" t="s">
        <v>2</v>
      </c>
      <c r="C30" s="3" t="s">
        <v>3</v>
      </c>
      <c r="D30" s="4"/>
      <c r="E30" s="4"/>
    </row>
    <row r="31">
      <c r="A31" s="3" t="s">
        <v>49</v>
      </c>
      <c r="B31" s="4"/>
      <c r="C31" s="4"/>
      <c r="D31" s="4"/>
      <c r="E31" s="4"/>
    </row>
    <row r="32">
      <c r="A32" s="3" t="s">
        <v>50</v>
      </c>
      <c r="B32" s="3" t="s">
        <v>51</v>
      </c>
      <c r="C32" s="3" t="s">
        <v>3</v>
      </c>
      <c r="D32" s="4"/>
      <c r="E32" s="4"/>
    </row>
    <row r="33">
      <c r="A33" s="3" t="s">
        <v>52</v>
      </c>
      <c r="B33" s="4"/>
      <c r="C33" s="4"/>
      <c r="D33" s="4"/>
      <c r="E33" s="4"/>
    </row>
    <row r="34">
      <c r="A34" s="3" t="s">
        <v>53</v>
      </c>
      <c r="B34" s="3" t="s">
        <v>36</v>
      </c>
      <c r="C34" s="4"/>
      <c r="D34" s="4"/>
      <c r="E34" s="4"/>
    </row>
    <row r="35">
      <c r="A35" s="3" t="s">
        <v>54</v>
      </c>
      <c r="B35" s="3" t="s">
        <v>2</v>
      </c>
      <c r="C35" s="3" t="s">
        <v>3</v>
      </c>
      <c r="D35" s="4"/>
      <c r="E35" s="4"/>
    </row>
    <row r="36">
      <c r="A36" s="3" t="s">
        <v>55</v>
      </c>
      <c r="B36" s="3" t="s">
        <v>56</v>
      </c>
      <c r="C36" s="4"/>
      <c r="D36" s="4"/>
      <c r="E36" s="4"/>
    </row>
    <row r="37">
      <c r="A37" s="3" t="s">
        <v>57</v>
      </c>
      <c r="B37" s="3" t="s">
        <v>58</v>
      </c>
      <c r="C37" s="4"/>
      <c r="D37" s="4"/>
      <c r="E37" s="4"/>
    </row>
    <row r="38">
      <c r="A38" s="3" t="s">
        <v>59</v>
      </c>
      <c r="B38" s="3" t="s">
        <v>2</v>
      </c>
      <c r="C38" s="3" t="s">
        <v>3</v>
      </c>
      <c r="D38" s="4"/>
      <c r="E38" s="4"/>
    </row>
    <row r="39">
      <c r="A39" s="3" t="s">
        <v>60</v>
      </c>
      <c r="B39" s="3" t="s">
        <v>2</v>
      </c>
      <c r="C39" s="3" t="s">
        <v>3</v>
      </c>
      <c r="D39" s="4"/>
      <c r="E39" s="4"/>
    </row>
    <row r="40">
      <c r="A40" s="3" t="s">
        <v>61</v>
      </c>
      <c r="B40" s="3" t="s">
        <v>2</v>
      </c>
      <c r="C40" s="3" t="s">
        <v>3</v>
      </c>
      <c r="D40" s="4"/>
      <c r="E40" s="4"/>
    </row>
    <row r="41">
      <c r="A41" s="3" t="s">
        <v>62</v>
      </c>
      <c r="B41" s="3" t="s">
        <v>18</v>
      </c>
      <c r="C41" s="4"/>
      <c r="D41" s="4"/>
      <c r="E41" s="4"/>
    </row>
    <row r="42">
      <c r="A42" s="3" t="s">
        <v>63</v>
      </c>
      <c r="B42" s="3" t="s">
        <v>42</v>
      </c>
      <c r="C42" s="3" t="s">
        <v>3</v>
      </c>
      <c r="D42" s="4"/>
      <c r="E42" s="4"/>
    </row>
    <row r="43">
      <c r="A43" s="3" t="s">
        <v>64</v>
      </c>
      <c r="B43" s="3" t="s">
        <v>65</v>
      </c>
      <c r="C43" s="4"/>
      <c r="D43" s="4"/>
      <c r="E43" s="4"/>
    </row>
    <row r="44">
      <c r="A44" s="3" t="s">
        <v>66</v>
      </c>
      <c r="B44" s="3" t="s">
        <v>2</v>
      </c>
      <c r="C44" s="3" t="s">
        <v>6</v>
      </c>
      <c r="D44" s="4"/>
      <c r="E44" s="4"/>
    </row>
    <row r="45">
      <c r="A45" s="3" t="s">
        <v>67</v>
      </c>
      <c r="B45" s="3" t="s">
        <v>65</v>
      </c>
      <c r="C45" s="4"/>
      <c r="D45" s="4"/>
      <c r="E45" s="4"/>
    </row>
    <row r="46">
      <c r="A46" s="3" t="s">
        <v>68</v>
      </c>
      <c r="B46" s="3" t="s">
        <v>69</v>
      </c>
      <c r="C46" s="4"/>
      <c r="D46" s="4"/>
      <c r="E46" s="4"/>
    </row>
    <row r="47">
      <c r="A47" s="3" t="s">
        <v>70</v>
      </c>
      <c r="B47" s="4"/>
      <c r="C47" s="4"/>
      <c r="D47" s="4"/>
      <c r="E47" s="4"/>
    </row>
    <row r="48">
      <c r="A48" s="3" t="s">
        <v>71</v>
      </c>
      <c r="B48" s="3" t="s">
        <v>72</v>
      </c>
      <c r="C48" s="3" t="s">
        <v>3</v>
      </c>
      <c r="D48" s="4"/>
      <c r="E48" s="4"/>
    </row>
    <row r="49">
      <c r="A49" s="3" t="s">
        <v>73</v>
      </c>
      <c r="B49" s="3" t="s">
        <v>2</v>
      </c>
      <c r="C49" s="3" t="s">
        <v>6</v>
      </c>
      <c r="D49" s="4"/>
      <c r="E49" s="4"/>
    </row>
    <row r="50">
      <c r="A50" s="3" t="s">
        <v>74</v>
      </c>
      <c r="B50" s="3" t="s">
        <v>18</v>
      </c>
      <c r="C50" s="4"/>
      <c r="D50" s="4"/>
      <c r="E50" s="4"/>
    </row>
    <row r="51">
      <c r="A51" s="3" t="s">
        <v>75</v>
      </c>
      <c r="B51" s="4"/>
      <c r="C51" s="4"/>
      <c r="D51" s="4"/>
      <c r="E51" s="4"/>
    </row>
    <row r="52">
      <c r="A52" s="3" t="s">
        <v>76</v>
      </c>
      <c r="B52" s="3" t="s">
        <v>42</v>
      </c>
      <c r="C52" s="3" t="s">
        <v>6</v>
      </c>
      <c r="D52" s="4"/>
      <c r="E52" s="4"/>
    </row>
    <row r="53">
      <c r="A53" s="3" t="s">
        <v>77</v>
      </c>
      <c r="B53" s="3" t="s">
        <v>20</v>
      </c>
      <c r="C53" s="4"/>
      <c r="D53" s="4"/>
      <c r="E53" s="4"/>
    </row>
    <row r="54">
      <c r="A54" s="3" t="s">
        <v>78</v>
      </c>
      <c r="B54" s="3" t="s">
        <v>79</v>
      </c>
      <c r="C54" s="4"/>
      <c r="D54" s="4"/>
      <c r="E54" s="4"/>
    </row>
    <row r="55">
      <c r="A55" s="3" t="s">
        <v>80</v>
      </c>
      <c r="B55" s="3" t="s">
        <v>2</v>
      </c>
      <c r="C55" s="3" t="s">
        <v>3</v>
      </c>
      <c r="D55" s="4"/>
      <c r="E55" s="4"/>
    </row>
    <row r="56">
      <c r="A56" s="3" t="s">
        <v>81</v>
      </c>
      <c r="B56" s="3" t="s">
        <v>20</v>
      </c>
      <c r="C56" s="3" t="s">
        <v>29</v>
      </c>
      <c r="D56" s="4"/>
      <c r="E56" s="4"/>
    </row>
    <row r="57">
      <c r="A57" s="3" t="s">
        <v>82</v>
      </c>
      <c r="B57" s="3" t="s">
        <v>83</v>
      </c>
      <c r="C57" s="4"/>
      <c r="D57" s="4"/>
      <c r="E57" s="4"/>
    </row>
    <row r="58">
      <c r="A58" s="3" t="s">
        <v>84</v>
      </c>
      <c r="B58" s="3" t="s">
        <v>85</v>
      </c>
      <c r="C58" s="3" t="s">
        <v>26</v>
      </c>
      <c r="D58" s="4"/>
      <c r="E58" s="4"/>
    </row>
    <row r="59">
      <c r="A59" s="3" t="s">
        <v>86</v>
      </c>
      <c r="B59" s="3" t="s">
        <v>2</v>
      </c>
      <c r="C59" s="3" t="s">
        <v>32</v>
      </c>
      <c r="D59" s="4"/>
      <c r="E59" s="4"/>
    </row>
    <row r="60">
      <c r="A60" s="3" t="s">
        <v>87</v>
      </c>
      <c r="B60" s="3" t="s">
        <v>2</v>
      </c>
      <c r="C60" s="3" t="s">
        <v>3</v>
      </c>
      <c r="D60" s="4"/>
      <c r="E60" s="4"/>
    </row>
    <row r="61">
      <c r="A61" s="3" t="s">
        <v>88</v>
      </c>
      <c r="B61" s="3" t="s">
        <v>47</v>
      </c>
      <c r="C61" s="3" t="s">
        <v>3</v>
      </c>
      <c r="D61" s="4"/>
      <c r="E61" s="4"/>
    </row>
    <row r="62">
      <c r="A62" s="3" t="s">
        <v>89</v>
      </c>
      <c r="B62" s="4"/>
      <c r="C62" s="4"/>
      <c r="D62" s="4"/>
      <c r="E62" s="4"/>
    </row>
    <row r="63">
      <c r="A63" s="3" t="s">
        <v>90</v>
      </c>
      <c r="B63" s="3" t="s">
        <v>2</v>
      </c>
      <c r="C63" s="3" t="s">
        <v>3</v>
      </c>
      <c r="D63" s="4"/>
      <c r="E63" s="4"/>
    </row>
    <row r="64">
      <c r="A64" s="3" t="s">
        <v>91</v>
      </c>
      <c r="B64" s="3" t="s">
        <v>2</v>
      </c>
      <c r="C64" s="3" t="s">
        <v>3</v>
      </c>
      <c r="D64" s="4"/>
      <c r="E64" s="4"/>
    </row>
    <row r="65">
      <c r="A65" s="3" t="s">
        <v>92</v>
      </c>
      <c r="B65" s="3" t="s">
        <v>2</v>
      </c>
      <c r="C65" s="3" t="s">
        <v>6</v>
      </c>
      <c r="D65" s="4"/>
      <c r="E65" s="4"/>
    </row>
    <row r="66">
      <c r="A66" s="3" t="s">
        <v>93</v>
      </c>
      <c r="B66" s="3" t="s">
        <v>11</v>
      </c>
      <c r="C66" s="4"/>
      <c r="D66" s="4"/>
      <c r="E66" s="4"/>
    </row>
    <row r="67">
      <c r="A67" s="3" t="s">
        <v>94</v>
      </c>
      <c r="B67" s="3" t="s">
        <v>18</v>
      </c>
      <c r="C67" s="4"/>
      <c r="D67" s="4"/>
      <c r="E67" s="4"/>
    </row>
    <row r="68">
      <c r="A68" s="3" t="s">
        <v>95</v>
      </c>
      <c r="B68" s="4"/>
      <c r="C68" s="4"/>
      <c r="D68" s="4"/>
      <c r="E68" s="4"/>
    </row>
    <row r="69">
      <c r="A69" s="3" t="s">
        <v>96</v>
      </c>
      <c r="B69" s="3" t="s">
        <v>97</v>
      </c>
      <c r="C69" s="4"/>
      <c r="D69" s="4"/>
      <c r="E69" s="4"/>
    </row>
    <row r="70">
      <c r="A70" s="3" t="s">
        <v>98</v>
      </c>
      <c r="B70" s="4"/>
      <c r="C70" s="4"/>
      <c r="D70" s="4"/>
      <c r="E70" s="4"/>
    </row>
    <row r="71">
      <c r="A71" s="3" t="s">
        <v>99</v>
      </c>
      <c r="B71" s="3" t="s">
        <v>2</v>
      </c>
      <c r="C71" s="3" t="s">
        <v>3</v>
      </c>
      <c r="D71" s="4"/>
      <c r="E71" s="4"/>
    </row>
    <row r="72">
      <c r="A72" s="3" t="s">
        <v>100</v>
      </c>
      <c r="B72" s="3" t="s">
        <v>2</v>
      </c>
      <c r="C72" s="3" t="s">
        <v>3</v>
      </c>
      <c r="D72" s="4"/>
      <c r="E72" s="4"/>
    </row>
    <row r="73">
      <c r="A73" s="3" t="s">
        <v>101</v>
      </c>
      <c r="B73" s="3" t="s">
        <v>2</v>
      </c>
      <c r="C73" s="3" t="s">
        <v>3</v>
      </c>
      <c r="D73" s="4"/>
      <c r="E73" s="4"/>
    </row>
    <row r="74">
      <c r="A74" s="3" t="s">
        <v>102</v>
      </c>
      <c r="B74" s="3" t="s">
        <v>2</v>
      </c>
      <c r="C74" s="3" t="s">
        <v>3</v>
      </c>
      <c r="D74" s="4"/>
      <c r="E74" s="4"/>
    </row>
    <row r="75">
      <c r="A75" s="3" t="s">
        <v>103</v>
      </c>
      <c r="B75" s="3" t="s">
        <v>11</v>
      </c>
      <c r="C75" s="4"/>
      <c r="D75" s="4"/>
      <c r="E75" s="4"/>
    </row>
    <row r="76">
      <c r="A76" s="3" t="s">
        <v>104</v>
      </c>
      <c r="B76" s="3" t="s">
        <v>2</v>
      </c>
      <c r="C76" s="3" t="s">
        <v>3</v>
      </c>
      <c r="D76" s="4"/>
      <c r="E76" s="4"/>
    </row>
    <row r="77">
      <c r="A77" s="3" t="s">
        <v>105</v>
      </c>
      <c r="B77" s="3" t="s">
        <v>2</v>
      </c>
      <c r="C77" s="3" t="s">
        <v>3</v>
      </c>
      <c r="D77" s="4"/>
      <c r="E77" s="4"/>
    </row>
    <row r="78">
      <c r="A78" s="3" t="s">
        <v>106</v>
      </c>
      <c r="B78" s="3" t="s">
        <v>18</v>
      </c>
      <c r="C78" s="4"/>
      <c r="D78" s="4"/>
      <c r="E78" s="4"/>
    </row>
    <row r="79">
      <c r="A79" s="3" t="s">
        <v>107</v>
      </c>
      <c r="B79" s="4"/>
      <c r="C79" s="4"/>
      <c r="D79" s="4"/>
      <c r="E79" s="4"/>
    </row>
    <row r="80">
      <c r="A80" s="3" t="s">
        <v>108</v>
      </c>
      <c r="B80" s="3" t="s">
        <v>2</v>
      </c>
      <c r="C80" s="3" t="s">
        <v>3</v>
      </c>
      <c r="D80" s="4"/>
      <c r="E80" s="4"/>
    </row>
    <row r="81">
      <c r="A81" s="3" t="s">
        <v>109</v>
      </c>
      <c r="B81" s="4"/>
      <c r="C81" s="4"/>
      <c r="D81" s="4"/>
      <c r="E81" s="4"/>
    </row>
    <row r="82">
      <c r="A82" s="3" t="s">
        <v>110</v>
      </c>
      <c r="B82" s="3" t="s">
        <v>2</v>
      </c>
      <c r="C82" s="3" t="s">
        <v>3</v>
      </c>
      <c r="D82" s="4"/>
      <c r="E82" s="4"/>
    </row>
    <row r="83">
      <c r="A83" s="3" t="s">
        <v>111</v>
      </c>
      <c r="B83" s="3" t="s">
        <v>112</v>
      </c>
      <c r="C83" s="3" t="s">
        <v>37</v>
      </c>
      <c r="D83" s="4"/>
      <c r="E83" s="4"/>
    </row>
    <row r="84">
      <c r="A84" s="3" t="s">
        <v>113</v>
      </c>
      <c r="B84" s="4"/>
      <c r="C84" s="3" t="s">
        <v>38</v>
      </c>
      <c r="D84" s="4"/>
      <c r="E84" s="4"/>
    </row>
    <row r="85">
      <c r="A85" s="3" t="s">
        <v>114</v>
      </c>
      <c r="B85" s="3" t="s">
        <v>115</v>
      </c>
      <c r="C85" s="4"/>
      <c r="D85" s="4"/>
      <c r="E85" s="4"/>
    </row>
    <row r="86">
      <c r="A86" s="3" t="s">
        <v>116</v>
      </c>
      <c r="B86" s="3" t="s">
        <v>45</v>
      </c>
      <c r="C86" s="4"/>
      <c r="D86" s="4"/>
      <c r="E86" s="4"/>
    </row>
    <row r="87">
      <c r="A87" s="3" t="s">
        <v>117</v>
      </c>
      <c r="B87" s="3" t="s">
        <v>118</v>
      </c>
      <c r="C87" s="4"/>
      <c r="D87" s="4"/>
      <c r="E87" s="4"/>
    </row>
    <row r="88">
      <c r="A88" s="3" t="s">
        <v>119</v>
      </c>
      <c r="B88" s="3" t="s">
        <v>2</v>
      </c>
      <c r="C88" s="3" t="s">
        <v>3</v>
      </c>
      <c r="D88" s="4"/>
      <c r="E88" s="4"/>
    </row>
    <row r="89">
      <c r="A89" s="3" t="s">
        <v>120</v>
      </c>
      <c r="B89" s="4"/>
      <c r="C89" s="4"/>
      <c r="D89" s="4"/>
      <c r="E89" s="4"/>
    </row>
    <row r="90">
      <c r="A90" s="3" t="s">
        <v>121</v>
      </c>
      <c r="B90" s="3" t="s">
        <v>2</v>
      </c>
      <c r="C90" s="3" t="s">
        <v>3</v>
      </c>
      <c r="D90" s="4"/>
      <c r="E90" s="4"/>
    </row>
    <row r="91">
      <c r="A91" s="3" t="s">
        <v>122</v>
      </c>
      <c r="B91" s="3" t="s">
        <v>11</v>
      </c>
      <c r="C91" s="3" t="s">
        <v>6</v>
      </c>
      <c r="D91" s="4"/>
      <c r="E91" s="4"/>
    </row>
    <row r="92">
      <c r="A92" s="3" t="s">
        <v>123</v>
      </c>
      <c r="B92" s="4"/>
      <c r="C92" s="4"/>
      <c r="D92" s="4"/>
      <c r="E92" s="4"/>
    </row>
    <row r="93">
      <c r="A93" s="3" t="s">
        <v>124</v>
      </c>
      <c r="B93" s="3" t="s">
        <v>125</v>
      </c>
      <c r="C93" s="3" t="s">
        <v>26</v>
      </c>
      <c r="D93" s="4"/>
      <c r="E93" s="4"/>
    </row>
    <row r="94">
      <c r="A94" s="3" t="s">
        <v>126</v>
      </c>
      <c r="B94" s="3" t="s">
        <v>127</v>
      </c>
      <c r="C94" s="3" t="s">
        <v>29</v>
      </c>
      <c r="D94" s="4"/>
      <c r="E94" s="4"/>
    </row>
    <row r="95">
      <c r="A95" s="3" t="s">
        <v>128</v>
      </c>
      <c r="B95" s="4"/>
      <c r="C95" s="4"/>
      <c r="D95" s="4"/>
      <c r="E95" s="4"/>
    </row>
    <row r="96">
      <c r="A96" s="3" t="s">
        <v>129</v>
      </c>
      <c r="B96" s="3" t="s">
        <v>2</v>
      </c>
      <c r="C96" s="3" t="s">
        <v>29</v>
      </c>
      <c r="D96" s="4"/>
      <c r="E96" s="4"/>
    </row>
    <row r="97">
      <c r="A97" s="3" t="s">
        <v>130</v>
      </c>
      <c r="B97" s="4"/>
      <c r="C97" s="4"/>
      <c r="D97" s="4"/>
      <c r="E97" s="4"/>
    </row>
    <row r="98">
      <c r="A98" s="3" t="s">
        <v>131</v>
      </c>
      <c r="B98" s="3" t="s">
        <v>2</v>
      </c>
      <c r="C98" s="3" t="s">
        <v>3</v>
      </c>
      <c r="D98" s="4"/>
      <c r="E98" s="4"/>
    </row>
    <row r="99">
      <c r="A99" s="3" t="s">
        <v>132</v>
      </c>
      <c r="B99" s="3" t="s">
        <v>2</v>
      </c>
      <c r="C99" s="3" t="s">
        <v>3</v>
      </c>
      <c r="D99" s="4"/>
      <c r="E99" s="4"/>
    </row>
    <row r="100">
      <c r="A100" s="3" t="s">
        <v>133</v>
      </c>
      <c r="B100" s="3" t="s">
        <v>20</v>
      </c>
      <c r="C100" s="3" t="s">
        <v>3</v>
      </c>
      <c r="D100" s="4"/>
      <c r="E100" s="4"/>
    </row>
    <row r="101">
      <c r="A101" s="3" t="s">
        <v>134</v>
      </c>
      <c r="B101" s="3" t="s">
        <v>135</v>
      </c>
      <c r="C101" s="3" t="s">
        <v>3</v>
      </c>
      <c r="D101" s="4"/>
      <c r="E101" s="4"/>
    </row>
    <row r="102">
      <c r="A102" s="3" t="s">
        <v>136</v>
      </c>
      <c r="B102" s="3" t="s">
        <v>137</v>
      </c>
      <c r="C102" s="4"/>
      <c r="D102" s="4"/>
      <c r="E102" s="4"/>
    </row>
    <row r="103">
      <c r="A103" s="3" t="s">
        <v>138</v>
      </c>
      <c r="B103" s="3" t="s">
        <v>139</v>
      </c>
      <c r="C103" s="4"/>
      <c r="D103" s="4"/>
      <c r="E103" s="4"/>
    </row>
    <row r="104">
      <c r="A104" s="3" t="s">
        <v>140</v>
      </c>
      <c r="B104" s="3" t="s">
        <v>2</v>
      </c>
      <c r="C104" s="3" t="s">
        <v>6</v>
      </c>
      <c r="D104" s="4"/>
      <c r="E104" s="4"/>
    </row>
    <row r="105">
      <c r="A105" s="3" t="s">
        <v>141</v>
      </c>
      <c r="B105" s="3" t="s">
        <v>2</v>
      </c>
      <c r="C105" s="3" t="s">
        <v>3</v>
      </c>
      <c r="D105" s="4"/>
      <c r="E105" s="4"/>
    </row>
    <row r="106">
      <c r="A106" s="3" t="s">
        <v>142</v>
      </c>
      <c r="B106" s="3" t="s">
        <v>2</v>
      </c>
      <c r="C106" s="3" t="s">
        <v>3</v>
      </c>
      <c r="D106" s="4"/>
      <c r="E106" s="4"/>
    </row>
    <row r="107">
      <c r="A107" s="3" t="s">
        <v>143</v>
      </c>
      <c r="B107" s="3" t="s">
        <v>2</v>
      </c>
      <c r="C107" s="3" t="s">
        <v>32</v>
      </c>
      <c r="D107" s="4"/>
      <c r="E107" s="4"/>
    </row>
    <row r="108">
      <c r="A108" s="3" t="s">
        <v>144</v>
      </c>
      <c r="B108" s="3" t="s">
        <v>2</v>
      </c>
      <c r="C108" s="3" t="s">
        <v>3</v>
      </c>
      <c r="D108" s="4"/>
      <c r="E108" s="4"/>
    </row>
    <row r="109">
      <c r="A109" s="3" t="s">
        <v>145</v>
      </c>
      <c r="B109" s="3" t="s">
        <v>146</v>
      </c>
      <c r="C109" s="4"/>
      <c r="D109" s="4"/>
      <c r="E109" s="4"/>
    </row>
    <row r="110">
      <c r="A110" s="3" t="s">
        <v>147</v>
      </c>
      <c r="B110" s="3" t="s">
        <v>2</v>
      </c>
      <c r="C110" s="3" t="s">
        <v>3</v>
      </c>
      <c r="D110" s="4"/>
      <c r="E110" s="4"/>
    </row>
    <row r="111">
      <c r="A111" s="3" t="s">
        <v>148</v>
      </c>
      <c r="B111" s="3" t="s">
        <v>2</v>
      </c>
      <c r="C111" s="3" t="s">
        <v>6</v>
      </c>
      <c r="D111" s="4"/>
      <c r="E111" s="4"/>
    </row>
    <row r="112">
      <c r="A112" s="3" t="s">
        <v>149</v>
      </c>
      <c r="B112" s="3" t="s">
        <v>150</v>
      </c>
      <c r="C112" s="3" t="s">
        <v>3</v>
      </c>
      <c r="D112" s="4"/>
      <c r="E112" s="4"/>
    </row>
    <row r="113">
      <c r="A113" s="3" t="s">
        <v>151</v>
      </c>
      <c r="B113" s="4"/>
      <c r="C113" s="4"/>
      <c r="D113" s="4"/>
      <c r="E113" s="4"/>
    </row>
    <row r="114">
      <c r="A114" s="3" t="s">
        <v>152</v>
      </c>
      <c r="B114" s="3" t="s">
        <v>65</v>
      </c>
      <c r="C114" s="4"/>
      <c r="D114" s="4"/>
      <c r="E114" s="4"/>
    </row>
    <row r="115">
      <c r="A115" s="3" t="s">
        <v>153</v>
      </c>
      <c r="B115" s="3" t="s">
        <v>2</v>
      </c>
      <c r="C115" s="3" t="s">
        <v>29</v>
      </c>
      <c r="D115" s="4"/>
      <c r="E115" s="4"/>
    </row>
    <row r="116">
      <c r="A116" s="3" t="s">
        <v>154</v>
      </c>
      <c r="B116" s="3" t="s">
        <v>2</v>
      </c>
      <c r="C116" s="3" t="s">
        <v>32</v>
      </c>
      <c r="D116" s="4"/>
      <c r="E116" s="4"/>
    </row>
    <row r="117">
      <c r="A117" s="3" t="s">
        <v>155</v>
      </c>
      <c r="B117" s="3" t="s">
        <v>2</v>
      </c>
      <c r="C117" s="3" t="s">
        <v>3</v>
      </c>
      <c r="D117" s="4"/>
      <c r="E117" s="4"/>
    </row>
    <row r="118">
      <c r="A118" s="3" t="s">
        <v>156</v>
      </c>
      <c r="B118" s="3" t="s">
        <v>2</v>
      </c>
      <c r="C118" s="3" t="s">
        <v>6</v>
      </c>
      <c r="D118" s="4"/>
      <c r="E118" s="4"/>
    </row>
    <row r="119">
      <c r="A119" s="3" t="s">
        <v>157</v>
      </c>
      <c r="B119" s="3" t="s">
        <v>22</v>
      </c>
      <c r="C119" s="4"/>
      <c r="D119" s="4"/>
      <c r="E119" s="4"/>
    </row>
    <row r="120">
      <c r="A120" s="3" t="s">
        <v>158</v>
      </c>
      <c r="B120" s="3" t="s">
        <v>159</v>
      </c>
      <c r="C120" s="4"/>
      <c r="D120" s="4"/>
      <c r="E120" s="4"/>
    </row>
    <row r="121">
      <c r="A121" s="3" t="s">
        <v>160</v>
      </c>
      <c r="B121" s="3" t="s">
        <v>2</v>
      </c>
      <c r="C121" s="3" t="s">
        <v>26</v>
      </c>
      <c r="D121" s="4"/>
      <c r="E121" s="4"/>
    </row>
    <row r="122">
      <c r="A122" s="3" t="s">
        <v>161</v>
      </c>
      <c r="B122" s="3" t="s">
        <v>162</v>
      </c>
      <c r="C122" s="3" t="s">
        <v>32</v>
      </c>
      <c r="D122" s="4"/>
      <c r="E122" s="4"/>
    </row>
    <row r="123">
      <c r="A123" s="3" t="s">
        <v>163</v>
      </c>
      <c r="B123" s="4"/>
      <c r="C123" s="4"/>
      <c r="D123" s="4"/>
      <c r="E123" s="4"/>
    </row>
    <row r="124">
      <c r="A124" s="3" t="s">
        <v>164</v>
      </c>
      <c r="B124" s="3" t="s">
        <v>165</v>
      </c>
      <c r="C124" s="4"/>
      <c r="D124" s="4"/>
      <c r="E124" s="4"/>
    </row>
    <row r="125">
      <c r="A125" s="3" t="s">
        <v>166</v>
      </c>
      <c r="B125" s="3" t="s">
        <v>167</v>
      </c>
      <c r="C125" s="4"/>
      <c r="D125" s="4"/>
      <c r="E125" s="4"/>
    </row>
    <row r="126">
      <c r="A126" s="3" t="s">
        <v>168</v>
      </c>
      <c r="B126" s="3" t="s">
        <v>125</v>
      </c>
      <c r="C126" s="4"/>
      <c r="D126" s="4"/>
      <c r="E126" s="4"/>
    </row>
    <row r="127">
      <c r="A127" s="3" t="s">
        <v>169</v>
      </c>
      <c r="B127" s="3" t="s">
        <v>2</v>
      </c>
      <c r="C127" s="3" t="s">
        <v>29</v>
      </c>
      <c r="D127" s="4"/>
      <c r="E127" s="4"/>
    </row>
    <row r="128">
      <c r="A128" s="3" t="s">
        <v>170</v>
      </c>
      <c r="B128" s="3" t="s">
        <v>2</v>
      </c>
      <c r="C128" s="3" t="s">
        <v>3</v>
      </c>
      <c r="D128" s="4"/>
      <c r="E128" s="4"/>
    </row>
    <row r="129">
      <c r="A129" s="3" t="s">
        <v>171</v>
      </c>
      <c r="B129" s="3" t="s">
        <v>172</v>
      </c>
      <c r="C129" s="3" t="s">
        <v>6</v>
      </c>
      <c r="D129" s="4"/>
      <c r="E129" s="4"/>
    </row>
    <row r="130">
      <c r="A130" s="3" t="s">
        <v>173</v>
      </c>
      <c r="B130" s="3" t="s">
        <v>115</v>
      </c>
      <c r="C130" s="4"/>
      <c r="D130" s="4"/>
      <c r="E130" s="4"/>
    </row>
    <row r="131">
      <c r="A131" s="3" t="s">
        <v>174</v>
      </c>
      <c r="B131" s="3" t="s">
        <v>175</v>
      </c>
      <c r="C131" s="3" t="s">
        <v>176</v>
      </c>
      <c r="D131" s="4"/>
      <c r="E131" s="4"/>
    </row>
    <row r="132">
      <c r="A132" s="3" t="s">
        <v>177</v>
      </c>
      <c r="B132" s="3" t="s">
        <v>2</v>
      </c>
      <c r="C132" s="3" t="s">
        <v>3</v>
      </c>
      <c r="D132" s="4"/>
      <c r="E132" s="4"/>
    </row>
    <row r="133">
      <c r="A133" s="3" t="s">
        <v>178</v>
      </c>
      <c r="B133" s="3" t="s">
        <v>2</v>
      </c>
      <c r="C133" s="3" t="s">
        <v>6</v>
      </c>
      <c r="D133" s="4"/>
      <c r="E133" s="4"/>
    </row>
    <row r="134">
      <c r="A134" s="3" t="s">
        <v>179</v>
      </c>
      <c r="B134" s="3" t="s">
        <v>2</v>
      </c>
      <c r="C134" s="3" t="s">
        <v>3</v>
      </c>
      <c r="D134" s="4"/>
      <c r="E134" s="4"/>
    </row>
    <row r="135">
      <c r="A135" s="3" t="s">
        <v>180</v>
      </c>
      <c r="B135" s="3" t="s">
        <v>181</v>
      </c>
      <c r="C135" s="4"/>
      <c r="D135" s="4"/>
      <c r="E135" s="4"/>
    </row>
    <row r="136">
      <c r="A136" s="3" t="s">
        <v>182</v>
      </c>
      <c r="B136" s="3" t="s">
        <v>2</v>
      </c>
      <c r="C136" s="3" t="s">
        <v>3</v>
      </c>
      <c r="D136" s="4"/>
      <c r="E136" s="4"/>
    </row>
    <row r="137">
      <c r="A137" s="3" t="s">
        <v>183</v>
      </c>
      <c r="B137" s="3" t="s">
        <v>2</v>
      </c>
      <c r="C137" s="3" t="s">
        <v>3</v>
      </c>
      <c r="D137" s="4"/>
      <c r="E137" s="4"/>
    </row>
    <row r="138">
      <c r="A138" s="3" t="s">
        <v>184</v>
      </c>
      <c r="B138" s="3" t="s">
        <v>2</v>
      </c>
      <c r="C138" s="3" t="s">
        <v>3</v>
      </c>
      <c r="D138" s="4"/>
      <c r="E138" s="4"/>
    </row>
    <row r="139">
      <c r="A139" s="3" t="s">
        <v>185</v>
      </c>
      <c r="B139" s="3" t="s">
        <v>2</v>
      </c>
      <c r="C139" s="3" t="s">
        <v>6</v>
      </c>
      <c r="D139" s="4"/>
      <c r="E139" s="4"/>
    </row>
    <row r="140">
      <c r="A140" s="3" t="s">
        <v>186</v>
      </c>
      <c r="B140" s="3" t="s">
        <v>2</v>
      </c>
      <c r="C140" s="3" t="s">
        <v>6</v>
      </c>
      <c r="D140" s="4"/>
      <c r="E140" s="4"/>
    </row>
    <row r="141">
      <c r="A141" s="3" t="s">
        <v>187</v>
      </c>
      <c r="B141" s="3" t="s">
        <v>2</v>
      </c>
      <c r="C141" s="3" t="s">
        <v>3</v>
      </c>
      <c r="D141" s="4"/>
      <c r="E141" s="4"/>
    </row>
    <row r="142">
      <c r="A142" s="3" t="s">
        <v>188</v>
      </c>
      <c r="B142" s="3" t="s">
        <v>2</v>
      </c>
      <c r="C142" s="3" t="s">
        <v>32</v>
      </c>
      <c r="D142" s="4"/>
      <c r="E142" s="4"/>
    </row>
    <row r="143">
      <c r="A143" s="3" t="s">
        <v>189</v>
      </c>
      <c r="B143" s="3" t="s">
        <v>2</v>
      </c>
      <c r="C143" s="3" t="s">
        <v>3</v>
      </c>
      <c r="D143" s="4"/>
      <c r="E143" s="4"/>
    </row>
    <row r="144">
      <c r="A144" s="3" t="s">
        <v>190</v>
      </c>
      <c r="B144" s="4"/>
      <c r="C144" s="4"/>
      <c r="D144" s="4"/>
      <c r="E144" s="4"/>
    </row>
    <row r="145">
      <c r="A145" s="3" t="s">
        <v>191</v>
      </c>
      <c r="B145" s="3" t="s">
        <v>2</v>
      </c>
      <c r="C145" s="3" t="s">
        <v>3</v>
      </c>
      <c r="D145" s="4"/>
      <c r="E145" s="4"/>
    </row>
    <row r="146">
      <c r="A146" s="3" t="s">
        <v>192</v>
      </c>
      <c r="B146" s="3" t="s">
        <v>2</v>
      </c>
      <c r="C146" s="3" t="s">
        <v>26</v>
      </c>
      <c r="D146" s="4"/>
      <c r="E146" s="4"/>
    </row>
    <row r="147">
      <c r="A147" s="3" t="s">
        <v>193</v>
      </c>
      <c r="B147" s="3" t="s">
        <v>11</v>
      </c>
      <c r="C147" s="3" t="s">
        <v>29</v>
      </c>
      <c r="D147" s="4"/>
      <c r="E147" s="4"/>
    </row>
    <row r="148">
      <c r="A148" s="3" t="s">
        <v>194</v>
      </c>
      <c r="B148" s="3" t="s">
        <v>2</v>
      </c>
      <c r="C148" s="3" t="s">
        <v>29</v>
      </c>
      <c r="D148" s="4"/>
      <c r="E148" s="4"/>
    </row>
    <row r="149">
      <c r="A149" s="3" t="s">
        <v>195</v>
      </c>
      <c r="B149" s="3" t="s">
        <v>2</v>
      </c>
      <c r="C149" s="3" t="s">
        <v>3</v>
      </c>
      <c r="D149" s="4"/>
      <c r="E149" s="4"/>
    </row>
    <row r="150">
      <c r="A150" s="3" t="s">
        <v>196</v>
      </c>
      <c r="B150" s="4"/>
      <c r="C150" s="4"/>
      <c r="D150" s="4"/>
      <c r="E150" s="4"/>
    </row>
    <row r="151">
      <c r="A151" s="3" t="s">
        <v>197</v>
      </c>
      <c r="B151" s="3" t="s">
        <v>2</v>
      </c>
      <c r="C151" s="3" t="s">
        <v>29</v>
      </c>
      <c r="D151" s="4"/>
      <c r="E151" s="4"/>
    </row>
    <row r="152">
      <c r="A152" s="3" t="s">
        <v>198</v>
      </c>
      <c r="B152" s="3" t="s">
        <v>2</v>
      </c>
      <c r="C152" s="3" t="s">
        <v>3</v>
      </c>
      <c r="D152" s="4"/>
      <c r="E152" s="4"/>
    </row>
    <row r="153">
      <c r="A153" s="3" t="s">
        <v>199</v>
      </c>
      <c r="B153" s="3" t="s">
        <v>200</v>
      </c>
      <c r="C153" s="4"/>
      <c r="D153" s="4"/>
      <c r="E153" s="4"/>
    </row>
    <row r="154">
      <c r="A154" s="3" t="s">
        <v>201</v>
      </c>
      <c r="B154" s="3" t="s">
        <v>2</v>
      </c>
      <c r="C154" s="3" t="s">
        <v>32</v>
      </c>
      <c r="D154" s="4"/>
      <c r="E154" s="4"/>
    </row>
    <row r="155">
      <c r="A155" s="3" t="s">
        <v>202</v>
      </c>
      <c r="B155" s="3" t="s">
        <v>2</v>
      </c>
      <c r="C155" s="3" t="s">
        <v>3</v>
      </c>
      <c r="D155" s="4"/>
      <c r="E155" s="4"/>
    </row>
    <row r="156">
      <c r="A156" s="3" t="s">
        <v>203</v>
      </c>
      <c r="B156" s="3" t="s">
        <v>204</v>
      </c>
      <c r="C156" s="4"/>
      <c r="D156" s="4"/>
      <c r="E156" s="4"/>
    </row>
    <row r="157">
      <c r="A157" s="3" t="s">
        <v>205</v>
      </c>
      <c r="B157" s="3" t="s">
        <v>2</v>
      </c>
      <c r="C157" s="3" t="s">
        <v>3</v>
      </c>
      <c r="D157" s="4"/>
      <c r="E157" s="4"/>
    </row>
    <row r="158">
      <c r="A158" s="3" t="s">
        <v>206</v>
      </c>
      <c r="B158" s="3" t="s">
        <v>2</v>
      </c>
      <c r="C158" s="3" t="s">
        <v>3</v>
      </c>
      <c r="D158" s="4"/>
      <c r="E158" s="4"/>
    </row>
    <row r="159">
      <c r="A159" s="3" t="s">
        <v>207</v>
      </c>
      <c r="B159" s="3" t="s">
        <v>2</v>
      </c>
      <c r="C159" s="3" t="s">
        <v>3</v>
      </c>
      <c r="D159" s="4"/>
      <c r="E159" s="4"/>
    </row>
    <row r="160">
      <c r="A160" s="3" t="s">
        <v>208</v>
      </c>
      <c r="B160" s="3" t="s">
        <v>2</v>
      </c>
      <c r="C160" s="3" t="s">
        <v>3</v>
      </c>
      <c r="D160" s="4"/>
      <c r="E160" s="4"/>
    </row>
    <row r="161">
      <c r="A161" s="3" t="s">
        <v>209</v>
      </c>
      <c r="B161" s="4"/>
      <c r="C161" s="4"/>
      <c r="D161" s="4"/>
      <c r="E161" s="4"/>
    </row>
    <row r="162">
      <c r="A162" s="3" t="s">
        <v>210</v>
      </c>
      <c r="B162" s="3" t="s">
        <v>2</v>
      </c>
      <c r="C162" s="3" t="s">
        <v>3</v>
      </c>
      <c r="D162" s="4"/>
      <c r="E162" s="4"/>
    </row>
    <row r="163">
      <c r="A163" s="3" t="s">
        <v>211</v>
      </c>
      <c r="B163" s="3" t="s">
        <v>2</v>
      </c>
      <c r="C163" s="3" t="s">
        <v>6</v>
      </c>
      <c r="D163" s="4"/>
      <c r="E163" s="4"/>
    </row>
    <row r="164">
      <c r="A164" s="3" t="s">
        <v>212</v>
      </c>
      <c r="B164" s="3" t="s">
        <v>2</v>
      </c>
      <c r="C164" s="3" t="s">
        <v>29</v>
      </c>
      <c r="D164" s="4"/>
      <c r="E164" s="4"/>
    </row>
    <row r="165">
      <c r="A165" s="3" t="s">
        <v>213</v>
      </c>
      <c r="B165" s="3" t="s">
        <v>214</v>
      </c>
      <c r="C165" s="4"/>
      <c r="D165" s="4"/>
      <c r="E165" s="4"/>
    </row>
    <row r="166">
      <c r="A166" s="3" t="s">
        <v>215</v>
      </c>
      <c r="B166" s="3" t="s">
        <v>2</v>
      </c>
      <c r="C166" s="3" t="s">
        <v>216</v>
      </c>
      <c r="D166" s="4"/>
      <c r="E166" s="4"/>
    </row>
    <row r="167">
      <c r="A167" s="3" t="s">
        <v>217</v>
      </c>
      <c r="B167" s="3" t="s">
        <v>218</v>
      </c>
      <c r="C167" s="3" t="s">
        <v>3</v>
      </c>
      <c r="D167" s="4"/>
      <c r="E167" s="4"/>
    </row>
    <row r="168">
      <c r="A168" s="3" t="s">
        <v>219</v>
      </c>
      <c r="B168" s="4"/>
      <c r="C168" s="4"/>
      <c r="D168" s="4"/>
      <c r="E168" s="4"/>
    </row>
    <row r="169">
      <c r="A169" s="3" t="s">
        <v>220</v>
      </c>
      <c r="B169" s="3" t="s">
        <v>2</v>
      </c>
      <c r="C169" s="3" t="s">
        <v>6</v>
      </c>
      <c r="D169" s="4"/>
      <c r="E169" s="4"/>
    </row>
    <row r="170">
      <c r="A170" s="3" t="s">
        <v>221</v>
      </c>
      <c r="B170" s="3" t="s">
        <v>2</v>
      </c>
      <c r="C170" s="3" t="s">
        <v>29</v>
      </c>
      <c r="D170" s="4"/>
      <c r="E170" s="4"/>
    </row>
    <row r="171">
      <c r="A171" s="3" t="s">
        <v>222</v>
      </c>
      <c r="B171" s="4"/>
      <c r="C171" s="4"/>
      <c r="D171" s="4"/>
      <c r="E171" s="4"/>
    </row>
    <row r="172">
      <c r="A172" s="3" t="s">
        <v>223</v>
      </c>
      <c r="B172" s="3" t="s">
        <v>224</v>
      </c>
      <c r="C172" s="4"/>
      <c r="D172" s="4"/>
      <c r="E172" s="4"/>
    </row>
    <row r="173">
      <c r="A173" s="3" t="s">
        <v>225</v>
      </c>
      <c r="B173" s="3" t="s">
        <v>2</v>
      </c>
      <c r="C173" s="3" t="s">
        <v>3</v>
      </c>
      <c r="D173" s="4"/>
      <c r="E173" s="4"/>
    </row>
    <row r="174">
      <c r="A174" s="3" t="s">
        <v>226</v>
      </c>
      <c r="B174" s="3" t="s">
        <v>20</v>
      </c>
      <c r="C174" s="3" t="s">
        <v>3</v>
      </c>
      <c r="D174" s="4"/>
      <c r="E174" s="4"/>
    </row>
    <row r="175">
      <c r="A175" s="3" t="s">
        <v>227</v>
      </c>
      <c r="B175" s="3" t="s">
        <v>2</v>
      </c>
      <c r="C175" s="3" t="s">
        <v>3</v>
      </c>
      <c r="D175" s="4"/>
      <c r="E175" s="4"/>
    </row>
    <row r="176">
      <c r="A176" s="3" t="s">
        <v>228</v>
      </c>
      <c r="B176" s="3" t="s">
        <v>2</v>
      </c>
      <c r="C176" s="3" t="s">
        <v>32</v>
      </c>
      <c r="D176" s="4"/>
      <c r="E176" s="4"/>
    </row>
    <row r="177">
      <c r="A177" s="3" t="s">
        <v>229</v>
      </c>
      <c r="B177" s="4"/>
      <c r="C177" s="4"/>
      <c r="D177" s="4"/>
      <c r="E177" s="4"/>
    </row>
    <row r="178">
      <c r="A178" s="3" t="s">
        <v>230</v>
      </c>
      <c r="B178" s="3" t="s">
        <v>2</v>
      </c>
      <c r="C178" s="3" t="s">
        <v>3</v>
      </c>
      <c r="D178" s="4"/>
      <c r="E178" s="4"/>
    </row>
    <row r="179">
      <c r="A179" s="3" t="s">
        <v>231</v>
      </c>
      <c r="B179" s="4"/>
      <c r="C179" s="4"/>
      <c r="D179" s="4"/>
      <c r="E179" s="4"/>
    </row>
    <row r="180">
      <c r="A180" s="3" t="s">
        <v>232</v>
      </c>
      <c r="B180" s="3" t="s">
        <v>2</v>
      </c>
      <c r="C180" s="3" t="s">
        <v>6</v>
      </c>
      <c r="D180" s="4"/>
      <c r="E180" s="4"/>
    </row>
    <row r="181">
      <c r="A181" s="3" t="s">
        <v>233</v>
      </c>
      <c r="B181" s="3" t="s">
        <v>2</v>
      </c>
      <c r="C181" s="3" t="s">
        <v>6</v>
      </c>
      <c r="D181" s="4"/>
      <c r="E181" s="4"/>
    </row>
    <row r="182">
      <c r="A182" s="3" t="s">
        <v>234</v>
      </c>
      <c r="B182" s="3" t="s">
        <v>2</v>
      </c>
      <c r="C182" s="3" t="s">
        <v>3</v>
      </c>
      <c r="D182" s="4"/>
      <c r="E182" s="4"/>
    </row>
    <row r="183">
      <c r="A183" s="3" t="s">
        <v>235</v>
      </c>
      <c r="B183" s="3" t="s">
        <v>2</v>
      </c>
      <c r="C183" s="3" t="s">
        <v>3</v>
      </c>
      <c r="D183" s="4"/>
      <c r="E183" s="4"/>
    </row>
    <row r="184">
      <c r="A184" s="3" t="s">
        <v>236</v>
      </c>
      <c r="B184" s="4"/>
      <c r="C184" s="4"/>
      <c r="D184" s="4"/>
      <c r="E184" s="4"/>
    </row>
    <row r="185">
      <c r="A185" s="3" t="s">
        <v>237</v>
      </c>
      <c r="B185" s="3" t="s">
        <v>2</v>
      </c>
      <c r="C185" s="3" t="s">
        <v>3</v>
      </c>
      <c r="D185" s="4"/>
      <c r="E185" s="4"/>
    </row>
    <row r="186">
      <c r="A186" s="3" t="s">
        <v>238</v>
      </c>
      <c r="B186" s="3" t="s">
        <v>79</v>
      </c>
      <c r="C186" s="3" t="s">
        <v>3</v>
      </c>
      <c r="D186" s="4"/>
      <c r="E186" s="4"/>
    </row>
    <row r="187">
      <c r="A187" s="3" t="s">
        <v>239</v>
      </c>
      <c r="B187" s="3" t="s">
        <v>2</v>
      </c>
      <c r="C187" s="3" t="s">
        <v>3</v>
      </c>
      <c r="D187" s="4"/>
      <c r="E187" s="4"/>
    </row>
    <row r="188">
      <c r="A188" s="3" t="s">
        <v>240</v>
      </c>
      <c r="B188" s="3" t="s">
        <v>2</v>
      </c>
      <c r="C188" s="3" t="s">
        <v>3</v>
      </c>
      <c r="D188" s="4"/>
      <c r="E188" s="4"/>
    </row>
    <row r="189">
      <c r="A189" s="3" t="s">
        <v>241</v>
      </c>
      <c r="B189" s="3" t="s">
        <v>2</v>
      </c>
      <c r="C189" s="3" t="s">
        <v>6</v>
      </c>
      <c r="D189" s="4"/>
      <c r="E189" s="4"/>
    </row>
    <row r="190">
      <c r="A190" s="3" t="s">
        <v>242</v>
      </c>
      <c r="B190" s="3" t="s">
        <v>45</v>
      </c>
      <c r="C190" s="3" t="s">
        <v>3</v>
      </c>
      <c r="D190" s="4"/>
      <c r="E190" s="4"/>
    </row>
    <row r="191">
      <c r="A191" s="3" t="s">
        <v>243</v>
      </c>
      <c r="B191" s="4"/>
      <c r="C191" s="4"/>
      <c r="D191" s="4"/>
      <c r="E191" s="4"/>
    </row>
    <row r="192">
      <c r="A192" s="3" t="s">
        <v>244</v>
      </c>
      <c r="B192" s="3" t="s">
        <v>245</v>
      </c>
      <c r="C192" s="3" t="s">
        <v>216</v>
      </c>
      <c r="D192" s="4"/>
      <c r="E192" s="4"/>
    </row>
    <row r="193">
      <c r="A193" s="3" t="s">
        <v>246</v>
      </c>
      <c r="B193" s="4"/>
      <c r="C193" s="4"/>
      <c r="D193" s="4"/>
      <c r="E193" s="4"/>
    </row>
    <row r="194">
      <c r="A194" s="3" t="s">
        <v>247</v>
      </c>
      <c r="B194" s="3" t="s">
        <v>2</v>
      </c>
      <c r="C194" s="3" t="s">
        <v>3</v>
      </c>
      <c r="D194" s="4"/>
      <c r="E194" s="4"/>
    </row>
    <row r="195">
      <c r="A195" s="3" t="s">
        <v>248</v>
      </c>
      <c r="B195" s="4"/>
      <c r="C195" s="4"/>
      <c r="D195" s="4"/>
      <c r="E195" s="4"/>
    </row>
    <row r="196">
      <c r="A196" s="3" t="s">
        <v>249</v>
      </c>
      <c r="B196" s="3" t="s">
        <v>2</v>
      </c>
      <c r="C196" s="3" t="s">
        <v>3</v>
      </c>
      <c r="D196" s="4"/>
      <c r="E196" s="4"/>
    </row>
    <row r="197">
      <c r="A197" s="3" t="s">
        <v>250</v>
      </c>
      <c r="B197" s="3" t="s">
        <v>2</v>
      </c>
      <c r="C197" s="3" t="s">
        <v>32</v>
      </c>
      <c r="D197" s="4"/>
      <c r="E197" s="4"/>
    </row>
    <row r="198">
      <c r="A198" s="3" t="s">
        <v>251</v>
      </c>
      <c r="B198" s="4"/>
      <c r="C198" s="4"/>
      <c r="D198" s="4"/>
      <c r="E198" s="4"/>
    </row>
    <row r="199">
      <c r="A199" s="3" t="s">
        <v>252</v>
      </c>
      <c r="B199" s="3" t="s">
        <v>115</v>
      </c>
      <c r="C199" s="3" t="s">
        <v>3</v>
      </c>
      <c r="D199" s="4"/>
      <c r="E199" s="4"/>
    </row>
    <row r="200">
      <c r="A200" s="3" t="s">
        <v>253</v>
      </c>
      <c r="B200" s="4"/>
      <c r="C200" s="4"/>
      <c r="D200" s="4"/>
      <c r="E200" s="4"/>
    </row>
    <row r="201">
      <c r="A201" s="3" t="s">
        <v>254</v>
      </c>
      <c r="B201" s="3" t="s">
        <v>255</v>
      </c>
      <c r="C201" s="4"/>
      <c r="D201" s="4"/>
      <c r="E201" s="4"/>
    </row>
    <row r="202">
      <c r="A202" s="3" t="s">
        <v>256</v>
      </c>
      <c r="B202" s="4"/>
      <c r="C202" s="4"/>
      <c r="D202" s="4"/>
      <c r="E202" s="4"/>
    </row>
    <row r="203">
      <c r="A203" s="3" t="s">
        <v>257</v>
      </c>
      <c r="B203" s="3" t="s">
        <v>2</v>
      </c>
      <c r="C203" s="3" t="s">
        <v>3</v>
      </c>
      <c r="D203" s="4"/>
      <c r="E203" s="4"/>
    </row>
    <row r="204">
      <c r="A204" s="3" t="s">
        <v>258</v>
      </c>
      <c r="B204" s="3" t="s">
        <v>2</v>
      </c>
      <c r="C204" s="3" t="s">
        <v>3</v>
      </c>
      <c r="D204" s="4"/>
      <c r="E204" s="4"/>
    </row>
    <row r="205">
      <c r="A205" s="3" t="s">
        <v>259</v>
      </c>
      <c r="B205" s="3" t="s">
        <v>2</v>
      </c>
      <c r="C205" s="3" t="s">
        <v>3</v>
      </c>
      <c r="D205" s="4"/>
      <c r="E205" s="4"/>
    </row>
    <row r="206">
      <c r="A206" s="3" t="s">
        <v>260</v>
      </c>
      <c r="B206" s="3" t="s">
        <v>261</v>
      </c>
      <c r="C206" s="3" t="s">
        <v>32</v>
      </c>
      <c r="D206" s="4"/>
      <c r="E206" s="4"/>
    </row>
    <row r="207">
      <c r="A207" s="3" t="s">
        <v>262</v>
      </c>
      <c r="B207" s="3" t="s">
        <v>2</v>
      </c>
      <c r="C207" s="3" t="s">
        <v>3</v>
      </c>
      <c r="D207" s="4"/>
      <c r="E207" s="4"/>
    </row>
    <row r="208">
      <c r="A208" s="3" t="s">
        <v>263</v>
      </c>
      <c r="B208" s="3" t="s">
        <v>2</v>
      </c>
      <c r="C208" s="3" t="s">
        <v>3</v>
      </c>
      <c r="D208" s="4"/>
      <c r="E208" s="4"/>
    </row>
    <row r="209">
      <c r="A209" s="3" t="s">
        <v>264</v>
      </c>
      <c r="B209" s="4"/>
      <c r="C209" s="4"/>
      <c r="D209" s="4"/>
      <c r="E209" s="4"/>
    </row>
    <row r="210">
      <c r="A210" s="3" t="s">
        <v>265</v>
      </c>
      <c r="B210" s="3" t="s">
        <v>2</v>
      </c>
      <c r="C210" s="3" t="s">
        <v>3</v>
      </c>
      <c r="D210" s="4"/>
      <c r="E210" s="4"/>
    </row>
    <row r="211">
      <c r="A211" s="3" t="s">
        <v>266</v>
      </c>
      <c r="B211" s="4"/>
      <c r="C211" s="4"/>
      <c r="D211" s="4"/>
      <c r="E211" s="4"/>
    </row>
    <row r="212">
      <c r="A212" s="3" t="s">
        <v>267</v>
      </c>
      <c r="B212" s="3" t="s">
        <v>2</v>
      </c>
      <c r="C212" s="3" t="s">
        <v>3</v>
      </c>
      <c r="D212" s="4"/>
      <c r="E212" s="4"/>
    </row>
    <row r="213">
      <c r="A213" s="3" t="s">
        <v>268</v>
      </c>
      <c r="B213" s="4"/>
      <c r="C213" s="4"/>
      <c r="D213" s="4"/>
      <c r="E213" s="4"/>
    </row>
    <row r="214">
      <c r="A214" s="3" t="s">
        <v>269</v>
      </c>
      <c r="B214" s="3" t="s">
        <v>2</v>
      </c>
      <c r="C214" s="3" t="s">
        <v>3</v>
      </c>
      <c r="D214" s="4"/>
      <c r="E214" s="4"/>
    </row>
    <row r="215">
      <c r="A215" s="3" t="s">
        <v>270</v>
      </c>
      <c r="B215" s="4"/>
      <c r="C215" s="4"/>
      <c r="D215" s="4"/>
      <c r="E215" s="4"/>
    </row>
    <row r="216">
      <c r="A216" s="3" t="s">
        <v>271</v>
      </c>
      <c r="B216" s="3" t="s">
        <v>2</v>
      </c>
      <c r="C216" s="3" t="s">
        <v>3</v>
      </c>
      <c r="D216" s="4"/>
      <c r="E216" s="4"/>
    </row>
    <row r="217">
      <c r="A217" s="3" t="s">
        <v>272</v>
      </c>
      <c r="B217" s="4"/>
      <c r="C217" s="4"/>
      <c r="D217" s="4"/>
      <c r="E217" s="4"/>
    </row>
    <row r="218">
      <c r="A218" s="3" t="s">
        <v>273</v>
      </c>
      <c r="B218" s="3" t="s">
        <v>2</v>
      </c>
      <c r="C218" s="3" t="s">
        <v>3</v>
      </c>
      <c r="D218" s="4"/>
      <c r="E218" s="4"/>
    </row>
    <row r="219">
      <c r="A219" s="3" t="s">
        <v>274</v>
      </c>
      <c r="B219" s="3" t="s">
        <v>115</v>
      </c>
      <c r="C219" s="3" t="s">
        <v>3</v>
      </c>
      <c r="D219" s="4"/>
      <c r="E219" s="4"/>
    </row>
    <row r="220">
      <c r="A220" s="3" t="s">
        <v>275</v>
      </c>
      <c r="B220" s="4"/>
      <c r="C220" s="4"/>
      <c r="D220" s="4"/>
      <c r="E220" s="4"/>
    </row>
    <row r="221">
      <c r="A221" s="3" t="s">
        <v>276</v>
      </c>
      <c r="B221" s="3" t="s">
        <v>2</v>
      </c>
      <c r="C221" s="3" t="s">
        <v>3</v>
      </c>
      <c r="D221" s="4"/>
      <c r="E221" s="4"/>
    </row>
    <row r="222">
      <c r="A222" s="3" t="s">
        <v>277</v>
      </c>
      <c r="B222" s="3" t="s">
        <v>2</v>
      </c>
      <c r="C222" s="3" t="s">
        <v>3</v>
      </c>
      <c r="D222" s="4"/>
      <c r="E222" s="4"/>
    </row>
    <row r="223">
      <c r="A223" s="3" t="s">
        <v>278</v>
      </c>
      <c r="B223" s="3" t="s">
        <v>279</v>
      </c>
      <c r="C223" s="3" t="s">
        <v>280</v>
      </c>
      <c r="D223" s="4"/>
      <c r="E223" s="4"/>
    </row>
    <row r="224">
      <c r="A224" s="3" t="s">
        <v>281</v>
      </c>
      <c r="B224" s="3" t="s">
        <v>282</v>
      </c>
      <c r="C224" s="4"/>
      <c r="D224" s="4"/>
      <c r="E224" s="4"/>
    </row>
    <row r="225">
      <c r="A225" s="3" t="s">
        <v>283</v>
      </c>
      <c r="B225" s="4"/>
      <c r="C225" s="4"/>
      <c r="D225" s="4"/>
      <c r="E225" s="4"/>
    </row>
    <row r="226">
      <c r="A226" s="3" t="s">
        <v>284</v>
      </c>
      <c r="B226" s="3" t="s">
        <v>2</v>
      </c>
      <c r="C226" s="3" t="s">
        <v>6</v>
      </c>
      <c r="D226" s="4"/>
      <c r="E226" s="4"/>
    </row>
    <row r="227">
      <c r="A227" s="3" t="s">
        <v>285</v>
      </c>
      <c r="B227" s="4"/>
      <c r="C227" s="4"/>
      <c r="D227" s="4"/>
      <c r="E227" s="4"/>
    </row>
    <row r="228">
      <c r="A228" s="3" t="s">
        <v>286</v>
      </c>
      <c r="B228" s="3" t="s">
        <v>2</v>
      </c>
      <c r="C228" s="3" t="s">
        <v>3</v>
      </c>
      <c r="D228" s="4"/>
      <c r="E228" s="4"/>
    </row>
    <row r="229">
      <c r="A229" s="3" t="s">
        <v>287</v>
      </c>
      <c r="B229" s="3" t="s">
        <v>2</v>
      </c>
      <c r="C229" s="3" t="s">
        <v>3</v>
      </c>
      <c r="D229" s="4"/>
      <c r="E229" s="4"/>
    </row>
    <row r="230">
      <c r="A230" s="3" t="s">
        <v>288</v>
      </c>
      <c r="B230" s="4"/>
      <c r="C230" s="4"/>
      <c r="D230" s="4"/>
      <c r="E230" s="4"/>
    </row>
    <row r="231">
      <c r="A231" s="3" t="s">
        <v>289</v>
      </c>
      <c r="B231" s="3" t="s">
        <v>2</v>
      </c>
      <c r="C231" s="3" t="s">
        <v>3</v>
      </c>
      <c r="D231" s="4"/>
      <c r="E231" s="4"/>
    </row>
    <row r="232">
      <c r="A232" s="3" t="s">
        <v>290</v>
      </c>
      <c r="B232" s="4"/>
      <c r="C232" s="4"/>
      <c r="D232" s="4"/>
      <c r="E232" s="4"/>
    </row>
    <row r="233">
      <c r="A233" s="3" t="s">
        <v>291</v>
      </c>
      <c r="B233" s="3" t="s">
        <v>2</v>
      </c>
      <c r="C233" s="3" t="s">
        <v>3</v>
      </c>
      <c r="D233" s="4"/>
      <c r="E233" s="4"/>
    </row>
    <row r="234">
      <c r="A234" s="3" t="s">
        <v>292</v>
      </c>
      <c r="B234" s="4"/>
      <c r="C234" s="4"/>
      <c r="D234" s="4"/>
      <c r="E234" s="4"/>
    </row>
    <row r="235">
      <c r="A235" s="3" t="s">
        <v>293</v>
      </c>
      <c r="B235" s="3" t="s">
        <v>294</v>
      </c>
      <c r="C235" s="4"/>
      <c r="D235" s="4"/>
      <c r="E235" s="4"/>
    </row>
    <row r="236">
      <c r="A236" s="3" t="s">
        <v>295</v>
      </c>
      <c r="B236" s="4"/>
      <c r="C236" s="4"/>
      <c r="D236" s="4"/>
      <c r="E236" s="4"/>
    </row>
    <row r="237">
      <c r="A237" s="3" t="s">
        <v>296</v>
      </c>
      <c r="B237" s="3" t="s">
        <v>2</v>
      </c>
      <c r="C237" s="3" t="s">
        <v>3</v>
      </c>
      <c r="D237" s="4"/>
      <c r="E237" s="4"/>
    </row>
    <row r="238">
      <c r="A238" s="3" t="s">
        <v>297</v>
      </c>
      <c r="B238" s="3" t="s">
        <v>11</v>
      </c>
      <c r="C238" s="3" t="s">
        <v>3</v>
      </c>
      <c r="D238" s="4"/>
      <c r="E238" s="4"/>
    </row>
    <row r="239">
      <c r="A239" s="3" t="s">
        <v>298</v>
      </c>
      <c r="B239" s="4"/>
      <c r="C239" s="4"/>
      <c r="D239" s="4"/>
      <c r="E239" s="4"/>
    </row>
    <row r="240">
      <c r="A240" s="3" t="s">
        <v>299</v>
      </c>
      <c r="B240" s="3" t="s">
        <v>300</v>
      </c>
      <c r="C240" s="3" t="s">
        <v>6</v>
      </c>
      <c r="D240" s="4"/>
      <c r="E240" s="4"/>
    </row>
    <row r="241">
      <c r="A241" s="3" t="s">
        <v>301</v>
      </c>
      <c r="B241" s="3" t="s">
        <v>302</v>
      </c>
      <c r="C241" s="3" t="s">
        <v>303</v>
      </c>
      <c r="D241" s="4"/>
      <c r="E241" s="4"/>
    </row>
    <row r="242">
      <c r="A242" s="3" t="s">
        <v>304</v>
      </c>
      <c r="B242" s="4"/>
      <c r="C242" s="3" t="s">
        <v>305</v>
      </c>
      <c r="D242" s="4"/>
      <c r="E242" s="4"/>
    </row>
    <row r="243">
      <c r="A243" s="3" t="s">
        <v>306</v>
      </c>
      <c r="B243" s="3" t="s">
        <v>2</v>
      </c>
      <c r="C243" s="3" t="s">
        <v>3</v>
      </c>
      <c r="D243" s="4"/>
      <c r="E243" s="4"/>
    </row>
    <row r="244">
      <c r="A244" s="3" t="s">
        <v>33</v>
      </c>
      <c r="B244" s="4"/>
      <c r="C244" s="4"/>
      <c r="D244" s="4"/>
      <c r="E244" s="4"/>
    </row>
    <row r="245">
      <c r="A245" s="3" t="s">
        <v>307</v>
      </c>
      <c r="B245" s="3" t="s">
        <v>308</v>
      </c>
      <c r="C245" s="4"/>
      <c r="D245" s="4"/>
      <c r="E245" s="4"/>
    </row>
    <row r="246">
      <c r="A246" s="3" t="s">
        <v>309</v>
      </c>
      <c r="B246" s="4"/>
      <c r="C246" s="4"/>
      <c r="D246" s="4"/>
      <c r="E246" s="4"/>
    </row>
    <row r="247">
      <c r="A247" s="3" t="s">
        <v>310</v>
      </c>
      <c r="B247" s="3" t="s">
        <v>2</v>
      </c>
      <c r="C247" s="3" t="s">
        <v>3</v>
      </c>
      <c r="D247" s="4"/>
      <c r="E247" s="4"/>
    </row>
    <row r="248">
      <c r="A248" s="3" t="s">
        <v>311</v>
      </c>
      <c r="B248" s="3" t="s">
        <v>2</v>
      </c>
      <c r="C248" s="3" t="s">
        <v>6</v>
      </c>
      <c r="D248" s="4"/>
      <c r="E248" s="4"/>
    </row>
    <row r="249">
      <c r="A249" s="3" t="s">
        <v>312</v>
      </c>
      <c r="B249" s="3" t="s">
        <v>313</v>
      </c>
      <c r="C249" s="4"/>
      <c r="D249" s="4"/>
      <c r="E249" s="4"/>
    </row>
    <row r="250">
      <c r="A250" s="3" t="s">
        <v>314</v>
      </c>
      <c r="B250" s="3" t="s">
        <v>315</v>
      </c>
      <c r="C250" s="3" t="s">
        <v>6</v>
      </c>
      <c r="D250" s="4"/>
      <c r="E250" s="4"/>
    </row>
    <row r="251">
      <c r="A251" s="3" t="s">
        <v>316</v>
      </c>
      <c r="B251" s="3" t="s">
        <v>317</v>
      </c>
      <c r="C251" s="4"/>
      <c r="D251" s="4"/>
      <c r="E251" s="4"/>
    </row>
    <row r="252">
      <c r="A252" s="3" t="s">
        <v>318</v>
      </c>
      <c r="B252" s="3" t="s">
        <v>319</v>
      </c>
      <c r="C252" s="4"/>
      <c r="D252" s="4"/>
      <c r="E252" s="4"/>
    </row>
    <row r="253">
      <c r="A253" s="3" t="s">
        <v>320</v>
      </c>
      <c r="B253" s="3" t="s">
        <v>321</v>
      </c>
      <c r="C253" s="3" t="s">
        <v>6</v>
      </c>
      <c r="D253" s="4"/>
      <c r="E253" s="4"/>
    </row>
    <row r="254">
      <c r="A254" s="3" t="s">
        <v>322</v>
      </c>
      <c r="B254" s="3" t="s">
        <v>323</v>
      </c>
      <c r="C254" s="3" t="s">
        <v>32</v>
      </c>
      <c r="D254" s="4"/>
      <c r="E254" s="4"/>
    </row>
    <row r="255">
      <c r="A255" s="3" t="s">
        <v>324</v>
      </c>
      <c r="B255" s="3" t="s">
        <v>325</v>
      </c>
      <c r="C255" s="4"/>
      <c r="D255" s="4"/>
      <c r="E255" s="4"/>
    </row>
    <row r="256">
      <c r="A256" s="3" t="s">
        <v>326</v>
      </c>
      <c r="B256" s="4"/>
      <c r="C256" s="4"/>
      <c r="D256" s="4"/>
      <c r="E256" s="4"/>
    </row>
    <row r="257">
      <c r="A257" s="3" t="s">
        <v>327</v>
      </c>
      <c r="B257" s="3" t="s">
        <v>328</v>
      </c>
      <c r="C257" s="4"/>
      <c r="D257" s="4"/>
      <c r="E257" s="4"/>
    </row>
    <row r="258">
      <c r="A258" s="3" t="s">
        <v>329</v>
      </c>
      <c r="B258" s="4"/>
      <c r="C258" s="4"/>
      <c r="D258" s="4"/>
      <c r="E258" s="4"/>
    </row>
    <row r="259">
      <c r="A259" s="3" t="s">
        <v>330</v>
      </c>
      <c r="B259" s="3" t="s">
        <v>331</v>
      </c>
      <c r="C259" s="3" t="s">
        <v>6</v>
      </c>
      <c r="D259" s="4"/>
      <c r="E259" s="4"/>
    </row>
    <row r="260">
      <c r="A260" s="3" t="s">
        <v>332</v>
      </c>
      <c r="B260" s="3" t="s">
        <v>65</v>
      </c>
      <c r="C260" s="4"/>
      <c r="D260" s="4"/>
      <c r="E260" s="4"/>
    </row>
    <row r="261">
      <c r="A261" s="3" t="s">
        <v>333</v>
      </c>
      <c r="B261" s="4"/>
      <c r="C261" s="4"/>
      <c r="D261" s="4"/>
      <c r="E261" s="4"/>
    </row>
    <row r="262">
      <c r="A262" s="3" t="s">
        <v>332</v>
      </c>
      <c r="B262" s="3" t="s">
        <v>2</v>
      </c>
      <c r="C262" s="3" t="s">
        <v>32</v>
      </c>
      <c r="D262" s="4"/>
      <c r="E262" s="4"/>
    </row>
    <row r="263">
      <c r="A263" s="3" t="s">
        <v>334</v>
      </c>
      <c r="B263" s="4"/>
      <c r="C263" s="4"/>
      <c r="D263" s="4"/>
      <c r="E263" s="4"/>
    </row>
    <row r="264">
      <c r="A264" s="3" t="s">
        <v>332</v>
      </c>
      <c r="B264" s="3" t="s">
        <v>2</v>
      </c>
      <c r="C264" s="3" t="s">
        <v>6</v>
      </c>
      <c r="D264" s="4"/>
      <c r="E264" s="4"/>
    </row>
    <row r="265">
      <c r="A265" s="3" t="s">
        <v>335</v>
      </c>
      <c r="B265" s="4"/>
      <c r="C265" s="4"/>
      <c r="D265" s="4"/>
      <c r="E265" s="4"/>
    </row>
    <row r="266">
      <c r="A266" s="3" t="s">
        <v>336</v>
      </c>
      <c r="B266" s="3" t="s">
        <v>22</v>
      </c>
      <c r="C266" s="3" t="s">
        <v>6</v>
      </c>
      <c r="D266" s="4"/>
      <c r="E266" s="4"/>
    </row>
    <row r="267">
      <c r="A267" s="3" t="s">
        <v>337</v>
      </c>
      <c r="B267" s="4"/>
      <c r="C267" s="4"/>
      <c r="D267" s="4"/>
      <c r="E267" s="4"/>
    </row>
    <row r="268">
      <c r="A268" s="3" t="s">
        <v>338</v>
      </c>
      <c r="B268" s="3" t="s">
        <v>2</v>
      </c>
      <c r="C268" s="3" t="s">
        <v>6</v>
      </c>
      <c r="D268" s="4"/>
      <c r="E268" s="4"/>
    </row>
    <row r="269">
      <c r="A269" s="3" t="s">
        <v>339</v>
      </c>
      <c r="B269" s="4"/>
      <c r="C269" s="4"/>
      <c r="D269" s="4"/>
      <c r="E269" s="4"/>
    </row>
    <row r="270">
      <c r="A270" s="3" t="s">
        <v>340</v>
      </c>
      <c r="B270" s="3" t="s">
        <v>85</v>
      </c>
      <c r="C270" s="3" t="s">
        <v>6</v>
      </c>
      <c r="D270" s="4"/>
      <c r="E270" s="4"/>
    </row>
    <row r="271">
      <c r="A271" s="3" t="s">
        <v>341</v>
      </c>
      <c r="B271" s="4"/>
      <c r="C271" s="4"/>
      <c r="D271" s="4"/>
      <c r="E271" s="4"/>
    </row>
    <row r="272">
      <c r="A272" s="3" t="s">
        <v>342</v>
      </c>
      <c r="B272" s="3" t="s">
        <v>65</v>
      </c>
      <c r="C272" s="3" t="s">
        <v>6</v>
      </c>
      <c r="D272" s="4"/>
      <c r="E272" s="4"/>
    </row>
    <row r="273">
      <c r="A273" s="3" t="s">
        <v>343</v>
      </c>
      <c r="B273" s="3" t="s">
        <v>344</v>
      </c>
      <c r="C273" s="4"/>
      <c r="D273" s="4"/>
      <c r="E273" s="4"/>
    </row>
    <row r="274">
      <c r="A274" s="3" t="s">
        <v>345</v>
      </c>
      <c r="B274" s="3" t="s">
        <v>115</v>
      </c>
      <c r="C274" s="4"/>
      <c r="D274" s="4"/>
      <c r="E274" s="4"/>
    </row>
    <row r="275">
      <c r="A275" s="3" t="s">
        <v>346</v>
      </c>
      <c r="B275" s="4"/>
      <c r="C275" s="4"/>
      <c r="D275" s="4"/>
      <c r="E275" s="4"/>
    </row>
    <row r="276">
      <c r="A276" s="3" t="s">
        <v>347</v>
      </c>
      <c r="B276" s="3" t="s">
        <v>2</v>
      </c>
      <c r="C276" s="3" t="s">
        <v>32</v>
      </c>
      <c r="D276" s="4"/>
      <c r="E276" s="4"/>
    </row>
    <row r="277">
      <c r="A277" s="3" t="s">
        <v>348</v>
      </c>
      <c r="B277" s="3" t="s">
        <v>2</v>
      </c>
      <c r="C277" s="3" t="s">
        <v>3</v>
      </c>
      <c r="D277" s="4"/>
      <c r="E277" s="4"/>
    </row>
    <row r="278">
      <c r="A278" s="3" t="s">
        <v>349</v>
      </c>
      <c r="B278" s="4"/>
      <c r="C278" s="4"/>
      <c r="D278" s="4"/>
      <c r="E278" s="4"/>
    </row>
    <row r="279">
      <c r="A279" s="3" t="s">
        <v>350</v>
      </c>
      <c r="B279" s="3" t="s">
        <v>2</v>
      </c>
      <c r="C279" s="3" t="s">
        <v>3</v>
      </c>
      <c r="D279" s="4"/>
      <c r="E279" s="4"/>
    </row>
    <row r="280">
      <c r="A280" s="3" t="s">
        <v>351</v>
      </c>
      <c r="B280" s="3" t="s">
        <v>352</v>
      </c>
      <c r="C280" s="3" t="s">
        <v>6</v>
      </c>
      <c r="D280" s="4"/>
      <c r="E280" s="4"/>
    </row>
    <row r="281">
      <c r="A281" s="3" t="s">
        <v>353</v>
      </c>
      <c r="B281" s="4"/>
      <c r="C281" s="4"/>
      <c r="D281" s="4"/>
      <c r="E281" s="4"/>
    </row>
    <row r="282">
      <c r="A282" s="3" t="s">
        <v>354</v>
      </c>
      <c r="B282" s="3" t="s">
        <v>2</v>
      </c>
      <c r="C282" s="3" t="s">
        <v>3</v>
      </c>
      <c r="D282" s="4"/>
      <c r="E282" s="4"/>
    </row>
    <row r="283">
      <c r="A283" s="3" t="s">
        <v>355</v>
      </c>
      <c r="B283" s="3" t="s">
        <v>2</v>
      </c>
      <c r="C283" s="3" t="s">
        <v>6</v>
      </c>
      <c r="D283" s="4"/>
      <c r="E283" s="4"/>
    </row>
    <row r="284">
      <c r="A284" s="3" t="s">
        <v>356</v>
      </c>
      <c r="B284" s="4"/>
      <c r="C284" s="4"/>
      <c r="D284" s="4"/>
      <c r="E284" s="4"/>
    </row>
    <row r="285">
      <c r="A285" s="3" t="s">
        <v>357</v>
      </c>
      <c r="B285" s="3" t="s">
        <v>2</v>
      </c>
      <c r="C285" s="3" t="s">
        <v>3</v>
      </c>
      <c r="D285" s="4"/>
      <c r="E285" s="4"/>
    </row>
    <row r="286">
      <c r="A286" s="3" t="s">
        <v>358</v>
      </c>
      <c r="B286" s="3" t="s">
        <v>2</v>
      </c>
      <c r="C286" s="3" t="s">
        <v>3</v>
      </c>
      <c r="D286" s="4"/>
      <c r="E286" s="4"/>
    </row>
    <row r="287">
      <c r="A287" s="3" t="s">
        <v>359</v>
      </c>
      <c r="B287" s="4"/>
      <c r="C287" s="4"/>
      <c r="D287" s="4"/>
      <c r="E287" s="4"/>
    </row>
    <row r="288">
      <c r="A288" s="3" t="s">
        <v>360</v>
      </c>
      <c r="B288" s="3" t="s">
        <v>2</v>
      </c>
      <c r="C288" s="3" t="s">
        <v>3</v>
      </c>
      <c r="D288" s="4"/>
      <c r="E288" s="4"/>
    </row>
    <row r="289">
      <c r="A289" s="3" t="s">
        <v>361</v>
      </c>
      <c r="B289" s="3" t="s">
        <v>362</v>
      </c>
      <c r="C289" s="4"/>
      <c r="D289" s="4"/>
      <c r="E289" s="4"/>
    </row>
    <row r="290">
      <c r="A290" s="3" t="s">
        <v>363</v>
      </c>
      <c r="B290" s="4"/>
      <c r="C290" s="4"/>
      <c r="D290" s="4"/>
      <c r="E290" s="4"/>
    </row>
    <row r="291">
      <c r="A291" s="3" t="s">
        <v>364</v>
      </c>
      <c r="B291" s="3" t="s">
        <v>2</v>
      </c>
      <c r="C291" s="3" t="s">
        <v>3</v>
      </c>
      <c r="D291" s="4"/>
      <c r="E291" s="4"/>
    </row>
    <row r="292">
      <c r="A292" s="3" t="s">
        <v>365</v>
      </c>
      <c r="B292" s="4"/>
      <c r="C292" s="4"/>
      <c r="D292" s="4"/>
      <c r="E292" s="4"/>
    </row>
    <row r="293">
      <c r="A293" s="3" t="s">
        <v>366</v>
      </c>
      <c r="B293" s="3" t="s">
        <v>2</v>
      </c>
      <c r="C293" s="3" t="s">
        <v>3</v>
      </c>
      <c r="D293" s="4"/>
      <c r="E293" s="4"/>
    </row>
    <row r="294">
      <c r="A294" s="3" t="s">
        <v>367</v>
      </c>
      <c r="B294" s="4"/>
      <c r="C294" s="4"/>
      <c r="D294" s="4"/>
      <c r="E294" s="4"/>
    </row>
    <row r="295">
      <c r="A295" s="3" t="s">
        <v>368</v>
      </c>
      <c r="B295" s="3" t="s">
        <v>2</v>
      </c>
      <c r="C295" s="3" t="s">
        <v>3</v>
      </c>
      <c r="D295" s="4"/>
      <c r="E295" s="4"/>
    </row>
    <row r="296">
      <c r="A296" s="3" t="s">
        <v>369</v>
      </c>
      <c r="B296" s="4"/>
      <c r="C296" s="4"/>
      <c r="D296" s="4"/>
      <c r="E296" s="4"/>
    </row>
    <row r="297">
      <c r="A297" s="3" t="s">
        <v>370</v>
      </c>
      <c r="B297" s="3" t="s">
        <v>2</v>
      </c>
      <c r="C297" s="3" t="s">
        <v>6</v>
      </c>
      <c r="D297" s="4"/>
      <c r="E297" s="4"/>
    </row>
    <row r="298">
      <c r="A298" s="3" t="s">
        <v>371</v>
      </c>
      <c r="B298" s="3" t="s">
        <v>18</v>
      </c>
      <c r="C298" s="4"/>
      <c r="D298" s="4"/>
      <c r="E298" s="4"/>
    </row>
    <row r="299">
      <c r="A299" s="3" t="s">
        <v>372</v>
      </c>
      <c r="B299" s="4"/>
      <c r="C299" s="4"/>
      <c r="D299" s="4"/>
      <c r="E299" s="4"/>
    </row>
    <row r="300">
      <c r="A300" s="3" t="s">
        <v>373</v>
      </c>
      <c r="B300" s="3" t="s">
        <v>2</v>
      </c>
      <c r="C300" s="3" t="s">
        <v>6</v>
      </c>
      <c r="D300" s="4"/>
      <c r="E300" s="4"/>
    </row>
    <row r="301">
      <c r="A301" s="3" t="s">
        <v>374</v>
      </c>
      <c r="B301" s="3" t="s">
        <v>2</v>
      </c>
      <c r="C301" s="3" t="s">
        <v>3</v>
      </c>
      <c r="D301" s="4"/>
      <c r="E301" s="4"/>
    </row>
    <row r="302">
      <c r="A302" s="3" t="s">
        <v>375</v>
      </c>
      <c r="B302" s="3" t="s">
        <v>376</v>
      </c>
      <c r="C302" s="3" t="s">
        <v>6</v>
      </c>
      <c r="D302" s="4"/>
      <c r="E302" s="4"/>
    </row>
    <row r="303">
      <c r="A303" s="3" t="s">
        <v>377</v>
      </c>
      <c r="B303" s="3" t="s">
        <v>2</v>
      </c>
      <c r="C303" s="3" t="s">
        <v>3</v>
      </c>
      <c r="D303" s="4"/>
      <c r="E303" s="4"/>
    </row>
    <row r="304">
      <c r="A304" s="3" t="s">
        <v>378</v>
      </c>
      <c r="B304" s="4"/>
      <c r="C304" s="4"/>
      <c r="D304" s="4"/>
      <c r="E304" s="4"/>
    </row>
    <row r="305">
      <c r="A305" s="3" t="s">
        <v>379</v>
      </c>
      <c r="B305" s="3" t="s">
        <v>2</v>
      </c>
      <c r="C305" s="3" t="s">
        <v>3</v>
      </c>
      <c r="D305" s="4"/>
      <c r="E305" s="4"/>
    </row>
    <row r="306">
      <c r="A306" s="3" t="s">
        <v>380</v>
      </c>
      <c r="B306" s="4"/>
      <c r="C306" s="4"/>
      <c r="D306" s="4"/>
      <c r="E306" s="4"/>
    </row>
    <row r="307">
      <c r="A307" s="3" t="s">
        <v>381</v>
      </c>
      <c r="B307" s="3" t="s">
        <v>382</v>
      </c>
      <c r="C307" s="3" t="s">
        <v>6</v>
      </c>
      <c r="D307" s="4"/>
      <c r="E307" s="4"/>
    </row>
    <row r="308">
      <c r="A308" s="3" t="s">
        <v>383</v>
      </c>
      <c r="B308" s="3" t="s">
        <v>2</v>
      </c>
      <c r="C308" s="3" t="s">
        <v>3</v>
      </c>
      <c r="D308" s="4"/>
      <c r="E308" s="4"/>
    </row>
    <row r="309">
      <c r="A309" s="3" t="s">
        <v>384</v>
      </c>
      <c r="B309" s="3" t="s">
        <v>2</v>
      </c>
      <c r="C309" s="3" t="s">
        <v>3</v>
      </c>
      <c r="D309" s="4"/>
      <c r="E309" s="4"/>
    </row>
    <row r="310">
      <c r="A310" s="3" t="s">
        <v>385</v>
      </c>
      <c r="B310" s="3" t="s">
        <v>2</v>
      </c>
      <c r="C310" s="3" t="s">
        <v>32</v>
      </c>
      <c r="D310" s="4"/>
      <c r="E310" s="4"/>
    </row>
    <row r="311">
      <c r="A311" s="3" t="s">
        <v>386</v>
      </c>
      <c r="B311" s="3" t="s">
        <v>2</v>
      </c>
      <c r="C311" s="3" t="s">
        <v>6</v>
      </c>
      <c r="D311" s="4"/>
      <c r="E311" s="4"/>
    </row>
    <row r="312">
      <c r="A312" s="3" t="s">
        <v>387</v>
      </c>
      <c r="B312" s="3" t="s">
        <v>2</v>
      </c>
      <c r="C312" s="3" t="s">
        <v>6</v>
      </c>
      <c r="D312" s="4"/>
      <c r="E312" s="4"/>
    </row>
    <row r="313">
      <c r="A313" s="3" t="s">
        <v>388</v>
      </c>
      <c r="B313" s="3" t="s">
        <v>2</v>
      </c>
      <c r="C313" s="3" t="s">
        <v>3</v>
      </c>
      <c r="D313" s="4"/>
      <c r="E313" s="4"/>
    </row>
    <row r="314">
      <c r="A314" s="3" t="s">
        <v>389</v>
      </c>
      <c r="B314" s="4"/>
      <c r="C314" s="4"/>
      <c r="D314" s="4"/>
      <c r="E314" s="4"/>
    </row>
    <row r="315">
      <c r="A315" s="3" t="s">
        <v>390</v>
      </c>
      <c r="B315" s="3" t="s">
        <v>2</v>
      </c>
      <c r="C315" s="3" t="s">
        <v>3</v>
      </c>
      <c r="D315" s="4"/>
      <c r="E315" s="4"/>
    </row>
    <row r="316">
      <c r="A316" s="3" t="s">
        <v>391</v>
      </c>
      <c r="B316" s="4"/>
      <c r="C316" s="4"/>
      <c r="D316" s="4"/>
      <c r="E316" s="4"/>
    </row>
    <row r="317">
      <c r="A317" s="3" t="s">
        <v>392</v>
      </c>
      <c r="B317" s="3" t="s">
        <v>393</v>
      </c>
      <c r="C317" s="3" t="s">
        <v>6</v>
      </c>
      <c r="D317" s="4"/>
      <c r="E317" s="4"/>
    </row>
    <row r="318">
      <c r="A318" s="3" t="s">
        <v>394</v>
      </c>
      <c r="B318" s="4"/>
      <c r="C318" s="4"/>
      <c r="D318" s="4"/>
      <c r="E318" s="4"/>
    </row>
    <row r="319">
      <c r="A319" s="3" t="s">
        <v>395</v>
      </c>
      <c r="B319" s="3" t="s">
        <v>396</v>
      </c>
      <c r="C319" s="3" t="s">
        <v>32</v>
      </c>
      <c r="D319" s="4"/>
      <c r="E319" s="4"/>
    </row>
    <row r="320">
      <c r="A320" s="3" t="s">
        <v>397</v>
      </c>
      <c r="B320" s="3" t="s">
        <v>398</v>
      </c>
      <c r="C320" s="4"/>
      <c r="D320" s="4"/>
      <c r="E320" s="4"/>
    </row>
    <row r="321">
      <c r="A321" s="3" t="s">
        <v>399</v>
      </c>
      <c r="B321" s="3" t="s">
        <v>42</v>
      </c>
      <c r="C321" s="4"/>
      <c r="D321" s="4"/>
      <c r="E321" s="4"/>
    </row>
    <row r="322">
      <c r="A322" s="3" t="s">
        <v>400</v>
      </c>
      <c r="B322" s="3" t="s">
        <v>2</v>
      </c>
      <c r="C322" s="3" t="s">
        <v>26</v>
      </c>
      <c r="D322" s="4"/>
      <c r="E322" s="4"/>
    </row>
    <row r="323">
      <c r="A323" s="3" t="s">
        <v>33</v>
      </c>
      <c r="B323" s="4"/>
      <c r="C323" s="4"/>
      <c r="D323" s="4"/>
      <c r="E323" s="4"/>
    </row>
    <row r="324">
      <c r="A324" s="3" t="s">
        <v>401</v>
      </c>
      <c r="B324" s="3" t="s">
        <v>2</v>
      </c>
      <c r="C324" s="3" t="s">
        <v>32</v>
      </c>
      <c r="D324" s="4"/>
      <c r="E324" s="4"/>
    </row>
    <row r="325">
      <c r="A325" s="3" t="s">
        <v>402</v>
      </c>
      <c r="B325" s="3" t="s">
        <v>2</v>
      </c>
      <c r="C325" s="3" t="s">
        <v>6</v>
      </c>
      <c r="D325" s="4"/>
      <c r="E325" s="4"/>
    </row>
    <row r="326">
      <c r="A326" s="3" t="s">
        <v>403</v>
      </c>
      <c r="B326" s="3" t="s">
        <v>2</v>
      </c>
      <c r="C326" s="3" t="s">
        <v>3</v>
      </c>
      <c r="D326" s="4"/>
      <c r="E326" s="4"/>
    </row>
    <row r="327">
      <c r="A327" s="3" t="s">
        <v>404</v>
      </c>
      <c r="B327" s="3" t="s">
        <v>2</v>
      </c>
      <c r="C327" s="3" t="s">
        <v>3</v>
      </c>
      <c r="D327" s="4"/>
      <c r="E327" s="4"/>
    </row>
    <row r="328">
      <c r="A328" s="3" t="s">
        <v>405</v>
      </c>
      <c r="B328" s="3" t="s">
        <v>406</v>
      </c>
      <c r="C328" s="4"/>
      <c r="D328" s="4"/>
      <c r="E328" s="4"/>
    </row>
    <row r="329">
      <c r="A329" s="3" t="s">
        <v>407</v>
      </c>
      <c r="B329" s="3" t="s">
        <v>51</v>
      </c>
      <c r="C329" s="3" t="s">
        <v>16</v>
      </c>
      <c r="D329" s="4"/>
      <c r="E329" s="4"/>
    </row>
    <row r="330">
      <c r="A330" s="3" t="s">
        <v>408</v>
      </c>
      <c r="B330" s="4"/>
      <c r="C330" s="4"/>
      <c r="D330" s="4"/>
      <c r="E330" s="4"/>
    </row>
    <row r="331">
      <c r="A331" s="3" t="s">
        <v>409</v>
      </c>
      <c r="B331" s="3" t="s">
        <v>2</v>
      </c>
      <c r="C331" s="3" t="s">
        <v>6</v>
      </c>
      <c r="D331" s="4"/>
      <c r="E331" s="4"/>
    </row>
    <row r="332">
      <c r="A332" s="3" t="s">
        <v>410</v>
      </c>
      <c r="B332" s="3" t="s">
        <v>20</v>
      </c>
      <c r="C332" s="4"/>
      <c r="D332" s="4"/>
      <c r="E332" s="4"/>
    </row>
    <row r="333">
      <c r="A333" s="3" t="s">
        <v>411</v>
      </c>
      <c r="B333" s="3" t="s">
        <v>2</v>
      </c>
      <c r="C333" s="3" t="s">
        <v>3</v>
      </c>
      <c r="D333" s="4"/>
      <c r="E333" s="4"/>
    </row>
    <row r="334">
      <c r="A334" s="3" t="s">
        <v>412</v>
      </c>
      <c r="B334" s="3" t="s">
        <v>2</v>
      </c>
      <c r="C334" s="3" t="s">
        <v>6</v>
      </c>
      <c r="D334" s="4"/>
      <c r="E334" s="4"/>
    </row>
    <row r="335">
      <c r="A335" s="3" t="s">
        <v>341</v>
      </c>
      <c r="B335" s="4"/>
      <c r="C335" s="4"/>
      <c r="D335" s="4"/>
      <c r="E335" s="4"/>
    </row>
    <row r="336">
      <c r="A336" s="3" t="s">
        <v>413</v>
      </c>
      <c r="B336" s="3" t="s">
        <v>414</v>
      </c>
      <c r="C336" s="3" t="s">
        <v>32</v>
      </c>
      <c r="D336" s="4"/>
      <c r="E336" s="4"/>
    </row>
    <row r="337">
      <c r="A337" s="3" t="s">
        <v>415</v>
      </c>
      <c r="B337" s="3" t="s">
        <v>2</v>
      </c>
      <c r="C337" s="3" t="s">
        <v>3</v>
      </c>
      <c r="D337" s="4"/>
      <c r="E337" s="4"/>
    </row>
    <row r="338">
      <c r="A338" s="3" t="s">
        <v>416</v>
      </c>
      <c r="B338" s="4"/>
      <c r="C338" s="4"/>
      <c r="D338" s="4"/>
      <c r="E338" s="4"/>
    </row>
    <row r="339">
      <c r="A339" s="3" t="s">
        <v>417</v>
      </c>
      <c r="B339" s="3" t="s">
        <v>2</v>
      </c>
      <c r="C339" s="3" t="s">
        <v>3</v>
      </c>
      <c r="D339" s="4"/>
      <c r="E339" s="4"/>
    </row>
    <row r="340">
      <c r="A340" s="3" t="s">
        <v>418</v>
      </c>
      <c r="B340" s="4"/>
      <c r="C340" s="4"/>
      <c r="D340" s="4"/>
      <c r="E340" s="4"/>
    </row>
    <row r="341">
      <c r="A341" s="3" t="s">
        <v>419</v>
      </c>
      <c r="B341" s="3" t="s">
        <v>2</v>
      </c>
      <c r="C341" s="3" t="s">
        <v>3</v>
      </c>
      <c r="D341" s="4"/>
      <c r="E341" s="4"/>
    </row>
    <row r="342">
      <c r="A342" s="3" t="s">
        <v>420</v>
      </c>
      <c r="B342" s="3" t="s">
        <v>2</v>
      </c>
      <c r="C342" s="3" t="s">
        <v>29</v>
      </c>
      <c r="D342" s="4"/>
      <c r="E342" s="4"/>
    </row>
    <row r="343">
      <c r="A343" s="3" t="s">
        <v>421</v>
      </c>
      <c r="B343" s="4"/>
      <c r="C343" s="4"/>
      <c r="D343" s="4"/>
      <c r="E343" s="4"/>
    </row>
    <row r="344">
      <c r="A344" s="3" t="s">
        <v>422</v>
      </c>
      <c r="B344" s="3" t="s">
        <v>2</v>
      </c>
      <c r="C344" s="3" t="s">
        <v>29</v>
      </c>
      <c r="D344" s="4"/>
      <c r="E344" s="4"/>
    </row>
    <row r="345">
      <c r="A345" s="3" t="s">
        <v>423</v>
      </c>
      <c r="B345" s="3" t="s">
        <v>2</v>
      </c>
      <c r="C345" s="3" t="s">
        <v>3</v>
      </c>
      <c r="D345" s="4"/>
      <c r="E345" s="4"/>
    </row>
    <row r="346">
      <c r="A346" s="3" t="s">
        <v>424</v>
      </c>
      <c r="B346" s="3" t="s">
        <v>2</v>
      </c>
      <c r="C346" s="3" t="s">
        <v>3</v>
      </c>
      <c r="D346" s="4"/>
      <c r="E346" s="4"/>
    </row>
    <row r="347">
      <c r="A347" s="3" t="s">
        <v>425</v>
      </c>
      <c r="B347" s="3" t="s">
        <v>2</v>
      </c>
      <c r="C347" s="3" t="s">
        <v>3</v>
      </c>
      <c r="D347" s="4"/>
      <c r="E347" s="4"/>
    </row>
    <row r="348">
      <c r="A348" s="3" t="s">
        <v>426</v>
      </c>
      <c r="B348" s="4"/>
      <c r="C348" s="4"/>
      <c r="D348" s="4"/>
      <c r="E348" s="4"/>
    </row>
    <row r="349">
      <c r="A349" s="3" t="s">
        <v>427</v>
      </c>
      <c r="B349" s="3" t="s">
        <v>42</v>
      </c>
      <c r="C349" s="3" t="s">
        <v>29</v>
      </c>
      <c r="D349" s="4"/>
      <c r="E349" s="4"/>
    </row>
    <row r="350">
      <c r="A350" s="3" t="s">
        <v>428</v>
      </c>
      <c r="B350" s="3" t="s">
        <v>429</v>
      </c>
      <c r="C350" s="3" t="s">
        <v>3</v>
      </c>
      <c r="D350" s="4"/>
      <c r="E350" s="4"/>
    </row>
    <row r="351">
      <c r="A351" s="3" t="s">
        <v>430</v>
      </c>
      <c r="B351" s="4"/>
      <c r="C351" s="4"/>
      <c r="D351" s="4"/>
      <c r="E351" s="4"/>
    </row>
    <row r="352">
      <c r="A352" s="3" t="s">
        <v>431</v>
      </c>
      <c r="B352" s="3" t="s">
        <v>2</v>
      </c>
      <c r="C352" s="3" t="s">
        <v>29</v>
      </c>
      <c r="D352" s="4"/>
      <c r="E352" s="4"/>
    </row>
    <row r="353">
      <c r="A353" s="3" t="s">
        <v>432</v>
      </c>
      <c r="B353" s="4"/>
      <c r="C353" s="4"/>
      <c r="D353" s="4"/>
      <c r="E353" s="4"/>
    </row>
    <row r="354">
      <c r="A354" s="3" t="s">
        <v>433</v>
      </c>
      <c r="B354" s="3" t="s">
        <v>2</v>
      </c>
      <c r="C354" s="3" t="s">
        <v>3</v>
      </c>
      <c r="D354" s="4"/>
      <c r="E354" s="4"/>
    </row>
    <row r="355">
      <c r="A355" s="3" t="s">
        <v>434</v>
      </c>
      <c r="B355" s="4"/>
      <c r="C355" s="4"/>
      <c r="D355" s="4"/>
      <c r="E355" s="4"/>
    </row>
    <row r="356">
      <c r="A356" s="3" t="s">
        <v>435</v>
      </c>
      <c r="B356" s="3" t="s">
        <v>125</v>
      </c>
      <c r="C356" s="4"/>
      <c r="D356" s="4"/>
      <c r="E356" s="4"/>
    </row>
    <row r="357">
      <c r="A357" s="3" t="s">
        <v>436</v>
      </c>
      <c r="B357" s="4"/>
      <c r="C357" s="4"/>
      <c r="D357" s="4"/>
      <c r="E357" s="4"/>
    </row>
    <row r="358">
      <c r="A358" s="3" t="s">
        <v>437</v>
      </c>
      <c r="B358" s="3" t="s">
        <v>2</v>
      </c>
      <c r="C358" s="3" t="s">
        <v>3</v>
      </c>
      <c r="D358" s="4"/>
      <c r="E358" s="4"/>
    </row>
    <row r="359">
      <c r="A359" s="3" t="s">
        <v>438</v>
      </c>
      <c r="B359" s="4"/>
      <c r="C359" s="4"/>
      <c r="D359" s="4"/>
      <c r="E359" s="4"/>
    </row>
    <row r="360">
      <c r="A360" s="3" t="s">
        <v>439</v>
      </c>
      <c r="B360" s="3" t="s">
        <v>2</v>
      </c>
      <c r="C360" s="3" t="s">
        <v>6</v>
      </c>
      <c r="D360" s="4"/>
      <c r="E360" s="4"/>
    </row>
    <row r="361">
      <c r="A361" s="3" t="s">
        <v>440</v>
      </c>
      <c r="B361" s="4"/>
      <c r="C361" s="4"/>
      <c r="D361" s="4"/>
      <c r="E361" s="4"/>
    </row>
    <row r="362">
      <c r="A362" s="3" t="s">
        <v>441</v>
      </c>
      <c r="B362" s="3" t="s">
        <v>2</v>
      </c>
      <c r="C362" s="3" t="s">
        <v>29</v>
      </c>
      <c r="D362" s="4"/>
      <c r="E362" s="4"/>
    </row>
    <row r="363">
      <c r="A363" s="3" t="s">
        <v>442</v>
      </c>
      <c r="B363" s="3" t="s">
        <v>443</v>
      </c>
      <c r="C363" s="4"/>
      <c r="D363" s="4"/>
      <c r="E363" s="4"/>
    </row>
    <row r="364">
      <c r="A364" s="3" t="s">
        <v>444</v>
      </c>
      <c r="B364" s="3" t="s">
        <v>22</v>
      </c>
      <c r="C364" s="4"/>
      <c r="D364" s="4"/>
      <c r="E364" s="4"/>
    </row>
    <row r="365">
      <c r="A365" s="3" t="s">
        <v>445</v>
      </c>
      <c r="B365" s="3" t="s">
        <v>446</v>
      </c>
      <c r="C365" s="4"/>
      <c r="D365" s="4"/>
      <c r="E365" s="4"/>
    </row>
    <row r="366">
      <c r="A366" s="3" t="s">
        <v>447</v>
      </c>
      <c r="B366" s="3" t="s">
        <v>448</v>
      </c>
      <c r="C366" s="4"/>
      <c r="D366" s="4"/>
      <c r="E366" s="4"/>
    </row>
    <row r="367">
      <c r="A367" s="3" t="s">
        <v>449</v>
      </c>
      <c r="B367" s="3" t="s">
        <v>2</v>
      </c>
      <c r="C367" s="3" t="s">
        <v>32</v>
      </c>
      <c r="D367" s="4"/>
      <c r="E367" s="4"/>
    </row>
    <row r="368">
      <c r="A368" s="3" t="s">
        <v>450</v>
      </c>
      <c r="B368" s="3" t="s">
        <v>406</v>
      </c>
      <c r="C368" s="3" t="s">
        <v>6</v>
      </c>
      <c r="D368" s="4"/>
      <c r="E368" s="4"/>
    </row>
    <row r="369">
      <c r="A369" s="3" t="s">
        <v>451</v>
      </c>
      <c r="B369" s="3" t="s">
        <v>2</v>
      </c>
      <c r="C369" s="3" t="s">
        <v>3</v>
      </c>
      <c r="D369" s="4"/>
      <c r="E369" s="4"/>
    </row>
    <row r="370">
      <c r="A370" s="3" t="s">
        <v>452</v>
      </c>
      <c r="B370" s="3" t="s">
        <v>115</v>
      </c>
      <c r="C370" s="3" t="s">
        <v>3</v>
      </c>
      <c r="D370" s="4"/>
      <c r="E370" s="4"/>
    </row>
    <row r="371">
      <c r="A371" s="3" t="s">
        <v>453</v>
      </c>
      <c r="B371" s="3" t="s">
        <v>2</v>
      </c>
      <c r="C371" s="3" t="s">
        <v>3</v>
      </c>
      <c r="D371" s="4"/>
      <c r="E371" s="4"/>
    </row>
    <row r="372">
      <c r="A372" s="3" t="s">
        <v>454</v>
      </c>
      <c r="B372" s="3" t="s">
        <v>2</v>
      </c>
      <c r="C372" s="3" t="s">
        <v>3</v>
      </c>
      <c r="D372" s="4"/>
      <c r="E372" s="4"/>
    </row>
    <row r="373">
      <c r="A373" s="3" t="s">
        <v>455</v>
      </c>
      <c r="B373" s="3" t="s">
        <v>2</v>
      </c>
      <c r="C373" s="3" t="s">
        <v>3</v>
      </c>
      <c r="D373" s="4"/>
      <c r="E373" s="4"/>
    </row>
    <row r="374">
      <c r="A374" s="3" t="s">
        <v>456</v>
      </c>
      <c r="B374" s="3" t="s">
        <v>2</v>
      </c>
      <c r="C374" s="3" t="s">
        <v>6</v>
      </c>
      <c r="D374" s="4"/>
      <c r="E374" s="4"/>
    </row>
    <row r="375">
      <c r="A375" s="3" t="s">
        <v>457</v>
      </c>
      <c r="B375" s="3" t="s">
        <v>20</v>
      </c>
      <c r="C375" s="3" t="s">
        <v>3</v>
      </c>
      <c r="D375" s="4"/>
      <c r="E375" s="4"/>
    </row>
    <row r="376">
      <c r="A376" s="3" t="s">
        <v>458</v>
      </c>
      <c r="B376" s="3" t="s">
        <v>2</v>
      </c>
      <c r="C376" s="3" t="s">
        <v>3</v>
      </c>
      <c r="D376" s="4"/>
      <c r="E376" s="4"/>
    </row>
    <row r="377">
      <c r="A377" s="3" t="s">
        <v>459</v>
      </c>
      <c r="B377" s="4"/>
      <c r="C377" s="4"/>
      <c r="D377" s="4"/>
      <c r="E377" s="4"/>
    </row>
    <row r="378">
      <c r="A378" s="3" t="s">
        <v>460</v>
      </c>
      <c r="B378" s="3" t="s">
        <v>22</v>
      </c>
      <c r="C378" s="4"/>
      <c r="D378" s="4"/>
      <c r="E378" s="4"/>
    </row>
    <row r="379">
      <c r="A379" s="3" t="s">
        <v>461</v>
      </c>
      <c r="B379" s="4"/>
      <c r="C379" s="4"/>
      <c r="D379" s="4"/>
      <c r="E379" s="4"/>
    </row>
    <row r="380">
      <c r="A380" s="3" t="s">
        <v>462</v>
      </c>
      <c r="B380" s="3" t="s">
        <v>2</v>
      </c>
      <c r="C380" s="3" t="s">
        <v>3</v>
      </c>
      <c r="D380" s="4"/>
      <c r="E380" s="4"/>
    </row>
    <row r="381">
      <c r="A381" s="3" t="s">
        <v>463</v>
      </c>
      <c r="B381" s="4"/>
      <c r="C381" s="4"/>
      <c r="D381" s="4"/>
      <c r="E381" s="4"/>
    </row>
    <row r="382">
      <c r="A382" s="3" t="s">
        <v>464</v>
      </c>
      <c r="B382" s="3" t="s">
        <v>2</v>
      </c>
      <c r="C382" s="3" t="s">
        <v>3</v>
      </c>
      <c r="D382" s="4"/>
      <c r="E382" s="4"/>
    </row>
    <row r="383">
      <c r="A383" s="3" t="s">
        <v>465</v>
      </c>
      <c r="B383" s="3" t="s">
        <v>45</v>
      </c>
      <c r="C383" s="3" t="s">
        <v>3</v>
      </c>
      <c r="D383" s="4"/>
      <c r="E383" s="4"/>
    </row>
    <row r="384">
      <c r="A384" s="3" t="s">
        <v>466</v>
      </c>
      <c r="B384" s="3" t="s">
        <v>22</v>
      </c>
      <c r="C384" s="3" t="s">
        <v>3</v>
      </c>
      <c r="D384" s="4"/>
      <c r="E384" s="4"/>
    </row>
    <row r="385">
      <c r="A385" s="3" t="s">
        <v>467</v>
      </c>
      <c r="B385" s="3" t="s">
        <v>468</v>
      </c>
      <c r="C385" s="3" t="s">
        <v>3</v>
      </c>
      <c r="D385" s="4"/>
      <c r="E385" s="4"/>
    </row>
    <row r="386">
      <c r="A386" s="3" t="s">
        <v>469</v>
      </c>
      <c r="B386" s="4"/>
      <c r="C386" s="4"/>
      <c r="D386" s="4"/>
      <c r="E386" s="4"/>
    </row>
    <row r="387">
      <c r="A387" s="3" t="s">
        <v>470</v>
      </c>
      <c r="B387" s="3" t="s">
        <v>2</v>
      </c>
      <c r="C387" s="3" t="s">
        <v>3</v>
      </c>
      <c r="D387" s="4"/>
      <c r="E387" s="4"/>
    </row>
    <row r="388">
      <c r="A388" s="3" t="s">
        <v>471</v>
      </c>
      <c r="B388" s="4"/>
      <c r="C388" s="4"/>
      <c r="D388" s="4"/>
      <c r="E388" s="4"/>
    </row>
    <row r="389">
      <c r="A389" s="3" t="s">
        <v>472</v>
      </c>
      <c r="B389" s="3" t="s">
        <v>42</v>
      </c>
      <c r="C389" s="3" t="s">
        <v>32</v>
      </c>
      <c r="D389" s="4"/>
      <c r="E389" s="4"/>
    </row>
    <row r="390">
      <c r="A390" s="3" t="s">
        <v>473</v>
      </c>
      <c r="B390" s="3" t="s">
        <v>125</v>
      </c>
      <c r="C390" s="3" t="s">
        <v>3</v>
      </c>
      <c r="D390" s="4"/>
      <c r="E390" s="4"/>
    </row>
    <row r="391">
      <c r="A391" s="3" t="s">
        <v>474</v>
      </c>
      <c r="B391" s="3" t="s">
        <v>2</v>
      </c>
      <c r="C391" s="3" t="s">
        <v>3</v>
      </c>
      <c r="D391" s="4"/>
      <c r="E391" s="4"/>
    </row>
    <row r="392">
      <c r="A392" s="3" t="s">
        <v>475</v>
      </c>
      <c r="B392" s="4"/>
      <c r="C392" s="4"/>
      <c r="D392" s="4"/>
      <c r="E392" s="4"/>
    </row>
    <row r="393">
      <c r="A393" s="3" t="s">
        <v>476</v>
      </c>
      <c r="B393" s="3" t="s">
        <v>477</v>
      </c>
      <c r="C393" s="3" t="s">
        <v>32</v>
      </c>
      <c r="D393" s="4"/>
      <c r="E393" s="4"/>
    </row>
    <row r="394">
      <c r="A394" s="3" t="s">
        <v>478</v>
      </c>
      <c r="B394" s="3" t="s">
        <v>479</v>
      </c>
      <c r="C394" s="4"/>
      <c r="D394" s="4"/>
      <c r="E394" s="4"/>
    </row>
    <row r="395">
      <c r="A395" s="3" t="s">
        <v>480</v>
      </c>
      <c r="B395" s="3" t="s">
        <v>22</v>
      </c>
      <c r="C395" s="4"/>
      <c r="D395" s="4"/>
      <c r="E395" s="4"/>
    </row>
    <row r="396">
      <c r="A396" s="3" t="s">
        <v>481</v>
      </c>
      <c r="B396" s="3" t="s">
        <v>482</v>
      </c>
      <c r="C396" s="3" t="s">
        <v>3</v>
      </c>
      <c r="D396" s="4"/>
      <c r="E396" s="4"/>
    </row>
    <row r="397">
      <c r="A397" s="3" t="s">
        <v>483</v>
      </c>
      <c r="B397" s="3" t="s">
        <v>65</v>
      </c>
      <c r="C397" s="3" t="s">
        <v>484</v>
      </c>
      <c r="D397" s="4"/>
      <c r="E397" s="4"/>
    </row>
    <row r="398">
      <c r="A398" s="3" t="s">
        <v>485</v>
      </c>
      <c r="B398" s="4"/>
      <c r="C398" s="4"/>
      <c r="D398" s="4"/>
      <c r="E398" s="4"/>
    </row>
    <row r="399">
      <c r="A399" s="3" t="s">
        <v>486</v>
      </c>
      <c r="B399" s="3" t="s">
        <v>2</v>
      </c>
      <c r="C399" s="3" t="s">
        <v>3</v>
      </c>
      <c r="D399" s="4"/>
      <c r="E399" s="4"/>
    </row>
    <row r="400">
      <c r="A400" s="3" t="s">
        <v>487</v>
      </c>
      <c r="B400" s="4"/>
      <c r="C400" s="4"/>
      <c r="D400" s="4"/>
      <c r="E400" s="4"/>
    </row>
    <row r="401">
      <c r="A401" s="3" t="s">
        <v>488</v>
      </c>
      <c r="B401" s="3" t="s">
        <v>2</v>
      </c>
      <c r="C401" s="3" t="s">
        <v>3</v>
      </c>
      <c r="D401" s="4"/>
      <c r="E401" s="4"/>
    </row>
    <row r="402">
      <c r="A402" s="3" t="s">
        <v>489</v>
      </c>
      <c r="B402" s="4"/>
      <c r="C402" s="4"/>
      <c r="D402" s="4"/>
      <c r="E402" s="4"/>
    </row>
    <row r="403">
      <c r="A403" s="3" t="s">
        <v>490</v>
      </c>
      <c r="B403" s="3" t="s">
        <v>125</v>
      </c>
      <c r="C403" s="4"/>
      <c r="D403" s="4"/>
      <c r="E403" s="4"/>
    </row>
    <row r="404">
      <c r="A404" s="3" t="s">
        <v>461</v>
      </c>
      <c r="B404" s="4"/>
      <c r="C404" s="4"/>
      <c r="D404" s="4"/>
      <c r="E404" s="4"/>
    </row>
    <row r="405">
      <c r="A405" s="3" t="s">
        <v>491</v>
      </c>
      <c r="B405" s="3" t="s">
        <v>492</v>
      </c>
      <c r="C405" s="4"/>
      <c r="D405" s="4"/>
      <c r="E405" s="4"/>
    </row>
    <row r="406">
      <c r="A406" s="3" t="s">
        <v>493</v>
      </c>
      <c r="B406" s="3" t="s">
        <v>2</v>
      </c>
      <c r="C406" s="3" t="s">
        <v>3</v>
      </c>
      <c r="D406" s="4"/>
      <c r="E406" s="4"/>
    </row>
    <row r="407">
      <c r="A407" s="3" t="s">
        <v>494</v>
      </c>
      <c r="B407" s="4"/>
      <c r="C407" s="4"/>
      <c r="D407" s="4"/>
      <c r="E407" s="4"/>
    </row>
    <row r="408">
      <c r="A408" s="3" t="s">
        <v>495</v>
      </c>
      <c r="B408" s="3" t="s">
        <v>11</v>
      </c>
      <c r="C408" s="4"/>
      <c r="D408" s="4"/>
      <c r="E408" s="4"/>
    </row>
    <row r="409">
      <c r="A409" s="3" t="s">
        <v>496</v>
      </c>
      <c r="B409" s="3" t="s">
        <v>2</v>
      </c>
      <c r="C409" s="3" t="s">
        <v>3</v>
      </c>
      <c r="D409" s="4"/>
      <c r="E409" s="4"/>
    </row>
    <row r="410">
      <c r="A410" s="3" t="s">
        <v>497</v>
      </c>
      <c r="B410" s="4"/>
      <c r="C410" s="4"/>
      <c r="D410" s="4"/>
      <c r="E410" s="4"/>
    </row>
    <row r="411">
      <c r="A411" s="3" t="s">
        <v>498</v>
      </c>
      <c r="B411" s="3" t="s">
        <v>382</v>
      </c>
      <c r="C411" s="3" t="s">
        <v>3</v>
      </c>
      <c r="D411" s="4"/>
      <c r="E411" s="4"/>
    </row>
    <row r="412">
      <c r="A412" s="3" t="s">
        <v>499</v>
      </c>
      <c r="B412" s="4"/>
      <c r="C412" s="4"/>
      <c r="D412" s="4"/>
      <c r="E412" s="4"/>
    </row>
    <row r="413">
      <c r="A413" s="3" t="s">
        <v>500</v>
      </c>
      <c r="B413" s="3" t="s">
        <v>2</v>
      </c>
      <c r="C413" s="3" t="s">
        <v>6</v>
      </c>
      <c r="D413" s="4"/>
      <c r="E413" s="4"/>
    </row>
    <row r="414">
      <c r="A414" s="3" t="s">
        <v>501</v>
      </c>
      <c r="B414" s="4"/>
      <c r="C414" s="4"/>
      <c r="D414" s="4"/>
      <c r="E414" s="4"/>
    </row>
    <row r="415">
      <c r="A415" s="3" t="s">
        <v>502</v>
      </c>
      <c r="B415" s="3" t="s">
        <v>18</v>
      </c>
      <c r="C415" s="3" t="s">
        <v>26</v>
      </c>
      <c r="D415" s="4"/>
      <c r="E415" s="4"/>
    </row>
    <row r="416">
      <c r="A416" s="3" t="s">
        <v>503</v>
      </c>
      <c r="B416" s="3" t="s">
        <v>2</v>
      </c>
      <c r="C416" s="3" t="s">
        <v>3</v>
      </c>
      <c r="D416" s="4"/>
      <c r="E416" s="4"/>
    </row>
    <row r="417">
      <c r="A417" s="3" t="s">
        <v>504</v>
      </c>
      <c r="B417" s="4"/>
      <c r="C417" s="4"/>
      <c r="D417" s="4"/>
      <c r="E417" s="4"/>
    </row>
    <row r="418">
      <c r="A418" s="3" t="s">
        <v>505</v>
      </c>
      <c r="B418" s="3" t="s">
        <v>2</v>
      </c>
      <c r="C418" s="3" t="s">
        <v>3</v>
      </c>
      <c r="D418" s="4"/>
      <c r="E418" s="4"/>
    </row>
    <row r="419">
      <c r="A419" s="3" t="s">
        <v>506</v>
      </c>
      <c r="B419" s="4"/>
      <c r="C419" s="4"/>
      <c r="D419" s="4"/>
      <c r="E419" s="4"/>
    </row>
    <row r="420">
      <c r="A420" s="3" t="s">
        <v>507</v>
      </c>
      <c r="B420" s="3" t="s">
        <v>2</v>
      </c>
      <c r="C420" s="3" t="s">
        <v>3</v>
      </c>
      <c r="D420" s="4"/>
      <c r="E420" s="4"/>
    </row>
    <row r="421">
      <c r="A421" s="3" t="s">
        <v>508</v>
      </c>
      <c r="B421" s="4"/>
      <c r="C421" s="4"/>
      <c r="D421" s="4"/>
      <c r="E421" s="4"/>
    </row>
    <row r="422">
      <c r="A422" s="3" t="s">
        <v>509</v>
      </c>
      <c r="B422" s="3" t="s">
        <v>2</v>
      </c>
      <c r="C422" s="3" t="s">
        <v>6</v>
      </c>
      <c r="D422" s="4"/>
      <c r="E422" s="4"/>
    </row>
    <row r="423">
      <c r="A423" s="3" t="s">
        <v>510</v>
      </c>
      <c r="B423" s="4"/>
      <c r="C423" s="4"/>
      <c r="D423" s="4"/>
      <c r="E423" s="4"/>
    </row>
    <row r="424">
      <c r="A424" s="3" t="s">
        <v>511</v>
      </c>
      <c r="B424" s="3" t="s">
        <v>2</v>
      </c>
      <c r="C424" s="3" t="s">
        <v>3</v>
      </c>
      <c r="D424" s="4"/>
      <c r="E424" s="4"/>
    </row>
    <row r="425">
      <c r="A425" s="3" t="s">
        <v>512</v>
      </c>
      <c r="B425" s="4"/>
      <c r="C425" s="4"/>
      <c r="D425" s="4"/>
      <c r="E425" s="4"/>
    </row>
    <row r="426">
      <c r="A426" s="3" t="s">
        <v>513</v>
      </c>
      <c r="B426" s="3" t="s">
        <v>2</v>
      </c>
      <c r="C426" s="3" t="s">
        <v>3</v>
      </c>
      <c r="D426" s="4"/>
      <c r="E426" s="4"/>
    </row>
    <row r="427">
      <c r="A427" s="3" t="s">
        <v>514</v>
      </c>
      <c r="B427" s="4"/>
      <c r="C427" s="4"/>
      <c r="D427" s="4"/>
      <c r="E427" s="4"/>
    </row>
    <row r="428">
      <c r="A428" s="3" t="s">
        <v>515</v>
      </c>
      <c r="B428" s="3" t="s">
        <v>2</v>
      </c>
      <c r="C428" s="3" t="s">
        <v>6</v>
      </c>
      <c r="D428" s="4"/>
      <c r="E428" s="4"/>
    </row>
    <row r="429">
      <c r="A429" s="3" t="s">
        <v>516</v>
      </c>
      <c r="B429" s="3" t="s">
        <v>2</v>
      </c>
      <c r="C429" s="3" t="s">
        <v>3</v>
      </c>
      <c r="D429" s="4"/>
      <c r="E429" s="4"/>
    </row>
    <row r="430">
      <c r="A430" s="3" t="s">
        <v>517</v>
      </c>
      <c r="B430" s="4"/>
      <c r="C430" s="4"/>
      <c r="D430" s="4"/>
      <c r="E430" s="4"/>
    </row>
    <row r="431">
      <c r="A431" s="3" t="s">
        <v>518</v>
      </c>
      <c r="B431" s="3" t="s">
        <v>519</v>
      </c>
      <c r="C431" s="4"/>
      <c r="D431" s="4"/>
      <c r="E431" s="4"/>
    </row>
    <row r="432">
      <c r="A432" s="3" t="s">
        <v>520</v>
      </c>
      <c r="B432" s="3" t="s">
        <v>65</v>
      </c>
      <c r="C432" s="3" t="s">
        <v>6</v>
      </c>
      <c r="D432" s="4"/>
      <c r="E432" s="4"/>
    </row>
    <row r="433">
      <c r="A433" s="3" t="s">
        <v>521</v>
      </c>
      <c r="B433" s="3" t="s">
        <v>218</v>
      </c>
      <c r="C433" s="4"/>
      <c r="D433" s="4"/>
      <c r="E433" s="4"/>
    </row>
    <row r="434">
      <c r="A434" s="3" t="s">
        <v>522</v>
      </c>
      <c r="B434" s="3" t="s">
        <v>523</v>
      </c>
      <c r="C434" s="3" t="s">
        <v>484</v>
      </c>
      <c r="D434" s="4"/>
      <c r="E434" s="4"/>
    </row>
    <row r="435">
      <c r="A435" s="3" t="s">
        <v>524</v>
      </c>
      <c r="B435" s="3" t="s">
        <v>2</v>
      </c>
      <c r="C435" s="3" t="s">
        <v>3</v>
      </c>
      <c r="D435" s="4"/>
      <c r="E435" s="4"/>
    </row>
    <row r="436">
      <c r="A436" s="3" t="s">
        <v>525</v>
      </c>
      <c r="B436" s="4"/>
      <c r="C436" s="4"/>
      <c r="D436" s="4"/>
      <c r="E436" s="4"/>
    </row>
    <row r="437">
      <c r="A437" s="3" t="s">
        <v>526</v>
      </c>
      <c r="B437" s="3" t="s">
        <v>22</v>
      </c>
      <c r="C437" s="4"/>
      <c r="D437" s="4"/>
      <c r="E437" s="4"/>
    </row>
    <row r="438">
      <c r="A438" s="3" t="s">
        <v>527</v>
      </c>
      <c r="B438" s="3" t="s">
        <v>11</v>
      </c>
      <c r="C438" s="4"/>
      <c r="D438" s="4"/>
      <c r="E438" s="4"/>
    </row>
    <row r="439">
      <c r="A439" s="3" t="s">
        <v>528</v>
      </c>
      <c r="B439" s="3" t="s">
        <v>468</v>
      </c>
      <c r="C439" s="4"/>
      <c r="D439" s="4"/>
      <c r="E439" s="4"/>
    </row>
    <row r="440">
      <c r="A440" s="3" t="s">
        <v>529</v>
      </c>
      <c r="B440" s="4"/>
      <c r="C440" s="4"/>
      <c r="D440" s="4"/>
      <c r="E440" s="4"/>
    </row>
    <row r="441">
      <c r="A441" s="3" t="s">
        <v>530</v>
      </c>
      <c r="B441" s="3" t="s">
        <v>18</v>
      </c>
      <c r="C441" s="3" t="s">
        <v>3</v>
      </c>
      <c r="D441" s="4"/>
      <c r="E441" s="4"/>
    </row>
    <row r="442">
      <c r="A442" s="3" t="s">
        <v>531</v>
      </c>
      <c r="B442" s="4"/>
      <c r="C442" s="4"/>
      <c r="D442" s="4"/>
      <c r="E442" s="4"/>
    </row>
    <row r="443">
      <c r="A443" s="3" t="s">
        <v>532</v>
      </c>
      <c r="B443" s="3" t="s">
        <v>533</v>
      </c>
      <c r="C443" s="3" t="s">
        <v>3</v>
      </c>
      <c r="D443" s="4"/>
      <c r="E443" s="4"/>
    </row>
    <row r="444">
      <c r="A444" s="3" t="s">
        <v>534</v>
      </c>
      <c r="B444" s="3" t="s">
        <v>2</v>
      </c>
      <c r="C444" s="3" t="s">
        <v>26</v>
      </c>
      <c r="D444" s="4"/>
      <c r="E444" s="4"/>
    </row>
    <row r="445">
      <c r="A445" s="3" t="s">
        <v>535</v>
      </c>
      <c r="B445" s="3" t="s">
        <v>382</v>
      </c>
      <c r="C445" s="3" t="s">
        <v>3</v>
      </c>
      <c r="D445" s="4"/>
      <c r="E445" s="4"/>
    </row>
    <row r="446">
      <c r="A446" s="3" t="s">
        <v>536</v>
      </c>
      <c r="B446" s="4"/>
      <c r="C446" s="4"/>
      <c r="D446" s="4"/>
      <c r="E446" s="4"/>
    </row>
    <row r="447">
      <c r="A447" s="3" t="s">
        <v>537</v>
      </c>
      <c r="B447" s="3" t="s">
        <v>135</v>
      </c>
      <c r="C447" s="4"/>
      <c r="D447" s="4"/>
      <c r="E447" s="4"/>
    </row>
    <row r="448">
      <c r="A448" s="3" t="s">
        <v>538</v>
      </c>
      <c r="B448" s="4"/>
      <c r="C448" s="4"/>
      <c r="D448" s="4"/>
      <c r="E448" s="4"/>
    </row>
    <row r="449">
      <c r="A449" s="3" t="s">
        <v>539</v>
      </c>
      <c r="B449" s="3" t="s">
        <v>2</v>
      </c>
      <c r="C449" s="3" t="s">
        <v>6</v>
      </c>
      <c r="D449" s="4"/>
      <c r="E449" s="4"/>
    </row>
    <row r="450">
      <c r="A450" s="3" t="s">
        <v>540</v>
      </c>
      <c r="B450" s="3" t="s">
        <v>406</v>
      </c>
      <c r="C450" s="4"/>
      <c r="D450" s="4"/>
      <c r="E450" s="4"/>
    </row>
    <row r="451">
      <c r="A451" s="3" t="s">
        <v>541</v>
      </c>
      <c r="B451" s="3" t="s">
        <v>18</v>
      </c>
      <c r="C451" s="4"/>
      <c r="D451" s="4"/>
      <c r="E451" s="4"/>
    </row>
    <row r="452">
      <c r="A452" s="3" t="s">
        <v>542</v>
      </c>
      <c r="B452" s="3" t="s">
        <v>2</v>
      </c>
      <c r="C452" s="3" t="s">
        <v>3</v>
      </c>
      <c r="D452" s="4"/>
      <c r="E452" s="4"/>
    </row>
    <row r="453">
      <c r="A453" s="3" t="s">
        <v>543</v>
      </c>
      <c r="B453" s="3" t="s">
        <v>2</v>
      </c>
      <c r="C453" s="3" t="s">
        <v>3</v>
      </c>
      <c r="D453" s="4"/>
      <c r="E453" s="4"/>
    </row>
    <row r="454">
      <c r="A454" s="3" t="s">
        <v>544</v>
      </c>
      <c r="B454" s="4"/>
      <c r="C454" s="4"/>
      <c r="D454" s="4"/>
      <c r="E454" s="4"/>
    </row>
    <row r="455">
      <c r="A455" s="3" t="s">
        <v>545</v>
      </c>
      <c r="B455" s="3" t="s">
        <v>2</v>
      </c>
      <c r="C455" s="3" t="s">
        <v>3</v>
      </c>
      <c r="D455" s="4"/>
      <c r="E455" s="4"/>
    </row>
    <row r="456">
      <c r="A456" s="3" t="s">
        <v>546</v>
      </c>
      <c r="B456" s="3" t="s">
        <v>2</v>
      </c>
      <c r="C456" s="3" t="s">
        <v>3</v>
      </c>
      <c r="D456" s="4"/>
      <c r="E456" s="4"/>
    </row>
    <row r="457">
      <c r="A457" s="3" t="s">
        <v>547</v>
      </c>
      <c r="B457" s="3" t="s">
        <v>115</v>
      </c>
      <c r="C457" s="4"/>
      <c r="D457" s="4"/>
      <c r="E457" s="4"/>
    </row>
    <row r="458">
      <c r="A458" s="3" t="s">
        <v>548</v>
      </c>
      <c r="B458" s="3" t="s">
        <v>2</v>
      </c>
      <c r="C458" s="3" t="s">
        <v>29</v>
      </c>
      <c r="D458" s="4"/>
      <c r="E458" s="4"/>
    </row>
    <row r="459">
      <c r="A459" s="3" t="s">
        <v>549</v>
      </c>
      <c r="B459" s="3" t="s">
        <v>550</v>
      </c>
      <c r="C459" s="4"/>
      <c r="D459" s="4"/>
      <c r="E459" s="4"/>
    </row>
    <row r="460">
      <c r="A460" s="3" t="s">
        <v>551</v>
      </c>
      <c r="B460" s="3" t="s">
        <v>2</v>
      </c>
      <c r="C460" s="3" t="s">
        <v>29</v>
      </c>
      <c r="D460" s="4"/>
      <c r="E460" s="4"/>
    </row>
    <row r="461">
      <c r="A461" s="3" t="s">
        <v>552</v>
      </c>
      <c r="B461" s="3" t="s">
        <v>18</v>
      </c>
      <c r="C461" s="4"/>
      <c r="D461" s="4"/>
      <c r="E461" s="4"/>
    </row>
    <row r="462">
      <c r="A462" s="3" t="s">
        <v>553</v>
      </c>
      <c r="B462" s="3" t="s">
        <v>2</v>
      </c>
      <c r="C462" s="3" t="s">
        <v>29</v>
      </c>
      <c r="D462" s="4"/>
      <c r="E462" s="4"/>
    </row>
    <row r="463">
      <c r="A463" s="3" t="s">
        <v>554</v>
      </c>
      <c r="B463" s="3" t="s">
        <v>2</v>
      </c>
      <c r="C463" s="3" t="s">
        <v>29</v>
      </c>
      <c r="D463" s="4"/>
      <c r="E463" s="4"/>
    </row>
    <row r="464">
      <c r="A464" s="3" t="s">
        <v>555</v>
      </c>
      <c r="B464" s="3" t="s">
        <v>2</v>
      </c>
      <c r="C464" s="3" t="s">
        <v>29</v>
      </c>
      <c r="D464" s="4"/>
      <c r="E464" s="4"/>
    </row>
    <row r="465">
      <c r="A465" s="3" t="s">
        <v>556</v>
      </c>
      <c r="B465" s="4"/>
      <c r="C465" s="4"/>
      <c r="D465" s="4"/>
      <c r="E465" s="4"/>
    </row>
    <row r="466">
      <c r="A466" s="3" t="s">
        <v>557</v>
      </c>
      <c r="B466" s="3" t="s">
        <v>65</v>
      </c>
      <c r="C466" s="3" t="s">
        <v>29</v>
      </c>
      <c r="D466" s="4"/>
      <c r="E466" s="4"/>
    </row>
    <row r="467">
      <c r="A467" s="3" t="s">
        <v>558</v>
      </c>
      <c r="B467" s="3" t="s">
        <v>11</v>
      </c>
      <c r="C467" s="3" t="s">
        <v>484</v>
      </c>
      <c r="D467" s="4"/>
      <c r="E467" s="4"/>
    </row>
    <row r="468">
      <c r="A468" s="3" t="s">
        <v>559</v>
      </c>
      <c r="B468" s="3" t="s">
        <v>560</v>
      </c>
      <c r="C468" s="3" t="s">
        <v>6</v>
      </c>
      <c r="D468" s="4"/>
      <c r="E468" s="4"/>
    </row>
    <row r="469">
      <c r="A469" s="3" t="s">
        <v>561</v>
      </c>
      <c r="B469" s="3" t="s">
        <v>2</v>
      </c>
      <c r="C469" s="3" t="s">
        <v>29</v>
      </c>
      <c r="D469" s="4"/>
      <c r="E469" s="4"/>
    </row>
    <row r="470">
      <c r="A470" s="3" t="s">
        <v>562</v>
      </c>
      <c r="B470" s="3" t="s">
        <v>2</v>
      </c>
      <c r="C470" s="3" t="s">
        <v>29</v>
      </c>
      <c r="D470" s="4"/>
      <c r="E470" s="4"/>
    </row>
    <row r="471">
      <c r="A471" s="3" t="s">
        <v>563</v>
      </c>
      <c r="B471" s="3" t="s">
        <v>2</v>
      </c>
      <c r="C471" s="3" t="s">
        <v>29</v>
      </c>
      <c r="D471" s="4"/>
      <c r="E471" s="4"/>
    </row>
    <row r="472">
      <c r="A472" s="3" t="s">
        <v>564</v>
      </c>
      <c r="B472" s="3" t="s">
        <v>2</v>
      </c>
      <c r="C472" s="3" t="s">
        <v>484</v>
      </c>
      <c r="D472" s="4"/>
      <c r="E472" s="4"/>
    </row>
    <row r="473">
      <c r="A473" s="3" t="s">
        <v>565</v>
      </c>
      <c r="B473" s="3" t="s">
        <v>2</v>
      </c>
      <c r="C473" s="3" t="s">
        <v>29</v>
      </c>
      <c r="D473" s="4"/>
      <c r="E473" s="4"/>
    </row>
    <row r="474">
      <c r="A474" s="3" t="s">
        <v>566</v>
      </c>
      <c r="B474" s="3" t="s">
        <v>2</v>
      </c>
      <c r="C474" s="3" t="s">
        <v>29</v>
      </c>
      <c r="D474" s="4"/>
      <c r="E474" s="4"/>
    </row>
    <row r="475">
      <c r="A475" s="3" t="s">
        <v>567</v>
      </c>
      <c r="B475" s="3" t="s">
        <v>2</v>
      </c>
      <c r="C475" s="3" t="s">
        <v>3</v>
      </c>
      <c r="D475" s="4"/>
      <c r="E475" s="4"/>
    </row>
    <row r="476">
      <c r="A476" s="3" t="s">
        <v>568</v>
      </c>
      <c r="B476" s="3" t="s">
        <v>2</v>
      </c>
      <c r="C476" s="3" t="s">
        <v>3</v>
      </c>
      <c r="D476" s="4"/>
      <c r="E476" s="4"/>
    </row>
    <row r="477">
      <c r="A477" s="3" t="s">
        <v>569</v>
      </c>
      <c r="B477" s="3" t="s">
        <v>570</v>
      </c>
      <c r="C477" s="3" t="s">
        <v>6</v>
      </c>
      <c r="D477" s="4"/>
      <c r="E477" s="4"/>
    </row>
    <row r="478">
      <c r="A478" s="3" t="s">
        <v>571</v>
      </c>
      <c r="B478" s="3" t="s">
        <v>18</v>
      </c>
      <c r="C478" s="3" t="s">
        <v>6</v>
      </c>
      <c r="D478" s="4"/>
      <c r="E478" s="4"/>
    </row>
    <row r="479">
      <c r="A479" s="3" t="s">
        <v>572</v>
      </c>
      <c r="B479" s="4"/>
      <c r="C479" s="4"/>
      <c r="D479" s="4"/>
      <c r="E479" s="4"/>
    </row>
    <row r="480">
      <c r="A480" s="3" t="s">
        <v>573</v>
      </c>
      <c r="B480" s="3" t="s">
        <v>2</v>
      </c>
      <c r="C480" s="3" t="s">
        <v>3</v>
      </c>
      <c r="D480" s="4"/>
      <c r="E480" s="4"/>
    </row>
    <row r="481">
      <c r="A481" s="3" t="s">
        <v>574</v>
      </c>
      <c r="B481" s="3" t="s">
        <v>575</v>
      </c>
      <c r="C481" s="4"/>
      <c r="D481" s="4"/>
      <c r="E481" s="4"/>
    </row>
    <row r="482">
      <c r="A482" s="3" t="s">
        <v>576</v>
      </c>
      <c r="B482" s="4"/>
      <c r="C482" s="4"/>
      <c r="D482" s="4"/>
      <c r="E482" s="4"/>
    </row>
    <row r="483">
      <c r="A483" s="3" t="s">
        <v>577</v>
      </c>
      <c r="B483" s="3" t="s">
        <v>2</v>
      </c>
      <c r="C483" s="3" t="s">
        <v>32</v>
      </c>
      <c r="D483" s="4"/>
      <c r="E483" s="4"/>
    </row>
    <row r="484">
      <c r="A484" s="3" t="s">
        <v>578</v>
      </c>
      <c r="B484" s="3" t="s">
        <v>579</v>
      </c>
      <c r="C484" s="3" t="s">
        <v>580</v>
      </c>
      <c r="D484" s="4"/>
      <c r="E484" s="4"/>
    </row>
    <row r="485">
      <c r="A485" s="4"/>
      <c r="B485" s="4"/>
      <c r="C485" s="3" t="s">
        <v>581</v>
      </c>
      <c r="D485" s="4"/>
      <c r="E485" s="4"/>
    </row>
    <row r="486">
      <c r="A486" s="3" t="s">
        <v>582</v>
      </c>
      <c r="B486" s="3" t="s">
        <v>583</v>
      </c>
      <c r="C486" s="3" t="s">
        <v>32</v>
      </c>
      <c r="D486" s="4"/>
      <c r="E486" s="4"/>
    </row>
    <row r="487">
      <c r="A487" s="3" t="s">
        <v>584</v>
      </c>
      <c r="B487" s="3" t="s">
        <v>2</v>
      </c>
      <c r="C487" s="3" t="s">
        <v>6</v>
      </c>
      <c r="D487" s="4"/>
      <c r="E487" s="4"/>
    </row>
    <row r="488">
      <c r="A488" s="3" t="s">
        <v>585</v>
      </c>
      <c r="B488" s="4"/>
      <c r="C488" s="4"/>
      <c r="D488" s="4"/>
      <c r="E488" s="4"/>
    </row>
    <row r="489">
      <c r="A489" s="3" t="s">
        <v>586</v>
      </c>
      <c r="B489" s="3" t="s">
        <v>587</v>
      </c>
      <c r="C489" s="3" t="s">
        <v>6</v>
      </c>
      <c r="D489" s="4"/>
      <c r="E489" s="4"/>
    </row>
    <row r="490">
      <c r="A490" s="3" t="s">
        <v>588</v>
      </c>
      <c r="B490" s="3" t="s">
        <v>2</v>
      </c>
      <c r="C490" s="3" t="s">
        <v>3</v>
      </c>
      <c r="D490" s="4"/>
      <c r="E490" s="4"/>
    </row>
    <row r="491">
      <c r="A491" s="3" t="s">
        <v>589</v>
      </c>
      <c r="B491" s="3" t="s">
        <v>590</v>
      </c>
      <c r="C491" s="3" t="s">
        <v>3</v>
      </c>
      <c r="D491" s="4"/>
      <c r="E491" s="4"/>
    </row>
    <row r="492">
      <c r="A492" s="3" t="s">
        <v>591</v>
      </c>
      <c r="B492" s="3" t="s">
        <v>2</v>
      </c>
      <c r="C492" s="3" t="s">
        <v>3</v>
      </c>
      <c r="D492" s="4"/>
      <c r="E492" s="4"/>
    </row>
    <row r="493">
      <c r="A493" s="3" t="s">
        <v>592</v>
      </c>
      <c r="B493" s="3" t="s">
        <v>2</v>
      </c>
      <c r="C493" s="3" t="s">
        <v>3</v>
      </c>
      <c r="D493" s="4"/>
      <c r="E493" s="4"/>
    </row>
    <row r="494">
      <c r="A494" s="3" t="s">
        <v>593</v>
      </c>
      <c r="B494" s="3" t="s">
        <v>2</v>
      </c>
      <c r="C494" s="3" t="s">
        <v>3</v>
      </c>
      <c r="D494" s="4"/>
      <c r="E494" s="4"/>
    </row>
    <row r="495">
      <c r="A495" s="3" t="s">
        <v>594</v>
      </c>
      <c r="B495" s="3" t="s">
        <v>2</v>
      </c>
      <c r="C495" s="3" t="s">
        <v>6</v>
      </c>
      <c r="D495" s="4"/>
      <c r="E495" s="4"/>
    </row>
    <row r="496">
      <c r="A496" s="3" t="s">
        <v>595</v>
      </c>
      <c r="B496" s="3" t="s">
        <v>2</v>
      </c>
      <c r="C496" s="3" t="s">
        <v>3</v>
      </c>
      <c r="D496" s="4"/>
      <c r="E496" s="4"/>
    </row>
    <row r="497">
      <c r="A497" s="3" t="s">
        <v>596</v>
      </c>
      <c r="B497" s="3" t="s">
        <v>2</v>
      </c>
      <c r="C497" s="3" t="s">
        <v>3</v>
      </c>
      <c r="D497" s="4"/>
      <c r="E497" s="4"/>
    </row>
    <row r="498">
      <c r="A498" s="3" t="s">
        <v>597</v>
      </c>
      <c r="B498" s="4"/>
      <c r="C498" s="4"/>
      <c r="D498" s="4"/>
      <c r="E498" s="4"/>
    </row>
    <row r="499">
      <c r="A499" s="3" t="s">
        <v>598</v>
      </c>
      <c r="B499" s="3" t="s">
        <v>2</v>
      </c>
      <c r="C499" s="3" t="s">
        <v>3</v>
      </c>
      <c r="D499" s="4"/>
      <c r="E499" s="4"/>
    </row>
    <row r="500">
      <c r="A500" s="3" t="s">
        <v>599</v>
      </c>
      <c r="B500" s="3" t="s">
        <v>600</v>
      </c>
      <c r="C500" s="4"/>
      <c r="D500" s="4"/>
      <c r="E500" s="4"/>
    </row>
    <row r="501">
      <c r="A501" s="3" t="s">
        <v>601</v>
      </c>
      <c r="B501" s="3" t="s">
        <v>20</v>
      </c>
      <c r="C501" s="4"/>
      <c r="D501" s="4"/>
      <c r="E501" s="4"/>
    </row>
    <row r="502">
      <c r="A502" s="3" t="s">
        <v>602</v>
      </c>
      <c r="B502" s="3" t="s">
        <v>603</v>
      </c>
      <c r="C502" s="3" t="s">
        <v>37</v>
      </c>
      <c r="D502" s="4"/>
      <c r="E502" s="4"/>
    </row>
    <row r="503">
      <c r="A503" s="3" t="s">
        <v>604</v>
      </c>
      <c r="B503" s="4"/>
      <c r="C503" s="3" t="s">
        <v>38</v>
      </c>
      <c r="D503" s="4"/>
      <c r="E503" s="4"/>
    </row>
    <row r="504">
      <c r="A504" s="3" t="s">
        <v>605</v>
      </c>
      <c r="B504" s="3" t="s">
        <v>22</v>
      </c>
      <c r="C504" s="3" t="s">
        <v>29</v>
      </c>
      <c r="D504" s="4"/>
      <c r="E504" s="4"/>
    </row>
    <row r="505">
      <c r="A505" s="3" t="s">
        <v>606</v>
      </c>
      <c r="B505" s="3" t="s">
        <v>22</v>
      </c>
      <c r="C505" s="3" t="s">
        <v>484</v>
      </c>
      <c r="D505" s="4"/>
      <c r="E505" s="4"/>
    </row>
    <row r="506">
      <c r="A506" s="3" t="s">
        <v>607</v>
      </c>
      <c r="B506" s="3" t="s">
        <v>608</v>
      </c>
      <c r="C506" s="3" t="s">
        <v>32</v>
      </c>
      <c r="D506" s="4"/>
      <c r="E506" s="4"/>
    </row>
    <row r="507">
      <c r="A507" s="3" t="s">
        <v>609</v>
      </c>
      <c r="B507" s="3" t="s">
        <v>218</v>
      </c>
      <c r="C507" s="3" t="s">
        <v>29</v>
      </c>
      <c r="D507" s="4"/>
      <c r="E507" s="4"/>
    </row>
    <row r="508">
      <c r="A508" s="3" t="s">
        <v>610</v>
      </c>
      <c r="B508" s="3" t="s">
        <v>2</v>
      </c>
      <c r="C508" s="3" t="s">
        <v>6</v>
      </c>
      <c r="D508" s="4"/>
      <c r="E508" s="4"/>
    </row>
    <row r="509">
      <c r="A509" s="3" t="s">
        <v>611</v>
      </c>
      <c r="B509" s="3" t="s">
        <v>125</v>
      </c>
      <c r="C509" s="4"/>
      <c r="D509" s="4"/>
      <c r="E509" s="4"/>
    </row>
    <row r="510">
      <c r="A510" s="3" t="s">
        <v>612</v>
      </c>
      <c r="B510" s="3" t="s">
        <v>2</v>
      </c>
      <c r="C510" s="3" t="s">
        <v>6</v>
      </c>
      <c r="D510" s="4"/>
      <c r="E510" s="4"/>
    </row>
    <row r="511">
      <c r="A511" s="3" t="s">
        <v>613</v>
      </c>
      <c r="B511" s="3" t="s">
        <v>2</v>
      </c>
      <c r="C511" s="3" t="s">
        <v>3</v>
      </c>
      <c r="D511" s="4"/>
      <c r="E511" s="4"/>
    </row>
    <row r="512">
      <c r="A512" s="3" t="s">
        <v>614</v>
      </c>
      <c r="B512" s="3" t="s">
        <v>65</v>
      </c>
      <c r="C512" s="4"/>
      <c r="D512" s="4"/>
      <c r="E512" s="4"/>
    </row>
    <row r="513">
      <c r="A513" s="3" t="s">
        <v>615</v>
      </c>
      <c r="B513" s="3" t="s">
        <v>2</v>
      </c>
      <c r="C513" s="3" t="s">
        <v>3</v>
      </c>
      <c r="D513" s="4"/>
      <c r="E513" s="4"/>
    </row>
    <row r="514">
      <c r="A514" s="3" t="s">
        <v>616</v>
      </c>
      <c r="B514" s="3" t="s">
        <v>2</v>
      </c>
      <c r="C514" s="3" t="s">
        <v>3</v>
      </c>
      <c r="D514" s="4"/>
      <c r="E514" s="4"/>
    </row>
    <row r="515">
      <c r="A515" s="3" t="s">
        <v>617</v>
      </c>
      <c r="B515" s="3" t="s">
        <v>2</v>
      </c>
      <c r="C515" s="3" t="s">
        <v>3</v>
      </c>
      <c r="D515" s="4"/>
      <c r="E515" s="4"/>
    </row>
    <row r="516">
      <c r="A516" s="3" t="s">
        <v>618</v>
      </c>
      <c r="B516" s="3" t="s">
        <v>2</v>
      </c>
      <c r="C516" s="3" t="s">
        <v>3</v>
      </c>
      <c r="D516" s="4"/>
      <c r="E516" s="4"/>
    </row>
    <row r="517">
      <c r="A517" s="3" t="s">
        <v>619</v>
      </c>
      <c r="B517" s="3" t="s">
        <v>2</v>
      </c>
      <c r="C517" s="3" t="s">
        <v>3</v>
      </c>
      <c r="D517" s="4"/>
      <c r="E517" s="4"/>
    </row>
    <row r="518">
      <c r="A518" s="3" t="s">
        <v>620</v>
      </c>
      <c r="B518" s="3" t="s">
        <v>2</v>
      </c>
      <c r="C518" s="3" t="s">
        <v>6</v>
      </c>
      <c r="D518" s="4"/>
      <c r="E518" s="4"/>
    </row>
    <row r="519">
      <c r="A519" s="3" t="s">
        <v>621</v>
      </c>
      <c r="B519" s="3" t="s">
        <v>65</v>
      </c>
      <c r="C519" s="3" t="s">
        <v>32</v>
      </c>
      <c r="D519" s="4"/>
      <c r="E519" s="4"/>
    </row>
    <row r="520">
      <c r="A520" s="3" t="s">
        <v>622</v>
      </c>
      <c r="B520" s="3" t="s">
        <v>623</v>
      </c>
      <c r="C520" s="3" t="s">
        <v>32</v>
      </c>
      <c r="D520" s="4"/>
      <c r="E520" s="4"/>
    </row>
    <row r="521">
      <c r="A521" s="3" t="s">
        <v>624</v>
      </c>
      <c r="B521" s="3" t="s">
        <v>2</v>
      </c>
      <c r="C521" s="3" t="s">
        <v>3</v>
      </c>
      <c r="D521" s="4"/>
      <c r="E521" s="4"/>
    </row>
    <row r="522">
      <c r="A522" s="3" t="s">
        <v>625</v>
      </c>
      <c r="B522" s="3" t="s">
        <v>626</v>
      </c>
      <c r="C522" s="3" t="s">
        <v>37</v>
      </c>
      <c r="D522" s="4"/>
      <c r="E522" s="4"/>
    </row>
    <row r="523">
      <c r="A523" s="4"/>
      <c r="B523" s="4"/>
      <c r="C523" s="3" t="s">
        <v>38</v>
      </c>
      <c r="D523" s="4"/>
      <c r="E523" s="4"/>
    </row>
    <row r="524">
      <c r="A524" s="3" t="s">
        <v>627</v>
      </c>
      <c r="B524" s="3" t="s">
        <v>2</v>
      </c>
      <c r="C524" s="3" t="s">
        <v>3</v>
      </c>
      <c r="D524" s="4"/>
      <c r="E524" s="4"/>
    </row>
    <row r="525">
      <c r="A525" s="3" t="s">
        <v>628</v>
      </c>
      <c r="B525" s="3" t="s">
        <v>629</v>
      </c>
      <c r="C525" s="3" t="s">
        <v>484</v>
      </c>
      <c r="D525" s="4"/>
      <c r="E525" s="4"/>
    </row>
    <row r="526">
      <c r="A526" s="3" t="s">
        <v>630</v>
      </c>
      <c r="B526" s="3" t="s">
        <v>125</v>
      </c>
      <c r="C526" s="4"/>
      <c r="D526" s="4"/>
      <c r="E526" s="4"/>
    </row>
    <row r="527">
      <c r="A527" s="3" t="s">
        <v>631</v>
      </c>
      <c r="B527" s="3" t="s">
        <v>11</v>
      </c>
      <c r="C527" s="4"/>
      <c r="D527" s="4"/>
      <c r="E527" s="4"/>
    </row>
    <row r="528">
      <c r="A528" s="3" t="s">
        <v>632</v>
      </c>
      <c r="B528" s="3" t="s">
        <v>2</v>
      </c>
      <c r="C528" s="3" t="s">
        <v>3</v>
      </c>
      <c r="D528" s="4"/>
      <c r="E528" s="4"/>
    </row>
    <row r="529">
      <c r="A529" s="3" t="s">
        <v>633</v>
      </c>
      <c r="B529" s="3" t="s">
        <v>634</v>
      </c>
      <c r="C529" s="3" t="s">
        <v>3</v>
      </c>
      <c r="D529" s="4"/>
      <c r="E529" s="4"/>
    </row>
    <row r="530">
      <c r="A530" s="3" t="s">
        <v>635</v>
      </c>
      <c r="B530" s="3" t="s">
        <v>11</v>
      </c>
      <c r="C530" s="3" t="s">
        <v>32</v>
      </c>
      <c r="D530" s="4"/>
      <c r="E530" s="4"/>
    </row>
    <row r="531">
      <c r="A531" s="3" t="s">
        <v>636</v>
      </c>
      <c r="B531" s="3" t="s">
        <v>125</v>
      </c>
      <c r="C531" s="3" t="s">
        <v>6</v>
      </c>
      <c r="D531" s="4"/>
      <c r="E531" s="4"/>
    </row>
    <row r="532">
      <c r="A532" s="3" t="s">
        <v>637</v>
      </c>
      <c r="B532" s="3" t="s">
        <v>2</v>
      </c>
      <c r="C532" s="3" t="s">
        <v>37</v>
      </c>
      <c r="D532" s="4"/>
      <c r="E532" s="4"/>
    </row>
    <row r="533">
      <c r="A533" s="4"/>
      <c r="B533" s="4"/>
      <c r="C533" s="3" t="s">
        <v>38</v>
      </c>
      <c r="D533" s="4"/>
      <c r="E533" s="4"/>
    </row>
    <row r="534">
      <c r="A534" s="3" t="s">
        <v>638</v>
      </c>
      <c r="B534" s="3" t="s">
        <v>2</v>
      </c>
      <c r="C534" s="3" t="s">
        <v>3</v>
      </c>
      <c r="D534" s="4"/>
      <c r="E534" s="4"/>
    </row>
    <row r="535">
      <c r="A535" s="3" t="s">
        <v>639</v>
      </c>
      <c r="B535" s="3" t="s">
        <v>640</v>
      </c>
      <c r="C535" s="3" t="s">
        <v>3</v>
      </c>
      <c r="D535" s="4"/>
      <c r="E535" s="4"/>
    </row>
    <row r="536">
      <c r="A536" s="3" t="s">
        <v>641</v>
      </c>
      <c r="B536" s="3" t="s">
        <v>642</v>
      </c>
      <c r="C536" s="3" t="s">
        <v>37</v>
      </c>
      <c r="D536" s="4"/>
      <c r="E536" s="4"/>
    </row>
    <row r="537">
      <c r="A537" s="4"/>
      <c r="B537" s="4"/>
      <c r="C537" s="3" t="s">
        <v>38</v>
      </c>
      <c r="D537" s="4"/>
      <c r="E537" s="4"/>
    </row>
    <row r="538">
      <c r="A538" s="3" t="s">
        <v>643</v>
      </c>
      <c r="B538" s="3" t="s">
        <v>22</v>
      </c>
      <c r="C538" s="3" t="s">
        <v>29</v>
      </c>
      <c r="D538" s="4"/>
      <c r="E538" s="4"/>
    </row>
    <row r="539">
      <c r="A539" s="3" t="s">
        <v>644</v>
      </c>
      <c r="B539" s="3" t="s">
        <v>2</v>
      </c>
      <c r="C539" s="3" t="s">
        <v>3</v>
      </c>
      <c r="D539" s="4"/>
      <c r="E539" s="4"/>
    </row>
    <row r="540">
      <c r="A540" s="3" t="s">
        <v>645</v>
      </c>
      <c r="B540" s="3" t="s">
        <v>150</v>
      </c>
      <c r="C540" s="4"/>
      <c r="D540" s="4"/>
      <c r="E540" s="4"/>
    </row>
    <row r="541">
      <c r="A541" s="3" t="s">
        <v>646</v>
      </c>
      <c r="B541" s="3" t="s">
        <v>647</v>
      </c>
      <c r="C541" s="3" t="s">
        <v>6</v>
      </c>
      <c r="D541" s="4"/>
      <c r="E541" s="4"/>
    </row>
    <row r="542">
      <c r="A542" s="3" t="s">
        <v>648</v>
      </c>
      <c r="B542" s="3" t="s">
        <v>649</v>
      </c>
      <c r="C542" s="3" t="s">
        <v>16</v>
      </c>
      <c r="D542" s="4"/>
      <c r="E542" s="4"/>
    </row>
    <row r="543">
      <c r="A543" s="3" t="s">
        <v>650</v>
      </c>
      <c r="B543" s="3" t="s">
        <v>11</v>
      </c>
      <c r="C543" s="4"/>
      <c r="D543" s="4"/>
      <c r="E543" s="4"/>
    </row>
    <row r="544">
      <c r="A544" s="3" t="s">
        <v>651</v>
      </c>
      <c r="B544" s="3" t="s">
        <v>2</v>
      </c>
      <c r="C544" s="3" t="s">
        <v>3</v>
      </c>
      <c r="D544" s="4"/>
      <c r="E544" s="4"/>
    </row>
    <row r="545">
      <c r="A545" s="3" t="s">
        <v>652</v>
      </c>
      <c r="B545" s="3" t="s">
        <v>653</v>
      </c>
      <c r="C545" s="3" t="s">
        <v>29</v>
      </c>
      <c r="D545" s="4"/>
      <c r="E545" s="4"/>
    </row>
    <row r="546">
      <c r="A546" s="3" t="s">
        <v>654</v>
      </c>
      <c r="B546" s="3" t="s">
        <v>2</v>
      </c>
      <c r="C546" s="3" t="s">
        <v>29</v>
      </c>
      <c r="D546" s="4"/>
      <c r="E546" s="4"/>
    </row>
    <row r="547">
      <c r="A547" s="3" t="s">
        <v>655</v>
      </c>
      <c r="B547" s="3" t="s">
        <v>656</v>
      </c>
      <c r="C547" s="3" t="s">
        <v>29</v>
      </c>
      <c r="D547" s="4"/>
      <c r="E547" s="4"/>
    </row>
    <row r="548">
      <c r="A548" s="3" t="s">
        <v>657</v>
      </c>
      <c r="B548" s="3" t="s">
        <v>2</v>
      </c>
      <c r="C548" s="3" t="s">
        <v>32</v>
      </c>
      <c r="D548" s="4"/>
      <c r="E548" s="4"/>
    </row>
    <row r="549">
      <c r="A549" s="3" t="s">
        <v>658</v>
      </c>
      <c r="B549" s="4"/>
      <c r="C549" s="4"/>
      <c r="D549" s="4"/>
      <c r="E549" s="4"/>
    </row>
    <row r="550">
      <c r="A550" s="3" t="s">
        <v>659</v>
      </c>
      <c r="B550" s="3" t="s">
        <v>533</v>
      </c>
      <c r="C550" s="3" t="s">
        <v>6</v>
      </c>
      <c r="D550" s="4"/>
      <c r="E550" s="4"/>
    </row>
    <row r="551">
      <c r="A551" s="3" t="s">
        <v>660</v>
      </c>
      <c r="B551" s="3" t="s">
        <v>45</v>
      </c>
      <c r="C551" s="4"/>
      <c r="D551" s="4"/>
      <c r="E551" s="4"/>
    </row>
    <row r="552">
      <c r="A552" s="3" t="s">
        <v>661</v>
      </c>
      <c r="B552" s="3" t="s">
        <v>2</v>
      </c>
      <c r="C552" s="3" t="s">
        <v>29</v>
      </c>
      <c r="D552" s="4"/>
      <c r="E552" s="4"/>
    </row>
    <row r="553">
      <c r="A553" s="3" t="s">
        <v>662</v>
      </c>
      <c r="B553" s="3" t="s">
        <v>18</v>
      </c>
      <c r="C553" s="4"/>
      <c r="D553" s="4"/>
      <c r="E553" s="4"/>
    </row>
    <row r="554">
      <c r="A554" s="3" t="s">
        <v>663</v>
      </c>
      <c r="B554" s="3" t="s">
        <v>664</v>
      </c>
      <c r="C554" s="3" t="s">
        <v>176</v>
      </c>
      <c r="D554" s="4"/>
      <c r="E554" s="4"/>
    </row>
    <row r="555">
      <c r="A555" s="3" t="s">
        <v>665</v>
      </c>
      <c r="B555" s="3" t="s">
        <v>282</v>
      </c>
      <c r="C555" s="3" t="s">
        <v>6</v>
      </c>
      <c r="D555" s="4"/>
      <c r="E555" s="4"/>
    </row>
    <row r="556">
      <c r="A556" s="3" t="s">
        <v>666</v>
      </c>
      <c r="B556" s="3" t="s">
        <v>162</v>
      </c>
      <c r="C556" s="4"/>
      <c r="D556" s="4"/>
      <c r="E556" s="4"/>
    </row>
    <row r="557">
      <c r="A557" s="3" t="s">
        <v>667</v>
      </c>
      <c r="B557" s="3" t="s">
        <v>2</v>
      </c>
      <c r="C557" s="3" t="s">
        <v>668</v>
      </c>
      <c r="D557" s="4"/>
      <c r="E557" s="4"/>
    </row>
    <row r="558">
      <c r="A558" s="3" t="s">
        <v>669</v>
      </c>
      <c r="B558" s="3" t="s">
        <v>670</v>
      </c>
      <c r="C558" s="3" t="s">
        <v>3</v>
      </c>
      <c r="D558" s="4"/>
      <c r="E558" s="4"/>
    </row>
    <row r="559">
      <c r="A559" s="3" t="s">
        <v>671</v>
      </c>
      <c r="B559" s="3" t="s">
        <v>2</v>
      </c>
      <c r="C559" s="3" t="s">
        <v>32</v>
      </c>
      <c r="D559" s="4"/>
      <c r="E559" s="4"/>
    </row>
    <row r="560">
      <c r="A560" s="3" t="s">
        <v>672</v>
      </c>
      <c r="B560" s="3" t="s">
        <v>2</v>
      </c>
      <c r="C560" s="3" t="s">
        <v>3</v>
      </c>
      <c r="D560" s="4"/>
      <c r="E560" s="4"/>
    </row>
    <row r="561">
      <c r="A561" s="3" t="s">
        <v>673</v>
      </c>
      <c r="B561" s="3" t="s">
        <v>2</v>
      </c>
      <c r="C561" s="3" t="s">
        <v>29</v>
      </c>
      <c r="D561" s="4"/>
      <c r="E561" s="4"/>
    </row>
    <row r="562">
      <c r="A562" s="3" t="s">
        <v>674</v>
      </c>
      <c r="B562" s="3" t="s">
        <v>11</v>
      </c>
      <c r="C562" s="3" t="s">
        <v>3</v>
      </c>
      <c r="D562" s="4"/>
      <c r="E562" s="4"/>
    </row>
    <row r="563">
      <c r="A563" s="3" t="s">
        <v>675</v>
      </c>
      <c r="B563" s="3" t="s">
        <v>115</v>
      </c>
      <c r="C563" s="3" t="s">
        <v>484</v>
      </c>
      <c r="D563" s="4"/>
      <c r="E563" s="4"/>
    </row>
    <row r="564">
      <c r="A564" s="3" t="s">
        <v>676</v>
      </c>
      <c r="B564" s="3" t="s">
        <v>376</v>
      </c>
      <c r="C564" s="3" t="s">
        <v>3</v>
      </c>
      <c r="D564" s="4"/>
      <c r="E564" s="4"/>
    </row>
    <row r="565">
      <c r="A565" s="3" t="s">
        <v>677</v>
      </c>
      <c r="B565" s="3" t="s">
        <v>2</v>
      </c>
      <c r="C565" s="3" t="s">
        <v>3</v>
      </c>
      <c r="D565" s="4"/>
      <c r="E565" s="4"/>
    </row>
    <row r="566">
      <c r="A566" s="3" t="s">
        <v>678</v>
      </c>
      <c r="B566" s="3" t="s">
        <v>2</v>
      </c>
      <c r="C566" s="3" t="s">
        <v>32</v>
      </c>
      <c r="D566" s="4"/>
      <c r="E566" s="4"/>
    </row>
    <row r="567">
      <c r="A567" s="3" t="s">
        <v>679</v>
      </c>
      <c r="B567" s="3" t="s">
        <v>680</v>
      </c>
      <c r="C567" s="4"/>
      <c r="D567" s="4"/>
      <c r="E567" s="4"/>
    </row>
    <row r="568">
      <c r="A568" s="3" t="s">
        <v>681</v>
      </c>
      <c r="B568" s="3" t="s">
        <v>42</v>
      </c>
      <c r="C568" s="4"/>
      <c r="D568" s="4"/>
      <c r="E568" s="4"/>
    </row>
    <row r="569">
      <c r="A569" s="3" t="s">
        <v>682</v>
      </c>
      <c r="B569" s="3" t="s">
        <v>2</v>
      </c>
      <c r="C569" s="3" t="s">
        <v>26</v>
      </c>
      <c r="D569" s="4"/>
      <c r="E569" s="4"/>
    </row>
    <row r="570">
      <c r="A570" s="3" t="s">
        <v>683</v>
      </c>
      <c r="B570" s="3" t="s">
        <v>684</v>
      </c>
      <c r="C570" s="3" t="s">
        <v>29</v>
      </c>
      <c r="D570" s="4"/>
      <c r="E570" s="4"/>
    </row>
    <row r="571">
      <c r="A571" s="3" t="s">
        <v>685</v>
      </c>
      <c r="B571" s="3" t="s">
        <v>2</v>
      </c>
      <c r="C571" s="3" t="s">
        <v>6</v>
      </c>
      <c r="D571" s="4"/>
      <c r="E571" s="4"/>
    </row>
    <row r="572">
      <c r="A572" s="3" t="s">
        <v>686</v>
      </c>
      <c r="B572" s="3" t="s">
        <v>115</v>
      </c>
      <c r="C572" s="3" t="s">
        <v>580</v>
      </c>
      <c r="D572" s="4"/>
      <c r="E572" s="4"/>
    </row>
    <row r="573">
      <c r="A573" s="4"/>
      <c r="B573" s="4"/>
      <c r="C573" s="3" t="s">
        <v>581</v>
      </c>
      <c r="D573" s="4"/>
      <c r="E573" s="4"/>
    </row>
    <row r="574">
      <c r="A574" s="3" t="s">
        <v>687</v>
      </c>
      <c r="B574" s="3" t="s">
        <v>146</v>
      </c>
      <c r="C574" s="3" t="s">
        <v>6</v>
      </c>
      <c r="D574" s="4"/>
      <c r="E574" s="4"/>
    </row>
    <row r="575">
      <c r="A575" s="3" t="s">
        <v>688</v>
      </c>
      <c r="B575" s="3" t="s">
        <v>2</v>
      </c>
      <c r="C575" s="3" t="s">
        <v>6</v>
      </c>
      <c r="D575" s="4"/>
      <c r="E575" s="4"/>
    </row>
    <row r="576">
      <c r="A576" s="3" t="s">
        <v>689</v>
      </c>
      <c r="B576" s="3" t="s">
        <v>406</v>
      </c>
      <c r="C576" s="3" t="s">
        <v>32</v>
      </c>
      <c r="D576" s="4"/>
      <c r="E576" s="4"/>
    </row>
    <row r="577">
      <c r="A577" s="3" t="s">
        <v>690</v>
      </c>
      <c r="B577" s="3" t="s">
        <v>2</v>
      </c>
      <c r="C577" s="3" t="s">
        <v>29</v>
      </c>
      <c r="D577" s="4"/>
      <c r="E577" s="4"/>
    </row>
    <row r="578">
      <c r="A578" s="3" t="s">
        <v>691</v>
      </c>
      <c r="B578" s="3" t="s">
        <v>382</v>
      </c>
      <c r="C578" s="3" t="s">
        <v>3</v>
      </c>
      <c r="D578" s="4"/>
      <c r="E578" s="4"/>
    </row>
    <row r="579">
      <c r="A579" s="3" t="s">
        <v>692</v>
      </c>
      <c r="B579" s="4"/>
      <c r="C579" s="4"/>
      <c r="D579" s="4"/>
      <c r="E579" s="4"/>
    </row>
    <row r="580">
      <c r="A580" s="3" t="s">
        <v>693</v>
      </c>
      <c r="B580" s="3" t="s">
        <v>2</v>
      </c>
      <c r="C580" s="3" t="s">
        <v>3</v>
      </c>
      <c r="D580" s="4"/>
      <c r="E580" s="4"/>
    </row>
    <row r="581">
      <c r="A581" s="3" t="s">
        <v>694</v>
      </c>
      <c r="B581" s="3" t="s">
        <v>2</v>
      </c>
      <c r="C581" s="3" t="s">
        <v>6</v>
      </c>
      <c r="D581" s="4"/>
      <c r="E581" s="4"/>
    </row>
    <row r="582">
      <c r="A582" s="3" t="s">
        <v>695</v>
      </c>
      <c r="B582" s="3" t="s">
        <v>2</v>
      </c>
      <c r="C582" s="3" t="s">
        <v>3</v>
      </c>
      <c r="D582" s="4"/>
      <c r="E582" s="4"/>
    </row>
    <row r="583">
      <c r="A583" s="3" t="s">
        <v>696</v>
      </c>
      <c r="B583" s="3" t="s">
        <v>2</v>
      </c>
      <c r="C583" s="3" t="s">
        <v>3</v>
      </c>
      <c r="D583" s="4"/>
      <c r="E583" s="4"/>
    </row>
    <row r="584">
      <c r="A584" s="3" t="s">
        <v>697</v>
      </c>
      <c r="B584" s="3" t="s">
        <v>698</v>
      </c>
      <c r="C584" s="4"/>
      <c r="D584" s="4"/>
      <c r="E584" s="4"/>
    </row>
    <row r="585">
      <c r="A585" s="3" t="s">
        <v>699</v>
      </c>
      <c r="B585" s="3" t="s">
        <v>2</v>
      </c>
      <c r="C585" s="3" t="s">
        <v>3</v>
      </c>
      <c r="D585" s="4"/>
      <c r="E585" s="4"/>
    </row>
    <row r="586">
      <c r="A586" s="3" t="s">
        <v>700</v>
      </c>
      <c r="B586" s="3" t="s">
        <v>701</v>
      </c>
      <c r="C586" s="4"/>
      <c r="D586" s="4"/>
      <c r="E586" s="4"/>
    </row>
    <row r="587">
      <c r="A587" s="3" t="s">
        <v>702</v>
      </c>
      <c r="B587" s="3" t="s">
        <v>703</v>
      </c>
      <c r="C587" s="3" t="s">
        <v>32</v>
      </c>
      <c r="D587" s="4"/>
      <c r="E587" s="4"/>
    </row>
    <row r="588">
      <c r="A588" s="3" t="s">
        <v>704</v>
      </c>
      <c r="B588" s="3" t="s">
        <v>20</v>
      </c>
      <c r="C588" s="4"/>
      <c r="D588" s="4"/>
      <c r="E588" s="4"/>
    </row>
    <row r="589">
      <c r="A589" s="3" t="s">
        <v>705</v>
      </c>
      <c r="B589" s="3" t="s">
        <v>706</v>
      </c>
      <c r="C589" s="4"/>
      <c r="D589" s="4"/>
      <c r="E589" s="4"/>
    </row>
    <row r="590">
      <c r="A590" s="3" t="s">
        <v>707</v>
      </c>
      <c r="B590" s="3" t="s">
        <v>2</v>
      </c>
      <c r="C590" s="3" t="s">
        <v>3</v>
      </c>
      <c r="D590" s="4"/>
      <c r="E590" s="4"/>
    </row>
    <row r="591">
      <c r="A591" s="3" t="s">
        <v>708</v>
      </c>
      <c r="B591" s="4"/>
      <c r="C591" s="4"/>
      <c r="D591" s="4"/>
      <c r="E591" s="4"/>
    </row>
    <row r="592">
      <c r="A592" s="3" t="s">
        <v>709</v>
      </c>
      <c r="B592" s="3" t="s">
        <v>2</v>
      </c>
      <c r="C592" s="3" t="s">
        <v>29</v>
      </c>
      <c r="D592" s="4"/>
      <c r="E592" s="4"/>
    </row>
    <row r="593">
      <c r="A593" s="3" t="s">
        <v>710</v>
      </c>
      <c r="B593" s="3" t="s">
        <v>2</v>
      </c>
      <c r="C593" s="3" t="s">
        <v>6</v>
      </c>
      <c r="D593" s="4"/>
      <c r="E593" s="4"/>
    </row>
    <row r="594">
      <c r="A594" s="3" t="s">
        <v>711</v>
      </c>
      <c r="B594" s="3" t="s">
        <v>2</v>
      </c>
      <c r="C594" s="3" t="s">
        <v>3</v>
      </c>
      <c r="D594" s="4"/>
      <c r="E594" s="4"/>
    </row>
    <row r="595">
      <c r="A595" s="3" t="s">
        <v>712</v>
      </c>
      <c r="B595" s="3" t="s">
        <v>713</v>
      </c>
      <c r="C595" s="4"/>
      <c r="D595" s="4"/>
      <c r="E595" s="4"/>
    </row>
    <row r="596">
      <c r="A596" s="3" t="s">
        <v>714</v>
      </c>
      <c r="B596" s="3" t="s">
        <v>2</v>
      </c>
      <c r="C596" s="3" t="s">
        <v>6</v>
      </c>
      <c r="D596" s="4"/>
      <c r="E596" s="4"/>
    </row>
    <row r="597">
      <c r="A597" s="3" t="s">
        <v>715</v>
      </c>
      <c r="B597" s="3" t="s">
        <v>146</v>
      </c>
      <c r="C597" s="4"/>
      <c r="D597" s="4"/>
      <c r="E597" s="4"/>
    </row>
    <row r="598">
      <c r="A598" s="3" t="s">
        <v>716</v>
      </c>
      <c r="B598" s="3" t="s">
        <v>22</v>
      </c>
      <c r="C598" s="3" t="s">
        <v>32</v>
      </c>
      <c r="D598" s="4"/>
      <c r="E598" s="4"/>
    </row>
    <row r="599">
      <c r="A599" s="3" t="s">
        <v>717</v>
      </c>
      <c r="B599" s="3" t="s">
        <v>718</v>
      </c>
      <c r="C599" s="3" t="s">
        <v>3</v>
      </c>
      <c r="D599" s="4"/>
      <c r="E599" s="4"/>
    </row>
    <row r="600">
      <c r="A600" s="3" t="s">
        <v>719</v>
      </c>
      <c r="B600" s="3" t="s">
        <v>2</v>
      </c>
      <c r="C600" s="3" t="s">
        <v>29</v>
      </c>
      <c r="D600" s="4"/>
      <c r="E600" s="4"/>
    </row>
    <row r="601">
      <c r="A601" s="3" t="s">
        <v>720</v>
      </c>
      <c r="B601" s="3" t="s">
        <v>20</v>
      </c>
      <c r="C601" s="4"/>
      <c r="D601" s="4"/>
      <c r="E601" s="4"/>
    </row>
    <row r="602">
      <c r="A602" s="3" t="s">
        <v>721</v>
      </c>
      <c r="B602" s="3" t="s">
        <v>2</v>
      </c>
      <c r="C602" s="3" t="s">
        <v>3</v>
      </c>
      <c r="D602" s="4"/>
      <c r="E602" s="4"/>
    </row>
    <row r="603">
      <c r="A603" s="3" t="s">
        <v>722</v>
      </c>
      <c r="B603" s="3" t="s">
        <v>723</v>
      </c>
      <c r="C603" s="4"/>
      <c r="D603" s="4"/>
      <c r="E603" s="4"/>
    </row>
    <row r="604">
      <c r="A604" s="3" t="s">
        <v>724</v>
      </c>
      <c r="B604" s="3" t="s">
        <v>2</v>
      </c>
      <c r="C604" s="3" t="s">
        <v>29</v>
      </c>
      <c r="D604" s="4"/>
      <c r="E604" s="4"/>
    </row>
    <row r="605">
      <c r="A605" s="3" t="s">
        <v>725</v>
      </c>
      <c r="B605" s="3" t="s">
        <v>150</v>
      </c>
      <c r="C605" s="3" t="s">
        <v>6</v>
      </c>
      <c r="D605" s="4"/>
      <c r="E605" s="4"/>
    </row>
    <row r="606">
      <c r="A606" s="3" t="s">
        <v>726</v>
      </c>
      <c r="B606" s="3" t="s">
        <v>51</v>
      </c>
      <c r="C606" s="3" t="s">
        <v>3</v>
      </c>
      <c r="D606" s="4"/>
      <c r="E606" s="4"/>
    </row>
    <row r="607">
      <c r="A607" s="3" t="s">
        <v>727</v>
      </c>
      <c r="B607" s="4"/>
      <c r="C607" s="4"/>
      <c r="D607" s="4"/>
      <c r="E607" s="4"/>
    </row>
    <row r="608">
      <c r="A608" s="3" t="s">
        <v>728</v>
      </c>
      <c r="B608" s="3" t="s">
        <v>2</v>
      </c>
      <c r="C608" s="3" t="s">
        <v>3</v>
      </c>
      <c r="D608" s="4"/>
      <c r="E608" s="4"/>
    </row>
    <row r="609">
      <c r="A609" s="3" t="s">
        <v>729</v>
      </c>
      <c r="B609" s="3" t="s">
        <v>730</v>
      </c>
      <c r="C609" s="3" t="s">
        <v>32</v>
      </c>
      <c r="D609" s="4"/>
      <c r="E609" s="4"/>
    </row>
    <row r="610">
      <c r="A610" s="3" t="s">
        <v>731</v>
      </c>
      <c r="B610" s="3" t="s">
        <v>2</v>
      </c>
      <c r="C610" s="3" t="s">
        <v>3</v>
      </c>
      <c r="D610" s="4"/>
      <c r="E610" s="4"/>
    </row>
    <row r="611">
      <c r="A611" s="3" t="s">
        <v>732</v>
      </c>
      <c r="B611" s="3" t="s">
        <v>533</v>
      </c>
      <c r="C611" s="4"/>
      <c r="D611" s="4"/>
      <c r="E611" s="4"/>
    </row>
    <row r="612">
      <c r="A612" s="3" t="s">
        <v>733</v>
      </c>
      <c r="B612" s="4"/>
      <c r="C612" s="4"/>
      <c r="D612" s="4"/>
      <c r="E612" s="4"/>
    </row>
    <row r="613">
      <c r="A613" s="3" t="s">
        <v>734</v>
      </c>
      <c r="B613" s="3" t="s">
        <v>2</v>
      </c>
      <c r="C613" s="3" t="s">
        <v>3</v>
      </c>
      <c r="D613" s="4"/>
      <c r="E613" s="4"/>
    </row>
    <row r="614">
      <c r="A614" s="3" t="s">
        <v>735</v>
      </c>
      <c r="B614" s="4"/>
      <c r="C614" s="4"/>
      <c r="D614" s="4"/>
      <c r="E614" s="4"/>
    </row>
    <row r="615">
      <c r="A615" s="3" t="s">
        <v>736</v>
      </c>
      <c r="B615" s="3" t="s">
        <v>2</v>
      </c>
      <c r="C615" s="3" t="s">
        <v>3</v>
      </c>
      <c r="D615" s="4"/>
      <c r="E615" s="4"/>
    </row>
    <row r="616">
      <c r="A616" s="3" t="s">
        <v>737</v>
      </c>
      <c r="B616" s="3" t="s">
        <v>684</v>
      </c>
      <c r="C616" s="3" t="s">
        <v>3</v>
      </c>
      <c r="D616" s="4"/>
      <c r="E616" s="4"/>
    </row>
    <row r="617">
      <c r="A617" s="3" t="s">
        <v>738</v>
      </c>
      <c r="B617" s="4"/>
      <c r="C617" s="4"/>
      <c r="D617" s="4"/>
      <c r="E617" s="4"/>
    </row>
    <row r="618">
      <c r="A618" s="3" t="s">
        <v>739</v>
      </c>
      <c r="B618" s="3" t="s">
        <v>2</v>
      </c>
      <c r="C618" s="3" t="s">
        <v>3</v>
      </c>
      <c r="D618" s="4"/>
      <c r="E618" s="4"/>
    </row>
    <row r="619">
      <c r="A619" s="3" t="s">
        <v>740</v>
      </c>
      <c r="B619" s="4"/>
      <c r="C619" s="4"/>
      <c r="D619" s="4"/>
      <c r="E619" s="4"/>
    </row>
    <row r="620">
      <c r="A620" s="3" t="s">
        <v>741</v>
      </c>
      <c r="B620" s="3" t="s">
        <v>742</v>
      </c>
      <c r="C620" s="3" t="s">
        <v>3</v>
      </c>
      <c r="D620" s="4"/>
      <c r="E620" s="4"/>
    </row>
    <row r="621">
      <c r="A621" s="3" t="s">
        <v>743</v>
      </c>
      <c r="B621" s="4"/>
      <c r="C621" s="4"/>
      <c r="D621" s="4"/>
      <c r="E621" s="4"/>
    </row>
    <row r="622">
      <c r="A622" s="3" t="s">
        <v>744</v>
      </c>
      <c r="B622" s="3" t="s">
        <v>2</v>
      </c>
      <c r="C622" s="3" t="s">
        <v>3</v>
      </c>
      <c r="D622" s="4"/>
      <c r="E622" s="4"/>
    </row>
    <row r="623">
      <c r="A623" s="3" t="s">
        <v>745</v>
      </c>
      <c r="B623" s="3" t="s">
        <v>746</v>
      </c>
      <c r="C623" s="3" t="s">
        <v>3</v>
      </c>
      <c r="D623" s="4"/>
      <c r="E623" s="4"/>
    </row>
    <row r="624">
      <c r="A624" s="3" t="s">
        <v>747</v>
      </c>
      <c r="B624" s="3" t="s">
        <v>2</v>
      </c>
      <c r="C624" s="3" t="s">
        <v>3</v>
      </c>
      <c r="D624" s="4"/>
      <c r="E624" s="4"/>
    </row>
    <row r="625">
      <c r="A625" s="3" t="s">
        <v>748</v>
      </c>
      <c r="B625" s="3" t="s">
        <v>2</v>
      </c>
      <c r="C625" s="3" t="s">
        <v>32</v>
      </c>
      <c r="D625" s="4"/>
      <c r="E625" s="4"/>
    </row>
    <row r="626">
      <c r="A626" s="3" t="s">
        <v>749</v>
      </c>
      <c r="B626" s="3" t="s">
        <v>2</v>
      </c>
      <c r="C626" s="3" t="s">
        <v>6</v>
      </c>
      <c r="D626" s="4"/>
      <c r="E626" s="4"/>
    </row>
    <row r="627">
      <c r="A627" s="3" t="s">
        <v>750</v>
      </c>
      <c r="B627" s="3" t="s">
        <v>11</v>
      </c>
      <c r="C627" s="4"/>
      <c r="D627" s="4"/>
      <c r="E627" s="4"/>
    </row>
    <row r="628">
      <c r="A628" s="3" t="s">
        <v>751</v>
      </c>
      <c r="B628" s="3" t="s">
        <v>752</v>
      </c>
      <c r="C628" s="3" t="s">
        <v>280</v>
      </c>
      <c r="D628" s="4"/>
      <c r="E628" s="4"/>
    </row>
    <row r="629">
      <c r="A629" s="3" t="s">
        <v>753</v>
      </c>
      <c r="B629" s="3" t="s">
        <v>2</v>
      </c>
      <c r="C629" s="3" t="s">
        <v>3</v>
      </c>
      <c r="D629" s="4"/>
      <c r="E629" s="4"/>
    </row>
    <row r="630">
      <c r="A630" s="3" t="s">
        <v>754</v>
      </c>
      <c r="B630" s="4"/>
      <c r="C630" s="4"/>
      <c r="D630" s="4"/>
      <c r="E630" s="4"/>
    </row>
    <row r="631">
      <c r="A631" s="3" t="s">
        <v>755</v>
      </c>
      <c r="B631" s="3" t="s">
        <v>533</v>
      </c>
      <c r="C631" s="3" t="s">
        <v>3</v>
      </c>
      <c r="D631" s="4"/>
      <c r="E631" s="4"/>
    </row>
    <row r="632">
      <c r="A632" s="3" t="s">
        <v>756</v>
      </c>
      <c r="B632" s="3" t="s">
        <v>51</v>
      </c>
      <c r="C632" s="4"/>
      <c r="D632" s="4"/>
      <c r="E632" s="4"/>
    </row>
    <row r="633">
      <c r="A633" s="3" t="s">
        <v>757</v>
      </c>
      <c r="B633" s="3" t="s">
        <v>758</v>
      </c>
      <c r="C633" s="4"/>
      <c r="D633" s="4"/>
      <c r="E633" s="4"/>
    </row>
    <row r="634">
      <c r="A634" s="3" t="s">
        <v>759</v>
      </c>
      <c r="B634" s="3" t="s">
        <v>760</v>
      </c>
      <c r="C634" s="3" t="s">
        <v>37</v>
      </c>
      <c r="D634" s="4"/>
      <c r="E634" s="4"/>
    </row>
    <row r="635">
      <c r="A635" s="4"/>
      <c r="B635" s="4"/>
      <c r="C635" s="3" t="s">
        <v>38</v>
      </c>
      <c r="D635" s="4"/>
      <c r="E635" s="4"/>
    </row>
    <row r="636">
      <c r="A636" s="3" t="s">
        <v>761</v>
      </c>
      <c r="B636" s="3" t="s">
        <v>125</v>
      </c>
      <c r="C636" s="4"/>
      <c r="D636" s="4"/>
      <c r="E636" s="4"/>
    </row>
    <row r="637">
      <c r="A637" s="3" t="s">
        <v>762</v>
      </c>
      <c r="B637" s="3" t="s">
        <v>2</v>
      </c>
      <c r="C637" s="3" t="s">
        <v>3</v>
      </c>
      <c r="D637" s="4"/>
      <c r="E637" s="4"/>
    </row>
    <row r="638">
      <c r="A638" s="3" t="s">
        <v>763</v>
      </c>
      <c r="B638" s="3" t="s">
        <v>2</v>
      </c>
      <c r="C638" s="3" t="s">
        <v>3</v>
      </c>
      <c r="D638" s="4"/>
      <c r="E638" s="4"/>
    </row>
    <row r="639">
      <c r="A639" s="3" t="s">
        <v>764</v>
      </c>
      <c r="B639" s="3" t="s">
        <v>765</v>
      </c>
      <c r="C639" s="3" t="s">
        <v>3</v>
      </c>
      <c r="D639" s="4"/>
      <c r="E639" s="4"/>
    </row>
    <row r="640">
      <c r="A640" s="3" t="s">
        <v>766</v>
      </c>
      <c r="B640" s="3" t="s">
        <v>2</v>
      </c>
      <c r="C640" s="3" t="s">
        <v>3</v>
      </c>
      <c r="D640" s="4"/>
      <c r="E640" s="4"/>
    </row>
    <row r="641">
      <c r="A641" s="3" t="s">
        <v>767</v>
      </c>
      <c r="B641" s="3" t="s">
        <v>2</v>
      </c>
      <c r="C641" s="3" t="s">
        <v>3</v>
      </c>
      <c r="D641" s="4"/>
      <c r="E641" s="4"/>
    </row>
    <row r="642">
      <c r="A642" s="3" t="s">
        <v>768</v>
      </c>
      <c r="B642" s="3" t="s">
        <v>2</v>
      </c>
      <c r="C642" s="3" t="s">
        <v>3</v>
      </c>
      <c r="D642" s="4"/>
      <c r="E642" s="4"/>
    </row>
    <row r="643">
      <c r="A643" s="3" t="s">
        <v>769</v>
      </c>
      <c r="B643" s="3" t="s">
        <v>2</v>
      </c>
      <c r="C643" s="3" t="s">
        <v>3</v>
      </c>
      <c r="D643" s="4"/>
      <c r="E643" s="4"/>
    </row>
    <row r="644">
      <c r="A644" s="3" t="s">
        <v>770</v>
      </c>
      <c r="B644" s="3" t="s">
        <v>2</v>
      </c>
      <c r="C644" s="3" t="s">
        <v>3</v>
      </c>
      <c r="D644" s="4"/>
      <c r="E644" s="4"/>
    </row>
    <row r="645">
      <c r="A645" s="3" t="s">
        <v>771</v>
      </c>
      <c r="B645" s="3" t="s">
        <v>2</v>
      </c>
      <c r="C645" s="3" t="s">
        <v>3</v>
      </c>
      <c r="D645" s="4"/>
      <c r="E645" s="4"/>
    </row>
    <row r="646">
      <c r="A646" s="3" t="s">
        <v>772</v>
      </c>
      <c r="B646" s="3" t="s">
        <v>2</v>
      </c>
      <c r="C646" s="3" t="s">
        <v>3</v>
      </c>
      <c r="D646" s="4"/>
      <c r="E646" s="4"/>
    </row>
    <row r="647">
      <c r="A647" s="3" t="s">
        <v>773</v>
      </c>
      <c r="B647" s="3" t="s">
        <v>2</v>
      </c>
      <c r="C647" s="3" t="s">
        <v>3</v>
      </c>
      <c r="D647" s="4"/>
      <c r="E647" s="4"/>
    </row>
    <row r="648">
      <c r="A648" s="3" t="s">
        <v>774</v>
      </c>
      <c r="B648" s="3" t="s">
        <v>775</v>
      </c>
      <c r="C648" s="3" t="s">
        <v>280</v>
      </c>
      <c r="D648" s="4"/>
      <c r="E648" s="4"/>
    </row>
    <row r="649">
      <c r="A649" s="3" t="s">
        <v>776</v>
      </c>
      <c r="B649" s="3" t="s">
        <v>2</v>
      </c>
      <c r="C649" s="3" t="s">
        <v>3</v>
      </c>
      <c r="D649" s="4"/>
      <c r="E649" s="4"/>
    </row>
    <row r="650">
      <c r="A650" s="3" t="s">
        <v>777</v>
      </c>
      <c r="B650" s="4"/>
      <c r="C650" s="4"/>
      <c r="D650" s="4"/>
      <c r="E650" s="4"/>
    </row>
    <row r="651">
      <c r="A651" s="3" t="s">
        <v>778</v>
      </c>
      <c r="B651" s="3" t="s">
        <v>406</v>
      </c>
      <c r="C651" s="3" t="s">
        <v>32</v>
      </c>
      <c r="D651" s="4"/>
      <c r="E651" s="4"/>
    </row>
    <row r="652">
      <c r="A652" s="3" t="s">
        <v>779</v>
      </c>
      <c r="B652" s="3" t="s">
        <v>406</v>
      </c>
      <c r="C652" s="4"/>
      <c r="D652" s="4"/>
      <c r="E652" s="4"/>
    </row>
    <row r="653">
      <c r="A653" s="3" t="s">
        <v>780</v>
      </c>
      <c r="B653" s="3" t="s">
        <v>20</v>
      </c>
      <c r="C653" s="4"/>
      <c r="D653" s="4"/>
      <c r="E653" s="4"/>
    </row>
    <row r="654">
      <c r="A654" s="3" t="s">
        <v>781</v>
      </c>
      <c r="B654" s="3" t="s">
        <v>2</v>
      </c>
      <c r="C654" s="3" t="s">
        <v>6</v>
      </c>
      <c r="D654" s="4"/>
      <c r="E654" s="4"/>
    </row>
    <row r="655">
      <c r="A655" s="3" t="s">
        <v>782</v>
      </c>
      <c r="B655" s="3" t="s">
        <v>2</v>
      </c>
      <c r="C655" s="3" t="s">
        <v>3</v>
      </c>
      <c r="D655" s="4"/>
      <c r="E655" s="4"/>
    </row>
    <row r="656">
      <c r="A656" s="3" t="s">
        <v>783</v>
      </c>
      <c r="B656" s="3" t="s">
        <v>2</v>
      </c>
      <c r="C656" s="3" t="s">
        <v>29</v>
      </c>
      <c r="D656" s="4"/>
      <c r="E656" s="4"/>
    </row>
    <row r="657">
      <c r="A657" s="3" t="s">
        <v>784</v>
      </c>
      <c r="B657" s="3" t="s">
        <v>65</v>
      </c>
      <c r="C657" s="4"/>
      <c r="D657" s="4"/>
      <c r="E657" s="4"/>
    </row>
    <row r="658">
      <c r="A658" s="3" t="s">
        <v>785</v>
      </c>
      <c r="B658" s="3" t="s">
        <v>22</v>
      </c>
      <c r="C658" s="4"/>
      <c r="D658" s="4"/>
      <c r="E658" s="4"/>
    </row>
    <row r="659">
      <c r="A659" s="3" t="s">
        <v>786</v>
      </c>
      <c r="B659" s="3" t="s">
        <v>787</v>
      </c>
      <c r="C659" s="4"/>
      <c r="D659" s="4"/>
      <c r="E659" s="4"/>
    </row>
    <row r="660">
      <c r="A660" s="3" t="s">
        <v>788</v>
      </c>
      <c r="B660" s="3" t="s">
        <v>22</v>
      </c>
      <c r="C660" s="3" t="s">
        <v>3</v>
      </c>
      <c r="D660" s="4"/>
      <c r="E660" s="4"/>
    </row>
    <row r="661">
      <c r="A661" s="3" t="s">
        <v>789</v>
      </c>
      <c r="B661" s="3" t="s">
        <v>2</v>
      </c>
      <c r="C661" s="3" t="s">
        <v>3</v>
      </c>
      <c r="D661" s="4"/>
      <c r="E661" s="4"/>
    </row>
    <row r="662">
      <c r="A662" s="3" t="s">
        <v>790</v>
      </c>
      <c r="B662" s="3" t="s">
        <v>15</v>
      </c>
      <c r="C662" s="4"/>
      <c r="D662" s="4"/>
      <c r="E662" s="4"/>
    </row>
    <row r="663">
      <c r="A663" s="3" t="s">
        <v>791</v>
      </c>
      <c r="B663" s="3" t="s">
        <v>2</v>
      </c>
      <c r="C663" s="3" t="s">
        <v>3</v>
      </c>
      <c r="D663" s="4"/>
      <c r="E663" s="4"/>
    </row>
    <row r="664">
      <c r="A664" s="3" t="s">
        <v>792</v>
      </c>
      <c r="B664" s="3" t="s">
        <v>2</v>
      </c>
      <c r="C664" s="3" t="s">
        <v>3</v>
      </c>
      <c r="D664" s="4"/>
      <c r="E664" s="4"/>
    </row>
    <row r="665">
      <c r="A665" s="3" t="s">
        <v>793</v>
      </c>
      <c r="B665" s="3" t="s">
        <v>72</v>
      </c>
      <c r="C665" s="4"/>
      <c r="D665" s="4"/>
      <c r="E665" s="4"/>
    </row>
    <row r="666">
      <c r="A666" s="3" t="s">
        <v>794</v>
      </c>
      <c r="B666" s="3" t="s">
        <v>2</v>
      </c>
      <c r="C666" s="3" t="s">
        <v>3</v>
      </c>
      <c r="D666" s="4"/>
      <c r="E666" s="4"/>
    </row>
    <row r="667">
      <c r="A667" s="3" t="s">
        <v>795</v>
      </c>
      <c r="B667" s="3" t="s">
        <v>2</v>
      </c>
      <c r="C667" s="3" t="s">
        <v>3</v>
      </c>
      <c r="D667" s="4"/>
      <c r="E667" s="4"/>
    </row>
    <row r="668">
      <c r="A668" s="3" t="s">
        <v>796</v>
      </c>
      <c r="B668" s="3" t="s">
        <v>2</v>
      </c>
      <c r="C668" s="3" t="s">
        <v>3</v>
      </c>
      <c r="D668" s="4"/>
      <c r="E668" s="4"/>
    </row>
    <row r="669">
      <c r="A669" s="3" t="s">
        <v>797</v>
      </c>
      <c r="B669" s="3" t="s">
        <v>22</v>
      </c>
      <c r="C669" s="3" t="s">
        <v>32</v>
      </c>
      <c r="D669" s="4"/>
      <c r="E669" s="4"/>
    </row>
    <row r="670">
      <c r="A670" s="3" t="s">
        <v>798</v>
      </c>
      <c r="B670" s="3" t="s">
        <v>2</v>
      </c>
      <c r="C670" s="3" t="s">
        <v>29</v>
      </c>
      <c r="D670" s="4"/>
      <c r="E670" s="4"/>
    </row>
    <row r="671">
      <c r="A671" s="3" t="s">
        <v>799</v>
      </c>
      <c r="B671" s="3" t="s">
        <v>2</v>
      </c>
      <c r="C671" s="3" t="s">
        <v>29</v>
      </c>
      <c r="D671" s="4"/>
      <c r="E671" s="4"/>
    </row>
    <row r="672">
      <c r="A672" s="3" t="s">
        <v>800</v>
      </c>
      <c r="B672" s="3" t="s">
        <v>801</v>
      </c>
      <c r="C672" s="3" t="s">
        <v>37</v>
      </c>
      <c r="D672" s="4"/>
      <c r="E672" s="4"/>
    </row>
    <row r="673">
      <c r="A673" s="4"/>
      <c r="B673" s="4"/>
      <c r="C673" s="3" t="s">
        <v>38</v>
      </c>
      <c r="D673" s="4"/>
      <c r="E673" s="4"/>
    </row>
    <row r="674">
      <c r="A674" s="3" t="s">
        <v>802</v>
      </c>
      <c r="B674" s="3" t="s">
        <v>2</v>
      </c>
      <c r="C674" s="3" t="s">
        <v>3</v>
      </c>
      <c r="D674" s="4"/>
      <c r="E674" s="4"/>
    </row>
    <row r="675">
      <c r="A675" s="3" t="s">
        <v>803</v>
      </c>
      <c r="B675" s="3" t="s">
        <v>2</v>
      </c>
      <c r="C675" s="3" t="s">
        <v>3</v>
      </c>
      <c r="D675" s="4"/>
      <c r="E675" s="4"/>
    </row>
    <row r="676">
      <c r="A676" s="3" t="s">
        <v>804</v>
      </c>
      <c r="B676" s="3" t="s">
        <v>2</v>
      </c>
      <c r="C676" s="3" t="s">
        <v>32</v>
      </c>
      <c r="D676" s="4"/>
      <c r="E676" s="4"/>
    </row>
    <row r="677">
      <c r="A677" s="3" t="s">
        <v>805</v>
      </c>
      <c r="B677" s="3" t="s">
        <v>2</v>
      </c>
      <c r="C677" s="3" t="s">
        <v>6</v>
      </c>
      <c r="D677" s="4"/>
      <c r="E677" s="4"/>
    </row>
    <row r="678">
      <c r="A678" s="3" t="s">
        <v>806</v>
      </c>
      <c r="B678" s="3" t="s">
        <v>65</v>
      </c>
      <c r="C678" s="4"/>
      <c r="D678" s="4"/>
      <c r="E678" s="4"/>
    </row>
    <row r="679">
      <c r="A679" s="3" t="s">
        <v>807</v>
      </c>
      <c r="B679" s="3" t="s">
        <v>2</v>
      </c>
      <c r="C679" s="3" t="s">
        <v>484</v>
      </c>
      <c r="D679" s="4"/>
      <c r="E679" s="4"/>
    </row>
    <row r="680">
      <c r="A680" s="3" t="s">
        <v>808</v>
      </c>
      <c r="B680" s="3" t="s">
        <v>2</v>
      </c>
      <c r="C680" s="3" t="s">
        <v>6</v>
      </c>
      <c r="D680" s="4"/>
      <c r="E680" s="4"/>
    </row>
    <row r="681">
      <c r="A681" s="3" t="s">
        <v>809</v>
      </c>
      <c r="B681" s="3" t="s">
        <v>2</v>
      </c>
      <c r="C681" s="3" t="s">
        <v>29</v>
      </c>
      <c r="D681" s="4"/>
      <c r="E681" s="4"/>
    </row>
    <row r="682">
      <c r="A682" s="3" t="s">
        <v>810</v>
      </c>
      <c r="B682" s="3" t="s">
        <v>2</v>
      </c>
      <c r="C682" s="3" t="s">
        <v>32</v>
      </c>
      <c r="D682" s="4"/>
      <c r="E682" s="4"/>
    </row>
    <row r="683">
      <c r="A683" s="3" t="s">
        <v>811</v>
      </c>
      <c r="B683" s="3" t="s">
        <v>812</v>
      </c>
      <c r="C683" s="3" t="s">
        <v>6</v>
      </c>
      <c r="D683" s="4"/>
      <c r="E683" s="4"/>
    </row>
    <row r="684">
      <c r="A684" s="3" t="s">
        <v>813</v>
      </c>
      <c r="B684" s="3" t="s">
        <v>579</v>
      </c>
      <c r="C684" s="4"/>
      <c r="D684" s="4"/>
      <c r="E684" s="4"/>
    </row>
    <row r="685">
      <c r="A685" s="3" t="s">
        <v>814</v>
      </c>
      <c r="B685" s="3" t="s">
        <v>2</v>
      </c>
      <c r="C685" s="3" t="s">
        <v>3</v>
      </c>
      <c r="D685" s="4"/>
      <c r="E685" s="4"/>
    </row>
    <row r="686">
      <c r="A686" s="3" t="s">
        <v>815</v>
      </c>
      <c r="B686" s="3" t="s">
        <v>2</v>
      </c>
      <c r="C686" s="3" t="s">
        <v>3</v>
      </c>
      <c r="D686" s="4"/>
      <c r="E686" s="4"/>
    </row>
    <row r="687">
      <c r="A687" s="3" t="s">
        <v>816</v>
      </c>
      <c r="B687" s="3" t="s">
        <v>2</v>
      </c>
      <c r="C687" s="3" t="s">
        <v>3</v>
      </c>
      <c r="D687" s="4"/>
      <c r="E687" s="4"/>
    </row>
    <row r="688">
      <c r="A688" s="3" t="s">
        <v>817</v>
      </c>
      <c r="B688" s="3" t="s">
        <v>11</v>
      </c>
      <c r="C688" s="3" t="s">
        <v>3</v>
      </c>
      <c r="D688" s="4"/>
      <c r="E688" s="4"/>
    </row>
    <row r="689">
      <c r="A689" s="3" t="s">
        <v>818</v>
      </c>
      <c r="B689" s="3" t="s">
        <v>2</v>
      </c>
      <c r="C689" s="3" t="s">
        <v>3</v>
      </c>
      <c r="D689" s="4"/>
      <c r="E689" s="4"/>
    </row>
    <row r="690">
      <c r="A690" s="3" t="s">
        <v>819</v>
      </c>
      <c r="B690" s="3" t="s">
        <v>820</v>
      </c>
      <c r="C690" s="3" t="s">
        <v>37</v>
      </c>
      <c r="D690" s="4"/>
      <c r="E690" s="4"/>
    </row>
    <row r="691">
      <c r="A691" s="3" t="s">
        <v>821</v>
      </c>
      <c r="B691" s="4"/>
      <c r="C691" s="3" t="s">
        <v>38</v>
      </c>
      <c r="D691" s="4"/>
      <c r="E691" s="4"/>
    </row>
    <row r="692">
      <c r="A692" s="3" t="s">
        <v>822</v>
      </c>
      <c r="B692" s="3" t="s">
        <v>42</v>
      </c>
      <c r="C692" s="4"/>
      <c r="D692" s="4"/>
      <c r="E692" s="4"/>
    </row>
    <row r="693">
      <c r="A693" s="3" t="s">
        <v>823</v>
      </c>
      <c r="B693" s="4"/>
      <c r="C693" s="4"/>
      <c r="D693" s="4"/>
      <c r="E693" s="4"/>
    </row>
    <row r="694">
      <c r="A694" s="3" t="s">
        <v>824</v>
      </c>
      <c r="B694" s="3" t="s">
        <v>825</v>
      </c>
      <c r="C694" s="4"/>
      <c r="D694" s="4"/>
      <c r="E694" s="4"/>
    </row>
    <row r="695">
      <c r="A695" s="3" t="s">
        <v>826</v>
      </c>
      <c r="B695" s="3" t="s">
        <v>2</v>
      </c>
      <c r="C695" s="3" t="s">
        <v>668</v>
      </c>
      <c r="D695" s="4"/>
      <c r="E695" s="4"/>
    </row>
    <row r="696">
      <c r="A696" s="3" t="s">
        <v>827</v>
      </c>
      <c r="B696" s="3" t="s">
        <v>2</v>
      </c>
      <c r="C696" s="3" t="s">
        <v>3</v>
      </c>
      <c r="D696" s="4"/>
      <c r="E696" s="4"/>
    </row>
    <row r="697">
      <c r="A697" s="3" t="s">
        <v>828</v>
      </c>
      <c r="B697" s="4"/>
      <c r="C697" s="4"/>
      <c r="D697" s="4"/>
      <c r="E697" s="4"/>
    </row>
    <row r="698">
      <c r="A698" s="3" t="s">
        <v>829</v>
      </c>
      <c r="B698" s="3" t="s">
        <v>2</v>
      </c>
      <c r="C698" s="3" t="s">
        <v>3</v>
      </c>
      <c r="D698" s="4"/>
      <c r="E698" s="4"/>
    </row>
    <row r="699">
      <c r="A699" s="3" t="s">
        <v>830</v>
      </c>
      <c r="B699" s="3" t="s">
        <v>2</v>
      </c>
      <c r="C699" s="3" t="s">
        <v>3</v>
      </c>
      <c r="D699" s="4"/>
      <c r="E699" s="4"/>
    </row>
    <row r="700">
      <c r="A700" s="3" t="s">
        <v>831</v>
      </c>
      <c r="B700" s="3" t="s">
        <v>832</v>
      </c>
      <c r="C700" s="3" t="s">
        <v>3</v>
      </c>
      <c r="D700" s="4"/>
      <c r="E700" s="4"/>
    </row>
    <row r="701">
      <c r="A701" s="3" t="s">
        <v>833</v>
      </c>
      <c r="B701" s="3" t="s">
        <v>18</v>
      </c>
      <c r="C701" s="4"/>
      <c r="D701" s="4"/>
      <c r="E701" s="4"/>
    </row>
    <row r="702">
      <c r="A702" s="3" t="s">
        <v>834</v>
      </c>
      <c r="B702" s="3" t="s">
        <v>670</v>
      </c>
      <c r="C702" s="3" t="s">
        <v>6</v>
      </c>
      <c r="D702" s="4"/>
      <c r="E702" s="4"/>
    </row>
    <row r="703">
      <c r="A703" s="3" t="s">
        <v>835</v>
      </c>
      <c r="B703" s="3" t="s">
        <v>2</v>
      </c>
      <c r="C703" s="3" t="s">
        <v>6</v>
      </c>
      <c r="D703" s="4"/>
      <c r="E703" s="4"/>
    </row>
    <row r="704">
      <c r="A704" s="3" t="s">
        <v>836</v>
      </c>
      <c r="B704" s="4"/>
      <c r="C704" s="4"/>
      <c r="D704" s="4"/>
      <c r="E704" s="4"/>
    </row>
    <row r="705">
      <c r="A705" s="3" t="s">
        <v>837</v>
      </c>
      <c r="B705" s="3" t="s">
        <v>406</v>
      </c>
      <c r="C705" s="3" t="s">
        <v>3</v>
      </c>
      <c r="D705" s="4"/>
      <c r="E705" s="4"/>
    </row>
    <row r="706">
      <c r="A706" s="3" t="s">
        <v>838</v>
      </c>
      <c r="B706" s="4"/>
      <c r="C706" s="4"/>
      <c r="D706" s="4"/>
      <c r="E706" s="4"/>
    </row>
    <row r="707">
      <c r="A707" s="3" t="s">
        <v>839</v>
      </c>
      <c r="B707" s="3" t="s">
        <v>11</v>
      </c>
      <c r="C707" s="3" t="s">
        <v>6</v>
      </c>
      <c r="D707" s="4"/>
      <c r="E707" s="4"/>
    </row>
    <row r="708">
      <c r="A708" s="3" t="s">
        <v>840</v>
      </c>
      <c r="B708" s="3" t="s">
        <v>2</v>
      </c>
      <c r="C708" s="3" t="s">
        <v>3</v>
      </c>
      <c r="D708" s="4"/>
      <c r="E708" s="4"/>
    </row>
    <row r="709">
      <c r="A709" s="3" t="s">
        <v>841</v>
      </c>
      <c r="B709" s="4"/>
      <c r="C709" s="4"/>
      <c r="D709" s="4"/>
      <c r="E709" s="4"/>
    </row>
    <row r="710">
      <c r="A710" s="3" t="s">
        <v>842</v>
      </c>
      <c r="B710" s="3" t="s">
        <v>125</v>
      </c>
      <c r="C710" s="4"/>
      <c r="D710" s="4"/>
      <c r="E710" s="4"/>
    </row>
    <row r="711">
      <c r="A711" s="3" t="s">
        <v>843</v>
      </c>
      <c r="B711" s="3" t="s">
        <v>844</v>
      </c>
      <c r="C711" s="3" t="s">
        <v>32</v>
      </c>
      <c r="D711" s="4"/>
      <c r="E711" s="4"/>
    </row>
    <row r="712">
      <c r="A712" s="3" t="s">
        <v>845</v>
      </c>
      <c r="B712" s="3" t="s">
        <v>85</v>
      </c>
      <c r="C712" s="4"/>
      <c r="D712" s="4"/>
      <c r="E712" s="4"/>
    </row>
    <row r="713">
      <c r="A713" s="3" t="s">
        <v>846</v>
      </c>
      <c r="B713" s="3" t="s">
        <v>406</v>
      </c>
      <c r="C713" s="4"/>
      <c r="D713" s="4"/>
      <c r="E713" s="4"/>
    </row>
    <row r="714">
      <c r="A714" s="3" t="s">
        <v>33</v>
      </c>
      <c r="B714" s="4"/>
      <c r="C714" s="4"/>
      <c r="D714" s="4"/>
      <c r="E714" s="4"/>
    </row>
    <row r="715">
      <c r="A715" s="3" t="s">
        <v>847</v>
      </c>
      <c r="B715" s="3" t="s">
        <v>20</v>
      </c>
      <c r="C715" s="4"/>
      <c r="D715" s="4"/>
      <c r="E715" s="4"/>
    </row>
    <row r="716">
      <c r="A716" s="3" t="s">
        <v>848</v>
      </c>
      <c r="B716" s="3" t="s">
        <v>2</v>
      </c>
      <c r="C716" s="3" t="s">
        <v>3</v>
      </c>
      <c r="D716" s="4"/>
      <c r="E716" s="4"/>
    </row>
    <row r="717">
      <c r="A717" s="3" t="s">
        <v>849</v>
      </c>
      <c r="B717" s="3" t="s">
        <v>2</v>
      </c>
      <c r="C717" s="3" t="s">
        <v>3</v>
      </c>
      <c r="D717" s="4"/>
      <c r="E717" s="4"/>
    </row>
    <row r="718">
      <c r="A718" s="3" t="s">
        <v>850</v>
      </c>
      <c r="B718" s="3" t="s">
        <v>2</v>
      </c>
      <c r="C718" s="3" t="s">
        <v>3</v>
      </c>
      <c r="D718" s="4"/>
      <c r="E718" s="4"/>
    </row>
    <row r="719">
      <c r="A719" s="3" t="s">
        <v>851</v>
      </c>
      <c r="B719" s="3" t="s">
        <v>11</v>
      </c>
      <c r="C719" s="4"/>
      <c r="D719" s="4"/>
      <c r="E719" s="4"/>
    </row>
    <row r="720">
      <c r="A720" s="3" t="s">
        <v>852</v>
      </c>
      <c r="B720" s="3" t="s">
        <v>2</v>
      </c>
      <c r="C720" s="3" t="s">
        <v>3</v>
      </c>
      <c r="D720" s="4"/>
      <c r="E720" s="4"/>
    </row>
    <row r="721">
      <c r="A721" s="3" t="s">
        <v>853</v>
      </c>
      <c r="B721" s="3" t="s">
        <v>2</v>
      </c>
      <c r="C721" s="3" t="s">
        <v>32</v>
      </c>
      <c r="D721" s="4"/>
      <c r="E721" s="4"/>
    </row>
    <row r="722">
      <c r="A722" s="3" t="s">
        <v>854</v>
      </c>
      <c r="B722" s="3" t="s">
        <v>2</v>
      </c>
      <c r="C722" s="3" t="s">
        <v>3</v>
      </c>
      <c r="D722" s="4"/>
      <c r="E722" s="4"/>
    </row>
    <row r="723">
      <c r="A723" s="3" t="s">
        <v>855</v>
      </c>
      <c r="B723" s="3" t="s">
        <v>2</v>
      </c>
      <c r="C723" s="3" t="s">
        <v>37</v>
      </c>
      <c r="D723" s="4"/>
      <c r="E723" s="4"/>
    </row>
    <row r="724">
      <c r="A724" s="3" t="s">
        <v>856</v>
      </c>
      <c r="B724" s="4"/>
      <c r="C724" s="3" t="s">
        <v>38</v>
      </c>
      <c r="D724" s="4"/>
      <c r="E724" s="4"/>
    </row>
    <row r="725">
      <c r="A725" s="3" t="s">
        <v>857</v>
      </c>
      <c r="B725" s="3" t="s">
        <v>752</v>
      </c>
      <c r="C725" s="3" t="s">
        <v>37</v>
      </c>
      <c r="D725" s="4"/>
      <c r="E725" s="4"/>
    </row>
    <row r="726">
      <c r="A726" s="3" t="s">
        <v>858</v>
      </c>
      <c r="B726" s="4"/>
      <c r="C726" s="3" t="s">
        <v>38</v>
      </c>
      <c r="D726" s="4"/>
      <c r="E726" s="4"/>
    </row>
    <row r="727">
      <c r="A727" s="3" t="s">
        <v>859</v>
      </c>
      <c r="B727" s="3" t="s">
        <v>20</v>
      </c>
      <c r="C727" s="3" t="s">
        <v>3</v>
      </c>
      <c r="D727" s="4"/>
      <c r="E727" s="4"/>
    </row>
    <row r="728">
      <c r="A728" s="3" t="s">
        <v>860</v>
      </c>
      <c r="B728" s="4"/>
      <c r="C728" s="4"/>
      <c r="D728" s="4"/>
      <c r="E728" s="4"/>
    </row>
    <row r="729">
      <c r="A729" s="3" t="s">
        <v>861</v>
      </c>
      <c r="B729" s="3" t="s">
        <v>11</v>
      </c>
      <c r="C729" s="4"/>
      <c r="D729" s="4"/>
      <c r="E729" s="4"/>
    </row>
    <row r="730">
      <c r="A730" s="3" t="s">
        <v>862</v>
      </c>
      <c r="B730" s="3" t="s">
        <v>2</v>
      </c>
      <c r="C730" s="3" t="s">
        <v>6</v>
      </c>
      <c r="D730" s="4"/>
      <c r="E730" s="4"/>
    </row>
    <row r="731">
      <c r="A731" s="3" t="s">
        <v>863</v>
      </c>
      <c r="B731" s="4"/>
      <c r="C731" s="4"/>
      <c r="D731" s="4"/>
      <c r="E731" s="4"/>
    </row>
    <row r="732">
      <c r="A732" s="3" t="s">
        <v>864</v>
      </c>
      <c r="B732" s="3" t="s">
        <v>2</v>
      </c>
      <c r="C732" s="3" t="s">
        <v>3</v>
      </c>
      <c r="D732" s="4"/>
      <c r="E732" s="4"/>
    </row>
    <row r="733">
      <c r="A733" s="3" t="s">
        <v>865</v>
      </c>
      <c r="B733" s="3" t="s">
        <v>135</v>
      </c>
      <c r="C733" s="3" t="s">
        <v>6</v>
      </c>
      <c r="D733" s="4"/>
      <c r="E733" s="4"/>
    </row>
    <row r="734">
      <c r="A734" s="3" t="s">
        <v>866</v>
      </c>
      <c r="B734" s="4"/>
      <c r="C734" s="4"/>
      <c r="D734" s="4"/>
      <c r="E734" s="4"/>
    </row>
    <row r="735">
      <c r="A735" s="3" t="s">
        <v>867</v>
      </c>
      <c r="B735" s="3" t="s">
        <v>2</v>
      </c>
      <c r="C735" s="3" t="s">
        <v>3</v>
      </c>
      <c r="D735" s="4"/>
      <c r="E735" s="4"/>
    </row>
    <row r="736">
      <c r="A736" s="3" t="s">
        <v>868</v>
      </c>
      <c r="B736" s="4"/>
      <c r="C736" s="4"/>
      <c r="D736" s="4"/>
      <c r="E736" s="4"/>
    </row>
    <row r="737">
      <c r="A737" s="3" t="s">
        <v>869</v>
      </c>
      <c r="B737" s="3" t="s">
        <v>870</v>
      </c>
      <c r="C737" s="4"/>
      <c r="D737" s="4"/>
      <c r="E737" s="4"/>
    </row>
    <row r="738">
      <c r="A738" s="3" t="s">
        <v>871</v>
      </c>
      <c r="B738" s="3" t="s">
        <v>18</v>
      </c>
      <c r="C738" s="4"/>
      <c r="D738" s="4"/>
      <c r="E738" s="4"/>
    </row>
    <row r="739">
      <c r="A739" s="3" t="s">
        <v>872</v>
      </c>
      <c r="B739" s="4"/>
      <c r="C739" s="4"/>
      <c r="D739" s="4"/>
      <c r="E739" s="4"/>
    </row>
    <row r="740">
      <c r="A740" s="3" t="s">
        <v>873</v>
      </c>
      <c r="B740" s="3" t="s">
        <v>2</v>
      </c>
      <c r="C740" s="3" t="s">
        <v>26</v>
      </c>
      <c r="D740" s="4"/>
      <c r="E740" s="4"/>
    </row>
    <row r="741">
      <c r="A741" s="3" t="s">
        <v>874</v>
      </c>
      <c r="B741" s="3" t="s">
        <v>65</v>
      </c>
      <c r="C741" s="3" t="s">
        <v>3</v>
      </c>
      <c r="D741" s="4"/>
      <c r="E741" s="4"/>
    </row>
    <row r="742">
      <c r="A742" s="3" t="s">
        <v>875</v>
      </c>
      <c r="B742" s="3" t="s">
        <v>2</v>
      </c>
      <c r="C742" s="3" t="s">
        <v>6</v>
      </c>
      <c r="D742" s="4"/>
      <c r="E742" s="4"/>
    </row>
    <row r="743">
      <c r="A743" s="3" t="s">
        <v>876</v>
      </c>
      <c r="B743" s="3" t="s">
        <v>135</v>
      </c>
      <c r="C743" s="4"/>
      <c r="D743" s="4"/>
      <c r="E743" s="4"/>
    </row>
    <row r="744">
      <c r="A744" s="3" t="s">
        <v>877</v>
      </c>
      <c r="B744" s="4"/>
      <c r="C744" s="4"/>
      <c r="D744" s="4"/>
      <c r="E744" s="4"/>
    </row>
    <row r="745">
      <c r="A745" s="3" t="s">
        <v>878</v>
      </c>
      <c r="B745" s="3" t="s">
        <v>2</v>
      </c>
      <c r="C745" s="3" t="s">
        <v>29</v>
      </c>
      <c r="D745" s="4"/>
      <c r="E745" s="4"/>
    </row>
    <row r="746">
      <c r="A746" s="3" t="s">
        <v>879</v>
      </c>
      <c r="B746" s="4"/>
      <c r="C746" s="4"/>
      <c r="D746" s="4"/>
      <c r="E746" s="4"/>
    </row>
    <row r="747">
      <c r="A747" s="3" t="s">
        <v>880</v>
      </c>
      <c r="B747" s="3" t="s">
        <v>2</v>
      </c>
      <c r="C747" s="3" t="s">
        <v>29</v>
      </c>
      <c r="D747" s="4"/>
      <c r="E747" s="4"/>
    </row>
    <row r="748">
      <c r="A748" s="3" t="s">
        <v>881</v>
      </c>
      <c r="B748" s="4"/>
      <c r="C748" s="4"/>
      <c r="D748" s="4"/>
      <c r="E748" s="4"/>
    </row>
    <row r="749">
      <c r="A749" s="3" t="s">
        <v>882</v>
      </c>
      <c r="B749" s="3" t="s">
        <v>2</v>
      </c>
      <c r="C749" s="3" t="s">
        <v>6</v>
      </c>
      <c r="D749" s="4"/>
      <c r="E749" s="4"/>
    </row>
    <row r="750">
      <c r="A750" s="3" t="s">
        <v>883</v>
      </c>
      <c r="B750" s="3" t="s">
        <v>2</v>
      </c>
      <c r="C750" s="3" t="s">
        <v>29</v>
      </c>
      <c r="D750" s="4"/>
      <c r="E750" s="4"/>
    </row>
    <row r="751">
      <c r="A751" s="3" t="s">
        <v>884</v>
      </c>
      <c r="B751" s="4"/>
      <c r="C751" s="4"/>
      <c r="D751" s="4"/>
      <c r="E751" s="4"/>
    </row>
    <row r="752">
      <c r="A752" s="3" t="s">
        <v>885</v>
      </c>
      <c r="B752" s="3" t="s">
        <v>11</v>
      </c>
      <c r="C752" s="3" t="s">
        <v>6</v>
      </c>
      <c r="D752" s="4"/>
      <c r="E752" s="4"/>
    </row>
    <row r="753">
      <c r="A753" s="3" t="s">
        <v>886</v>
      </c>
      <c r="B753" s="3" t="s">
        <v>11</v>
      </c>
      <c r="C753" s="3" t="s">
        <v>32</v>
      </c>
      <c r="D753" s="4"/>
      <c r="E753" s="4"/>
    </row>
    <row r="754">
      <c r="A754" s="3" t="s">
        <v>887</v>
      </c>
      <c r="B754" s="3" t="s">
        <v>18</v>
      </c>
      <c r="C754" s="4"/>
      <c r="D754" s="4"/>
      <c r="E754" s="4"/>
    </row>
    <row r="755">
      <c r="A755" s="3" t="s">
        <v>888</v>
      </c>
      <c r="B755" s="4"/>
      <c r="C755" s="4"/>
      <c r="D755" s="4"/>
      <c r="E755" s="4"/>
    </row>
    <row r="756">
      <c r="A756" s="3" t="s">
        <v>889</v>
      </c>
      <c r="B756" s="3" t="s">
        <v>870</v>
      </c>
      <c r="C756" s="4"/>
      <c r="D756" s="4"/>
      <c r="E756" s="4"/>
    </row>
    <row r="757">
      <c r="A757" s="3" t="s">
        <v>890</v>
      </c>
      <c r="B757" s="3" t="s">
        <v>11</v>
      </c>
      <c r="C757" s="3" t="s">
        <v>6</v>
      </c>
      <c r="D757" s="4"/>
      <c r="E757" s="4"/>
    </row>
    <row r="758">
      <c r="A758" s="3" t="s">
        <v>891</v>
      </c>
      <c r="B758" s="4"/>
      <c r="C758" s="4"/>
      <c r="D758" s="4"/>
      <c r="E758" s="4"/>
    </row>
    <row r="759">
      <c r="A759" s="3" t="s">
        <v>892</v>
      </c>
      <c r="B759" s="3" t="s">
        <v>742</v>
      </c>
      <c r="C759" s="4"/>
      <c r="D759" s="4"/>
      <c r="E759" s="4"/>
    </row>
    <row r="760">
      <c r="A760" s="3" t="s">
        <v>893</v>
      </c>
      <c r="B760" s="4"/>
      <c r="C760" s="4"/>
      <c r="D760" s="4"/>
      <c r="E760" s="4"/>
    </row>
    <row r="761">
      <c r="A761" s="3" t="s">
        <v>894</v>
      </c>
      <c r="B761" s="3" t="s">
        <v>2</v>
      </c>
      <c r="C761" s="3" t="s">
        <v>6</v>
      </c>
      <c r="D761" s="4"/>
      <c r="E761" s="4"/>
    </row>
    <row r="762">
      <c r="A762" s="3" t="s">
        <v>895</v>
      </c>
      <c r="B762" s="3" t="s">
        <v>2</v>
      </c>
      <c r="C762" s="3" t="s">
        <v>3</v>
      </c>
      <c r="D762" s="4"/>
      <c r="E762" s="4"/>
    </row>
    <row r="763">
      <c r="A763" s="3" t="s">
        <v>896</v>
      </c>
      <c r="B763" s="3" t="s">
        <v>2</v>
      </c>
      <c r="C763" s="3" t="s">
        <v>32</v>
      </c>
      <c r="D763" s="4"/>
      <c r="E763" s="4"/>
    </row>
    <row r="764">
      <c r="A764" s="3" t="s">
        <v>897</v>
      </c>
      <c r="B764" s="3" t="s">
        <v>2</v>
      </c>
      <c r="C764" s="3" t="s">
        <v>3</v>
      </c>
      <c r="D764" s="4"/>
      <c r="E764" s="4"/>
    </row>
    <row r="765">
      <c r="A765" s="3" t="s">
        <v>898</v>
      </c>
      <c r="B765" s="4"/>
      <c r="C765" s="4"/>
      <c r="D765" s="4"/>
      <c r="E765" s="4"/>
    </row>
    <row r="766">
      <c r="A766" s="3" t="s">
        <v>899</v>
      </c>
      <c r="B766" s="3" t="s">
        <v>2</v>
      </c>
      <c r="C766" s="3" t="s">
        <v>3</v>
      </c>
      <c r="D766" s="4"/>
      <c r="E766" s="4"/>
    </row>
    <row r="767">
      <c r="A767" s="3" t="s">
        <v>900</v>
      </c>
      <c r="B767" s="3" t="s">
        <v>623</v>
      </c>
      <c r="C767" s="4"/>
      <c r="D767" s="4"/>
      <c r="E767" s="4"/>
    </row>
    <row r="768">
      <c r="A768" s="3" t="s">
        <v>901</v>
      </c>
      <c r="B768" s="3" t="s">
        <v>2</v>
      </c>
      <c r="C768" s="3" t="s">
        <v>32</v>
      </c>
      <c r="D768" s="4"/>
      <c r="E768" s="4"/>
    </row>
    <row r="769">
      <c r="A769" s="3" t="s">
        <v>902</v>
      </c>
      <c r="B769" s="3" t="s">
        <v>2</v>
      </c>
      <c r="C769" s="3" t="s">
        <v>6</v>
      </c>
      <c r="D769" s="4"/>
      <c r="E769" s="4"/>
    </row>
    <row r="770">
      <c r="A770" s="3" t="s">
        <v>903</v>
      </c>
      <c r="B770" s="4"/>
      <c r="C770" s="4"/>
      <c r="D770" s="4"/>
      <c r="E770" s="4"/>
    </row>
    <row r="771">
      <c r="A771" s="3" t="s">
        <v>904</v>
      </c>
      <c r="B771" s="3" t="s">
        <v>905</v>
      </c>
      <c r="C771" s="4"/>
      <c r="D771" s="4"/>
      <c r="E771" s="4"/>
    </row>
    <row r="772">
      <c r="A772" s="3" t="s">
        <v>906</v>
      </c>
      <c r="B772" s="3" t="s">
        <v>907</v>
      </c>
      <c r="C772" s="4"/>
      <c r="D772" s="4"/>
      <c r="E772" s="4"/>
    </row>
    <row r="773">
      <c r="A773" s="3" t="s">
        <v>908</v>
      </c>
      <c r="B773" s="3" t="s">
        <v>909</v>
      </c>
      <c r="C773" s="4"/>
      <c r="D773" s="4"/>
      <c r="E773" s="4"/>
    </row>
    <row r="774">
      <c r="A774" s="3" t="s">
        <v>910</v>
      </c>
      <c r="B774" s="4"/>
      <c r="C774" s="4"/>
      <c r="D774" s="4"/>
      <c r="E774" s="4"/>
    </row>
    <row r="775">
      <c r="A775" s="3" t="s">
        <v>911</v>
      </c>
      <c r="B775" s="3" t="s">
        <v>2</v>
      </c>
      <c r="C775" s="3" t="s">
        <v>3</v>
      </c>
      <c r="D775" s="4"/>
      <c r="E775" s="4"/>
    </row>
    <row r="776">
      <c r="A776" s="3" t="s">
        <v>912</v>
      </c>
      <c r="B776" s="3" t="s">
        <v>2</v>
      </c>
      <c r="C776" s="3" t="s">
        <v>3</v>
      </c>
      <c r="D776" s="4"/>
      <c r="E776" s="4"/>
    </row>
    <row r="777">
      <c r="A777" s="3" t="s">
        <v>913</v>
      </c>
      <c r="B777" s="3" t="s">
        <v>22</v>
      </c>
      <c r="C777" s="4"/>
      <c r="D777" s="4"/>
      <c r="E777" s="4"/>
    </row>
    <row r="778">
      <c r="A778" s="3" t="s">
        <v>914</v>
      </c>
      <c r="B778" s="3" t="s">
        <v>218</v>
      </c>
      <c r="C778" s="4"/>
      <c r="D778" s="4"/>
      <c r="E778" s="4"/>
    </row>
    <row r="779">
      <c r="A779" s="3" t="s">
        <v>915</v>
      </c>
      <c r="B779" s="3" t="s">
        <v>623</v>
      </c>
      <c r="C779" s="4"/>
      <c r="D779" s="4"/>
      <c r="E779" s="4"/>
    </row>
    <row r="780">
      <c r="A780" s="3" t="s">
        <v>916</v>
      </c>
      <c r="B780" s="3" t="s">
        <v>917</v>
      </c>
      <c r="C780" s="3" t="s">
        <v>280</v>
      </c>
      <c r="D780" s="4"/>
      <c r="E780" s="4"/>
    </row>
    <row r="781">
      <c r="A781" s="3" t="s">
        <v>918</v>
      </c>
      <c r="B781" s="3" t="s">
        <v>2</v>
      </c>
      <c r="C781" s="3" t="s">
        <v>32</v>
      </c>
      <c r="D781" s="4"/>
      <c r="E781" s="4"/>
    </row>
    <row r="782">
      <c r="A782" s="3" t="s">
        <v>919</v>
      </c>
      <c r="B782" s="3" t="s">
        <v>2</v>
      </c>
      <c r="C782" s="3" t="s">
        <v>3</v>
      </c>
      <c r="D782" s="4"/>
      <c r="E782" s="4"/>
    </row>
    <row r="783">
      <c r="A783" s="3" t="s">
        <v>920</v>
      </c>
      <c r="B783" s="3" t="s">
        <v>2</v>
      </c>
      <c r="C783" s="3" t="s">
        <v>3</v>
      </c>
      <c r="D783" s="4"/>
      <c r="E783" s="4"/>
    </row>
    <row r="784">
      <c r="A784" s="3" t="s">
        <v>921</v>
      </c>
      <c r="B784" s="3" t="s">
        <v>72</v>
      </c>
      <c r="C784" s="4"/>
      <c r="D784" s="4"/>
      <c r="E784" s="4"/>
    </row>
    <row r="785">
      <c r="A785" s="3" t="s">
        <v>922</v>
      </c>
      <c r="B785" s="3" t="s">
        <v>42</v>
      </c>
      <c r="C785" s="4"/>
      <c r="D785" s="4"/>
      <c r="E785" s="4"/>
    </row>
    <row r="786">
      <c r="A786" s="3" t="s">
        <v>923</v>
      </c>
      <c r="B786" s="3" t="s">
        <v>22</v>
      </c>
      <c r="C786" s="4"/>
      <c r="D786" s="4"/>
      <c r="E786" s="4"/>
    </row>
    <row r="787">
      <c r="A787" s="3" t="s">
        <v>924</v>
      </c>
      <c r="B787" s="3" t="s">
        <v>2</v>
      </c>
      <c r="C787" s="3" t="s">
        <v>3</v>
      </c>
      <c r="D787" s="4"/>
      <c r="E787" s="4"/>
    </row>
    <row r="788">
      <c r="A788" s="3" t="s">
        <v>925</v>
      </c>
      <c r="B788" s="3" t="s">
        <v>20</v>
      </c>
      <c r="C788" s="4"/>
      <c r="D788" s="4"/>
      <c r="E788" s="4"/>
    </row>
    <row r="789">
      <c r="A789" s="3" t="s">
        <v>926</v>
      </c>
      <c r="B789" s="3" t="s">
        <v>2</v>
      </c>
      <c r="C789" s="3" t="s">
        <v>3</v>
      </c>
      <c r="D789" s="4"/>
      <c r="E789" s="4"/>
    </row>
    <row r="790">
      <c r="A790" s="3" t="s">
        <v>927</v>
      </c>
      <c r="B790" s="3" t="s">
        <v>72</v>
      </c>
      <c r="C790" s="4"/>
      <c r="D790" s="4"/>
      <c r="E790" s="4"/>
    </row>
    <row r="791">
      <c r="A791" s="3" t="s">
        <v>928</v>
      </c>
      <c r="B791" s="3" t="s">
        <v>2</v>
      </c>
      <c r="C791" s="3" t="s">
        <v>32</v>
      </c>
      <c r="D791" s="4"/>
      <c r="E791" s="4"/>
    </row>
    <row r="792">
      <c r="A792" s="3" t="s">
        <v>929</v>
      </c>
      <c r="B792" s="3" t="s">
        <v>930</v>
      </c>
      <c r="C792" s="4"/>
      <c r="D792" s="4"/>
      <c r="E792" s="4"/>
    </row>
    <row r="793">
      <c r="A793" s="3" t="s">
        <v>931</v>
      </c>
      <c r="B793" s="3" t="s">
        <v>932</v>
      </c>
      <c r="C793" s="3" t="s">
        <v>3</v>
      </c>
      <c r="D793" s="4"/>
      <c r="E793" s="4"/>
    </row>
    <row r="794">
      <c r="A794" s="3" t="s">
        <v>933</v>
      </c>
      <c r="B794" s="3" t="s">
        <v>22</v>
      </c>
      <c r="C794" s="4"/>
      <c r="D794" s="4"/>
      <c r="E794" s="4"/>
    </row>
    <row r="795">
      <c r="A795" s="3" t="s">
        <v>934</v>
      </c>
      <c r="B795" s="3" t="s">
        <v>2</v>
      </c>
      <c r="C795" s="3" t="s">
        <v>3</v>
      </c>
      <c r="D795" s="4"/>
      <c r="E795" s="4"/>
    </row>
    <row r="796">
      <c r="A796" s="3" t="s">
        <v>935</v>
      </c>
      <c r="B796" s="3" t="s">
        <v>936</v>
      </c>
      <c r="C796" s="4"/>
      <c r="D796" s="4"/>
      <c r="E796" s="4"/>
    </row>
    <row r="797">
      <c r="A797" s="3" t="s">
        <v>937</v>
      </c>
      <c r="B797" s="3" t="s">
        <v>938</v>
      </c>
      <c r="C797" s="4"/>
      <c r="D797" s="4"/>
      <c r="E797" s="4"/>
    </row>
    <row r="798">
      <c r="A798" s="3" t="s">
        <v>939</v>
      </c>
      <c r="B798" s="3" t="s">
        <v>940</v>
      </c>
      <c r="C798" s="4"/>
      <c r="D798" s="4"/>
      <c r="E798" s="4"/>
    </row>
    <row r="799">
      <c r="A799" s="3" t="s">
        <v>941</v>
      </c>
      <c r="B799" s="3" t="s">
        <v>942</v>
      </c>
      <c r="C799" s="4"/>
      <c r="D799" s="4"/>
      <c r="E799" s="4"/>
    </row>
    <row r="800">
      <c r="A800" s="3" t="s">
        <v>943</v>
      </c>
      <c r="B800" s="3" t="s">
        <v>2</v>
      </c>
      <c r="C800" s="3" t="s">
        <v>3</v>
      </c>
      <c r="D800" s="4"/>
      <c r="E800" s="4"/>
    </row>
    <row r="801">
      <c r="A801" s="3" t="s">
        <v>944</v>
      </c>
      <c r="B801" s="3" t="s">
        <v>2</v>
      </c>
      <c r="C801" s="3" t="s">
        <v>3</v>
      </c>
      <c r="D801" s="4"/>
      <c r="E801" s="4"/>
    </row>
    <row r="802">
      <c r="A802" s="3" t="s">
        <v>945</v>
      </c>
      <c r="B802" s="3" t="s">
        <v>946</v>
      </c>
      <c r="C802" s="3" t="s">
        <v>216</v>
      </c>
      <c r="D802" s="4"/>
      <c r="E802" s="4"/>
    </row>
    <row r="803">
      <c r="A803" s="3" t="s">
        <v>947</v>
      </c>
      <c r="B803" s="3" t="s">
        <v>2</v>
      </c>
      <c r="C803" s="3" t="s">
        <v>29</v>
      </c>
      <c r="D803" s="4"/>
      <c r="E803" s="4"/>
    </row>
    <row r="804">
      <c r="A804" s="3" t="s">
        <v>948</v>
      </c>
      <c r="B804" s="3" t="s">
        <v>146</v>
      </c>
      <c r="C804" s="3" t="s">
        <v>3</v>
      </c>
      <c r="D804" s="4"/>
      <c r="E804" s="4"/>
    </row>
    <row r="805">
      <c r="A805" s="3" t="s">
        <v>949</v>
      </c>
      <c r="B805" s="4"/>
      <c r="C805" s="4"/>
      <c r="D805" s="4"/>
      <c r="E805" s="4"/>
    </row>
    <row r="806">
      <c r="A806" s="3" t="s">
        <v>950</v>
      </c>
      <c r="B806" s="3" t="s">
        <v>18</v>
      </c>
      <c r="C806" s="3" t="s">
        <v>3</v>
      </c>
      <c r="D806" s="4"/>
      <c r="E806" s="4"/>
    </row>
    <row r="807">
      <c r="A807" s="3" t="s">
        <v>951</v>
      </c>
      <c r="B807" s="4"/>
      <c r="C807" s="4"/>
      <c r="D807" s="4"/>
      <c r="E807" s="4"/>
    </row>
    <row r="808">
      <c r="A808" s="3" t="s">
        <v>952</v>
      </c>
      <c r="B808" s="3" t="s">
        <v>11</v>
      </c>
      <c r="C808" s="4"/>
      <c r="D808" s="4"/>
      <c r="E808" s="4"/>
    </row>
    <row r="809">
      <c r="A809" s="3" t="s">
        <v>953</v>
      </c>
      <c r="B809" s="4"/>
      <c r="C809" s="4"/>
      <c r="D809" s="4"/>
      <c r="E809" s="4"/>
    </row>
    <row r="810">
      <c r="A810" s="3" t="s">
        <v>954</v>
      </c>
      <c r="B810" s="3" t="s">
        <v>955</v>
      </c>
      <c r="C810" s="4"/>
      <c r="D810" s="4"/>
      <c r="E810" s="4"/>
    </row>
    <row r="811">
      <c r="A811" s="3" t="s">
        <v>956</v>
      </c>
      <c r="B811" s="3" t="s">
        <v>957</v>
      </c>
      <c r="C811" s="4"/>
      <c r="D811" s="4"/>
      <c r="E811" s="4"/>
    </row>
    <row r="812">
      <c r="A812" s="3" t="s">
        <v>958</v>
      </c>
      <c r="B812" s="3" t="s">
        <v>2</v>
      </c>
      <c r="C812" s="3" t="s">
        <v>3</v>
      </c>
      <c r="D812" s="4"/>
      <c r="E812" s="4"/>
    </row>
    <row r="813">
      <c r="A813" s="3" t="s">
        <v>959</v>
      </c>
      <c r="B813" s="3" t="s">
        <v>65</v>
      </c>
      <c r="C813" s="4"/>
      <c r="D813" s="4"/>
      <c r="E813" s="4"/>
    </row>
    <row r="814">
      <c r="A814" s="3" t="s">
        <v>960</v>
      </c>
      <c r="B814" s="3" t="s">
        <v>2</v>
      </c>
      <c r="C814" s="3" t="s">
        <v>3</v>
      </c>
      <c r="D814" s="4"/>
      <c r="E814" s="4"/>
    </row>
    <row r="815">
      <c r="A815" s="3" t="s">
        <v>961</v>
      </c>
      <c r="B815" s="4"/>
      <c r="C815" s="4"/>
      <c r="D815" s="4"/>
      <c r="E815" s="4"/>
    </row>
    <row r="816">
      <c r="A816" s="3" t="s">
        <v>962</v>
      </c>
      <c r="B816" s="3" t="s">
        <v>20</v>
      </c>
      <c r="C816" s="3" t="s">
        <v>6</v>
      </c>
      <c r="D816" s="4"/>
      <c r="E816" s="4"/>
    </row>
    <row r="817">
      <c r="A817" s="3" t="s">
        <v>963</v>
      </c>
      <c r="B817" s="3" t="s">
        <v>698</v>
      </c>
      <c r="C817" s="3" t="s">
        <v>6</v>
      </c>
      <c r="D817" s="4"/>
      <c r="E817" s="4"/>
    </row>
    <row r="818">
      <c r="A818" s="3" t="s">
        <v>964</v>
      </c>
      <c r="B818" s="3" t="s">
        <v>2</v>
      </c>
      <c r="C818" s="3" t="s">
        <v>3</v>
      </c>
      <c r="D818" s="4"/>
      <c r="E818" s="4"/>
    </row>
    <row r="819">
      <c r="A819" s="3" t="s">
        <v>965</v>
      </c>
      <c r="B819" s="3" t="s">
        <v>966</v>
      </c>
      <c r="C819" s="4"/>
      <c r="D819" s="4"/>
      <c r="E819" s="4"/>
    </row>
    <row r="820">
      <c r="A820" s="3" t="s">
        <v>967</v>
      </c>
      <c r="B820" s="3" t="s">
        <v>65</v>
      </c>
      <c r="C820" s="3" t="s">
        <v>32</v>
      </c>
      <c r="D820" s="4"/>
      <c r="E820" s="4"/>
    </row>
    <row r="821">
      <c r="A821" s="3" t="s">
        <v>968</v>
      </c>
      <c r="B821" s="3" t="s">
        <v>11</v>
      </c>
      <c r="C821" s="4"/>
      <c r="D821" s="4"/>
      <c r="E821" s="4"/>
    </row>
    <row r="822">
      <c r="A822" s="3" t="s">
        <v>969</v>
      </c>
      <c r="B822" s="3" t="s">
        <v>2</v>
      </c>
      <c r="C822" s="3" t="s">
        <v>3</v>
      </c>
      <c r="D822" s="4"/>
      <c r="E822" s="4"/>
    </row>
    <row r="823">
      <c r="A823" s="3" t="s">
        <v>970</v>
      </c>
      <c r="B823" s="3" t="s">
        <v>2</v>
      </c>
      <c r="C823" s="3" t="s">
        <v>3</v>
      </c>
      <c r="D823" s="4"/>
      <c r="E823" s="4"/>
    </row>
    <row r="824">
      <c r="A824" s="3" t="s">
        <v>971</v>
      </c>
      <c r="B824" s="3" t="s">
        <v>2</v>
      </c>
      <c r="C824" s="3" t="s">
        <v>3</v>
      </c>
      <c r="D824" s="4"/>
      <c r="E824" s="4"/>
    </row>
    <row r="825">
      <c r="A825" s="3" t="s">
        <v>972</v>
      </c>
      <c r="B825" s="3" t="s">
        <v>2</v>
      </c>
      <c r="C825" s="3" t="s">
        <v>32</v>
      </c>
      <c r="D825" s="4"/>
      <c r="E825" s="4"/>
    </row>
    <row r="826">
      <c r="A826" s="3" t="s">
        <v>973</v>
      </c>
      <c r="B826" s="3" t="s">
        <v>382</v>
      </c>
      <c r="C826" s="4"/>
      <c r="D826" s="4"/>
      <c r="E826" s="4"/>
    </row>
    <row r="827">
      <c r="A827" s="3" t="s">
        <v>974</v>
      </c>
      <c r="B827" s="3" t="s">
        <v>2</v>
      </c>
      <c r="C827" s="3" t="s">
        <v>3</v>
      </c>
      <c r="D827" s="4"/>
      <c r="E827" s="4"/>
    </row>
    <row r="828">
      <c r="A828" s="3" t="s">
        <v>975</v>
      </c>
      <c r="B828" s="3" t="s">
        <v>42</v>
      </c>
      <c r="C828" s="4"/>
      <c r="D828" s="4"/>
      <c r="E828" s="4"/>
    </row>
    <row r="829">
      <c r="A829" s="3" t="s">
        <v>976</v>
      </c>
      <c r="B829" s="4"/>
      <c r="C829" s="4"/>
      <c r="D829" s="4"/>
      <c r="E829" s="4"/>
    </row>
    <row r="830">
      <c r="A830" s="3" t="s">
        <v>977</v>
      </c>
      <c r="B830" s="3" t="s">
        <v>623</v>
      </c>
      <c r="C830" s="4"/>
      <c r="D830" s="4"/>
      <c r="E830" s="4"/>
    </row>
    <row r="831">
      <c r="A831" s="3" t="s">
        <v>978</v>
      </c>
      <c r="B831" s="3" t="s">
        <v>2</v>
      </c>
      <c r="C831" s="3" t="s">
        <v>29</v>
      </c>
      <c r="D831" s="4"/>
      <c r="E831" s="4"/>
    </row>
    <row r="832">
      <c r="A832" s="3" t="s">
        <v>979</v>
      </c>
      <c r="B832" s="3" t="s">
        <v>575</v>
      </c>
      <c r="C832" s="3" t="s">
        <v>3</v>
      </c>
      <c r="D832" s="4"/>
      <c r="E832" s="4"/>
    </row>
    <row r="833">
      <c r="A833" s="3" t="s">
        <v>980</v>
      </c>
      <c r="B833" s="3" t="s">
        <v>2</v>
      </c>
      <c r="C833" s="3" t="s">
        <v>3</v>
      </c>
      <c r="D833" s="4"/>
      <c r="E833" s="4"/>
    </row>
    <row r="834">
      <c r="A834" s="3" t="s">
        <v>981</v>
      </c>
      <c r="B834" s="3" t="s">
        <v>11</v>
      </c>
      <c r="C834" s="4"/>
      <c r="D834" s="4"/>
      <c r="E834" s="4"/>
    </row>
    <row r="835">
      <c r="A835" s="3" t="s">
        <v>982</v>
      </c>
      <c r="B835" s="3" t="s">
        <v>2</v>
      </c>
      <c r="C835" s="3" t="s">
        <v>6</v>
      </c>
      <c r="D835" s="4"/>
      <c r="E835" s="4"/>
    </row>
    <row r="836">
      <c r="A836" s="3" t="s">
        <v>983</v>
      </c>
      <c r="B836" s="3" t="s">
        <v>2</v>
      </c>
      <c r="C836" s="3" t="s">
        <v>3</v>
      </c>
      <c r="D836" s="4"/>
      <c r="E836" s="4"/>
    </row>
    <row r="837">
      <c r="A837" s="3" t="s">
        <v>984</v>
      </c>
      <c r="B837" s="3" t="s">
        <v>985</v>
      </c>
      <c r="C837" s="4"/>
      <c r="D837" s="4"/>
      <c r="E837" s="4"/>
    </row>
    <row r="838">
      <c r="A838" s="3" t="s">
        <v>986</v>
      </c>
      <c r="B838" s="3" t="s">
        <v>22</v>
      </c>
      <c r="C838" s="4"/>
      <c r="D838" s="4"/>
      <c r="E838" s="4"/>
    </row>
    <row r="839">
      <c r="A839" s="3" t="s">
        <v>987</v>
      </c>
      <c r="B839" s="3" t="s">
        <v>2</v>
      </c>
      <c r="C839" s="3" t="s">
        <v>3</v>
      </c>
      <c r="D839" s="4"/>
      <c r="E839" s="4"/>
    </row>
    <row r="840">
      <c r="A840" s="3" t="s">
        <v>988</v>
      </c>
      <c r="B840" s="3" t="s">
        <v>989</v>
      </c>
      <c r="C840" s="3" t="s">
        <v>280</v>
      </c>
      <c r="D840" s="4"/>
      <c r="E840" s="4"/>
    </row>
    <row r="841">
      <c r="A841" s="3" t="s">
        <v>990</v>
      </c>
      <c r="B841" s="3" t="s">
        <v>115</v>
      </c>
      <c r="C841" s="4"/>
      <c r="D841" s="4"/>
      <c r="E841" s="4"/>
    </row>
    <row r="842">
      <c r="A842" s="3" t="s">
        <v>991</v>
      </c>
      <c r="B842" s="3" t="s">
        <v>2</v>
      </c>
      <c r="C842" s="3" t="s">
        <v>3</v>
      </c>
      <c r="D842" s="4"/>
      <c r="E842" s="4"/>
    </row>
    <row r="843">
      <c r="A843" s="3" t="s">
        <v>992</v>
      </c>
      <c r="B843" s="3" t="s">
        <v>2</v>
      </c>
      <c r="C843" s="3" t="s">
        <v>3</v>
      </c>
      <c r="D843" s="4"/>
      <c r="E843" s="4"/>
    </row>
    <row r="844">
      <c r="A844" s="3" t="s">
        <v>993</v>
      </c>
      <c r="B844" s="3" t="s">
        <v>2</v>
      </c>
      <c r="C844" s="3" t="s">
        <v>3</v>
      </c>
      <c r="D844" s="4"/>
      <c r="E844" s="4"/>
    </row>
    <row r="845">
      <c r="A845" s="3" t="s">
        <v>994</v>
      </c>
      <c r="B845" s="3" t="s">
        <v>623</v>
      </c>
      <c r="C845" s="4"/>
      <c r="D845" s="4"/>
      <c r="E845" s="4"/>
    </row>
    <row r="846">
      <c r="A846" s="3" t="s">
        <v>995</v>
      </c>
      <c r="B846" s="3" t="s">
        <v>996</v>
      </c>
      <c r="C846" s="3" t="s">
        <v>6</v>
      </c>
      <c r="D846" s="4"/>
      <c r="E846" s="4"/>
    </row>
    <row r="847">
      <c r="A847" s="3" t="s">
        <v>997</v>
      </c>
      <c r="B847" s="3" t="s">
        <v>998</v>
      </c>
      <c r="C847" s="4"/>
      <c r="D847" s="4"/>
      <c r="E847" s="4"/>
    </row>
    <row r="848">
      <c r="A848" s="3" t="s">
        <v>999</v>
      </c>
      <c r="B848" s="3" t="s">
        <v>2</v>
      </c>
      <c r="C848" s="3" t="s">
        <v>3</v>
      </c>
      <c r="D848" s="4"/>
      <c r="E848" s="4"/>
    </row>
    <row r="849">
      <c r="A849" s="3" t="s">
        <v>1000</v>
      </c>
      <c r="B849" s="3" t="s">
        <v>150</v>
      </c>
      <c r="C849" s="3" t="s">
        <v>3</v>
      </c>
      <c r="D849" s="4"/>
      <c r="E849" s="4"/>
    </row>
    <row r="850">
      <c r="A850" s="3" t="s">
        <v>1001</v>
      </c>
      <c r="B850" s="3" t="s">
        <v>2</v>
      </c>
      <c r="C850" s="3" t="s">
        <v>6</v>
      </c>
      <c r="D850" s="4"/>
      <c r="E850" s="4"/>
    </row>
    <row r="851">
      <c r="A851" s="3" t="s">
        <v>1002</v>
      </c>
      <c r="B851" s="3" t="s">
        <v>51</v>
      </c>
      <c r="C851" s="3" t="s">
        <v>3</v>
      </c>
      <c r="D851" s="4"/>
      <c r="E851" s="4"/>
    </row>
    <row r="852">
      <c r="A852" s="3" t="s">
        <v>1003</v>
      </c>
      <c r="B852" s="3" t="s">
        <v>2</v>
      </c>
      <c r="C852" s="3" t="s">
        <v>3</v>
      </c>
      <c r="D852" s="4"/>
      <c r="E852" s="4"/>
    </row>
    <row r="853">
      <c r="A853" s="3" t="s">
        <v>1004</v>
      </c>
      <c r="B853" s="3" t="s">
        <v>2</v>
      </c>
      <c r="C853" s="3" t="s">
        <v>3</v>
      </c>
      <c r="D853" s="4"/>
      <c r="E853" s="4"/>
    </row>
    <row r="854">
      <c r="A854" s="3" t="s">
        <v>1005</v>
      </c>
      <c r="B854" s="3" t="s">
        <v>18</v>
      </c>
      <c r="C854" s="4"/>
      <c r="D854" s="4"/>
      <c r="E854" s="4"/>
    </row>
    <row r="855">
      <c r="A855" s="3" t="s">
        <v>1006</v>
      </c>
      <c r="B855" s="3" t="s">
        <v>2</v>
      </c>
      <c r="C855" s="3" t="s">
        <v>3</v>
      </c>
      <c r="D855" s="4"/>
      <c r="E855" s="4"/>
    </row>
    <row r="856">
      <c r="A856" s="3" t="s">
        <v>1007</v>
      </c>
      <c r="B856" s="3" t="s">
        <v>22</v>
      </c>
      <c r="C856" s="4"/>
      <c r="D856" s="4"/>
      <c r="E856" s="4"/>
    </row>
    <row r="857">
      <c r="A857" s="3" t="s">
        <v>1008</v>
      </c>
      <c r="B857" s="3" t="s">
        <v>2</v>
      </c>
      <c r="C857" s="3" t="s">
        <v>484</v>
      </c>
      <c r="D857" s="4"/>
      <c r="E857" s="4"/>
    </row>
    <row r="858">
      <c r="A858" s="3" t="s">
        <v>1009</v>
      </c>
      <c r="B858" s="3" t="s">
        <v>2</v>
      </c>
      <c r="C858" s="3" t="s">
        <v>3</v>
      </c>
      <c r="D858" s="4"/>
      <c r="E858" s="4"/>
    </row>
    <row r="859">
      <c r="A859" s="3" t="s">
        <v>1010</v>
      </c>
      <c r="B859" s="3" t="s">
        <v>2</v>
      </c>
      <c r="C859" s="3" t="s">
        <v>6</v>
      </c>
      <c r="D859" s="4"/>
      <c r="E859" s="4"/>
    </row>
    <row r="860">
      <c r="A860" s="3" t="s">
        <v>1011</v>
      </c>
      <c r="B860" s="3" t="s">
        <v>115</v>
      </c>
      <c r="C860" s="4"/>
      <c r="D860" s="4"/>
      <c r="E860" s="4"/>
    </row>
    <row r="861">
      <c r="A861" s="3" t="s">
        <v>1012</v>
      </c>
      <c r="B861" s="3" t="s">
        <v>942</v>
      </c>
      <c r="C861" s="3" t="s">
        <v>3</v>
      </c>
      <c r="D861" s="4"/>
      <c r="E861" s="4"/>
    </row>
    <row r="862">
      <c r="A862" s="3" t="s">
        <v>1013</v>
      </c>
      <c r="B862" s="3" t="s">
        <v>1014</v>
      </c>
      <c r="C862" s="3" t="s">
        <v>6</v>
      </c>
      <c r="D862" s="4"/>
      <c r="E862" s="4"/>
    </row>
    <row r="863">
      <c r="A863" s="3" t="s">
        <v>1015</v>
      </c>
      <c r="B863" s="3" t="s">
        <v>2</v>
      </c>
      <c r="C863" s="3" t="s">
        <v>3</v>
      </c>
      <c r="D863" s="4"/>
      <c r="E863" s="4"/>
    </row>
    <row r="864">
      <c r="A864" s="3" t="s">
        <v>1016</v>
      </c>
      <c r="B864" s="3" t="s">
        <v>2</v>
      </c>
      <c r="C864" s="3" t="s">
        <v>6</v>
      </c>
      <c r="D864" s="4"/>
      <c r="E864" s="4"/>
    </row>
    <row r="865">
      <c r="A865" s="3" t="s">
        <v>1017</v>
      </c>
      <c r="B865" s="3" t="s">
        <v>996</v>
      </c>
      <c r="C865" s="4"/>
      <c r="D865" s="4"/>
      <c r="E865" s="4"/>
    </row>
    <row r="866">
      <c r="A866" s="3" t="s">
        <v>1018</v>
      </c>
      <c r="B866" s="3" t="s">
        <v>2</v>
      </c>
      <c r="C866" s="3" t="s">
        <v>32</v>
      </c>
      <c r="D866" s="4"/>
      <c r="E866" s="4"/>
    </row>
    <row r="867">
      <c r="A867" s="3" t="s">
        <v>1019</v>
      </c>
      <c r="B867" s="3" t="s">
        <v>2</v>
      </c>
      <c r="C867" s="3" t="s">
        <v>6</v>
      </c>
      <c r="D867" s="4"/>
      <c r="E867" s="4"/>
    </row>
    <row r="868">
      <c r="A868" s="3" t="s">
        <v>1020</v>
      </c>
      <c r="B868" s="3" t="s">
        <v>1021</v>
      </c>
      <c r="C868" s="4"/>
      <c r="D868" s="4"/>
      <c r="E868" s="4"/>
    </row>
    <row r="869">
      <c r="A869" s="3" t="s">
        <v>1022</v>
      </c>
      <c r="B869" s="3" t="s">
        <v>2</v>
      </c>
      <c r="C869" s="3" t="s">
        <v>6</v>
      </c>
      <c r="D869" s="4"/>
      <c r="E869" s="4"/>
    </row>
    <row r="870">
      <c r="A870" s="3" t="s">
        <v>1023</v>
      </c>
      <c r="B870" s="3" t="s">
        <v>1024</v>
      </c>
      <c r="C870" s="3" t="s">
        <v>3</v>
      </c>
      <c r="D870" s="4"/>
      <c r="E870" s="4"/>
    </row>
    <row r="871">
      <c r="A871" s="3" t="s">
        <v>1025</v>
      </c>
      <c r="B871" s="3" t="s">
        <v>2</v>
      </c>
      <c r="C871" s="3" t="s">
        <v>3</v>
      </c>
      <c r="D871" s="4"/>
      <c r="E871" s="4"/>
    </row>
    <row r="872">
      <c r="A872" s="3" t="s">
        <v>1026</v>
      </c>
      <c r="B872" s="3" t="s">
        <v>1027</v>
      </c>
      <c r="C872" s="3" t="s">
        <v>3</v>
      </c>
      <c r="D872" s="4"/>
      <c r="E872" s="4"/>
    </row>
    <row r="873">
      <c r="A873" s="3" t="s">
        <v>1028</v>
      </c>
      <c r="B873" s="4"/>
      <c r="C873" s="4"/>
      <c r="D873" s="4"/>
      <c r="E873" s="4"/>
    </row>
    <row r="874">
      <c r="A874" s="3" t="s">
        <v>1029</v>
      </c>
      <c r="B874" s="3" t="s">
        <v>2</v>
      </c>
      <c r="C874" s="3" t="s">
        <v>3</v>
      </c>
      <c r="D874" s="4"/>
      <c r="E874" s="4"/>
    </row>
    <row r="875">
      <c r="A875" s="3" t="s">
        <v>1030</v>
      </c>
      <c r="B875" s="4"/>
      <c r="C875" s="4"/>
      <c r="D875" s="4"/>
      <c r="E875" s="4"/>
    </row>
    <row r="876">
      <c r="A876" s="3" t="s">
        <v>1031</v>
      </c>
      <c r="B876" s="3" t="s">
        <v>2</v>
      </c>
      <c r="C876" s="3" t="s">
        <v>3</v>
      </c>
      <c r="D876" s="4"/>
      <c r="E876" s="4"/>
    </row>
    <row r="877">
      <c r="A877" s="3" t="s">
        <v>1032</v>
      </c>
      <c r="B877" s="3" t="s">
        <v>2</v>
      </c>
      <c r="C877" s="3" t="s">
        <v>29</v>
      </c>
      <c r="D877" s="4"/>
      <c r="E877" s="4"/>
    </row>
    <row r="878">
      <c r="A878" s="3" t="s">
        <v>1033</v>
      </c>
      <c r="B878" s="3" t="s">
        <v>1034</v>
      </c>
      <c r="C878" s="4"/>
      <c r="D878" s="4"/>
      <c r="E878" s="4"/>
    </row>
    <row r="879">
      <c r="A879" s="3" t="s">
        <v>1035</v>
      </c>
      <c r="B879" s="3" t="s">
        <v>115</v>
      </c>
      <c r="C879" s="4"/>
      <c r="D879" s="4"/>
      <c r="E879" s="4"/>
    </row>
    <row r="880">
      <c r="A880" s="3" t="s">
        <v>1036</v>
      </c>
      <c r="B880" s="3" t="s">
        <v>2</v>
      </c>
      <c r="C880" s="3" t="s">
        <v>3</v>
      </c>
      <c r="D880" s="4"/>
      <c r="E880" s="4"/>
    </row>
    <row r="881">
      <c r="A881" s="3" t="s">
        <v>1037</v>
      </c>
      <c r="B881" s="3" t="s">
        <v>2</v>
      </c>
      <c r="C881" s="3" t="s">
        <v>26</v>
      </c>
      <c r="D881" s="4"/>
      <c r="E881" s="4"/>
    </row>
    <row r="882">
      <c r="A882" s="3" t="s">
        <v>1038</v>
      </c>
      <c r="B882" s="3" t="s">
        <v>2</v>
      </c>
      <c r="C882" s="3" t="s">
        <v>3</v>
      </c>
      <c r="D882" s="4"/>
      <c r="E882" s="4"/>
    </row>
    <row r="883">
      <c r="A883" s="3" t="s">
        <v>1039</v>
      </c>
      <c r="B883" s="3" t="s">
        <v>1040</v>
      </c>
      <c r="C883" s="3" t="s">
        <v>3</v>
      </c>
      <c r="D883" s="4"/>
      <c r="E883" s="4"/>
    </row>
    <row r="884">
      <c r="A884" s="3" t="s">
        <v>1041</v>
      </c>
      <c r="B884" s="3" t="s">
        <v>18</v>
      </c>
      <c r="C884" s="4"/>
      <c r="D884" s="4"/>
      <c r="E884" s="4"/>
    </row>
    <row r="885">
      <c r="A885" s="3" t="s">
        <v>1042</v>
      </c>
      <c r="B885" s="3" t="s">
        <v>2</v>
      </c>
      <c r="C885" s="3" t="s">
        <v>3</v>
      </c>
      <c r="D885" s="4"/>
      <c r="E885" s="4"/>
    </row>
    <row r="886">
      <c r="A886" s="3" t="s">
        <v>1043</v>
      </c>
      <c r="B886" s="3" t="s">
        <v>115</v>
      </c>
      <c r="C886" s="4"/>
      <c r="D886" s="4"/>
      <c r="E886" s="4"/>
    </row>
    <row r="887">
      <c r="A887" s="3" t="s">
        <v>1044</v>
      </c>
      <c r="B887" s="3" t="s">
        <v>1045</v>
      </c>
      <c r="C887" s="3" t="s">
        <v>37</v>
      </c>
      <c r="D887" s="4"/>
      <c r="E887" s="4"/>
    </row>
    <row r="888">
      <c r="A888" s="4"/>
      <c r="B888" s="4"/>
      <c r="C888" s="3" t="s">
        <v>38</v>
      </c>
      <c r="D888" s="4"/>
      <c r="E888" s="4"/>
    </row>
    <row r="889">
      <c r="A889" s="3" t="s">
        <v>1046</v>
      </c>
      <c r="B889" s="3" t="s">
        <v>2</v>
      </c>
      <c r="C889" s="3" t="s">
        <v>3</v>
      </c>
      <c r="D889" s="4"/>
      <c r="E889" s="4"/>
    </row>
    <row r="890">
      <c r="A890" s="3" t="s">
        <v>1047</v>
      </c>
      <c r="B890" s="3" t="s">
        <v>47</v>
      </c>
      <c r="C890" s="4"/>
      <c r="D890" s="4"/>
      <c r="E890" s="4"/>
    </row>
    <row r="891">
      <c r="A891" s="3" t="s">
        <v>1048</v>
      </c>
      <c r="B891" s="3" t="s">
        <v>2</v>
      </c>
      <c r="C891" s="3" t="s">
        <v>3</v>
      </c>
      <c r="D891" s="4"/>
      <c r="E891" s="4"/>
    </row>
    <row r="892">
      <c r="A892" s="3" t="s">
        <v>1049</v>
      </c>
      <c r="B892" s="3" t="s">
        <v>2</v>
      </c>
      <c r="C892" s="3" t="s">
        <v>3</v>
      </c>
      <c r="D892" s="4"/>
      <c r="E892" s="4"/>
    </row>
    <row r="893">
      <c r="A893" s="3" t="s">
        <v>1050</v>
      </c>
      <c r="B893" s="4"/>
      <c r="C893" s="4"/>
      <c r="D893" s="4"/>
      <c r="E893" s="4"/>
    </row>
    <row r="894">
      <c r="A894" s="3" t="s">
        <v>1051</v>
      </c>
      <c r="B894" s="3" t="s">
        <v>1052</v>
      </c>
      <c r="C894" s="4"/>
      <c r="D894" s="4"/>
      <c r="E894" s="4"/>
    </row>
    <row r="895">
      <c r="A895" s="3" t="s">
        <v>1053</v>
      </c>
      <c r="B895" s="3" t="s">
        <v>11</v>
      </c>
      <c r="C895" s="3" t="s">
        <v>32</v>
      </c>
      <c r="D895" s="4"/>
      <c r="E895" s="4"/>
    </row>
    <row r="896">
      <c r="A896" s="3" t="s">
        <v>1054</v>
      </c>
      <c r="B896" s="3" t="s">
        <v>2</v>
      </c>
      <c r="C896" s="3" t="s">
        <v>3</v>
      </c>
      <c r="D896" s="4"/>
      <c r="E896" s="4"/>
    </row>
    <row r="897">
      <c r="A897" s="3" t="s">
        <v>1055</v>
      </c>
      <c r="B897" s="3" t="s">
        <v>1056</v>
      </c>
      <c r="C897" s="4"/>
      <c r="D897" s="4"/>
      <c r="E897" s="4"/>
    </row>
    <row r="898">
      <c r="A898" s="3" t="s">
        <v>1057</v>
      </c>
      <c r="B898" s="3" t="s">
        <v>2</v>
      </c>
      <c r="C898" s="3" t="s">
        <v>32</v>
      </c>
      <c r="D898" s="4"/>
      <c r="E898" s="4"/>
    </row>
    <row r="899">
      <c r="A899" s="3" t="s">
        <v>1058</v>
      </c>
      <c r="B899" s="3" t="s">
        <v>11</v>
      </c>
      <c r="C899" s="4"/>
      <c r="D899" s="4"/>
      <c r="E899" s="4"/>
    </row>
    <row r="900">
      <c r="A900" s="3" t="s">
        <v>1059</v>
      </c>
      <c r="B900" s="3" t="s">
        <v>2</v>
      </c>
      <c r="C900" s="3" t="s">
        <v>3</v>
      </c>
      <c r="D900" s="4"/>
      <c r="E900" s="4"/>
    </row>
    <row r="901">
      <c r="A901" s="3" t="s">
        <v>1060</v>
      </c>
      <c r="B901" s="3" t="s">
        <v>22</v>
      </c>
      <c r="C901" s="4"/>
      <c r="D901" s="4"/>
      <c r="E901" s="4"/>
    </row>
    <row r="902">
      <c r="A902" s="3" t="s">
        <v>1061</v>
      </c>
      <c r="B902" s="3" t="s">
        <v>20</v>
      </c>
      <c r="C902" s="3" t="s">
        <v>3</v>
      </c>
      <c r="D902" s="4"/>
      <c r="E902" s="4"/>
    </row>
    <row r="903">
      <c r="A903" s="3" t="s">
        <v>1062</v>
      </c>
      <c r="B903" s="4"/>
      <c r="C903" s="4"/>
      <c r="D903" s="4"/>
      <c r="E903" s="4"/>
    </row>
    <row r="904">
      <c r="A904" s="3" t="s">
        <v>1063</v>
      </c>
      <c r="B904" s="3" t="s">
        <v>758</v>
      </c>
      <c r="C904" s="4"/>
      <c r="D904" s="4"/>
      <c r="E904" s="4"/>
    </row>
    <row r="905">
      <c r="A905" s="3" t="s">
        <v>1064</v>
      </c>
      <c r="B905" s="3" t="s">
        <v>2</v>
      </c>
      <c r="C905" s="3" t="s">
        <v>3</v>
      </c>
      <c r="D905" s="4"/>
      <c r="E905" s="4"/>
    </row>
    <row r="906">
      <c r="A906" s="3" t="s">
        <v>1065</v>
      </c>
      <c r="B906" s="3" t="s">
        <v>146</v>
      </c>
      <c r="C906" s="3" t="s">
        <v>3</v>
      </c>
      <c r="D906" s="4"/>
      <c r="E906" s="4"/>
    </row>
    <row r="907">
      <c r="A907" s="3" t="s">
        <v>1066</v>
      </c>
      <c r="B907" s="4"/>
      <c r="C907" s="4"/>
      <c r="D907" s="4"/>
      <c r="E907" s="4"/>
    </row>
    <row r="908">
      <c r="A908" s="3" t="s">
        <v>1067</v>
      </c>
      <c r="B908" s="3" t="s">
        <v>1068</v>
      </c>
      <c r="C908" s="3" t="s">
        <v>37</v>
      </c>
      <c r="D908" s="4"/>
      <c r="E908" s="4"/>
    </row>
    <row r="909">
      <c r="A909" s="4"/>
      <c r="B909" s="4"/>
      <c r="C909" s="3" t="s">
        <v>38</v>
      </c>
      <c r="D909" s="4"/>
      <c r="E909" s="4"/>
    </row>
    <row r="910">
      <c r="A910" s="3" t="s">
        <v>1069</v>
      </c>
      <c r="B910" s="3" t="s">
        <v>115</v>
      </c>
      <c r="C910" s="4"/>
      <c r="D910" s="4"/>
      <c r="E910" s="4"/>
    </row>
    <row r="911">
      <c r="A911" s="3" t="s">
        <v>1070</v>
      </c>
      <c r="B911" s="3" t="s">
        <v>1071</v>
      </c>
      <c r="C911" s="3" t="s">
        <v>280</v>
      </c>
      <c r="D911" s="4"/>
      <c r="E911" s="4"/>
    </row>
    <row r="912">
      <c r="A912" s="3" t="s">
        <v>1072</v>
      </c>
      <c r="B912" s="3" t="s">
        <v>2</v>
      </c>
      <c r="C912" s="3" t="s">
        <v>3</v>
      </c>
      <c r="D912" s="4"/>
      <c r="E912" s="4"/>
    </row>
    <row r="913">
      <c r="A913" s="3" t="s">
        <v>1073</v>
      </c>
      <c r="B913" s="3" t="s">
        <v>2</v>
      </c>
      <c r="C913" s="3" t="s">
        <v>484</v>
      </c>
      <c r="D913" s="4"/>
      <c r="E913" s="4"/>
    </row>
    <row r="914">
      <c r="A914" s="3" t="s">
        <v>1074</v>
      </c>
      <c r="B914" s="4"/>
      <c r="C914" s="4"/>
      <c r="D914" s="4"/>
      <c r="E914" s="4"/>
    </row>
    <row r="915">
      <c r="A915" s="3" t="s">
        <v>1075</v>
      </c>
      <c r="B915" s="3" t="s">
        <v>2</v>
      </c>
      <c r="C915" s="3" t="s">
        <v>3</v>
      </c>
      <c r="D915" s="4"/>
      <c r="E915" s="4"/>
    </row>
    <row r="916">
      <c r="A916" s="3" t="s">
        <v>1076</v>
      </c>
      <c r="B916" s="3" t="s">
        <v>2</v>
      </c>
      <c r="C916" s="3" t="s">
        <v>3</v>
      </c>
      <c r="D916" s="4"/>
      <c r="E916" s="4"/>
    </row>
    <row r="917">
      <c r="A917" s="3" t="s">
        <v>1077</v>
      </c>
      <c r="B917" s="3" t="s">
        <v>2</v>
      </c>
      <c r="C917" s="3" t="s">
        <v>3</v>
      </c>
      <c r="D917" s="4"/>
      <c r="E917" s="4"/>
    </row>
    <row r="918">
      <c r="A918" s="3" t="s">
        <v>1078</v>
      </c>
      <c r="B918" s="4"/>
      <c r="C918" s="4"/>
      <c r="D918" s="4"/>
      <c r="E918" s="4"/>
    </row>
    <row r="919">
      <c r="A919" s="3" t="s">
        <v>1079</v>
      </c>
      <c r="B919" s="3" t="s">
        <v>2</v>
      </c>
      <c r="C919" s="3" t="s">
        <v>3</v>
      </c>
      <c r="D919" s="4"/>
      <c r="E919" s="4"/>
    </row>
    <row r="920">
      <c r="A920" s="3" t="s">
        <v>1080</v>
      </c>
      <c r="B920" s="3" t="s">
        <v>218</v>
      </c>
      <c r="C920" s="3" t="s">
        <v>32</v>
      </c>
      <c r="D920" s="4"/>
      <c r="E920" s="4"/>
    </row>
    <row r="921">
      <c r="A921" s="3" t="s">
        <v>1081</v>
      </c>
      <c r="B921" s="3" t="s">
        <v>2</v>
      </c>
      <c r="C921" s="3" t="s">
        <v>6</v>
      </c>
      <c r="D921" s="4"/>
      <c r="E921" s="4"/>
    </row>
    <row r="922">
      <c r="A922" s="3" t="s">
        <v>1082</v>
      </c>
      <c r="B922" s="3" t="s">
        <v>2</v>
      </c>
      <c r="C922" s="3" t="s">
        <v>3</v>
      </c>
      <c r="D922" s="4"/>
      <c r="E922" s="4"/>
    </row>
    <row r="923">
      <c r="A923" s="3" t="s">
        <v>1083</v>
      </c>
      <c r="B923" s="3" t="s">
        <v>18</v>
      </c>
      <c r="C923" s="3" t="s">
        <v>32</v>
      </c>
      <c r="D923" s="4"/>
      <c r="E923" s="4"/>
    </row>
    <row r="924">
      <c r="A924" s="3" t="s">
        <v>1084</v>
      </c>
      <c r="B924" s="3" t="s">
        <v>2</v>
      </c>
      <c r="C924" s="3" t="s">
        <v>3</v>
      </c>
      <c r="D924" s="4"/>
      <c r="E924" s="4"/>
    </row>
    <row r="925">
      <c r="A925" s="3" t="s">
        <v>1085</v>
      </c>
      <c r="B925" s="3" t="s">
        <v>575</v>
      </c>
      <c r="C925" s="4"/>
      <c r="D925" s="4"/>
      <c r="E925" s="4"/>
    </row>
    <row r="926">
      <c r="A926" s="3" t="s">
        <v>1086</v>
      </c>
      <c r="B926" s="3" t="s">
        <v>2</v>
      </c>
      <c r="C926" s="3" t="s">
        <v>3</v>
      </c>
      <c r="D926" s="4"/>
      <c r="E926" s="4"/>
    </row>
    <row r="927">
      <c r="A927" s="3" t="s">
        <v>1087</v>
      </c>
      <c r="B927" s="4"/>
      <c r="C927" s="4"/>
      <c r="D927" s="4"/>
      <c r="E927" s="4"/>
    </row>
    <row r="928">
      <c r="A928" s="3" t="s">
        <v>1088</v>
      </c>
      <c r="B928" s="3" t="s">
        <v>22</v>
      </c>
      <c r="C928" s="3" t="s">
        <v>3</v>
      </c>
      <c r="D928" s="4"/>
      <c r="E928" s="4"/>
    </row>
    <row r="929">
      <c r="A929" s="3" t="s">
        <v>1089</v>
      </c>
      <c r="B929" s="3" t="s">
        <v>1090</v>
      </c>
      <c r="C929" s="4"/>
      <c r="D929" s="4"/>
      <c r="E929" s="4"/>
    </row>
    <row r="930">
      <c r="A930" s="3" t="s">
        <v>1091</v>
      </c>
      <c r="B930" s="3" t="s">
        <v>2</v>
      </c>
      <c r="C930" s="3" t="s">
        <v>3</v>
      </c>
      <c r="D930" s="4"/>
      <c r="E930" s="4"/>
    </row>
    <row r="931">
      <c r="A931" s="3" t="s">
        <v>1092</v>
      </c>
      <c r="B931" s="3" t="s">
        <v>1093</v>
      </c>
      <c r="C931" s="4"/>
      <c r="D931" s="4"/>
      <c r="E931" s="4"/>
    </row>
    <row r="932">
      <c r="A932" s="3" t="s">
        <v>1094</v>
      </c>
      <c r="B932" s="3" t="s">
        <v>2</v>
      </c>
      <c r="C932" s="3" t="s">
        <v>3</v>
      </c>
      <c r="D932" s="4"/>
      <c r="E932" s="4"/>
    </row>
    <row r="933">
      <c r="A933" s="3" t="s">
        <v>1095</v>
      </c>
      <c r="B933" s="3" t="s">
        <v>2</v>
      </c>
      <c r="C933" s="3" t="s">
        <v>6</v>
      </c>
      <c r="D933" s="4"/>
      <c r="E933" s="4"/>
    </row>
    <row r="934">
      <c r="A934" s="3" t="s">
        <v>1096</v>
      </c>
      <c r="B934" s="3" t="s">
        <v>279</v>
      </c>
      <c r="C934" s="3" t="s">
        <v>3</v>
      </c>
      <c r="D934" s="4"/>
      <c r="E934" s="4"/>
    </row>
    <row r="935">
      <c r="A935" s="3" t="s">
        <v>1097</v>
      </c>
      <c r="B935" s="3" t="s">
        <v>2</v>
      </c>
      <c r="C935" s="3" t="s">
        <v>29</v>
      </c>
      <c r="D935" s="4"/>
      <c r="E935" s="4"/>
    </row>
    <row r="936">
      <c r="A936" s="3" t="s">
        <v>1098</v>
      </c>
      <c r="B936" s="3" t="s">
        <v>18</v>
      </c>
      <c r="C936" s="4"/>
      <c r="D936" s="4"/>
      <c r="E936" s="4"/>
    </row>
    <row r="937">
      <c r="A937" s="3" t="s">
        <v>1099</v>
      </c>
      <c r="B937" s="3" t="s">
        <v>2</v>
      </c>
      <c r="C937" s="3" t="s">
        <v>3</v>
      </c>
      <c r="D937" s="4"/>
      <c r="E937" s="4"/>
    </row>
    <row r="938">
      <c r="A938" s="3" t="s">
        <v>1100</v>
      </c>
      <c r="B938" s="3" t="s">
        <v>2</v>
      </c>
      <c r="C938" s="3" t="s">
        <v>3</v>
      </c>
      <c r="D938" s="4"/>
      <c r="E938" s="4"/>
    </row>
    <row r="939">
      <c r="A939" s="3" t="s">
        <v>1101</v>
      </c>
      <c r="B939" s="3" t="s">
        <v>2</v>
      </c>
      <c r="C939" s="3" t="s">
        <v>3</v>
      </c>
      <c r="D939" s="4"/>
      <c r="E939" s="4"/>
    </row>
    <row r="940">
      <c r="A940" s="3" t="s">
        <v>1102</v>
      </c>
      <c r="B940" s="4"/>
      <c r="C940" s="4"/>
      <c r="D940" s="4"/>
      <c r="E940" s="4"/>
    </row>
    <row r="941">
      <c r="A941" s="3" t="s">
        <v>1103</v>
      </c>
      <c r="B941" s="3" t="s">
        <v>2</v>
      </c>
      <c r="C941" s="3" t="s">
        <v>3</v>
      </c>
      <c r="D941" s="4"/>
      <c r="E941" s="4"/>
    </row>
    <row r="942">
      <c r="A942" s="3" t="s">
        <v>1104</v>
      </c>
      <c r="B942" s="3" t="s">
        <v>2</v>
      </c>
      <c r="C942" s="3" t="s">
        <v>32</v>
      </c>
      <c r="D942" s="4"/>
      <c r="E942" s="4"/>
    </row>
    <row r="943">
      <c r="A943" s="3" t="s">
        <v>1105</v>
      </c>
      <c r="B943" s="4"/>
      <c r="C943" s="4"/>
      <c r="D943" s="4"/>
      <c r="E943" s="4"/>
    </row>
    <row r="944">
      <c r="A944" s="3" t="s">
        <v>1106</v>
      </c>
      <c r="B944" s="3" t="s">
        <v>135</v>
      </c>
      <c r="C944" s="3" t="s">
        <v>3</v>
      </c>
      <c r="D944" s="4"/>
      <c r="E944" s="4"/>
    </row>
    <row r="945">
      <c r="A945" s="3" t="s">
        <v>1107</v>
      </c>
      <c r="B945" s="3" t="s">
        <v>2</v>
      </c>
      <c r="C945" s="3" t="s">
        <v>3</v>
      </c>
      <c r="D945" s="4"/>
      <c r="E945" s="4"/>
    </row>
    <row r="946">
      <c r="A946" s="3" t="s">
        <v>1108</v>
      </c>
      <c r="B946" s="3" t="s">
        <v>2</v>
      </c>
      <c r="C946" s="3" t="s">
        <v>3</v>
      </c>
      <c r="D946" s="4"/>
      <c r="E946" s="4"/>
    </row>
    <row r="947">
      <c r="A947" s="3" t="s">
        <v>1109</v>
      </c>
      <c r="B947" s="4"/>
      <c r="C947" s="4"/>
      <c r="D947" s="4"/>
      <c r="E947" s="4"/>
    </row>
    <row r="948">
      <c r="A948" s="3" t="s">
        <v>1110</v>
      </c>
      <c r="B948" s="3" t="s">
        <v>11</v>
      </c>
      <c r="C948" s="3" t="s">
        <v>32</v>
      </c>
      <c r="D948" s="4"/>
      <c r="E948" s="4"/>
    </row>
    <row r="949">
      <c r="A949" s="3">
        <v>33.0</v>
      </c>
      <c r="B949" s="4"/>
      <c r="C949" s="4"/>
      <c r="D949" s="4"/>
      <c r="E949" s="4"/>
    </row>
    <row r="950">
      <c r="A950" s="3" t="s">
        <v>1111</v>
      </c>
      <c r="B950" s="3" t="s">
        <v>940</v>
      </c>
      <c r="C950" s="3" t="s">
        <v>6</v>
      </c>
      <c r="D950" s="4"/>
      <c r="E950" s="4"/>
    </row>
    <row r="951">
      <c r="A951" s="3" t="s">
        <v>1112</v>
      </c>
      <c r="B951" s="4"/>
      <c r="C951" s="4"/>
      <c r="D951" s="4"/>
      <c r="E951" s="4"/>
    </row>
    <row r="952">
      <c r="A952" s="3" t="s">
        <v>1113</v>
      </c>
      <c r="B952" s="3" t="s">
        <v>42</v>
      </c>
      <c r="C952" s="4"/>
      <c r="D952" s="4"/>
      <c r="E952" s="4"/>
    </row>
    <row r="953">
      <c r="A953" s="3" t="s">
        <v>1114</v>
      </c>
      <c r="B953" s="3" t="s">
        <v>2</v>
      </c>
      <c r="C953" s="3" t="s">
        <v>6</v>
      </c>
      <c r="D953" s="4"/>
      <c r="E953" s="4"/>
    </row>
    <row r="954">
      <c r="A954" s="3" t="s">
        <v>1115</v>
      </c>
      <c r="B954" s="3" t="s">
        <v>2</v>
      </c>
      <c r="C954" s="3" t="s">
        <v>3</v>
      </c>
      <c r="D954" s="4"/>
      <c r="E954" s="4"/>
    </row>
    <row r="955">
      <c r="A955" s="3" t="s">
        <v>1116</v>
      </c>
      <c r="B955" s="4"/>
      <c r="C955" s="4"/>
      <c r="D955" s="4"/>
      <c r="E955" s="4"/>
    </row>
    <row r="956">
      <c r="A956" s="3" t="s">
        <v>1117</v>
      </c>
      <c r="B956" s="3" t="s">
        <v>2</v>
      </c>
      <c r="C956" s="3" t="s">
        <v>3</v>
      </c>
      <c r="D956" s="4"/>
      <c r="E956" s="4"/>
    </row>
    <row r="957">
      <c r="A957" s="3" t="s">
        <v>1118</v>
      </c>
      <c r="B957" s="3" t="s">
        <v>2</v>
      </c>
      <c r="C957" s="3" t="s">
        <v>6</v>
      </c>
      <c r="D957" s="4"/>
      <c r="E957" s="4"/>
    </row>
    <row r="958">
      <c r="A958" s="3" t="s">
        <v>1119</v>
      </c>
      <c r="B958" s="3" t="s">
        <v>2</v>
      </c>
      <c r="C958" s="3" t="s">
        <v>3</v>
      </c>
      <c r="D958" s="4"/>
      <c r="E958" s="4"/>
    </row>
    <row r="959">
      <c r="A959" s="3" t="s">
        <v>1120</v>
      </c>
      <c r="B959" s="4"/>
      <c r="C959" s="4"/>
      <c r="D959" s="4"/>
      <c r="E959" s="4"/>
    </row>
    <row r="960">
      <c r="A960" s="3" t="s">
        <v>1121</v>
      </c>
      <c r="B960" s="3" t="s">
        <v>20</v>
      </c>
      <c r="C960" s="4"/>
      <c r="D960" s="4"/>
      <c r="E960" s="4"/>
    </row>
    <row r="961">
      <c r="A961" s="3" t="s">
        <v>1122</v>
      </c>
      <c r="B961" s="4"/>
      <c r="C961" s="4"/>
      <c r="D961" s="4"/>
      <c r="E961" s="4"/>
    </row>
    <row r="962">
      <c r="A962" s="3" t="s">
        <v>1123</v>
      </c>
      <c r="B962" s="3" t="s">
        <v>2</v>
      </c>
      <c r="C962" s="3" t="s">
        <v>3</v>
      </c>
      <c r="D962" s="4"/>
      <c r="E962" s="4"/>
    </row>
    <row r="963">
      <c r="A963" s="3" t="s">
        <v>1124</v>
      </c>
      <c r="B963" s="4"/>
      <c r="C963" s="4"/>
      <c r="D963" s="4"/>
      <c r="E963" s="4"/>
    </row>
    <row r="964">
      <c r="A964" s="3" t="s">
        <v>1125</v>
      </c>
      <c r="B964" s="3" t="s">
        <v>2</v>
      </c>
      <c r="C964" s="3" t="s">
        <v>3</v>
      </c>
      <c r="D964" s="4"/>
      <c r="E964" s="4"/>
    </row>
    <row r="965">
      <c r="A965" s="3" t="s">
        <v>1126</v>
      </c>
      <c r="B965" s="4"/>
      <c r="C965" s="4"/>
      <c r="D965" s="4"/>
      <c r="E965" s="4"/>
    </row>
    <row r="966">
      <c r="A966" s="3" t="s">
        <v>1127</v>
      </c>
      <c r="B966" s="3" t="s">
        <v>2</v>
      </c>
      <c r="C966" s="3" t="s">
        <v>32</v>
      </c>
      <c r="D966" s="4"/>
      <c r="E966" s="4"/>
    </row>
    <row r="967">
      <c r="A967" s="3" t="s">
        <v>1128</v>
      </c>
      <c r="B967" s="4"/>
      <c r="C967" s="4"/>
      <c r="D967" s="4"/>
      <c r="E967" s="4"/>
    </row>
    <row r="968">
      <c r="A968" s="3" t="s">
        <v>1129</v>
      </c>
      <c r="B968" s="3" t="s">
        <v>406</v>
      </c>
      <c r="C968" s="4"/>
      <c r="D968" s="4"/>
      <c r="E968" s="4"/>
    </row>
    <row r="969">
      <c r="A969" s="3" t="s">
        <v>1130</v>
      </c>
      <c r="B969" s="4"/>
      <c r="C969" s="4"/>
      <c r="D969" s="4"/>
      <c r="E969" s="4"/>
    </row>
    <row r="970">
      <c r="A970" s="3" t="s">
        <v>1131</v>
      </c>
      <c r="B970" s="3" t="s">
        <v>20</v>
      </c>
      <c r="C970" s="3" t="s">
        <v>6</v>
      </c>
      <c r="D970" s="4"/>
      <c r="E970" s="4"/>
    </row>
    <row r="971">
      <c r="A971" s="3" t="s">
        <v>1132</v>
      </c>
      <c r="B971" s="3" t="s">
        <v>2</v>
      </c>
      <c r="C971" s="3" t="s">
        <v>6</v>
      </c>
      <c r="D971" s="4"/>
      <c r="E971" s="4"/>
    </row>
    <row r="972">
      <c r="A972" s="3" t="s">
        <v>1133</v>
      </c>
      <c r="B972" s="3" t="s">
        <v>2</v>
      </c>
      <c r="C972" s="3" t="s">
        <v>32</v>
      </c>
      <c r="D972" s="4"/>
      <c r="E972" s="4"/>
    </row>
    <row r="973">
      <c r="A973" s="3" t="s">
        <v>1134</v>
      </c>
      <c r="B973" s="3" t="s">
        <v>18</v>
      </c>
      <c r="C973" s="4"/>
      <c r="D973" s="4"/>
      <c r="E973" s="4"/>
    </row>
    <row r="974">
      <c r="A974" s="3" t="s">
        <v>1135</v>
      </c>
      <c r="B974" s="3" t="s">
        <v>22</v>
      </c>
      <c r="C974" s="3" t="s">
        <v>6</v>
      </c>
      <c r="D974" s="4"/>
      <c r="E974" s="4"/>
    </row>
    <row r="975">
      <c r="A975" s="3" t="s">
        <v>1136</v>
      </c>
      <c r="B975" s="3" t="s">
        <v>1137</v>
      </c>
      <c r="C975" s="3" t="s">
        <v>16</v>
      </c>
      <c r="D975" s="4"/>
      <c r="E975" s="4"/>
    </row>
    <row r="976">
      <c r="A976" s="3" t="s">
        <v>1138</v>
      </c>
      <c r="B976" s="3" t="s">
        <v>2</v>
      </c>
      <c r="C976" s="3" t="s">
        <v>3</v>
      </c>
      <c r="D976" s="4"/>
      <c r="E976" s="4"/>
    </row>
    <row r="977">
      <c r="A977" s="3" t="s">
        <v>1139</v>
      </c>
      <c r="B977" s="3" t="s">
        <v>2</v>
      </c>
      <c r="C977" s="3" t="s">
        <v>3</v>
      </c>
      <c r="D977" s="4"/>
      <c r="E977" s="4"/>
    </row>
    <row r="978">
      <c r="A978" s="3" t="s">
        <v>1140</v>
      </c>
      <c r="B978" s="3" t="s">
        <v>2</v>
      </c>
      <c r="C978" s="3" t="s">
        <v>6</v>
      </c>
      <c r="D978" s="4"/>
      <c r="E978" s="4"/>
    </row>
    <row r="979">
      <c r="A979" s="3" t="s">
        <v>1141</v>
      </c>
      <c r="B979" s="3" t="s">
        <v>2</v>
      </c>
      <c r="C979" s="3" t="s">
        <v>3</v>
      </c>
      <c r="D979" s="4"/>
      <c r="E979" s="4"/>
    </row>
    <row r="980">
      <c r="A980" s="3" t="s">
        <v>1142</v>
      </c>
      <c r="B980" s="3" t="s">
        <v>2</v>
      </c>
      <c r="C980" s="3" t="s">
        <v>6</v>
      </c>
      <c r="D980" s="4"/>
      <c r="E980" s="4"/>
    </row>
    <row r="981">
      <c r="A981" s="3" t="s">
        <v>1143</v>
      </c>
      <c r="B981" s="3" t="s">
        <v>2</v>
      </c>
      <c r="C981" s="3" t="s">
        <v>3</v>
      </c>
      <c r="D981" s="4"/>
      <c r="E981" s="4"/>
    </row>
    <row r="982">
      <c r="A982" s="3" t="s">
        <v>1144</v>
      </c>
      <c r="B982" s="3" t="s">
        <v>20</v>
      </c>
      <c r="C982" s="4"/>
      <c r="D982" s="4"/>
      <c r="E982" s="4"/>
    </row>
    <row r="983">
      <c r="A983" s="3" t="s">
        <v>1145</v>
      </c>
      <c r="B983" s="3" t="s">
        <v>146</v>
      </c>
      <c r="C983" s="3" t="s">
        <v>668</v>
      </c>
      <c r="D983" s="4"/>
      <c r="E983" s="4"/>
    </row>
    <row r="984">
      <c r="A984" s="3" t="s">
        <v>1146</v>
      </c>
      <c r="B984" s="3" t="s">
        <v>1147</v>
      </c>
      <c r="C984" s="3" t="s">
        <v>29</v>
      </c>
      <c r="D984" s="4"/>
      <c r="E984" s="4"/>
    </row>
    <row r="985">
      <c r="A985" s="3" t="s">
        <v>1148</v>
      </c>
      <c r="B985" s="3" t="s">
        <v>2</v>
      </c>
      <c r="C985" s="3" t="s">
        <v>26</v>
      </c>
      <c r="D985" s="4"/>
      <c r="E985" s="4"/>
    </row>
    <row r="986">
      <c r="A986" s="3" t="s">
        <v>1149</v>
      </c>
      <c r="B986" s="3" t="s">
        <v>2</v>
      </c>
      <c r="C986" s="3" t="s">
        <v>29</v>
      </c>
      <c r="D986" s="4"/>
      <c r="E986" s="4"/>
    </row>
    <row r="987">
      <c r="A987" s="3" t="s">
        <v>1150</v>
      </c>
      <c r="B987" s="3" t="s">
        <v>1151</v>
      </c>
      <c r="C987" s="3" t="s">
        <v>29</v>
      </c>
      <c r="D987" s="4"/>
      <c r="E987" s="4"/>
    </row>
    <row r="988">
      <c r="A988" s="3" t="s">
        <v>1152</v>
      </c>
      <c r="B988" s="3" t="s">
        <v>2</v>
      </c>
      <c r="C988" s="3" t="s">
        <v>29</v>
      </c>
      <c r="D988" s="4"/>
      <c r="E988" s="4"/>
    </row>
    <row r="989">
      <c r="A989" s="3" t="s">
        <v>1153</v>
      </c>
      <c r="B989" s="3" t="s">
        <v>2</v>
      </c>
      <c r="C989" s="3" t="s">
        <v>29</v>
      </c>
      <c r="D989" s="4"/>
      <c r="E989" s="4"/>
    </row>
    <row r="990">
      <c r="A990" s="3" t="s">
        <v>1154</v>
      </c>
      <c r="B990" s="3" t="s">
        <v>2</v>
      </c>
      <c r="C990" s="3" t="s">
        <v>3</v>
      </c>
      <c r="D990" s="4"/>
      <c r="E990" s="4"/>
    </row>
    <row r="991">
      <c r="A991" s="3" t="s">
        <v>1155</v>
      </c>
      <c r="B991" s="3" t="s">
        <v>2</v>
      </c>
      <c r="C991" s="3" t="s">
        <v>3</v>
      </c>
      <c r="D991" s="4"/>
      <c r="E991" s="4"/>
    </row>
    <row r="992">
      <c r="A992" s="3" t="s">
        <v>1156</v>
      </c>
      <c r="B992" s="3" t="s">
        <v>1157</v>
      </c>
      <c r="C992" s="4"/>
      <c r="D992" s="4"/>
      <c r="E992" s="4"/>
    </row>
    <row r="993">
      <c r="A993" s="3" t="s">
        <v>1158</v>
      </c>
      <c r="B993" s="3" t="s">
        <v>2</v>
      </c>
      <c r="C993" s="3" t="s">
        <v>3</v>
      </c>
      <c r="D993" s="4"/>
      <c r="E993" s="4"/>
    </row>
    <row r="994">
      <c r="A994" s="3" t="s">
        <v>1159</v>
      </c>
      <c r="B994" s="3" t="s">
        <v>1160</v>
      </c>
      <c r="C994" s="3" t="s">
        <v>32</v>
      </c>
      <c r="D994" s="4"/>
      <c r="E994" s="4"/>
    </row>
    <row r="995">
      <c r="A995" s="3" t="s">
        <v>1161</v>
      </c>
      <c r="B995" s="3" t="s">
        <v>18</v>
      </c>
      <c r="C995" s="4"/>
      <c r="D995" s="4"/>
      <c r="E995" s="4"/>
    </row>
    <row r="996">
      <c r="A996" s="3" t="s">
        <v>1162</v>
      </c>
      <c r="B996" s="3" t="s">
        <v>2</v>
      </c>
      <c r="C996" s="3" t="s">
        <v>3</v>
      </c>
      <c r="D996" s="4"/>
      <c r="E996" s="4"/>
    </row>
    <row r="997">
      <c r="A997" s="3" t="s">
        <v>1163</v>
      </c>
      <c r="B997" s="3" t="s">
        <v>2</v>
      </c>
      <c r="C997" s="3" t="s">
        <v>3</v>
      </c>
      <c r="D997" s="4"/>
      <c r="E997" s="4"/>
    </row>
    <row r="998">
      <c r="A998" s="3" t="s">
        <v>1164</v>
      </c>
      <c r="B998" s="3" t="s">
        <v>2</v>
      </c>
      <c r="C998" s="3" t="s">
        <v>3</v>
      </c>
      <c r="D998" s="4"/>
      <c r="E998" s="4"/>
    </row>
    <row r="999">
      <c r="A999" s="3" t="s">
        <v>1165</v>
      </c>
      <c r="B999" s="3" t="s">
        <v>22</v>
      </c>
      <c r="C999" s="3" t="s">
        <v>3</v>
      </c>
      <c r="D999" s="4"/>
      <c r="E999" s="4"/>
    </row>
    <row r="1000">
      <c r="A1000" s="3" t="s">
        <v>1166</v>
      </c>
      <c r="B1000" s="3" t="s">
        <v>2</v>
      </c>
      <c r="C1000" s="3" t="s">
        <v>3</v>
      </c>
      <c r="D1000" s="4"/>
      <c r="E1000" s="4"/>
    </row>
    <row r="1001">
      <c r="A1001" s="3" t="s">
        <v>1167</v>
      </c>
      <c r="B1001" s="3" t="s">
        <v>2</v>
      </c>
      <c r="C1001" s="3" t="s">
        <v>3</v>
      </c>
      <c r="D1001" s="4"/>
      <c r="E1001" s="4"/>
    </row>
    <row r="1002">
      <c r="A1002" s="3" t="s">
        <v>1168</v>
      </c>
      <c r="B1002" s="3" t="s">
        <v>2</v>
      </c>
      <c r="C1002" s="3" t="s">
        <v>3</v>
      </c>
      <c r="D1002" s="4"/>
      <c r="E1002" s="4"/>
    </row>
    <row r="1003">
      <c r="A1003" s="3" t="s">
        <v>1169</v>
      </c>
      <c r="B1003" s="3" t="s">
        <v>2</v>
      </c>
      <c r="C1003" s="3" t="s">
        <v>3</v>
      </c>
      <c r="D1003" s="4"/>
      <c r="E1003" s="4"/>
    </row>
    <row r="1004">
      <c r="A1004" s="3" t="s">
        <v>1170</v>
      </c>
      <c r="B1004" s="3" t="s">
        <v>2</v>
      </c>
      <c r="C1004" s="3" t="s">
        <v>3</v>
      </c>
      <c r="D1004" s="4"/>
      <c r="E1004" s="4"/>
    </row>
    <row r="1005">
      <c r="A1005" s="3" t="s">
        <v>1171</v>
      </c>
      <c r="B1005" s="3" t="s">
        <v>2</v>
      </c>
      <c r="C1005" s="3" t="s">
        <v>3</v>
      </c>
      <c r="D1005" s="4"/>
      <c r="E1005" s="4"/>
    </row>
    <row r="1006">
      <c r="A1006" s="3" t="s">
        <v>1172</v>
      </c>
      <c r="B1006" s="3" t="s">
        <v>2</v>
      </c>
      <c r="C1006" s="3" t="s">
        <v>6</v>
      </c>
      <c r="D1006" s="4"/>
      <c r="E1006" s="4"/>
    </row>
    <row r="1007">
      <c r="A1007" s="3" t="s">
        <v>1173</v>
      </c>
      <c r="B1007" s="3" t="s">
        <v>2</v>
      </c>
      <c r="C1007" s="3" t="s">
        <v>3</v>
      </c>
      <c r="D1007" s="4"/>
      <c r="E1007" s="4"/>
    </row>
    <row r="1008">
      <c r="A1008" s="3" t="s">
        <v>1174</v>
      </c>
      <c r="B1008" s="3" t="s">
        <v>2</v>
      </c>
      <c r="C1008" s="3" t="s">
        <v>3</v>
      </c>
      <c r="D1008" s="4"/>
      <c r="E1008" s="4"/>
    </row>
    <row r="1009">
      <c r="A1009" s="3" t="s">
        <v>1175</v>
      </c>
      <c r="B1009" s="3" t="s">
        <v>18</v>
      </c>
      <c r="C1009" s="4"/>
      <c r="D1009" s="4"/>
      <c r="E1009" s="4"/>
    </row>
    <row r="1010">
      <c r="A1010" s="3" t="s">
        <v>1176</v>
      </c>
      <c r="B1010" s="4"/>
      <c r="C1010" s="4"/>
      <c r="D1010" s="4"/>
      <c r="E1010" s="4"/>
    </row>
    <row r="1011">
      <c r="A1011" s="3" t="s">
        <v>1177</v>
      </c>
      <c r="B1011" s="3" t="s">
        <v>398</v>
      </c>
      <c r="C1011" s="3" t="s">
        <v>3</v>
      </c>
      <c r="D1011" s="4"/>
      <c r="E1011" s="4"/>
    </row>
    <row r="1012">
      <c r="A1012" s="3" t="s">
        <v>1178</v>
      </c>
      <c r="B1012" s="3" t="s">
        <v>13</v>
      </c>
      <c r="C1012" s="4"/>
      <c r="D1012" s="4"/>
      <c r="E1012" s="4"/>
    </row>
    <row r="1013">
      <c r="A1013" s="3" t="s">
        <v>1179</v>
      </c>
      <c r="B1013" s="3" t="s">
        <v>1180</v>
      </c>
      <c r="C1013" s="4"/>
      <c r="D1013" s="4"/>
      <c r="E1013" s="4"/>
    </row>
    <row r="1014">
      <c r="A1014" s="3" t="s">
        <v>1181</v>
      </c>
      <c r="B1014" s="3" t="s">
        <v>11</v>
      </c>
      <c r="C1014" s="4"/>
      <c r="D1014" s="4"/>
      <c r="E1014" s="4"/>
    </row>
    <row r="1015">
      <c r="A1015" s="3" t="s">
        <v>1182</v>
      </c>
      <c r="B1015" s="3" t="s">
        <v>18</v>
      </c>
      <c r="C1015" s="4"/>
      <c r="D1015" s="4"/>
      <c r="E1015" s="4"/>
    </row>
    <row r="1016">
      <c r="A1016" s="3" t="s">
        <v>1183</v>
      </c>
      <c r="B1016" s="3" t="s">
        <v>2</v>
      </c>
      <c r="C1016" s="3" t="s">
        <v>3</v>
      </c>
      <c r="D1016" s="4"/>
      <c r="E1016" s="4"/>
    </row>
    <row r="1017">
      <c r="A1017" s="3" t="s">
        <v>1184</v>
      </c>
      <c r="B1017" s="3" t="s">
        <v>1185</v>
      </c>
      <c r="C1017" s="3" t="s">
        <v>37</v>
      </c>
      <c r="D1017" s="4"/>
      <c r="E1017" s="4"/>
    </row>
    <row r="1018">
      <c r="A1018" s="4"/>
      <c r="B1018" s="4"/>
      <c r="C1018" s="3" t="s">
        <v>38</v>
      </c>
      <c r="D1018" s="4"/>
      <c r="E1018" s="4"/>
    </row>
    <row r="1019">
      <c r="A1019" s="3" t="s">
        <v>1186</v>
      </c>
      <c r="B1019" s="3" t="s">
        <v>2</v>
      </c>
      <c r="C1019" s="3" t="s">
        <v>6</v>
      </c>
      <c r="D1019" s="4"/>
      <c r="E1019" s="4"/>
    </row>
    <row r="1020">
      <c r="A1020" s="3" t="s">
        <v>1187</v>
      </c>
      <c r="B1020" s="3" t="s">
        <v>698</v>
      </c>
      <c r="C1020" s="3" t="s">
        <v>32</v>
      </c>
      <c r="D1020" s="4"/>
      <c r="E1020" s="4"/>
    </row>
    <row r="1021">
      <c r="A1021" s="3" t="s">
        <v>1188</v>
      </c>
      <c r="B1021" s="3" t="s">
        <v>1189</v>
      </c>
      <c r="C1021" s="3" t="s">
        <v>32</v>
      </c>
      <c r="D1021" s="4"/>
      <c r="E1021" s="4"/>
    </row>
    <row r="1022">
      <c r="A1022" s="3" t="s">
        <v>1190</v>
      </c>
      <c r="B1022" s="3" t="s">
        <v>2</v>
      </c>
      <c r="C1022" s="3" t="s">
        <v>3</v>
      </c>
      <c r="D1022" s="4"/>
      <c r="E1022" s="4"/>
    </row>
    <row r="1023">
      <c r="A1023" s="3" t="s">
        <v>1191</v>
      </c>
      <c r="B1023" s="3" t="s">
        <v>2</v>
      </c>
      <c r="C1023" s="3" t="s">
        <v>6</v>
      </c>
      <c r="D1023" s="4"/>
      <c r="E1023" s="4"/>
    </row>
    <row r="1024">
      <c r="A1024" s="3" t="s">
        <v>1192</v>
      </c>
      <c r="B1024" s="3" t="s">
        <v>79</v>
      </c>
      <c r="C1024" s="3" t="s">
        <v>29</v>
      </c>
      <c r="D1024" s="4"/>
      <c r="E1024" s="4"/>
    </row>
    <row r="1025">
      <c r="A1025" s="3" t="s">
        <v>1193</v>
      </c>
      <c r="B1025" s="3" t="s">
        <v>115</v>
      </c>
      <c r="C1025" s="4"/>
      <c r="D1025" s="4"/>
      <c r="E1025" s="4"/>
    </row>
    <row r="1026">
      <c r="A1026" s="3" t="s">
        <v>1194</v>
      </c>
      <c r="B1026" s="3" t="s">
        <v>940</v>
      </c>
      <c r="C1026" s="4"/>
      <c r="D1026" s="4"/>
      <c r="E1026" s="4"/>
    </row>
    <row r="1027">
      <c r="A1027" s="3" t="s">
        <v>1195</v>
      </c>
      <c r="B1027" s="3" t="s">
        <v>2</v>
      </c>
      <c r="C1027" s="3" t="s">
        <v>3</v>
      </c>
      <c r="D1027" s="4"/>
      <c r="E1027" s="4"/>
    </row>
    <row r="1028">
      <c r="A1028" s="3" t="s">
        <v>1196</v>
      </c>
      <c r="B1028" s="3" t="s">
        <v>18</v>
      </c>
      <c r="C1028" s="4"/>
      <c r="D1028" s="4"/>
      <c r="E1028" s="4"/>
    </row>
    <row r="1029">
      <c r="A1029" s="3" t="s">
        <v>1197</v>
      </c>
      <c r="B1029" s="3" t="s">
        <v>2</v>
      </c>
      <c r="C1029" s="3" t="s">
        <v>3</v>
      </c>
      <c r="D1029" s="4"/>
      <c r="E1029" s="4"/>
    </row>
    <row r="1030">
      <c r="A1030" s="3" t="s">
        <v>1198</v>
      </c>
      <c r="B1030" s="4"/>
      <c r="C1030" s="4"/>
      <c r="D1030" s="4"/>
      <c r="E1030" s="4"/>
    </row>
    <row r="1031">
      <c r="A1031" s="3" t="s">
        <v>1199</v>
      </c>
      <c r="B1031" s="3" t="s">
        <v>2</v>
      </c>
      <c r="C1031" s="3" t="s">
        <v>3</v>
      </c>
      <c r="D1031" s="4"/>
      <c r="E1031" s="4"/>
    </row>
    <row r="1032">
      <c r="A1032" s="3" t="s">
        <v>1200</v>
      </c>
      <c r="B1032" s="4"/>
      <c r="C1032" s="4"/>
      <c r="D1032" s="4"/>
      <c r="E1032" s="4"/>
    </row>
    <row r="1033">
      <c r="A1033" s="3" t="s">
        <v>1201</v>
      </c>
      <c r="B1033" s="3" t="s">
        <v>2</v>
      </c>
      <c r="C1033" s="3" t="s">
        <v>16</v>
      </c>
      <c r="D1033" s="4"/>
      <c r="E1033" s="4"/>
    </row>
    <row r="1034">
      <c r="A1034" s="3" t="s">
        <v>1202</v>
      </c>
      <c r="B1034" s="3" t="s">
        <v>2</v>
      </c>
      <c r="C1034" s="3" t="s">
        <v>32</v>
      </c>
      <c r="D1034" s="4"/>
      <c r="E1034" s="4"/>
    </row>
    <row r="1035">
      <c r="A1035" s="3" t="s">
        <v>1203</v>
      </c>
      <c r="B1035" s="3" t="s">
        <v>1204</v>
      </c>
      <c r="C1035" s="4"/>
      <c r="D1035" s="4"/>
      <c r="E1035" s="4"/>
    </row>
    <row r="1036">
      <c r="A1036" s="3" t="s">
        <v>1205</v>
      </c>
      <c r="B1036" s="3" t="s">
        <v>1206</v>
      </c>
      <c r="C1036" s="4"/>
      <c r="D1036" s="4"/>
      <c r="E1036" s="4"/>
    </row>
    <row r="1037">
      <c r="A1037" s="3" t="s">
        <v>33</v>
      </c>
      <c r="B1037" s="4"/>
      <c r="C1037" s="4"/>
      <c r="D1037" s="4"/>
      <c r="E1037" s="4"/>
    </row>
    <row r="1038">
      <c r="A1038" s="3" t="s">
        <v>1207</v>
      </c>
      <c r="B1038" s="3" t="s">
        <v>11</v>
      </c>
      <c r="C1038" s="4"/>
      <c r="D1038" s="4"/>
      <c r="E1038" s="4"/>
    </row>
    <row r="1039">
      <c r="A1039" s="3" t="s">
        <v>1208</v>
      </c>
      <c r="B1039" s="4"/>
      <c r="C1039" s="4"/>
      <c r="D1039" s="4"/>
      <c r="E1039" s="4"/>
    </row>
    <row r="1040">
      <c r="A1040" s="3" t="s">
        <v>1209</v>
      </c>
      <c r="B1040" s="3" t="s">
        <v>65</v>
      </c>
      <c r="C1040" s="4"/>
      <c r="D1040" s="4"/>
      <c r="E1040" s="4"/>
    </row>
    <row r="1041">
      <c r="A1041" s="3" t="s">
        <v>1210</v>
      </c>
      <c r="B1041" s="3" t="s">
        <v>2</v>
      </c>
      <c r="C1041" s="3" t="s">
        <v>3</v>
      </c>
      <c r="D1041" s="4"/>
      <c r="E1041" s="4"/>
    </row>
    <row r="1042">
      <c r="A1042" s="3" t="s">
        <v>1211</v>
      </c>
      <c r="B1042" s="4"/>
      <c r="C1042" s="4"/>
      <c r="D1042" s="4"/>
      <c r="E1042" s="4"/>
    </row>
    <row r="1043">
      <c r="A1043" s="3" t="s">
        <v>1212</v>
      </c>
      <c r="B1043" s="3" t="s">
        <v>125</v>
      </c>
      <c r="C1043" s="3" t="s">
        <v>3</v>
      </c>
      <c r="D1043" s="4"/>
      <c r="E1043" s="4"/>
    </row>
    <row r="1044">
      <c r="A1044" s="3" t="s">
        <v>1213</v>
      </c>
      <c r="B1044" s="4"/>
      <c r="C1044" s="4"/>
      <c r="D1044" s="4"/>
      <c r="E1044" s="4"/>
    </row>
    <row r="1045">
      <c r="A1045" s="3" t="s">
        <v>1214</v>
      </c>
      <c r="B1045" s="3" t="s">
        <v>42</v>
      </c>
      <c r="C1045" s="3" t="s">
        <v>29</v>
      </c>
      <c r="D1045" s="4"/>
      <c r="E1045" s="4"/>
    </row>
    <row r="1046">
      <c r="A1046" s="3" t="s">
        <v>1215</v>
      </c>
      <c r="B1046" s="3" t="s">
        <v>2</v>
      </c>
      <c r="C1046" s="3" t="s">
        <v>29</v>
      </c>
      <c r="D1046" s="4"/>
      <c r="E1046" s="4"/>
    </row>
    <row r="1047">
      <c r="A1047" s="3" t="s">
        <v>1216</v>
      </c>
      <c r="B1047" s="3" t="s">
        <v>2</v>
      </c>
      <c r="C1047" s="3" t="s">
        <v>3</v>
      </c>
      <c r="D1047" s="4"/>
      <c r="E1047" s="4"/>
    </row>
    <row r="1048">
      <c r="A1048" s="3" t="s">
        <v>1217</v>
      </c>
      <c r="B1048" s="3" t="s">
        <v>2</v>
      </c>
      <c r="C1048" s="3" t="s">
        <v>29</v>
      </c>
      <c r="D1048" s="4"/>
      <c r="E1048" s="4"/>
    </row>
    <row r="1049">
      <c r="A1049" s="3" t="s">
        <v>1218</v>
      </c>
      <c r="B1049" s="3" t="s">
        <v>2</v>
      </c>
      <c r="C1049" s="3" t="s">
        <v>29</v>
      </c>
      <c r="D1049" s="4"/>
      <c r="E1049" s="4"/>
    </row>
    <row r="1050">
      <c r="A1050" s="3" t="s">
        <v>1219</v>
      </c>
      <c r="B1050" s="3" t="s">
        <v>2</v>
      </c>
      <c r="C1050" s="3" t="s">
        <v>26</v>
      </c>
      <c r="D1050" s="4"/>
      <c r="E1050" s="4"/>
    </row>
    <row r="1051">
      <c r="A1051" s="3" t="s">
        <v>1220</v>
      </c>
      <c r="B1051" s="3" t="s">
        <v>2</v>
      </c>
      <c r="C1051" s="3" t="s">
        <v>3</v>
      </c>
      <c r="D1051" s="4"/>
      <c r="E1051" s="4"/>
    </row>
    <row r="1052">
      <c r="A1052" s="3" t="s">
        <v>1221</v>
      </c>
      <c r="B1052" s="3" t="s">
        <v>2</v>
      </c>
      <c r="C1052" s="3" t="s">
        <v>3</v>
      </c>
      <c r="D1052" s="4"/>
      <c r="E1052" s="4"/>
    </row>
    <row r="1053">
      <c r="A1053" s="3" t="s">
        <v>1222</v>
      </c>
      <c r="B1053" s="3" t="s">
        <v>2</v>
      </c>
      <c r="C1053" s="3" t="s">
        <v>6</v>
      </c>
      <c r="D1053" s="4"/>
      <c r="E1053" s="4"/>
    </row>
    <row r="1054">
      <c r="A1054" s="3" t="s">
        <v>1223</v>
      </c>
      <c r="B1054" s="3" t="s">
        <v>22</v>
      </c>
      <c r="C1054" s="3" t="s">
        <v>3</v>
      </c>
      <c r="D1054" s="4"/>
      <c r="E1054" s="4"/>
    </row>
    <row r="1055">
      <c r="A1055" s="3" t="s">
        <v>1224</v>
      </c>
      <c r="B1055" s="3" t="s">
        <v>2</v>
      </c>
      <c r="C1055" s="3" t="s">
        <v>6</v>
      </c>
      <c r="D1055" s="4"/>
      <c r="E1055" s="4"/>
    </row>
    <row r="1056">
      <c r="A1056" s="3" t="s">
        <v>1225</v>
      </c>
      <c r="B1056" s="3" t="s">
        <v>2</v>
      </c>
      <c r="C1056" s="3" t="s">
        <v>3</v>
      </c>
      <c r="D1056" s="4"/>
      <c r="E1056" s="4"/>
    </row>
    <row r="1057">
      <c r="A1057" s="3" t="s">
        <v>1226</v>
      </c>
      <c r="B1057" s="3" t="s">
        <v>2</v>
      </c>
      <c r="C1057" s="3" t="s">
        <v>29</v>
      </c>
      <c r="D1057" s="4"/>
      <c r="E1057" s="4"/>
    </row>
    <row r="1058">
      <c r="A1058" s="3" t="s">
        <v>1227</v>
      </c>
      <c r="B1058" s="3" t="s">
        <v>1228</v>
      </c>
      <c r="C1058" s="4"/>
      <c r="D1058" s="4"/>
      <c r="E1058" s="4"/>
    </row>
    <row r="1059">
      <c r="A1059" s="3" t="s">
        <v>1229</v>
      </c>
      <c r="B1059" s="3" t="s">
        <v>2</v>
      </c>
      <c r="C1059" s="3" t="s">
        <v>6</v>
      </c>
      <c r="D1059" s="4"/>
      <c r="E1059" s="4"/>
    </row>
    <row r="1060">
      <c r="A1060" s="3" t="s">
        <v>1230</v>
      </c>
      <c r="B1060" s="3" t="s">
        <v>2</v>
      </c>
      <c r="C1060" s="3" t="s">
        <v>3</v>
      </c>
      <c r="D1060" s="4"/>
      <c r="E1060" s="4"/>
    </row>
    <row r="1061">
      <c r="A1061" s="3" t="s">
        <v>1231</v>
      </c>
      <c r="B1061" s="4"/>
      <c r="C1061" s="4"/>
      <c r="D1061" s="4"/>
      <c r="E1061" s="4"/>
    </row>
    <row r="1062">
      <c r="A1062" s="3" t="s">
        <v>1232</v>
      </c>
      <c r="B1062" s="3" t="s">
        <v>2</v>
      </c>
      <c r="C1062" s="3" t="s">
        <v>29</v>
      </c>
      <c r="D1062" s="4"/>
      <c r="E1062" s="4"/>
    </row>
    <row r="1063">
      <c r="A1063" s="3" t="s">
        <v>1233</v>
      </c>
      <c r="B1063" s="3" t="s">
        <v>2</v>
      </c>
      <c r="C1063" s="3" t="s">
        <v>3</v>
      </c>
      <c r="D1063" s="4"/>
      <c r="E1063" s="4"/>
    </row>
    <row r="1064">
      <c r="A1064" s="3" t="s">
        <v>1234</v>
      </c>
      <c r="B1064" s="3" t="s">
        <v>1235</v>
      </c>
      <c r="C1064" s="3" t="s">
        <v>26</v>
      </c>
      <c r="D1064" s="4"/>
      <c r="E1064" s="4"/>
    </row>
    <row r="1065">
      <c r="A1065" s="3" t="s">
        <v>1236</v>
      </c>
      <c r="B1065" s="3" t="s">
        <v>2</v>
      </c>
      <c r="C1065" s="3" t="s">
        <v>6</v>
      </c>
      <c r="D1065" s="4"/>
      <c r="E1065" s="4"/>
    </row>
    <row r="1066">
      <c r="A1066" s="3" t="s">
        <v>1237</v>
      </c>
      <c r="B1066" s="3" t="s">
        <v>2</v>
      </c>
      <c r="C1066" s="3" t="s">
        <v>32</v>
      </c>
      <c r="D1066" s="4"/>
      <c r="E1066" s="4"/>
    </row>
    <row r="1067">
      <c r="A1067" s="3" t="s">
        <v>1238</v>
      </c>
      <c r="B1067" s="3" t="s">
        <v>65</v>
      </c>
      <c r="C1067" s="4"/>
      <c r="D1067" s="4"/>
      <c r="E1067" s="4"/>
    </row>
    <row r="1068">
      <c r="A1068" s="3" t="s">
        <v>1239</v>
      </c>
      <c r="B1068" s="3" t="s">
        <v>2</v>
      </c>
      <c r="C1068" s="3" t="s">
        <v>3</v>
      </c>
      <c r="D1068" s="4"/>
      <c r="E1068" s="4"/>
    </row>
    <row r="1069">
      <c r="A1069" s="3" t="s">
        <v>1240</v>
      </c>
      <c r="B1069" s="3" t="s">
        <v>2</v>
      </c>
      <c r="C1069" s="3" t="s">
        <v>3</v>
      </c>
      <c r="D1069" s="4"/>
      <c r="E1069" s="4"/>
    </row>
    <row r="1070">
      <c r="A1070" s="3" t="s">
        <v>1241</v>
      </c>
      <c r="B1070" s="3" t="s">
        <v>45</v>
      </c>
      <c r="C1070" s="4"/>
      <c r="D1070" s="4"/>
      <c r="E1070" s="4"/>
    </row>
    <row r="1071">
      <c r="A1071" s="3" t="s">
        <v>1242</v>
      </c>
      <c r="B1071" s="3" t="s">
        <v>47</v>
      </c>
      <c r="C1071" s="3" t="s">
        <v>3</v>
      </c>
      <c r="D1071" s="4"/>
      <c r="E1071" s="4"/>
    </row>
    <row r="1072">
      <c r="A1072" s="3" t="s">
        <v>1243</v>
      </c>
      <c r="B1072" s="3" t="s">
        <v>533</v>
      </c>
      <c r="C1072" s="3" t="s">
        <v>26</v>
      </c>
      <c r="D1072" s="4"/>
      <c r="E1072" s="4"/>
    </row>
    <row r="1073">
      <c r="A1073" s="3" t="s">
        <v>1244</v>
      </c>
      <c r="B1073" s="3" t="s">
        <v>22</v>
      </c>
      <c r="C1073" s="4"/>
      <c r="D1073" s="4"/>
      <c r="E1073" s="4"/>
    </row>
    <row r="1074">
      <c r="A1074" s="3" t="s">
        <v>1245</v>
      </c>
      <c r="B1074" s="3" t="s">
        <v>18</v>
      </c>
      <c r="C1074" s="4"/>
      <c r="D1074" s="4"/>
      <c r="E1074" s="4"/>
    </row>
    <row r="1075">
      <c r="A1075" s="3" t="s">
        <v>1246</v>
      </c>
      <c r="B1075" s="3" t="s">
        <v>162</v>
      </c>
      <c r="C1075" s="4"/>
      <c r="D1075" s="4"/>
      <c r="E1075" s="4"/>
    </row>
    <row r="1076">
      <c r="A1076" s="3" t="s">
        <v>1247</v>
      </c>
      <c r="B1076" s="3" t="s">
        <v>22</v>
      </c>
      <c r="C1076" s="4"/>
      <c r="D1076" s="4"/>
      <c r="E1076" s="4"/>
    </row>
    <row r="1077">
      <c r="A1077" s="3" t="s">
        <v>1248</v>
      </c>
      <c r="B1077" s="3" t="s">
        <v>172</v>
      </c>
      <c r="C1077" s="4"/>
      <c r="D1077" s="4"/>
      <c r="E1077" s="4"/>
    </row>
    <row r="1078">
      <c r="A1078" s="3" t="s">
        <v>1249</v>
      </c>
      <c r="B1078" s="3" t="s">
        <v>2</v>
      </c>
      <c r="C1078" s="3" t="s">
        <v>3</v>
      </c>
      <c r="D1078" s="4"/>
      <c r="E1078" s="4"/>
    </row>
    <row r="1079">
      <c r="A1079" s="3" t="s">
        <v>1250</v>
      </c>
      <c r="B1079" s="3" t="s">
        <v>2</v>
      </c>
      <c r="C1079" s="3" t="s">
        <v>3</v>
      </c>
      <c r="D1079" s="4"/>
      <c r="E1079" s="4"/>
    </row>
    <row r="1080">
      <c r="A1080" s="3" t="s">
        <v>1251</v>
      </c>
      <c r="B1080" s="4"/>
      <c r="C1080" s="4"/>
      <c r="D1080" s="4"/>
      <c r="E1080" s="4"/>
    </row>
    <row r="1081">
      <c r="A1081" s="3" t="s">
        <v>1252</v>
      </c>
      <c r="B1081" s="3" t="s">
        <v>125</v>
      </c>
      <c r="C1081" s="4"/>
      <c r="D1081" s="4"/>
      <c r="E1081" s="4"/>
    </row>
    <row r="1082">
      <c r="A1082" s="3" t="s">
        <v>1253</v>
      </c>
      <c r="B1082" s="3" t="s">
        <v>2</v>
      </c>
      <c r="C1082" s="3" t="s">
        <v>6</v>
      </c>
      <c r="D1082" s="4"/>
      <c r="E1082" s="4"/>
    </row>
    <row r="1083">
      <c r="A1083" s="3" t="s">
        <v>1254</v>
      </c>
      <c r="B1083" s="3" t="s">
        <v>2</v>
      </c>
      <c r="C1083" s="3" t="s">
        <v>484</v>
      </c>
      <c r="D1083" s="4"/>
      <c r="E1083" s="4"/>
    </row>
    <row r="1084">
      <c r="A1084" s="3" t="s">
        <v>1255</v>
      </c>
      <c r="B1084" s="3" t="s">
        <v>2</v>
      </c>
      <c r="C1084" s="3" t="s">
        <v>3</v>
      </c>
      <c r="D1084" s="4"/>
      <c r="E1084" s="4"/>
    </row>
    <row r="1085">
      <c r="A1085" s="3" t="s">
        <v>1256</v>
      </c>
      <c r="B1085" s="4"/>
      <c r="C1085" s="4"/>
      <c r="D1085" s="4"/>
      <c r="E1085" s="4"/>
    </row>
    <row r="1086">
      <c r="A1086" s="3" t="s">
        <v>1257</v>
      </c>
      <c r="B1086" s="3" t="s">
        <v>2</v>
      </c>
      <c r="C1086" s="3" t="s">
        <v>29</v>
      </c>
      <c r="D1086" s="4"/>
      <c r="E1086" s="4"/>
    </row>
    <row r="1087">
      <c r="A1087" s="3" t="s">
        <v>1258</v>
      </c>
      <c r="B1087" s="3" t="s">
        <v>65</v>
      </c>
      <c r="C1087" s="4"/>
      <c r="D1087" s="4"/>
      <c r="E1087" s="4"/>
    </row>
    <row r="1088">
      <c r="A1088" s="3" t="s">
        <v>1259</v>
      </c>
      <c r="B1088" s="3" t="s">
        <v>11</v>
      </c>
      <c r="C1088" s="3" t="s">
        <v>6</v>
      </c>
      <c r="D1088" s="4"/>
      <c r="E1088" s="4"/>
    </row>
    <row r="1089">
      <c r="A1089" s="3" t="s">
        <v>1260</v>
      </c>
      <c r="B1089" s="3" t="s">
        <v>1261</v>
      </c>
      <c r="C1089" s="4"/>
      <c r="D1089" s="4"/>
      <c r="E1089" s="4"/>
    </row>
    <row r="1090">
      <c r="A1090" s="3" t="s">
        <v>1262</v>
      </c>
      <c r="B1090" s="3" t="s">
        <v>1263</v>
      </c>
      <c r="C1090" s="4"/>
      <c r="D1090" s="4"/>
      <c r="E1090" s="4"/>
    </row>
    <row r="1091">
      <c r="A1091" s="3" t="s">
        <v>1264</v>
      </c>
      <c r="B1091" s="3" t="s">
        <v>1265</v>
      </c>
      <c r="C1091" s="4"/>
      <c r="D1091" s="4"/>
      <c r="E1091" s="4"/>
    </row>
    <row r="1092">
      <c r="A1092" s="3" t="s">
        <v>1266</v>
      </c>
      <c r="B1092" s="3" t="s">
        <v>2</v>
      </c>
      <c r="C1092" s="3" t="s">
        <v>3</v>
      </c>
      <c r="D1092" s="4"/>
      <c r="E1092" s="4"/>
    </row>
    <row r="1093">
      <c r="A1093" s="3" t="s">
        <v>1267</v>
      </c>
      <c r="B1093" s="3" t="s">
        <v>2</v>
      </c>
      <c r="C1093" s="3" t="s">
        <v>29</v>
      </c>
      <c r="D1093" s="4"/>
      <c r="E1093" s="4"/>
    </row>
    <row r="1094">
      <c r="A1094" s="3" t="s">
        <v>1268</v>
      </c>
      <c r="B1094" s="3" t="s">
        <v>2</v>
      </c>
      <c r="C1094" s="3" t="s">
        <v>6</v>
      </c>
      <c r="D1094" s="4"/>
      <c r="E1094" s="4"/>
    </row>
    <row r="1095">
      <c r="A1095" s="3" t="s">
        <v>1269</v>
      </c>
      <c r="B1095" s="3" t="s">
        <v>406</v>
      </c>
      <c r="C1095" s="4"/>
      <c r="D1095" s="4"/>
      <c r="E1095" s="4"/>
    </row>
    <row r="1096">
      <c r="A1096" s="3" t="s">
        <v>1270</v>
      </c>
      <c r="B1096" s="3" t="s">
        <v>1271</v>
      </c>
      <c r="C1096" s="3" t="s">
        <v>32</v>
      </c>
      <c r="D1096" s="4"/>
      <c r="E1096" s="4"/>
    </row>
    <row r="1097">
      <c r="A1097" s="3" t="s">
        <v>1272</v>
      </c>
      <c r="B1097" s="3" t="s">
        <v>575</v>
      </c>
      <c r="C1097" s="3" t="s">
        <v>3</v>
      </c>
      <c r="D1097" s="4"/>
      <c r="E1097" s="4"/>
    </row>
    <row r="1098">
      <c r="A1098" s="3" t="s">
        <v>1273</v>
      </c>
      <c r="B1098" s="3" t="s">
        <v>1274</v>
      </c>
      <c r="C1098" s="3" t="s">
        <v>3</v>
      </c>
      <c r="D1098" s="4"/>
      <c r="E1098" s="4"/>
    </row>
    <row r="1099">
      <c r="A1099" s="3" t="s">
        <v>1275</v>
      </c>
      <c r="B1099" s="3" t="s">
        <v>2</v>
      </c>
      <c r="C1099" s="3" t="s">
        <v>29</v>
      </c>
      <c r="D1099" s="4"/>
      <c r="E1099" s="4"/>
    </row>
    <row r="1100">
      <c r="A1100" s="3" t="s">
        <v>1276</v>
      </c>
      <c r="B1100" s="3" t="s">
        <v>2</v>
      </c>
      <c r="C1100" s="3" t="s">
        <v>3</v>
      </c>
      <c r="D1100" s="4"/>
      <c r="E1100" s="4"/>
    </row>
    <row r="1101">
      <c r="A1101" s="3" t="s">
        <v>1277</v>
      </c>
      <c r="B1101" s="3" t="s">
        <v>1040</v>
      </c>
      <c r="C1101" s="3" t="s">
        <v>16</v>
      </c>
      <c r="D1101" s="4"/>
      <c r="E1101" s="4"/>
    </row>
    <row r="1102">
      <c r="A1102" s="3" t="s">
        <v>1278</v>
      </c>
      <c r="B1102" s="3" t="s">
        <v>51</v>
      </c>
      <c r="C1102" s="4"/>
      <c r="D1102" s="4"/>
      <c r="E1102" s="4"/>
    </row>
    <row r="1103">
      <c r="A1103" s="3" t="s">
        <v>1279</v>
      </c>
      <c r="B1103" s="3" t="s">
        <v>72</v>
      </c>
      <c r="C1103" s="4"/>
      <c r="D1103" s="4"/>
      <c r="E1103" s="4"/>
    </row>
    <row r="1104">
      <c r="A1104" s="3" t="s">
        <v>1280</v>
      </c>
      <c r="B1104" s="3" t="s">
        <v>2</v>
      </c>
      <c r="C1104" s="3" t="s">
        <v>3</v>
      </c>
      <c r="D1104" s="4"/>
      <c r="E1104" s="4"/>
    </row>
    <row r="1105">
      <c r="A1105" s="3" t="s">
        <v>1281</v>
      </c>
      <c r="B1105" s="3" t="s">
        <v>22</v>
      </c>
      <c r="C1105" s="3" t="s">
        <v>3</v>
      </c>
      <c r="D1105" s="4"/>
      <c r="E1105" s="4"/>
    </row>
    <row r="1106">
      <c r="A1106" s="3" t="s">
        <v>1282</v>
      </c>
      <c r="B1106" s="3" t="s">
        <v>2</v>
      </c>
      <c r="C1106" s="3" t="s">
        <v>3</v>
      </c>
      <c r="D1106" s="4"/>
      <c r="E1106" s="4"/>
    </row>
    <row r="1107">
      <c r="A1107" s="3" t="s">
        <v>1283</v>
      </c>
      <c r="B1107" s="3" t="s">
        <v>2</v>
      </c>
      <c r="C1107" s="3" t="s">
        <v>3</v>
      </c>
      <c r="D1107" s="4"/>
      <c r="E1107" s="4"/>
    </row>
    <row r="1108">
      <c r="A1108" s="3" t="s">
        <v>1284</v>
      </c>
      <c r="B1108" s="3" t="s">
        <v>2</v>
      </c>
      <c r="C1108" s="3" t="s">
        <v>32</v>
      </c>
      <c r="D1108" s="4"/>
      <c r="E1108" s="4"/>
    </row>
    <row r="1109">
      <c r="A1109" s="3" t="s">
        <v>1285</v>
      </c>
      <c r="B1109" s="3" t="s">
        <v>1286</v>
      </c>
      <c r="C1109" s="4"/>
      <c r="D1109" s="4"/>
      <c r="E1109" s="4"/>
    </row>
    <row r="1110">
      <c r="A1110" s="3" t="s">
        <v>1287</v>
      </c>
      <c r="B1110" s="3" t="s">
        <v>115</v>
      </c>
      <c r="C1110" s="3" t="s">
        <v>3</v>
      </c>
      <c r="D1110" s="4"/>
      <c r="E1110" s="4"/>
    </row>
    <row r="1111">
      <c r="A1111" s="3" t="s">
        <v>1288</v>
      </c>
      <c r="B1111" s="3" t="s">
        <v>1289</v>
      </c>
      <c r="C1111" s="3" t="s">
        <v>32</v>
      </c>
      <c r="D1111" s="4"/>
      <c r="E1111" s="4"/>
    </row>
    <row r="1112">
      <c r="A1112" s="3" t="s">
        <v>1290</v>
      </c>
      <c r="B1112" s="3" t="s">
        <v>22</v>
      </c>
      <c r="C1112" s="3" t="s">
        <v>3</v>
      </c>
      <c r="D1112" s="4"/>
      <c r="E1112" s="4"/>
    </row>
    <row r="1113">
      <c r="A1113" s="3" t="s">
        <v>1291</v>
      </c>
      <c r="B1113" s="3" t="s">
        <v>2</v>
      </c>
      <c r="C1113" s="3" t="s">
        <v>29</v>
      </c>
      <c r="D1113" s="4"/>
      <c r="E1113" s="4"/>
    </row>
    <row r="1114">
      <c r="A1114" s="3" t="s">
        <v>1292</v>
      </c>
      <c r="B1114" s="3" t="s">
        <v>2</v>
      </c>
      <c r="C1114" s="3" t="s">
        <v>3</v>
      </c>
      <c r="D1114" s="4"/>
      <c r="E1114" s="4"/>
    </row>
    <row r="1115">
      <c r="A1115" s="3" t="s">
        <v>1293</v>
      </c>
      <c r="B1115" s="3" t="s">
        <v>1294</v>
      </c>
      <c r="C1115" s="3" t="s">
        <v>29</v>
      </c>
      <c r="D1115" s="4"/>
      <c r="E1115" s="4"/>
    </row>
    <row r="1116">
      <c r="A1116" s="3" t="s">
        <v>1295</v>
      </c>
      <c r="B1116" s="3" t="s">
        <v>2</v>
      </c>
      <c r="C1116" s="3" t="s">
        <v>3</v>
      </c>
      <c r="D1116" s="4"/>
      <c r="E1116" s="4"/>
    </row>
    <row r="1117">
      <c r="A1117" s="3" t="s">
        <v>1296</v>
      </c>
      <c r="B1117" s="3" t="s">
        <v>2</v>
      </c>
      <c r="C1117" s="3" t="s">
        <v>3</v>
      </c>
      <c r="D1117" s="4"/>
      <c r="E1117" s="4"/>
    </row>
    <row r="1118">
      <c r="A1118" s="3" t="s">
        <v>1297</v>
      </c>
      <c r="B1118" s="3" t="s">
        <v>2</v>
      </c>
      <c r="C1118" s="3" t="s">
        <v>3</v>
      </c>
      <c r="D1118" s="4"/>
      <c r="E1118" s="4"/>
    </row>
    <row r="1119">
      <c r="A1119" s="3" t="s">
        <v>1298</v>
      </c>
      <c r="B1119" s="3" t="s">
        <v>2</v>
      </c>
      <c r="C1119" s="3" t="s">
        <v>3</v>
      </c>
      <c r="D1119" s="4"/>
      <c r="E1119" s="4"/>
    </row>
    <row r="1120">
      <c r="A1120" s="3" t="s">
        <v>1299</v>
      </c>
      <c r="B1120" s="3" t="s">
        <v>2</v>
      </c>
      <c r="C1120" s="3" t="s">
        <v>3</v>
      </c>
      <c r="D1120" s="4"/>
      <c r="E1120" s="4"/>
    </row>
    <row r="1121">
      <c r="A1121" s="3" t="s">
        <v>1300</v>
      </c>
      <c r="B1121" s="3" t="s">
        <v>20</v>
      </c>
      <c r="C1121" s="3" t="s">
        <v>6</v>
      </c>
      <c r="D1121" s="4"/>
      <c r="E1121" s="4"/>
    </row>
    <row r="1122">
      <c r="A1122" s="3" t="s">
        <v>1301</v>
      </c>
      <c r="B1122" s="3" t="s">
        <v>2</v>
      </c>
      <c r="C1122" s="3" t="s">
        <v>3</v>
      </c>
      <c r="D1122" s="4"/>
      <c r="E1122" s="4"/>
    </row>
    <row r="1123">
      <c r="A1123" s="3" t="s">
        <v>1302</v>
      </c>
      <c r="B1123" s="3" t="s">
        <v>2</v>
      </c>
      <c r="C1123" s="3" t="s">
        <v>29</v>
      </c>
      <c r="D1123" s="4"/>
      <c r="E1123" s="4"/>
    </row>
    <row r="1124">
      <c r="A1124" s="3" t="s">
        <v>1303</v>
      </c>
      <c r="B1124" s="3" t="s">
        <v>18</v>
      </c>
      <c r="C1124" s="3" t="s">
        <v>6</v>
      </c>
      <c r="D1124" s="4"/>
      <c r="E1124" s="4"/>
    </row>
    <row r="1125">
      <c r="A1125" s="3" t="s">
        <v>1304</v>
      </c>
      <c r="B1125" s="3" t="s">
        <v>1265</v>
      </c>
      <c r="C1125" s="3" t="s">
        <v>3</v>
      </c>
      <c r="D1125" s="4"/>
      <c r="E1125" s="4"/>
    </row>
    <row r="1126">
      <c r="A1126" s="3" t="s">
        <v>1305</v>
      </c>
      <c r="B1126" s="3" t="s">
        <v>20</v>
      </c>
      <c r="C1126" s="3" t="s">
        <v>3</v>
      </c>
      <c r="D1126" s="4"/>
      <c r="E1126" s="4"/>
    </row>
    <row r="1127">
      <c r="A1127" s="3" t="s">
        <v>1306</v>
      </c>
      <c r="B1127" s="3" t="s">
        <v>579</v>
      </c>
      <c r="C1127" s="4"/>
      <c r="D1127" s="4"/>
      <c r="E1127" s="4"/>
    </row>
    <row r="1128">
      <c r="A1128" s="3" t="s">
        <v>1307</v>
      </c>
      <c r="B1128" s="3" t="s">
        <v>2</v>
      </c>
      <c r="C1128" s="3" t="s">
        <v>32</v>
      </c>
      <c r="D1128" s="4"/>
      <c r="E1128" s="4"/>
    </row>
    <row r="1129">
      <c r="A1129" s="3" t="s">
        <v>1308</v>
      </c>
      <c r="B1129" s="3" t="s">
        <v>22</v>
      </c>
      <c r="C1129" s="4"/>
      <c r="D1129" s="4"/>
      <c r="E1129" s="4"/>
    </row>
    <row r="1130">
      <c r="A1130" s="3" t="s">
        <v>1309</v>
      </c>
      <c r="B1130" s="3" t="s">
        <v>2</v>
      </c>
      <c r="C1130" s="3" t="s">
        <v>3</v>
      </c>
      <c r="D1130" s="4"/>
      <c r="E1130" s="4"/>
    </row>
    <row r="1131">
      <c r="A1131" s="3" t="s">
        <v>1310</v>
      </c>
      <c r="B1131" s="3" t="s">
        <v>2</v>
      </c>
      <c r="C1131" s="3" t="s">
        <v>6</v>
      </c>
      <c r="D1131" s="4"/>
      <c r="E1131" s="4"/>
    </row>
    <row r="1132">
      <c r="A1132" s="3" t="s">
        <v>1311</v>
      </c>
      <c r="B1132" s="3" t="s">
        <v>2</v>
      </c>
      <c r="C1132" s="3" t="s">
        <v>3</v>
      </c>
      <c r="D1132" s="4"/>
      <c r="E1132" s="4"/>
    </row>
    <row r="1133">
      <c r="A1133" s="3" t="s">
        <v>1312</v>
      </c>
      <c r="B1133" s="3" t="s">
        <v>18</v>
      </c>
      <c r="C1133" s="3" t="s">
        <v>3</v>
      </c>
      <c r="D1133" s="4"/>
      <c r="E1133" s="4"/>
    </row>
    <row r="1134">
      <c r="A1134" s="3" t="s">
        <v>1313</v>
      </c>
      <c r="B1134" s="3" t="s">
        <v>2</v>
      </c>
      <c r="C1134" s="3" t="s">
        <v>3</v>
      </c>
      <c r="D1134" s="4"/>
      <c r="E1134" s="4"/>
    </row>
    <row r="1135">
      <c r="A1135" s="3" t="s">
        <v>1314</v>
      </c>
      <c r="B1135" s="3" t="s">
        <v>115</v>
      </c>
      <c r="C1135" s="4"/>
      <c r="D1135" s="4"/>
      <c r="E1135" s="4"/>
    </row>
    <row r="1136">
      <c r="A1136" s="3" t="s">
        <v>1315</v>
      </c>
      <c r="B1136" s="3" t="s">
        <v>940</v>
      </c>
      <c r="C1136" s="3" t="s">
        <v>3</v>
      </c>
      <c r="D1136" s="4"/>
      <c r="E1136" s="4"/>
    </row>
    <row r="1137">
      <c r="A1137" s="3" t="s">
        <v>1316</v>
      </c>
      <c r="B1137" s="3" t="s">
        <v>2</v>
      </c>
      <c r="C1137" s="3" t="s">
        <v>3</v>
      </c>
      <c r="D1137" s="4"/>
      <c r="E1137" s="4"/>
    </row>
    <row r="1138">
      <c r="A1138" s="3" t="s">
        <v>1317</v>
      </c>
      <c r="B1138" s="3" t="s">
        <v>2</v>
      </c>
      <c r="C1138" s="3" t="s">
        <v>6</v>
      </c>
      <c r="D1138" s="4"/>
      <c r="E1138" s="4"/>
    </row>
    <row r="1139">
      <c r="A1139" s="3" t="s">
        <v>1318</v>
      </c>
      <c r="B1139" s="3" t="s">
        <v>20</v>
      </c>
      <c r="C1139" s="4"/>
      <c r="D1139" s="4"/>
      <c r="E1139" s="4"/>
    </row>
    <row r="1140">
      <c r="A1140" s="3" t="s">
        <v>1319</v>
      </c>
      <c r="B1140" s="3" t="s">
        <v>2</v>
      </c>
      <c r="C1140" s="3" t="s">
        <v>3</v>
      </c>
      <c r="D1140" s="4"/>
      <c r="E1140" s="4"/>
    </row>
    <row r="1141">
      <c r="A1141" s="3" t="s">
        <v>1320</v>
      </c>
      <c r="B1141" s="4"/>
      <c r="C1141" s="4"/>
      <c r="D1141" s="4"/>
      <c r="E1141" s="4"/>
    </row>
    <row r="1142">
      <c r="A1142" s="3" t="s">
        <v>1321</v>
      </c>
      <c r="B1142" s="3" t="s">
        <v>623</v>
      </c>
      <c r="C1142" s="4"/>
      <c r="D1142" s="4"/>
      <c r="E1142" s="4"/>
    </row>
    <row r="1143">
      <c r="A1143" s="3" t="s">
        <v>1322</v>
      </c>
      <c r="B1143" s="3" t="s">
        <v>936</v>
      </c>
      <c r="C1143" s="3" t="s">
        <v>3</v>
      </c>
      <c r="D1143" s="4"/>
      <c r="E1143" s="4"/>
    </row>
    <row r="1144">
      <c r="A1144" s="3" t="s">
        <v>1323</v>
      </c>
      <c r="B1144" s="3" t="s">
        <v>2</v>
      </c>
      <c r="C1144" s="3" t="s">
        <v>3</v>
      </c>
      <c r="D1144" s="4"/>
      <c r="E1144" s="4"/>
    </row>
    <row r="1145">
      <c r="A1145" s="3" t="s">
        <v>1324</v>
      </c>
      <c r="B1145" s="3" t="s">
        <v>47</v>
      </c>
      <c r="C1145" s="3" t="s">
        <v>16</v>
      </c>
      <c r="D1145" s="4"/>
      <c r="E1145" s="4"/>
    </row>
    <row r="1146">
      <c r="A1146" s="3" t="s">
        <v>1325</v>
      </c>
      <c r="B1146" s="3" t="s">
        <v>2</v>
      </c>
      <c r="C1146" s="3" t="s">
        <v>3</v>
      </c>
      <c r="D1146" s="4"/>
      <c r="E1146" s="4"/>
    </row>
    <row r="1147">
      <c r="A1147" s="3" t="s">
        <v>1326</v>
      </c>
      <c r="B1147" s="3" t="s">
        <v>22</v>
      </c>
      <c r="C1147" s="4"/>
      <c r="D1147" s="4"/>
      <c r="E1147" s="4"/>
    </row>
    <row r="1148">
      <c r="A1148" s="3" t="s">
        <v>1327</v>
      </c>
      <c r="B1148" s="3" t="s">
        <v>2</v>
      </c>
      <c r="C1148" s="3" t="s">
        <v>6</v>
      </c>
      <c r="D1148" s="4"/>
      <c r="E1148" s="4"/>
    </row>
    <row r="1149">
      <c r="A1149" s="3" t="s">
        <v>1328</v>
      </c>
      <c r="B1149" s="3" t="s">
        <v>2</v>
      </c>
      <c r="C1149" s="3" t="s">
        <v>29</v>
      </c>
      <c r="D1149" s="4"/>
      <c r="E1149" s="4"/>
    </row>
    <row r="1150">
      <c r="A1150" s="3" t="s">
        <v>1329</v>
      </c>
      <c r="B1150" s="3" t="s">
        <v>2</v>
      </c>
      <c r="C1150" s="3" t="s">
        <v>6</v>
      </c>
      <c r="D1150" s="4"/>
      <c r="E1150" s="4"/>
    </row>
    <row r="1151">
      <c r="A1151" s="3" t="s">
        <v>1330</v>
      </c>
      <c r="B1151" s="3" t="s">
        <v>2</v>
      </c>
      <c r="C1151" s="3" t="s">
        <v>6</v>
      </c>
      <c r="D1151" s="4"/>
      <c r="E1151" s="4"/>
    </row>
    <row r="1152">
      <c r="A1152" s="3" t="s">
        <v>1331</v>
      </c>
      <c r="B1152" s="3" t="s">
        <v>51</v>
      </c>
      <c r="C1152" s="3" t="s">
        <v>32</v>
      </c>
      <c r="D1152" s="4"/>
      <c r="E1152" s="4"/>
    </row>
    <row r="1153">
      <c r="A1153" s="3" t="s">
        <v>1332</v>
      </c>
      <c r="B1153" s="3" t="s">
        <v>18</v>
      </c>
      <c r="C1153" s="4"/>
      <c r="D1153" s="4"/>
      <c r="E1153" s="4"/>
    </row>
    <row r="1154">
      <c r="A1154" s="3" t="s">
        <v>1333</v>
      </c>
      <c r="B1154" s="3" t="s">
        <v>65</v>
      </c>
      <c r="C1154" s="4"/>
      <c r="D1154" s="4"/>
      <c r="E1154" s="4"/>
    </row>
    <row r="1155">
      <c r="A1155" s="3" t="s">
        <v>1334</v>
      </c>
      <c r="B1155" s="3" t="s">
        <v>11</v>
      </c>
      <c r="C1155" s="4"/>
      <c r="D1155" s="4"/>
      <c r="E1155" s="4"/>
    </row>
    <row r="1156">
      <c r="A1156" s="3" t="s">
        <v>1335</v>
      </c>
      <c r="B1156" s="3" t="s">
        <v>996</v>
      </c>
      <c r="C1156" s="3" t="s">
        <v>32</v>
      </c>
      <c r="D1156" s="4"/>
      <c r="E1156" s="4"/>
    </row>
    <row r="1157">
      <c r="A1157" s="3" t="s">
        <v>1336</v>
      </c>
      <c r="B1157" s="3" t="s">
        <v>36</v>
      </c>
      <c r="C1157" s="4"/>
      <c r="D1157" s="4"/>
      <c r="E1157" s="4"/>
    </row>
    <row r="1158">
      <c r="A1158" s="3" t="s">
        <v>1337</v>
      </c>
      <c r="B1158" s="3" t="s">
        <v>22</v>
      </c>
      <c r="C1158" s="4"/>
      <c r="D1158" s="4"/>
      <c r="E1158" s="4"/>
    </row>
    <row r="1159">
      <c r="A1159" s="3" t="s">
        <v>1338</v>
      </c>
      <c r="B1159" s="3" t="s">
        <v>376</v>
      </c>
      <c r="C1159" s="3" t="s">
        <v>3</v>
      </c>
      <c r="D1159" s="4"/>
      <c r="E1159" s="4"/>
    </row>
    <row r="1160">
      <c r="A1160" s="3" t="s">
        <v>1339</v>
      </c>
      <c r="B1160" s="3" t="s">
        <v>1340</v>
      </c>
      <c r="C1160" s="4"/>
      <c r="D1160" s="4"/>
      <c r="E1160" s="4"/>
    </row>
    <row r="1161">
      <c r="A1161" s="3" t="s">
        <v>1341</v>
      </c>
      <c r="B1161" s="3" t="s">
        <v>20</v>
      </c>
      <c r="C1161" s="3" t="s">
        <v>6</v>
      </c>
      <c r="D1161" s="4"/>
      <c r="E1161" s="4"/>
    </row>
    <row r="1162">
      <c r="A1162" s="3" t="s">
        <v>1342</v>
      </c>
      <c r="B1162" s="3" t="s">
        <v>218</v>
      </c>
      <c r="C1162" s="4"/>
      <c r="D1162" s="4"/>
      <c r="E1162" s="4"/>
    </row>
    <row r="1163">
      <c r="A1163" s="3" t="s">
        <v>1343</v>
      </c>
      <c r="B1163" s="3" t="s">
        <v>72</v>
      </c>
      <c r="C1163" s="4"/>
      <c r="D1163" s="4"/>
      <c r="E1163" s="4"/>
    </row>
    <row r="1164">
      <c r="A1164" s="3" t="s">
        <v>1344</v>
      </c>
      <c r="B1164" s="3" t="s">
        <v>2</v>
      </c>
      <c r="C1164" s="3" t="s">
        <v>3</v>
      </c>
      <c r="D1164" s="4"/>
      <c r="E1164" s="4"/>
    </row>
    <row r="1165">
      <c r="A1165" s="3" t="s">
        <v>1345</v>
      </c>
      <c r="B1165" s="3" t="s">
        <v>282</v>
      </c>
      <c r="C1165" s="4"/>
      <c r="D1165" s="4"/>
      <c r="E1165" s="4"/>
    </row>
    <row r="1166">
      <c r="A1166" s="3" t="s">
        <v>1346</v>
      </c>
      <c r="B1166" s="3" t="s">
        <v>570</v>
      </c>
      <c r="C1166" s="4"/>
      <c r="D1166" s="4"/>
      <c r="E1166" s="4"/>
    </row>
    <row r="1167">
      <c r="A1167" s="3" t="s">
        <v>1347</v>
      </c>
      <c r="B1167" s="3" t="s">
        <v>2</v>
      </c>
      <c r="C1167" s="3" t="s">
        <v>3</v>
      </c>
      <c r="D1167" s="4"/>
      <c r="E1167" s="4"/>
    </row>
    <row r="1168">
      <c r="A1168" s="3" t="s">
        <v>1348</v>
      </c>
      <c r="B1168" s="3" t="s">
        <v>1349</v>
      </c>
      <c r="C1168" s="4"/>
      <c r="D1168" s="4"/>
      <c r="E1168" s="4"/>
    </row>
    <row r="1169">
      <c r="A1169" s="3" t="s">
        <v>1350</v>
      </c>
      <c r="B1169" s="3" t="s">
        <v>2</v>
      </c>
      <c r="C1169" s="3" t="s">
        <v>3</v>
      </c>
      <c r="D1169" s="4"/>
      <c r="E1169" s="4"/>
    </row>
    <row r="1170">
      <c r="A1170" s="3" t="s">
        <v>1351</v>
      </c>
      <c r="B1170" s="3" t="s">
        <v>623</v>
      </c>
      <c r="C1170" s="4"/>
      <c r="D1170" s="4"/>
      <c r="E1170" s="4"/>
    </row>
    <row r="1171">
      <c r="A1171" s="3" t="s">
        <v>1352</v>
      </c>
      <c r="B1171" s="3" t="s">
        <v>2</v>
      </c>
      <c r="C1171" s="3" t="s">
        <v>3</v>
      </c>
      <c r="D1171" s="4"/>
      <c r="E1171" s="4"/>
    </row>
    <row r="1172">
      <c r="A1172" s="3" t="s">
        <v>1353</v>
      </c>
      <c r="B1172" s="3" t="s">
        <v>2</v>
      </c>
      <c r="C1172" s="3" t="s">
        <v>3</v>
      </c>
      <c r="D1172" s="4"/>
      <c r="E1172" s="4"/>
    </row>
    <row r="1173">
      <c r="A1173" s="3" t="s">
        <v>1354</v>
      </c>
      <c r="B1173" s="3" t="s">
        <v>125</v>
      </c>
      <c r="C1173" s="3" t="s">
        <v>3</v>
      </c>
      <c r="D1173" s="4"/>
      <c r="E1173" s="4"/>
    </row>
    <row r="1174">
      <c r="A1174" s="3" t="s">
        <v>1355</v>
      </c>
      <c r="B1174" s="3" t="s">
        <v>2</v>
      </c>
      <c r="C1174" s="3" t="s">
        <v>3</v>
      </c>
      <c r="D1174" s="4"/>
      <c r="E1174" s="4"/>
    </row>
    <row r="1175">
      <c r="A1175" s="3" t="s">
        <v>1356</v>
      </c>
      <c r="B1175" s="3" t="s">
        <v>2</v>
      </c>
      <c r="C1175" s="3" t="s">
        <v>3</v>
      </c>
      <c r="D1175" s="4"/>
      <c r="E1175" s="4"/>
    </row>
    <row r="1176">
      <c r="A1176" s="3" t="s">
        <v>1357</v>
      </c>
      <c r="B1176" s="3" t="s">
        <v>2</v>
      </c>
      <c r="C1176" s="3" t="s">
        <v>3</v>
      </c>
      <c r="D1176" s="4"/>
      <c r="E1176" s="4"/>
    </row>
    <row r="1177">
      <c r="A1177" s="3" t="s">
        <v>1358</v>
      </c>
      <c r="B1177" s="3" t="s">
        <v>146</v>
      </c>
      <c r="C1177" s="3" t="s">
        <v>32</v>
      </c>
      <c r="D1177" s="4"/>
      <c r="E1177" s="4"/>
    </row>
    <row r="1178">
      <c r="A1178" s="3" t="s">
        <v>1359</v>
      </c>
      <c r="B1178" s="3" t="s">
        <v>1265</v>
      </c>
      <c r="C1178" s="3" t="s">
        <v>37</v>
      </c>
      <c r="D1178" s="4"/>
      <c r="E1178" s="4"/>
    </row>
    <row r="1179">
      <c r="A1179" s="4"/>
      <c r="B1179" s="4"/>
      <c r="C1179" s="3" t="s">
        <v>38</v>
      </c>
      <c r="D1179" s="4"/>
      <c r="E1179" s="4"/>
    </row>
    <row r="1180">
      <c r="A1180" s="3" t="s">
        <v>1360</v>
      </c>
      <c r="B1180" s="3" t="s">
        <v>2</v>
      </c>
      <c r="C1180" s="3" t="s">
        <v>3</v>
      </c>
      <c r="D1180" s="4"/>
      <c r="E1180" s="4"/>
    </row>
    <row r="1181">
      <c r="A1181" s="3" t="s">
        <v>1361</v>
      </c>
      <c r="B1181" s="3" t="s">
        <v>20</v>
      </c>
      <c r="C1181" s="4"/>
      <c r="D1181" s="4"/>
      <c r="E1181" s="4"/>
    </row>
    <row r="1182">
      <c r="A1182" s="3" t="s">
        <v>1362</v>
      </c>
      <c r="B1182" s="3" t="s">
        <v>2</v>
      </c>
      <c r="C1182" s="3" t="s">
        <v>29</v>
      </c>
      <c r="D1182" s="4"/>
      <c r="E1182" s="4"/>
    </row>
    <row r="1183">
      <c r="A1183" s="3" t="s">
        <v>1363</v>
      </c>
      <c r="B1183" s="3" t="s">
        <v>656</v>
      </c>
      <c r="C1183" s="3" t="s">
        <v>3</v>
      </c>
      <c r="D1183" s="4"/>
      <c r="E1183" s="4"/>
    </row>
    <row r="1184">
      <c r="A1184" s="3" t="s">
        <v>1364</v>
      </c>
      <c r="B1184" s="3" t="s">
        <v>2</v>
      </c>
      <c r="C1184" s="3" t="s">
        <v>6</v>
      </c>
      <c r="D1184" s="4"/>
      <c r="E1184" s="4"/>
    </row>
    <row r="1185">
      <c r="A1185" s="3" t="s">
        <v>1365</v>
      </c>
      <c r="B1185" s="3" t="s">
        <v>2</v>
      </c>
      <c r="C1185" s="3" t="s">
        <v>3</v>
      </c>
      <c r="D1185" s="4"/>
      <c r="E1185" s="4"/>
    </row>
    <row r="1186">
      <c r="A1186" s="3" t="s">
        <v>1366</v>
      </c>
      <c r="B1186" s="3" t="s">
        <v>2</v>
      </c>
      <c r="C1186" s="3" t="s">
        <v>6</v>
      </c>
      <c r="D1186" s="4"/>
      <c r="E1186" s="4"/>
    </row>
    <row r="1187">
      <c r="A1187" s="3" t="s">
        <v>1367</v>
      </c>
      <c r="B1187" s="3" t="s">
        <v>72</v>
      </c>
      <c r="C1187" s="3" t="s">
        <v>3</v>
      </c>
      <c r="D1187" s="4"/>
      <c r="E1187" s="4"/>
    </row>
    <row r="1188">
      <c r="A1188" s="3" t="s">
        <v>1368</v>
      </c>
      <c r="B1188" s="3" t="s">
        <v>22</v>
      </c>
      <c r="C1188" s="4"/>
      <c r="D1188" s="4"/>
      <c r="E1188" s="4"/>
    </row>
    <row r="1189">
      <c r="A1189" s="3" t="s">
        <v>1369</v>
      </c>
      <c r="B1189" s="3" t="s">
        <v>2</v>
      </c>
      <c r="C1189" s="3" t="s">
        <v>3</v>
      </c>
      <c r="D1189" s="4"/>
      <c r="E1189" s="4"/>
    </row>
    <row r="1190">
      <c r="A1190" s="3" t="s">
        <v>1370</v>
      </c>
      <c r="B1190" s="3" t="s">
        <v>20</v>
      </c>
      <c r="C1190" s="3" t="s">
        <v>32</v>
      </c>
      <c r="D1190" s="4"/>
      <c r="E1190" s="4"/>
    </row>
    <row r="1191">
      <c r="A1191" s="3" t="s">
        <v>1371</v>
      </c>
      <c r="B1191" s="3" t="s">
        <v>1372</v>
      </c>
      <c r="C1191" s="3" t="s">
        <v>1373</v>
      </c>
      <c r="D1191" s="4"/>
      <c r="E1191" s="4"/>
    </row>
    <row r="1192">
      <c r="A1192" s="4"/>
      <c r="B1192" s="4"/>
      <c r="C1192" s="3" t="s">
        <v>1374</v>
      </c>
      <c r="D1192" s="4"/>
      <c r="E1192" s="4"/>
    </row>
    <row r="1193">
      <c r="A1193" s="3" t="s">
        <v>1375</v>
      </c>
      <c r="B1193" s="3" t="s">
        <v>20</v>
      </c>
      <c r="C1193" s="3" t="s">
        <v>32</v>
      </c>
      <c r="D1193" s="4"/>
      <c r="E1193" s="4"/>
    </row>
    <row r="1194">
      <c r="A1194" s="3" t="s">
        <v>1376</v>
      </c>
      <c r="B1194" s="3" t="s">
        <v>2</v>
      </c>
      <c r="C1194" s="3" t="s">
        <v>3</v>
      </c>
      <c r="D1194" s="4"/>
      <c r="E1194" s="4"/>
    </row>
    <row r="1195">
      <c r="A1195" s="3" t="s">
        <v>1377</v>
      </c>
      <c r="B1195" s="3" t="s">
        <v>1378</v>
      </c>
      <c r="C1195" s="3" t="s">
        <v>1379</v>
      </c>
      <c r="D1195" s="4"/>
      <c r="E1195" s="4"/>
    </row>
    <row r="1196">
      <c r="A1196" s="3" t="s">
        <v>1380</v>
      </c>
      <c r="B1196" s="3" t="s">
        <v>2</v>
      </c>
      <c r="C1196" s="3" t="s">
        <v>3</v>
      </c>
      <c r="D1196" s="4"/>
      <c r="E1196" s="4"/>
    </row>
    <row r="1197">
      <c r="A1197" s="3" t="s">
        <v>1381</v>
      </c>
      <c r="B1197" s="3" t="s">
        <v>22</v>
      </c>
      <c r="C1197" s="3" t="s">
        <v>1379</v>
      </c>
      <c r="D1197" s="4"/>
      <c r="E1197" s="4"/>
    </row>
    <row r="1198">
      <c r="A1198" s="3" t="s">
        <v>1382</v>
      </c>
      <c r="B1198" s="3" t="s">
        <v>2</v>
      </c>
      <c r="C1198" s="3" t="s">
        <v>6</v>
      </c>
      <c r="D1198" s="4"/>
      <c r="E1198" s="4"/>
    </row>
    <row r="1199">
      <c r="A1199" s="3" t="s">
        <v>1383</v>
      </c>
      <c r="B1199" s="3" t="s">
        <v>22</v>
      </c>
      <c r="C1199" s="4"/>
      <c r="D1199" s="4"/>
      <c r="E1199" s="4"/>
    </row>
    <row r="1200">
      <c r="A1200" s="3" t="s">
        <v>1384</v>
      </c>
      <c r="B1200" s="3" t="s">
        <v>2</v>
      </c>
      <c r="C1200" s="3" t="s">
        <v>3</v>
      </c>
      <c r="D1200" s="4"/>
      <c r="E1200" s="4"/>
    </row>
    <row r="1201">
      <c r="A1201" s="3" t="s">
        <v>1385</v>
      </c>
      <c r="B1201" s="3" t="s">
        <v>406</v>
      </c>
      <c r="C1201" s="3" t="s">
        <v>3</v>
      </c>
      <c r="D1201" s="4"/>
      <c r="E1201" s="4"/>
    </row>
    <row r="1202">
      <c r="A1202" s="3" t="s">
        <v>1386</v>
      </c>
      <c r="B1202" s="3" t="s">
        <v>125</v>
      </c>
      <c r="C1202" s="3" t="s">
        <v>32</v>
      </c>
      <c r="D1202" s="4"/>
      <c r="E1202" s="4"/>
    </row>
    <row r="1203">
      <c r="A1203" s="3" t="s">
        <v>1387</v>
      </c>
      <c r="B1203" s="3" t="s">
        <v>20</v>
      </c>
      <c r="C1203" s="4"/>
      <c r="D1203" s="4"/>
      <c r="E1203" s="4"/>
    </row>
    <row r="1204">
      <c r="A1204" s="3" t="s">
        <v>1388</v>
      </c>
      <c r="B1204" s="3" t="s">
        <v>18</v>
      </c>
      <c r="C1204" s="3" t="s">
        <v>32</v>
      </c>
      <c r="D1204" s="4"/>
      <c r="E1204" s="4"/>
    </row>
    <row r="1205">
      <c r="A1205" s="3" t="s">
        <v>1389</v>
      </c>
      <c r="B1205" s="3" t="s">
        <v>1390</v>
      </c>
      <c r="C1205" s="3" t="s">
        <v>280</v>
      </c>
      <c r="D1205" s="4"/>
      <c r="E1205" s="4"/>
    </row>
    <row r="1206">
      <c r="A1206" s="3" t="s">
        <v>1391</v>
      </c>
      <c r="B1206" s="3" t="s">
        <v>2</v>
      </c>
      <c r="C1206" s="3" t="s">
        <v>29</v>
      </c>
      <c r="D1206" s="4"/>
      <c r="E1206" s="4"/>
    </row>
    <row r="1207">
      <c r="A1207" s="3" t="s">
        <v>1392</v>
      </c>
      <c r="B1207" s="3" t="s">
        <v>533</v>
      </c>
      <c r="C1207" s="4"/>
      <c r="D1207" s="4"/>
      <c r="E1207" s="4"/>
    </row>
    <row r="1208">
      <c r="A1208" s="3" t="s">
        <v>1393</v>
      </c>
      <c r="B1208" s="3" t="s">
        <v>47</v>
      </c>
      <c r="C1208" s="3" t="s">
        <v>6</v>
      </c>
      <c r="D1208" s="4"/>
      <c r="E1208" s="4"/>
    </row>
    <row r="1209">
      <c r="A1209" s="3" t="s">
        <v>1394</v>
      </c>
      <c r="B1209" s="3" t="s">
        <v>2</v>
      </c>
      <c r="C1209" s="3" t="s">
        <v>6</v>
      </c>
      <c r="D1209" s="4"/>
      <c r="E1209" s="4"/>
    </row>
    <row r="1210">
      <c r="A1210" s="3" t="s">
        <v>1395</v>
      </c>
      <c r="B1210" s="3" t="s">
        <v>1396</v>
      </c>
      <c r="C1210" s="4"/>
      <c r="D1210" s="4"/>
      <c r="E1210" s="4"/>
    </row>
    <row r="1211">
      <c r="A1211" s="3" t="s">
        <v>1397</v>
      </c>
      <c r="B1211" s="3" t="s">
        <v>2</v>
      </c>
      <c r="C1211" s="3" t="s">
        <v>3</v>
      </c>
      <c r="D1211" s="4"/>
      <c r="E1211" s="4"/>
    </row>
    <row r="1212">
      <c r="A1212" s="3" t="s">
        <v>1398</v>
      </c>
      <c r="B1212" s="3" t="s">
        <v>2</v>
      </c>
      <c r="C1212" s="3" t="s">
        <v>3</v>
      </c>
      <c r="D1212" s="4"/>
      <c r="E1212" s="4"/>
    </row>
    <row r="1213">
      <c r="A1213" s="3" t="s">
        <v>1399</v>
      </c>
      <c r="B1213" s="3" t="s">
        <v>2</v>
      </c>
      <c r="C1213" s="3" t="s">
        <v>3</v>
      </c>
      <c r="D1213" s="4"/>
      <c r="E1213" s="4"/>
    </row>
    <row r="1214">
      <c r="A1214" s="3" t="s">
        <v>1400</v>
      </c>
      <c r="B1214" s="3" t="s">
        <v>2</v>
      </c>
      <c r="C1214" s="3" t="s">
        <v>3</v>
      </c>
      <c r="D1214" s="4"/>
      <c r="E1214" s="4"/>
    </row>
    <row r="1215">
      <c r="A1215" s="3" t="s">
        <v>1401</v>
      </c>
      <c r="B1215" s="3" t="s">
        <v>1402</v>
      </c>
      <c r="C1215" s="4"/>
      <c r="D1215" s="4"/>
      <c r="E1215" s="4"/>
    </row>
    <row r="1216">
      <c r="A1216" s="3" t="s">
        <v>1403</v>
      </c>
      <c r="B1216" s="3" t="s">
        <v>2</v>
      </c>
      <c r="C1216" s="3" t="s">
        <v>3</v>
      </c>
      <c r="D1216" s="4"/>
      <c r="E1216" s="4"/>
    </row>
    <row r="1217">
      <c r="A1217" s="3" t="s">
        <v>1404</v>
      </c>
      <c r="B1217" s="3" t="s">
        <v>2</v>
      </c>
      <c r="C1217" s="3" t="s">
        <v>32</v>
      </c>
      <c r="D1217" s="4"/>
      <c r="E1217" s="4"/>
    </row>
    <row r="1218">
      <c r="A1218" s="3" t="s">
        <v>1405</v>
      </c>
      <c r="B1218" s="3" t="s">
        <v>1040</v>
      </c>
      <c r="C1218" s="4"/>
      <c r="D1218" s="4"/>
      <c r="E1218" s="4"/>
    </row>
    <row r="1219">
      <c r="A1219" s="3" t="s">
        <v>1406</v>
      </c>
      <c r="B1219" s="3" t="s">
        <v>1407</v>
      </c>
      <c r="C1219" s="3" t="s">
        <v>32</v>
      </c>
      <c r="D1219" s="4"/>
      <c r="E1219" s="4"/>
    </row>
    <row r="1220">
      <c r="A1220" s="3" t="s">
        <v>1408</v>
      </c>
      <c r="B1220" s="3" t="s">
        <v>65</v>
      </c>
      <c r="C1220" s="4"/>
      <c r="D1220" s="4"/>
      <c r="E1220" s="4"/>
    </row>
    <row r="1221">
      <c r="A1221" s="3" t="s">
        <v>1409</v>
      </c>
      <c r="B1221" s="3" t="s">
        <v>2</v>
      </c>
      <c r="C1221" s="3" t="s">
        <v>6</v>
      </c>
      <c r="D1221" s="4"/>
      <c r="E1221" s="4"/>
    </row>
    <row r="1222">
      <c r="A1222" s="3" t="s">
        <v>1410</v>
      </c>
      <c r="B1222" s="3" t="s">
        <v>2</v>
      </c>
      <c r="C1222" s="3" t="s">
        <v>6</v>
      </c>
      <c r="D1222" s="4"/>
      <c r="E1222" s="4"/>
    </row>
    <row r="1223">
      <c r="A1223" s="3" t="s">
        <v>1411</v>
      </c>
      <c r="B1223" s="3" t="s">
        <v>406</v>
      </c>
      <c r="C1223" s="3" t="s">
        <v>3</v>
      </c>
      <c r="D1223" s="4"/>
      <c r="E1223" s="4"/>
    </row>
    <row r="1224">
      <c r="A1224" s="3" t="s">
        <v>1412</v>
      </c>
      <c r="B1224" s="3" t="s">
        <v>406</v>
      </c>
      <c r="C1224" s="4"/>
      <c r="D1224" s="4"/>
      <c r="E1224" s="4"/>
    </row>
    <row r="1225">
      <c r="A1225" s="3" t="s">
        <v>1413</v>
      </c>
      <c r="B1225" s="3" t="s">
        <v>2</v>
      </c>
      <c r="C1225" s="3" t="s">
        <v>32</v>
      </c>
      <c r="D1225" s="4"/>
      <c r="E1225" s="4"/>
    </row>
    <row r="1226">
      <c r="A1226" s="3" t="s">
        <v>1414</v>
      </c>
      <c r="B1226" s="3" t="s">
        <v>623</v>
      </c>
      <c r="C1226" s="4"/>
      <c r="D1226" s="4"/>
      <c r="E1226" s="4"/>
    </row>
    <row r="1227">
      <c r="A1227" s="3" t="s">
        <v>1415</v>
      </c>
      <c r="B1227" s="3" t="s">
        <v>18</v>
      </c>
      <c r="C1227" s="4"/>
      <c r="D1227" s="4"/>
      <c r="E1227" s="4"/>
    </row>
    <row r="1228">
      <c r="A1228" s="3" t="s">
        <v>1416</v>
      </c>
      <c r="B1228" s="3" t="s">
        <v>11</v>
      </c>
      <c r="C1228" s="4"/>
      <c r="D1228" s="4"/>
      <c r="E1228" s="4"/>
    </row>
    <row r="1229">
      <c r="A1229" s="3" t="s">
        <v>1417</v>
      </c>
      <c r="B1229" s="3" t="s">
        <v>42</v>
      </c>
      <c r="C1229" s="4"/>
      <c r="D1229" s="4"/>
      <c r="E1229" s="4"/>
    </row>
    <row r="1230">
      <c r="A1230" s="3" t="s">
        <v>1418</v>
      </c>
      <c r="B1230" s="3" t="s">
        <v>1419</v>
      </c>
      <c r="C1230" s="3" t="s">
        <v>580</v>
      </c>
      <c r="D1230" s="4"/>
      <c r="E1230" s="4"/>
    </row>
    <row r="1231">
      <c r="A1231" s="4"/>
      <c r="B1231" s="4"/>
      <c r="C1231" s="3" t="s">
        <v>581</v>
      </c>
      <c r="D1231" s="4"/>
      <c r="E1231" s="4"/>
    </row>
    <row r="1232">
      <c r="A1232" s="3" t="s">
        <v>1420</v>
      </c>
      <c r="B1232" s="3" t="s">
        <v>165</v>
      </c>
      <c r="C1232" s="3" t="s">
        <v>6</v>
      </c>
      <c r="D1232" s="4"/>
      <c r="E1232" s="4"/>
    </row>
    <row r="1233">
      <c r="A1233" s="3" t="s">
        <v>1421</v>
      </c>
      <c r="B1233" s="3" t="s">
        <v>1422</v>
      </c>
      <c r="C1233" s="3" t="s">
        <v>6</v>
      </c>
      <c r="D1233" s="4"/>
      <c r="E1233" s="4"/>
    </row>
    <row r="1234">
      <c r="A1234" s="3" t="s">
        <v>1423</v>
      </c>
      <c r="B1234" s="3" t="s">
        <v>1424</v>
      </c>
      <c r="C1234" s="3" t="s">
        <v>3</v>
      </c>
      <c r="D1234" s="4"/>
      <c r="E1234" s="4"/>
    </row>
    <row r="1235">
      <c r="A1235" s="3" t="s">
        <v>1425</v>
      </c>
      <c r="B1235" s="3" t="s">
        <v>2</v>
      </c>
      <c r="C1235" s="3" t="s">
        <v>3</v>
      </c>
      <c r="D1235" s="4"/>
      <c r="E1235" s="4"/>
    </row>
    <row r="1236">
      <c r="A1236" s="3" t="s">
        <v>1426</v>
      </c>
      <c r="B1236" s="3" t="s">
        <v>2</v>
      </c>
      <c r="C1236" s="3" t="s">
        <v>3</v>
      </c>
      <c r="D1236" s="4"/>
      <c r="E1236" s="4"/>
    </row>
    <row r="1237">
      <c r="A1237" s="3" t="s">
        <v>1427</v>
      </c>
      <c r="B1237" s="3" t="s">
        <v>1428</v>
      </c>
      <c r="C1237" s="3" t="s">
        <v>6</v>
      </c>
      <c r="D1237" s="4"/>
      <c r="E1237" s="4"/>
    </row>
    <row r="1238">
      <c r="A1238" s="3" t="s">
        <v>1429</v>
      </c>
      <c r="B1238" s="3" t="s">
        <v>2</v>
      </c>
      <c r="C1238" s="3" t="s">
        <v>3</v>
      </c>
      <c r="D1238" s="4"/>
      <c r="E1238" s="4"/>
    </row>
    <row r="1239">
      <c r="A1239" s="3" t="s">
        <v>1430</v>
      </c>
      <c r="B1239" s="3" t="s">
        <v>2</v>
      </c>
      <c r="C1239" s="3" t="s">
        <v>6</v>
      </c>
      <c r="D1239" s="4"/>
      <c r="E1239" s="4"/>
    </row>
    <row r="1240">
      <c r="A1240" s="3" t="s">
        <v>1431</v>
      </c>
      <c r="B1240" s="3" t="s">
        <v>42</v>
      </c>
      <c r="C1240" s="4"/>
      <c r="D1240" s="4"/>
      <c r="E1240" s="4"/>
    </row>
    <row r="1241">
      <c r="A1241" s="3" t="s">
        <v>1432</v>
      </c>
      <c r="B1241" s="3" t="s">
        <v>2</v>
      </c>
      <c r="C1241" s="3" t="s">
        <v>484</v>
      </c>
      <c r="D1241" s="4"/>
      <c r="E1241" s="4"/>
    </row>
    <row r="1242">
      <c r="A1242" s="3" t="s">
        <v>1433</v>
      </c>
      <c r="B1242" s="4"/>
      <c r="C1242" s="4"/>
      <c r="D1242" s="4"/>
      <c r="E1242" s="4"/>
    </row>
    <row r="1243">
      <c r="A1243" s="3" t="s">
        <v>1434</v>
      </c>
      <c r="B1243" s="3" t="s">
        <v>1435</v>
      </c>
      <c r="C1243" s="3" t="s">
        <v>32</v>
      </c>
      <c r="D1243" s="4"/>
      <c r="E1243" s="4"/>
    </row>
    <row r="1244">
      <c r="A1244" s="3" t="s">
        <v>1436</v>
      </c>
      <c r="B1244" s="3" t="s">
        <v>115</v>
      </c>
      <c r="C1244" s="4"/>
      <c r="D1244" s="4"/>
      <c r="E1244" s="4"/>
    </row>
    <row r="1245">
      <c r="A1245" s="3" t="s">
        <v>1437</v>
      </c>
      <c r="B1245" s="3" t="s">
        <v>2</v>
      </c>
      <c r="C1245" s="3" t="s">
        <v>6</v>
      </c>
      <c r="D1245" s="4"/>
      <c r="E1245" s="4"/>
    </row>
    <row r="1246">
      <c r="A1246" s="3" t="s">
        <v>1438</v>
      </c>
      <c r="B1246" s="3" t="s">
        <v>570</v>
      </c>
      <c r="C1246" s="4"/>
      <c r="D1246" s="4"/>
      <c r="E1246" s="4"/>
    </row>
    <row r="1247">
      <c r="A1247" s="3" t="s">
        <v>1439</v>
      </c>
      <c r="B1247" s="3" t="s">
        <v>936</v>
      </c>
      <c r="C1247" s="3" t="s">
        <v>37</v>
      </c>
      <c r="D1247" s="4"/>
      <c r="E1247" s="4"/>
    </row>
    <row r="1248">
      <c r="A1248" s="4"/>
      <c r="B1248" s="4"/>
      <c r="C1248" s="3" t="s">
        <v>38</v>
      </c>
      <c r="D1248" s="4"/>
      <c r="E1248" s="4"/>
    </row>
    <row r="1249">
      <c r="A1249" s="3" t="s">
        <v>1440</v>
      </c>
      <c r="B1249" s="3" t="s">
        <v>382</v>
      </c>
      <c r="C1249" s="4"/>
      <c r="D1249" s="4"/>
      <c r="E1249" s="4"/>
    </row>
    <row r="1250">
      <c r="A1250" s="3" t="s">
        <v>1441</v>
      </c>
      <c r="B1250" s="3" t="s">
        <v>2</v>
      </c>
      <c r="C1250" s="3" t="s">
        <v>3</v>
      </c>
      <c r="D1250" s="4"/>
      <c r="E1250" s="4"/>
    </row>
    <row r="1251">
      <c r="A1251" s="3" t="s">
        <v>1442</v>
      </c>
      <c r="B1251" s="3" t="s">
        <v>2</v>
      </c>
      <c r="C1251" s="3" t="s">
        <v>3</v>
      </c>
      <c r="D1251" s="4"/>
      <c r="E1251" s="4"/>
    </row>
    <row r="1252">
      <c r="A1252" s="3" t="s">
        <v>1443</v>
      </c>
      <c r="B1252" s="3" t="s">
        <v>2</v>
      </c>
      <c r="C1252" s="3" t="s">
        <v>3</v>
      </c>
      <c r="D1252" s="4"/>
      <c r="E1252" s="4"/>
    </row>
    <row r="1253">
      <c r="A1253" s="3" t="s">
        <v>1444</v>
      </c>
      <c r="B1253" s="3" t="s">
        <v>18</v>
      </c>
      <c r="C1253" s="4"/>
      <c r="D1253" s="4"/>
      <c r="E1253" s="4"/>
    </row>
    <row r="1254">
      <c r="A1254" s="3" t="s">
        <v>1445</v>
      </c>
      <c r="B1254" s="3" t="s">
        <v>2</v>
      </c>
      <c r="C1254" s="3" t="s">
        <v>3</v>
      </c>
      <c r="D1254" s="4"/>
      <c r="E1254" s="4"/>
    </row>
    <row r="1255">
      <c r="A1255" s="3" t="s">
        <v>1446</v>
      </c>
      <c r="B1255" s="3" t="s">
        <v>2</v>
      </c>
      <c r="C1255" s="3" t="s">
        <v>3</v>
      </c>
      <c r="D1255" s="4"/>
      <c r="E1255" s="4"/>
    </row>
    <row r="1256">
      <c r="A1256" s="3" t="s">
        <v>1447</v>
      </c>
      <c r="B1256" s="3" t="s">
        <v>2</v>
      </c>
      <c r="C1256" s="3" t="s">
        <v>3</v>
      </c>
      <c r="D1256" s="4"/>
      <c r="E1256" s="4"/>
    </row>
    <row r="1257">
      <c r="A1257" s="3" t="s">
        <v>1448</v>
      </c>
      <c r="B1257" s="3" t="s">
        <v>2</v>
      </c>
      <c r="C1257" s="3" t="s">
        <v>3</v>
      </c>
      <c r="D1257" s="4"/>
      <c r="E1257" s="4"/>
    </row>
    <row r="1258">
      <c r="A1258" s="3" t="s">
        <v>1449</v>
      </c>
      <c r="B1258" s="3" t="s">
        <v>13</v>
      </c>
      <c r="C1258" s="3" t="s">
        <v>6</v>
      </c>
      <c r="D1258" s="4"/>
      <c r="E1258" s="4"/>
    </row>
    <row r="1259">
      <c r="A1259" s="3" t="s">
        <v>1450</v>
      </c>
      <c r="B1259" s="3" t="s">
        <v>125</v>
      </c>
      <c r="C1259" s="3" t="s">
        <v>3</v>
      </c>
      <c r="D1259" s="4"/>
      <c r="E1259" s="4"/>
    </row>
    <row r="1260">
      <c r="A1260" s="3" t="s">
        <v>1451</v>
      </c>
      <c r="B1260" s="3" t="s">
        <v>115</v>
      </c>
      <c r="C1260" s="3" t="s">
        <v>32</v>
      </c>
      <c r="D1260" s="4"/>
      <c r="E1260" s="4"/>
    </row>
    <row r="1261">
      <c r="A1261" s="3" t="s">
        <v>1452</v>
      </c>
      <c r="B1261" s="3" t="s">
        <v>2</v>
      </c>
      <c r="C1261" s="3" t="s">
        <v>32</v>
      </c>
      <c r="D1261" s="4"/>
      <c r="E1261" s="4"/>
    </row>
    <row r="1262">
      <c r="A1262" s="3" t="s">
        <v>1453</v>
      </c>
      <c r="B1262" s="3" t="s">
        <v>2</v>
      </c>
      <c r="C1262" s="3" t="s">
        <v>3</v>
      </c>
      <c r="D1262" s="4"/>
      <c r="E1262" s="4"/>
    </row>
    <row r="1263">
      <c r="A1263" s="3" t="s">
        <v>1454</v>
      </c>
      <c r="B1263" s="3" t="s">
        <v>18</v>
      </c>
      <c r="C1263" s="3" t="s">
        <v>484</v>
      </c>
      <c r="D1263" s="4"/>
      <c r="E1263" s="4"/>
    </row>
    <row r="1264">
      <c r="A1264" s="3" t="s">
        <v>1455</v>
      </c>
      <c r="B1264" s="3" t="s">
        <v>18</v>
      </c>
      <c r="C1264" s="4"/>
      <c r="D1264" s="4"/>
      <c r="E1264" s="4"/>
    </row>
    <row r="1265">
      <c r="A1265" s="3" t="s">
        <v>1456</v>
      </c>
      <c r="B1265" s="4"/>
      <c r="C1265" s="4"/>
      <c r="D1265" s="4"/>
      <c r="E1265" s="4"/>
    </row>
    <row r="1266">
      <c r="A1266" s="3" t="s">
        <v>1457</v>
      </c>
      <c r="B1266" s="3" t="s">
        <v>406</v>
      </c>
      <c r="C1266" s="4"/>
      <c r="D1266" s="4"/>
      <c r="E1266" s="4"/>
    </row>
    <row r="1267">
      <c r="A1267" s="3" t="s">
        <v>1458</v>
      </c>
      <c r="B1267" s="3" t="s">
        <v>2</v>
      </c>
      <c r="C1267" s="3" t="s">
        <v>3</v>
      </c>
      <c r="D1267" s="4"/>
      <c r="E1267" s="4"/>
    </row>
    <row r="1268">
      <c r="A1268" s="3" t="s">
        <v>1459</v>
      </c>
      <c r="B1268" s="3" t="s">
        <v>2</v>
      </c>
      <c r="C1268" s="3" t="s">
        <v>3</v>
      </c>
      <c r="D1268" s="4"/>
      <c r="E1268" s="4"/>
    </row>
    <row r="1269">
      <c r="A1269" s="3" t="s">
        <v>1460</v>
      </c>
      <c r="B1269" s="3" t="s">
        <v>58</v>
      </c>
      <c r="C1269" s="4"/>
      <c r="D1269" s="4"/>
      <c r="E1269" s="4"/>
    </row>
    <row r="1270">
      <c r="A1270" s="3" t="s">
        <v>1461</v>
      </c>
      <c r="B1270" s="3" t="s">
        <v>11</v>
      </c>
      <c r="C1270" s="3" t="s">
        <v>6</v>
      </c>
      <c r="D1270" s="4"/>
      <c r="E1270" s="4"/>
    </row>
    <row r="1271">
      <c r="A1271" s="3" t="s">
        <v>1462</v>
      </c>
      <c r="B1271" s="3" t="s">
        <v>996</v>
      </c>
      <c r="C1271" s="3" t="s">
        <v>3</v>
      </c>
      <c r="D1271" s="4"/>
      <c r="E1271" s="4"/>
    </row>
    <row r="1272">
      <c r="A1272" s="3" t="s">
        <v>1463</v>
      </c>
      <c r="B1272" s="3" t="s">
        <v>1464</v>
      </c>
      <c r="C1272" s="3" t="s">
        <v>484</v>
      </c>
      <c r="D1272" s="4"/>
      <c r="E1272" s="4"/>
    </row>
    <row r="1273">
      <c r="A1273" s="3" t="s">
        <v>1465</v>
      </c>
      <c r="B1273" s="3" t="s">
        <v>2</v>
      </c>
      <c r="C1273" s="3" t="s">
        <v>3</v>
      </c>
      <c r="D1273" s="4"/>
      <c r="E1273" s="4"/>
    </row>
    <row r="1274">
      <c r="A1274" s="3" t="s">
        <v>1466</v>
      </c>
      <c r="B1274" s="3" t="s">
        <v>2</v>
      </c>
      <c r="C1274" s="3" t="s">
        <v>3</v>
      </c>
      <c r="D1274" s="4"/>
      <c r="E1274" s="4"/>
    </row>
    <row r="1275">
      <c r="A1275" s="3" t="s">
        <v>1467</v>
      </c>
      <c r="B1275" s="3" t="s">
        <v>706</v>
      </c>
      <c r="C1275" s="4"/>
      <c r="D1275" s="4"/>
      <c r="E1275" s="4"/>
    </row>
    <row r="1276">
      <c r="A1276" s="3" t="s">
        <v>1468</v>
      </c>
      <c r="B1276" s="3" t="s">
        <v>42</v>
      </c>
      <c r="C1276" s="4"/>
      <c r="D1276" s="4"/>
      <c r="E1276" s="4"/>
    </row>
    <row r="1277">
      <c r="A1277" s="3" t="s">
        <v>1469</v>
      </c>
      <c r="B1277" s="3" t="s">
        <v>2</v>
      </c>
      <c r="C1277" s="3" t="s">
        <v>6</v>
      </c>
      <c r="D1277" s="4"/>
      <c r="E1277" s="4"/>
    </row>
    <row r="1278">
      <c r="A1278" s="3" t="s">
        <v>1470</v>
      </c>
      <c r="B1278" s="3" t="s">
        <v>1471</v>
      </c>
      <c r="C1278" s="4"/>
      <c r="D1278" s="4"/>
      <c r="E1278" s="4"/>
    </row>
    <row r="1279">
      <c r="A1279" s="3" t="s">
        <v>1472</v>
      </c>
      <c r="B1279" s="3" t="s">
        <v>1473</v>
      </c>
      <c r="C1279" s="4"/>
      <c r="D1279" s="4"/>
      <c r="E1279" s="4"/>
    </row>
    <row r="1280">
      <c r="A1280" s="3" t="s">
        <v>1474</v>
      </c>
      <c r="B1280" s="3" t="s">
        <v>2</v>
      </c>
      <c r="C1280" s="3" t="s">
        <v>3</v>
      </c>
      <c r="D1280" s="4"/>
      <c r="E1280" s="4"/>
    </row>
    <row r="1281">
      <c r="A1281" s="3" t="s">
        <v>1475</v>
      </c>
      <c r="B1281" s="3" t="s">
        <v>72</v>
      </c>
      <c r="C1281" s="4"/>
      <c r="D1281" s="4"/>
      <c r="E1281" s="4"/>
    </row>
    <row r="1282">
      <c r="A1282" s="3" t="s">
        <v>1476</v>
      </c>
      <c r="B1282" s="3" t="s">
        <v>2</v>
      </c>
      <c r="C1282" s="3" t="s">
        <v>3</v>
      </c>
      <c r="D1282" s="4"/>
      <c r="E1282" s="4"/>
    </row>
    <row r="1283">
      <c r="A1283" s="3" t="s">
        <v>1477</v>
      </c>
      <c r="B1283" s="3" t="s">
        <v>2</v>
      </c>
      <c r="C1283" s="3" t="s">
        <v>6</v>
      </c>
      <c r="D1283" s="4"/>
      <c r="E1283" s="4"/>
    </row>
    <row r="1284">
      <c r="A1284" s="3" t="s">
        <v>1478</v>
      </c>
      <c r="B1284" s="3" t="s">
        <v>2</v>
      </c>
      <c r="C1284" s="3" t="s">
        <v>3</v>
      </c>
      <c r="D1284" s="4"/>
      <c r="E1284" s="4"/>
    </row>
    <row r="1285">
      <c r="A1285" s="3" t="s">
        <v>1479</v>
      </c>
      <c r="B1285" s="3" t="s">
        <v>406</v>
      </c>
      <c r="C1285" s="4"/>
      <c r="D1285" s="4"/>
      <c r="E1285" s="4"/>
    </row>
    <row r="1286">
      <c r="A1286" s="3" t="s">
        <v>1480</v>
      </c>
      <c r="B1286" s="3" t="s">
        <v>22</v>
      </c>
      <c r="C1286" s="4"/>
      <c r="D1286" s="4"/>
      <c r="E1286" s="4"/>
    </row>
    <row r="1287">
      <c r="A1287" s="3" t="s">
        <v>1481</v>
      </c>
      <c r="B1287" s="3" t="s">
        <v>1482</v>
      </c>
      <c r="C1287" s="3" t="s">
        <v>37</v>
      </c>
      <c r="D1287" s="4"/>
      <c r="E1287" s="4"/>
    </row>
    <row r="1288">
      <c r="A1288" s="4"/>
      <c r="B1288" s="4"/>
      <c r="C1288" s="3" t="s">
        <v>38</v>
      </c>
      <c r="D1288" s="4"/>
      <c r="E1288" s="4"/>
    </row>
    <row r="1289">
      <c r="A1289" s="3" t="s">
        <v>1483</v>
      </c>
      <c r="B1289" s="3" t="s">
        <v>2</v>
      </c>
      <c r="C1289" s="3" t="s">
        <v>3</v>
      </c>
      <c r="D1289" s="4"/>
      <c r="E1289" s="4"/>
    </row>
    <row r="1290">
      <c r="A1290" s="3" t="s">
        <v>1484</v>
      </c>
      <c r="B1290" s="3" t="s">
        <v>2</v>
      </c>
      <c r="C1290" s="3" t="s">
        <v>6</v>
      </c>
      <c r="D1290" s="4"/>
      <c r="E1290" s="4"/>
    </row>
    <row r="1291">
      <c r="A1291" s="3" t="s">
        <v>1485</v>
      </c>
      <c r="B1291" s="4"/>
      <c r="C1291" s="4"/>
      <c r="D1291" s="4"/>
      <c r="E1291" s="4"/>
    </row>
    <row r="1292">
      <c r="A1292" s="3" t="s">
        <v>1486</v>
      </c>
      <c r="B1292" s="3" t="s">
        <v>2</v>
      </c>
      <c r="C1292" s="3" t="s">
        <v>3</v>
      </c>
      <c r="D1292" s="4"/>
      <c r="E1292" s="4"/>
    </row>
    <row r="1293">
      <c r="A1293" s="3" t="s">
        <v>1487</v>
      </c>
      <c r="B1293" s="3" t="s">
        <v>2</v>
      </c>
      <c r="C1293" s="3" t="s">
        <v>3</v>
      </c>
      <c r="D1293" s="4"/>
      <c r="E1293" s="4"/>
    </row>
    <row r="1294">
      <c r="A1294" s="3" t="s">
        <v>1488</v>
      </c>
      <c r="B1294" s="3" t="s">
        <v>2</v>
      </c>
      <c r="C1294" s="3" t="s">
        <v>3</v>
      </c>
      <c r="D1294" s="4"/>
      <c r="E1294" s="4"/>
    </row>
    <row r="1295">
      <c r="A1295" s="3" t="s">
        <v>1489</v>
      </c>
      <c r="B1295" s="3" t="s">
        <v>1490</v>
      </c>
      <c r="C1295" s="3" t="s">
        <v>32</v>
      </c>
      <c r="D1295" s="4"/>
      <c r="E1295" s="4"/>
    </row>
    <row r="1296">
      <c r="A1296" s="3" t="s">
        <v>1491</v>
      </c>
      <c r="B1296" s="3" t="s">
        <v>18</v>
      </c>
      <c r="C1296" s="4"/>
      <c r="D1296" s="4"/>
      <c r="E1296" s="4"/>
    </row>
    <row r="1297">
      <c r="A1297" s="3" t="s">
        <v>1492</v>
      </c>
      <c r="B1297" s="3" t="s">
        <v>1493</v>
      </c>
      <c r="C1297" s="3" t="s">
        <v>37</v>
      </c>
      <c r="D1297" s="4"/>
      <c r="E1297" s="4"/>
    </row>
    <row r="1298">
      <c r="A1298" s="4"/>
      <c r="B1298" s="4"/>
      <c r="C1298" s="3" t="s">
        <v>38</v>
      </c>
      <c r="D1298" s="4"/>
      <c r="E1298" s="4"/>
    </row>
    <row r="1299">
      <c r="A1299" s="3" t="s">
        <v>1494</v>
      </c>
      <c r="B1299" s="3" t="s">
        <v>2</v>
      </c>
      <c r="C1299" s="3" t="s">
        <v>3</v>
      </c>
      <c r="D1299" s="4"/>
      <c r="E1299" s="4"/>
    </row>
    <row r="1300">
      <c r="A1300" s="3" t="s">
        <v>1495</v>
      </c>
      <c r="B1300" s="3" t="s">
        <v>65</v>
      </c>
      <c r="C1300" s="4"/>
      <c r="D1300" s="4"/>
      <c r="E1300" s="4"/>
    </row>
    <row r="1301">
      <c r="A1301" s="3" t="s">
        <v>1496</v>
      </c>
      <c r="B1301" s="3" t="s">
        <v>1040</v>
      </c>
      <c r="C1301" s="3" t="s">
        <v>29</v>
      </c>
      <c r="D1301" s="4"/>
      <c r="E1301" s="4"/>
    </row>
    <row r="1302">
      <c r="A1302" s="3" t="s">
        <v>1497</v>
      </c>
      <c r="B1302" s="3" t="s">
        <v>2</v>
      </c>
      <c r="C1302" s="3" t="s">
        <v>3</v>
      </c>
      <c r="D1302" s="4"/>
      <c r="E1302" s="4"/>
    </row>
    <row r="1303">
      <c r="A1303" s="3" t="s">
        <v>1498</v>
      </c>
      <c r="B1303" s="3" t="s">
        <v>2</v>
      </c>
      <c r="C1303" s="3" t="s">
        <v>29</v>
      </c>
      <c r="D1303" s="4"/>
      <c r="E1303" s="4"/>
    </row>
    <row r="1304">
      <c r="A1304" s="3" t="s">
        <v>1499</v>
      </c>
      <c r="B1304" s="3" t="s">
        <v>1265</v>
      </c>
      <c r="C1304" s="3" t="s">
        <v>32</v>
      </c>
      <c r="D1304" s="4"/>
      <c r="E1304" s="4"/>
    </row>
    <row r="1305">
      <c r="A1305" s="3" t="s">
        <v>1500</v>
      </c>
      <c r="B1305" s="3" t="s">
        <v>1501</v>
      </c>
      <c r="C1305" s="4"/>
      <c r="D1305" s="4"/>
      <c r="E1305" s="4"/>
    </row>
    <row r="1306">
      <c r="A1306" s="3" t="s">
        <v>1502</v>
      </c>
      <c r="B1306" s="3" t="s">
        <v>1503</v>
      </c>
      <c r="C1306" s="3" t="s">
        <v>6</v>
      </c>
      <c r="D1306" s="4"/>
      <c r="E1306" s="4"/>
    </row>
    <row r="1307">
      <c r="A1307" s="3" t="s">
        <v>1504</v>
      </c>
      <c r="B1307" s="3" t="s">
        <v>398</v>
      </c>
      <c r="C1307" s="3" t="s">
        <v>3</v>
      </c>
      <c r="D1307" s="4"/>
      <c r="E1307" s="4"/>
    </row>
    <row r="1308">
      <c r="A1308" s="3" t="s">
        <v>1505</v>
      </c>
      <c r="B1308" s="3" t="s">
        <v>2</v>
      </c>
      <c r="C1308" s="3" t="s">
        <v>3</v>
      </c>
      <c r="D1308" s="4"/>
      <c r="E1308" s="4"/>
    </row>
    <row r="1309">
      <c r="A1309" s="3" t="s">
        <v>1506</v>
      </c>
      <c r="B1309" s="3" t="s">
        <v>2</v>
      </c>
      <c r="C1309" s="3" t="s">
        <v>3</v>
      </c>
      <c r="D1309" s="4"/>
      <c r="E1309" s="4"/>
    </row>
    <row r="1310">
      <c r="A1310" s="3" t="s">
        <v>1507</v>
      </c>
      <c r="B1310" s="3" t="s">
        <v>2</v>
      </c>
      <c r="C1310" s="3" t="s">
        <v>3</v>
      </c>
      <c r="D1310" s="4"/>
      <c r="E1310" s="4"/>
    </row>
    <row r="1311">
      <c r="A1311" s="3" t="s">
        <v>1508</v>
      </c>
      <c r="B1311" s="3" t="s">
        <v>2</v>
      </c>
      <c r="C1311" s="3" t="s">
        <v>3</v>
      </c>
      <c r="D1311" s="4"/>
      <c r="E1311" s="4"/>
    </row>
    <row r="1312">
      <c r="A1312" s="3" t="s">
        <v>1509</v>
      </c>
      <c r="B1312" s="3" t="s">
        <v>2</v>
      </c>
      <c r="C1312" s="3" t="s">
        <v>3</v>
      </c>
      <c r="D1312" s="4"/>
      <c r="E1312" s="4"/>
    </row>
    <row r="1313">
      <c r="A1313" s="3" t="s">
        <v>1510</v>
      </c>
      <c r="B1313" s="3" t="s">
        <v>22</v>
      </c>
      <c r="C1313" s="3" t="s">
        <v>3</v>
      </c>
      <c r="D1313" s="4"/>
      <c r="E1313" s="4"/>
    </row>
    <row r="1314">
      <c r="A1314" s="3" t="s">
        <v>1511</v>
      </c>
      <c r="B1314" s="3" t="s">
        <v>2</v>
      </c>
      <c r="C1314" s="3" t="s">
        <v>6</v>
      </c>
      <c r="D1314" s="4"/>
      <c r="E1314" s="4"/>
    </row>
    <row r="1315">
      <c r="A1315" s="3" t="s">
        <v>1512</v>
      </c>
      <c r="B1315" s="3" t="s">
        <v>1014</v>
      </c>
      <c r="C1315" s="3" t="s">
        <v>6</v>
      </c>
      <c r="D1315" s="4"/>
      <c r="E1315" s="4"/>
    </row>
    <row r="1316">
      <c r="A1316" s="3" t="s">
        <v>1513</v>
      </c>
      <c r="B1316" s="3" t="s">
        <v>2</v>
      </c>
      <c r="C1316" s="3" t="s">
        <v>6</v>
      </c>
      <c r="D1316" s="4"/>
      <c r="E1316" s="4"/>
    </row>
    <row r="1317">
      <c r="A1317" s="3" t="s">
        <v>1514</v>
      </c>
      <c r="B1317" s="3" t="s">
        <v>2</v>
      </c>
      <c r="C1317" s="3" t="s">
        <v>6</v>
      </c>
      <c r="D1317" s="4"/>
      <c r="E1317" s="4"/>
    </row>
    <row r="1318">
      <c r="A1318" s="3" t="s">
        <v>1515</v>
      </c>
      <c r="B1318" s="3" t="s">
        <v>684</v>
      </c>
      <c r="C1318" s="3" t="s">
        <v>16</v>
      </c>
      <c r="D1318" s="4"/>
      <c r="E1318" s="4"/>
    </row>
    <row r="1319">
      <c r="A1319" s="3" t="s">
        <v>1516</v>
      </c>
      <c r="B1319" s="3" t="s">
        <v>1517</v>
      </c>
      <c r="C1319" s="4"/>
      <c r="D1319" s="4"/>
      <c r="E1319" s="4"/>
    </row>
    <row r="1320">
      <c r="A1320" s="3" t="s">
        <v>1518</v>
      </c>
      <c r="B1320" s="3" t="s">
        <v>2</v>
      </c>
      <c r="C1320" s="3" t="s">
        <v>3</v>
      </c>
      <c r="D1320" s="4"/>
      <c r="E1320" s="4"/>
    </row>
    <row r="1321">
      <c r="A1321" s="3" t="s">
        <v>1519</v>
      </c>
      <c r="B1321" s="3" t="s">
        <v>2</v>
      </c>
      <c r="C1321" s="3" t="s">
        <v>3</v>
      </c>
      <c r="D1321" s="4"/>
      <c r="E1321" s="4"/>
    </row>
    <row r="1322">
      <c r="A1322" s="3" t="s">
        <v>1520</v>
      </c>
      <c r="B1322" s="3" t="s">
        <v>2</v>
      </c>
      <c r="C1322" s="3" t="s">
        <v>32</v>
      </c>
      <c r="D1322" s="4"/>
      <c r="E1322" s="4"/>
    </row>
    <row r="1323">
      <c r="A1323" s="3" t="s">
        <v>1521</v>
      </c>
      <c r="B1323" s="3" t="s">
        <v>2</v>
      </c>
      <c r="C1323" s="3" t="s">
        <v>6</v>
      </c>
      <c r="D1323" s="4"/>
      <c r="E1323" s="4"/>
    </row>
    <row r="1324">
      <c r="A1324" s="3" t="s">
        <v>1522</v>
      </c>
      <c r="B1324" s="3" t="s">
        <v>2</v>
      </c>
      <c r="C1324" s="3" t="s">
        <v>6</v>
      </c>
      <c r="D1324" s="4"/>
      <c r="E1324" s="4"/>
    </row>
    <row r="1325">
      <c r="A1325" s="3" t="s">
        <v>1523</v>
      </c>
      <c r="B1325" s="3" t="s">
        <v>22</v>
      </c>
      <c r="C1325" s="3" t="s">
        <v>32</v>
      </c>
      <c r="D1325" s="4"/>
      <c r="E1325" s="4"/>
    </row>
    <row r="1326">
      <c r="A1326" s="3" t="s">
        <v>1524</v>
      </c>
      <c r="B1326" s="3" t="s">
        <v>2</v>
      </c>
      <c r="C1326" s="3" t="s">
        <v>3</v>
      </c>
      <c r="D1326" s="4"/>
      <c r="E1326" s="4"/>
    </row>
    <row r="1327">
      <c r="A1327" s="3" t="s">
        <v>1525</v>
      </c>
      <c r="B1327" s="4"/>
      <c r="C1327" s="4"/>
      <c r="D1327" s="4"/>
      <c r="E1327" s="4"/>
    </row>
    <row r="1328">
      <c r="A1328" s="3" t="s">
        <v>1526</v>
      </c>
      <c r="B1328" s="3" t="s">
        <v>1265</v>
      </c>
      <c r="C1328" s="3" t="s">
        <v>6</v>
      </c>
      <c r="D1328" s="4"/>
      <c r="E1328" s="4"/>
    </row>
    <row r="1329">
      <c r="A1329" s="3" t="s">
        <v>1527</v>
      </c>
      <c r="B1329" s="4"/>
      <c r="C1329" s="4"/>
      <c r="D1329" s="4"/>
      <c r="E1329" s="4"/>
    </row>
    <row r="1330">
      <c r="A1330" s="3" t="s">
        <v>1528</v>
      </c>
      <c r="B1330" s="3" t="s">
        <v>2</v>
      </c>
      <c r="C1330" s="3" t="s">
        <v>29</v>
      </c>
      <c r="D1330" s="4"/>
      <c r="E1330" s="4"/>
    </row>
    <row r="1331">
      <c r="A1331" s="3" t="s">
        <v>1529</v>
      </c>
      <c r="B1331" s="3" t="s">
        <v>2</v>
      </c>
      <c r="C1331" s="3" t="s">
        <v>32</v>
      </c>
      <c r="D1331" s="4"/>
      <c r="E1331" s="4"/>
    </row>
    <row r="1332">
      <c r="A1332" s="3" t="s">
        <v>1530</v>
      </c>
      <c r="B1332" s="3" t="s">
        <v>2</v>
      </c>
      <c r="C1332" s="3" t="s">
        <v>32</v>
      </c>
      <c r="D1332" s="4"/>
      <c r="E1332" s="4"/>
    </row>
    <row r="1333">
      <c r="A1333" s="3" t="s">
        <v>1531</v>
      </c>
      <c r="B1333" s="3" t="s">
        <v>2</v>
      </c>
      <c r="C1333" s="3" t="s">
        <v>3</v>
      </c>
      <c r="D1333" s="4"/>
      <c r="E1333" s="4"/>
    </row>
    <row r="1334">
      <c r="A1334" s="3" t="s">
        <v>1532</v>
      </c>
      <c r="B1334" s="3" t="s">
        <v>2</v>
      </c>
      <c r="C1334" s="3" t="s">
        <v>6</v>
      </c>
      <c r="D1334" s="4"/>
      <c r="E1334" s="4"/>
    </row>
    <row r="1335">
      <c r="A1335" s="3" t="s">
        <v>1533</v>
      </c>
      <c r="B1335" s="3" t="s">
        <v>2</v>
      </c>
      <c r="C1335" s="3" t="s">
        <v>32</v>
      </c>
      <c r="D1335" s="4"/>
      <c r="E1335" s="4"/>
    </row>
    <row r="1336">
      <c r="A1336" s="3" t="s">
        <v>1534</v>
      </c>
      <c r="B1336" s="3" t="s">
        <v>2</v>
      </c>
      <c r="C1336" s="3" t="s">
        <v>6</v>
      </c>
      <c r="D1336" s="4"/>
      <c r="E1336" s="4"/>
    </row>
    <row r="1337">
      <c r="A1337" s="3" t="s">
        <v>1535</v>
      </c>
      <c r="B1337" s="3" t="s">
        <v>2</v>
      </c>
      <c r="C1337" s="3" t="s">
        <v>6</v>
      </c>
      <c r="D1337" s="4"/>
      <c r="E1337" s="4"/>
    </row>
    <row r="1338">
      <c r="A1338" s="3" t="s">
        <v>1536</v>
      </c>
      <c r="B1338" s="3" t="s">
        <v>533</v>
      </c>
      <c r="C1338" s="4"/>
      <c r="D1338" s="4"/>
      <c r="E1338" s="4"/>
    </row>
    <row r="1339">
      <c r="A1339" s="3" t="s">
        <v>1537</v>
      </c>
      <c r="B1339" s="3" t="s">
        <v>2</v>
      </c>
      <c r="C1339" s="3" t="s">
        <v>32</v>
      </c>
      <c r="D1339" s="4"/>
      <c r="E1339" s="4"/>
    </row>
    <row r="1340">
      <c r="A1340" s="3" t="s">
        <v>1538</v>
      </c>
      <c r="B1340" s="3" t="s">
        <v>2</v>
      </c>
      <c r="C1340" s="3" t="s">
        <v>3</v>
      </c>
      <c r="D1340" s="4"/>
      <c r="E1340" s="4"/>
    </row>
    <row r="1341">
      <c r="A1341" s="3" t="s">
        <v>1539</v>
      </c>
      <c r="B1341" s="3" t="s">
        <v>1540</v>
      </c>
      <c r="C1341" s="4"/>
      <c r="D1341" s="4"/>
      <c r="E1341" s="4"/>
    </row>
    <row r="1342">
      <c r="A1342" s="3" t="s">
        <v>1541</v>
      </c>
      <c r="B1342" s="3" t="s">
        <v>47</v>
      </c>
      <c r="C1342" s="3" t="s">
        <v>6</v>
      </c>
      <c r="D1342" s="4"/>
      <c r="E1342" s="4"/>
    </row>
    <row r="1343">
      <c r="A1343" s="3" t="s">
        <v>1542</v>
      </c>
      <c r="B1343" s="3" t="s">
        <v>2</v>
      </c>
      <c r="C1343" s="3" t="s">
        <v>3</v>
      </c>
      <c r="D1343" s="4"/>
      <c r="E1343" s="4"/>
    </row>
    <row r="1344">
      <c r="A1344" s="3" t="s">
        <v>1543</v>
      </c>
      <c r="B1344" s="3" t="s">
        <v>2</v>
      </c>
      <c r="C1344" s="3" t="s">
        <v>3</v>
      </c>
      <c r="D1344" s="4"/>
      <c r="E1344" s="4"/>
    </row>
    <row r="1345">
      <c r="A1345" s="3" t="s">
        <v>1544</v>
      </c>
      <c r="B1345" s="3" t="s">
        <v>382</v>
      </c>
      <c r="C1345" s="4"/>
      <c r="D1345" s="4"/>
      <c r="E1345" s="4"/>
    </row>
    <row r="1346">
      <c r="A1346" s="3" t="s">
        <v>1545</v>
      </c>
      <c r="B1346" s="3" t="s">
        <v>2</v>
      </c>
      <c r="C1346" s="3" t="s">
        <v>3</v>
      </c>
      <c r="D1346" s="4"/>
      <c r="E1346" s="4"/>
    </row>
    <row r="1347">
      <c r="A1347" s="3" t="s">
        <v>1546</v>
      </c>
      <c r="B1347" s="4"/>
      <c r="C1347" s="4"/>
      <c r="D1347" s="4"/>
      <c r="E1347" s="4"/>
    </row>
    <row r="1348">
      <c r="A1348" s="3" t="s">
        <v>1547</v>
      </c>
      <c r="B1348" s="3" t="s">
        <v>115</v>
      </c>
      <c r="C1348" s="4"/>
      <c r="D1348" s="4"/>
      <c r="E1348" s="4"/>
    </row>
    <row r="1349">
      <c r="A1349" s="3" t="s">
        <v>1548</v>
      </c>
      <c r="B1349" s="3" t="s">
        <v>2</v>
      </c>
      <c r="C1349" s="3" t="s">
        <v>484</v>
      </c>
      <c r="D1349" s="4"/>
      <c r="E1349" s="4"/>
    </row>
    <row r="1350">
      <c r="A1350" s="3" t="s">
        <v>1549</v>
      </c>
      <c r="B1350" s="3" t="s">
        <v>2</v>
      </c>
      <c r="C1350" s="3" t="s">
        <v>3</v>
      </c>
      <c r="D1350" s="4"/>
      <c r="E1350" s="4"/>
    </row>
    <row r="1351">
      <c r="A1351" s="3" t="s">
        <v>1550</v>
      </c>
      <c r="B1351" s="3" t="s">
        <v>11</v>
      </c>
      <c r="C1351" s="4"/>
      <c r="D1351" s="4"/>
      <c r="E1351" s="4"/>
    </row>
    <row r="1352">
      <c r="A1352" s="3" t="s">
        <v>1551</v>
      </c>
      <c r="B1352" s="3" t="s">
        <v>2</v>
      </c>
      <c r="C1352" s="3" t="s">
        <v>3</v>
      </c>
      <c r="D1352" s="4"/>
      <c r="E1352" s="4"/>
    </row>
    <row r="1353">
      <c r="A1353" s="3" t="s">
        <v>1552</v>
      </c>
      <c r="B1353" s="3" t="s">
        <v>570</v>
      </c>
      <c r="C1353" s="4"/>
      <c r="D1353" s="4"/>
      <c r="E1353" s="4"/>
    </row>
    <row r="1354">
      <c r="A1354" s="3" t="s">
        <v>1553</v>
      </c>
      <c r="B1354" s="3" t="s">
        <v>45</v>
      </c>
      <c r="C1354" s="4"/>
      <c r="D1354" s="4"/>
      <c r="E1354" s="4"/>
    </row>
    <row r="1355">
      <c r="A1355" s="3" t="s">
        <v>1554</v>
      </c>
      <c r="B1355" s="3" t="s">
        <v>13</v>
      </c>
      <c r="C1355" s="4"/>
      <c r="D1355" s="4"/>
      <c r="E1355" s="4"/>
    </row>
    <row r="1356">
      <c r="A1356" s="3" t="s">
        <v>1555</v>
      </c>
      <c r="B1356" s="3" t="s">
        <v>2</v>
      </c>
      <c r="C1356" s="3" t="s">
        <v>32</v>
      </c>
      <c r="D1356" s="4"/>
      <c r="E1356" s="4"/>
    </row>
    <row r="1357">
      <c r="A1357" s="3" t="s">
        <v>1556</v>
      </c>
      <c r="B1357" s="3" t="s">
        <v>1557</v>
      </c>
      <c r="C1357" s="4"/>
      <c r="D1357" s="4"/>
      <c r="E1357" s="4"/>
    </row>
    <row r="1358">
      <c r="A1358" s="3" t="s">
        <v>1558</v>
      </c>
      <c r="B1358" s="4"/>
      <c r="C1358" s="4"/>
      <c r="D1358" s="4"/>
      <c r="E1358" s="4"/>
    </row>
    <row r="1359">
      <c r="A1359" s="3" t="s">
        <v>1559</v>
      </c>
      <c r="B1359" s="3" t="s">
        <v>1560</v>
      </c>
      <c r="C1359" s="3" t="s">
        <v>3</v>
      </c>
      <c r="D1359" s="4"/>
      <c r="E1359" s="4"/>
    </row>
    <row r="1360">
      <c r="A1360" s="3" t="s">
        <v>1561</v>
      </c>
      <c r="B1360" s="3" t="s">
        <v>172</v>
      </c>
      <c r="C1360" s="3" t="s">
        <v>6</v>
      </c>
      <c r="D1360" s="4"/>
      <c r="E1360" s="4"/>
    </row>
    <row r="1361">
      <c r="A1361" s="3" t="s">
        <v>1562</v>
      </c>
      <c r="B1361" s="3" t="s">
        <v>2</v>
      </c>
      <c r="C1361" s="3" t="s">
        <v>3</v>
      </c>
      <c r="D1361" s="4"/>
      <c r="E1361" s="4"/>
    </row>
    <row r="1362">
      <c r="A1362" s="3" t="s">
        <v>1563</v>
      </c>
      <c r="B1362" s="3" t="s">
        <v>1564</v>
      </c>
      <c r="C1362" s="4"/>
      <c r="D1362" s="4"/>
      <c r="E1362" s="4"/>
    </row>
    <row r="1363">
      <c r="A1363" s="3" t="s">
        <v>1565</v>
      </c>
      <c r="B1363" s="3" t="s">
        <v>42</v>
      </c>
      <c r="C1363" s="4"/>
      <c r="D1363" s="4"/>
      <c r="E1363" s="4"/>
    </row>
    <row r="1364">
      <c r="A1364" s="3" t="s">
        <v>1566</v>
      </c>
      <c r="B1364" s="3" t="s">
        <v>1567</v>
      </c>
      <c r="C1364" s="3" t="s">
        <v>32</v>
      </c>
      <c r="D1364" s="4"/>
      <c r="E1364" s="4"/>
    </row>
    <row r="1365">
      <c r="A1365" s="3" t="s">
        <v>1568</v>
      </c>
      <c r="B1365" s="3" t="s">
        <v>72</v>
      </c>
      <c r="C1365" s="3" t="s">
        <v>32</v>
      </c>
      <c r="D1365" s="4"/>
      <c r="E1365" s="4"/>
    </row>
    <row r="1366">
      <c r="A1366" s="3" t="s">
        <v>1569</v>
      </c>
      <c r="B1366" s="3" t="s">
        <v>1570</v>
      </c>
      <c r="C1366" s="3" t="s">
        <v>6</v>
      </c>
      <c r="D1366" s="4"/>
      <c r="E1366" s="4"/>
    </row>
    <row r="1367">
      <c r="A1367" s="3" t="s">
        <v>1571</v>
      </c>
      <c r="B1367" s="4"/>
      <c r="C1367" s="4"/>
      <c r="D1367" s="4"/>
      <c r="E1367" s="4"/>
    </row>
    <row r="1368">
      <c r="A1368" s="3" t="s">
        <v>1572</v>
      </c>
      <c r="B1368" s="3" t="s">
        <v>2</v>
      </c>
      <c r="C1368" s="3" t="s">
        <v>3</v>
      </c>
      <c r="D1368" s="4"/>
      <c r="E1368" s="4"/>
    </row>
    <row r="1369">
      <c r="A1369" s="3" t="s">
        <v>1573</v>
      </c>
      <c r="B1369" s="3" t="s">
        <v>2</v>
      </c>
      <c r="C1369" s="3" t="s">
        <v>3</v>
      </c>
      <c r="D1369" s="4"/>
      <c r="E1369" s="4"/>
    </row>
    <row r="1370">
      <c r="A1370" s="3" t="s">
        <v>1574</v>
      </c>
      <c r="B1370" s="3" t="s">
        <v>65</v>
      </c>
      <c r="C1370" s="3" t="s">
        <v>6</v>
      </c>
      <c r="D1370" s="4"/>
      <c r="E1370" s="4"/>
    </row>
    <row r="1371">
      <c r="A1371" s="3" t="s">
        <v>1575</v>
      </c>
      <c r="B1371" s="3" t="s">
        <v>579</v>
      </c>
      <c r="C1371" s="4"/>
      <c r="D1371" s="4"/>
      <c r="E1371" s="4"/>
    </row>
    <row r="1372">
      <c r="A1372" s="3" t="s">
        <v>1576</v>
      </c>
      <c r="B1372" s="3" t="s">
        <v>2</v>
      </c>
      <c r="C1372" s="3" t="s">
        <v>3</v>
      </c>
      <c r="D1372" s="4"/>
      <c r="E1372" s="4"/>
    </row>
    <row r="1373">
      <c r="A1373" s="3" t="s">
        <v>1577</v>
      </c>
      <c r="B1373" s="3" t="s">
        <v>47</v>
      </c>
      <c r="C1373" s="4"/>
      <c r="D1373" s="4"/>
      <c r="E1373" s="4"/>
    </row>
    <row r="1374">
      <c r="A1374" s="3" t="s">
        <v>1578</v>
      </c>
      <c r="B1374" s="3" t="s">
        <v>2</v>
      </c>
      <c r="C1374" s="3" t="s">
        <v>6</v>
      </c>
      <c r="D1374" s="4"/>
      <c r="E1374" s="4"/>
    </row>
    <row r="1375">
      <c r="A1375" s="3" t="s">
        <v>1579</v>
      </c>
      <c r="B1375" s="3" t="s">
        <v>1580</v>
      </c>
      <c r="C1375" s="3" t="s">
        <v>32</v>
      </c>
      <c r="D1375" s="4"/>
      <c r="E1375" s="4"/>
    </row>
    <row r="1376">
      <c r="A1376" s="3" t="s">
        <v>1581</v>
      </c>
      <c r="B1376" s="3" t="s">
        <v>72</v>
      </c>
      <c r="C1376" s="3" t="s">
        <v>32</v>
      </c>
      <c r="D1376" s="4"/>
      <c r="E1376" s="4"/>
    </row>
    <row r="1377">
      <c r="A1377" s="3" t="s">
        <v>1582</v>
      </c>
      <c r="B1377" s="3" t="s">
        <v>2</v>
      </c>
      <c r="C1377" s="3" t="s">
        <v>29</v>
      </c>
      <c r="D1377" s="4"/>
      <c r="E1377" s="4"/>
    </row>
    <row r="1378">
      <c r="A1378" s="3" t="s">
        <v>1583</v>
      </c>
      <c r="B1378" s="3" t="s">
        <v>2</v>
      </c>
      <c r="C1378" s="3" t="s">
        <v>6</v>
      </c>
      <c r="D1378" s="4"/>
      <c r="E1378" s="4"/>
    </row>
    <row r="1379">
      <c r="A1379" s="3" t="s">
        <v>1584</v>
      </c>
      <c r="B1379" s="3" t="s">
        <v>2</v>
      </c>
      <c r="C1379" s="3" t="s">
        <v>6</v>
      </c>
      <c r="D1379" s="4"/>
      <c r="E1379" s="4"/>
    </row>
    <row r="1380">
      <c r="A1380" s="3" t="s">
        <v>1585</v>
      </c>
      <c r="B1380" s="3" t="s">
        <v>1586</v>
      </c>
      <c r="C1380" s="3" t="s">
        <v>32</v>
      </c>
      <c r="D1380" s="4"/>
      <c r="E1380" s="4"/>
    </row>
    <row r="1381">
      <c r="A1381" s="3" t="s">
        <v>1587</v>
      </c>
      <c r="B1381" s="3" t="s">
        <v>2</v>
      </c>
      <c r="C1381" s="3" t="s">
        <v>3</v>
      </c>
      <c r="D1381" s="4"/>
      <c r="E1381" s="4"/>
    </row>
    <row r="1382">
      <c r="A1382" s="3" t="s">
        <v>1588</v>
      </c>
      <c r="B1382" s="3" t="s">
        <v>2</v>
      </c>
      <c r="C1382" s="3" t="s">
        <v>3</v>
      </c>
      <c r="D1382" s="4"/>
      <c r="E1382" s="4"/>
    </row>
    <row r="1383">
      <c r="A1383" s="3" t="s">
        <v>1589</v>
      </c>
      <c r="B1383" s="3" t="s">
        <v>22</v>
      </c>
      <c r="C1383" s="3" t="s">
        <v>32</v>
      </c>
      <c r="D1383" s="4"/>
      <c r="E1383" s="4"/>
    </row>
    <row r="1384">
      <c r="A1384" s="3" t="s">
        <v>1590</v>
      </c>
      <c r="B1384" s="3" t="s">
        <v>125</v>
      </c>
      <c r="C1384" s="4"/>
      <c r="D1384" s="4"/>
      <c r="E1384" s="4"/>
    </row>
    <row r="1385">
      <c r="A1385" s="3" t="s">
        <v>1591</v>
      </c>
      <c r="B1385" s="3" t="s">
        <v>2</v>
      </c>
      <c r="C1385" s="3" t="s">
        <v>3</v>
      </c>
      <c r="D1385" s="4"/>
      <c r="E1385" s="4"/>
    </row>
    <row r="1386">
      <c r="A1386" s="3" t="s">
        <v>1592</v>
      </c>
      <c r="B1386" s="3" t="s">
        <v>20</v>
      </c>
      <c r="C1386" s="4"/>
      <c r="D1386" s="4"/>
      <c r="E1386" s="4"/>
    </row>
    <row r="1387">
      <c r="A1387" s="3" t="s">
        <v>1593</v>
      </c>
      <c r="B1387" s="3" t="s">
        <v>2</v>
      </c>
      <c r="C1387" s="3" t="s">
        <v>3</v>
      </c>
      <c r="D1387" s="4"/>
      <c r="E1387" s="4"/>
    </row>
    <row r="1388">
      <c r="A1388" s="3" t="s">
        <v>1594</v>
      </c>
      <c r="B1388" s="3" t="s">
        <v>79</v>
      </c>
      <c r="C1388" s="3" t="s">
        <v>6</v>
      </c>
      <c r="D1388" s="4"/>
      <c r="E1388" s="4"/>
    </row>
    <row r="1389">
      <c r="A1389" s="3" t="s">
        <v>1595</v>
      </c>
      <c r="B1389" s="3" t="s">
        <v>2</v>
      </c>
      <c r="C1389" s="3" t="s">
        <v>6</v>
      </c>
      <c r="D1389" s="4"/>
      <c r="E1389" s="4"/>
    </row>
    <row r="1390">
      <c r="A1390" s="3" t="s">
        <v>1596</v>
      </c>
      <c r="B1390" s="3" t="s">
        <v>1597</v>
      </c>
      <c r="C1390" s="3" t="s">
        <v>580</v>
      </c>
      <c r="D1390" s="4"/>
      <c r="E1390" s="4"/>
    </row>
    <row r="1391">
      <c r="A1391" s="4"/>
      <c r="B1391" s="4"/>
      <c r="C1391" s="3" t="s">
        <v>581</v>
      </c>
      <c r="D1391" s="4"/>
      <c r="E1391" s="4"/>
    </row>
    <row r="1392">
      <c r="A1392" s="3" t="s">
        <v>1598</v>
      </c>
      <c r="B1392" s="3" t="s">
        <v>2</v>
      </c>
      <c r="C1392" s="3" t="s">
        <v>32</v>
      </c>
      <c r="D1392" s="4"/>
      <c r="E1392" s="4"/>
    </row>
    <row r="1393">
      <c r="A1393" s="3" t="s">
        <v>1599</v>
      </c>
      <c r="B1393" s="3" t="s">
        <v>2</v>
      </c>
      <c r="C1393" s="3" t="s">
        <v>6</v>
      </c>
      <c r="D1393" s="4"/>
      <c r="E1393" s="4"/>
    </row>
    <row r="1394">
      <c r="A1394" s="3" t="s">
        <v>1600</v>
      </c>
      <c r="B1394" s="3" t="s">
        <v>1601</v>
      </c>
      <c r="C1394" s="3" t="s">
        <v>32</v>
      </c>
      <c r="D1394" s="4"/>
      <c r="E1394" s="4"/>
    </row>
    <row r="1395">
      <c r="A1395" s="3" t="s">
        <v>1602</v>
      </c>
      <c r="B1395" s="3" t="s">
        <v>406</v>
      </c>
      <c r="C1395" s="4"/>
      <c r="D1395" s="4"/>
      <c r="E1395" s="4"/>
    </row>
    <row r="1396">
      <c r="A1396" s="3" t="s">
        <v>1603</v>
      </c>
      <c r="B1396" s="3" t="s">
        <v>125</v>
      </c>
      <c r="C1396" s="3" t="s">
        <v>3</v>
      </c>
      <c r="D1396" s="4"/>
      <c r="E1396" s="4"/>
    </row>
    <row r="1397">
      <c r="A1397" s="3" t="s">
        <v>1604</v>
      </c>
      <c r="B1397" s="3" t="s">
        <v>1605</v>
      </c>
      <c r="C1397" s="4"/>
      <c r="D1397" s="4"/>
      <c r="E1397" s="4"/>
    </row>
    <row r="1398">
      <c r="A1398" s="3" t="s">
        <v>1606</v>
      </c>
      <c r="B1398" s="3" t="s">
        <v>989</v>
      </c>
      <c r="C1398" s="3" t="s">
        <v>3</v>
      </c>
      <c r="D1398" s="4"/>
      <c r="E1398" s="4"/>
    </row>
    <row r="1399">
      <c r="A1399" s="3" t="s">
        <v>1607</v>
      </c>
      <c r="B1399" s="3" t="s">
        <v>2</v>
      </c>
      <c r="C1399" s="3" t="s">
        <v>3</v>
      </c>
      <c r="D1399" s="4"/>
      <c r="E1399" s="4"/>
    </row>
    <row r="1400">
      <c r="A1400" s="3" t="s">
        <v>1608</v>
      </c>
      <c r="B1400" s="3" t="s">
        <v>2</v>
      </c>
      <c r="C1400" s="3" t="s">
        <v>3</v>
      </c>
      <c r="D1400" s="4"/>
      <c r="E1400" s="4"/>
    </row>
    <row r="1401">
      <c r="A1401" s="3" t="s">
        <v>1609</v>
      </c>
      <c r="B1401" s="3" t="s">
        <v>51</v>
      </c>
      <c r="C1401" s="3" t="s">
        <v>32</v>
      </c>
      <c r="D1401" s="4"/>
      <c r="E1401" s="4"/>
    </row>
    <row r="1402">
      <c r="A1402" s="3" t="s">
        <v>1610</v>
      </c>
      <c r="B1402" s="3" t="s">
        <v>115</v>
      </c>
      <c r="C1402" s="4"/>
      <c r="D1402" s="4"/>
      <c r="E1402" s="4"/>
    </row>
    <row r="1403">
      <c r="A1403" s="3" t="s">
        <v>1611</v>
      </c>
      <c r="B1403" s="3" t="s">
        <v>115</v>
      </c>
      <c r="C1403" s="4"/>
      <c r="D1403" s="4"/>
      <c r="E1403" s="4"/>
    </row>
    <row r="1404">
      <c r="A1404" s="3" t="s">
        <v>1612</v>
      </c>
      <c r="B1404" s="3" t="s">
        <v>406</v>
      </c>
      <c r="C1404" s="3" t="s">
        <v>3</v>
      </c>
      <c r="D1404" s="4"/>
      <c r="E1404" s="4"/>
    </row>
    <row r="1405">
      <c r="A1405" s="3" t="s">
        <v>1613</v>
      </c>
      <c r="B1405" s="4"/>
      <c r="C1405" s="4"/>
      <c r="D1405" s="4"/>
      <c r="E1405" s="4"/>
    </row>
    <row r="1406">
      <c r="A1406" s="3" t="s">
        <v>1614</v>
      </c>
      <c r="B1406" s="3" t="s">
        <v>2</v>
      </c>
      <c r="C1406" s="3" t="s">
        <v>3</v>
      </c>
      <c r="D1406" s="4"/>
      <c r="E1406" s="4"/>
    </row>
    <row r="1407">
      <c r="A1407" s="3" t="s">
        <v>1615</v>
      </c>
      <c r="B1407" s="3" t="s">
        <v>20</v>
      </c>
      <c r="C1407" s="3" t="s">
        <v>3</v>
      </c>
      <c r="D1407" s="4"/>
      <c r="E1407" s="4"/>
    </row>
    <row r="1408">
      <c r="A1408" s="3" t="s">
        <v>1616</v>
      </c>
      <c r="B1408" s="4"/>
      <c r="C1408" s="4"/>
      <c r="D1408" s="4"/>
      <c r="E1408" s="4"/>
    </row>
    <row r="1409">
      <c r="A1409" s="3" t="s">
        <v>1617</v>
      </c>
      <c r="B1409" s="3" t="s">
        <v>2</v>
      </c>
      <c r="C1409" s="3" t="s">
        <v>3</v>
      </c>
      <c r="D1409" s="4"/>
      <c r="E1409" s="4"/>
    </row>
    <row r="1410">
      <c r="A1410" s="3" t="s">
        <v>1618</v>
      </c>
      <c r="B1410" s="3" t="s">
        <v>2</v>
      </c>
      <c r="C1410" s="3" t="s">
        <v>3</v>
      </c>
      <c r="D1410" s="4"/>
      <c r="E1410" s="4"/>
    </row>
    <row r="1411">
      <c r="A1411" s="3" t="s">
        <v>1619</v>
      </c>
      <c r="B1411" s="3" t="s">
        <v>2</v>
      </c>
      <c r="C1411" s="3" t="s">
        <v>29</v>
      </c>
      <c r="D1411" s="4"/>
      <c r="E1411" s="4"/>
    </row>
    <row r="1412">
      <c r="A1412" s="3" t="s">
        <v>1620</v>
      </c>
      <c r="B1412" s="3" t="s">
        <v>1621</v>
      </c>
      <c r="C1412" s="3" t="s">
        <v>216</v>
      </c>
      <c r="D1412" s="4"/>
      <c r="E1412" s="4"/>
    </row>
    <row r="1413">
      <c r="A1413" s="3" t="s">
        <v>1622</v>
      </c>
      <c r="B1413" s="3" t="s">
        <v>2</v>
      </c>
      <c r="C1413" s="3" t="s">
        <v>3</v>
      </c>
      <c r="D1413" s="4"/>
      <c r="E1413" s="4"/>
    </row>
    <row r="1414">
      <c r="A1414" s="3" t="s">
        <v>1623</v>
      </c>
      <c r="B1414" s="3" t="s">
        <v>2</v>
      </c>
      <c r="C1414" s="3" t="s">
        <v>6</v>
      </c>
      <c r="D1414" s="4"/>
      <c r="E1414" s="4"/>
    </row>
    <row r="1415">
      <c r="A1415" s="3" t="s">
        <v>1624</v>
      </c>
      <c r="B1415" s="3" t="s">
        <v>938</v>
      </c>
      <c r="C1415" s="4"/>
      <c r="D1415" s="4"/>
      <c r="E1415" s="4"/>
    </row>
    <row r="1416">
      <c r="A1416" s="3" t="s">
        <v>1625</v>
      </c>
      <c r="B1416" s="3" t="s">
        <v>2</v>
      </c>
      <c r="C1416" s="3" t="s">
        <v>29</v>
      </c>
      <c r="D1416" s="4"/>
      <c r="E1416" s="4"/>
    </row>
    <row r="1417">
      <c r="A1417" s="3" t="s">
        <v>1626</v>
      </c>
      <c r="B1417" s="3" t="s">
        <v>51</v>
      </c>
      <c r="C1417" s="3" t="s">
        <v>29</v>
      </c>
      <c r="D1417" s="4"/>
      <c r="E1417" s="4"/>
    </row>
    <row r="1418">
      <c r="A1418" s="3" t="s">
        <v>1627</v>
      </c>
      <c r="B1418" s="3" t="s">
        <v>2</v>
      </c>
      <c r="C1418" s="3" t="s">
        <v>6</v>
      </c>
      <c r="D1418" s="4"/>
      <c r="E1418" s="4"/>
    </row>
    <row r="1419">
      <c r="A1419" s="3" t="s">
        <v>1628</v>
      </c>
      <c r="B1419" s="3" t="s">
        <v>115</v>
      </c>
      <c r="C1419" s="4"/>
      <c r="D1419" s="4"/>
      <c r="E1419" s="4"/>
    </row>
    <row r="1420">
      <c r="A1420" s="3" t="s">
        <v>1629</v>
      </c>
      <c r="B1420" s="3" t="s">
        <v>2</v>
      </c>
      <c r="C1420" s="3" t="s">
        <v>3</v>
      </c>
      <c r="D1420" s="4"/>
      <c r="E1420" s="4"/>
    </row>
    <row r="1421">
      <c r="A1421" s="3" t="s">
        <v>1630</v>
      </c>
      <c r="B1421" s="3" t="s">
        <v>2</v>
      </c>
      <c r="C1421" s="3" t="s">
        <v>3</v>
      </c>
      <c r="D1421" s="4"/>
      <c r="E1421" s="4"/>
    </row>
    <row r="1422">
      <c r="A1422" s="3" t="s">
        <v>1631</v>
      </c>
      <c r="B1422" s="3" t="s">
        <v>2</v>
      </c>
      <c r="C1422" s="3" t="s">
        <v>3</v>
      </c>
      <c r="D1422" s="4"/>
      <c r="E1422" s="4"/>
    </row>
    <row r="1423">
      <c r="A1423" s="3" t="s">
        <v>1632</v>
      </c>
      <c r="B1423" s="3" t="s">
        <v>2</v>
      </c>
      <c r="C1423" s="3" t="s">
        <v>3</v>
      </c>
      <c r="D1423" s="4"/>
      <c r="E1423" s="4"/>
    </row>
    <row r="1424">
      <c r="A1424" s="3" t="s">
        <v>1633</v>
      </c>
      <c r="B1424" s="3" t="s">
        <v>2</v>
      </c>
      <c r="C1424" s="3" t="s">
        <v>668</v>
      </c>
      <c r="D1424" s="4"/>
      <c r="E1424" s="4"/>
    </row>
    <row r="1425">
      <c r="A1425" s="3" t="s">
        <v>1634</v>
      </c>
      <c r="B1425" s="3" t="s">
        <v>2</v>
      </c>
      <c r="C1425" s="3" t="s">
        <v>3</v>
      </c>
      <c r="D1425" s="4"/>
      <c r="E1425" s="4"/>
    </row>
    <row r="1426">
      <c r="A1426" s="3" t="s">
        <v>1635</v>
      </c>
      <c r="B1426" s="3" t="s">
        <v>1636</v>
      </c>
      <c r="C1426" s="3" t="s">
        <v>3</v>
      </c>
      <c r="D1426" s="4"/>
      <c r="E1426" s="4"/>
    </row>
    <row r="1427">
      <c r="A1427" s="3" t="s">
        <v>1637</v>
      </c>
      <c r="B1427" s="3" t="s">
        <v>1638</v>
      </c>
      <c r="C1427" s="4"/>
      <c r="D1427" s="4"/>
      <c r="E1427" s="4"/>
    </row>
    <row r="1428">
      <c r="A1428" s="3" t="s">
        <v>1639</v>
      </c>
      <c r="B1428" s="3" t="s">
        <v>1640</v>
      </c>
      <c r="C1428" s="4"/>
      <c r="D1428" s="4"/>
      <c r="E1428" s="4"/>
    </row>
    <row r="1429">
      <c r="A1429" s="3" t="s">
        <v>1641</v>
      </c>
      <c r="B1429" s="3" t="s">
        <v>18</v>
      </c>
      <c r="C1429" s="4"/>
      <c r="D1429" s="4"/>
      <c r="E1429" s="4"/>
    </row>
    <row r="1430">
      <c r="A1430" s="3" t="s">
        <v>1642</v>
      </c>
      <c r="B1430" s="3" t="s">
        <v>20</v>
      </c>
      <c r="C1430" s="4"/>
      <c r="D1430" s="4"/>
      <c r="E1430" s="4"/>
    </row>
    <row r="1431">
      <c r="A1431" s="3" t="s">
        <v>1643</v>
      </c>
      <c r="B1431" s="3" t="s">
        <v>1644</v>
      </c>
      <c r="C1431" s="4"/>
      <c r="D1431" s="4"/>
      <c r="E1431" s="4"/>
    </row>
    <row r="1432">
      <c r="A1432" s="3" t="s">
        <v>1645</v>
      </c>
      <c r="B1432" s="3" t="s">
        <v>2</v>
      </c>
      <c r="C1432" s="3" t="s">
        <v>3</v>
      </c>
      <c r="D1432" s="4"/>
      <c r="E1432" s="4"/>
    </row>
    <row r="1433">
      <c r="A1433" s="3" t="s">
        <v>1646</v>
      </c>
      <c r="B1433" s="3" t="s">
        <v>2</v>
      </c>
      <c r="C1433" s="3" t="s">
        <v>32</v>
      </c>
      <c r="D1433" s="4"/>
      <c r="E1433" s="4"/>
    </row>
    <row r="1434">
      <c r="A1434" s="3" t="s">
        <v>1647</v>
      </c>
      <c r="B1434" s="3" t="s">
        <v>1648</v>
      </c>
      <c r="C1434" s="3" t="s">
        <v>3</v>
      </c>
      <c r="D1434" s="4"/>
      <c r="E1434" s="4"/>
    </row>
    <row r="1435">
      <c r="A1435" s="3" t="s">
        <v>1649</v>
      </c>
      <c r="B1435" s="4"/>
      <c r="C1435" s="4"/>
      <c r="D1435" s="4"/>
      <c r="E1435" s="4"/>
    </row>
    <row r="1436">
      <c r="A1436" s="3" t="s">
        <v>1650</v>
      </c>
      <c r="B1436" s="3" t="s">
        <v>2</v>
      </c>
      <c r="C1436" s="3" t="s">
        <v>1651</v>
      </c>
      <c r="D1436" s="4"/>
      <c r="E1436" s="4"/>
    </row>
    <row r="1437">
      <c r="A1437" s="3" t="s">
        <v>1652</v>
      </c>
      <c r="B1437" s="3" t="s">
        <v>2</v>
      </c>
      <c r="C1437" s="3" t="s">
        <v>3</v>
      </c>
      <c r="D1437" s="4"/>
      <c r="E1437" s="4"/>
    </row>
    <row r="1438">
      <c r="A1438" s="3" t="s">
        <v>1653</v>
      </c>
      <c r="B1438" s="3" t="s">
        <v>11</v>
      </c>
      <c r="C1438" s="4"/>
      <c r="D1438" s="4"/>
      <c r="E1438" s="4"/>
    </row>
    <row r="1439">
      <c r="A1439" s="3" t="s">
        <v>1654</v>
      </c>
      <c r="B1439" s="3" t="s">
        <v>1655</v>
      </c>
      <c r="C1439" s="4"/>
      <c r="D1439" s="4"/>
      <c r="E1439" s="4"/>
    </row>
    <row r="1440">
      <c r="A1440" s="3" t="s">
        <v>1656</v>
      </c>
      <c r="B1440" s="3" t="s">
        <v>65</v>
      </c>
      <c r="C1440" s="4"/>
      <c r="D1440" s="4"/>
      <c r="E1440" s="4"/>
    </row>
    <row r="1441">
      <c r="A1441" s="3" t="s">
        <v>1657</v>
      </c>
      <c r="B1441" s="3" t="s">
        <v>2</v>
      </c>
      <c r="C1441" s="3" t="s">
        <v>3</v>
      </c>
      <c r="D1441" s="4"/>
      <c r="E1441" s="4"/>
    </row>
    <row r="1442">
      <c r="A1442" s="3" t="s">
        <v>1658</v>
      </c>
      <c r="B1442" s="3" t="s">
        <v>115</v>
      </c>
      <c r="C1442" s="4"/>
      <c r="D1442" s="4"/>
      <c r="E1442" s="4"/>
    </row>
    <row r="1443">
      <c r="A1443" s="3" t="s">
        <v>1659</v>
      </c>
      <c r="B1443" s="3" t="s">
        <v>282</v>
      </c>
      <c r="C1443" s="4"/>
      <c r="D1443" s="4"/>
      <c r="E1443" s="4"/>
    </row>
    <row r="1444">
      <c r="A1444" s="3" t="s">
        <v>1660</v>
      </c>
      <c r="B1444" s="3" t="s">
        <v>2</v>
      </c>
      <c r="C1444" s="3" t="s">
        <v>3</v>
      </c>
      <c r="D1444" s="4"/>
      <c r="E1444" s="4"/>
    </row>
    <row r="1445">
      <c r="A1445" s="3" t="s">
        <v>1661</v>
      </c>
      <c r="B1445" s="3" t="s">
        <v>2</v>
      </c>
      <c r="C1445" s="3" t="s">
        <v>3</v>
      </c>
      <c r="D1445" s="4"/>
      <c r="E1445" s="4"/>
    </row>
    <row r="1446">
      <c r="A1446" s="3" t="s">
        <v>1662</v>
      </c>
      <c r="B1446" s="3" t="s">
        <v>1040</v>
      </c>
      <c r="C1446" s="4"/>
      <c r="D1446" s="4"/>
      <c r="E1446" s="4"/>
    </row>
    <row r="1447">
      <c r="A1447" s="3" t="s">
        <v>1663</v>
      </c>
      <c r="B1447" s="3" t="s">
        <v>282</v>
      </c>
      <c r="C1447" s="4"/>
      <c r="D1447" s="4"/>
      <c r="E1447" s="4"/>
    </row>
    <row r="1448">
      <c r="A1448" s="3" t="s">
        <v>1664</v>
      </c>
      <c r="B1448" s="3" t="s">
        <v>2</v>
      </c>
      <c r="C1448" s="3" t="s">
        <v>3</v>
      </c>
      <c r="D1448" s="4"/>
      <c r="E1448" s="4"/>
    </row>
    <row r="1449">
      <c r="A1449" s="3" t="s">
        <v>1665</v>
      </c>
      <c r="B1449" s="3" t="s">
        <v>1024</v>
      </c>
      <c r="C1449" s="3" t="s">
        <v>580</v>
      </c>
      <c r="D1449" s="4"/>
      <c r="E1449" s="4"/>
    </row>
    <row r="1450">
      <c r="A1450" s="4"/>
      <c r="B1450" s="4"/>
      <c r="C1450" s="3" t="s">
        <v>581</v>
      </c>
      <c r="D1450" s="4"/>
      <c r="E1450" s="4"/>
    </row>
    <row r="1451">
      <c r="A1451" s="3" t="s">
        <v>1666</v>
      </c>
      <c r="B1451" s="3" t="s">
        <v>2</v>
      </c>
      <c r="C1451" s="3" t="s">
        <v>6</v>
      </c>
      <c r="D1451" s="4"/>
      <c r="E1451" s="4"/>
    </row>
    <row r="1452">
      <c r="A1452" s="3" t="s">
        <v>1667</v>
      </c>
      <c r="B1452" s="3" t="s">
        <v>125</v>
      </c>
      <c r="C1452" s="4"/>
      <c r="D1452" s="4"/>
      <c r="E1452" s="4"/>
    </row>
    <row r="1453">
      <c r="A1453" s="3" t="s">
        <v>1668</v>
      </c>
      <c r="B1453" s="3" t="s">
        <v>2</v>
      </c>
      <c r="C1453" s="3" t="s">
        <v>3</v>
      </c>
      <c r="D1453" s="4"/>
      <c r="E1453" s="4"/>
    </row>
    <row r="1454">
      <c r="A1454" s="3" t="s">
        <v>1669</v>
      </c>
      <c r="B1454" s="3" t="s">
        <v>11</v>
      </c>
      <c r="C1454" s="3" t="s">
        <v>32</v>
      </c>
      <c r="D1454" s="4"/>
      <c r="E1454" s="4"/>
    </row>
    <row r="1455">
      <c r="A1455" s="3" t="s">
        <v>1670</v>
      </c>
      <c r="B1455" s="3" t="s">
        <v>2</v>
      </c>
      <c r="C1455" s="3" t="s">
        <v>3</v>
      </c>
      <c r="D1455" s="4"/>
      <c r="E1455" s="4"/>
    </row>
    <row r="1456">
      <c r="A1456" s="3" t="s">
        <v>1671</v>
      </c>
      <c r="B1456" s="3" t="s">
        <v>1424</v>
      </c>
      <c r="C1456" s="4"/>
      <c r="D1456" s="4"/>
      <c r="E1456" s="4"/>
    </row>
    <row r="1457">
      <c r="A1457" s="3" t="s">
        <v>1672</v>
      </c>
      <c r="B1457" s="3" t="s">
        <v>125</v>
      </c>
      <c r="C1457" s="4"/>
      <c r="D1457" s="4"/>
      <c r="E1457" s="4"/>
    </row>
    <row r="1458">
      <c r="A1458" s="3" t="s">
        <v>1673</v>
      </c>
      <c r="B1458" s="3" t="s">
        <v>1674</v>
      </c>
      <c r="C1458" s="3" t="s">
        <v>6</v>
      </c>
      <c r="D1458" s="4"/>
      <c r="E1458" s="4"/>
    </row>
    <row r="1459">
      <c r="A1459" s="3" t="s">
        <v>1675</v>
      </c>
      <c r="B1459" s="3" t="s">
        <v>2</v>
      </c>
      <c r="C1459" s="3" t="s">
        <v>3</v>
      </c>
      <c r="D1459" s="4"/>
      <c r="E1459" s="4"/>
    </row>
    <row r="1460">
      <c r="A1460" s="3" t="s">
        <v>1676</v>
      </c>
      <c r="B1460" s="3" t="s">
        <v>1677</v>
      </c>
      <c r="C1460" s="3" t="s">
        <v>580</v>
      </c>
      <c r="D1460" s="4"/>
      <c r="E1460" s="4"/>
    </row>
    <row r="1461">
      <c r="A1461" s="4"/>
      <c r="B1461" s="4"/>
      <c r="C1461" s="3" t="s">
        <v>581</v>
      </c>
      <c r="D1461" s="4"/>
      <c r="E1461" s="4"/>
    </row>
    <row r="1462">
      <c r="A1462" s="3" t="s">
        <v>1678</v>
      </c>
      <c r="B1462" s="3" t="s">
        <v>11</v>
      </c>
      <c r="C1462" s="3" t="s">
        <v>32</v>
      </c>
      <c r="D1462" s="4"/>
      <c r="E1462" s="4"/>
    </row>
    <row r="1463">
      <c r="A1463" s="3" t="s">
        <v>1679</v>
      </c>
      <c r="B1463" s="3" t="s">
        <v>13</v>
      </c>
      <c r="C1463" s="4"/>
      <c r="D1463" s="4"/>
      <c r="E1463" s="4"/>
    </row>
    <row r="1464">
      <c r="A1464" s="3" t="s">
        <v>1680</v>
      </c>
      <c r="B1464" s="3" t="s">
        <v>2</v>
      </c>
      <c r="C1464" s="3" t="s">
        <v>3</v>
      </c>
      <c r="D1464" s="4"/>
      <c r="E1464" s="4"/>
    </row>
    <row r="1465">
      <c r="A1465" s="3" t="s">
        <v>1681</v>
      </c>
      <c r="B1465" s="4"/>
      <c r="C1465" s="4"/>
      <c r="D1465" s="4"/>
      <c r="E1465" s="4"/>
    </row>
    <row r="1466">
      <c r="A1466" s="3" t="s">
        <v>1682</v>
      </c>
      <c r="B1466" s="3" t="s">
        <v>2</v>
      </c>
      <c r="C1466" s="3" t="s">
        <v>3</v>
      </c>
      <c r="D1466" s="4"/>
      <c r="E1466" s="4"/>
    </row>
    <row r="1467">
      <c r="A1467" s="3" t="s">
        <v>1683</v>
      </c>
      <c r="B1467" s="3" t="s">
        <v>1684</v>
      </c>
      <c r="C1467" s="4"/>
      <c r="D1467" s="4"/>
      <c r="E1467" s="4"/>
    </row>
    <row r="1468">
      <c r="A1468" s="3" t="s">
        <v>1685</v>
      </c>
      <c r="B1468" s="3" t="s">
        <v>2</v>
      </c>
      <c r="C1468" s="3" t="s">
        <v>3</v>
      </c>
      <c r="D1468" s="4"/>
      <c r="E1468" s="4"/>
    </row>
    <row r="1469">
      <c r="A1469" s="3" t="s">
        <v>1686</v>
      </c>
      <c r="B1469" s="3" t="s">
        <v>2</v>
      </c>
      <c r="C1469" s="3" t="s">
        <v>3</v>
      </c>
      <c r="D1469" s="4"/>
      <c r="E1469" s="4"/>
    </row>
    <row r="1470">
      <c r="A1470" s="3" t="s">
        <v>1687</v>
      </c>
      <c r="B1470" s="3" t="s">
        <v>2</v>
      </c>
      <c r="C1470" s="3" t="s">
        <v>29</v>
      </c>
      <c r="D1470" s="4"/>
      <c r="E1470" s="4"/>
    </row>
    <row r="1471">
      <c r="A1471" s="3" t="s">
        <v>1688</v>
      </c>
      <c r="B1471" s="3" t="s">
        <v>20</v>
      </c>
      <c r="C1471" s="3" t="s">
        <v>3</v>
      </c>
      <c r="D1471" s="4"/>
      <c r="E1471" s="4"/>
    </row>
    <row r="1472">
      <c r="A1472" s="3" t="s">
        <v>1689</v>
      </c>
      <c r="B1472" s="3" t="s">
        <v>575</v>
      </c>
      <c r="C1472" s="4"/>
      <c r="D1472" s="4"/>
      <c r="E1472" s="4"/>
    </row>
    <row r="1473">
      <c r="A1473" s="3" t="s">
        <v>1690</v>
      </c>
      <c r="B1473" s="3" t="s">
        <v>2</v>
      </c>
      <c r="C1473" s="3" t="s">
        <v>29</v>
      </c>
      <c r="D1473" s="4"/>
      <c r="E1473" s="4"/>
    </row>
    <row r="1474">
      <c r="A1474" s="3" t="s">
        <v>1691</v>
      </c>
      <c r="B1474" s="3" t="s">
        <v>2</v>
      </c>
      <c r="C1474" s="3" t="s">
        <v>484</v>
      </c>
      <c r="D1474" s="4"/>
      <c r="E1474" s="4"/>
    </row>
    <row r="1475">
      <c r="A1475" s="3" t="s">
        <v>1692</v>
      </c>
      <c r="B1475" s="3" t="s">
        <v>51</v>
      </c>
      <c r="C1475" s="3" t="s">
        <v>1693</v>
      </c>
      <c r="D1475" s="4"/>
      <c r="E1475" s="4"/>
    </row>
    <row r="1476">
      <c r="A1476" s="3" t="s">
        <v>1694</v>
      </c>
      <c r="B1476" s="3" t="s">
        <v>2</v>
      </c>
      <c r="C1476" s="3" t="s">
        <v>32</v>
      </c>
      <c r="D1476" s="4"/>
      <c r="E1476" s="4"/>
    </row>
    <row r="1477">
      <c r="A1477" s="3" t="s">
        <v>1695</v>
      </c>
      <c r="B1477" s="3" t="s">
        <v>2</v>
      </c>
      <c r="C1477" s="3" t="s">
        <v>3</v>
      </c>
      <c r="D1477" s="4"/>
      <c r="E1477" s="4"/>
    </row>
    <row r="1478">
      <c r="A1478" s="3" t="s">
        <v>1696</v>
      </c>
      <c r="B1478" s="3" t="s">
        <v>406</v>
      </c>
      <c r="C1478" s="4"/>
      <c r="D1478" s="4"/>
      <c r="E1478" s="4"/>
    </row>
    <row r="1479">
      <c r="A1479" s="3" t="s">
        <v>1697</v>
      </c>
      <c r="B1479" s="3" t="s">
        <v>18</v>
      </c>
      <c r="C1479" s="3" t="s">
        <v>32</v>
      </c>
      <c r="D1479" s="4"/>
      <c r="E1479" s="4"/>
    </row>
    <row r="1480">
      <c r="A1480" s="3" t="s">
        <v>1698</v>
      </c>
      <c r="B1480" s="3" t="s">
        <v>65</v>
      </c>
      <c r="C1480" s="3" t="s">
        <v>6</v>
      </c>
      <c r="D1480" s="4"/>
      <c r="E1480" s="4"/>
    </row>
    <row r="1481">
      <c r="A1481" s="3" t="s">
        <v>1699</v>
      </c>
      <c r="B1481" s="3" t="s">
        <v>2</v>
      </c>
      <c r="C1481" s="3" t="s">
        <v>3</v>
      </c>
      <c r="D1481" s="4"/>
      <c r="E1481" s="4"/>
    </row>
    <row r="1482">
      <c r="A1482" s="3" t="s">
        <v>1700</v>
      </c>
      <c r="B1482" s="3" t="s">
        <v>2</v>
      </c>
      <c r="C1482" s="3" t="s">
        <v>3</v>
      </c>
      <c r="D1482" s="4"/>
      <c r="E1482" s="4"/>
    </row>
    <row r="1483">
      <c r="A1483" s="3" t="s">
        <v>1701</v>
      </c>
      <c r="B1483" s="3" t="s">
        <v>125</v>
      </c>
      <c r="C1483" s="3" t="s">
        <v>3</v>
      </c>
      <c r="D1483" s="4"/>
      <c r="E1483" s="4"/>
    </row>
    <row r="1484">
      <c r="A1484" s="3" t="s">
        <v>1702</v>
      </c>
      <c r="B1484" s="3" t="s">
        <v>11</v>
      </c>
      <c r="C1484" s="3" t="s">
        <v>3</v>
      </c>
      <c r="D1484" s="4"/>
      <c r="E1484" s="4"/>
    </row>
    <row r="1485">
      <c r="A1485" s="3" t="s">
        <v>1703</v>
      </c>
      <c r="B1485" s="3" t="s">
        <v>2</v>
      </c>
      <c r="C1485" s="3" t="s">
        <v>3</v>
      </c>
      <c r="D1485" s="4"/>
      <c r="E1485" s="4"/>
    </row>
    <row r="1486">
      <c r="A1486" s="3" t="s">
        <v>1704</v>
      </c>
      <c r="B1486" s="3" t="s">
        <v>2</v>
      </c>
      <c r="C1486" s="3" t="s">
        <v>3</v>
      </c>
      <c r="D1486" s="4"/>
      <c r="E1486" s="4"/>
    </row>
    <row r="1487">
      <c r="A1487" s="3" t="s">
        <v>1705</v>
      </c>
      <c r="B1487" s="3" t="s">
        <v>2</v>
      </c>
      <c r="C1487" s="3" t="s">
        <v>3</v>
      </c>
      <c r="D1487" s="4"/>
      <c r="E1487" s="4"/>
    </row>
    <row r="1488">
      <c r="A1488" s="3" t="s">
        <v>1706</v>
      </c>
      <c r="B1488" s="3" t="s">
        <v>2</v>
      </c>
      <c r="C1488" s="3" t="s">
        <v>6</v>
      </c>
      <c r="D1488" s="4"/>
      <c r="E1488" s="4"/>
    </row>
    <row r="1489">
      <c r="A1489" s="3" t="s">
        <v>1707</v>
      </c>
      <c r="B1489" s="3" t="s">
        <v>2</v>
      </c>
      <c r="C1489" s="3" t="s">
        <v>6</v>
      </c>
      <c r="D1489" s="4"/>
      <c r="E1489" s="4"/>
    </row>
    <row r="1490">
      <c r="A1490" s="3" t="s">
        <v>1708</v>
      </c>
      <c r="B1490" s="3" t="s">
        <v>2</v>
      </c>
      <c r="C1490" s="3" t="s">
        <v>3</v>
      </c>
      <c r="D1490" s="4"/>
      <c r="E1490" s="4"/>
    </row>
    <row r="1491">
      <c r="A1491" s="3" t="s">
        <v>1709</v>
      </c>
      <c r="B1491" s="3" t="s">
        <v>115</v>
      </c>
      <c r="C1491" s="4"/>
      <c r="D1491" s="4"/>
      <c r="E1491" s="4"/>
    </row>
    <row r="1492">
      <c r="A1492" s="3" t="s">
        <v>1710</v>
      </c>
      <c r="B1492" s="3" t="s">
        <v>22</v>
      </c>
      <c r="C1492" s="3" t="s">
        <v>6</v>
      </c>
      <c r="D1492" s="4"/>
      <c r="E1492" s="4"/>
    </row>
    <row r="1493">
      <c r="A1493" s="3" t="s">
        <v>1711</v>
      </c>
      <c r="B1493" s="3" t="s">
        <v>2</v>
      </c>
      <c r="C1493" s="3" t="s">
        <v>3</v>
      </c>
      <c r="D1493" s="4"/>
      <c r="E1493" s="4"/>
    </row>
    <row r="1494">
      <c r="A1494" s="3" t="s">
        <v>1712</v>
      </c>
      <c r="B1494" s="3" t="s">
        <v>18</v>
      </c>
      <c r="C1494" s="4"/>
      <c r="D1494" s="4"/>
      <c r="E1494" s="4"/>
    </row>
    <row r="1495">
      <c r="A1495" s="3" t="s">
        <v>1713</v>
      </c>
      <c r="B1495" s="3" t="s">
        <v>11</v>
      </c>
      <c r="C1495" s="3" t="s">
        <v>668</v>
      </c>
      <c r="D1495" s="4"/>
      <c r="E1495" s="4"/>
    </row>
    <row r="1496">
      <c r="A1496" s="3" t="s">
        <v>1714</v>
      </c>
      <c r="B1496" s="4"/>
      <c r="C1496" s="4"/>
      <c r="D1496" s="4"/>
      <c r="E1496" s="4"/>
    </row>
    <row r="1497">
      <c r="A1497" s="3" t="s">
        <v>1715</v>
      </c>
      <c r="B1497" s="3" t="s">
        <v>1716</v>
      </c>
      <c r="C1497" s="3" t="s">
        <v>3</v>
      </c>
      <c r="D1497" s="4"/>
      <c r="E1497" s="4"/>
    </row>
    <row r="1498">
      <c r="A1498" s="3" t="s">
        <v>1717</v>
      </c>
      <c r="B1498" s="4"/>
      <c r="C1498" s="4"/>
      <c r="D1498" s="4"/>
      <c r="E1498" s="4"/>
    </row>
    <row r="1499">
      <c r="A1499" s="3" t="s">
        <v>1718</v>
      </c>
      <c r="B1499" s="3" t="s">
        <v>1719</v>
      </c>
      <c r="C1499" s="3" t="s">
        <v>32</v>
      </c>
      <c r="D1499" s="4"/>
      <c r="E1499" s="4"/>
    </row>
    <row r="1500">
      <c r="A1500" s="3" t="s">
        <v>1720</v>
      </c>
      <c r="B1500" s="3" t="s">
        <v>2</v>
      </c>
      <c r="C1500" s="3" t="s">
        <v>3</v>
      </c>
      <c r="D1500" s="4"/>
      <c r="E1500" s="4"/>
    </row>
    <row r="1501">
      <c r="A1501" s="3" t="s">
        <v>1721</v>
      </c>
      <c r="B1501" s="3" t="s">
        <v>2</v>
      </c>
      <c r="C1501" s="3" t="s">
        <v>3</v>
      </c>
      <c r="D1501" s="4"/>
      <c r="E1501" s="4"/>
    </row>
    <row r="1502">
      <c r="A1502" s="3" t="s">
        <v>1722</v>
      </c>
      <c r="B1502" s="3" t="s">
        <v>2</v>
      </c>
      <c r="C1502" s="3" t="s">
        <v>3</v>
      </c>
      <c r="D1502" s="4"/>
      <c r="E1502" s="4"/>
    </row>
    <row r="1503">
      <c r="A1503" s="3" t="s">
        <v>1723</v>
      </c>
      <c r="B1503" s="3" t="s">
        <v>1724</v>
      </c>
      <c r="C1503" s="4"/>
      <c r="D1503" s="4"/>
      <c r="E1503" s="4"/>
    </row>
    <row r="1504">
      <c r="A1504" s="3" t="s">
        <v>1725</v>
      </c>
      <c r="B1504" s="3" t="s">
        <v>765</v>
      </c>
      <c r="C1504" s="4"/>
      <c r="D1504" s="4"/>
      <c r="E1504" s="4"/>
    </row>
    <row r="1505">
      <c r="A1505" s="3" t="s">
        <v>1726</v>
      </c>
      <c r="B1505" s="3" t="s">
        <v>2</v>
      </c>
      <c r="C1505" s="3" t="s">
        <v>32</v>
      </c>
      <c r="D1505" s="4"/>
      <c r="E1505" s="4"/>
    </row>
    <row r="1506">
      <c r="A1506" s="3" t="s">
        <v>1727</v>
      </c>
      <c r="B1506" s="4"/>
      <c r="C1506" s="4"/>
      <c r="D1506" s="4"/>
      <c r="E1506" s="4"/>
    </row>
    <row r="1507">
      <c r="A1507" s="3" t="s">
        <v>1728</v>
      </c>
      <c r="B1507" s="3" t="s">
        <v>2</v>
      </c>
      <c r="C1507" s="3" t="s">
        <v>3</v>
      </c>
      <c r="D1507" s="4"/>
      <c r="E1507" s="4"/>
    </row>
    <row r="1508">
      <c r="A1508" s="3" t="s">
        <v>1729</v>
      </c>
      <c r="B1508" s="3" t="s">
        <v>2</v>
      </c>
      <c r="C1508" s="3" t="s">
        <v>3</v>
      </c>
      <c r="D1508" s="4"/>
      <c r="E1508" s="4"/>
    </row>
    <row r="1509">
      <c r="A1509" s="3" t="s">
        <v>1730</v>
      </c>
      <c r="B1509" s="3" t="s">
        <v>2</v>
      </c>
      <c r="C1509" s="3" t="s">
        <v>29</v>
      </c>
      <c r="D1509" s="4"/>
      <c r="E1509" s="4"/>
    </row>
    <row r="1510">
      <c r="A1510" s="3" t="s">
        <v>1731</v>
      </c>
      <c r="B1510" s="3" t="s">
        <v>2</v>
      </c>
      <c r="C1510" s="3" t="s">
        <v>6</v>
      </c>
      <c r="D1510" s="4"/>
      <c r="E1510" s="4"/>
    </row>
    <row r="1511">
      <c r="A1511" s="3" t="s">
        <v>1732</v>
      </c>
      <c r="B1511" s="3" t="s">
        <v>2</v>
      </c>
      <c r="C1511" s="3" t="s">
        <v>3</v>
      </c>
      <c r="D1511" s="4"/>
      <c r="E1511" s="4"/>
    </row>
    <row r="1512">
      <c r="A1512" s="3" t="s">
        <v>1733</v>
      </c>
      <c r="B1512" s="3" t="s">
        <v>1734</v>
      </c>
      <c r="C1512" s="3" t="s">
        <v>3</v>
      </c>
      <c r="D1512" s="4"/>
      <c r="E1512" s="4"/>
    </row>
    <row r="1513">
      <c r="A1513" s="3" t="s">
        <v>1735</v>
      </c>
      <c r="B1513" s="3" t="s">
        <v>51</v>
      </c>
      <c r="C1513" s="4"/>
      <c r="D1513" s="4"/>
      <c r="E1513" s="4"/>
    </row>
    <row r="1514">
      <c r="A1514" s="3" t="s">
        <v>1736</v>
      </c>
      <c r="B1514" s="3" t="s">
        <v>1206</v>
      </c>
      <c r="C1514" s="3" t="s">
        <v>280</v>
      </c>
      <c r="D1514" s="4"/>
      <c r="E1514" s="4"/>
    </row>
    <row r="1515">
      <c r="A1515" s="3" t="s">
        <v>1737</v>
      </c>
      <c r="B1515" s="3" t="s">
        <v>2</v>
      </c>
      <c r="C1515" s="3" t="s">
        <v>3</v>
      </c>
      <c r="D1515" s="4"/>
      <c r="E1515" s="4"/>
    </row>
    <row r="1516">
      <c r="A1516" s="3" t="s">
        <v>1738</v>
      </c>
      <c r="B1516" s="3" t="s">
        <v>65</v>
      </c>
      <c r="C1516" s="4"/>
      <c r="D1516" s="4"/>
      <c r="E1516" s="4"/>
    </row>
    <row r="1517">
      <c r="A1517" s="3" t="s">
        <v>1739</v>
      </c>
      <c r="B1517" s="3" t="s">
        <v>36</v>
      </c>
      <c r="C1517" s="3" t="s">
        <v>484</v>
      </c>
      <c r="D1517" s="4"/>
      <c r="E1517" s="4"/>
    </row>
    <row r="1518">
      <c r="A1518" s="3" t="s">
        <v>1740</v>
      </c>
      <c r="B1518" s="3" t="s">
        <v>2</v>
      </c>
      <c r="C1518" s="3" t="s">
        <v>3</v>
      </c>
      <c r="D1518" s="4"/>
      <c r="E1518" s="4"/>
    </row>
    <row r="1519">
      <c r="A1519" s="3" t="s">
        <v>1741</v>
      </c>
      <c r="B1519" s="3" t="s">
        <v>2</v>
      </c>
      <c r="C1519" s="3" t="s">
        <v>3</v>
      </c>
      <c r="D1519" s="4"/>
      <c r="E1519" s="4"/>
    </row>
    <row r="1520">
      <c r="A1520" s="3" t="s">
        <v>1742</v>
      </c>
      <c r="B1520" s="4"/>
      <c r="C1520" s="4"/>
      <c r="D1520" s="4"/>
      <c r="E1520" s="4"/>
    </row>
    <row r="1521">
      <c r="A1521" s="3" t="s">
        <v>1743</v>
      </c>
      <c r="B1521" s="3" t="s">
        <v>2</v>
      </c>
      <c r="C1521" s="3" t="s">
        <v>3</v>
      </c>
      <c r="D1521" s="4"/>
      <c r="E1521" s="4"/>
    </row>
    <row r="1522">
      <c r="A1522" s="3" t="s">
        <v>1744</v>
      </c>
      <c r="B1522" s="3" t="s">
        <v>1745</v>
      </c>
      <c r="C1522" s="4"/>
      <c r="D1522" s="4"/>
      <c r="E1522" s="4"/>
    </row>
    <row r="1523">
      <c r="A1523" s="3" t="s">
        <v>1746</v>
      </c>
      <c r="B1523" s="3" t="s">
        <v>706</v>
      </c>
      <c r="C1523" s="4"/>
      <c r="D1523" s="4"/>
      <c r="E1523" s="4"/>
    </row>
    <row r="1524">
      <c r="A1524" s="3" t="s">
        <v>1747</v>
      </c>
      <c r="B1524" s="3" t="s">
        <v>1748</v>
      </c>
      <c r="C1524" s="3" t="s">
        <v>6</v>
      </c>
      <c r="D1524" s="4"/>
      <c r="E1524" s="4"/>
    </row>
    <row r="1525">
      <c r="A1525" s="3" t="s">
        <v>1749</v>
      </c>
      <c r="B1525" s="3" t="s">
        <v>2</v>
      </c>
      <c r="C1525" s="3" t="s">
        <v>6</v>
      </c>
      <c r="D1525" s="4"/>
      <c r="E1525" s="4"/>
    </row>
    <row r="1526">
      <c r="A1526" s="3" t="s">
        <v>1750</v>
      </c>
      <c r="B1526" s="3" t="s">
        <v>2</v>
      </c>
      <c r="C1526" s="3" t="s">
        <v>6</v>
      </c>
      <c r="D1526" s="4"/>
      <c r="E1526" s="4"/>
    </row>
    <row r="1527">
      <c r="A1527" s="3" t="s">
        <v>1751</v>
      </c>
      <c r="B1527" s="3" t="s">
        <v>1752</v>
      </c>
      <c r="C1527" s="3" t="s">
        <v>3</v>
      </c>
      <c r="D1527" s="4"/>
      <c r="E1527" s="4"/>
    </row>
    <row r="1528">
      <c r="A1528" s="3" t="s">
        <v>1753</v>
      </c>
      <c r="B1528" s="3" t="s">
        <v>2</v>
      </c>
      <c r="C1528" s="3" t="s">
        <v>32</v>
      </c>
      <c r="D1528" s="4"/>
      <c r="E1528" s="4"/>
    </row>
    <row r="1529">
      <c r="A1529" s="3" t="s">
        <v>1754</v>
      </c>
      <c r="B1529" s="3" t="s">
        <v>72</v>
      </c>
      <c r="C1529" s="3" t="s">
        <v>32</v>
      </c>
      <c r="D1529" s="4"/>
      <c r="E1529" s="4"/>
    </row>
    <row r="1530">
      <c r="A1530" s="3" t="s">
        <v>1755</v>
      </c>
      <c r="B1530" s="3" t="s">
        <v>2</v>
      </c>
      <c r="C1530" s="3" t="s">
        <v>3</v>
      </c>
      <c r="D1530" s="4"/>
      <c r="E1530" s="4"/>
    </row>
    <row r="1531">
      <c r="A1531" s="3" t="s">
        <v>1756</v>
      </c>
      <c r="B1531" s="3" t="s">
        <v>1757</v>
      </c>
      <c r="C1531" s="4"/>
      <c r="D1531" s="4"/>
      <c r="E1531" s="4"/>
    </row>
    <row r="1532">
      <c r="A1532" s="3" t="s">
        <v>1758</v>
      </c>
      <c r="B1532" s="3" t="s">
        <v>20</v>
      </c>
      <c r="C1532" s="4"/>
      <c r="D1532" s="4"/>
      <c r="E1532" s="4"/>
    </row>
    <row r="1533">
      <c r="A1533" s="3" t="s">
        <v>1759</v>
      </c>
      <c r="B1533" s="3" t="s">
        <v>51</v>
      </c>
      <c r="C1533" s="3" t="s">
        <v>6</v>
      </c>
      <c r="D1533" s="4"/>
      <c r="E1533" s="4"/>
    </row>
    <row r="1534">
      <c r="A1534" s="3" t="s">
        <v>1760</v>
      </c>
      <c r="B1534" s="3" t="s">
        <v>2</v>
      </c>
      <c r="C1534" s="3" t="s">
        <v>3</v>
      </c>
      <c r="D1534" s="4"/>
      <c r="E1534" s="4"/>
    </row>
    <row r="1535">
      <c r="A1535" s="3" t="s">
        <v>1761</v>
      </c>
      <c r="B1535" s="3" t="s">
        <v>1762</v>
      </c>
      <c r="C1535" s="4"/>
      <c r="D1535" s="4"/>
      <c r="E1535" s="4"/>
    </row>
    <row r="1536">
      <c r="A1536" s="3" t="s">
        <v>1763</v>
      </c>
      <c r="B1536" s="3" t="s">
        <v>2</v>
      </c>
      <c r="C1536" s="3" t="s">
        <v>3</v>
      </c>
      <c r="D1536" s="4"/>
      <c r="E1536" s="4"/>
    </row>
    <row r="1537">
      <c r="A1537" s="3" t="s">
        <v>1764</v>
      </c>
      <c r="B1537" s="3" t="s">
        <v>51</v>
      </c>
      <c r="C1537" s="3" t="s">
        <v>3</v>
      </c>
      <c r="D1537" s="4"/>
      <c r="E1537" s="4"/>
    </row>
    <row r="1538">
      <c r="A1538" s="3" t="s">
        <v>1765</v>
      </c>
      <c r="B1538" s="3" t="s">
        <v>282</v>
      </c>
      <c r="C1538" s="3" t="s">
        <v>32</v>
      </c>
      <c r="D1538" s="4"/>
      <c r="E1538" s="4"/>
    </row>
    <row r="1539">
      <c r="A1539" s="3" t="s">
        <v>1766</v>
      </c>
      <c r="B1539" s="3" t="s">
        <v>1767</v>
      </c>
      <c r="C1539" s="3" t="s">
        <v>32</v>
      </c>
      <c r="D1539" s="4"/>
      <c r="E1539" s="4"/>
    </row>
    <row r="1540">
      <c r="A1540" s="3" t="s">
        <v>1768</v>
      </c>
      <c r="B1540" s="3" t="s">
        <v>2</v>
      </c>
      <c r="C1540" s="3" t="s">
        <v>6</v>
      </c>
      <c r="D1540" s="4"/>
      <c r="E1540" s="4"/>
    </row>
    <row r="1541">
      <c r="A1541" s="3" t="s">
        <v>1769</v>
      </c>
      <c r="B1541" s="3" t="s">
        <v>2</v>
      </c>
      <c r="C1541" s="3" t="s">
        <v>3</v>
      </c>
      <c r="D1541" s="4"/>
      <c r="E1541" s="4"/>
    </row>
    <row r="1542">
      <c r="A1542" s="3" t="s">
        <v>1770</v>
      </c>
      <c r="B1542" s="3" t="s">
        <v>2</v>
      </c>
      <c r="C1542" s="3" t="s">
        <v>29</v>
      </c>
      <c r="D1542" s="4"/>
      <c r="E1542" s="4"/>
    </row>
    <row r="1543">
      <c r="A1543" s="3" t="s">
        <v>1771</v>
      </c>
      <c r="B1543" s="3" t="s">
        <v>2</v>
      </c>
      <c r="C1543" s="3" t="s">
        <v>3</v>
      </c>
      <c r="D1543" s="4"/>
      <c r="E1543" s="4"/>
    </row>
    <row r="1544">
      <c r="A1544" s="3" t="s">
        <v>1772</v>
      </c>
      <c r="B1544" s="3" t="s">
        <v>2</v>
      </c>
      <c r="C1544" s="3" t="s">
        <v>32</v>
      </c>
      <c r="D1544" s="4"/>
      <c r="E1544" s="4"/>
    </row>
    <row r="1545">
      <c r="A1545" s="3" t="s">
        <v>1773</v>
      </c>
      <c r="B1545" s="3" t="s">
        <v>1774</v>
      </c>
      <c r="C1545" s="4"/>
      <c r="D1545" s="4"/>
      <c r="E1545" s="4"/>
    </row>
    <row r="1546">
      <c r="A1546" s="3" t="s">
        <v>1775</v>
      </c>
      <c r="B1546" s="3" t="s">
        <v>20</v>
      </c>
      <c r="C1546" s="3" t="s">
        <v>3</v>
      </c>
      <c r="D1546" s="4"/>
      <c r="E1546" s="4"/>
    </row>
    <row r="1547">
      <c r="A1547" s="3" t="s">
        <v>1776</v>
      </c>
      <c r="B1547" s="4"/>
      <c r="C1547" s="4"/>
      <c r="D1547" s="4"/>
      <c r="E1547" s="4"/>
    </row>
    <row r="1548">
      <c r="A1548" s="3" t="s">
        <v>1777</v>
      </c>
      <c r="B1548" s="3" t="s">
        <v>406</v>
      </c>
      <c r="C1548" s="3" t="s">
        <v>29</v>
      </c>
      <c r="D1548" s="4"/>
      <c r="E1548" s="4"/>
    </row>
    <row r="1549">
      <c r="A1549" s="3" t="s">
        <v>1778</v>
      </c>
      <c r="B1549" s="3" t="s">
        <v>1779</v>
      </c>
      <c r="C1549" s="4"/>
      <c r="D1549" s="4"/>
      <c r="E1549" s="4"/>
    </row>
    <row r="1550">
      <c r="A1550" s="3" t="s">
        <v>1780</v>
      </c>
      <c r="B1550" s="3" t="s">
        <v>2</v>
      </c>
      <c r="C1550" s="3" t="s">
        <v>32</v>
      </c>
      <c r="D1550" s="4"/>
      <c r="E1550" s="4"/>
    </row>
    <row r="1551">
      <c r="A1551" s="3" t="s">
        <v>1781</v>
      </c>
      <c r="B1551" s="3" t="s">
        <v>22</v>
      </c>
      <c r="C1551" s="4"/>
      <c r="D1551" s="4"/>
      <c r="E1551" s="4"/>
    </row>
    <row r="1552">
      <c r="A1552" s="3" t="s">
        <v>1782</v>
      </c>
      <c r="B1552" s="3" t="s">
        <v>653</v>
      </c>
      <c r="C1552" s="3" t="s">
        <v>32</v>
      </c>
      <c r="D1552" s="4"/>
      <c r="E1552" s="4"/>
    </row>
    <row r="1553">
      <c r="A1553" s="3" t="s">
        <v>1783</v>
      </c>
      <c r="B1553" s="3" t="s">
        <v>362</v>
      </c>
      <c r="C1553" s="4"/>
      <c r="D1553" s="4"/>
      <c r="E1553" s="4"/>
    </row>
    <row r="1554">
      <c r="A1554" s="3" t="s">
        <v>1784</v>
      </c>
      <c r="B1554" s="3" t="s">
        <v>2</v>
      </c>
      <c r="C1554" s="3" t="s">
        <v>3</v>
      </c>
      <c r="D1554" s="4"/>
      <c r="E1554" s="4"/>
    </row>
    <row r="1555">
      <c r="A1555" s="3" t="s">
        <v>1785</v>
      </c>
      <c r="B1555" s="3" t="s">
        <v>2</v>
      </c>
      <c r="C1555" s="3" t="s">
        <v>3</v>
      </c>
      <c r="D1555" s="4"/>
      <c r="E1555" s="4"/>
    </row>
    <row r="1556">
      <c r="A1556" s="3" t="s">
        <v>1786</v>
      </c>
      <c r="B1556" s="3" t="s">
        <v>2</v>
      </c>
      <c r="C1556" s="3" t="s">
        <v>6</v>
      </c>
      <c r="D1556" s="4"/>
      <c r="E1556" s="4"/>
    </row>
    <row r="1557">
      <c r="A1557" s="3" t="s">
        <v>1787</v>
      </c>
      <c r="B1557" s="3" t="s">
        <v>1788</v>
      </c>
      <c r="C1557" s="3" t="s">
        <v>6</v>
      </c>
      <c r="D1557" s="4"/>
      <c r="E1557" s="4"/>
    </row>
    <row r="1558">
      <c r="A1558" s="3" t="s">
        <v>1789</v>
      </c>
      <c r="B1558" s="3" t="s">
        <v>1790</v>
      </c>
      <c r="C1558" s="3" t="s">
        <v>6</v>
      </c>
      <c r="D1558" s="4"/>
      <c r="E1558" s="4"/>
    </row>
    <row r="1559">
      <c r="A1559" s="3" t="s">
        <v>1791</v>
      </c>
      <c r="B1559" s="3" t="s">
        <v>20</v>
      </c>
      <c r="C1559" s="3" t="s">
        <v>29</v>
      </c>
      <c r="D1559" s="4"/>
      <c r="E1559" s="4"/>
    </row>
    <row r="1560">
      <c r="A1560" s="3" t="s">
        <v>1792</v>
      </c>
      <c r="B1560" s="3" t="s">
        <v>20</v>
      </c>
      <c r="C1560" s="4"/>
      <c r="D1560" s="4"/>
      <c r="E1560" s="4"/>
    </row>
    <row r="1561">
      <c r="A1561" s="3" t="s">
        <v>1793</v>
      </c>
      <c r="B1561" s="4"/>
      <c r="C1561" s="4"/>
      <c r="D1561" s="4"/>
      <c r="E1561" s="4"/>
    </row>
    <row r="1562">
      <c r="A1562" s="3" t="s">
        <v>1794</v>
      </c>
      <c r="B1562" s="3" t="s">
        <v>2</v>
      </c>
      <c r="C1562" s="3" t="s">
        <v>3</v>
      </c>
      <c r="D1562" s="4"/>
      <c r="E1562" s="4"/>
    </row>
    <row r="1563">
      <c r="A1563" s="3" t="s">
        <v>1795</v>
      </c>
      <c r="B1563" s="3" t="s">
        <v>218</v>
      </c>
      <c r="C1563" s="4"/>
      <c r="D1563" s="4"/>
      <c r="E1563" s="4"/>
    </row>
    <row r="1564">
      <c r="A1564" s="3" t="s">
        <v>1796</v>
      </c>
      <c r="B1564" s="3" t="s">
        <v>2</v>
      </c>
      <c r="C1564" s="3" t="s">
        <v>3</v>
      </c>
      <c r="D1564" s="4"/>
      <c r="E1564" s="4"/>
    </row>
    <row r="1565">
      <c r="A1565" s="3" t="s">
        <v>1797</v>
      </c>
      <c r="B1565" s="3" t="s">
        <v>2</v>
      </c>
      <c r="C1565" s="3" t="s">
        <v>32</v>
      </c>
      <c r="D1565" s="4"/>
      <c r="E1565" s="4"/>
    </row>
    <row r="1566">
      <c r="A1566" s="3" t="s">
        <v>1798</v>
      </c>
      <c r="B1566" s="4"/>
      <c r="C1566" s="4"/>
      <c r="D1566" s="4"/>
      <c r="E1566" s="4"/>
    </row>
    <row r="1567">
      <c r="A1567" s="3" t="s">
        <v>1799</v>
      </c>
      <c r="B1567" s="3" t="s">
        <v>2</v>
      </c>
      <c r="C1567" s="3" t="s">
        <v>29</v>
      </c>
      <c r="D1567" s="4"/>
      <c r="E1567" s="4"/>
    </row>
    <row r="1568">
      <c r="A1568" s="3" t="s">
        <v>1800</v>
      </c>
      <c r="B1568" s="3" t="s">
        <v>1801</v>
      </c>
      <c r="C1568" s="3" t="s">
        <v>1373</v>
      </c>
      <c r="D1568" s="4"/>
      <c r="E1568" s="4"/>
    </row>
    <row r="1569">
      <c r="A1569" s="4"/>
      <c r="B1569" s="4"/>
      <c r="C1569" s="3" t="s">
        <v>1374</v>
      </c>
      <c r="D1569" s="4"/>
      <c r="E1569" s="4"/>
    </row>
    <row r="1570">
      <c r="A1570" s="3" t="s">
        <v>1802</v>
      </c>
      <c r="B1570" s="3" t="s">
        <v>2</v>
      </c>
      <c r="C1570" s="3" t="s">
        <v>6</v>
      </c>
      <c r="D1570" s="4"/>
      <c r="E1570" s="4"/>
    </row>
    <row r="1571">
      <c r="A1571" s="3" t="s">
        <v>823</v>
      </c>
      <c r="B1571" s="4"/>
      <c r="C1571" s="4"/>
      <c r="D1571" s="4"/>
      <c r="E1571" s="4"/>
    </row>
    <row r="1572">
      <c r="A1572" s="3" t="s">
        <v>1803</v>
      </c>
      <c r="B1572" s="3" t="s">
        <v>2</v>
      </c>
      <c r="C1572" s="3" t="s">
        <v>29</v>
      </c>
      <c r="D1572" s="4"/>
      <c r="E1572" s="4"/>
    </row>
    <row r="1573">
      <c r="A1573" s="3" t="s">
        <v>1804</v>
      </c>
      <c r="B1573" s="4"/>
      <c r="C1573" s="4"/>
      <c r="D1573" s="4"/>
      <c r="E1573" s="4"/>
    </row>
    <row r="1574">
      <c r="A1574" s="3" t="s">
        <v>1805</v>
      </c>
      <c r="B1574" s="3" t="s">
        <v>1806</v>
      </c>
      <c r="C1574" s="3" t="s">
        <v>32</v>
      </c>
      <c r="D1574" s="4"/>
      <c r="E1574" s="4"/>
    </row>
    <row r="1575">
      <c r="A1575" s="3" t="s">
        <v>1807</v>
      </c>
      <c r="B1575" s="3" t="s">
        <v>2</v>
      </c>
      <c r="C1575" s="3" t="s">
        <v>668</v>
      </c>
      <c r="D1575" s="4"/>
      <c r="E1575" s="4"/>
    </row>
    <row r="1576">
      <c r="A1576" s="3" t="s">
        <v>1808</v>
      </c>
      <c r="B1576" s="3" t="s">
        <v>115</v>
      </c>
      <c r="C1576" s="4"/>
      <c r="D1576" s="4"/>
      <c r="E1576" s="4"/>
    </row>
    <row r="1577">
      <c r="A1577" s="3" t="s">
        <v>1809</v>
      </c>
      <c r="B1577" s="3" t="s">
        <v>11</v>
      </c>
      <c r="C1577" s="4"/>
      <c r="D1577" s="4"/>
      <c r="E1577" s="4"/>
    </row>
    <row r="1578">
      <c r="A1578" s="3" t="s">
        <v>1810</v>
      </c>
      <c r="B1578" s="3" t="s">
        <v>20</v>
      </c>
      <c r="C1578" s="3" t="s">
        <v>3</v>
      </c>
      <c r="D1578" s="4"/>
      <c r="E1578" s="4"/>
    </row>
    <row r="1579">
      <c r="A1579" s="3" t="s">
        <v>1811</v>
      </c>
      <c r="B1579" s="3" t="s">
        <v>1812</v>
      </c>
      <c r="C1579" s="3" t="s">
        <v>3</v>
      </c>
      <c r="D1579" s="4"/>
      <c r="E1579" s="4"/>
    </row>
    <row r="1580">
      <c r="A1580" s="3" t="s">
        <v>1813</v>
      </c>
      <c r="B1580" s="3" t="s">
        <v>45</v>
      </c>
      <c r="C1580" s="4"/>
      <c r="D1580" s="4"/>
      <c r="E1580" s="4"/>
    </row>
    <row r="1581">
      <c r="A1581" s="3" t="s">
        <v>1814</v>
      </c>
      <c r="B1581" s="3" t="s">
        <v>2</v>
      </c>
      <c r="C1581" s="3" t="s">
        <v>3</v>
      </c>
      <c r="D1581" s="4"/>
      <c r="E1581" s="4"/>
    </row>
    <row r="1582">
      <c r="A1582" s="3" t="s">
        <v>1815</v>
      </c>
      <c r="B1582" s="3" t="s">
        <v>18</v>
      </c>
      <c r="C1582" s="4"/>
      <c r="D1582" s="4"/>
      <c r="E1582" s="4"/>
    </row>
    <row r="1583">
      <c r="A1583" s="3" t="s">
        <v>196</v>
      </c>
      <c r="B1583" s="4"/>
      <c r="C1583" s="4"/>
      <c r="D1583" s="4"/>
      <c r="E1583" s="4"/>
    </row>
    <row r="1584">
      <c r="A1584" s="3" t="s">
        <v>1816</v>
      </c>
      <c r="B1584" s="3" t="s">
        <v>2</v>
      </c>
      <c r="C1584" s="3" t="s">
        <v>3</v>
      </c>
      <c r="D1584" s="4"/>
      <c r="E1584" s="4"/>
    </row>
    <row r="1585">
      <c r="A1585" s="3" t="s">
        <v>1817</v>
      </c>
      <c r="B1585" s="4"/>
      <c r="C1585" s="4"/>
      <c r="D1585" s="4"/>
      <c r="E1585" s="4"/>
    </row>
    <row r="1586">
      <c r="A1586" s="3" t="s">
        <v>1818</v>
      </c>
      <c r="B1586" s="3" t="s">
        <v>2</v>
      </c>
      <c r="C1586" s="3" t="s">
        <v>3</v>
      </c>
      <c r="D1586" s="4"/>
      <c r="E1586" s="4"/>
    </row>
    <row r="1587">
      <c r="A1587" s="3" t="s">
        <v>1819</v>
      </c>
      <c r="B1587" s="3" t="s">
        <v>125</v>
      </c>
      <c r="C1587" s="3" t="s">
        <v>3</v>
      </c>
      <c r="D1587" s="4"/>
      <c r="E1587" s="4"/>
    </row>
    <row r="1588">
      <c r="A1588" s="3" t="s">
        <v>1820</v>
      </c>
      <c r="B1588" s="4"/>
      <c r="C1588" s="4"/>
      <c r="D1588" s="4"/>
      <c r="E1588" s="4"/>
    </row>
    <row r="1589">
      <c r="A1589" s="3" t="s">
        <v>1821</v>
      </c>
      <c r="B1589" s="3" t="s">
        <v>2</v>
      </c>
      <c r="C1589" s="3" t="s">
        <v>3</v>
      </c>
      <c r="D1589" s="4"/>
      <c r="E1589" s="4"/>
    </row>
    <row r="1590">
      <c r="A1590" s="3" t="s">
        <v>1822</v>
      </c>
      <c r="B1590" s="3" t="s">
        <v>45</v>
      </c>
      <c r="C1590" s="4"/>
      <c r="D1590" s="4"/>
      <c r="E1590" s="4"/>
    </row>
    <row r="1591">
      <c r="A1591" s="3" t="s">
        <v>1823</v>
      </c>
      <c r="B1591" s="3" t="s">
        <v>1014</v>
      </c>
      <c r="C1591" s="3" t="s">
        <v>3</v>
      </c>
      <c r="D1591" s="4"/>
      <c r="E1591" s="4"/>
    </row>
    <row r="1592">
      <c r="A1592" s="3" t="s">
        <v>1824</v>
      </c>
      <c r="B1592" s="4"/>
      <c r="C1592" s="4"/>
      <c r="D1592" s="4"/>
      <c r="E1592" s="4"/>
    </row>
    <row r="1593">
      <c r="A1593" s="3" t="s">
        <v>1825</v>
      </c>
      <c r="B1593" s="3" t="s">
        <v>2</v>
      </c>
      <c r="C1593" s="3" t="s">
        <v>3</v>
      </c>
      <c r="D1593" s="4"/>
      <c r="E1593" s="4"/>
    </row>
    <row r="1594">
      <c r="A1594" s="3" t="s">
        <v>1826</v>
      </c>
      <c r="B1594" s="3" t="s">
        <v>2</v>
      </c>
      <c r="C1594" s="3" t="s">
        <v>3</v>
      </c>
      <c r="D1594" s="4"/>
      <c r="E1594" s="4"/>
    </row>
    <row r="1595">
      <c r="A1595" s="3" t="s">
        <v>1827</v>
      </c>
      <c r="B1595" s="3" t="s">
        <v>2</v>
      </c>
      <c r="C1595" s="3" t="s">
        <v>3</v>
      </c>
      <c r="D1595" s="4"/>
      <c r="E1595" s="4"/>
    </row>
    <row r="1596">
      <c r="A1596" s="3" t="s">
        <v>1828</v>
      </c>
      <c r="B1596" s="4"/>
      <c r="C1596" s="4"/>
      <c r="D1596" s="4"/>
      <c r="E1596" s="4"/>
    </row>
    <row r="1597">
      <c r="A1597" s="3" t="s">
        <v>1829</v>
      </c>
      <c r="B1597" s="3" t="s">
        <v>2</v>
      </c>
      <c r="C1597" s="3" t="s">
        <v>3</v>
      </c>
      <c r="D1597" s="4"/>
      <c r="E1597" s="4"/>
    </row>
    <row r="1598">
      <c r="A1598" s="3" t="s">
        <v>1830</v>
      </c>
      <c r="B1598" s="3" t="s">
        <v>942</v>
      </c>
      <c r="C1598" s="4"/>
      <c r="D1598" s="4"/>
      <c r="E1598" s="4"/>
    </row>
    <row r="1599">
      <c r="A1599" s="3" t="s">
        <v>823</v>
      </c>
      <c r="B1599" s="4"/>
      <c r="C1599" s="4"/>
      <c r="D1599" s="4"/>
      <c r="E1599" s="4"/>
    </row>
    <row r="1600">
      <c r="A1600" s="3" t="s">
        <v>1831</v>
      </c>
      <c r="B1600" s="3" t="s">
        <v>2</v>
      </c>
      <c r="C1600" s="3" t="s">
        <v>3</v>
      </c>
      <c r="D1600" s="4"/>
      <c r="E1600" s="4"/>
    </row>
    <row r="1601">
      <c r="A1601" s="3" t="s">
        <v>1832</v>
      </c>
      <c r="B1601" s="3" t="s">
        <v>20</v>
      </c>
      <c r="C1601" s="4"/>
      <c r="D1601" s="4"/>
      <c r="E1601" s="4"/>
    </row>
    <row r="1602">
      <c r="A1602" s="3" t="s">
        <v>1833</v>
      </c>
      <c r="B1602" s="3" t="s">
        <v>51</v>
      </c>
      <c r="C1602" s="3" t="s">
        <v>3</v>
      </c>
      <c r="D1602" s="4"/>
      <c r="E1602" s="4"/>
    </row>
    <row r="1603">
      <c r="A1603" s="3" t="s">
        <v>1834</v>
      </c>
      <c r="B1603" s="3" t="s">
        <v>2</v>
      </c>
      <c r="C1603" s="3" t="s">
        <v>29</v>
      </c>
      <c r="D1603" s="4"/>
      <c r="E1603" s="4"/>
    </row>
    <row r="1604">
      <c r="A1604" s="3" t="s">
        <v>1835</v>
      </c>
      <c r="B1604" s="3" t="s">
        <v>1648</v>
      </c>
      <c r="C1604" s="3" t="s">
        <v>6</v>
      </c>
      <c r="D1604" s="4"/>
      <c r="E1604" s="4"/>
    </row>
    <row r="1605">
      <c r="A1605" s="3" t="s">
        <v>1836</v>
      </c>
      <c r="B1605" s="3" t="s">
        <v>65</v>
      </c>
      <c r="C1605" s="4"/>
      <c r="D1605" s="4"/>
      <c r="E1605" s="4"/>
    </row>
    <row r="1606">
      <c r="A1606" s="3" t="s">
        <v>1837</v>
      </c>
      <c r="B1606" s="3" t="s">
        <v>2</v>
      </c>
      <c r="C1606" s="3" t="s">
        <v>3</v>
      </c>
      <c r="D1606" s="4"/>
      <c r="E1606" s="4"/>
    </row>
    <row r="1607">
      <c r="A1607" s="3" t="s">
        <v>1838</v>
      </c>
      <c r="B1607" s="3" t="s">
        <v>1839</v>
      </c>
      <c r="C1607" s="3" t="s">
        <v>3</v>
      </c>
      <c r="D1607" s="4"/>
      <c r="E1607" s="4"/>
    </row>
    <row r="1608">
      <c r="A1608" s="3" t="s">
        <v>1840</v>
      </c>
      <c r="B1608" s="3" t="s">
        <v>2</v>
      </c>
      <c r="C1608" s="3" t="s">
        <v>3</v>
      </c>
      <c r="D1608" s="4"/>
      <c r="E1608" s="4"/>
    </row>
    <row r="1609">
      <c r="A1609" s="3" t="s">
        <v>1841</v>
      </c>
      <c r="B1609" s="3" t="s">
        <v>2</v>
      </c>
      <c r="C1609" s="3" t="s">
        <v>29</v>
      </c>
      <c r="D1609" s="4"/>
      <c r="E1609" s="4"/>
    </row>
    <row r="1610">
      <c r="A1610" s="3" t="s">
        <v>1842</v>
      </c>
      <c r="B1610" s="3" t="s">
        <v>125</v>
      </c>
      <c r="C1610" s="3" t="s">
        <v>3</v>
      </c>
      <c r="D1610" s="4"/>
      <c r="E1610" s="4"/>
    </row>
    <row r="1611">
      <c r="A1611" s="3" t="s">
        <v>1843</v>
      </c>
      <c r="B1611" s="3" t="s">
        <v>2</v>
      </c>
      <c r="C1611" s="3" t="s">
        <v>3</v>
      </c>
      <c r="D1611" s="4"/>
      <c r="E1611" s="4"/>
    </row>
    <row r="1612">
      <c r="A1612" s="3" t="s">
        <v>1844</v>
      </c>
      <c r="B1612" s="3" t="s">
        <v>2</v>
      </c>
      <c r="C1612" s="3" t="s">
        <v>32</v>
      </c>
      <c r="D1612" s="4"/>
      <c r="E1612" s="4"/>
    </row>
    <row r="1613">
      <c r="A1613" s="3" t="s">
        <v>1845</v>
      </c>
      <c r="B1613" s="4"/>
      <c r="C1613" s="4"/>
      <c r="D1613" s="4"/>
      <c r="E1613" s="4"/>
    </row>
    <row r="1614">
      <c r="A1614" s="3" t="s">
        <v>1846</v>
      </c>
      <c r="B1614" s="3" t="s">
        <v>2</v>
      </c>
      <c r="C1614" s="3" t="s">
        <v>6</v>
      </c>
      <c r="D1614" s="4"/>
      <c r="E1614" s="4"/>
    </row>
    <row r="1615">
      <c r="A1615" s="3" t="s">
        <v>1847</v>
      </c>
      <c r="B1615" s="3" t="s">
        <v>2</v>
      </c>
      <c r="C1615" s="3" t="s">
        <v>6</v>
      </c>
      <c r="D1615" s="4"/>
      <c r="E1615" s="4"/>
    </row>
    <row r="1616">
      <c r="A1616" s="3" t="s">
        <v>1848</v>
      </c>
      <c r="B1616" s="3" t="s">
        <v>1849</v>
      </c>
      <c r="C1616" s="3" t="s">
        <v>37</v>
      </c>
      <c r="D1616" s="4"/>
      <c r="E1616" s="4"/>
    </row>
    <row r="1617">
      <c r="A1617" s="4"/>
      <c r="B1617" s="4"/>
      <c r="C1617" s="3" t="s">
        <v>38</v>
      </c>
      <c r="D1617" s="4"/>
      <c r="E1617" s="4"/>
    </row>
    <row r="1618">
      <c r="A1618" s="3" t="s">
        <v>1850</v>
      </c>
      <c r="B1618" s="3" t="s">
        <v>51</v>
      </c>
      <c r="C1618" s="3" t="s">
        <v>26</v>
      </c>
      <c r="D1618" s="4"/>
      <c r="E1618" s="4"/>
    </row>
    <row r="1619">
      <c r="A1619" s="3" t="s">
        <v>1851</v>
      </c>
      <c r="B1619" s="3" t="s">
        <v>1852</v>
      </c>
      <c r="C1619" s="3" t="s">
        <v>37</v>
      </c>
      <c r="D1619" s="4"/>
      <c r="E1619" s="4"/>
    </row>
    <row r="1620">
      <c r="A1620" s="4"/>
      <c r="B1620" s="4"/>
      <c r="C1620" s="3" t="s">
        <v>38</v>
      </c>
      <c r="D1620" s="4"/>
      <c r="E1620" s="4"/>
    </row>
    <row r="1621">
      <c r="A1621" s="3" t="s">
        <v>1853</v>
      </c>
      <c r="B1621" s="3" t="s">
        <v>11</v>
      </c>
      <c r="C1621" s="4"/>
      <c r="D1621" s="4"/>
      <c r="E1621" s="4"/>
    </row>
    <row r="1622">
      <c r="A1622" s="3" t="s">
        <v>1854</v>
      </c>
      <c r="B1622" s="3" t="s">
        <v>2</v>
      </c>
      <c r="C1622" s="3" t="s">
        <v>6</v>
      </c>
      <c r="D1622" s="4"/>
      <c r="E1622" s="4"/>
    </row>
    <row r="1623">
      <c r="A1623" s="3" t="s">
        <v>1855</v>
      </c>
      <c r="B1623" s="3" t="s">
        <v>2</v>
      </c>
      <c r="C1623" s="3" t="s">
        <v>29</v>
      </c>
      <c r="D1623" s="4"/>
      <c r="E1623" s="4"/>
    </row>
    <row r="1624">
      <c r="A1624" s="3" t="s">
        <v>1856</v>
      </c>
      <c r="B1624" s="3" t="s">
        <v>2</v>
      </c>
      <c r="C1624" s="3" t="s">
        <v>3</v>
      </c>
      <c r="D1624" s="4"/>
      <c r="E1624" s="4"/>
    </row>
    <row r="1625">
      <c r="A1625" s="3" t="s">
        <v>1857</v>
      </c>
      <c r="B1625" s="4"/>
      <c r="C1625" s="4"/>
      <c r="D1625" s="4"/>
      <c r="E1625" s="4"/>
    </row>
    <row r="1626">
      <c r="A1626" s="3" t="s">
        <v>1858</v>
      </c>
      <c r="B1626" s="3" t="s">
        <v>115</v>
      </c>
      <c r="C1626" s="4"/>
      <c r="D1626" s="4"/>
      <c r="E1626" s="4"/>
    </row>
    <row r="1627">
      <c r="A1627" s="3" t="s">
        <v>1859</v>
      </c>
      <c r="B1627" s="3" t="s">
        <v>15</v>
      </c>
      <c r="C1627" s="4"/>
      <c r="D1627" s="4"/>
      <c r="E1627" s="4"/>
    </row>
    <row r="1628">
      <c r="A1628" s="3" t="s">
        <v>1860</v>
      </c>
      <c r="B1628" s="3" t="s">
        <v>20</v>
      </c>
      <c r="C1628" s="4"/>
      <c r="D1628" s="4"/>
      <c r="E1628" s="4"/>
    </row>
    <row r="1629">
      <c r="A1629" s="3" t="s">
        <v>1861</v>
      </c>
      <c r="B1629" s="3" t="s">
        <v>2</v>
      </c>
      <c r="C1629" s="3" t="s">
        <v>3</v>
      </c>
      <c r="D1629" s="4"/>
      <c r="E1629" s="4"/>
    </row>
    <row r="1630">
      <c r="A1630" s="3" t="s">
        <v>1862</v>
      </c>
      <c r="B1630" s="3" t="s">
        <v>20</v>
      </c>
      <c r="C1630" s="3" t="s">
        <v>32</v>
      </c>
      <c r="D1630" s="4"/>
      <c r="E1630" s="4"/>
    </row>
    <row r="1631">
      <c r="A1631" s="3" t="s">
        <v>1863</v>
      </c>
      <c r="B1631" s="3" t="s">
        <v>2</v>
      </c>
      <c r="C1631" s="3" t="s">
        <v>6</v>
      </c>
      <c r="D1631" s="4"/>
      <c r="E1631" s="4"/>
    </row>
    <row r="1632">
      <c r="A1632" s="3" t="s">
        <v>1864</v>
      </c>
      <c r="B1632" s="3" t="s">
        <v>2</v>
      </c>
      <c r="C1632" s="3" t="s">
        <v>6</v>
      </c>
      <c r="D1632" s="4"/>
      <c r="E1632" s="4"/>
    </row>
    <row r="1633">
      <c r="A1633" s="3" t="s">
        <v>1865</v>
      </c>
      <c r="B1633" s="3" t="s">
        <v>2</v>
      </c>
      <c r="C1633" s="3" t="s">
        <v>32</v>
      </c>
      <c r="D1633" s="4"/>
      <c r="E1633" s="4"/>
    </row>
    <row r="1634">
      <c r="A1634" s="3" t="s">
        <v>1866</v>
      </c>
      <c r="B1634" s="3" t="s">
        <v>2</v>
      </c>
      <c r="C1634" s="3" t="s">
        <v>3</v>
      </c>
      <c r="D1634" s="4"/>
      <c r="E1634" s="4"/>
    </row>
    <row r="1635">
      <c r="A1635" s="3" t="s">
        <v>1867</v>
      </c>
      <c r="B1635" s="3" t="s">
        <v>2</v>
      </c>
      <c r="C1635" s="3" t="s">
        <v>3</v>
      </c>
      <c r="D1635" s="4"/>
      <c r="E1635" s="4"/>
    </row>
    <row r="1636">
      <c r="A1636" s="3" t="s">
        <v>1868</v>
      </c>
      <c r="B1636" s="3" t="s">
        <v>2</v>
      </c>
      <c r="C1636" s="3" t="s">
        <v>26</v>
      </c>
      <c r="D1636" s="4"/>
      <c r="E1636" s="4"/>
    </row>
    <row r="1637">
      <c r="A1637" s="3" t="s">
        <v>1869</v>
      </c>
      <c r="B1637" s="3" t="s">
        <v>2</v>
      </c>
      <c r="C1637" s="3" t="s">
        <v>3</v>
      </c>
      <c r="D1637" s="4"/>
      <c r="E1637" s="4"/>
    </row>
    <row r="1638">
      <c r="A1638" s="3" t="s">
        <v>1870</v>
      </c>
      <c r="B1638" s="3" t="s">
        <v>2</v>
      </c>
      <c r="C1638" s="3" t="s">
        <v>3</v>
      </c>
      <c r="D1638" s="4"/>
      <c r="E1638" s="4"/>
    </row>
    <row r="1639">
      <c r="A1639" s="3" t="s">
        <v>1871</v>
      </c>
      <c r="B1639" s="3" t="s">
        <v>2</v>
      </c>
      <c r="C1639" s="3" t="s">
        <v>3</v>
      </c>
      <c r="D1639" s="4"/>
      <c r="E1639" s="4"/>
    </row>
    <row r="1640">
      <c r="A1640" s="3" t="s">
        <v>1872</v>
      </c>
      <c r="B1640" s="3" t="s">
        <v>2</v>
      </c>
      <c r="C1640" s="3" t="s">
        <v>3</v>
      </c>
      <c r="D1640" s="4"/>
      <c r="E1640" s="4"/>
    </row>
    <row r="1641">
      <c r="A1641" s="3" t="s">
        <v>1873</v>
      </c>
      <c r="B1641" s="4"/>
      <c r="C1641" s="4"/>
      <c r="D1641" s="4"/>
      <c r="E1641" s="4"/>
    </row>
    <row r="1642">
      <c r="A1642" s="3" t="s">
        <v>1874</v>
      </c>
      <c r="B1642" s="3" t="s">
        <v>22</v>
      </c>
      <c r="C1642" s="3" t="s">
        <v>29</v>
      </c>
      <c r="D1642" s="4"/>
      <c r="E1642" s="4"/>
    </row>
    <row r="1643">
      <c r="A1643" s="3" t="s">
        <v>1875</v>
      </c>
      <c r="B1643" s="3" t="s">
        <v>2</v>
      </c>
      <c r="C1643" s="3" t="s">
        <v>32</v>
      </c>
      <c r="D1643" s="4"/>
      <c r="E1643" s="4"/>
    </row>
    <row r="1644">
      <c r="A1644" s="3" t="s">
        <v>1876</v>
      </c>
      <c r="B1644" s="3" t="s">
        <v>2</v>
      </c>
      <c r="C1644" s="3" t="s">
        <v>3</v>
      </c>
      <c r="D1644" s="4"/>
      <c r="E1644" s="4"/>
    </row>
    <row r="1645">
      <c r="A1645" s="3" t="s">
        <v>1877</v>
      </c>
      <c r="B1645" s="3" t="s">
        <v>2</v>
      </c>
      <c r="C1645" s="3" t="s">
        <v>3</v>
      </c>
      <c r="D1645" s="4"/>
      <c r="E1645" s="4"/>
    </row>
    <row r="1646">
      <c r="A1646" s="3" t="s">
        <v>1878</v>
      </c>
      <c r="B1646" s="3" t="s">
        <v>2</v>
      </c>
      <c r="C1646" s="3" t="s">
        <v>3</v>
      </c>
      <c r="D1646" s="4"/>
      <c r="E1646" s="4"/>
    </row>
    <row r="1647">
      <c r="A1647" s="3" t="s">
        <v>1879</v>
      </c>
      <c r="B1647" s="3" t="s">
        <v>2</v>
      </c>
      <c r="C1647" s="3" t="s">
        <v>6</v>
      </c>
      <c r="D1647" s="4"/>
      <c r="E1647" s="4"/>
    </row>
    <row r="1648">
      <c r="A1648" s="3" t="s">
        <v>1880</v>
      </c>
      <c r="B1648" s="3" t="s">
        <v>51</v>
      </c>
      <c r="C1648" s="3" t="s">
        <v>3</v>
      </c>
      <c r="D1648" s="4"/>
      <c r="E1648" s="4"/>
    </row>
    <row r="1649">
      <c r="A1649" s="3" t="s">
        <v>1881</v>
      </c>
      <c r="B1649" s="3" t="s">
        <v>2</v>
      </c>
      <c r="C1649" s="3" t="s">
        <v>3</v>
      </c>
      <c r="D1649" s="4"/>
      <c r="E1649" s="4"/>
    </row>
    <row r="1650">
      <c r="A1650" s="3" t="s">
        <v>1882</v>
      </c>
      <c r="B1650" s="3" t="s">
        <v>2</v>
      </c>
      <c r="C1650" s="3" t="s">
        <v>32</v>
      </c>
      <c r="D1650" s="4"/>
      <c r="E1650" s="4"/>
    </row>
    <row r="1651">
      <c r="A1651" s="3" t="s">
        <v>1883</v>
      </c>
      <c r="B1651" s="3" t="s">
        <v>2</v>
      </c>
      <c r="C1651" s="3" t="s">
        <v>3</v>
      </c>
      <c r="D1651" s="4"/>
      <c r="E1651" s="4"/>
    </row>
    <row r="1652">
      <c r="A1652" s="3" t="s">
        <v>1884</v>
      </c>
      <c r="B1652" s="3" t="s">
        <v>1885</v>
      </c>
      <c r="C1652" s="4"/>
      <c r="D1652" s="4"/>
      <c r="E1652" s="4"/>
    </row>
    <row r="1653">
      <c r="A1653" s="3" t="s">
        <v>1886</v>
      </c>
      <c r="B1653" s="3" t="s">
        <v>20</v>
      </c>
      <c r="C1653" s="4"/>
      <c r="D1653" s="4"/>
      <c r="E1653" s="4"/>
    </row>
    <row r="1654">
      <c r="A1654" s="3" t="s">
        <v>1887</v>
      </c>
      <c r="B1654" s="3" t="s">
        <v>2</v>
      </c>
      <c r="C1654" s="3" t="s">
        <v>6</v>
      </c>
      <c r="D1654" s="4"/>
      <c r="E1654" s="4"/>
    </row>
    <row r="1655">
      <c r="A1655" s="3" t="s">
        <v>1888</v>
      </c>
      <c r="B1655" s="3" t="s">
        <v>1889</v>
      </c>
      <c r="C1655" s="3" t="s">
        <v>16</v>
      </c>
      <c r="D1655" s="4"/>
      <c r="E1655" s="4"/>
    </row>
    <row r="1656">
      <c r="A1656" s="3" t="s">
        <v>1890</v>
      </c>
      <c r="B1656" s="3" t="s">
        <v>623</v>
      </c>
      <c r="C1656" s="3" t="s">
        <v>3</v>
      </c>
      <c r="D1656" s="4"/>
      <c r="E1656" s="4"/>
    </row>
    <row r="1657">
      <c r="A1657" s="3" t="s">
        <v>1891</v>
      </c>
      <c r="B1657" s="3" t="s">
        <v>2</v>
      </c>
      <c r="C1657" s="3" t="s">
        <v>3</v>
      </c>
      <c r="D1657" s="4"/>
      <c r="E1657" s="4"/>
    </row>
    <row r="1658">
      <c r="A1658" s="3" t="s">
        <v>1892</v>
      </c>
      <c r="B1658" s="3" t="s">
        <v>2</v>
      </c>
      <c r="C1658" s="3" t="s">
        <v>3</v>
      </c>
      <c r="D1658" s="4"/>
      <c r="E1658" s="4"/>
    </row>
    <row r="1659">
      <c r="A1659" s="3" t="s">
        <v>1893</v>
      </c>
      <c r="B1659" s="3" t="s">
        <v>2</v>
      </c>
      <c r="C1659" s="3" t="s">
        <v>3</v>
      </c>
      <c r="D1659" s="4"/>
      <c r="E1659" s="4"/>
    </row>
    <row r="1660">
      <c r="A1660" s="3" t="s">
        <v>1894</v>
      </c>
      <c r="B1660" s="3" t="s">
        <v>2</v>
      </c>
      <c r="C1660" s="3" t="s">
        <v>3</v>
      </c>
      <c r="D1660" s="4"/>
      <c r="E1660" s="4"/>
    </row>
    <row r="1661">
      <c r="A1661" s="3" t="s">
        <v>1895</v>
      </c>
      <c r="B1661" s="3" t="s">
        <v>22</v>
      </c>
      <c r="C1661" s="3" t="s">
        <v>1651</v>
      </c>
      <c r="D1661" s="4"/>
      <c r="E1661" s="4"/>
    </row>
    <row r="1662">
      <c r="A1662" s="3" t="s">
        <v>1896</v>
      </c>
      <c r="B1662" s="3" t="s">
        <v>58</v>
      </c>
      <c r="C1662" s="4"/>
      <c r="D1662" s="4"/>
      <c r="E1662" s="4"/>
    </row>
    <row r="1663">
      <c r="A1663" s="3" t="s">
        <v>1897</v>
      </c>
      <c r="B1663" s="3" t="s">
        <v>1093</v>
      </c>
      <c r="C1663" s="3" t="s">
        <v>3</v>
      </c>
      <c r="D1663" s="4"/>
      <c r="E1663" s="4"/>
    </row>
    <row r="1664">
      <c r="A1664" s="3" t="s">
        <v>1898</v>
      </c>
      <c r="B1664" s="3" t="s">
        <v>2</v>
      </c>
      <c r="C1664" s="3" t="s">
        <v>3</v>
      </c>
      <c r="D1664" s="4"/>
      <c r="E1664" s="4"/>
    </row>
    <row r="1665">
      <c r="A1665" s="3" t="s">
        <v>1899</v>
      </c>
      <c r="B1665" s="3" t="s">
        <v>11</v>
      </c>
      <c r="C1665" s="3" t="s">
        <v>3</v>
      </c>
      <c r="D1665" s="4"/>
      <c r="E1665" s="4"/>
    </row>
    <row r="1666">
      <c r="A1666" s="3" t="s">
        <v>1900</v>
      </c>
      <c r="B1666" s="3" t="s">
        <v>2</v>
      </c>
      <c r="C1666" s="3" t="s">
        <v>3</v>
      </c>
      <c r="D1666" s="4"/>
      <c r="E1666" s="4"/>
    </row>
    <row r="1667">
      <c r="A1667" s="3" t="s">
        <v>1901</v>
      </c>
      <c r="B1667" s="3" t="s">
        <v>2</v>
      </c>
      <c r="C1667" s="3" t="s">
        <v>3</v>
      </c>
      <c r="D1667" s="4"/>
      <c r="E1667" s="4"/>
    </row>
    <row r="1668">
      <c r="A1668" s="3" t="s">
        <v>1902</v>
      </c>
      <c r="B1668" s="3" t="s">
        <v>1263</v>
      </c>
      <c r="C1668" s="4"/>
      <c r="D1668" s="4"/>
      <c r="E1668" s="4"/>
    </row>
    <row r="1669">
      <c r="A1669" s="3" t="s">
        <v>1903</v>
      </c>
      <c r="B1669" s="3" t="s">
        <v>1904</v>
      </c>
      <c r="C1669" s="3" t="s">
        <v>280</v>
      </c>
      <c r="D1669" s="4"/>
      <c r="E1669" s="4"/>
    </row>
    <row r="1670">
      <c r="A1670" s="3" t="s">
        <v>1905</v>
      </c>
      <c r="B1670" s="3" t="s">
        <v>2</v>
      </c>
      <c r="C1670" s="3" t="s">
        <v>3</v>
      </c>
      <c r="D1670" s="4"/>
      <c r="E1670" s="4"/>
    </row>
    <row r="1671">
      <c r="A1671" s="3" t="s">
        <v>1906</v>
      </c>
      <c r="B1671" s="3" t="s">
        <v>2</v>
      </c>
      <c r="C1671" s="3" t="s">
        <v>32</v>
      </c>
      <c r="D1671" s="4"/>
      <c r="E1671" s="4"/>
    </row>
    <row r="1672">
      <c r="A1672" s="3" t="s">
        <v>1907</v>
      </c>
      <c r="B1672" s="3" t="s">
        <v>172</v>
      </c>
      <c r="C1672" s="4"/>
      <c r="D1672" s="4"/>
      <c r="E1672" s="4"/>
    </row>
    <row r="1673">
      <c r="A1673" s="3" t="s">
        <v>1908</v>
      </c>
      <c r="B1673" s="3" t="s">
        <v>2</v>
      </c>
      <c r="C1673" s="3" t="s">
        <v>3</v>
      </c>
      <c r="D1673" s="4"/>
      <c r="E1673" s="4"/>
    </row>
    <row r="1674">
      <c r="A1674" s="3" t="s">
        <v>1909</v>
      </c>
      <c r="B1674" s="3" t="s">
        <v>18</v>
      </c>
      <c r="C1674" s="4"/>
      <c r="D1674" s="4"/>
      <c r="E1674" s="4"/>
    </row>
    <row r="1675">
      <c r="A1675" s="3" t="s">
        <v>1910</v>
      </c>
      <c r="B1675" s="3" t="s">
        <v>18</v>
      </c>
      <c r="C1675" s="4"/>
      <c r="D1675" s="4"/>
      <c r="E1675" s="4"/>
    </row>
    <row r="1676">
      <c r="A1676" s="3" t="s">
        <v>1911</v>
      </c>
      <c r="B1676" s="3" t="s">
        <v>58</v>
      </c>
      <c r="C1676" s="4"/>
      <c r="D1676" s="4"/>
      <c r="E1676" s="4"/>
    </row>
    <row r="1677">
      <c r="A1677" s="3" t="s">
        <v>1912</v>
      </c>
      <c r="B1677" s="3" t="s">
        <v>382</v>
      </c>
      <c r="C1677" s="4"/>
      <c r="D1677" s="4"/>
      <c r="E1677" s="4"/>
    </row>
    <row r="1678">
      <c r="A1678" s="3" t="s">
        <v>1913</v>
      </c>
      <c r="B1678" s="3" t="s">
        <v>2</v>
      </c>
      <c r="C1678" s="3" t="s">
        <v>3</v>
      </c>
      <c r="D1678" s="4"/>
      <c r="E1678" s="4"/>
    </row>
    <row r="1679">
      <c r="A1679" s="3" t="s">
        <v>1914</v>
      </c>
      <c r="B1679" s="3" t="s">
        <v>2</v>
      </c>
      <c r="C1679" s="3" t="s">
        <v>3</v>
      </c>
      <c r="D1679" s="4"/>
      <c r="E1679" s="4"/>
    </row>
    <row r="1680">
      <c r="A1680" s="3" t="s">
        <v>1915</v>
      </c>
      <c r="B1680" s="3" t="s">
        <v>2</v>
      </c>
      <c r="C1680" s="3" t="s">
        <v>3</v>
      </c>
      <c r="D1680" s="4"/>
      <c r="E1680" s="4"/>
    </row>
    <row r="1681">
      <c r="A1681" s="3" t="s">
        <v>1916</v>
      </c>
      <c r="B1681" s="3" t="s">
        <v>2</v>
      </c>
      <c r="C1681" s="3" t="s">
        <v>3</v>
      </c>
      <c r="D1681" s="4"/>
      <c r="E1681" s="4"/>
    </row>
    <row r="1682">
      <c r="A1682" s="3" t="s">
        <v>1917</v>
      </c>
      <c r="B1682" s="3" t="s">
        <v>2</v>
      </c>
      <c r="C1682" s="3" t="s">
        <v>3</v>
      </c>
      <c r="D1682" s="4"/>
      <c r="E1682" s="4"/>
    </row>
    <row r="1683">
      <c r="A1683" s="3" t="s">
        <v>1918</v>
      </c>
      <c r="B1683" s="3" t="s">
        <v>1919</v>
      </c>
      <c r="C1683" s="3" t="s">
        <v>26</v>
      </c>
      <c r="D1683" s="4"/>
      <c r="E1683" s="4"/>
    </row>
    <row r="1684">
      <c r="A1684" s="3" t="s">
        <v>1920</v>
      </c>
      <c r="B1684" s="3" t="s">
        <v>989</v>
      </c>
      <c r="C1684" s="4"/>
      <c r="D1684" s="4"/>
      <c r="E1684" s="4"/>
    </row>
    <row r="1685">
      <c r="A1685" s="3" t="s">
        <v>1921</v>
      </c>
      <c r="B1685" s="4"/>
      <c r="C1685" s="4"/>
      <c r="D1685" s="4"/>
      <c r="E1685" s="4"/>
    </row>
    <row r="1686">
      <c r="A1686" s="3" t="s">
        <v>1922</v>
      </c>
      <c r="B1686" s="3" t="s">
        <v>2</v>
      </c>
      <c r="C1686" s="3" t="s">
        <v>29</v>
      </c>
      <c r="D1686" s="4"/>
      <c r="E1686" s="4"/>
    </row>
    <row r="1687">
      <c r="A1687" s="3" t="s">
        <v>1923</v>
      </c>
      <c r="B1687" s="3" t="s">
        <v>2</v>
      </c>
      <c r="C1687" s="3" t="s">
        <v>6</v>
      </c>
      <c r="D1687" s="4"/>
      <c r="E1687" s="4"/>
    </row>
    <row r="1688">
      <c r="A1688" s="3" t="s">
        <v>1924</v>
      </c>
      <c r="B1688" s="3" t="s">
        <v>1925</v>
      </c>
      <c r="C1688" s="4"/>
      <c r="D1688" s="4"/>
      <c r="E1688" s="4"/>
    </row>
    <row r="1689">
      <c r="A1689" s="3" t="s">
        <v>1926</v>
      </c>
      <c r="B1689" s="4"/>
      <c r="C1689" s="4"/>
      <c r="D1689" s="4"/>
      <c r="E1689" s="4"/>
    </row>
    <row r="1690">
      <c r="A1690" s="3" t="s">
        <v>1927</v>
      </c>
      <c r="B1690" s="3" t="s">
        <v>125</v>
      </c>
      <c r="C1690" s="4"/>
      <c r="D1690" s="4"/>
      <c r="E1690" s="4"/>
    </row>
    <row r="1691">
      <c r="A1691" s="3" t="s">
        <v>1928</v>
      </c>
      <c r="B1691" s="4"/>
      <c r="C1691" s="4"/>
      <c r="D1691" s="4"/>
      <c r="E1691" s="4"/>
    </row>
    <row r="1692">
      <c r="A1692" s="3" t="s">
        <v>1929</v>
      </c>
      <c r="B1692" s="3" t="s">
        <v>623</v>
      </c>
      <c r="C1692" s="4"/>
      <c r="D1692" s="4"/>
      <c r="E1692" s="4"/>
    </row>
    <row r="1693">
      <c r="A1693" s="3" t="s">
        <v>1930</v>
      </c>
      <c r="B1693" s="4"/>
      <c r="C1693" s="4"/>
      <c r="D1693" s="4"/>
      <c r="E1693" s="4"/>
    </row>
    <row r="1694">
      <c r="A1694" s="3" t="s">
        <v>1931</v>
      </c>
      <c r="B1694" s="3" t="s">
        <v>65</v>
      </c>
      <c r="C1694" s="3" t="s">
        <v>3</v>
      </c>
      <c r="D1694" s="4"/>
      <c r="E1694" s="4"/>
    </row>
    <row r="1695">
      <c r="A1695" s="3" t="s">
        <v>1932</v>
      </c>
      <c r="B1695" s="3" t="s">
        <v>146</v>
      </c>
      <c r="C1695" s="4"/>
      <c r="D1695" s="4"/>
      <c r="E1695" s="4"/>
    </row>
    <row r="1696">
      <c r="A1696" s="3" t="s">
        <v>1933</v>
      </c>
      <c r="B1696" s="3" t="s">
        <v>382</v>
      </c>
      <c r="C1696" s="4"/>
      <c r="D1696" s="4"/>
      <c r="E1696" s="4"/>
    </row>
    <row r="1697">
      <c r="A1697" s="3" t="s">
        <v>1934</v>
      </c>
      <c r="B1697" s="4"/>
      <c r="C1697" s="4"/>
      <c r="D1697" s="4"/>
      <c r="E1697" s="4"/>
    </row>
    <row r="1698">
      <c r="A1698" s="3" t="s">
        <v>1935</v>
      </c>
      <c r="B1698" s="3" t="s">
        <v>18</v>
      </c>
      <c r="C1698" s="4"/>
      <c r="D1698" s="4"/>
      <c r="E1698" s="4"/>
    </row>
    <row r="1699">
      <c r="A1699" s="3">
        <v>33.0</v>
      </c>
      <c r="B1699" s="4"/>
      <c r="C1699" s="4"/>
      <c r="D1699" s="4"/>
      <c r="E1699" s="4"/>
    </row>
    <row r="1700">
      <c r="A1700" s="3" t="s">
        <v>1936</v>
      </c>
      <c r="B1700" s="3" t="s">
        <v>2</v>
      </c>
      <c r="C1700" s="3" t="s">
        <v>6</v>
      </c>
      <c r="D1700" s="4"/>
      <c r="E1700" s="4"/>
    </row>
    <row r="1701">
      <c r="A1701" s="3" t="s">
        <v>1937</v>
      </c>
      <c r="B1701" s="3" t="s">
        <v>2</v>
      </c>
      <c r="C1701" s="3" t="s">
        <v>3</v>
      </c>
      <c r="D1701" s="4"/>
      <c r="E1701" s="4"/>
    </row>
    <row r="1702">
      <c r="A1702" s="3" t="s">
        <v>1938</v>
      </c>
      <c r="B1702" s="3" t="s">
        <v>1939</v>
      </c>
      <c r="C1702" s="4"/>
      <c r="D1702" s="4"/>
      <c r="E1702" s="4"/>
    </row>
    <row r="1703">
      <c r="A1703" s="3" t="s">
        <v>1940</v>
      </c>
      <c r="B1703" s="3" t="s">
        <v>2</v>
      </c>
      <c r="C1703" s="3" t="s">
        <v>6</v>
      </c>
      <c r="D1703" s="4"/>
      <c r="E1703" s="4"/>
    </row>
    <row r="1704">
      <c r="A1704" s="3" t="s">
        <v>823</v>
      </c>
      <c r="B1704" s="4"/>
      <c r="C1704" s="4"/>
      <c r="D1704" s="4"/>
      <c r="E1704" s="4"/>
    </row>
    <row r="1705">
      <c r="A1705" s="3" t="s">
        <v>1941</v>
      </c>
      <c r="B1705" s="3" t="s">
        <v>2</v>
      </c>
      <c r="C1705" s="3" t="s">
        <v>3</v>
      </c>
      <c r="D1705" s="4"/>
      <c r="E1705" s="4"/>
    </row>
    <row r="1706">
      <c r="A1706" s="3" t="s">
        <v>1942</v>
      </c>
      <c r="B1706" s="4"/>
      <c r="C1706" s="4"/>
      <c r="D1706" s="4"/>
      <c r="E1706" s="4"/>
    </row>
    <row r="1707">
      <c r="A1707" s="3" t="s">
        <v>1943</v>
      </c>
      <c r="B1707" s="3" t="s">
        <v>20</v>
      </c>
      <c r="C1707" s="4"/>
      <c r="D1707" s="4"/>
      <c r="E1707" s="4"/>
    </row>
    <row r="1708">
      <c r="A1708" s="3" t="s">
        <v>1944</v>
      </c>
      <c r="B1708" s="3" t="s">
        <v>18</v>
      </c>
      <c r="C1708" s="4"/>
      <c r="D1708" s="4"/>
      <c r="E1708" s="4"/>
    </row>
    <row r="1709">
      <c r="A1709" s="3" t="s">
        <v>1945</v>
      </c>
      <c r="B1709" s="3" t="s">
        <v>2</v>
      </c>
      <c r="C1709" s="3" t="s">
        <v>3</v>
      </c>
      <c r="D1709" s="4"/>
      <c r="E1709" s="4"/>
    </row>
    <row r="1710">
      <c r="A1710" s="3" t="s">
        <v>1946</v>
      </c>
      <c r="B1710" s="4"/>
      <c r="C1710" s="4"/>
      <c r="D1710" s="4"/>
      <c r="E1710" s="4"/>
    </row>
    <row r="1711">
      <c r="A1711" s="3" t="s">
        <v>1947</v>
      </c>
      <c r="B1711" s="3" t="s">
        <v>382</v>
      </c>
      <c r="C1711" s="3" t="s">
        <v>6</v>
      </c>
      <c r="D1711" s="4"/>
      <c r="E1711" s="4"/>
    </row>
    <row r="1712">
      <c r="A1712" s="3" t="s">
        <v>1948</v>
      </c>
      <c r="B1712" s="4"/>
      <c r="C1712" s="4"/>
      <c r="D1712" s="4"/>
      <c r="E1712" s="4"/>
    </row>
    <row r="1713">
      <c r="A1713" s="3" t="s">
        <v>1949</v>
      </c>
      <c r="B1713" s="3" t="s">
        <v>575</v>
      </c>
      <c r="C1713" s="3" t="s">
        <v>3</v>
      </c>
      <c r="D1713" s="4"/>
      <c r="E1713" s="4"/>
    </row>
    <row r="1714">
      <c r="A1714" s="3" t="s">
        <v>1950</v>
      </c>
      <c r="B1714" s="4"/>
      <c r="C1714" s="4"/>
      <c r="D1714" s="4"/>
      <c r="E1714" s="4"/>
    </row>
    <row r="1715">
      <c r="A1715" s="3" t="s">
        <v>1951</v>
      </c>
      <c r="B1715" s="3" t="s">
        <v>2</v>
      </c>
      <c r="C1715" s="3" t="s">
        <v>484</v>
      </c>
      <c r="D1715" s="4"/>
      <c r="E1715" s="4"/>
    </row>
    <row r="1716">
      <c r="A1716" s="3" t="s">
        <v>1952</v>
      </c>
      <c r="B1716" s="3" t="s">
        <v>706</v>
      </c>
      <c r="C1716" s="3" t="s">
        <v>3</v>
      </c>
      <c r="D1716" s="4"/>
      <c r="E1716" s="4"/>
    </row>
    <row r="1717">
      <c r="A1717" s="3" t="s">
        <v>1953</v>
      </c>
      <c r="B1717" s="4"/>
      <c r="C1717" s="4"/>
      <c r="D1717" s="4"/>
      <c r="E1717" s="4"/>
    </row>
    <row r="1718">
      <c r="A1718" s="3" t="s">
        <v>1954</v>
      </c>
      <c r="B1718" s="3" t="s">
        <v>65</v>
      </c>
      <c r="C1718" s="3" t="s">
        <v>3</v>
      </c>
      <c r="D1718" s="4"/>
      <c r="E1718" s="4"/>
    </row>
    <row r="1719">
      <c r="A1719" s="3" t="s">
        <v>1955</v>
      </c>
      <c r="B1719" s="4"/>
      <c r="C1719" s="4"/>
      <c r="D1719" s="4"/>
      <c r="E1719" s="4"/>
    </row>
    <row r="1720">
      <c r="A1720" s="3" t="s">
        <v>1956</v>
      </c>
      <c r="B1720" s="3" t="s">
        <v>2</v>
      </c>
      <c r="C1720" s="3" t="s">
        <v>3</v>
      </c>
      <c r="D1720" s="4"/>
      <c r="E1720" s="4"/>
    </row>
    <row r="1721">
      <c r="A1721" s="3" t="s">
        <v>353</v>
      </c>
      <c r="B1721" s="4"/>
      <c r="C1721" s="4"/>
      <c r="D1721" s="4"/>
      <c r="E1721" s="4"/>
    </row>
    <row r="1722">
      <c r="A1722" s="3" t="s">
        <v>1957</v>
      </c>
      <c r="B1722" s="3" t="s">
        <v>1958</v>
      </c>
      <c r="C1722" s="3" t="s">
        <v>37</v>
      </c>
      <c r="D1722" s="4"/>
      <c r="E1722" s="4"/>
    </row>
    <row r="1723">
      <c r="A1723" s="4"/>
      <c r="B1723" s="4"/>
      <c r="C1723" s="3" t="s">
        <v>38</v>
      </c>
      <c r="D1723" s="4"/>
      <c r="E1723" s="4"/>
    </row>
    <row r="1724">
      <c r="A1724" s="3" t="s">
        <v>1959</v>
      </c>
      <c r="B1724" s="3" t="s">
        <v>1960</v>
      </c>
      <c r="C1724" s="3" t="s">
        <v>37</v>
      </c>
      <c r="D1724" s="4"/>
      <c r="E1724" s="4"/>
    </row>
    <row r="1725">
      <c r="A1725" s="4"/>
      <c r="B1725" s="4"/>
      <c r="C1725" s="3" t="s">
        <v>38</v>
      </c>
      <c r="D1725" s="4"/>
      <c r="E1725" s="4"/>
    </row>
    <row r="1726">
      <c r="A1726" s="3" t="s">
        <v>1961</v>
      </c>
      <c r="B1726" s="3" t="s">
        <v>1962</v>
      </c>
      <c r="C1726" s="3" t="s">
        <v>6</v>
      </c>
      <c r="D1726" s="4"/>
      <c r="E1726" s="4"/>
    </row>
    <row r="1727">
      <c r="A1727" s="3" t="s">
        <v>1963</v>
      </c>
      <c r="B1727" s="4"/>
      <c r="C1727" s="4"/>
      <c r="D1727" s="4"/>
      <c r="E1727" s="4"/>
    </row>
    <row r="1728">
      <c r="A1728" s="3" t="s">
        <v>1964</v>
      </c>
      <c r="B1728" s="3" t="s">
        <v>1965</v>
      </c>
      <c r="C1728" s="3" t="s">
        <v>37</v>
      </c>
      <c r="D1728" s="4"/>
      <c r="E1728" s="4"/>
    </row>
    <row r="1729">
      <c r="A1729" s="4"/>
      <c r="B1729" s="4"/>
      <c r="C1729" s="3" t="s">
        <v>38</v>
      </c>
      <c r="D1729" s="4"/>
      <c r="E1729" s="4"/>
    </row>
    <row r="1730">
      <c r="A1730" s="3" t="s">
        <v>1966</v>
      </c>
      <c r="B1730" s="3" t="s">
        <v>218</v>
      </c>
      <c r="C1730" s="4"/>
      <c r="D1730" s="4"/>
      <c r="E1730" s="4"/>
    </row>
    <row r="1731">
      <c r="A1731" s="3" t="s">
        <v>1967</v>
      </c>
      <c r="B1731" s="3" t="s">
        <v>1968</v>
      </c>
      <c r="C1731" s="3" t="s">
        <v>32</v>
      </c>
      <c r="D1731" s="4"/>
      <c r="E1731" s="4"/>
    </row>
    <row r="1732">
      <c r="A1732" s="3" t="s">
        <v>1969</v>
      </c>
      <c r="B1732" s="3" t="s">
        <v>115</v>
      </c>
      <c r="C1732" s="4"/>
      <c r="D1732" s="4"/>
      <c r="E1732" s="4"/>
    </row>
    <row r="1733">
      <c r="A1733" s="3" t="s">
        <v>1970</v>
      </c>
      <c r="B1733" s="3" t="s">
        <v>2</v>
      </c>
      <c r="C1733" s="3" t="s">
        <v>6</v>
      </c>
      <c r="D1733" s="4"/>
      <c r="E1733" s="4"/>
    </row>
    <row r="1734">
      <c r="A1734" s="3" t="s">
        <v>1971</v>
      </c>
      <c r="B1734" s="3" t="s">
        <v>2</v>
      </c>
      <c r="C1734" s="3" t="s">
        <v>6</v>
      </c>
      <c r="D1734" s="4"/>
      <c r="E1734" s="4"/>
    </row>
    <row r="1735">
      <c r="A1735" s="3" t="s">
        <v>1972</v>
      </c>
      <c r="B1735" s="4"/>
      <c r="C1735" s="4"/>
      <c r="D1735" s="4"/>
      <c r="E1735" s="4"/>
    </row>
    <row r="1736">
      <c r="A1736" s="3" t="s">
        <v>1973</v>
      </c>
      <c r="B1736" s="3" t="s">
        <v>218</v>
      </c>
      <c r="C1736" s="3" t="s">
        <v>484</v>
      </c>
      <c r="D1736" s="4"/>
      <c r="E1736" s="4"/>
    </row>
    <row r="1737">
      <c r="A1737" s="3" t="s">
        <v>1974</v>
      </c>
      <c r="B1737" s="3" t="s">
        <v>2</v>
      </c>
      <c r="C1737" s="3" t="s">
        <v>3</v>
      </c>
      <c r="D1737" s="4"/>
      <c r="E1737" s="4"/>
    </row>
    <row r="1738">
      <c r="A1738" s="3" t="s">
        <v>1975</v>
      </c>
      <c r="B1738" s="3" t="s">
        <v>42</v>
      </c>
      <c r="C1738" s="4"/>
      <c r="D1738" s="4"/>
      <c r="E1738" s="4"/>
    </row>
    <row r="1739">
      <c r="A1739" s="3" t="s">
        <v>1976</v>
      </c>
      <c r="B1739" s="3" t="s">
        <v>1977</v>
      </c>
      <c r="C1739" s="3" t="s">
        <v>32</v>
      </c>
      <c r="D1739" s="4"/>
      <c r="E1739" s="4"/>
    </row>
    <row r="1740">
      <c r="A1740" s="3" t="s">
        <v>1978</v>
      </c>
      <c r="B1740" s="3" t="s">
        <v>2</v>
      </c>
      <c r="C1740" s="3" t="s">
        <v>3</v>
      </c>
      <c r="D1740" s="4"/>
      <c r="E1740" s="4"/>
    </row>
    <row r="1741">
      <c r="A1741" s="3" t="s">
        <v>1979</v>
      </c>
      <c r="B1741" s="3" t="s">
        <v>742</v>
      </c>
      <c r="C1741" s="4"/>
      <c r="D1741" s="4"/>
      <c r="E1741" s="4"/>
    </row>
    <row r="1742">
      <c r="A1742" s="3" t="s">
        <v>1980</v>
      </c>
      <c r="B1742" s="3" t="s">
        <v>1981</v>
      </c>
      <c r="C1742" s="4"/>
      <c r="D1742" s="4"/>
      <c r="E1742" s="4"/>
    </row>
    <row r="1743">
      <c r="A1743" s="3" t="s">
        <v>1982</v>
      </c>
      <c r="B1743" s="3" t="s">
        <v>2</v>
      </c>
      <c r="C1743" s="3" t="s">
        <v>3</v>
      </c>
      <c r="D1743" s="4"/>
      <c r="E1743" s="4"/>
    </row>
    <row r="1744">
      <c r="A1744" s="3" t="s">
        <v>1983</v>
      </c>
      <c r="B1744" s="3" t="s">
        <v>2</v>
      </c>
      <c r="C1744" s="3" t="s">
        <v>6</v>
      </c>
      <c r="D1744" s="4"/>
      <c r="E1744" s="4"/>
    </row>
    <row r="1745">
      <c r="A1745" s="3" t="s">
        <v>1984</v>
      </c>
      <c r="B1745" s="3" t="s">
        <v>2</v>
      </c>
      <c r="C1745" s="3" t="s">
        <v>3</v>
      </c>
      <c r="D1745" s="4"/>
      <c r="E1745" s="4"/>
    </row>
    <row r="1746">
      <c r="A1746" s="3" t="s">
        <v>1985</v>
      </c>
      <c r="B1746" s="3" t="s">
        <v>2</v>
      </c>
      <c r="C1746" s="3" t="s">
        <v>3</v>
      </c>
      <c r="D1746" s="4"/>
      <c r="E1746" s="4"/>
    </row>
    <row r="1747">
      <c r="A1747" s="3" t="s">
        <v>1986</v>
      </c>
      <c r="B1747" s="3" t="s">
        <v>2</v>
      </c>
      <c r="C1747" s="3" t="s">
        <v>3</v>
      </c>
      <c r="D1747" s="4"/>
      <c r="E1747" s="4"/>
    </row>
    <row r="1748">
      <c r="A1748" s="3" t="s">
        <v>1987</v>
      </c>
      <c r="B1748" s="3" t="s">
        <v>2</v>
      </c>
      <c r="C1748" s="3" t="s">
        <v>3</v>
      </c>
      <c r="D1748" s="4"/>
      <c r="E1748" s="4"/>
    </row>
    <row r="1749">
      <c r="A1749" s="3" t="s">
        <v>1988</v>
      </c>
      <c r="B1749" s="3" t="s">
        <v>2</v>
      </c>
      <c r="C1749" s="3" t="s">
        <v>3</v>
      </c>
      <c r="D1749" s="4"/>
      <c r="E1749" s="4"/>
    </row>
    <row r="1750">
      <c r="A1750" s="3" t="s">
        <v>1989</v>
      </c>
      <c r="B1750" s="3" t="s">
        <v>1990</v>
      </c>
      <c r="C1750" s="3" t="s">
        <v>6</v>
      </c>
      <c r="D1750" s="4"/>
      <c r="E1750" s="4"/>
    </row>
    <row r="1751">
      <c r="A1751" s="3" t="s">
        <v>1991</v>
      </c>
      <c r="B1751" s="3" t="s">
        <v>11</v>
      </c>
      <c r="C1751" s="4"/>
      <c r="D1751" s="4"/>
      <c r="E1751" s="4"/>
    </row>
    <row r="1752">
      <c r="A1752" s="3" t="s">
        <v>1992</v>
      </c>
      <c r="B1752" s="3" t="s">
        <v>1993</v>
      </c>
      <c r="C1752" s="4"/>
      <c r="D1752" s="4"/>
      <c r="E1752" s="4"/>
    </row>
    <row r="1753">
      <c r="A1753" s="3" t="s">
        <v>1994</v>
      </c>
      <c r="B1753" s="3" t="s">
        <v>58</v>
      </c>
      <c r="C1753" s="4"/>
      <c r="D1753" s="4"/>
      <c r="E1753" s="4"/>
    </row>
    <row r="1754">
      <c r="A1754" s="3" t="s">
        <v>1995</v>
      </c>
      <c r="B1754" s="3" t="s">
        <v>18</v>
      </c>
      <c r="C1754" s="3" t="s">
        <v>3</v>
      </c>
      <c r="D1754" s="4"/>
      <c r="E1754" s="4"/>
    </row>
    <row r="1755">
      <c r="A1755" s="3" t="s">
        <v>1996</v>
      </c>
      <c r="B1755" s="3" t="s">
        <v>18</v>
      </c>
      <c r="C1755" s="3" t="s">
        <v>3</v>
      </c>
      <c r="D1755" s="4"/>
      <c r="E1755" s="4"/>
    </row>
    <row r="1756">
      <c r="A1756" s="3" t="s">
        <v>1997</v>
      </c>
      <c r="B1756" s="3" t="s">
        <v>2</v>
      </c>
      <c r="C1756" s="3" t="s">
        <v>6</v>
      </c>
      <c r="D1756" s="4"/>
      <c r="E1756" s="4"/>
    </row>
    <row r="1757">
      <c r="A1757" s="3" t="s">
        <v>1998</v>
      </c>
      <c r="B1757" s="3" t="s">
        <v>1999</v>
      </c>
      <c r="C1757" s="3" t="s">
        <v>2000</v>
      </c>
      <c r="D1757" s="4"/>
      <c r="E1757" s="4"/>
    </row>
    <row r="1758">
      <c r="A1758" s="4"/>
      <c r="B1758" s="4"/>
      <c r="C1758" s="3" t="s">
        <v>38</v>
      </c>
      <c r="D1758" s="4"/>
      <c r="E1758" s="4"/>
    </row>
    <row r="1759">
      <c r="A1759" s="3" t="s">
        <v>2001</v>
      </c>
      <c r="B1759" s="3" t="s">
        <v>2</v>
      </c>
      <c r="C1759" s="3" t="s">
        <v>6</v>
      </c>
      <c r="D1759" s="4"/>
      <c r="E1759" s="4"/>
    </row>
    <row r="1760">
      <c r="A1760" s="3" t="s">
        <v>2002</v>
      </c>
      <c r="B1760" s="3" t="s">
        <v>2003</v>
      </c>
      <c r="C1760" s="3" t="s">
        <v>6</v>
      </c>
      <c r="D1760" s="4"/>
      <c r="E1760" s="4"/>
    </row>
    <row r="1761">
      <c r="A1761" s="3" t="s">
        <v>2004</v>
      </c>
      <c r="B1761" s="3" t="s">
        <v>2</v>
      </c>
      <c r="C1761" s="3" t="s">
        <v>3</v>
      </c>
      <c r="D1761" s="4"/>
      <c r="E1761" s="4"/>
    </row>
    <row r="1762">
      <c r="A1762" s="3" t="s">
        <v>2005</v>
      </c>
      <c r="B1762" s="3" t="s">
        <v>2</v>
      </c>
      <c r="C1762" s="3" t="s">
        <v>3</v>
      </c>
      <c r="D1762" s="4"/>
      <c r="E1762" s="4"/>
    </row>
    <row r="1763">
      <c r="A1763" s="3" t="s">
        <v>2006</v>
      </c>
      <c r="B1763" s="3" t="s">
        <v>2</v>
      </c>
      <c r="C1763" s="3" t="s">
        <v>3</v>
      </c>
      <c r="D1763" s="4"/>
      <c r="E1763" s="4"/>
    </row>
    <row r="1764">
      <c r="A1764" s="3" t="s">
        <v>2007</v>
      </c>
      <c r="B1764" s="4"/>
      <c r="C1764" s="4"/>
      <c r="D1764" s="4"/>
      <c r="E1764" s="4"/>
    </row>
    <row r="1765">
      <c r="A1765" s="3" t="s">
        <v>2008</v>
      </c>
      <c r="B1765" s="3" t="s">
        <v>406</v>
      </c>
      <c r="C1765" s="3" t="s">
        <v>32</v>
      </c>
      <c r="D1765" s="4"/>
      <c r="E1765" s="4"/>
    </row>
    <row r="1766">
      <c r="A1766" s="3" t="s">
        <v>2009</v>
      </c>
      <c r="B1766" s="3" t="s">
        <v>2010</v>
      </c>
      <c r="C1766" s="3" t="s">
        <v>6</v>
      </c>
      <c r="D1766" s="4"/>
      <c r="E1766" s="4"/>
    </row>
    <row r="1767">
      <c r="A1767" s="3" t="s">
        <v>2011</v>
      </c>
      <c r="B1767" s="3" t="s">
        <v>22</v>
      </c>
      <c r="C1767" s="3" t="s">
        <v>3</v>
      </c>
      <c r="D1767" s="4"/>
      <c r="E1767" s="4"/>
    </row>
    <row r="1768">
      <c r="A1768" s="3" t="s">
        <v>2012</v>
      </c>
      <c r="B1768" s="3" t="s">
        <v>2</v>
      </c>
      <c r="C1768" s="3" t="s">
        <v>3</v>
      </c>
      <c r="D1768" s="4"/>
      <c r="E1768" s="4"/>
    </row>
    <row r="1769">
      <c r="A1769" s="3" t="s">
        <v>2013</v>
      </c>
      <c r="B1769" s="3" t="s">
        <v>2</v>
      </c>
      <c r="C1769" s="3" t="s">
        <v>6</v>
      </c>
      <c r="D1769" s="4"/>
      <c r="E1769" s="4"/>
    </row>
    <row r="1770">
      <c r="A1770" s="3" t="s">
        <v>2014</v>
      </c>
      <c r="B1770" s="3" t="s">
        <v>2015</v>
      </c>
      <c r="C1770" s="4"/>
      <c r="D1770" s="4"/>
      <c r="E1770" s="4"/>
    </row>
    <row r="1771">
      <c r="A1771" s="3" t="s">
        <v>2016</v>
      </c>
      <c r="B1771" s="3" t="s">
        <v>2</v>
      </c>
      <c r="C1771" s="3" t="s">
        <v>29</v>
      </c>
      <c r="D1771" s="4"/>
      <c r="E1771" s="4"/>
    </row>
    <row r="1772">
      <c r="A1772" s="3" t="s">
        <v>2017</v>
      </c>
      <c r="B1772" s="3" t="s">
        <v>2</v>
      </c>
      <c r="C1772" s="3" t="s">
        <v>3</v>
      </c>
      <c r="D1772" s="4"/>
      <c r="E1772" s="4"/>
    </row>
    <row r="1773">
      <c r="A1773" s="3" t="s">
        <v>2018</v>
      </c>
      <c r="B1773" s="3" t="s">
        <v>42</v>
      </c>
      <c r="C1773" s="4"/>
      <c r="D1773" s="4"/>
      <c r="E1773" s="4"/>
    </row>
    <row r="1774">
      <c r="A1774" s="3" t="s">
        <v>2019</v>
      </c>
      <c r="B1774" s="3" t="s">
        <v>2</v>
      </c>
      <c r="C1774" s="3" t="s">
        <v>29</v>
      </c>
      <c r="D1774" s="4"/>
      <c r="E1774" s="4"/>
    </row>
    <row r="1775">
      <c r="A1775" s="3" t="s">
        <v>2020</v>
      </c>
      <c r="B1775" s="3" t="s">
        <v>2</v>
      </c>
      <c r="C1775" s="3" t="s">
        <v>29</v>
      </c>
      <c r="D1775" s="4"/>
      <c r="E1775" s="4"/>
    </row>
    <row r="1776">
      <c r="A1776" s="3" t="s">
        <v>2021</v>
      </c>
      <c r="B1776" s="3" t="s">
        <v>2</v>
      </c>
      <c r="C1776" s="3" t="s">
        <v>3</v>
      </c>
      <c r="D1776" s="4"/>
      <c r="E1776" s="4"/>
    </row>
    <row r="1777">
      <c r="A1777" s="3" t="s">
        <v>2022</v>
      </c>
      <c r="B1777" s="3" t="s">
        <v>938</v>
      </c>
      <c r="C1777" s="3" t="s">
        <v>32</v>
      </c>
      <c r="D1777" s="4"/>
      <c r="E1777" s="4"/>
    </row>
    <row r="1778">
      <c r="A1778" s="3" t="s">
        <v>2023</v>
      </c>
      <c r="B1778" s="3" t="s">
        <v>1349</v>
      </c>
      <c r="C1778" s="3" t="s">
        <v>6</v>
      </c>
      <c r="D1778" s="4"/>
      <c r="E1778" s="4"/>
    </row>
    <row r="1779">
      <c r="A1779" s="3" t="s">
        <v>2024</v>
      </c>
      <c r="B1779" s="4"/>
      <c r="C1779" s="4"/>
      <c r="D1779" s="4"/>
      <c r="E1779" s="4"/>
    </row>
    <row r="1780">
      <c r="A1780" s="3" t="s">
        <v>2025</v>
      </c>
      <c r="B1780" s="3" t="s">
        <v>2</v>
      </c>
      <c r="C1780" s="3" t="s">
        <v>32</v>
      </c>
      <c r="D1780" s="4"/>
      <c r="E1780" s="4"/>
    </row>
    <row r="1781">
      <c r="A1781" s="3" t="s">
        <v>2026</v>
      </c>
      <c r="B1781" s="3" t="s">
        <v>2</v>
      </c>
      <c r="C1781" s="3" t="s">
        <v>3</v>
      </c>
      <c r="D1781" s="4"/>
      <c r="E1781" s="4"/>
    </row>
    <row r="1782">
      <c r="A1782" s="3" t="s">
        <v>2027</v>
      </c>
      <c r="B1782" s="3" t="s">
        <v>2</v>
      </c>
      <c r="C1782" s="3" t="s">
        <v>3</v>
      </c>
      <c r="D1782" s="4"/>
      <c r="E1782" s="4"/>
    </row>
    <row r="1783">
      <c r="A1783" s="3" t="s">
        <v>2028</v>
      </c>
      <c r="B1783" s="3" t="s">
        <v>2</v>
      </c>
      <c r="C1783" s="3" t="s">
        <v>29</v>
      </c>
      <c r="D1783" s="4"/>
      <c r="E1783" s="4"/>
    </row>
    <row r="1784">
      <c r="A1784" s="3" t="s">
        <v>2029</v>
      </c>
      <c r="B1784" s="3" t="s">
        <v>2</v>
      </c>
      <c r="C1784" s="3" t="s">
        <v>29</v>
      </c>
      <c r="D1784" s="4"/>
      <c r="E1784" s="4"/>
    </row>
    <row r="1785">
      <c r="A1785" s="3" t="s">
        <v>2030</v>
      </c>
      <c r="B1785" s="3" t="s">
        <v>936</v>
      </c>
      <c r="C1785" s="3" t="s">
        <v>3</v>
      </c>
      <c r="D1785" s="4"/>
      <c r="E1785" s="4"/>
    </row>
    <row r="1786">
      <c r="A1786" s="3" t="s">
        <v>2031</v>
      </c>
      <c r="B1786" s="3" t="s">
        <v>1265</v>
      </c>
      <c r="C1786" s="4"/>
      <c r="D1786" s="4"/>
      <c r="E1786" s="4"/>
    </row>
    <row r="1787">
      <c r="A1787" s="3" t="s">
        <v>2032</v>
      </c>
      <c r="B1787" s="3" t="s">
        <v>2033</v>
      </c>
      <c r="C1787" s="3" t="s">
        <v>6</v>
      </c>
      <c r="D1787" s="4"/>
      <c r="E1787" s="4"/>
    </row>
    <row r="1788">
      <c r="A1788" s="3" t="s">
        <v>2034</v>
      </c>
      <c r="B1788" s="4"/>
      <c r="C1788" s="4"/>
      <c r="D1788" s="4"/>
      <c r="E1788" s="4"/>
    </row>
    <row r="1789">
      <c r="A1789" s="3" t="s">
        <v>2035</v>
      </c>
      <c r="B1789" s="4"/>
      <c r="C1789" s="4"/>
      <c r="D1789" s="4"/>
      <c r="E1789" s="4"/>
    </row>
    <row r="1790">
      <c r="A1790" s="3" t="s">
        <v>2036</v>
      </c>
      <c r="B1790" s="4"/>
      <c r="C1790" s="4"/>
      <c r="D1790" s="4"/>
      <c r="E1790" s="4"/>
    </row>
    <row r="1791">
      <c r="A1791" s="3" t="s">
        <v>2037</v>
      </c>
      <c r="B1791" s="4"/>
      <c r="C1791" s="4"/>
      <c r="D1791" s="4"/>
      <c r="E1791" s="4"/>
    </row>
    <row r="1792">
      <c r="A1792" s="3" t="s">
        <v>2038</v>
      </c>
      <c r="B1792" s="4"/>
      <c r="C1792" s="4"/>
      <c r="D1792" s="4"/>
      <c r="E1792" s="4"/>
    </row>
    <row r="1793">
      <c r="A1793" s="3" t="s">
        <v>2039</v>
      </c>
      <c r="B1793" s="4"/>
      <c r="C1793" s="4"/>
      <c r="D1793" s="4"/>
      <c r="E1793" s="4"/>
    </row>
    <row r="1794">
      <c r="A1794" s="3" t="s">
        <v>2040</v>
      </c>
      <c r="B1794" s="4"/>
      <c r="C1794" s="4"/>
      <c r="D1794" s="4"/>
      <c r="E1794" s="4"/>
    </row>
    <row r="1795">
      <c r="A1795" s="3" t="s">
        <v>2041</v>
      </c>
      <c r="B1795" s="4"/>
      <c r="C1795" s="4"/>
      <c r="D1795" s="4"/>
      <c r="E1795" s="4"/>
    </row>
    <row r="1796">
      <c r="A1796" s="3" t="s">
        <v>2042</v>
      </c>
      <c r="B1796" s="4"/>
      <c r="C1796" s="4"/>
      <c r="D1796" s="4"/>
      <c r="E1796" s="4"/>
    </row>
    <row r="1797">
      <c r="A1797" s="3" t="s">
        <v>283</v>
      </c>
      <c r="B1797" s="3" t="s">
        <v>42</v>
      </c>
      <c r="C1797" s="4"/>
      <c r="D1797" s="4"/>
      <c r="E1797" s="4"/>
    </row>
    <row r="1798">
      <c r="A1798" s="3" t="s">
        <v>2043</v>
      </c>
      <c r="B1798" s="3" t="s">
        <v>2044</v>
      </c>
      <c r="C1798" s="4"/>
      <c r="D1798" s="4"/>
      <c r="E1798" s="4"/>
    </row>
    <row r="1799">
      <c r="A1799" s="3" t="s">
        <v>2045</v>
      </c>
      <c r="B1799" s="3" t="s">
        <v>2046</v>
      </c>
      <c r="C1799" s="3" t="s">
        <v>3</v>
      </c>
      <c r="D1799" s="4"/>
      <c r="E1799" s="4"/>
    </row>
    <row r="1800">
      <c r="A1800" s="3" t="s">
        <v>2047</v>
      </c>
      <c r="B1800" s="3" t="s">
        <v>533</v>
      </c>
      <c r="C1800" s="4"/>
      <c r="D1800" s="4"/>
      <c r="E1800" s="4"/>
    </row>
    <row r="1801">
      <c r="A1801" s="3" t="s">
        <v>2048</v>
      </c>
      <c r="B1801" s="3" t="s">
        <v>31</v>
      </c>
      <c r="C1801" s="4"/>
      <c r="D1801" s="4"/>
      <c r="E1801" s="4"/>
    </row>
    <row r="1802">
      <c r="A1802" s="3" t="s">
        <v>2049</v>
      </c>
      <c r="B1802" s="3" t="s">
        <v>2050</v>
      </c>
      <c r="C1802" s="4"/>
      <c r="D1802" s="4"/>
      <c r="E1802" s="4"/>
    </row>
    <row r="1803">
      <c r="A1803" s="3" t="s">
        <v>2051</v>
      </c>
      <c r="B1803" s="3" t="s">
        <v>2052</v>
      </c>
      <c r="C1803" s="4"/>
      <c r="D1803" s="4"/>
      <c r="E1803" s="4"/>
    </row>
    <row r="1804">
      <c r="A1804" s="3" t="s">
        <v>2053</v>
      </c>
      <c r="B1804" s="3" t="s">
        <v>2054</v>
      </c>
      <c r="C1804" s="4"/>
      <c r="D1804" s="4"/>
      <c r="E1804" s="4"/>
    </row>
    <row r="1805">
      <c r="A1805" s="3" t="s">
        <v>2055</v>
      </c>
      <c r="B1805" s="3" t="s">
        <v>2056</v>
      </c>
      <c r="C1805" s="4"/>
      <c r="D1805" s="4"/>
      <c r="E1805" s="4"/>
    </row>
    <row r="1806">
      <c r="A1806" s="3" t="s">
        <v>2036</v>
      </c>
      <c r="B1806" s="4"/>
      <c r="C1806" s="4"/>
      <c r="D1806" s="4"/>
      <c r="E1806" s="4"/>
    </row>
    <row r="1807">
      <c r="A1807" s="3" t="s">
        <v>2057</v>
      </c>
      <c r="B1807" s="3" t="s">
        <v>2058</v>
      </c>
      <c r="C1807" s="4"/>
      <c r="D1807" s="4"/>
      <c r="E1807" s="4"/>
    </row>
    <row r="1808">
      <c r="A1808" s="3" t="s">
        <v>2059</v>
      </c>
      <c r="B1808" s="3" t="s">
        <v>2060</v>
      </c>
      <c r="C1808" s="4"/>
      <c r="D1808" s="4"/>
      <c r="E1808" s="4"/>
    </row>
    <row r="1809">
      <c r="A1809" s="3" t="s">
        <v>2061</v>
      </c>
      <c r="B1809" s="3" t="s">
        <v>1349</v>
      </c>
      <c r="C1809" s="4"/>
      <c r="D1809" s="4"/>
      <c r="E1809" s="4"/>
    </row>
    <row r="1810">
      <c r="A1810" s="4"/>
      <c r="B1810" s="4"/>
      <c r="C1810" s="4"/>
      <c r="D1810" s="4"/>
      <c r="E1810" s="4"/>
    </row>
    <row r="1811">
      <c r="A1811" s="4"/>
      <c r="B1811" s="4"/>
      <c r="C1811" s="4"/>
      <c r="D1811" s="4"/>
      <c r="E1811" s="4"/>
    </row>
  </sheetData>
  <mergeCells count="1">
    <mergeCell ref="A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19.63"/>
    <col customWidth="1" min="3" max="3" width="24.88"/>
    <col customWidth="1" min="4" max="4" width="19.13"/>
    <col customWidth="1" min="5" max="5" width="24.88"/>
  </cols>
  <sheetData>
    <row r="1" ht="195.0" customHeight="1">
      <c r="A1" s="1" t="s">
        <v>2062</v>
      </c>
      <c r="E1" s="2"/>
    </row>
    <row r="2">
      <c r="A2" s="3" t="s">
        <v>1</v>
      </c>
      <c r="B2" s="3">
        <v>0.0</v>
      </c>
      <c r="C2" s="3" t="s">
        <v>3</v>
      </c>
      <c r="D2" s="4" t="b">
        <f t="shared" ref="D2:D1809" si="1">ISBLANK(B2)</f>
        <v>0</v>
      </c>
      <c r="E2" s="4"/>
    </row>
    <row r="3">
      <c r="A3" s="3" t="s">
        <v>4</v>
      </c>
      <c r="B3" s="4"/>
      <c r="C3" s="4"/>
      <c r="D3" s="4" t="b">
        <f t="shared" si="1"/>
        <v>1</v>
      </c>
      <c r="E3" s="4"/>
    </row>
    <row r="4">
      <c r="A4" s="3" t="s">
        <v>5</v>
      </c>
      <c r="B4" s="3">
        <v>0.0</v>
      </c>
      <c r="C4" s="3" t="s">
        <v>6</v>
      </c>
      <c r="D4" s="4" t="b">
        <f t="shared" si="1"/>
        <v>0</v>
      </c>
      <c r="E4" s="4"/>
    </row>
    <row r="5">
      <c r="A5" s="3" t="s">
        <v>7</v>
      </c>
      <c r="B5" s="3">
        <v>0.0</v>
      </c>
      <c r="C5" s="3" t="s">
        <v>3</v>
      </c>
      <c r="D5" s="4" t="b">
        <f t="shared" si="1"/>
        <v>0</v>
      </c>
      <c r="E5" s="4"/>
    </row>
    <row r="6">
      <c r="A6" s="3" t="s">
        <v>8</v>
      </c>
      <c r="B6" s="3">
        <v>0.0</v>
      </c>
      <c r="C6" s="3" t="s">
        <v>3</v>
      </c>
      <c r="D6" s="4" t="b">
        <f t="shared" si="1"/>
        <v>0</v>
      </c>
      <c r="E6" s="4"/>
    </row>
    <row r="7">
      <c r="A7" s="3" t="s">
        <v>9</v>
      </c>
      <c r="B7" s="3">
        <v>0.0</v>
      </c>
      <c r="C7" s="3" t="s">
        <v>3</v>
      </c>
      <c r="D7" s="4" t="b">
        <f t="shared" si="1"/>
        <v>0</v>
      </c>
      <c r="E7" s="4"/>
    </row>
    <row r="8">
      <c r="A8" s="3" t="s">
        <v>10</v>
      </c>
      <c r="B8" s="3">
        <v>1000.0</v>
      </c>
      <c r="C8" s="4"/>
      <c r="D8" s="4" t="b">
        <f t="shared" si="1"/>
        <v>0</v>
      </c>
      <c r="E8" s="4"/>
    </row>
    <row r="9">
      <c r="A9" s="3" t="s">
        <v>12</v>
      </c>
      <c r="B9" s="3">
        <v>1800.0</v>
      </c>
      <c r="C9" s="4"/>
      <c r="D9" s="4" t="b">
        <f t="shared" si="1"/>
        <v>0</v>
      </c>
      <c r="E9" s="4"/>
    </row>
    <row r="10">
      <c r="A10" s="3" t="s">
        <v>14</v>
      </c>
      <c r="B10" s="3">
        <v>19000.0</v>
      </c>
      <c r="C10" s="3" t="s">
        <v>16</v>
      </c>
      <c r="D10" s="4" t="b">
        <f t="shared" si="1"/>
        <v>0</v>
      </c>
      <c r="E10" s="4"/>
    </row>
    <row r="11">
      <c r="A11" s="3" t="s">
        <v>17</v>
      </c>
      <c r="B11" s="3">
        <v>500.0</v>
      </c>
      <c r="C11" s="4"/>
      <c r="D11" s="4" t="b">
        <f t="shared" si="1"/>
        <v>0</v>
      </c>
      <c r="E11" s="4"/>
    </row>
    <row r="12">
      <c r="A12" s="3" t="s">
        <v>19</v>
      </c>
      <c r="B12" s="3">
        <v>2000.0</v>
      </c>
      <c r="C12" s="4"/>
      <c r="D12" s="4" t="b">
        <f t="shared" si="1"/>
        <v>0</v>
      </c>
      <c r="E12" s="4"/>
    </row>
    <row r="13">
      <c r="A13" s="3" t="s">
        <v>21</v>
      </c>
      <c r="B13" s="3">
        <v>3000.0</v>
      </c>
      <c r="C13" s="4"/>
      <c r="D13" s="4" t="b">
        <f t="shared" si="1"/>
        <v>0</v>
      </c>
      <c r="E13" s="4"/>
    </row>
    <row r="14">
      <c r="A14" s="3" t="s">
        <v>23</v>
      </c>
      <c r="B14" s="3">
        <v>0.0</v>
      </c>
      <c r="C14" s="3" t="s">
        <v>3</v>
      </c>
      <c r="D14" s="4" t="b">
        <f t="shared" si="1"/>
        <v>0</v>
      </c>
      <c r="E14" s="4"/>
    </row>
    <row r="15">
      <c r="A15" s="3" t="s">
        <v>24</v>
      </c>
      <c r="B15" s="3">
        <v>0.0</v>
      </c>
      <c r="C15" s="3" t="s">
        <v>3</v>
      </c>
      <c r="D15" s="4" t="b">
        <f t="shared" si="1"/>
        <v>0</v>
      </c>
      <c r="E15" s="4"/>
    </row>
    <row r="16">
      <c r="A16" s="3" t="s">
        <v>25</v>
      </c>
      <c r="B16" s="3">
        <v>0.0</v>
      </c>
      <c r="C16" s="3" t="s">
        <v>26</v>
      </c>
      <c r="D16" s="4" t="b">
        <f t="shared" si="1"/>
        <v>0</v>
      </c>
      <c r="E16" s="4"/>
    </row>
    <row r="17">
      <c r="A17" s="3" t="s">
        <v>27</v>
      </c>
      <c r="B17" s="3">
        <v>0.0</v>
      </c>
      <c r="C17" s="3" t="s">
        <v>3</v>
      </c>
      <c r="D17" s="4" t="b">
        <f t="shared" si="1"/>
        <v>0</v>
      </c>
      <c r="E17" s="4"/>
    </row>
    <row r="18">
      <c r="A18" s="3" t="s">
        <v>28</v>
      </c>
      <c r="B18" s="3">
        <v>0.0</v>
      </c>
      <c r="C18" s="3" t="s">
        <v>29</v>
      </c>
      <c r="D18" s="4" t="b">
        <f t="shared" si="1"/>
        <v>0</v>
      </c>
      <c r="E18" s="4"/>
    </row>
    <row r="19">
      <c r="A19" s="3" t="s">
        <v>30</v>
      </c>
      <c r="B19" s="3">
        <v>7600.0</v>
      </c>
      <c r="C19" s="3" t="s">
        <v>32</v>
      </c>
      <c r="D19" s="4" t="b">
        <f t="shared" si="1"/>
        <v>0</v>
      </c>
      <c r="E19" s="4"/>
    </row>
    <row r="20">
      <c r="A20" s="3" t="s">
        <v>33</v>
      </c>
      <c r="B20" s="4"/>
      <c r="C20" s="4"/>
      <c r="D20" s="4" t="b">
        <f t="shared" si="1"/>
        <v>1</v>
      </c>
      <c r="E20" s="4"/>
    </row>
    <row r="21">
      <c r="A21" s="3" t="s">
        <v>34</v>
      </c>
      <c r="B21" s="3">
        <v>0.0</v>
      </c>
      <c r="C21" s="3" t="s">
        <v>3</v>
      </c>
      <c r="D21" s="4" t="b">
        <f t="shared" si="1"/>
        <v>0</v>
      </c>
      <c r="E21" s="4"/>
    </row>
    <row r="22">
      <c r="A22" s="3" t="s">
        <v>35</v>
      </c>
      <c r="B22" s="3">
        <v>22000.0</v>
      </c>
      <c r="C22" s="3" t="s">
        <v>37</v>
      </c>
      <c r="D22" s="4" t="b">
        <f t="shared" si="1"/>
        <v>0</v>
      </c>
      <c r="E22" s="4"/>
    </row>
    <row r="23">
      <c r="A23" s="4"/>
      <c r="B23" s="4"/>
      <c r="C23" s="3" t="s">
        <v>38</v>
      </c>
      <c r="D23" s="4" t="b">
        <f t="shared" si="1"/>
        <v>1</v>
      </c>
      <c r="E23" s="4"/>
    </row>
    <row r="24">
      <c r="A24" s="3" t="s">
        <v>39</v>
      </c>
      <c r="B24" s="3">
        <v>0.0</v>
      </c>
      <c r="C24" s="3" t="s">
        <v>3</v>
      </c>
      <c r="D24" s="4" t="b">
        <f t="shared" si="1"/>
        <v>0</v>
      </c>
      <c r="E24" s="4"/>
    </row>
    <row r="25">
      <c r="A25" s="3" t="s">
        <v>40</v>
      </c>
      <c r="B25" s="4"/>
      <c r="C25" s="4"/>
      <c r="D25" s="4" t="b">
        <f t="shared" si="1"/>
        <v>1</v>
      </c>
      <c r="E25" s="4"/>
    </row>
    <row r="26">
      <c r="A26" s="3" t="s">
        <v>41</v>
      </c>
      <c r="B26" s="3">
        <v>5000.0</v>
      </c>
      <c r="C26" s="4"/>
      <c r="D26" s="4" t="b">
        <f t="shared" si="1"/>
        <v>0</v>
      </c>
      <c r="E26" s="4"/>
    </row>
    <row r="27">
      <c r="A27" s="3" t="s">
        <v>43</v>
      </c>
      <c r="B27" s="4"/>
      <c r="C27" s="4"/>
      <c r="D27" s="4" t="b">
        <f t="shared" si="1"/>
        <v>1</v>
      </c>
      <c r="E27" s="4"/>
    </row>
    <row r="28">
      <c r="A28" s="3" t="s">
        <v>44</v>
      </c>
      <c r="B28" s="3">
        <v>300.0</v>
      </c>
      <c r="C28" s="3" t="s">
        <v>3</v>
      </c>
      <c r="D28" s="4" t="b">
        <f t="shared" si="1"/>
        <v>0</v>
      </c>
      <c r="E28" s="4"/>
    </row>
    <row r="29">
      <c r="A29" s="3" t="s">
        <v>46</v>
      </c>
      <c r="B29" s="3">
        <v>4500.0</v>
      </c>
      <c r="C29" s="3" t="s">
        <v>3</v>
      </c>
      <c r="D29" s="4" t="b">
        <f t="shared" si="1"/>
        <v>0</v>
      </c>
      <c r="E29" s="4"/>
    </row>
    <row r="30">
      <c r="A30" s="3" t="s">
        <v>48</v>
      </c>
      <c r="B30" s="3">
        <v>0.0</v>
      </c>
      <c r="C30" s="3" t="s">
        <v>3</v>
      </c>
      <c r="D30" s="4" t="b">
        <f t="shared" si="1"/>
        <v>0</v>
      </c>
      <c r="E30" s="4"/>
    </row>
    <row r="31">
      <c r="A31" s="3" t="s">
        <v>49</v>
      </c>
      <c r="B31" s="4"/>
      <c r="C31" s="4"/>
      <c r="D31" s="4" t="b">
        <f t="shared" si="1"/>
        <v>1</v>
      </c>
      <c r="E31" s="4"/>
    </row>
    <row r="32">
      <c r="A32" s="3" t="s">
        <v>50</v>
      </c>
      <c r="B32" s="3">
        <v>10000.0</v>
      </c>
      <c r="C32" s="3" t="s">
        <v>3</v>
      </c>
      <c r="D32" s="4" t="b">
        <f t="shared" si="1"/>
        <v>0</v>
      </c>
      <c r="E32" s="4"/>
    </row>
    <row r="33">
      <c r="A33" s="3" t="s">
        <v>52</v>
      </c>
      <c r="B33" s="4"/>
      <c r="C33" s="4"/>
      <c r="D33" s="4" t="b">
        <f t="shared" si="1"/>
        <v>1</v>
      </c>
      <c r="E33" s="4"/>
    </row>
    <row r="34">
      <c r="A34" s="3" t="s">
        <v>53</v>
      </c>
      <c r="B34" s="3">
        <v>22000.0</v>
      </c>
      <c r="C34" s="4"/>
      <c r="D34" s="4" t="b">
        <f t="shared" si="1"/>
        <v>0</v>
      </c>
      <c r="E34" s="4"/>
    </row>
    <row r="35">
      <c r="A35" s="3" t="s">
        <v>54</v>
      </c>
      <c r="B35" s="3">
        <v>0.0</v>
      </c>
      <c r="C35" s="3" t="s">
        <v>3</v>
      </c>
      <c r="D35" s="4" t="b">
        <f t="shared" si="1"/>
        <v>0</v>
      </c>
      <c r="E35" s="4"/>
    </row>
    <row r="36">
      <c r="A36" s="3" t="s">
        <v>55</v>
      </c>
      <c r="B36" s="3">
        <v>2400.0</v>
      </c>
      <c r="C36" s="4"/>
      <c r="D36" s="4" t="b">
        <f t="shared" si="1"/>
        <v>0</v>
      </c>
      <c r="E36" s="4"/>
    </row>
    <row r="37">
      <c r="A37" s="3" t="s">
        <v>57</v>
      </c>
      <c r="B37" s="3">
        <v>6500.0</v>
      </c>
      <c r="C37" s="4"/>
      <c r="D37" s="4" t="b">
        <f t="shared" si="1"/>
        <v>0</v>
      </c>
      <c r="E37" s="4"/>
    </row>
    <row r="38">
      <c r="A38" s="3" t="s">
        <v>59</v>
      </c>
      <c r="B38" s="3">
        <v>0.0</v>
      </c>
      <c r="C38" s="3" t="s">
        <v>3</v>
      </c>
      <c r="D38" s="4" t="b">
        <f t="shared" si="1"/>
        <v>0</v>
      </c>
      <c r="E38" s="4"/>
    </row>
    <row r="39">
      <c r="A39" s="3" t="s">
        <v>60</v>
      </c>
      <c r="B39" s="3">
        <v>0.0</v>
      </c>
      <c r="C39" s="3" t="s">
        <v>3</v>
      </c>
      <c r="D39" s="4" t="b">
        <f t="shared" si="1"/>
        <v>0</v>
      </c>
      <c r="E39" s="4"/>
    </row>
    <row r="40">
      <c r="A40" s="3" t="s">
        <v>61</v>
      </c>
      <c r="B40" s="3">
        <v>0.0</v>
      </c>
      <c r="C40" s="3" t="s">
        <v>3</v>
      </c>
      <c r="D40" s="4" t="b">
        <f t="shared" si="1"/>
        <v>0</v>
      </c>
      <c r="E40" s="4"/>
    </row>
    <row r="41">
      <c r="A41" s="3" t="s">
        <v>62</v>
      </c>
      <c r="B41" s="3">
        <v>500.0</v>
      </c>
      <c r="C41" s="4"/>
      <c r="D41" s="4" t="b">
        <f t="shared" si="1"/>
        <v>0</v>
      </c>
      <c r="E41" s="4"/>
    </row>
    <row r="42">
      <c r="A42" s="3" t="s">
        <v>63</v>
      </c>
      <c r="B42" s="3">
        <v>5000.0</v>
      </c>
      <c r="C42" s="3" t="s">
        <v>3</v>
      </c>
      <c r="D42" s="4" t="b">
        <f t="shared" si="1"/>
        <v>0</v>
      </c>
      <c r="E42" s="4"/>
    </row>
    <row r="43">
      <c r="A43" s="3" t="s">
        <v>64</v>
      </c>
      <c r="B43" s="3">
        <v>1500.0</v>
      </c>
      <c r="C43" s="4"/>
      <c r="D43" s="4" t="b">
        <f t="shared" si="1"/>
        <v>0</v>
      </c>
      <c r="E43" s="4"/>
    </row>
    <row r="44">
      <c r="A44" s="3" t="s">
        <v>66</v>
      </c>
      <c r="B44" s="3">
        <v>0.0</v>
      </c>
      <c r="C44" s="3" t="s">
        <v>6</v>
      </c>
      <c r="D44" s="4" t="b">
        <f t="shared" si="1"/>
        <v>0</v>
      </c>
      <c r="E44" s="4"/>
    </row>
    <row r="45">
      <c r="A45" s="3" t="s">
        <v>67</v>
      </c>
      <c r="B45" s="3">
        <v>1500.0</v>
      </c>
      <c r="C45" s="4"/>
      <c r="D45" s="4" t="b">
        <f t="shared" si="1"/>
        <v>0</v>
      </c>
      <c r="E45" s="4"/>
    </row>
    <row r="46">
      <c r="A46" s="3" t="s">
        <v>68</v>
      </c>
      <c r="B46" s="3">
        <v>60000.0</v>
      </c>
      <c r="C46" s="4"/>
      <c r="D46" s="4" t="b">
        <f t="shared" si="1"/>
        <v>0</v>
      </c>
      <c r="E46" s="4"/>
    </row>
    <row r="47">
      <c r="A47" s="3" t="s">
        <v>70</v>
      </c>
      <c r="B47" s="4"/>
      <c r="C47" s="4"/>
      <c r="D47" s="4" t="b">
        <f t="shared" si="1"/>
        <v>1</v>
      </c>
      <c r="E47" s="4"/>
    </row>
    <row r="48">
      <c r="A48" s="3" t="s">
        <v>71</v>
      </c>
      <c r="B48" s="3">
        <v>6000.0</v>
      </c>
      <c r="C48" s="3" t="s">
        <v>3</v>
      </c>
      <c r="D48" s="4" t="b">
        <f t="shared" si="1"/>
        <v>0</v>
      </c>
      <c r="E48" s="4"/>
    </row>
    <row r="49">
      <c r="A49" s="3" t="s">
        <v>73</v>
      </c>
      <c r="B49" s="3">
        <v>0.0</v>
      </c>
      <c r="C49" s="3" t="s">
        <v>6</v>
      </c>
      <c r="D49" s="4" t="b">
        <f t="shared" si="1"/>
        <v>0</v>
      </c>
      <c r="E49" s="4"/>
    </row>
    <row r="50">
      <c r="A50" s="3" t="s">
        <v>74</v>
      </c>
      <c r="B50" s="3">
        <v>500.0</v>
      </c>
      <c r="C50" s="4"/>
      <c r="D50" s="4" t="b">
        <f t="shared" si="1"/>
        <v>0</v>
      </c>
      <c r="E50" s="4"/>
    </row>
    <row r="51">
      <c r="A51" s="3" t="s">
        <v>75</v>
      </c>
      <c r="B51" s="4"/>
      <c r="C51" s="4"/>
      <c r="D51" s="4" t="b">
        <f t="shared" si="1"/>
        <v>1</v>
      </c>
      <c r="E51" s="4"/>
    </row>
    <row r="52">
      <c r="A52" s="3" t="s">
        <v>76</v>
      </c>
      <c r="B52" s="3">
        <v>5000.0</v>
      </c>
      <c r="C52" s="3" t="s">
        <v>6</v>
      </c>
      <c r="D52" s="4" t="b">
        <f t="shared" si="1"/>
        <v>0</v>
      </c>
      <c r="E52" s="4"/>
    </row>
    <row r="53">
      <c r="A53" s="3" t="s">
        <v>77</v>
      </c>
      <c r="B53" s="3">
        <v>2000.0</v>
      </c>
      <c r="C53" s="4"/>
      <c r="D53" s="4" t="b">
        <f t="shared" si="1"/>
        <v>0</v>
      </c>
      <c r="E53" s="4"/>
    </row>
    <row r="54">
      <c r="A54" s="3" t="s">
        <v>78</v>
      </c>
      <c r="B54" s="3">
        <v>5500.0</v>
      </c>
      <c r="C54" s="4"/>
      <c r="D54" s="4" t="b">
        <f t="shared" si="1"/>
        <v>0</v>
      </c>
      <c r="E54" s="4"/>
    </row>
    <row r="55">
      <c r="A55" s="3" t="s">
        <v>80</v>
      </c>
      <c r="B55" s="3">
        <v>0.0</v>
      </c>
      <c r="C55" s="3" t="s">
        <v>3</v>
      </c>
      <c r="D55" s="4" t="b">
        <f t="shared" si="1"/>
        <v>0</v>
      </c>
      <c r="E55" s="4"/>
    </row>
    <row r="56">
      <c r="A56" s="3" t="s">
        <v>81</v>
      </c>
      <c r="B56" s="3">
        <v>2000.0</v>
      </c>
      <c r="C56" s="3" t="s">
        <v>29</v>
      </c>
      <c r="D56" s="4" t="b">
        <f t="shared" si="1"/>
        <v>0</v>
      </c>
      <c r="E56" s="4"/>
    </row>
    <row r="57">
      <c r="A57" s="3" t="s">
        <v>82</v>
      </c>
      <c r="B57" s="3">
        <v>20060.0</v>
      </c>
      <c r="C57" s="4"/>
      <c r="D57" s="4" t="b">
        <f t="shared" si="1"/>
        <v>0</v>
      </c>
      <c r="E57" s="4"/>
    </row>
    <row r="58">
      <c r="A58" s="3" t="s">
        <v>84</v>
      </c>
      <c r="B58" s="3">
        <v>11000.0</v>
      </c>
      <c r="C58" s="3" t="s">
        <v>26</v>
      </c>
      <c r="D58" s="4" t="b">
        <f t="shared" si="1"/>
        <v>0</v>
      </c>
      <c r="E58" s="4"/>
    </row>
    <row r="59">
      <c r="A59" s="3" t="s">
        <v>86</v>
      </c>
      <c r="B59" s="3">
        <v>0.0</v>
      </c>
      <c r="C59" s="3" t="s">
        <v>32</v>
      </c>
      <c r="D59" s="4" t="b">
        <f t="shared" si="1"/>
        <v>0</v>
      </c>
      <c r="E59" s="4"/>
    </row>
    <row r="60">
      <c r="A60" s="3" t="s">
        <v>87</v>
      </c>
      <c r="B60" s="3">
        <v>0.0</v>
      </c>
      <c r="C60" s="3" t="s">
        <v>3</v>
      </c>
      <c r="D60" s="4" t="b">
        <f t="shared" si="1"/>
        <v>0</v>
      </c>
      <c r="E60" s="4"/>
    </row>
    <row r="61">
      <c r="A61" s="3" t="s">
        <v>88</v>
      </c>
      <c r="B61" s="3">
        <v>4500.0</v>
      </c>
      <c r="C61" s="3" t="s">
        <v>3</v>
      </c>
      <c r="D61" s="4" t="b">
        <f t="shared" si="1"/>
        <v>0</v>
      </c>
      <c r="E61" s="4"/>
    </row>
    <row r="62">
      <c r="A62" s="3" t="s">
        <v>89</v>
      </c>
      <c r="B62" s="4"/>
      <c r="C62" s="4"/>
      <c r="D62" s="4" t="b">
        <f t="shared" si="1"/>
        <v>1</v>
      </c>
      <c r="E62" s="4"/>
    </row>
    <row r="63">
      <c r="A63" s="3" t="s">
        <v>90</v>
      </c>
      <c r="B63" s="3">
        <v>0.0</v>
      </c>
      <c r="C63" s="3" t="s">
        <v>3</v>
      </c>
      <c r="D63" s="4" t="b">
        <f t="shared" si="1"/>
        <v>0</v>
      </c>
      <c r="E63" s="4"/>
    </row>
    <row r="64">
      <c r="A64" s="3" t="s">
        <v>91</v>
      </c>
      <c r="B64" s="3">
        <v>0.0</v>
      </c>
      <c r="C64" s="3" t="s">
        <v>3</v>
      </c>
      <c r="D64" s="4" t="b">
        <f t="shared" si="1"/>
        <v>0</v>
      </c>
      <c r="E64" s="4"/>
    </row>
    <row r="65">
      <c r="A65" s="3" t="s">
        <v>92</v>
      </c>
      <c r="B65" s="3">
        <v>0.0</v>
      </c>
      <c r="C65" s="3" t="s">
        <v>6</v>
      </c>
      <c r="D65" s="4" t="b">
        <f t="shared" si="1"/>
        <v>0</v>
      </c>
      <c r="E65" s="4"/>
    </row>
    <row r="66">
      <c r="A66" s="3" t="s">
        <v>93</v>
      </c>
      <c r="B66" s="3">
        <v>1000.0</v>
      </c>
      <c r="C66" s="4"/>
      <c r="D66" s="4" t="b">
        <f t="shared" si="1"/>
        <v>0</v>
      </c>
      <c r="E66" s="4"/>
    </row>
    <row r="67">
      <c r="A67" s="3" t="s">
        <v>94</v>
      </c>
      <c r="B67" s="3">
        <v>500.0</v>
      </c>
      <c r="C67" s="4"/>
      <c r="D67" s="4" t="b">
        <f t="shared" si="1"/>
        <v>0</v>
      </c>
      <c r="E67" s="4"/>
    </row>
    <row r="68">
      <c r="A68" s="3" t="s">
        <v>95</v>
      </c>
      <c r="B68" s="4"/>
      <c r="C68" s="4"/>
      <c r="D68" s="4" t="b">
        <f t="shared" si="1"/>
        <v>1</v>
      </c>
      <c r="E68" s="4"/>
    </row>
    <row r="69">
      <c r="A69" s="3" t="s">
        <v>96</v>
      </c>
      <c r="B69" s="3">
        <v>571.0</v>
      </c>
      <c r="C69" s="4"/>
      <c r="D69" s="4" t="b">
        <f t="shared" si="1"/>
        <v>0</v>
      </c>
      <c r="E69" s="4"/>
    </row>
    <row r="70">
      <c r="A70" s="3" t="s">
        <v>98</v>
      </c>
      <c r="B70" s="4"/>
      <c r="C70" s="4"/>
      <c r="D70" s="4" t="b">
        <f t="shared" si="1"/>
        <v>1</v>
      </c>
      <c r="E70" s="4"/>
    </row>
    <row r="71">
      <c r="A71" s="3" t="s">
        <v>99</v>
      </c>
      <c r="B71" s="3">
        <v>0.0</v>
      </c>
      <c r="C71" s="3" t="s">
        <v>3</v>
      </c>
      <c r="D71" s="4" t="b">
        <f t="shared" si="1"/>
        <v>0</v>
      </c>
      <c r="E71" s="4"/>
    </row>
    <row r="72">
      <c r="A72" s="3" t="s">
        <v>100</v>
      </c>
      <c r="B72" s="3">
        <v>0.0</v>
      </c>
      <c r="C72" s="3" t="s">
        <v>3</v>
      </c>
      <c r="D72" s="4" t="b">
        <f t="shared" si="1"/>
        <v>0</v>
      </c>
      <c r="E72" s="4"/>
    </row>
    <row r="73">
      <c r="A73" s="3" t="s">
        <v>101</v>
      </c>
      <c r="B73" s="3">
        <v>0.0</v>
      </c>
      <c r="C73" s="3" t="s">
        <v>3</v>
      </c>
      <c r="D73" s="4" t="b">
        <f t="shared" si="1"/>
        <v>0</v>
      </c>
      <c r="E73" s="4"/>
    </row>
    <row r="74">
      <c r="A74" s="3" t="s">
        <v>102</v>
      </c>
      <c r="B74" s="3">
        <v>0.0</v>
      </c>
      <c r="C74" s="3" t="s">
        <v>3</v>
      </c>
      <c r="D74" s="4" t="b">
        <f t="shared" si="1"/>
        <v>0</v>
      </c>
      <c r="E74" s="4"/>
    </row>
    <row r="75">
      <c r="A75" s="3" t="s">
        <v>103</v>
      </c>
      <c r="B75" s="3">
        <v>1000.0</v>
      </c>
      <c r="C75" s="4"/>
      <c r="D75" s="4" t="b">
        <f t="shared" si="1"/>
        <v>0</v>
      </c>
      <c r="E75" s="4"/>
    </row>
    <row r="76">
      <c r="A76" s="3" t="s">
        <v>104</v>
      </c>
      <c r="B76" s="3">
        <v>0.0</v>
      </c>
      <c r="C76" s="3" t="s">
        <v>3</v>
      </c>
      <c r="D76" s="4" t="b">
        <f t="shared" si="1"/>
        <v>0</v>
      </c>
      <c r="E76" s="4"/>
    </row>
    <row r="77">
      <c r="A77" s="3" t="s">
        <v>105</v>
      </c>
      <c r="B77" s="3">
        <v>0.0</v>
      </c>
      <c r="C77" s="3" t="s">
        <v>3</v>
      </c>
      <c r="D77" s="4" t="b">
        <f t="shared" si="1"/>
        <v>0</v>
      </c>
      <c r="E77" s="4"/>
    </row>
    <row r="78">
      <c r="A78" s="3" t="s">
        <v>106</v>
      </c>
      <c r="B78" s="3">
        <v>500.0</v>
      </c>
      <c r="C78" s="4"/>
      <c r="D78" s="4" t="b">
        <f t="shared" si="1"/>
        <v>0</v>
      </c>
      <c r="E78" s="4"/>
    </row>
    <row r="79">
      <c r="A79" s="3" t="s">
        <v>107</v>
      </c>
      <c r="B79" s="4"/>
      <c r="C79" s="4"/>
      <c r="D79" s="4" t="b">
        <f t="shared" si="1"/>
        <v>1</v>
      </c>
      <c r="E79" s="4"/>
    </row>
    <row r="80">
      <c r="A80" s="3" t="s">
        <v>108</v>
      </c>
      <c r="B80" s="3">
        <v>0.0</v>
      </c>
      <c r="C80" s="3" t="s">
        <v>3</v>
      </c>
      <c r="D80" s="4" t="b">
        <f t="shared" si="1"/>
        <v>0</v>
      </c>
      <c r="E80" s="4"/>
    </row>
    <row r="81">
      <c r="A81" s="3" t="s">
        <v>109</v>
      </c>
      <c r="B81" s="4"/>
      <c r="C81" s="4"/>
      <c r="D81" s="4" t="b">
        <f t="shared" si="1"/>
        <v>1</v>
      </c>
      <c r="E81" s="4"/>
    </row>
    <row r="82">
      <c r="A82" s="3" t="s">
        <v>110</v>
      </c>
      <c r="B82" s="3">
        <v>0.0</v>
      </c>
      <c r="C82" s="3" t="s">
        <v>3</v>
      </c>
      <c r="D82" s="4" t="b">
        <f t="shared" si="1"/>
        <v>0</v>
      </c>
      <c r="E82" s="4"/>
    </row>
    <row r="83">
      <c r="A83" s="3" t="s">
        <v>111</v>
      </c>
      <c r="B83" s="3">
        <v>82238.0</v>
      </c>
      <c r="C83" s="3" t="s">
        <v>37</v>
      </c>
      <c r="D83" s="4" t="b">
        <f t="shared" si="1"/>
        <v>0</v>
      </c>
      <c r="E83" s="4"/>
    </row>
    <row r="84">
      <c r="A84" s="3" t="s">
        <v>113</v>
      </c>
      <c r="B84" s="4"/>
      <c r="C84" s="3" t="s">
        <v>38</v>
      </c>
      <c r="D84" s="4" t="b">
        <f t="shared" si="1"/>
        <v>1</v>
      </c>
      <c r="E84" s="4"/>
    </row>
    <row r="85">
      <c r="A85" s="3" t="s">
        <v>114</v>
      </c>
      <c r="B85" s="3">
        <v>4000.0</v>
      </c>
      <c r="C85" s="4"/>
      <c r="D85" s="4" t="b">
        <f t="shared" si="1"/>
        <v>0</v>
      </c>
      <c r="E85" s="4"/>
    </row>
    <row r="86">
      <c r="A86" s="3" t="s">
        <v>116</v>
      </c>
      <c r="B86" s="3">
        <v>300.0</v>
      </c>
      <c r="C86" s="4"/>
      <c r="D86" s="4" t="b">
        <f t="shared" si="1"/>
        <v>0</v>
      </c>
      <c r="E86" s="4"/>
    </row>
    <row r="87">
      <c r="A87" s="3" t="s">
        <v>117</v>
      </c>
      <c r="B87" s="3">
        <v>8605.0</v>
      </c>
      <c r="C87" s="4"/>
      <c r="D87" s="4" t="b">
        <f t="shared" si="1"/>
        <v>0</v>
      </c>
      <c r="E87" s="4"/>
    </row>
    <row r="88">
      <c r="A88" s="3" t="s">
        <v>119</v>
      </c>
      <c r="B88" s="3">
        <v>0.0</v>
      </c>
      <c r="C88" s="3" t="s">
        <v>3</v>
      </c>
      <c r="D88" s="4" t="b">
        <f t="shared" si="1"/>
        <v>0</v>
      </c>
      <c r="E88" s="4"/>
    </row>
    <row r="89">
      <c r="A89" s="3" t="s">
        <v>120</v>
      </c>
      <c r="B89" s="4"/>
      <c r="C89" s="4"/>
      <c r="D89" s="4" t="b">
        <f t="shared" si="1"/>
        <v>1</v>
      </c>
      <c r="E89" s="4"/>
    </row>
    <row r="90">
      <c r="A90" s="3" t="s">
        <v>121</v>
      </c>
      <c r="B90" s="3">
        <v>0.0</v>
      </c>
      <c r="C90" s="3" t="s">
        <v>3</v>
      </c>
      <c r="D90" s="4" t="b">
        <f t="shared" si="1"/>
        <v>0</v>
      </c>
      <c r="E90" s="4"/>
    </row>
    <row r="91">
      <c r="A91" s="3" t="s">
        <v>122</v>
      </c>
      <c r="B91" s="3">
        <v>1000.0</v>
      </c>
      <c r="C91" s="3" t="s">
        <v>6</v>
      </c>
      <c r="D91" s="4" t="b">
        <f t="shared" si="1"/>
        <v>0</v>
      </c>
      <c r="E91" s="4"/>
    </row>
    <row r="92">
      <c r="A92" s="3" t="s">
        <v>123</v>
      </c>
      <c r="B92" s="4"/>
      <c r="C92" s="4"/>
      <c r="D92" s="4" t="b">
        <f t="shared" si="1"/>
        <v>1</v>
      </c>
      <c r="E92" s="4"/>
    </row>
    <row r="93">
      <c r="A93" s="3" t="s">
        <v>124</v>
      </c>
      <c r="B93" s="3">
        <v>2500.0</v>
      </c>
      <c r="C93" s="3" t="s">
        <v>26</v>
      </c>
      <c r="D93" s="4" t="b">
        <f t="shared" si="1"/>
        <v>0</v>
      </c>
      <c r="E93" s="4"/>
    </row>
    <row r="94">
      <c r="A94" s="3" t="s">
        <v>126</v>
      </c>
      <c r="B94" s="3">
        <v>450195.0</v>
      </c>
      <c r="C94" s="3" t="s">
        <v>29</v>
      </c>
      <c r="D94" s="4" t="b">
        <f t="shared" si="1"/>
        <v>0</v>
      </c>
      <c r="E94" s="4"/>
    </row>
    <row r="95">
      <c r="A95" s="3" t="s">
        <v>128</v>
      </c>
      <c r="B95" s="4"/>
      <c r="C95" s="4"/>
      <c r="D95" s="4" t="b">
        <f t="shared" si="1"/>
        <v>1</v>
      </c>
      <c r="E95" s="4"/>
    </row>
    <row r="96">
      <c r="A96" s="3" t="s">
        <v>129</v>
      </c>
      <c r="B96" s="3">
        <v>0.0</v>
      </c>
      <c r="C96" s="3" t="s">
        <v>29</v>
      </c>
      <c r="D96" s="4" t="b">
        <f t="shared" si="1"/>
        <v>0</v>
      </c>
      <c r="E96" s="4"/>
    </row>
    <row r="97">
      <c r="A97" s="3" t="s">
        <v>130</v>
      </c>
      <c r="B97" s="4"/>
      <c r="C97" s="4"/>
      <c r="D97" s="4" t="b">
        <f t="shared" si="1"/>
        <v>1</v>
      </c>
      <c r="E97" s="4"/>
    </row>
    <row r="98">
      <c r="A98" s="3" t="s">
        <v>131</v>
      </c>
      <c r="B98" s="3">
        <v>0.0</v>
      </c>
      <c r="C98" s="3" t="s">
        <v>3</v>
      </c>
      <c r="D98" s="4" t="b">
        <f t="shared" si="1"/>
        <v>0</v>
      </c>
      <c r="E98" s="4"/>
    </row>
    <row r="99">
      <c r="A99" s="3" t="s">
        <v>132</v>
      </c>
      <c r="B99" s="3">
        <v>0.0</v>
      </c>
      <c r="C99" s="3" t="s">
        <v>3</v>
      </c>
      <c r="D99" s="4" t="b">
        <f t="shared" si="1"/>
        <v>0</v>
      </c>
      <c r="E99" s="4"/>
    </row>
    <row r="100">
      <c r="A100" s="3" t="s">
        <v>133</v>
      </c>
      <c r="B100" s="3">
        <v>2000.0</v>
      </c>
      <c r="C100" s="3" t="s">
        <v>3</v>
      </c>
      <c r="D100" s="4" t="b">
        <f t="shared" si="1"/>
        <v>0</v>
      </c>
      <c r="E100" s="4"/>
    </row>
    <row r="101">
      <c r="A101" s="3" t="s">
        <v>134</v>
      </c>
      <c r="B101" s="3">
        <v>750.0</v>
      </c>
      <c r="C101" s="3" t="s">
        <v>3</v>
      </c>
      <c r="D101" s="4" t="b">
        <f t="shared" si="1"/>
        <v>0</v>
      </c>
      <c r="E101" s="4"/>
    </row>
    <row r="102">
      <c r="A102" s="3" t="s">
        <v>136</v>
      </c>
      <c r="B102" s="3">
        <v>3109.0</v>
      </c>
      <c r="C102" s="4"/>
      <c r="D102" s="4" t="b">
        <f t="shared" si="1"/>
        <v>0</v>
      </c>
      <c r="E102" s="4"/>
    </row>
    <row r="103">
      <c r="A103" s="3" t="s">
        <v>138</v>
      </c>
      <c r="B103" s="3">
        <v>11011.0</v>
      </c>
      <c r="C103" s="4"/>
      <c r="D103" s="4" t="b">
        <f t="shared" si="1"/>
        <v>0</v>
      </c>
      <c r="E103" s="4"/>
    </row>
    <row r="104">
      <c r="A104" s="3" t="s">
        <v>140</v>
      </c>
      <c r="B104" s="3">
        <v>0.0</v>
      </c>
      <c r="C104" s="3" t="s">
        <v>6</v>
      </c>
      <c r="D104" s="4" t="b">
        <f t="shared" si="1"/>
        <v>0</v>
      </c>
      <c r="E104" s="4"/>
    </row>
    <row r="105">
      <c r="A105" s="3" t="s">
        <v>141</v>
      </c>
      <c r="B105" s="3">
        <v>0.0</v>
      </c>
      <c r="C105" s="3" t="s">
        <v>3</v>
      </c>
      <c r="D105" s="4" t="b">
        <f t="shared" si="1"/>
        <v>0</v>
      </c>
      <c r="E105" s="4"/>
    </row>
    <row r="106">
      <c r="A106" s="3" t="s">
        <v>142</v>
      </c>
      <c r="B106" s="3">
        <v>0.0</v>
      </c>
      <c r="C106" s="3" t="s">
        <v>3</v>
      </c>
      <c r="D106" s="4" t="b">
        <f t="shared" si="1"/>
        <v>0</v>
      </c>
      <c r="E106" s="4"/>
    </row>
    <row r="107">
      <c r="A107" s="3" t="s">
        <v>143</v>
      </c>
      <c r="B107" s="3">
        <v>0.0</v>
      </c>
      <c r="C107" s="3" t="s">
        <v>32</v>
      </c>
      <c r="D107" s="4" t="b">
        <f t="shared" si="1"/>
        <v>0</v>
      </c>
      <c r="E107" s="4"/>
    </row>
    <row r="108">
      <c r="A108" s="3" t="s">
        <v>144</v>
      </c>
      <c r="B108" s="3">
        <v>0.0</v>
      </c>
      <c r="C108" s="3" t="s">
        <v>3</v>
      </c>
      <c r="D108" s="4" t="b">
        <f t="shared" si="1"/>
        <v>0</v>
      </c>
      <c r="E108" s="4"/>
    </row>
    <row r="109">
      <c r="A109" s="3" t="s">
        <v>145</v>
      </c>
      <c r="B109" s="3">
        <v>15000.0</v>
      </c>
      <c r="C109" s="4"/>
      <c r="D109" s="4" t="b">
        <f t="shared" si="1"/>
        <v>0</v>
      </c>
      <c r="E109" s="4"/>
    </row>
    <row r="110">
      <c r="A110" s="3" t="s">
        <v>147</v>
      </c>
      <c r="B110" s="3">
        <v>0.0</v>
      </c>
      <c r="C110" s="3" t="s">
        <v>3</v>
      </c>
      <c r="D110" s="4" t="b">
        <f t="shared" si="1"/>
        <v>0</v>
      </c>
      <c r="E110" s="4"/>
    </row>
    <row r="111">
      <c r="A111" s="3" t="s">
        <v>148</v>
      </c>
      <c r="B111" s="3">
        <v>0.0</v>
      </c>
      <c r="C111" s="3" t="s">
        <v>6</v>
      </c>
      <c r="D111" s="4" t="b">
        <f t="shared" si="1"/>
        <v>0</v>
      </c>
      <c r="E111" s="4"/>
    </row>
    <row r="112">
      <c r="A112" s="3" t="s">
        <v>149</v>
      </c>
      <c r="B112" s="3">
        <v>30000.0</v>
      </c>
      <c r="C112" s="3" t="s">
        <v>3</v>
      </c>
      <c r="D112" s="4" t="b">
        <f t="shared" si="1"/>
        <v>0</v>
      </c>
      <c r="E112" s="4"/>
    </row>
    <row r="113">
      <c r="A113" s="3" t="s">
        <v>151</v>
      </c>
      <c r="B113" s="4"/>
      <c r="C113" s="4"/>
      <c r="D113" s="4" t="b">
        <f t="shared" si="1"/>
        <v>1</v>
      </c>
      <c r="E113" s="4"/>
    </row>
    <row r="114">
      <c r="A114" s="3" t="s">
        <v>152</v>
      </c>
      <c r="B114" s="3">
        <v>1500.0</v>
      </c>
      <c r="C114" s="4"/>
      <c r="D114" s="4" t="b">
        <f t="shared" si="1"/>
        <v>0</v>
      </c>
      <c r="E114" s="4"/>
    </row>
    <row r="115">
      <c r="A115" s="3" t="s">
        <v>153</v>
      </c>
      <c r="B115" s="3">
        <v>0.0</v>
      </c>
      <c r="C115" s="3" t="s">
        <v>29</v>
      </c>
      <c r="D115" s="4" t="b">
        <f t="shared" si="1"/>
        <v>0</v>
      </c>
      <c r="E115" s="4"/>
    </row>
    <row r="116">
      <c r="A116" s="3" t="s">
        <v>154</v>
      </c>
      <c r="B116" s="3">
        <v>0.0</v>
      </c>
      <c r="C116" s="3" t="s">
        <v>32</v>
      </c>
      <c r="D116" s="4" t="b">
        <f t="shared" si="1"/>
        <v>0</v>
      </c>
      <c r="E116" s="4"/>
    </row>
    <row r="117">
      <c r="A117" s="3" t="s">
        <v>155</v>
      </c>
      <c r="B117" s="3">
        <v>0.0</v>
      </c>
      <c r="C117" s="3" t="s">
        <v>3</v>
      </c>
      <c r="D117" s="4" t="b">
        <f t="shared" si="1"/>
        <v>0</v>
      </c>
      <c r="E117" s="4"/>
    </row>
    <row r="118">
      <c r="A118" s="3" t="s">
        <v>156</v>
      </c>
      <c r="B118" s="3">
        <v>0.0</v>
      </c>
      <c r="C118" s="3" t="s">
        <v>6</v>
      </c>
      <c r="D118" s="4" t="b">
        <f t="shared" si="1"/>
        <v>0</v>
      </c>
      <c r="E118" s="4"/>
    </row>
    <row r="119">
      <c r="A119" s="3" t="s">
        <v>157</v>
      </c>
      <c r="B119" s="3">
        <v>3000.0</v>
      </c>
      <c r="C119" s="4"/>
      <c r="D119" s="4" t="b">
        <f t="shared" si="1"/>
        <v>0</v>
      </c>
      <c r="E119" s="4"/>
    </row>
    <row r="120">
      <c r="A120" s="3" t="s">
        <v>158</v>
      </c>
      <c r="B120" s="3">
        <v>7932.0</v>
      </c>
      <c r="C120" s="4"/>
      <c r="D120" s="4" t="b">
        <f t="shared" si="1"/>
        <v>0</v>
      </c>
      <c r="E120" s="4"/>
    </row>
    <row r="121">
      <c r="A121" s="3" t="s">
        <v>160</v>
      </c>
      <c r="B121" s="3">
        <v>0.0</v>
      </c>
      <c r="C121" s="3" t="s">
        <v>26</v>
      </c>
      <c r="D121" s="4" t="b">
        <f t="shared" si="1"/>
        <v>0</v>
      </c>
      <c r="E121" s="4"/>
    </row>
    <row r="122">
      <c r="A122" s="3" t="s">
        <v>161</v>
      </c>
      <c r="B122" s="3">
        <v>21000.0</v>
      </c>
      <c r="C122" s="3" t="s">
        <v>32</v>
      </c>
      <c r="D122" s="4" t="b">
        <f t="shared" si="1"/>
        <v>0</v>
      </c>
      <c r="E122" s="4"/>
    </row>
    <row r="123">
      <c r="A123" s="3" t="s">
        <v>163</v>
      </c>
      <c r="B123" s="4"/>
      <c r="C123" s="4"/>
      <c r="D123" s="4" t="b">
        <f t="shared" si="1"/>
        <v>1</v>
      </c>
      <c r="E123" s="4"/>
    </row>
    <row r="124">
      <c r="A124" s="3" t="s">
        <v>164</v>
      </c>
      <c r="B124" s="3">
        <v>7500.0</v>
      </c>
      <c r="C124" s="4"/>
      <c r="D124" s="4" t="b">
        <f t="shared" si="1"/>
        <v>0</v>
      </c>
      <c r="E124" s="4"/>
    </row>
    <row r="125">
      <c r="A125" s="3" t="s">
        <v>166</v>
      </c>
      <c r="B125" s="3">
        <v>2700.0</v>
      </c>
      <c r="C125" s="4"/>
      <c r="D125" s="4" t="b">
        <f t="shared" si="1"/>
        <v>0</v>
      </c>
      <c r="E125" s="4"/>
    </row>
    <row r="126">
      <c r="A126" s="3" t="s">
        <v>168</v>
      </c>
      <c r="B126" s="3">
        <v>2500.0</v>
      </c>
      <c r="C126" s="4"/>
      <c r="D126" s="4" t="b">
        <f t="shared" si="1"/>
        <v>0</v>
      </c>
      <c r="E126" s="4"/>
    </row>
    <row r="127">
      <c r="A127" s="3" t="s">
        <v>169</v>
      </c>
      <c r="B127" s="3">
        <v>0.0</v>
      </c>
      <c r="C127" s="3" t="s">
        <v>29</v>
      </c>
      <c r="D127" s="4" t="b">
        <f t="shared" si="1"/>
        <v>0</v>
      </c>
      <c r="E127" s="4"/>
    </row>
    <row r="128">
      <c r="A128" s="3" t="s">
        <v>170</v>
      </c>
      <c r="B128" s="3">
        <v>0.0</v>
      </c>
      <c r="C128" s="3" t="s">
        <v>3</v>
      </c>
      <c r="D128" s="4" t="b">
        <f t="shared" si="1"/>
        <v>0</v>
      </c>
      <c r="E128" s="4"/>
    </row>
    <row r="129">
      <c r="A129" s="3" t="s">
        <v>171</v>
      </c>
      <c r="B129" s="3">
        <v>12000.0</v>
      </c>
      <c r="C129" s="3" t="s">
        <v>6</v>
      </c>
      <c r="D129" s="4" t="b">
        <f t="shared" si="1"/>
        <v>0</v>
      </c>
      <c r="E129" s="4"/>
    </row>
    <row r="130">
      <c r="A130" s="3" t="s">
        <v>173</v>
      </c>
      <c r="B130" s="3">
        <v>4000.0</v>
      </c>
      <c r="C130" s="4"/>
      <c r="D130" s="4" t="b">
        <f t="shared" si="1"/>
        <v>0</v>
      </c>
      <c r="E130" s="4"/>
    </row>
    <row r="131">
      <c r="A131" s="3" t="s">
        <v>174</v>
      </c>
      <c r="B131" s="3">
        <v>752250.0</v>
      </c>
      <c r="C131" s="3" t="s">
        <v>176</v>
      </c>
      <c r="D131" s="4" t="b">
        <f t="shared" si="1"/>
        <v>0</v>
      </c>
      <c r="E131" s="4"/>
    </row>
    <row r="132">
      <c r="A132" s="3" t="s">
        <v>177</v>
      </c>
      <c r="B132" s="3">
        <v>0.0</v>
      </c>
      <c r="C132" s="3" t="s">
        <v>3</v>
      </c>
      <c r="D132" s="4" t="b">
        <f t="shared" si="1"/>
        <v>0</v>
      </c>
      <c r="E132" s="4"/>
    </row>
    <row r="133">
      <c r="A133" s="3" t="s">
        <v>178</v>
      </c>
      <c r="B133" s="3">
        <v>0.0</v>
      </c>
      <c r="C133" s="3" t="s">
        <v>6</v>
      </c>
      <c r="D133" s="4" t="b">
        <f t="shared" si="1"/>
        <v>0</v>
      </c>
      <c r="E133" s="4"/>
    </row>
    <row r="134">
      <c r="A134" s="3" t="s">
        <v>179</v>
      </c>
      <c r="B134" s="3">
        <v>0.0</v>
      </c>
      <c r="C134" s="3" t="s">
        <v>3</v>
      </c>
      <c r="D134" s="4" t="b">
        <f t="shared" si="1"/>
        <v>0</v>
      </c>
      <c r="E134" s="4"/>
    </row>
    <row r="135">
      <c r="A135" s="3" t="s">
        <v>180</v>
      </c>
      <c r="B135" s="3">
        <v>9880.0</v>
      </c>
      <c r="C135" s="4"/>
      <c r="D135" s="4" t="b">
        <f t="shared" si="1"/>
        <v>0</v>
      </c>
      <c r="E135" s="4"/>
    </row>
    <row r="136">
      <c r="A136" s="3" t="s">
        <v>182</v>
      </c>
      <c r="B136" s="3">
        <v>0.0</v>
      </c>
      <c r="C136" s="3" t="s">
        <v>3</v>
      </c>
      <c r="D136" s="4" t="b">
        <f t="shared" si="1"/>
        <v>0</v>
      </c>
      <c r="E136" s="4"/>
    </row>
    <row r="137">
      <c r="A137" s="3" t="s">
        <v>183</v>
      </c>
      <c r="B137" s="3">
        <v>0.0</v>
      </c>
      <c r="C137" s="3" t="s">
        <v>3</v>
      </c>
      <c r="D137" s="4" t="b">
        <f t="shared" si="1"/>
        <v>0</v>
      </c>
      <c r="E137" s="4"/>
    </row>
    <row r="138">
      <c r="A138" s="3" t="s">
        <v>184</v>
      </c>
      <c r="B138" s="3">
        <v>0.0</v>
      </c>
      <c r="C138" s="3" t="s">
        <v>3</v>
      </c>
      <c r="D138" s="4" t="b">
        <f t="shared" si="1"/>
        <v>0</v>
      </c>
      <c r="E138" s="4"/>
    </row>
    <row r="139">
      <c r="A139" s="3" t="s">
        <v>185</v>
      </c>
      <c r="B139" s="3">
        <v>0.0</v>
      </c>
      <c r="C139" s="3" t="s">
        <v>6</v>
      </c>
      <c r="D139" s="4" t="b">
        <f t="shared" si="1"/>
        <v>0</v>
      </c>
      <c r="E139" s="4"/>
    </row>
    <row r="140">
      <c r="A140" s="3" t="s">
        <v>186</v>
      </c>
      <c r="B140" s="3">
        <v>0.0</v>
      </c>
      <c r="C140" s="3" t="s">
        <v>6</v>
      </c>
      <c r="D140" s="4" t="b">
        <f t="shared" si="1"/>
        <v>0</v>
      </c>
      <c r="E140" s="4"/>
    </row>
    <row r="141">
      <c r="A141" s="3" t="s">
        <v>187</v>
      </c>
      <c r="B141" s="3">
        <v>0.0</v>
      </c>
      <c r="C141" s="3" t="s">
        <v>3</v>
      </c>
      <c r="D141" s="4" t="b">
        <f t="shared" si="1"/>
        <v>0</v>
      </c>
      <c r="E141" s="4"/>
    </row>
    <row r="142">
      <c r="A142" s="3" t="s">
        <v>188</v>
      </c>
      <c r="B142" s="3">
        <v>0.0</v>
      </c>
      <c r="C142" s="3" t="s">
        <v>32</v>
      </c>
      <c r="D142" s="4" t="b">
        <f t="shared" si="1"/>
        <v>0</v>
      </c>
      <c r="E142" s="4"/>
    </row>
    <row r="143">
      <c r="A143" s="3" t="s">
        <v>189</v>
      </c>
      <c r="B143" s="3">
        <v>0.0</v>
      </c>
      <c r="C143" s="3" t="s">
        <v>3</v>
      </c>
      <c r="D143" s="4" t="b">
        <f t="shared" si="1"/>
        <v>0</v>
      </c>
      <c r="E143" s="4"/>
    </row>
    <row r="144">
      <c r="A144" s="3" t="s">
        <v>190</v>
      </c>
      <c r="B144" s="4"/>
      <c r="C144" s="4"/>
      <c r="D144" s="4" t="b">
        <f t="shared" si="1"/>
        <v>1</v>
      </c>
      <c r="E144" s="4"/>
    </row>
    <row r="145">
      <c r="A145" s="3" t="s">
        <v>191</v>
      </c>
      <c r="B145" s="3">
        <v>0.0</v>
      </c>
      <c r="C145" s="3" t="s">
        <v>3</v>
      </c>
      <c r="D145" s="4" t="b">
        <f t="shared" si="1"/>
        <v>0</v>
      </c>
      <c r="E145" s="4"/>
    </row>
    <row r="146">
      <c r="A146" s="3" t="s">
        <v>192</v>
      </c>
      <c r="B146" s="3">
        <v>0.0</v>
      </c>
      <c r="C146" s="3" t="s">
        <v>26</v>
      </c>
      <c r="D146" s="4" t="b">
        <f t="shared" si="1"/>
        <v>0</v>
      </c>
      <c r="E146" s="4"/>
    </row>
    <row r="147">
      <c r="A147" s="3" t="s">
        <v>193</v>
      </c>
      <c r="B147" s="3">
        <v>1000.0</v>
      </c>
      <c r="C147" s="3" t="s">
        <v>29</v>
      </c>
      <c r="D147" s="4" t="b">
        <f t="shared" si="1"/>
        <v>0</v>
      </c>
      <c r="E147" s="4"/>
    </row>
    <row r="148">
      <c r="A148" s="3" t="s">
        <v>194</v>
      </c>
      <c r="B148" s="3">
        <v>0.0</v>
      </c>
      <c r="C148" s="3" t="s">
        <v>29</v>
      </c>
      <c r="D148" s="4" t="b">
        <f t="shared" si="1"/>
        <v>0</v>
      </c>
      <c r="E148" s="4"/>
    </row>
    <row r="149">
      <c r="A149" s="3" t="s">
        <v>195</v>
      </c>
      <c r="B149" s="3">
        <v>0.0</v>
      </c>
      <c r="C149" s="3" t="s">
        <v>3</v>
      </c>
      <c r="D149" s="4" t="b">
        <f t="shared" si="1"/>
        <v>0</v>
      </c>
      <c r="E149" s="4"/>
    </row>
    <row r="150">
      <c r="A150" s="3" t="s">
        <v>196</v>
      </c>
      <c r="B150" s="4"/>
      <c r="C150" s="4"/>
      <c r="D150" s="4" t="b">
        <f t="shared" si="1"/>
        <v>1</v>
      </c>
      <c r="E150" s="4"/>
    </row>
    <row r="151">
      <c r="A151" s="3" t="s">
        <v>197</v>
      </c>
      <c r="B151" s="3">
        <v>0.0</v>
      </c>
      <c r="C151" s="3" t="s">
        <v>29</v>
      </c>
      <c r="D151" s="4" t="b">
        <f t="shared" si="1"/>
        <v>0</v>
      </c>
      <c r="E151" s="4"/>
    </row>
    <row r="152">
      <c r="A152" s="3" t="s">
        <v>198</v>
      </c>
      <c r="B152" s="3">
        <v>0.0</v>
      </c>
      <c r="C152" s="3" t="s">
        <v>3</v>
      </c>
      <c r="D152" s="4" t="b">
        <f t="shared" si="1"/>
        <v>0</v>
      </c>
      <c r="E152" s="4"/>
    </row>
    <row r="153">
      <c r="A153" s="3" t="s">
        <v>199</v>
      </c>
      <c r="B153" s="3">
        <v>4850.0</v>
      </c>
      <c r="C153" s="4"/>
      <c r="D153" s="4" t="b">
        <f t="shared" si="1"/>
        <v>0</v>
      </c>
      <c r="E153" s="4"/>
    </row>
    <row r="154">
      <c r="A154" s="3" t="s">
        <v>201</v>
      </c>
      <c r="B154" s="3">
        <v>0.0</v>
      </c>
      <c r="C154" s="3" t="s">
        <v>32</v>
      </c>
      <c r="D154" s="4" t="b">
        <f t="shared" si="1"/>
        <v>0</v>
      </c>
      <c r="E154" s="4"/>
    </row>
    <row r="155">
      <c r="A155" s="3" t="s">
        <v>202</v>
      </c>
      <c r="B155" s="3">
        <v>0.0</v>
      </c>
      <c r="C155" s="3" t="s">
        <v>3</v>
      </c>
      <c r="D155" s="4" t="b">
        <f t="shared" si="1"/>
        <v>0</v>
      </c>
      <c r="E155" s="4"/>
    </row>
    <row r="156">
      <c r="A156" s="3" t="s">
        <v>203</v>
      </c>
      <c r="B156" s="3">
        <v>15280.0</v>
      </c>
      <c r="C156" s="4"/>
      <c r="D156" s="4" t="b">
        <f t="shared" si="1"/>
        <v>0</v>
      </c>
      <c r="E156" s="4"/>
    </row>
    <row r="157">
      <c r="A157" s="3" t="s">
        <v>205</v>
      </c>
      <c r="B157" s="3">
        <v>0.0</v>
      </c>
      <c r="C157" s="3" t="s">
        <v>3</v>
      </c>
      <c r="D157" s="4" t="b">
        <f t="shared" si="1"/>
        <v>0</v>
      </c>
      <c r="E157" s="4"/>
    </row>
    <row r="158">
      <c r="A158" s="3" t="s">
        <v>206</v>
      </c>
      <c r="B158" s="3">
        <v>0.0</v>
      </c>
      <c r="C158" s="3" t="s">
        <v>3</v>
      </c>
      <c r="D158" s="4" t="b">
        <f t="shared" si="1"/>
        <v>0</v>
      </c>
      <c r="E158" s="4"/>
    </row>
    <row r="159">
      <c r="A159" s="3" t="s">
        <v>207</v>
      </c>
      <c r="B159" s="3">
        <v>0.0</v>
      </c>
      <c r="C159" s="3" t="s">
        <v>3</v>
      </c>
      <c r="D159" s="4" t="b">
        <f t="shared" si="1"/>
        <v>0</v>
      </c>
      <c r="E159" s="4"/>
    </row>
    <row r="160">
      <c r="A160" s="3" t="s">
        <v>208</v>
      </c>
      <c r="B160" s="3">
        <v>0.0</v>
      </c>
      <c r="C160" s="3" t="s">
        <v>3</v>
      </c>
      <c r="D160" s="4" t="b">
        <f t="shared" si="1"/>
        <v>0</v>
      </c>
      <c r="E160" s="4"/>
    </row>
    <row r="161">
      <c r="A161" s="3" t="s">
        <v>209</v>
      </c>
      <c r="B161" s="4"/>
      <c r="C161" s="4"/>
      <c r="D161" s="4" t="b">
        <f t="shared" si="1"/>
        <v>1</v>
      </c>
      <c r="E161" s="4"/>
    </row>
    <row r="162">
      <c r="A162" s="3" t="s">
        <v>210</v>
      </c>
      <c r="B162" s="3">
        <v>0.0</v>
      </c>
      <c r="C162" s="3" t="s">
        <v>3</v>
      </c>
      <c r="D162" s="4" t="b">
        <f t="shared" si="1"/>
        <v>0</v>
      </c>
      <c r="E162" s="4"/>
    </row>
    <row r="163">
      <c r="A163" s="3" t="s">
        <v>211</v>
      </c>
      <c r="B163" s="3">
        <v>0.0</v>
      </c>
      <c r="C163" s="3" t="s">
        <v>6</v>
      </c>
      <c r="D163" s="4" t="b">
        <f t="shared" si="1"/>
        <v>0</v>
      </c>
      <c r="E163" s="4"/>
    </row>
    <row r="164">
      <c r="A164" s="3" t="s">
        <v>212</v>
      </c>
      <c r="B164" s="3">
        <v>0.0</v>
      </c>
      <c r="C164" s="3" t="s">
        <v>29</v>
      </c>
      <c r="D164" s="4" t="b">
        <f t="shared" si="1"/>
        <v>0</v>
      </c>
      <c r="E164" s="4"/>
    </row>
    <row r="165">
      <c r="A165" s="3" t="s">
        <v>213</v>
      </c>
      <c r="B165" s="3">
        <v>3220.0</v>
      </c>
      <c r="C165" s="4"/>
      <c r="D165" s="4" t="b">
        <f t="shared" si="1"/>
        <v>0</v>
      </c>
      <c r="E165" s="4"/>
    </row>
    <row r="166">
      <c r="A166" s="3" t="s">
        <v>215</v>
      </c>
      <c r="B166" s="3">
        <v>0.0</v>
      </c>
      <c r="C166" s="3" t="s">
        <v>216</v>
      </c>
      <c r="D166" s="4" t="b">
        <f t="shared" si="1"/>
        <v>0</v>
      </c>
      <c r="E166" s="4"/>
    </row>
    <row r="167">
      <c r="A167" s="3" t="s">
        <v>217</v>
      </c>
      <c r="B167" s="3">
        <v>3500.0</v>
      </c>
      <c r="C167" s="3" t="s">
        <v>3</v>
      </c>
      <c r="D167" s="4" t="b">
        <f t="shared" si="1"/>
        <v>0</v>
      </c>
      <c r="E167" s="4"/>
    </row>
    <row r="168">
      <c r="A168" s="3" t="s">
        <v>219</v>
      </c>
      <c r="B168" s="4"/>
      <c r="C168" s="4"/>
      <c r="D168" s="4" t="b">
        <f t="shared" si="1"/>
        <v>1</v>
      </c>
      <c r="E168" s="4"/>
    </row>
    <row r="169">
      <c r="A169" s="3" t="s">
        <v>220</v>
      </c>
      <c r="B169" s="3">
        <v>0.0</v>
      </c>
      <c r="C169" s="3" t="s">
        <v>6</v>
      </c>
      <c r="D169" s="4" t="b">
        <f t="shared" si="1"/>
        <v>0</v>
      </c>
      <c r="E169" s="4"/>
    </row>
    <row r="170">
      <c r="A170" s="3" t="s">
        <v>221</v>
      </c>
      <c r="B170" s="3">
        <v>0.0</v>
      </c>
      <c r="C170" s="3" t="s">
        <v>29</v>
      </c>
      <c r="D170" s="4" t="b">
        <f t="shared" si="1"/>
        <v>0</v>
      </c>
      <c r="E170" s="4"/>
    </row>
    <row r="171">
      <c r="A171" s="3" t="s">
        <v>222</v>
      </c>
      <c r="B171" s="4"/>
      <c r="C171" s="4"/>
      <c r="D171" s="4" t="b">
        <f t="shared" si="1"/>
        <v>1</v>
      </c>
      <c r="E171" s="4"/>
    </row>
    <row r="172">
      <c r="A172" s="3" t="s">
        <v>223</v>
      </c>
      <c r="B172" s="3">
        <v>532800.0</v>
      </c>
      <c r="C172" s="4"/>
      <c r="D172" s="4" t="b">
        <f t="shared" si="1"/>
        <v>0</v>
      </c>
      <c r="E172" s="4"/>
    </row>
    <row r="173">
      <c r="A173" s="3" t="s">
        <v>225</v>
      </c>
      <c r="B173" s="3">
        <v>0.0</v>
      </c>
      <c r="C173" s="3" t="s">
        <v>3</v>
      </c>
      <c r="D173" s="4" t="b">
        <f t="shared" si="1"/>
        <v>0</v>
      </c>
      <c r="E173" s="4"/>
    </row>
    <row r="174">
      <c r="A174" s="3" t="s">
        <v>226</v>
      </c>
      <c r="B174" s="3">
        <v>2000.0</v>
      </c>
      <c r="C174" s="3" t="s">
        <v>3</v>
      </c>
      <c r="D174" s="4" t="b">
        <f t="shared" si="1"/>
        <v>0</v>
      </c>
      <c r="E174" s="4"/>
    </row>
    <row r="175">
      <c r="A175" s="3" t="s">
        <v>227</v>
      </c>
      <c r="B175" s="3">
        <v>0.0</v>
      </c>
      <c r="C175" s="3" t="s">
        <v>3</v>
      </c>
      <c r="D175" s="4" t="b">
        <f t="shared" si="1"/>
        <v>0</v>
      </c>
      <c r="E175" s="4"/>
    </row>
    <row r="176">
      <c r="A176" s="3" t="s">
        <v>228</v>
      </c>
      <c r="B176" s="3">
        <v>0.0</v>
      </c>
      <c r="C176" s="3" t="s">
        <v>32</v>
      </c>
      <c r="D176" s="4" t="b">
        <f t="shared" si="1"/>
        <v>0</v>
      </c>
      <c r="E176" s="4"/>
    </row>
    <row r="177">
      <c r="A177" s="3" t="s">
        <v>229</v>
      </c>
      <c r="B177" s="4"/>
      <c r="C177" s="4"/>
      <c r="D177" s="4" t="b">
        <f t="shared" si="1"/>
        <v>1</v>
      </c>
      <c r="E177" s="4"/>
    </row>
    <row r="178">
      <c r="A178" s="3" t="s">
        <v>230</v>
      </c>
      <c r="B178" s="3">
        <v>0.0</v>
      </c>
      <c r="C178" s="3" t="s">
        <v>3</v>
      </c>
      <c r="D178" s="4" t="b">
        <f t="shared" si="1"/>
        <v>0</v>
      </c>
      <c r="E178" s="4"/>
    </row>
    <row r="179">
      <c r="A179" s="3" t="s">
        <v>231</v>
      </c>
      <c r="B179" s="4"/>
      <c r="C179" s="4"/>
      <c r="D179" s="4" t="b">
        <f t="shared" si="1"/>
        <v>1</v>
      </c>
      <c r="E179" s="4"/>
    </row>
    <row r="180">
      <c r="A180" s="3" t="s">
        <v>232</v>
      </c>
      <c r="B180" s="3">
        <v>0.0</v>
      </c>
      <c r="C180" s="3" t="s">
        <v>6</v>
      </c>
      <c r="D180" s="4" t="b">
        <f t="shared" si="1"/>
        <v>0</v>
      </c>
      <c r="E180" s="4"/>
    </row>
    <row r="181">
      <c r="A181" s="3" t="s">
        <v>233</v>
      </c>
      <c r="B181" s="3">
        <v>0.0</v>
      </c>
      <c r="C181" s="3" t="s">
        <v>6</v>
      </c>
      <c r="D181" s="4" t="b">
        <f t="shared" si="1"/>
        <v>0</v>
      </c>
      <c r="E181" s="4"/>
    </row>
    <row r="182">
      <c r="A182" s="3" t="s">
        <v>234</v>
      </c>
      <c r="B182" s="3">
        <v>0.0</v>
      </c>
      <c r="C182" s="3" t="s">
        <v>3</v>
      </c>
      <c r="D182" s="4" t="b">
        <f t="shared" si="1"/>
        <v>0</v>
      </c>
      <c r="E182" s="4"/>
    </row>
    <row r="183">
      <c r="A183" s="3" t="s">
        <v>235</v>
      </c>
      <c r="B183" s="3">
        <v>0.0</v>
      </c>
      <c r="C183" s="3" t="s">
        <v>3</v>
      </c>
      <c r="D183" s="4" t="b">
        <f t="shared" si="1"/>
        <v>0</v>
      </c>
      <c r="E183" s="4"/>
    </row>
    <row r="184">
      <c r="A184" s="3" t="s">
        <v>236</v>
      </c>
      <c r="B184" s="4"/>
      <c r="C184" s="4"/>
      <c r="D184" s="4" t="b">
        <f t="shared" si="1"/>
        <v>1</v>
      </c>
      <c r="E184" s="4"/>
    </row>
    <row r="185">
      <c r="A185" s="3" t="s">
        <v>237</v>
      </c>
      <c r="B185" s="3">
        <v>0.0</v>
      </c>
      <c r="C185" s="3" t="s">
        <v>3</v>
      </c>
      <c r="D185" s="4" t="b">
        <f t="shared" si="1"/>
        <v>0</v>
      </c>
      <c r="E185" s="4"/>
    </row>
    <row r="186">
      <c r="A186" s="3" t="s">
        <v>238</v>
      </c>
      <c r="B186" s="3">
        <v>5500.0</v>
      </c>
      <c r="C186" s="3" t="s">
        <v>3</v>
      </c>
      <c r="D186" s="4" t="b">
        <f t="shared" si="1"/>
        <v>0</v>
      </c>
      <c r="E186" s="4"/>
    </row>
    <row r="187">
      <c r="A187" s="3" t="s">
        <v>239</v>
      </c>
      <c r="B187" s="3">
        <v>0.0</v>
      </c>
      <c r="C187" s="3" t="s">
        <v>3</v>
      </c>
      <c r="D187" s="4" t="b">
        <f t="shared" si="1"/>
        <v>0</v>
      </c>
      <c r="E187" s="4"/>
    </row>
    <row r="188">
      <c r="A188" s="3" t="s">
        <v>240</v>
      </c>
      <c r="B188" s="3">
        <v>0.0</v>
      </c>
      <c r="C188" s="3" t="s">
        <v>3</v>
      </c>
      <c r="D188" s="4" t="b">
        <f t="shared" si="1"/>
        <v>0</v>
      </c>
      <c r="E188" s="4"/>
    </row>
    <row r="189">
      <c r="A189" s="3" t="s">
        <v>241</v>
      </c>
      <c r="B189" s="3">
        <v>0.0</v>
      </c>
      <c r="C189" s="3" t="s">
        <v>6</v>
      </c>
      <c r="D189" s="4" t="b">
        <f t="shared" si="1"/>
        <v>0</v>
      </c>
      <c r="E189" s="4"/>
    </row>
    <row r="190">
      <c r="A190" s="3" t="s">
        <v>242</v>
      </c>
      <c r="B190" s="3">
        <v>300.0</v>
      </c>
      <c r="C190" s="3" t="s">
        <v>3</v>
      </c>
      <c r="D190" s="4" t="b">
        <f t="shared" si="1"/>
        <v>0</v>
      </c>
      <c r="E190" s="4"/>
    </row>
    <row r="191">
      <c r="A191" s="3" t="s">
        <v>243</v>
      </c>
      <c r="B191" s="4"/>
      <c r="C191" s="4"/>
      <c r="D191" s="4" t="b">
        <f t="shared" si="1"/>
        <v>1</v>
      </c>
      <c r="E191" s="4"/>
    </row>
    <row r="192">
      <c r="A192" s="3" t="s">
        <v>244</v>
      </c>
      <c r="B192" s="3">
        <v>50580.0</v>
      </c>
      <c r="C192" s="3" t="s">
        <v>216</v>
      </c>
      <c r="D192" s="4" t="b">
        <f t="shared" si="1"/>
        <v>0</v>
      </c>
      <c r="E192" s="4"/>
    </row>
    <row r="193">
      <c r="A193" s="3" t="s">
        <v>246</v>
      </c>
      <c r="B193" s="4"/>
      <c r="C193" s="4"/>
      <c r="D193" s="4" t="b">
        <f t="shared" si="1"/>
        <v>1</v>
      </c>
      <c r="E193" s="4"/>
    </row>
    <row r="194">
      <c r="A194" s="3" t="s">
        <v>247</v>
      </c>
      <c r="B194" s="3">
        <v>0.0</v>
      </c>
      <c r="C194" s="3" t="s">
        <v>3</v>
      </c>
      <c r="D194" s="4" t="b">
        <f t="shared" si="1"/>
        <v>0</v>
      </c>
      <c r="E194" s="4"/>
    </row>
    <row r="195">
      <c r="A195" s="3" t="s">
        <v>248</v>
      </c>
      <c r="B195" s="4"/>
      <c r="C195" s="4"/>
      <c r="D195" s="4" t="b">
        <f t="shared" si="1"/>
        <v>1</v>
      </c>
      <c r="E195" s="4"/>
    </row>
    <row r="196">
      <c r="A196" s="3" t="s">
        <v>249</v>
      </c>
      <c r="B196" s="3">
        <v>0.0</v>
      </c>
      <c r="C196" s="3" t="s">
        <v>3</v>
      </c>
      <c r="D196" s="4" t="b">
        <f t="shared" si="1"/>
        <v>0</v>
      </c>
      <c r="E196" s="4"/>
    </row>
    <row r="197">
      <c r="A197" s="3" t="s">
        <v>250</v>
      </c>
      <c r="B197" s="3">
        <v>0.0</v>
      </c>
      <c r="C197" s="3" t="s">
        <v>32</v>
      </c>
      <c r="D197" s="4" t="b">
        <f t="shared" si="1"/>
        <v>0</v>
      </c>
      <c r="E197" s="4"/>
    </row>
    <row r="198">
      <c r="A198" s="3" t="s">
        <v>251</v>
      </c>
      <c r="B198" s="4"/>
      <c r="C198" s="4"/>
      <c r="D198" s="4" t="b">
        <f t="shared" si="1"/>
        <v>1</v>
      </c>
      <c r="E198" s="4"/>
    </row>
    <row r="199">
      <c r="A199" s="3" t="s">
        <v>252</v>
      </c>
      <c r="B199" s="3">
        <v>4000.0</v>
      </c>
      <c r="C199" s="3" t="s">
        <v>3</v>
      </c>
      <c r="D199" s="4" t="b">
        <f t="shared" si="1"/>
        <v>0</v>
      </c>
      <c r="E199" s="4"/>
    </row>
    <row r="200">
      <c r="A200" s="3" t="s">
        <v>253</v>
      </c>
      <c r="B200" s="4"/>
      <c r="C200" s="4"/>
      <c r="D200" s="4" t="b">
        <f t="shared" si="1"/>
        <v>1</v>
      </c>
      <c r="E200" s="4"/>
    </row>
    <row r="201">
      <c r="A201" s="3" t="s">
        <v>254</v>
      </c>
      <c r="B201" s="3">
        <v>512833.33</v>
      </c>
      <c r="C201" s="4"/>
      <c r="D201" s="4" t="b">
        <f t="shared" si="1"/>
        <v>0</v>
      </c>
      <c r="E201" s="4"/>
    </row>
    <row r="202">
      <c r="A202" s="3" t="s">
        <v>256</v>
      </c>
      <c r="B202" s="4"/>
      <c r="C202" s="4"/>
      <c r="D202" s="4" t="b">
        <f t="shared" si="1"/>
        <v>1</v>
      </c>
      <c r="E202" s="4"/>
    </row>
    <row r="203">
      <c r="A203" s="3" t="s">
        <v>257</v>
      </c>
      <c r="B203" s="3">
        <v>0.0</v>
      </c>
      <c r="C203" s="3" t="s">
        <v>3</v>
      </c>
      <c r="D203" s="4" t="b">
        <f t="shared" si="1"/>
        <v>0</v>
      </c>
      <c r="E203" s="4"/>
    </row>
    <row r="204">
      <c r="A204" s="3" t="s">
        <v>258</v>
      </c>
      <c r="B204" s="3">
        <v>0.0</v>
      </c>
      <c r="C204" s="3" t="s">
        <v>3</v>
      </c>
      <c r="D204" s="4" t="b">
        <f t="shared" si="1"/>
        <v>0</v>
      </c>
      <c r="E204" s="4"/>
    </row>
    <row r="205">
      <c r="A205" s="3" t="s">
        <v>259</v>
      </c>
      <c r="B205" s="3">
        <v>0.0</v>
      </c>
      <c r="C205" s="3" t="s">
        <v>3</v>
      </c>
      <c r="D205" s="4" t="b">
        <f t="shared" si="1"/>
        <v>0</v>
      </c>
      <c r="E205" s="4"/>
    </row>
    <row r="206">
      <c r="A206" s="3" t="s">
        <v>260</v>
      </c>
      <c r="B206" s="3">
        <v>2064.0</v>
      </c>
      <c r="C206" s="3" t="s">
        <v>32</v>
      </c>
      <c r="D206" s="4" t="b">
        <f t="shared" si="1"/>
        <v>0</v>
      </c>
      <c r="E206" s="4"/>
    </row>
    <row r="207">
      <c r="A207" s="3" t="s">
        <v>262</v>
      </c>
      <c r="B207" s="3">
        <v>0.0</v>
      </c>
      <c r="C207" s="3" t="s">
        <v>3</v>
      </c>
      <c r="D207" s="4" t="b">
        <f t="shared" si="1"/>
        <v>0</v>
      </c>
      <c r="E207" s="4"/>
    </row>
    <row r="208">
      <c r="A208" s="3" t="s">
        <v>263</v>
      </c>
      <c r="B208" s="3">
        <v>0.0</v>
      </c>
      <c r="C208" s="3" t="s">
        <v>3</v>
      </c>
      <c r="D208" s="4" t="b">
        <f t="shared" si="1"/>
        <v>0</v>
      </c>
      <c r="E208" s="4"/>
    </row>
    <row r="209">
      <c r="A209" s="3" t="s">
        <v>264</v>
      </c>
      <c r="B209" s="4"/>
      <c r="C209" s="4"/>
      <c r="D209" s="4" t="b">
        <f t="shared" si="1"/>
        <v>1</v>
      </c>
      <c r="E209" s="4"/>
    </row>
    <row r="210">
      <c r="A210" s="3" t="s">
        <v>265</v>
      </c>
      <c r="B210" s="3">
        <v>0.0</v>
      </c>
      <c r="C210" s="3" t="s">
        <v>3</v>
      </c>
      <c r="D210" s="4" t="b">
        <f t="shared" si="1"/>
        <v>0</v>
      </c>
      <c r="E210" s="4"/>
    </row>
    <row r="211">
      <c r="A211" s="3" t="s">
        <v>266</v>
      </c>
      <c r="B211" s="4"/>
      <c r="C211" s="4"/>
      <c r="D211" s="4" t="b">
        <f t="shared" si="1"/>
        <v>1</v>
      </c>
      <c r="E211" s="4"/>
    </row>
    <row r="212">
      <c r="A212" s="3" t="s">
        <v>267</v>
      </c>
      <c r="B212" s="3">
        <v>0.0</v>
      </c>
      <c r="C212" s="3" t="s">
        <v>3</v>
      </c>
      <c r="D212" s="4" t="b">
        <f t="shared" si="1"/>
        <v>0</v>
      </c>
      <c r="E212" s="4"/>
    </row>
    <row r="213">
      <c r="A213" s="3" t="s">
        <v>268</v>
      </c>
      <c r="B213" s="4"/>
      <c r="C213" s="4"/>
      <c r="D213" s="4" t="b">
        <f t="shared" si="1"/>
        <v>1</v>
      </c>
      <c r="E213" s="4"/>
    </row>
    <row r="214">
      <c r="A214" s="3" t="s">
        <v>269</v>
      </c>
      <c r="B214" s="3">
        <v>0.0</v>
      </c>
      <c r="C214" s="3" t="s">
        <v>3</v>
      </c>
      <c r="D214" s="4" t="b">
        <f t="shared" si="1"/>
        <v>0</v>
      </c>
      <c r="E214" s="4"/>
    </row>
    <row r="215">
      <c r="A215" s="3" t="s">
        <v>270</v>
      </c>
      <c r="B215" s="4"/>
      <c r="C215" s="4"/>
      <c r="D215" s="4" t="b">
        <f t="shared" si="1"/>
        <v>1</v>
      </c>
      <c r="E215" s="4"/>
    </row>
    <row r="216">
      <c r="A216" s="3" t="s">
        <v>271</v>
      </c>
      <c r="B216" s="3">
        <v>0.0</v>
      </c>
      <c r="C216" s="3" t="s">
        <v>3</v>
      </c>
      <c r="D216" s="4" t="b">
        <f t="shared" si="1"/>
        <v>0</v>
      </c>
      <c r="E216" s="4"/>
    </row>
    <row r="217">
      <c r="A217" s="3" t="s">
        <v>272</v>
      </c>
      <c r="B217" s="4"/>
      <c r="C217" s="4"/>
      <c r="D217" s="4" t="b">
        <f t="shared" si="1"/>
        <v>1</v>
      </c>
      <c r="E217" s="4"/>
    </row>
    <row r="218">
      <c r="A218" s="3" t="s">
        <v>273</v>
      </c>
      <c r="B218" s="3">
        <v>0.0</v>
      </c>
      <c r="C218" s="3" t="s">
        <v>3</v>
      </c>
      <c r="D218" s="4" t="b">
        <f t="shared" si="1"/>
        <v>0</v>
      </c>
      <c r="E218" s="4"/>
    </row>
    <row r="219">
      <c r="A219" s="3" t="s">
        <v>274</v>
      </c>
      <c r="B219" s="3">
        <v>4000.0</v>
      </c>
      <c r="C219" s="3" t="s">
        <v>3</v>
      </c>
      <c r="D219" s="4" t="b">
        <f t="shared" si="1"/>
        <v>0</v>
      </c>
      <c r="E219" s="4"/>
    </row>
    <row r="220">
      <c r="A220" s="3" t="s">
        <v>275</v>
      </c>
      <c r="B220" s="4"/>
      <c r="C220" s="4"/>
      <c r="D220" s="4" t="b">
        <f t="shared" si="1"/>
        <v>1</v>
      </c>
      <c r="E220" s="4"/>
    </row>
    <row r="221">
      <c r="A221" s="3" t="s">
        <v>276</v>
      </c>
      <c r="B221" s="3">
        <v>0.0</v>
      </c>
      <c r="C221" s="3" t="s">
        <v>3</v>
      </c>
      <c r="D221" s="4" t="b">
        <f t="shared" si="1"/>
        <v>0</v>
      </c>
      <c r="E221" s="4"/>
    </row>
    <row r="222">
      <c r="A222" s="3" t="s">
        <v>277</v>
      </c>
      <c r="B222" s="3">
        <v>0.0</v>
      </c>
      <c r="C222" s="3" t="s">
        <v>3</v>
      </c>
      <c r="D222" s="4" t="b">
        <f t="shared" si="1"/>
        <v>0</v>
      </c>
      <c r="E222" s="4"/>
    </row>
    <row r="223">
      <c r="A223" s="3" t="s">
        <v>278</v>
      </c>
      <c r="B223" s="3">
        <v>15500.0</v>
      </c>
      <c r="C223" s="3" t="s">
        <v>280</v>
      </c>
      <c r="D223" s="4" t="b">
        <f t="shared" si="1"/>
        <v>0</v>
      </c>
      <c r="E223" s="4"/>
    </row>
    <row r="224">
      <c r="A224" s="3" t="s">
        <v>281</v>
      </c>
      <c r="B224" s="3">
        <v>600.0</v>
      </c>
      <c r="C224" s="4"/>
      <c r="D224" s="4" t="b">
        <f t="shared" si="1"/>
        <v>0</v>
      </c>
      <c r="E224" s="4"/>
    </row>
    <row r="225">
      <c r="A225" s="3" t="s">
        <v>283</v>
      </c>
      <c r="B225" s="4"/>
      <c r="C225" s="4"/>
      <c r="D225" s="4" t="b">
        <f t="shared" si="1"/>
        <v>1</v>
      </c>
      <c r="E225" s="4"/>
    </row>
    <row r="226">
      <c r="A226" s="3" t="s">
        <v>284</v>
      </c>
      <c r="B226" s="3">
        <v>0.0</v>
      </c>
      <c r="C226" s="3" t="s">
        <v>6</v>
      </c>
      <c r="D226" s="4" t="b">
        <f t="shared" si="1"/>
        <v>0</v>
      </c>
      <c r="E226" s="4"/>
    </row>
    <row r="227">
      <c r="A227" s="3" t="s">
        <v>285</v>
      </c>
      <c r="B227" s="4"/>
      <c r="C227" s="4"/>
      <c r="D227" s="4" t="b">
        <f t="shared" si="1"/>
        <v>1</v>
      </c>
      <c r="E227" s="4"/>
    </row>
    <row r="228">
      <c r="A228" s="3" t="s">
        <v>286</v>
      </c>
      <c r="B228" s="3">
        <v>0.0</v>
      </c>
      <c r="C228" s="3" t="s">
        <v>3</v>
      </c>
      <c r="D228" s="4" t="b">
        <f t="shared" si="1"/>
        <v>0</v>
      </c>
      <c r="E228" s="4"/>
    </row>
    <row r="229">
      <c r="A229" s="3" t="s">
        <v>287</v>
      </c>
      <c r="B229" s="3">
        <v>0.0</v>
      </c>
      <c r="C229" s="3" t="s">
        <v>3</v>
      </c>
      <c r="D229" s="4" t="b">
        <f t="shared" si="1"/>
        <v>0</v>
      </c>
      <c r="E229" s="4"/>
    </row>
    <row r="230">
      <c r="A230" s="3" t="s">
        <v>288</v>
      </c>
      <c r="B230" s="4"/>
      <c r="C230" s="4"/>
      <c r="D230" s="4" t="b">
        <f t="shared" si="1"/>
        <v>1</v>
      </c>
      <c r="E230" s="4"/>
    </row>
    <row r="231">
      <c r="A231" s="3" t="s">
        <v>289</v>
      </c>
      <c r="B231" s="3">
        <v>0.0</v>
      </c>
      <c r="C231" s="3" t="s">
        <v>3</v>
      </c>
      <c r="D231" s="4" t="b">
        <f t="shared" si="1"/>
        <v>0</v>
      </c>
      <c r="E231" s="4"/>
    </row>
    <row r="232">
      <c r="A232" s="3" t="s">
        <v>290</v>
      </c>
      <c r="B232" s="4"/>
      <c r="C232" s="4"/>
      <c r="D232" s="4" t="b">
        <f t="shared" si="1"/>
        <v>1</v>
      </c>
      <c r="E232" s="4"/>
    </row>
    <row r="233">
      <c r="A233" s="3" t="s">
        <v>291</v>
      </c>
      <c r="B233" s="3">
        <v>0.0</v>
      </c>
      <c r="C233" s="3" t="s">
        <v>3</v>
      </c>
      <c r="D233" s="4" t="b">
        <f t="shared" si="1"/>
        <v>0</v>
      </c>
      <c r="E233" s="4"/>
    </row>
    <row r="234">
      <c r="A234" s="3" t="s">
        <v>292</v>
      </c>
      <c r="B234" s="4"/>
      <c r="C234" s="4"/>
      <c r="D234" s="4" t="b">
        <f t="shared" si="1"/>
        <v>1</v>
      </c>
      <c r="E234" s="4"/>
    </row>
    <row r="235">
      <c r="A235" s="3" t="s">
        <v>293</v>
      </c>
      <c r="B235" s="3">
        <v>3030.0</v>
      </c>
      <c r="C235" s="4"/>
      <c r="D235" s="4" t="b">
        <f t="shared" si="1"/>
        <v>0</v>
      </c>
      <c r="E235" s="4"/>
    </row>
    <row r="236">
      <c r="A236" s="3" t="s">
        <v>295</v>
      </c>
      <c r="B236" s="4"/>
      <c r="C236" s="4"/>
      <c r="D236" s="4" t="b">
        <f t="shared" si="1"/>
        <v>1</v>
      </c>
      <c r="E236" s="4"/>
    </row>
    <row r="237">
      <c r="A237" s="3" t="s">
        <v>296</v>
      </c>
      <c r="B237" s="3">
        <v>0.0</v>
      </c>
      <c r="C237" s="3" t="s">
        <v>3</v>
      </c>
      <c r="D237" s="4" t="b">
        <f t="shared" si="1"/>
        <v>0</v>
      </c>
      <c r="E237" s="4"/>
    </row>
    <row r="238">
      <c r="A238" s="3" t="s">
        <v>297</v>
      </c>
      <c r="B238" s="3">
        <v>1000.0</v>
      </c>
      <c r="C238" s="3" t="s">
        <v>3</v>
      </c>
      <c r="D238" s="4" t="b">
        <f t="shared" si="1"/>
        <v>0</v>
      </c>
      <c r="E238" s="4"/>
    </row>
    <row r="239">
      <c r="A239" s="3" t="s">
        <v>298</v>
      </c>
      <c r="B239" s="4"/>
      <c r="C239" s="4"/>
      <c r="D239" s="4" t="b">
        <f t="shared" si="1"/>
        <v>1</v>
      </c>
      <c r="E239" s="4"/>
    </row>
    <row r="240">
      <c r="A240" s="3" t="s">
        <v>299</v>
      </c>
      <c r="B240" s="3">
        <v>8907.0</v>
      </c>
      <c r="C240" s="3" t="s">
        <v>6</v>
      </c>
      <c r="D240" s="4" t="b">
        <f t="shared" si="1"/>
        <v>0</v>
      </c>
      <c r="E240" s="4"/>
    </row>
    <row r="241">
      <c r="A241" s="3" t="s">
        <v>301</v>
      </c>
      <c r="B241" s="3">
        <v>8060927.5</v>
      </c>
      <c r="C241" s="3" t="s">
        <v>303</v>
      </c>
      <c r="D241" s="4" t="b">
        <f t="shared" si="1"/>
        <v>0</v>
      </c>
      <c r="E241" s="4"/>
    </row>
    <row r="242">
      <c r="A242" s="3" t="s">
        <v>304</v>
      </c>
      <c r="B242" s="4"/>
      <c r="C242" s="3" t="s">
        <v>305</v>
      </c>
      <c r="D242" s="4" t="b">
        <f t="shared" si="1"/>
        <v>1</v>
      </c>
      <c r="E242" s="4"/>
    </row>
    <row r="243">
      <c r="A243" s="3" t="s">
        <v>306</v>
      </c>
      <c r="B243" s="3">
        <v>0.0</v>
      </c>
      <c r="C243" s="3" t="s">
        <v>3</v>
      </c>
      <c r="D243" s="4" t="b">
        <f t="shared" si="1"/>
        <v>0</v>
      </c>
      <c r="E243" s="4"/>
    </row>
    <row r="244">
      <c r="A244" s="3" t="s">
        <v>33</v>
      </c>
      <c r="B244" s="4"/>
      <c r="C244" s="4"/>
      <c r="D244" s="4" t="b">
        <f t="shared" si="1"/>
        <v>1</v>
      </c>
      <c r="E244" s="4"/>
    </row>
    <row r="245">
      <c r="A245" s="3" t="s">
        <v>307</v>
      </c>
      <c r="B245" s="3">
        <v>8400.0</v>
      </c>
      <c r="C245" s="4"/>
      <c r="D245" s="4" t="b">
        <f t="shared" si="1"/>
        <v>0</v>
      </c>
      <c r="E245" s="4"/>
    </row>
    <row r="246">
      <c r="A246" s="3" t="s">
        <v>309</v>
      </c>
      <c r="B246" s="4"/>
      <c r="C246" s="4"/>
      <c r="D246" s="4" t="b">
        <f t="shared" si="1"/>
        <v>1</v>
      </c>
      <c r="E246" s="4"/>
    </row>
    <row r="247">
      <c r="A247" s="3" t="s">
        <v>310</v>
      </c>
      <c r="B247" s="3">
        <v>0.0</v>
      </c>
      <c r="C247" s="3" t="s">
        <v>3</v>
      </c>
      <c r="D247" s="4" t="b">
        <f t="shared" si="1"/>
        <v>0</v>
      </c>
      <c r="E247" s="4"/>
    </row>
    <row r="248">
      <c r="A248" s="3" t="s">
        <v>311</v>
      </c>
      <c r="B248" s="3">
        <v>0.0</v>
      </c>
      <c r="C248" s="3" t="s">
        <v>6</v>
      </c>
      <c r="D248" s="4" t="b">
        <f t="shared" si="1"/>
        <v>0</v>
      </c>
      <c r="E248" s="4"/>
    </row>
    <row r="249">
      <c r="A249" s="3" t="s">
        <v>312</v>
      </c>
      <c r="B249" s="3">
        <v>9400.0</v>
      </c>
      <c r="C249" s="4"/>
      <c r="D249" s="4" t="b">
        <f t="shared" si="1"/>
        <v>0</v>
      </c>
      <c r="E249" s="4"/>
    </row>
    <row r="250">
      <c r="A250" s="3" t="s">
        <v>314</v>
      </c>
      <c r="B250" s="3">
        <v>4880.0</v>
      </c>
      <c r="C250" s="3" t="s">
        <v>6</v>
      </c>
      <c r="D250" s="4" t="b">
        <f t="shared" si="1"/>
        <v>0</v>
      </c>
      <c r="E250" s="4"/>
    </row>
    <row r="251">
      <c r="A251" s="3" t="s">
        <v>316</v>
      </c>
      <c r="B251" s="3">
        <v>4420.0</v>
      </c>
      <c r="C251" s="4"/>
      <c r="D251" s="4" t="b">
        <f t="shared" si="1"/>
        <v>0</v>
      </c>
      <c r="E251" s="4"/>
    </row>
    <row r="252">
      <c r="A252" s="3" t="s">
        <v>318</v>
      </c>
      <c r="B252" s="3">
        <v>2055.0</v>
      </c>
      <c r="C252" s="4"/>
      <c r="D252" s="4" t="b">
        <f t="shared" si="1"/>
        <v>0</v>
      </c>
      <c r="E252" s="4"/>
    </row>
    <row r="253">
      <c r="A253" s="3" t="s">
        <v>320</v>
      </c>
      <c r="B253" s="3">
        <v>2150.0</v>
      </c>
      <c r="C253" s="3" t="s">
        <v>6</v>
      </c>
      <c r="D253" s="4" t="b">
        <f t="shared" si="1"/>
        <v>0</v>
      </c>
      <c r="E253" s="4"/>
    </row>
    <row r="254">
      <c r="A254" s="3" t="s">
        <v>322</v>
      </c>
      <c r="B254" s="3">
        <v>7475.0</v>
      </c>
      <c r="C254" s="3" t="s">
        <v>32</v>
      </c>
      <c r="D254" s="4" t="b">
        <f t="shared" si="1"/>
        <v>0</v>
      </c>
      <c r="E254" s="4"/>
    </row>
    <row r="255">
      <c r="A255" s="3" t="s">
        <v>324</v>
      </c>
      <c r="B255" s="3">
        <v>920.0</v>
      </c>
      <c r="C255" s="4"/>
      <c r="D255" s="4" t="b">
        <f t="shared" si="1"/>
        <v>0</v>
      </c>
      <c r="E255" s="4"/>
    </row>
    <row r="256">
      <c r="A256" s="3" t="s">
        <v>326</v>
      </c>
      <c r="B256" s="4"/>
      <c r="C256" s="4"/>
      <c r="D256" s="4" t="b">
        <f t="shared" si="1"/>
        <v>1</v>
      </c>
      <c r="E256" s="4"/>
    </row>
    <row r="257">
      <c r="A257" s="3" t="s">
        <v>327</v>
      </c>
      <c r="B257" s="3">
        <v>4700.0</v>
      </c>
      <c r="C257" s="4"/>
      <c r="D257" s="4" t="b">
        <f t="shared" si="1"/>
        <v>0</v>
      </c>
      <c r="E257" s="4"/>
    </row>
    <row r="258">
      <c r="A258" s="3" t="s">
        <v>329</v>
      </c>
      <c r="B258" s="4"/>
      <c r="C258" s="4"/>
      <c r="D258" s="4" t="b">
        <f t="shared" si="1"/>
        <v>1</v>
      </c>
      <c r="E258" s="4"/>
    </row>
    <row r="259">
      <c r="A259" s="3" t="s">
        <v>330</v>
      </c>
      <c r="B259" s="3">
        <v>5688.0</v>
      </c>
      <c r="C259" s="3" t="s">
        <v>6</v>
      </c>
      <c r="D259" s="4" t="b">
        <f t="shared" si="1"/>
        <v>0</v>
      </c>
      <c r="E259" s="4"/>
    </row>
    <row r="260">
      <c r="A260" s="3" t="s">
        <v>332</v>
      </c>
      <c r="B260" s="3">
        <v>1500.0</v>
      </c>
      <c r="C260" s="4"/>
      <c r="D260" s="4" t="b">
        <f t="shared" si="1"/>
        <v>0</v>
      </c>
      <c r="E260" s="4"/>
    </row>
    <row r="261">
      <c r="A261" s="3" t="s">
        <v>333</v>
      </c>
      <c r="B261" s="4"/>
      <c r="C261" s="4"/>
      <c r="D261" s="4" t="b">
        <f t="shared" si="1"/>
        <v>1</v>
      </c>
      <c r="E261" s="4"/>
    </row>
    <row r="262">
      <c r="A262" s="3" t="s">
        <v>332</v>
      </c>
      <c r="B262" s="3">
        <v>0.0</v>
      </c>
      <c r="C262" s="3" t="s">
        <v>32</v>
      </c>
      <c r="D262" s="4" t="b">
        <f t="shared" si="1"/>
        <v>0</v>
      </c>
      <c r="E262" s="4"/>
    </row>
    <row r="263">
      <c r="A263" s="3" t="s">
        <v>334</v>
      </c>
      <c r="B263" s="4"/>
      <c r="C263" s="4"/>
      <c r="D263" s="4" t="b">
        <f t="shared" si="1"/>
        <v>1</v>
      </c>
      <c r="E263" s="4"/>
    </row>
    <row r="264">
      <c r="A264" s="3" t="s">
        <v>332</v>
      </c>
      <c r="B264" s="3">
        <v>0.0</v>
      </c>
      <c r="C264" s="3" t="s">
        <v>6</v>
      </c>
      <c r="D264" s="4" t="b">
        <f t="shared" si="1"/>
        <v>0</v>
      </c>
      <c r="E264" s="4"/>
    </row>
    <row r="265">
      <c r="A265" s="3" t="s">
        <v>335</v>
      </c>
      <c r="B265" s="4"/>
      <c r="C265" s="4"/>
      <c r="D265" s="4" t="b">
        <f t="shared" si="1"/>
        <v>1</v>
      </c>
      <c r="E265" s="4"/>
    </row>
    <row r="266">
      <c r="A266" s="3" t="s">
        <v>336</v>
      </c>
      <c r="B266" s="3">
        <v>3000.0</v>
      </c>
      <c r="C266" s="3" t="s">
        <v>6</v>
      </c>
      <c r="D266" s="4" t="b">
        <f t="shared" si="1"/>
        <v>0</v>
      </c>
      <c r="E266" s="4"/>
    </row>
    <row r="267">
      <c r="A267" s="3" t="s">
        <v>337</v>
      </c>
      <c r="B267" s="4"/>
      <c r="C267" s="4"/>
      <c r="D267" s="4" t="b">
        <f t="shared" si="1"/>
        <v>1</v>
      </c>
      <c r="E267" s="4"/>
    </row>
    <row r="268">
      <c r="A268" s="3" t="s">
        <v>338</v>
      </c>
      <c r="B268" s="3">
        <v>0.0</v>
      </c>
      <c r="C268" s="3" t="s">
        <v>6</v>
      </c>
      <c r="D268" s="4" t="b">
        <f t="shared" si="1"/>
        <v>0</v>
      </c>
      <c r="E268" s="4"/>
    </row>
    <row r="269">
      <c r="A269" s="3" t="s">
        <v>339</v>
      </c>
      <c r="B269" s="4"/>
      <c r="C269" s="4"/>
      <c r="D269" s="4" t="b">
        <f t="shared" si="1"/>
        <v>1</v>
      </c>
      <c r="E269" s="4"/>
    </row>
    <row r="270">
      <c r="A270" s="3" t="s">
        <v>340</v>
      </c>
      <c r="B270" s="3">
        <v>11000.0</v>
      </c>
      <c r="C270" s="3" t="s">
        <v>6</v>
      </c>
      <c r="D270" s="4" t="b">
        <f t="shared" si="1"/>
        <v>0</v>
      </c>
      <c r="E270" s="4"/>
    </row>
    <row r="271">
      <c r="A271" s="3" t="s">
        <v>341</v>
      </c>
      <c r="B271" s="4"/>
      <c r="C271" s="4"/>
      <c r="D271" s="4" t="b">
        <f t="shared" si="1"/>
        <v>1</v>
      </c>
      <c r="E271" s="4"/>
    </row>
    <row r="272">
      <c r="A272" s="3" t="s">
        <v>342</v>
      </c>
      <c r="B272" s="3">
        <v>1500.0</v>
      </c>
      <c r="C272" s="3" t="s">
        <v>6</v>
      </c>
      <c r="D272" s="4" t="b">
        <f t="shared" si="1"/>
        <v>0</v>
      </c>
      <c r="E272" s="4"/>
    </row>
    <row r="273">
      <c r="A273" s="3" t="s">
        <v>343</v>
      </c>
      <c r="B273" s="3">
        <v>2670.0</v>
      </c>
      <c r="C273" s="4"/>
      <c r="D273" s="4" t="b">
        <f t="shared" si="1"/>
        <v>0</v>
      </c>
      <c r="E273" s="4"/>
    </row>
    <row r="274">
      <c r="A274" s="3" t="s">
        <v>345</v>
      </c>
      <c r="B274" s="3">
        <v>4000.0</v>
      </c>
      <c r="C274" s="4"/>
      <c r="D274" s="4" t="b">
        <f t="shared" si="1"/>
        <v>0</v>
      </c>
      <c r="E274" s="4"/>
    </row>
    <row r="275">
      <c r="A275" s="3" t="s">
        <v>346</v>
      </c>
      <c r="B275" s="4"/>
      <c r="C275" s="4"/>
      <c r="D275" s="4" t="b">
        <f t="shared" si="1"/>
        <v>1</v>
      </c>
      <c r="E275" s="4"/>
    </row>
    <row r="276">
      <c r="A276" s="3" t="s">
        <v>347</v>
      </c>
      <c r="B276" s="3">
        <v>0.0</v>
      </c>
      <c r="C276" s="3" t="s">
        <v>32</v>
      </c>
      <c r="D276" s="4" t="b">
        <f t="shared" si="1"/>
        <v>0</v>
      </c>
      <c r="E276" s="4"/>
    </row>
    <row r="277">
      <c r="A277" s="3" t="s">
        <v>348</v>
      </c>
      <c r="B277" s="3">
        <v>0.0</v>
      </c>
      <c r="C277" s="3" t="s">
        <v>3</v>
      </c>
      <c r="D277" s="4" t="b">
        <f t="shared" si="1"/>
        <v>0</v>
      </c>
      <c r="E277" s="4"/>
    </row>
    <row r="278">
      <c r="A278" s="3" t="s">
        <v>349</v>
      </c>
      <c r="B278" s="4"/>
      <c r="C278" s="4"/>
      <c r="D278" s="4" t="b">
        <f t="shared" si="1"/>
        <v>1</v>
      </c>
      <c r="E278" s="4"/>
    </row>
    <row r="279">
      <c r="A279" s="3" t="s">
        <v>350</v>
      </c>
      <c r="B279" s="3">
        <v>0.0</v>
      </c>
      <c r="C279" s="3" t="s">
        <v>3</v>
      </c>
      <c r="D279" s="4" t="b">
        <f t="shared" si="1"/>
        <v>0</v>
      </c>
      <c r="E279" s="4"/>
    </row>
    <row r="280">
      <c r="A280" s="3" t="s">
        <v>351</v>
      </c>
      <c r="B280" s="3">
        <v>4072.0</v>
      </c>
      <c r="C280" s="3" t="s">
        <v>6</v>
      </c>
      <c r="D280" s="4" t="b">
        <f t="shared" si="1"/>
        <v>0</v>
      </c>
      <c r="E280" s="4"/>
    </row>
    <row r="281">
      <c r="A281" s="3" t="s">
        <v>353</v>
      </c>
      <c r="B281" s="4"/>
      <c r="C281" s="4"/>
      <c r="D281" s="4" t="b">
        <f t="shared" si="1"/>
        <v>1</v>
      </c>
      <c r="E281" s="4"/>
    </row>
    <row r="282">
      <c r="A282" s="3" t="s">
        <v>354</v>
      </c>
      <c r="B282" s="3">
        <v>0.0</v>
      </c>
      <c r="C282" s="3" t="s">
        <v>3</v>
      </c>
      <c r="D282" s="4" t="b">
        <f t="shared" si="1"/>
        <v>0</v>
      </c>
      <c r="E282" s="4"/>
    </row>
    <row r="283">
      <c r="A283" s="3" t="s">
        <v>355</v>
      </c>
      <c r="B283" s="3">
        <v>0.0</v>
      </c>
      <c r="C283" s="3" t="s">
        <v>6</v>
      </c>
      <c r="D283" s="4" t="b">
        <f t="shared" si="1"/>
        <v>0</v>
      </c>
      <c r="E283" s="4"/>
    </row>
    <row r="284">
      <c r="A284" s="3" t="s">
        <v>356</v>
      </c>
      <c r="B284" s="4"/>
      <c r="C284" s="4"/>
      <c r="D284" s="4" t="b">
        <f t="shared" si="1"/>
        <v>1</v>
      </c>
      <c r="E284" s="4"/>
    </row>
    <row r="285">
      <c r="A285" s="3" t="s">
        <v>357</v>
      </c>
      <c r="B285" s="3">
        <v>0.0</v>
      </c>
      <c r="C285" s="3" t="s">
        <v>3</v>
      </c>
      <c r="D285" s="4" t="b">
        <f t="shared" si="1"/>
        <v>0</v>
      </c>
      <c r="E285" s="4"/>
    </row>
    <row r="286">
      <c r="A286" s="3" t="s">
        <v>358</v>
      </c>
      <c r="B286" s="3">
        <v>0.0</v>
      </c>
      <c r="C286" s="3" t="s">
        <v>3</v>
      </c>
      <c r="D286" s="4" t="b">
        <f t="shared" si="1"/>
        <v>0</v>
      </c>
      <c r="E286" s="4"/>
    </row>
    <row r="287">
      <c r="A287" s="3" t="s">
        <v>359</v>
      </c>
      <c r="B287" s="4"/>
      <c r="C287" s="4"/>
      <c r="D287" s="4" t="b">
        <f t="shared" si="1"/>
        <v>1</v>
      </c>
      <c r="E287" s="4"/>
    </row>
    <row r="288">
      <c r="A288" s="3" t="s">
        <v>360</v>
      </c>
      <c r="B288" s="3">
        <v>0.0</v>
      </c>
      <c r="C288" s="3" t="s">
        <v>3</v>
      </c>
      <c r="D288" s="4" t="b">
        <f t="shared" si="1"/>
        <v>0</v>
      </c>
      <c r="E288" s="4"/>
    </row>
    <row r="289">
      <c r="A289" s="3" t="s">
        <v>361</v>
      </c>
      <c r="B289" s="3">
        <v>4400.0</v>
      </c>
      <c r="C289" s="4"/>
      <c r="D289" s="4" t="b">
        <f t="shared" si="1"/>
        <v>0</v>
      </c>
      <c r="E289" s="4"/>
    </row>
    <row r="290">
      <c r="A290" s="3" t="s">
        <v>363</v>
      </c>
      <c r="B290" s="4"/>
      <c r="C290" s="4"/>
      <c r="D290" s="4" t="b">
        <f t="shared" si="1"/>
        <v>1</v>
      </c>
      <c r="E290" s="4"/>
    </row>
    <row r="291">
      <c r="A291" s="3" t="s">
        <v>364</v>
      </c>
      <c r="B291" s="3">
        <v>0.0</v>
      </c>
      <c r="C291" s="3" t="s">
        <v>3</v>
      </c>
      <c r="D291" s="4" t="b">
        <f t="shared" si="1"/>
        <v>0</v>
      </c>
      <c r="E291" s="4"/>
    </row>
    <row r="292">
      <c r="A292" s="3" t="s">
        <v>365</v>
      </c>
      <c r="B292" s="4"/>
      <c r="C292" s="4"/>
      <c r="D292" s="4" t="b">
        <f t="shared" si="1"/>
        <v>1</v>
      </c>
      <c r="E292" s="4"/>
    </row>
    <row r="293">
      <c r="A293" s="3" t="s">
        <v>366</v>
      </c>
      <c r="B293" s="3">
        <v>0.0</v>
      </c>
      <c r="C293" s="3" t="s">
        <v>3</v>
      </c>
      <c r="D293" s="4" t="b">
        <f t="shared" si="1"/>
        <v>0</v>
      </c>
      <c r="E293" s="4"/>
    </row>
    <row r="294">
      <c r="A294" s="3" t="s">
        <v>367</v>
      </c>
      <c r="B294" s="4"/>
      <c r="C294" s="4"/>
      <c r="D294" s="4" t="b">
        <f t="shared" si="1"/>
        <v>1</v>
      </c>
      <c r="E294" s="4"/>
    </row>
    <row r="295">
      <c r="A295" s="3" t="s">
        <v>368</v>
      </c>
      <c r="B295" s="3">
        <v>0.0</v>
      </c>
      <c r="C295" s="3" t="s">
        <v>3</v>
      </c>
      <c r="D295" s="4" t="b">
        <f t="shared" si="1"/>
        <v>0</v>
      </c>
      <c r="E295" s="4"/>
    </row>
    <row r="296">
      <c r="A296" s="3" t="s">
        <v>369</v>
      </c>
      <c r="B296" s="4"/>
      <c r="C296" s="4"/>
      <c r="D296" s="4" t="b">
        <f t="shared" si="1"/>
        <v>1</v>
      </c>
      <c r="E296" s="4"/>
    </row>
    <row r="297">
      <c r="A297" s="3" t="s">
        <v>370</v>
      </c>
      <c r="B297" s="3">
        <v>0.0</v>
      </c>
      <c r="C297" s="3" t="s">
        <v>6</v>
      </c>
      <c r="D297" s="4" t="b">
        <f t="shared" si="1"/>
        <v>0</v>
      </c>
      <c r="E297" s="4"/>
    </row>
    <row r="298">
      <c r="A298" s="3" t="s">
        <v>371</v>
      </c>
      <c r="B298" s="3">
        <v>500.0</v>
      </c>
      <c r="C298" s="4"/>
      <c r="D298" s="4" t="b">
        <f t="shared" si="1"/>
        <v>0</v>
      </c>
      <c r="E298" s="4"/>
    </row>
    <row r="299">
      <c r="A299" s="3" t="s">
        <v>372</v>
      </c>
      <c r="B299" s="4"/>
      <c r="C299" s="4"/>
      <c r="D299" s="4" t="b">
        <f t="shared" si="1"/>
        <v>1</v>
      </c>
      <c r="E299" s="4"/>
    </row>
    <row r="300">
      <c r="A300" s="3" t="s">
        <v>373</v>
      </c>
      <c r="B300" s="3">
        <v>0.0</v>
      </c>
      <c r="C300" s="3" t="s">
        <v>6</v>
      </c>
      <c r="D300" s="4" t="b">
        <f t="shared" si="1"/>
        <v>0</v>
      </c>
      <c r="E300" s="4"/>
    </row>
    <row r="301">
      <c r="A301" s="3" t="s">
        <v>374</v>
      </c>
      <c r="B301" s="3">
        <v>0.0</v>
      </c>
      <c r="C301" s="3" t="s">
        <v>3</v>
      </c>
      <c r="D301" s="4" t="b">
        <f t="shared" si="1"/>
        <v>0</v>
      </c>
      <c r="E301" s="4"/>
    </row>
    <row r="302">
      <c r="A302" s="3" t="s">
        <v>375</v>
      </c>
      <c r="B302" s="3">
        <v>3200.0</v>
      </c>
      <c r="C302" s="3" t="s">
        <v>6</v>
      </c>
      <c r="D302" s="4" t="b">
        <f t="shared" si="1"/>
        <v>0</v>
      </c>
      <c r="E302" s="4"/>
    </row>
    <row r="303">
      <c r="A303" s="3" t="s">
        <v>377</v>
      </c>
      <c r="B303" s="3">
        <v>0.0</v>
      </c>
      <c r="C303" s="3" t="s">
        <v>3</v>
      </c>
      <c r="D303" s="4" t="b">
        <f t="shared" si="1"/>
        <v>0</v>
      </c>
      <c r="E303" s="4"/>
    </row>
    <row r="304">
      <c r="A304" s="3" t="s">
        <v>378</v>
      </c>
      <c r="B304" s="4"/>
      <c r="C304" s="4"/>
      <c r="D304" s="4" t="b">
        <f t="shared" si="1"/>
        <v>1</v>
      </c>
      <c r="E304" s="4"/>
    </row>
    <row r="305">
      <c r="A305" s="3" t="s">
        <v>379</v>
      </c>
      <c r="B305" s="3">
        <v>0.0</v>
      </c>
      <c r="C305" s="3" t="s">
        <v>3</v>
      </c>
      <c r="D305" s="4" t="b">
        <f t="shared" si="1"/>
        <v>0</v>
      </c>
      <c r="E305" s="4"/>
    </row>
    <row r="306">
      <c r="A306" s="3" t="s">
        <v>380</v>
      </c>
      <c r="B306" s="4"/>
      <c r="C306" s="4"/>
      <c r="D306" s="4" t="b">
        <f t="shared" si="1"/>
        <v>1</v>
      </c>
      <c r="E306" s="4"/>
    </row>
    <row r="307">
      <c r="A307" s="3" t="s">
        <v>381</v>
      </c>
      <c r="B307" s="3">
        <v>400.0</v>
      </c>
      <c r="C307" s="3" t="s">
        <v>6</v>
      </c>
      <c r="D307" s="4" t="b">
        <f t="shared" si="1"/>
        <v>0</v>
      </c>
      <c r="E307" s="4"/>
    </row>
    <row r="308">
      <c r="A308" s="3" t="s">
        <v>383</v>
      </c>
      <c r="B308" s="3">
        <v>0.0</v>
      </c>
      <c r="C308" s="3" t="s">
        <v>3</v>
      </c>
      <c r="D308" s="4" t="b">
        <f t="shared" si="1"/>
        <v>0</v>
      </c>
      <c r="E308" s="4"/>
    </row>
    <row r="309">
      <c r="A309" s="3" t="s">
        <v>384</v>
      </c>
      <c r="B309" s="3">
        <v>0.0</v>
      </c>
      <c r="C309" s="3" t="s">
        <v>3</v>
      </c>
      <c r="D309" s="4" t="b">
        <f t="shared" si="1"/>
        <v>0</v>
      </c>
      <c r="E309" s="4"/>
    </row>
    <row r="310">
      <c r="A310" s="3" t="s">
        <v>385</v>
      </c>
      <c r="B310" s="3">
        <v>0.0</v>
      </c>
      <c r="C310" s="3" t="s">
        <v>32</v>
      </c>
      <c r="D310" s="4" t="b">
        <f t="shared" si="1"/>
        <v>0</v>
      </c>
      <c r="E310" s="4"/>
    </row>
    <row r="311">
      <c r="A311" s="3" t="s">
        <v>386</v>
      </c>
      <c r="B311" s="3">
        <v>0.0</v>
      </c>
      <c r="C311" s="3" t="s">
        <v>6</v>
      </c>
      <c r="D311" s="4" t="b">
        <f t="shared" si="1"/>
        <v>0</v>
      </c>
      <c r="E311" s="4"/>
    </row>
    <row r="312">
      <c r="A312" s="3" t="s">
        <v>387</v>
      </c>
      <c r="B312" s="3">
        <v>0.0</v>
      </c>
      <c r="C312" s="3" t="s">
        <v>6</v>
      </c>
      <c r="D312" s="4" t="b">
        <f t="shared" si="1"/>
        <v>0</v>
      </c>
      <c r="E312" s="4"/>
    </row>
    <row r="313">
      <c r="A313" s="3" t="s">
        <v>388</v>
      </c>
      <c r="B313" s="3">
        <v>0.0</v>
      </c>
      <c r="C313" s="3" t="s">
        <v>3</v>
      </c>
      <c r="D313" s="4" t="b">
        <f t="shared" si="1"/>
        <v>0</v>
      </c>
      <c r="E313" s="4"/>
    </row>
    <row r="314">
      <c r="A314" s="3" t="s">
        <v>389</v>
      </c>
      <c r="B314" s="4"/>
      <c r="C314" s="4"/>
      <c r="D314" s="4" t="b">
        <f t="shared" si="1"/>
        <v>1</v>
      </c>
      <c r="E314" s="4"/>
    </row>
    <row r="315">
      <c r="A315" s="3" t="s">
        <v>390</v>
      </c>
      <c r="B315" s="3">
        <v>0.0</v>
      </c>
      <c r="C315" s="3" t="s">
        <v>3</v>
      </c>
      <c r="D315" s="4" t="b">
        <f t="shared" si="1"/>
        <v>0</v>
      </c>
      <c r="E315" s="4"/>
    </row>
    <row r="316">
      <c r="A316" s="3" t="s">
        <v>391</v>
      </c>
      <c r="B316" s="4"/>
      <c r="C316" s="4"/>
      <c r="D316" s="4" t="b">
        <f t="shared" si="1"/>
        <v>1</v>
      </c>
      <c r="E316" s="4"/>
    </row>
    <row r="317">
      <c r="A317" s="3" t="s">
        <v>392</v>
      </c>
      <c r="B317" s="3">
        <v>380000.0</v>
      </c>
      <c r="C317" s="3" t="s">
        <v>6</v>
      </c>
      <c r="D317" s="4" t="b">
        <f t="shared" si="1"/>
        <v>0</v>
      </c>
      <c r="E317" s="4"/>
    </row>
    <row r="318">
      <c r="A318" s="3" t="s">
        <v>394</v>
      </c>
      <c r="B318" s="4"/>
      <c r="C318" s="4"/>
      <c r="D318" s="4" t="b">
        <f t="shared" si="1"/>
        <v>1</v>
      </c>
      <c r="E318" s="4"/>
    </row>
    <row r="319">
      <c r="A319" s="3" t="s">
        <v>395</v>
      </c>
      <c r="B319" s="3">
        <v>37000.0</v>
      </c>
      <c r="C319" s="3" t="s">
        <v>32</v>
      </c>
      <c r="D319" s="4" t="b">
        <f t="shared" si="1"/>
        <v>0</v>
      </c>
      <c r="E319" s="4"/>
    </row>
    <row r="320">
      <c r="A320" s="3" t="s">
        <v>397</v>
      </c>
      <c r="B320" s="3">
        <v>2800.0</v>
      </c>
      <c r="C320" s="4"/>
      <c r="D320" s="4" t="b">
        <f t="shared" si="1"/>
        <v>0</v>
      </c>
      <c r="E320" s="4"/>
    </row>
    <row r="321">
      <c r="A321" s="3" t="s">
        <v>399</v>
      </c>
      <c r="B321" s="3">
        <v>5000.0</v>
      </c>
      <c r="C321" s="4"/>
      <c r="D321" s="4" t="b">
        <f t="shared" si="1"/>
        <v>0</v>
      </c>
      <c r="E321" s="4"/>
    </row>
    <row r="322">
      <c r="A322" s="3" t="s">
        <v>400</v>
      </c>
      <c r="B322" s="3">
        <v>0.0</v>
      </c>
      <c r="C322" s="3" t="s">
        <v>26</v>
      </c>
      <c r="D322" s="4" t="b">
        <f t="shared" si="1"/>
        <v>0</v>
      </c>
      <c r="E322" s="4"/>
    </row>
    <row r="323">
      <c r="A323" s="3" t="s">
        <v>33</v>
      </c>
      <c r="B323" s="4"/>
      <c r="C323" s="4"/>
      <c r="D323" s="4" t="b">
        <f t="shared" si="1"/>
        <v>1</v>
      </c>
      <c r="E323" s="4"/>
    </row>
    <row r="324">
      <c r="A324" s="3" t="s">
        <v>401</v>
      </c>
      <c r="B324" s="3">
        <v>0.0</v>
      </c>
      <c r="C324" s="3" t="s">
        <v>32</v>
      </c>
      <c r="D324" s="4" t="b">
        <f t="shared" si="1"/>
        <v>0</v>
      </c>
      <c r="E324" s="4"/>
    </row>
    <row r="325">
      <c r="A325" s="3" t="s">
        <v>402</v>
      </c>
      <c r="B325" s="3">
        <v>0.0</v>
      </c>
      <c r="C325" s="3" t="s">
        <v>6</v>
      </c>
      <c r="D325" s="4" t="b">
        <f t="shared" si="1"/>
        <v>0</v>
      </c>
      <c r="E325" s="4"/>
    </row>
    <row r="326">
      <c r="A326" s="3" t="s">
        <v>403</v>
      </c>
      <c r="B326" s="3">
        <v>0.0</v>
      </c>
      <c r="C326" s="3" t="s">
        <v>3</v>
      </c>
      <c r="D326" s="4" t="b">
        <f t="shared" si="1"/>
        <v>0</v>
      </c>
      <c r="E326" s="4"/>
    </row>
    <row r="327">
      <c r="A327" s="3" t="s">
        <v>404</v>
      </c>
      <c r="B327" s="3">
        <v>0.0</v>
      </c>
      <c r="C327" s="3" t="s">
        <v>3</v>
      </c>
      <c r="D327" s="4" t="b">
        <f t="shared" si="1"/>
        <v>0</v>
      </c>
      <c r="E327" s="4"/>
    </row>
    <row r="328">
      <c r="A328" s="3" t="s">
        <v>405</v>
      </c>
      <c r="B328" s="3">
        <v>800.0</v>
      </c>
      <c r="C328" s="4"/>
      <c r="D328" s="4" t="b">
        <f t="shared" si="1"/>
        <v>0</v>
      </c>
      <c r="E328" s="4"/>
    </row>
    <row r="329">
      <c r="A329" s="3" t="s">
        <v>407</v>
      </c>
      <c r="B329" s="3">
        <v>10000.0</v>
      </c>
      <c r="C329" s="3" t="s">
        <v>16</v>
      </c>
      <c r="D329" s="4" t="b">
        <f t="shared" si="1"/>
        <v>0</v>
      </c>
      <c r="E329" s="4"/>
    </row>
    <row r="330">
      <c r="A330" s="3" t="s">
        <v>408</v>
      </c>
      <c r="B330" s="4"/>
      <c r="C330" s="4"/>
      <c r="D330" s="4" t="b">
        <f t="shared" si="1"/>
        <v>1</v>
      </c>
      <c r="E330" s="4"/>
    </row>
    <row r="331">
      <c r="A331" s="3" t="s">
        <v>409</v>
      </c>
      <c r="B331" s="3">
        <v>0.0</v>
      </c>
      <c r="C331" s="3" t="s">
        <v>6</v>
      </c>
      <c r="D331" s="4" t="b">
        <f t="shared" si="1"/>
        <v>0</v>
      </c>
      <c r="E331" s="4"/>
    </row>
    <row r="332">
      <c r="A332" s="3" t="s">
        <v>410</v>
      </c>
      <c r="B332" s="3">
        <v>2000.0</v>
      </c>
      <c r="C332" s="4"/>
      <c r="D332" s="4" t="b">
        <f t="shared" si="1"/>
        <v>0</v>
      </c>
      <c r="E332" s="4"/>
    </row>
    <row r="333">
      <c r="A333" s="3" t="s">
        <v>411</v>
      </c>
      <c r="B333" s="3">
        <v>0.0</v>
      </c>
      <c r="C333" s="3" t="s">
        <v>3</v>
      </c>
      <c r="D333" s="4" t="b">
        <f t="shared" si="1"/>
        <v>0</v>
      </c>
      <c r="E333" s="4"/>
    </row>
    <row r="334">
      <c r="A334" s="3" t="s">
        <v>412</v>
      </c>
      <c r="B334" s="3">
        <v>0.0</v>
      </c>
      <c r="C334" s="3" t="s">
        <v>6</v>
      </c>
      <c r="D334" s="4" t="b">
        <f t="shared" si="1"/>
        <v>0</v>
      </c>
      <c r="E334" s="4"/>
    </row>
    <row r="335">
      <c r="A335" s="3" t="s">
        <v>341</v>
      </c>
      <c r="B335" s="4"/>
      <c r="C335" s="4"/>
      <c r="D335" s="4" t="b">
        <f t="shared" si="1"/>
        <v>1</v>
      </c>
      <c r="E335" s="4"/>
    </row>
    <row r="336">
      <c r="A336" s="3" t="s">
        <v>413</v>
      </c>
      <c r="B336" s="3">
        <v>27500.0</v>
      </c>
      <c r="C336" s="3" t="s">
        <v>32</v>
      </c>
      <c r="D336" s="4" t="b">
        <f t="shared" si="1"/>
        <v>0</v>
      </c>
      <c r="E336" s="4"/>
    </row>
    <row r="337">
      <c r="A337" s="3" t="s">
        <v>415</v>
      </c>
      <c r="B337" s="3">
        <v>0.0</v>
      </c>
      <c r="C337" s="3" t="s">
        <v>3</v>
      </c>
      <c r="D337" s="4" t="b">
        <f t="shared" si="1"/>
        <v>0</v>
      </c>
      <c r="E337" s="4"/>
    </row>
    <row r="338">
      <c r="A338" s="3" t="s">
        <v>416</v>
      </c>
      <c r="B338" s="4"/>
      <c r="C338" s="4"/>
      <c r="D338" s="4" t="b">
        <f t="shared" si="1"/>
        <v>1</v>
      </c>
      <c r="E338" s="4"/>
    </row>
    <row r="339">
      <c r="A339" s="3" t="s">
        <v>417</v>
      </c>
      <c r="B339" s="3">
        <v>0.0</v>
      </c>
      <c r="C339" s="3" t="s">
        <v>3</v>
      </c>
      <c r="D339" s="4" t="b">
        <f t="shared" si="1"/>
        <v>0</v>
      </c>
      <c r="E339" s="4"/>
    </row>
    <row r="340">
      <c r="A340" s="3" t="s">
        <v>418</v>
      </c>
      <c r="B340" s="4"/>
      <c r="C340" s="4"/>
      <c r="D340" s="4" t="b">
        <f t="shared" si="1"/>
        <v>1</v>
      </c>
      <c r="E340" s="4"/>
    </row>
    <row r="341">
      <c r="A341" s="3" t="s">
        <v>419</v>
      </c>
      <c r="B341" s="3">
        <v>0.0</v>
      </c>
      <c r="C341" s="3" t="s">
        <v>3</v>
      </c>
      <c r="D341" s="4" t="b">
        <f t="shared" si="1"/>
        <v>0</v>
      </c>
      <c r="E341" s="4"/>
    </row>
    <row r="342">
      <c r="A342" s="3" t="s">
        <v>420</v>
      </c>
      <c r="B342" s="3">
        <v>0.0</v>
      </c>
      <c r="C342" s="3" t="s">
        <v>29</v>
      </c>
      <c r="D342" s="4" t="b">
        <f t="shared" si="1"/>
        <v>0</v>
      </c>
      <c r="E342" s="4"/>
    </row>
    <row r="343">
      <c r="A343" s="3" t="s">
        <v>421</v>
      </c>
      <c r="B343" s="4"/>
      <c r="C343" s="4"/>
      <c r="D343" s="4" t="b">
        <f t="shared" si="1"/>
        <v>1</v>
      </c>
      <c r="E343" s="4"/>
    </row>
    <row r="344">
      <c r="A344" s="3" t="s">
        <v>422</v>
      </c>
      <c r="B344" s="3">
        <v>0.0</v>
      </c>
      <c r="C344" s="3" t="s">
        <v>29</v>
      </c>
      <c r="D344" s="4" t="b">
        <f t="shared" si="1"/>
        <v>0</v>
      </c>
      <c r="E344" s="4"/>
    </row>
    <row r="345">
      <c r="A345" s="3" t="s">
        <v>423</v>
      </c>
      <c r="B345" s="3">
        <v>0.0</v>
      </c>
      <c r="C345" s="3" t="s">
        <v>3</v>
      </c>
      <c r="D345" s="4" t="b">
        <f t="shared" si="1"/>
        <v>0</v>
      </c>
      <c r="E345" s="4"/>
    </row>
    <row r="346">
      <c r="A346" s="3" t="s">
        <v>424</v>
      </c>
      <c r="B346" s="3">
        <v>0.0</v>
      </c>
      <c r="C346" s="3" t="s">
        <v>3</v>
      </c>
      <c r="D346" s="4" t="b">
        <f t="shared" si="1"/>
        <v>0</v>
      </c>
      <c r="E346" s="4"/>
    </row>
    <row r="347">
      <c r="A347" s="3" t="s">
        <v>425</v>
      </c>
      <c r="B347" s="3">
        <v>0.0</v>
      </c>
      <c r="C347" s="3" t="s">
        <v>3</v>
      </c>
      <c r="D347" s="4" t="b">
        <f t="shared" si="1"/>
        <v>0</v>
      </c>
      <c r="E347" s="4"/>
    </row>
    <row r="348">
      <c r="A348" s="3" t="s">
        <v>426</v>
      </c>
      <c r="B348" s="4"/>
      <c r="C348" s="4"/>
      <c r="D348" s="4" t="b">
        <f t="shared" si="1"/>
        <v>1</v>
      </c>
      <c r="E348" s="4"/>
    </row>
    <row r="349">
      <c r="A349" s="3" t="s">
        <v>427</v>
      </c>
      <c r="B349" s="3">
        <v>5000.0</v>
      </c>
      <c r="C349" s="3" t="s">
        <v>29</v>
      </c>
      <c r="D349" s="4" t="b">
        <f t="shared" si="1"/>
        <v>0</v>
      </c>
      <c r="E349" s="4"/>
    </row>
    <row r="350">
      <c r="A350" s="3" t="s">
        <v>428</v>
      </c>
      <c r="B350" s="3">
        <v>45400.0</v>
      </c>
      <c r="C350" s="3" t="s">
        <v>3</v>
      </c>
      <c r="D350" s="4" t="b">
        <f t="shared" si="1"/>
        <v>0</v>
      </c>
      <c r="E350" s="4"/>
    </row>
    <row r="351">
      <c r="A351" s="3" t="s">
        <v>430</v>
      </c>
      <c r="B351" s="4"/>
      <c r="C351" s="4"/>
      <c r="D351" s="4" t="b">
        <f t="shared" si="1"/>
        <v>1</v>
      </c>
      <c r="E351" s="4"/>
    </row>
    <row r="352">
      <c r="A352" s="3" t="s">
        <v>431</v>
      </c>
      <c r="B352" s="3">
        <v>0.0</v>
      </c>
      <c r="C352" s="3" t="s">
        <v>29</v>
      </c>
      <c r="D352" s="4" t="b">
        <f t="shared" si="1"/>
        <v>0</v>
      </c>
      <c r="E352" s="4"/>
    </row>
    <row r="353">
      <c r="A353" s="3" t="s">
        <v>432</v>
      </c>
      <c r="B353" s="4"/>
      <c r="C353" s="4"/>
      <c r="D353" s="4" t="b">
        <f t="shared" si="1"/>
        <v>1</v>
      </c>
      <c r="E353" s="4"/>
    </row>
    <row r="354">
      <c r="A354" s="3" t="s">
        <v>433</v>
      </c>
      <c r="B354" s="3">
        <v>0.0</v>
      </c>
      <c r="C354" s="3" t="s">
        <v>3</v>
      </c>
      <c r="D354" s="4" t="b">
        <f t="shared" si="1"/>
        <v>0</v>
      </c>
      <c r="E354" s="4"/>
    </row>
    <row r="355">
      <c r="A355" s="3" t="s">
        <v>434</v>
      </c>
      <c r="B355" s="4"/>
      <c r="C355" s="4"/>
      <c r="D355" s="4" t="b">
        <f t="shared" si="1"/>
        <v>1</v>
      </c>
      <c r="E355" s="4"/>
    </row>
    <row r="356">
      <c r="A356" s="3" t="s">
        <v>435</v>
      </c>
      <c r="B356" s="3">
        <v>2500.0</v>
      </c>
      <c r="C356" s="4"/>
      <c r="D356" s="4" t="b">
        <f t="shared" si="1"/>
        <v>0</v>
      </c>
      <c r="E356" s="4"/>
    </row>
    <row r="357">
      <c r="A357" s="3" t="s">
        <v>436</v>
      </c>
      <c r="B357" s="4"/>
      <c r="C357" s="4"/>
      <c r="D357" s="4" t="b">
        <f t="shared" si="1"/>
        <v>1</v>
      </c>
      <c r="E357" s="4"/>
    </row>
    <row r="358">
      <c r="A358" s="3" t="s">
        <v>437</v>
      </c>
      <c r="B358" s="3">
        <v>0.0</v>
      </c>
      <c r="C358" s="3" t="s">
        <v>3</v>
      </c>
      <c r="D358" s="4" t="b">
        <f t="shared" si="1"/>
        <v>0</v>
      </c>
      <c r="E358" s="4"/>
    </row>
    <row r="359">
      <c r="A359" s="3" t="s">
        <v>438</v>
      </c>
      <c r="B359" s="4"/>
      <c r="C359" s="4"/>
      <c r="D359" s="4" t="b">
        <f t="shared" si="1"/>
        <v>1</v>
      </c>
      <c r="E359" s="4"/>
    </row>
    <row r="360">
      <c r="A360" s="3" t="s">
        <v>439</v>
      </c>
      <c r="B360" s="3">
        <v>0.0</v>
      </c>
      <c r="C360" s="3" t="s">
        <v>6</v>
      </c>
      <c r="D360" s="4" t="b">
        <f t="shared" si="1"/>
        <v>0</v>
      </c>
      <c r="E360" s="4"/>
    </row>
    <row r="361">
      <c r="A361" s="3" t="s">
        <v>440</v>
      </c>
      <c r="B361" s="4"/>
      <c r="C361" s="4"/>
      <c r="D361" s="4" t="b">
        <f t="shared" si="1"/>
        <v>1</v>
      </c>
      <c r="E361" s="4"/>
    </row>
    <row r="362">
      <c r="A362" s="3" t="s">
        <v>441</v>
      </c>
      <c r="B362" s="3">
        <v>0.0</v>
      </c>
      <c r="C362" s="3" t="s">
        <v>29</v>
      </c>
      <c r="D362" s="4" t="b">
        <f t="shared" si="1"/>
        <v>0</v>
      </c>
      <c r="E362" s="4"/>
    </row>
    <row r="363">
      <c r="A363" s="3" t="s">
        <v>442</v>
      </c>
      <c r="B363" s="3">
        <v>5900.0</v>
      </c>
      <c r="C363" s="4"/>
      <c r="D363" s="4" t="b">
        <f t="shared" si="1"/>
        <v>0</v>
      </c>
      <c r="E363" s="4"/>
    </row>
    <row r="364">
      <c r="A364" s="3" t="s">
        <v>444</v>
      </c>
      <c r="B364" s="3">
        <v>3000.0</v>
      </c>
      <c r="C364" s="4"/>
      <c r="D364" s="4" t="b">
        <f t="shared" si="1"/>
        <v>0</v>
      </c>
      <c r="E364" s="4"/>
    </row>
    <row r="365">
      <c r="A365" s="3" t="s">
        <v>445</v>
      </c>
      <c r="B365" s="3">
        <v>180000.0</v>
      </c>
      <c r="C365" s="4"/>
      <c r="D365" s="4" t="b">
        <f t="shared" si="1"/>
        <v>0</v>
      </c>
      <c r="E365" s="4"/>
    </row>
    <row r="366">
      <c r="A366" s="3" t="s">
        <v>447</v>
      </c>
      <c r="B366" s="3">
        <v>55000.0</v>
      </c>
      <c r="C366" s="4"/>
      <c r="D366" s="4" t="b">
        <f t="shared" si="1"/>
        <v>0</v>
      </c>
      <c r="E366" s="4"/>
    </row>
    <row r="367">
      <c r="A367" s="3" t="s">
        <v>449</v>
      </c>
      <c r="B367" s="3">
        <v>0.0</v>
      </c>
      <c r="C367" s="3" t="s">
        <v>32</v>
      </c>
      <c r="D367" s="4" t="b">
        <f t="shared" si="1"/>
        <v>0</v>
      </c>
      <c r="E367" s="4"/>
    </row>
    <row r="368">
      <c r="A368" s="3" t="s">
        <v>450</v>
      </c>
      <c r="B368" s="3">
        <v>800.0</v>
      </c>
      <c r="C368" s="3" t="s">
        <v>6</v>
      </c>
      <c r="D368" s="4" t="b">
        <f t="shared" si="1"/>
        <v>0</v>
      </c>
      <c r="E368" s="4"/>
    </row>
    <row r="369">
      <c r="A369" s="3" t="s">
        <v>451</v>
      </c>
      <c r="B369" s="3">
        <v>0.0</v>
      </c>
      <c r="C369" s="3" t="s">
        <v>3</v>
      </c>
      <c r="D369" s="4" t="b">
        <f t="shared" si="1"/>
        <v>0</v>
      </c>
      <c r="E369" s="4"/>
    </row>
    <row r="370">
      <c r="A370" s="3" t="s">
        <v>452</v>
      </c>
      <c r="B370" s="3">
        <v>4000.0</v>
      </c>
      <c r="C370" s="3" t="s">
        <v>3</v>
      </c>
      <c r="D370" s="4" t="b">
        <f t="shared" si="1"/>
        <v>0</v>
      </c>
      <c r="E370" s="4"/>
    </row>
    <row r="371">
      <c r="A371" s="3" t="s">
        <v>453</v>
      </c>
      <c r="B371" s="3">
        <v>0.0</v>
      </c>
      <c r="C371" s="3" t="s">
        <v>3</v>
      </c>
      <c r="D371" s="4" t="b">
        <f t="shared" si="1"/>
        <v>0</v>
      </c>
      <c r="E371" s="4"/>
    </row>
    <row r="372">
      <c r="A372" s="3" t="s">
        <v>454</v>
      </c>
      <c r="B372" s="3">
        <v>0.0</v>
      </c>
      <c r="C372" s="3" t="s">
        <v>3</v>
      </c>
      <c r="D372" s="4" t="b">
        <f t="shared" si="1"/>
        <v>0</v>
      </c>
      <c r="E372" s="4"/>
    </row>
    <row r="373">
      <c r="A373" s="3" t="s">
        <v>455</v>
      </c>
      <c r="B373" s="3">
        <v>0.0</v>
      </c>
      <c r="C373" s="3" t="s">
        <v>3</v>
      </c>
      <c r="D373" s="4" t="b">
        <f t="shared" si="1"/>
        <v>0</v>
      </c>
      <c r="E373" s="4"/>
    </row>
    <row r="374">
      <c r="A374" s="3" t="s">
        <v>456</v>
      </c>
      <c r="B374" s="3">
        <v>0.0</v>
      </c>
      <c r="C374" s="3" t="s">
        <v>6</v>
      </c>
      <c r="D374" s="4" t="b">
        <f t="shared" si="1"/>
        <v>0</v>
      </c>
      <c r="E374" s="4"/>
    </row>
    <row r="375">
      <c r="A375" s="3" t="s">
        <v>457</v>
      </c>
      <c r="B375" s="3">
        <v>2000.0</v>
      </c>
      <c r="C375" s="3" t="s">
        <v>3</v>
      </c>
      <c r="D375" s="4" t="b">
        <f t="shared" si="1"/>
        <v>0</v>
      </c>
      <c r="E375" s="4"/>
    </row>
    <row r="376">
      <c r="A376" s="3" t="s">
        <v>458</v>
      </c>
      <c r="B376" s="3">
        <v>0.0</v>
      </c>
      <c r="C376" s="3" t="s">
        <v>3</v>
      </c>
      <c r="D376" s="4" t="b">
        <f t="shared" si="1"/>
        <v>0</v>
      </c>
      <c r="E376" s="4"/>
    </row>
    <row r="377">
      <c r="A377" s="3" t="s">
        <v>459</v>
      </c>
      <c r="B377" s="4"/>
      <c r="C377" s="4"/>
      <c r="D377" s="4" t="b">
        <f t="shared" si="1"/>
        <v>1</v>
      </c>
      <c r="E377" s="4"/>
    </row>
    <row r="378">
      <c r="A378" s="3" t="s">
        <v>460</v>
      </c>
      <c r="B378" s="3">
        <v>3000.0</v>
      </c>
      <c r="C378" s="4"/>
      <c r="D378" s="4" t="b">
        <f t="shared" si="1"/>
        <v>0</v>
      </c>
      <c r="E378" s="4"/>
    </row>
    <row r="379">
      <c r="A379" s="3" t="s">
        <v>461</v>
      </c>
      <c r="B379" s="4"/>
      <c r="C379" s="4"/>
      <c r="D379" s="4" t="b">
        <f t="shared" si="1"/>
        <v>1</v>
      </c>
      <c r="E379" s="4"/>
    </row>
    <row r="380">
      <c r="A380" s="3" t="s">
        <v>462</v>
      </c>
      <c r="B380" s="3">
        <v>0.0</v>
      </c>
      <c r="C380" s="3" t="s">
        <v>3</v>
      </c>
      <c r="D380" s="4" t="b">
        <f t="shared" si="1"/>
        <v>0</v>
      </c>
      <c r="E380" s="4"/>
    </row>
    <row r="381">
      <c r="A381" s="3" t="s">
        <v>463</v>
      </c>
      <c r="B381" s="4"/>
      <c r="C381" s="4"/>
      <c r="D381" s="4" t="b">
        <f t="shared" si="1"/>
        <v>1</v>
      </c>
      <c r="E381" s="4"/>
    </row>
    <row r="382">
      <c r="A382" s="3" t="s">
        <v>464</v>
      </c>
      <c r="B382" s="3">
        <v>0.0</v>
      </c>
      <c r="C382" s="3" t="s">
        <v>3</v>
      </c>
      <c r="D382" s="4" t="b">
        <f t="shared" si="1"/>
        <v>0</v>
      </c>
      <c r="E382" s="4"/>
    </row>
    <row r="383">
      <c r="A383" s="3" t="s">
        <v>465</v>
      </c>
      <c r="B383" s="3">
        <v>300.0</v>
      </c>
      <c r="C383" s="3" t="s">
        <v>3</v>
      </c>
      <c r="D383" s="4" t="b">
        <f t="shared" si="1"/>
        <v>0</v>
      </c>
      <c r="E383" s="4"/>
    </row>
    <row r="384">
      <c r="A384" s="3" t="s">
        <v>466</v>
      </c>
      <c r="B384" s="3">
        <v>3000.0</v>
      </c>
      <c r="C384" s="3" t="s">
        <v>3</v>
      </c>
      <c r="D384" s="4" t="b">
        <f t="shared" si="1"/>
        <v>0</v>
      </c>
      <c r="E384" s="4"/>
    </row>
    <row r="385">
      <c r="A385" s="3" t="s">
        <v>467</v>
      </c>
      <c r="B385" s="3">
        <v>250.0</v>
      </c>
      <c r="C385" s="3" t="s">
        <v>3</v>
      </c>
      <c r="D385" s="4" t="b">
        <f t="shared" si="1"/>
        <v>0</v>
      </c>
      <c r="E385" s="4"/>
    </row>
    <row r="386">
      <c r="A386" s="3" t="s">
        <v>469</v>
      </c>
      <c r="B386" s="4"/>
      <c r="C386" s="4"/>
      <c r="D386" s="4" t="b">
        <f t="shared" si="1"/>
        <v>1</v>
      </c>
      <c r="E386" s="4"/>
    </row>
    <row r="387">
      <c r="A387" s="3" t="s">
        <v>470</v>
      </c>
      <c r="B387" s="3">
        <v>0.0</v>
      </c>
      <c r="C387" s="3" t="s">
        <v>3</v>
      </c>
      <c r="D387" s="4" t="b">
        <f t="shared" si="1"/>
        <v>0</v>
      </c>
      <c r="E387" s="4"/>
    </row>
    <row r="388">
      <c r="A388" s="3" t="s">
        <v>471</v>
      </c>
      <c r="B388" s="4"/>
      <c r="C388" s="4"/>
      <c r="D388" s="4" t="b">
        <f t="shared" si="1"/>
        <v>1</v>
      </c>
      <c r="E388" s="4"/>
    </row>
    <row r="389">
      <c r="A389" s="3" t="s">
        <v>472</v>
      </c>
      <c r="B389" s="3">
        <v>5000.0</v>
      </c>
      <c r="C389" s="3" t="s">
        <v>32</v>
      </c>
      <c r="D389" s="4" t="b">
        <f t="shared" si="1"/>
        <v>0</v>
      </c>
      <c r="E389" s="4"/>
    </row>
    <row r="390">
      <c r="A390" s="3" t="s">
        <v>473</v>
      </c>
      <c r="B390" s="3">
        <v>2500.0</v>
      </c>
      <c r="C390" s="3" t="s">
        <v>3</v>
      </c>
      <c r="D390" s="4" t="b">
        <f t="shared" si="1"/>
        <v>0</v>
      </c>
      <c r="E390" s="4"/>
    </row>
    <row r="391">
      <c r="A391" s="3" t="s">
        <v>474</v>
      </c>
      <c r="B391" s="3">
        <v>0.0</v>
      </c>
      <c r="C391" s="3" t="s">
        <v>3</v>
      </c>
      <c r="D391" s="4" t="b">
        <f t="shared" si="1"/>
        <v>0</v>
      </c>
      <c r="E391" s="4"/>
    </row>
    <row r="392">
      <c r="A392" s="3" t="s">
        <v>475</v>
      </c>
      <c r="B392" s="4"/>
      <c r="C392" s="4"/>
      <c r="D392" s="4" t="b">
        <f t="shared" si="1"/>
        <v>1</v>
      </c>
      <c r="E392" s="4"/>
    </row>
    <row r="393">
      <c r="A393" s="3" t="s">
        <v>476</v>
      </c>
      <c r="B393" s="3">
        <v>1578403.0</v>
      </c>
      <c r="C393" s="3" t="s">
        <v>32</v>
      </c>
      <c r="D393" s="4" t="b">
        <f t="shared" si="1"/>
        <v>0</v>
      </c>
      <c r="E393" s="4"/>
    </row>
    <row r="394">
      <c r="A394" s="3" t="s">
        <v>478</v>
      </c>
      <c r="B394" s="3">
        <v>311500.0</v>
      </c>
      <c r="C394" s="4"/>
      <c r="D394" s="4" t="b">
        <f t="shared" si="1"/>
        <v>0</v>
      </c>
      <c r="E394" s="4"/>
    </row>
    <row r="395">
      <c r="A395" s="3" t="s">
        <v>480</v>
      </c>
      <c r="B395" s="3">
        <v>3000.0</v>
      </c>
      <c r="C395" s="4"/>
      <c r="D395" s="4" t="b">
        <f t="shared" si="1"/>
        <v>0</v>
      </c>
      <c r="E395" s="4"/>
    </row>
    <row r="396">
      <c r="A396" s="3" t="s">
        <v>481</v>
      </c>
      <c r="B396" s="3">
        <v>1735000.0</v>
      </c>
      <c r="C396" s="3" t="s">
        <v>3</v>
      </c>
      <c r="D396" s="4" t="b">
        <f t="shared" si="1"/>
        <v>0</v>
      </c>
      <c r="E396" s="4"/>
    </row>
    <row r="397">
      <c r="A397" s="3" t="s">
        <v>483</v>
      </c>
      <c r="B397" s="3">
        <v>1500.0</v>
      </c>
      <c r="C397" s="3" t="s">
        <v>484</v>
      </c>
      <c r="D397" s="4" t="b">
        <f t="shared" si="1"/>
        <v>0</v>
      </c>
      <c r="E397" s="4"/>
    </row>
    <row r="398">
      <c r="A398" s="3" t="s">
        <v>485</v>
      </c>
      <c r="B398" s="4"/>
      <c r="C398" s="4"/>
      <c r="D398" s="4" t="b">
        <f t="shared" si="1"/>
        <v>1</v>
      </c>
      <c r="E398" s="4"/>
    </row>
    <row r="399">
      <c r="A399" s="3" t="s">
        <v>486</v>
      </c>
      <c r="B399" s="3">
        <v>0.0</v>
      </c>
      <c r="C399" s="3" t="s">
        <v>3</v>
      </c>
      <c r="D399" s="4" t="b">
        <f t="shared" si="1"/>
        <v>0</v>
      </c>
      <c r="E399" s="4"/>
    </row>
    <row r="400">
      <c r="A400" s="3" t="s">
        <v>487</v>
      </c>
      <c r="B400" s="4"/>
      <c r="C400" s="4"/>
      <c r="D400" s="4" t="b">
        <f t="shared" si="1"/>
        <v>1</v>
      </c>
      <c r="E400" s="4"/>
    </row>
    <row r="401">
      <c r="A401" s="3" t="s">
        <v>488</v>
      </c>
      <c r="B401" s="3">
        <v>0.0</v>
      </c>
      <c r="C401" s="3" t="s">
        <v>3</v>
      </c>
      <c r="D401" s="4" t="b">
        <f t="shared" si="1"/>
        <v>0</v>
      </c>
      <c r="E401" s="4"/>
    </row>
    <row r="402">
      <c r="A402" s="3" t="s">
        <v>489</v>
      </c>
      <c r="B402" s="4"/>
      <c r="C402" s="4"/>
      <c r="D402" s="4" t="b">
        <f t="shared" si="1"/>
        <v>1</v>
      </c>
      <c r="E402" s="4"/>
    </row>
    <row r="403">
      <c r="A403" s="3" t="s">
        <v>490</v>
      </c>
      <c r="B403" s="3">
        <v>2500.0</v>
      </c>
      <c r="C403" s="4"/>
      <c r="D403" s="4" t="b">
        <f t="shared" si="1"/>
        <v>0</v>
      </c>
      <c r="E403" s="4"/>
    </row>
    <row r="404">
      <c r="A404" s="3" t="s">
        <v>461</v>
      </c>
      <c r="B404" s="4"/>
      <c r="C404" s="4"/>
      <c r="D404" s="4" t="b">
        <f t="shared" si="1"/>
        <v>1</v>
      </c>
      <c r="E404" s="4"/>
    </row>
    <row r="405">
      <c r="A405" s="3" t="s">
        <v>491</v>
      </c>
      <c r="B405" s="3">
        <v>300000.0</v>
      </c>
      <c r="C405" s="4"/>
      <c r="D405" s="4" t="b">
        <f t="shared" si="1"/>
        <v>0</v>
      </c>
      <c r="E405" s="4"/>
    </row>
    <row r="406">
      <c r="A406" s="3" t="s">
        <v>493</v>
      </c>
      <c r="B406" s="3">
        <v>0.0</v>
      </c>
      <c r="C406" s="3" t="s">
        <v>3</v>
      </c>
      <c r="D406" s="4" t="b">
        <f t="shared" si="1"/>
        <v>0</v>
      </c>
      <c r="E406" s="4"/>
    </row>
    <row r="407">
      <c r="A407" s="3" t="s">
        <v>494</v>
      </c>
      <c r="B407" s="4"/>
      <c r="C407" s="4"/>
      <c r="D407" s="4" t="b">
        <f t="shared" si="1"/>
        <v>1</v>
      </c>
      <c r="E407" s="4"/>
    </row>
    <row r="408">
      <c r="A408" s="3" t="s">
        <v>495</v>
      </c>
      <c r="B408" s="3">
        <v>1000.0</v>
      </c>
      <c r="C408" s="4"/>
      <c r="D408" s="4" t="b">
        <f t="shared" si="1"/>
        <v>0</v>
      </c>
      <c r="E408" s="4"/>
    </row>
    <row r="409">
      <c r="A409" s="3" t="s">
        <v>496</v>
      </c>
      <c r="B409" s="3">
        <v>0.0</v>
      </c>
      <c r="C409" s="3" t="s">
        <v>3</v>
      </c>
      <c r="D409" s="4" t="b">
        <f t="shared" si="1"/>
        <v>0</v>
      </c>
      <c r="E409" s="4"/>
    </row>
    <row r="410">
      <c r="A410" s="3" t="s">
        <v>497</v>
      </c>
      <c r="B410" s="4"/>
      <c r="C410" s="4"/>
      <c r="D410" s="4" t="b">
        <f t="shared" si="1"/>
        <v>1</v>
      </c>
      <c r="E410" s="4"/>
    </row>
    <row r="411">
      <c r="A411" s="3" t="s">
        <v>498</v>
      </c>
      <c r="B411" s="3">
        <v>400.0</v>
      </c>
      <c r="C411" s="3" t="s">
        <v>3</v>
      </c>
      <c r="D411" s="4" t="b">
        <f t="shared" si="1"/>
        <v>0</v>
      </c>
      <c r="E411" s="4"/>
    </row>
    <row r="412">
      <c r="A412" s="3" t="s">
        <v>499</v>
      </c>
      <c r="B412" s="4"/>
      <c r="C412" s="4"/>
      <c r="D412" s="4" t="b">
        <f t="shared" si="1"/>
        <v>1</v>
      </c>
      <c r="E412" s="4"/>
    </row>
    <row r="413">
      <c r="A413" s="3" t="s">
        <v>500</v>
      </c>
      <c r="B413" s="3">
        <v>0.0</v>
      </c>
      <c r="C413" s="3" t="s">
        <v>6</v>
      </c>
      <c r="D413" s="4" t="b">
        <f t="shared" si="1"/>
        <v>0</v>
      </c>
      <c r="E413" s="4"/>
    </row>
    <row r="414">
      <c r="A414" s="3" t="s">
        <v>501</v>
      </c>
      <c r="B414" s="4"/>
      <c r="C414" s="4"/>
      <c r="D414" s="4" t="b">
        <f t="shared" si="1"/>
        <v>1</v>
      </c>
      <c r="E414" s="4"/>
    </row>
    <row r="415">
      <c r="A415" s="3" t="s">
        <v>502</v>
      </c>
      <c r="B415" s="3">
        <v>500.0</v>
      </c>
      <c r="C415" s="3" t="s">
        <v>26</v>
      </c>
      <c r="D415" s="4" t="b">
        <f t="shared" si="1"/>
        <v>0</v>
      </c>
      <c r="E415" s="4"/>
    </row>
    <row r="416">
      <c r="A416" s="3" t="s">
        <v>503</v>
      </c>
      <c r="B416" s="3">
        <v>0.0</v>
      </c>
      <c r="C416" s="3" t="s">
        <v>3</v>
      </c>
      <c r="D416" s="4" t="b">
        <f t="shared" si="1"/>
        <v>0</v>
      </c>
      <c r="E416" s="4"/>
    </row>
    <row r="417">
      <c r="A417" s="3" t="s">
        <v>504</v>
      </c>
      <c r="B417" s="4"/>
      <c r="C417" s="4"/>
      <c r="D417" s="4" t="b">
        <f t="shared" si="1"/>
        <v>1</v>
      </c>
      <c r="E417" s="4"/>
    </row>
    <row r="418">
      <c r="A418" s="3" t="s">
        <v>505</v>
      </c>
      <c r="B418" s="3">
        <v>0.0</v>
      </c>
      <c r="C418" s="3" t="s">
        <v>3</v>
      </c>
      <c r="D418" s="4" t="b">
        <f t="shared" si="1"/>
        <v>0</v>
      </c>
      <c r="E418" s="4"/>
    </row>
    <row r="419">
      <c r="A419" s="3" t="s">
        <v>506</v>
      </c>
      <c r="B419" s="4"/>
      <c r="C419" s="4"/>
      <c r="D419" s="4" t="b">
        <f t="shared" si="1"/>
        <v>1</v>
      </c>
      <c r="E419" s="4"/>
    </row>
    <row r="420">
      <c r="A420" s="3" t="s">
        <v>507</v>
      </c>
      <c r="B420" s="3">
        <v>0.0</v>
      </c>
      <c r="C420" s="3" t="s">
        <v>3</v>
      </c>
      <c r="D420" s="4" t="b">
        <f t="shared" si="1"/>
        <v>0</v>
      </c>
      <c r="E420" s="4"/>
    </row>
    <row r="421">
      <c r="A421" s="3" t="s">
        <v>508</v>
      </c>
      <c r="B421" s="4"/>
      <c r="C421" s="4"/>
      <c r="D421" s="4" t="b">
        <f t="shared" si="1"/>
        <v>1</v>
      </c>
      <c r="E421" s="4"/>
    </row>
    <row r="422">
      <c r="A422" s="3" t="s">
        <v>509</v>
      </c>
      <c r="B422" s="3">
        <v>0.0</v>
      </c>
      <c r="C422" s="3" t="s">
        <v>6</v>
      </c>
      <c r="D422" s="4" t="b">
        <f t="shared" si="1"/>
        <v>0</v>
      </c>
      <c r="E422" s="4"/>
    </row>
    <row r="423">
      <c r="A423" s="3" t="s">
        <v>510</v>
      </c>
      <c r="B423" s="4"/>
      <c r="C423" s="4"/>
      <c r="D423" s="4" t="b">
        <f t="shared" si="1"/>
        <v>1</v>
      </c>
      <c r="E423" s="4"/>
    </row>
    <row r="424">
      <c r="A424" s="3" t="s">
        <v>511</v>
      </c>
      <c r="B424" s="3">
        <v>0.0</v>
      </c>
      <c r="C424" s="3" t="s">
        <v>3</v>
      </c>
      <c r="D424" s="4" t="b">
        <f t="shared" si="1"/>
        <v>0</v>
      </c>
      <c r="E424" s="4"/>
    </row>
    <row r="425">
      <c r="A425" s="3" t="s">
        <v>512</v>
      </c>
      <c r="B425" s="4"/>
      <c r="C425" s="4"/>
      <c r="D425" s="4" t="b">
        <f t="shared" si="1"/>
        <v>1</v>
      </c>
      <c r="E425" s="4"/>
    </row>
    <row r="426">
      <c r="A426" s="3" t="s">
        <v>513</v>
      </c>
      <c r="B426" s="3">
        <v>0.0</v>
      </c>
      <c r="C426" s="3" t="s">
        <v>3</v>
      </c>
      <c r="D426" s="4" t="b">
        <f t="shared" si="1"/>
        <v>0</v>
      </c>
      <c r="E426" s="4"/>
    </row>
    <row r="427">
      <c r="A427" s="3" t="s">
        <v>514</v>
      </c>
      <c r="B427" s="4"/>
      <c r="C427" s="4"/>
      <c r="D427" s="4" t="b">
        <f t="shared" si="1"/>
        <v>1</v>
      </c>
      <c r="E427" s="4"/>
    </row>
    <row r="428">
      <c r="A428" s="3" t="s">
        <v>515</v>
      </c>
      <c r="B428" s="3">
        <v>0.0</v>
      </c>
      <c r="C428" s="3" t="s">
        <v>6</v>
      </c>
      <c r="D428" s="4" t="b">
        <f t="shared" si="1"/>
        <v>0</v>
      </c>
      <c r="E428" s="4"/>
    </row>
    <row r="429">
      <c r="A429" s="3" t="s">
        <v>516</v>
      </c>
      <c r="B429" s="3">
        <v>0.0</v>
      </c>
      <c r="C429" s="3" t="s">
        <v>3</v>
      </c>
      <c r="D429" s="4" t="b">
        <f t="shared" si="1"/>
        <v>0</v>
      </c>
      <c r="E429" s="4"/>
    </row>
    <row r="430">
      <c r="A430" s="3" t="s">
        <v>517</v>
      </c>
      <c r="B430" s="4"/>
      <c r="C430" s="4"/>
      <c r="D430" s="4" t="b">
        <f t="shared" si="1"/>
        <v>1</v>
      </c>
      <c r="E430" s="4"/>
    </row>
    <row r="431">
      <c r="A431" s="3" t="s">
        <v>518</v>
      </c>
      <c r="B431" s="3">
        <v>25062.0</v>
      </c>
      <c r="C431" s="4"/>
      <c r="D431" s="4" t="b">
        <f t="shared" si="1"/>
        <v>0</v>
      </c>
      <c r="E431" s="4"/>
    </row>
    <row r="432">
      <c r="A432" s="3" t="s">
        <v>520</v>
      </c>
      <c r="B432" s="3">
        <v>1500.0</v>
      </c>
      <c r="C432" s="3" t="s">
        <v>6</v>
      </c>
      <c r="D432" s="4" t="b">
        <f t="shared" si="1"/>
        <v>0</v>
      </c>
      <c r="E432" s="4"/>
    </row>
    <row r="433">
      <c r="A433" s="3" t="s">
        <v>521</v>
      </c>
      <c r="B433" s="3">
        <v>3500.0</v>
      </c>
      <c r="C433" s="4"/>
      <c r="D433" s="4" t="b">
        <f t="shared" si="1"/>
        <v>0</v>
      </c>
      <c r="E433" s="4"/>
    </row>
    <row r="434">
      <c r="A434" s="3" t="s">
        <v>522</v>
      </c>
      <c r="B434" s="3">
        <v>37754.0</v>
      </c>
      <c r="C434" s="3" t="s">
        <v>484</v>
      </c>
      <c r="D434" s="4" t="b">
        <f t="shared" si="1"/>
        <v>0</v>
      </c>
      <c r="E434" s="4"/>
    </row>
    <row r="435">
      <c r="A435" s="3" t="s">
        <v>524</v>
      </c>
      <c r="B435" s="3">
        <v>0.0</v>
      </c>
      <c r="C435" s="3" t="s">
        <v>3</v>
      </c>
      <c r="D435" s="4" t="b">
        <f t="shared" si="1"/>
        <v>0</v>
      </c>
      <c r="E435" s="4"/>
    </row>
    <row r="436">
      <c r="A436" s="3" t="s">
        <v>525</v>
      </c>
      <c r="B436" s="4"/>
      <c r="C436" s="4"/>
      <c r="D436" s="4" t="b">
        <f t="shared" si="1"/>
        <v>1</v>
      </c>
      <c r="E436" s="4"/>
    </row>
    <row r="437">
      <c r="A437" s="3" t="s">
        <v>526</v>
      </c>
      <c r="B437" s="3">
        <v>3000.0</v>
      </c>
      <c r="C437" s="4"/>
      <c r="D437" s="4" t="b">
        <f t="shared" si="1"/>
        <v>0</v>
      </c>
      <c r="E437" s="4"/>
    </row>
    <row r="438">
      <c r="A438" s="3" t="s">
        <v>527</v>
      </c>
      <c r="B438" s="3">
        <v>1000.0</v>
      </c>
      <c r="C438" s="4"/>
      <c r="D438" s="4" t="b">
        <f t="shared" si="1"/>
        <v>0</v>
      </c>
      <c r="E438" s="4"/>
    </row>
    <row r="439">
      <c r="A439" s="3" t="s">
        <v>528</v>
      </c>
      <c r="B439" s="3">
        <v>250.0</v>
      </c>
      <c r="C439" s="4"/>
      <c r="D439" s="4" t="b">
        <f t="shared" si="1"/>
        <v>0</v>
      </c>
      <c r="E439" s="4"/>
    </row>
    <row r="440">
      <c r="A440" s="3" t="s">
        <v>529</v>
      </c>
      <c r="B440" s="4"/>
      <c r="C440" s="4"/>
      <c r="D440" s="4" t="b">
        <f t="shared" si="1"/>
        <v>1</v>
      </c>
      <c r="E440" s="4"/>
    </row>
    <row r="441">
      <c r="A441" s="3" t="s">
        <v>530</v>
      </c>
      <c r="B441" s="3">
        <v>500.0</v>
      </c>
      <c r="C441" s="3" t="s">
        <v>3</v>
      </c>
      <c r="D441" s="4" t="b">
        <f t="shared" si="1"/>
        <v>0</v>
      </c>
      <c r="E441" s="4"/>
    </row>
    <row r="442">
      <c r="A442" s="3" t="s">
        <v>531</v>
      </c>
      <c r="B442" s="4"/>
      <c r="C442" s="4"/>
      <c r="D442" s="4" t="b">
        <f t="shared" si="1"/>
        <v>1</v>
      </c>
      <c r="E442" s="4"/>
    </row>
    <row r="443">
      <c r="A443" s="3" t="s">
        <v>532</v>
      </c>
      <c r="B443" s="3">
        <v>7000.0</v>
      </c>
      <c r="C443" s="3" t="s">
        <v>3</v>
      </c>
      <c r="D443" s="4" t="b">
        <f t="shared" si="1"/>
        <v>0</v>
      </c>
      <c r="E443" s="4"/>
    </row>
    <row r="444">
      <c r="A444" s="3" t="s">
        <v>534</v>
      </c>
      <c r="B444" s="3">
        <v>0.0</v>
      </c>
      <c r="C444" s="3" t="s">
        <v>26</v>
      </c>
      <c r="D444" s="4" t="b">
        <f t="shared" si="1"/>
        <v>0</v>
      </c>
      <c r="E444" s="4"/>
    </row>
    <row r="445">
      <c r="A445" s="3" t="s">
        <v>535</v>
      </c>
      <c r="B445" s="3">
        <v>400.0</v>
      </c>
      <c r="C445" s="3" t="s">
        <v>3</v>
      </c>
      <c r="D445" s="4" t="b">
        <f t="shared" si="1"/>
        <v>0</v>
      </c>
      <c r="E445" s="4"/>
    </row>
    <row r="446">
      <c r="A446" s="3" t="s">
        <v>536</v>
      </c>
      <c r="B446" s="4"/>
      <c r="C446" s="4"/>
      <c r="D446" s="4" t="b">
        <f t="shared" si="1"/>
        <v>1</v>
      </c>
      <c r="E446" s="4"/>
    </row>
    <row r="447">
      <c r="A447" s="3" t="s">
        <v>537</v>
      </c>
      <c r="B447" s="3">
        <v>750.0</v>
      </c>
      <c r="C447" s="4"/>
      <c r="D447" s="4" t="b">
        <f t="shared" si="1"/>
        <v>0</v>
      </c>
      <c r="E447" s="4"/>
    </row>
    <row r="448">
      <c r="A448" s="3" t="s">
        <v>538</v>
      </c>
      <c r="B448" s="4"/>
      <c r="C448" s="4"/>
      <c r="D448" s="4" t="b">
        <f t="shared" si="1"/>
        <v>1</v>
      </c>
      <c r="E448" s="4"/>
    </row>
    <row r="449">
      <c r="A449" s="3" t="s">
        <v>539</v>
      </c>
      <c r="B449" s="3">
        <v>0.0</v>
      </c>
      <c r="C449" s="3" t="s">
        <v>6</v>
      </c>
      <c r="D449" s="4" t="b">
        <f t="shared" si="1"/>
        <v>0</v>
      </c>
      <c r="E449" s="4"/>
    </row>
    <row r="450">
      <c r="A450" s="3" t="s">
        <v>540</v>
      </c>
      <c r="B450" s="3">
        <v>800.0</v>
      </c>
      <c r="C450" s="4"/>
      <c r="D450" s="4" t="b">
        <f t="shared" si="1"/>
        <v>0</v>
      </c>
      <c r="E450" s="4"/>
    </row>
    <row r="451">
      <c r="A451" s="3" t="s">
        <v>541</v>
      </c>
      <c r="B451" s="3">
        <v>500.0</v>
      </c>
      <c r="C451" s="4"/>
      <c r="D451" s="4" t="b">
        <f t="shared" si="1"/>
        <v>0</v>
      </c>
      <c r="E451" s="4"/>
    </row>
    <row r="452">
      <c r="A452" s="3" t="s">
        <v>542</v>
      </c>
      <c r="B452" s="3">
        <v>0.0</v>
      </c>
      <c r="C452" s="3" t="s">
        <v>3</v>
      </c>
      <c r="D452" s="4" t="b">
        <f t="shared" si="1"/>
        <v>0</v>
      </c>
      <c r="E452" s="4"/>
    </row>
    <row r="453">
      <c r="A453" s="3" t="s">
        <v>543</v>
      </c>
      <c r="B453" s="3">
        <v>0.0</v>
      </c>
      <c r="C453" s="3" t="s">
        <v>3</v>
      </c>
      <c r="D453" s="4" t="b">
        <f t="shared" si="1"/>
        <v>0</v>
      </c>
      <c r="E453" s="4"/>
    </row>
    <row r="454">
      <c r="A454" s="3" t="s">
        <v>544</v>
      </c>
      <c r="B454" s="4"/>
      <c r="C454" s="4"/>
      <c r="D454" s="4" t="b">
        <f t="shared" si="1"/>
        <v>1</v>
      </c>
      <c r="E454" s="4"/>
    </row>
    <row r="455">
      <c r="A455" s="3" t="s">
        <v>545</v>
      </c>
      <c r="B455" s="3">
        <v>0.0</v>
      </c>
      <c r="C455" s="3" t="s">
        <v>3</v>
      </c>
      <c r="D455" s="4" t="b">
        <f t="shared" si="1"/>
        <v>0</v>
      </c>
      <c r="E455" s="4"/>
    </row>
    <row r="456">
      <c r="A456" s="3" t="s">
        <v>546</v>
      </c>
      <c r="B456" s="3">
        <v>0.0</v>
      </c>
      <c r="C456" s="3" t="s">
        <v>3</v>
      </c>
      <c r="D456" s="4" t="b">
        <f t="shared" si="1"/>
        <v>0</v>
      </c>
      <c r="E456" s="4"/>
    </row>
    <row r="457">
      <c r="A457" s="3" t="s">
        <v>547</v>
      </c>
      <c r="B457" s="3">
        <v>4000.0</v>
      </c>
      <c r="C457" s="4"/>
      <c r="D457" s="4" t="b">
        <f t="shared" si="1"/>
        <v>0</v>
      </c>
      <c r="E457" s="4"/>
    </row>
    <row r="458">
      <c r="A458" s="3" t="s">
        <v>548</v>
      </c>
      <c r="B458" s="3">
        <v>0.0</v>
      </c>
      <c r="C458" s="3" t="s">
        <v>29</v>
      </c>
      <c r="D458" s="4" t="b">
        <f t="shared" si="1"/>
        <v>0</v>
      </c>
      <c r="E458" s="4"/>
    </row>
    <row r="459">
      <c r="A459" s="3" t="s">
        <v>549</v>
      </c>
      <c r="B459" s="3">
        <v>27778.0</v>
      </c>
      <c r="C459" s="4"/>
      <c r="D459" s="4" t="b">
        <f t="shared" si="1"/>
        <v>0</v>
      </c>
      <c r="E459" s="4"/>
    </row>
    <row r="460">
      <c r="A460" s="3" t="s">
        <v>551</v>
      </c>
      <c r="B460" s="3">
        <v>0.0</v>
      </c>
      <c r="C460" s="3" t="s">
        <v>29</v>
      </c>
      <c r="D460" s="4" t="b">
        <f t="shared" si="1"/>
        <v>0</v>
      </c>
      <c r="E460" s="4"/>
    </row>
    <row r="461">
      <c r="A461" s="3" t="s">
        <v>552</v>
      </c>
      <c r="B461" s="3">
        <v>500.0</v>
      </c>
      <c r="C461" s="4"/>
      <c r="D461" s="4" t="b">
        <f t="shared" si="1"/>
        <v>0</v>
      </c>
      <c r="E461" s="4"/>
    </row>
    <row r="462">
      <c r="A462" s="3" t="s">
        <v>553</v>
      </c>
      <c r="B462" s="3">
        <v>0.0</v>
      </c>
      <c r="C462" s="3" t="s">
        <v>29</v>
      </c>
      <c r="D462" s="4" t="b">
        <f t="shared" si="1"/>
        <v>0</v>
      </c>
      <c r="E462" s="4"/>
    </row>
    <row r="463">
      <c r="A463" s="3" t="s">
        <v>554</v>
      </c>
      <c r="B463" s="3">
        <v>0.0</v>
      </c>
      <c r="C463" s="3" t="s">
        <v>29</v>
      </c>
      <c r="D463" s="4" t="b">
        <f t="shared" si="1"/>
        <v>0</v>
      </c>
      <c r="E463" s="4"/>
    </row>
    <row r="464">
      <c r="A464" s="3" t="s">
        <v>555</v>
      </c>
      <c r="B464" s="3">
        <v>0.0</v>
      </c>
      <c r="C464" s="3" t="s">
        <v>29</v>
      </c>
      <c r="D464" s="4" t="b">
        <f t="shared" si="1"/>
        <v>0</v>
      </c>
      <c r="E464" s="4"/>
    </row>
    <row r="465">
      <c r="A465" s="3" t="s">
        <v>556</v>
      </c>
      <c r="B465" s="4"/>
      <c r="C465" s="4"/>
      <c r="D465" s="4" t="b">
        <f t="shared" si="1"/>
        <v>1</v>
      </c>
      <c r="E465" s="4"/>
    </row>
    <row r="466">
      <c r="A466" s="3" t="s">
        <v>557</v>
      </c>
      <c r="B466" s="3">
        <v>1500.0</v>
      </c>
      <c r="C466" s="3" t="s">
        <v>29</v>
      </c>
      <c r="D466" s="4" t="b">
        <f t="shared" si="1"/>
        <v>0</v>
      </c>
      <c r="E466" s="4"/>
    </row>
    <row r="467">
      <c r="A467" s="3" t="s">
        <v>558</v>
      </c>
      <c r="B467" s="3">
        <v>1000.0</v>
      </c>
      <c r="C467" s="3" t="s">
        <v>484</v>
      </c>
      <c r="D467" s="4" t="b">
        <f t="shared" si="1"/>
        <v>0</v>
      </c>
      <c r="E467" s="4"/>
    </row>
    <row r="468">
      <c r="A468" s="3" t="s">
        <v>559</v>
      </c>
      <c r="B468" s="3">
        <v>4600.0</v>
      </c>
      <c r="C468" s="3" t="s">
        <v>6</v>
      </c>
      <c r="D468" s="4" t="b">
        <f t="shared" si="1"/>
        <v>0</v>
      </c>
      <c r="E468" s="4"/>
    </row>
    <row r="469">
      <c r="A469" s="3" t="s">
        <v>561</v>
      </c>
      <c r="B469" s="3">
        <v>0.0</v>
      </c>
      <c r="C469" s="3" t="s">
        <v>29</v>
      </c>
      <c r="D469" s="4" t="b">
        <f t="shared" si="1"/>
        <v>0</v>
      </c>
      <c r="E469" s="4"/>
    </row>
    <row r="470">
      <c r="A470" s="3" t="s">
        <v>562</v>
      </c>
      <c r="B470" s="3">
        <v>0.0</v>
      </c>
      <c r="C470" s="3" t="s">
        <v>29</v>
      </c>
      <c r="D470" s="4" t="b">
        <f t="shared" si="1"/>
        <v>0</v>
      </c>
      <c r="E470" s="4"/>
    </row>
    <row r="471">
      <c r="A471" s="3" t="s">
        <v>563</v>
      </c>
      <c r="B471" s="3">
        <v>0.0</v>
      </c>
      <c r="C471" s="3" t="s">
        <v>29</v>
      </c>
      <c r="D471" s="4" t="b">
        <f t="shared" si="1"/>
        <v>0</v>
      </c>
      <c r="E471" s="4"/>
    </row>
    <row r="472">
      <c r="A472" s="3" t="s">
        <v>564</v>
      </c>
      <c r="B472" s="3">
        <v>0.0</v>
      </c>
      <c r="C472" s="3" t="s">
        <v>484</v>
      </c>
      <c r="D472" s="4" t="b">
        <f t="shared" si="1"/>
        <v>0</v>
      </c>
      <c r="E472" s="4"/>
    </row>
    <row r="473">
      <c r="A473" s="3" t="s">
        <v>565</v>
      </c>
      <c r="B473" s="3">
        <v>0.0</v>
      </c>
      <c r="C473" s="3" t="s">
        <v>29</v>
      </c>
      <c r="D473" s="4" t="b">
        <f t="shared" si="1"/>
        <v>0</v>
      </c>
      <c r="E473" s="4"/>
    </row>
    <row r="474">
      <c r="A474" s="3" t="s">
        <v>566</v>
      </c>
      <c r="B474" s="3">
        <v>0.0</v>
      </c>
      <c r="C474" s="3" t="s">
        <v>29</v>
      </c>
      <c r="D474" s="4" t="b">
        <f t="shared" si="1"/>
        <v>0</v>
      </c>
      <c r="E474" s="4"/>
    </row>
    <row r="475">
      <c r="A475" s="3" t="s">
        <v>567</v>
      </c>
      <c r="B475" s="3">
        <v>0.0</v>
      </c>
      <c r="C475" s="3" t="s">
        <v>3</v>
      </c>
      <c r="D475" s="4" t="b">
        <f t="shared" si="1"/>
        <v>0</v>
      </c>
      <c r="E475" s="4"/>
    </row>
    <row r="476">
      <c r="A476" s="3" t="s">
        <v>568</v>
      </c>
      <c r="B476" s="3">
        <v>0.0</v>
      </c>
      <c r="C476" s="3" t="s">
        <v>3</v>
      </c>
      <c r="D476" s="4" t="b">
        <f t="shared" si="1"/>
        <v>0</v>
      </c>
      <c r="E476" s="4"/>
    </row>
    <row r="477">
      <c r="A477" s="3" t="s">
        <v>569</v>
      </c>
      <c r="B477" s="3">
        <v>50000.0</v>
      </c>
      <c r="C477" s="3" t="s">
        <v>6</v>
      </c>
      <c r="D477" s="4" t="b">
        <f t="shared" si="1"/>
        <v>0</v>
      </c>
      <c r="E477" s="4"/>
    </row>
    <row r="478">
      <c r="A478" s="3" t="s">
        <v>571</v>
      </c>
      <c r="B478" s="3">
        <v>500.0</v>
      </c>
      <c r="C478" s="3" t="s">
        <v>6</v>
      </c>
      <c r="D478" s="4" t="b">
        <f t="shared" si="1"/>
        <v>0</v>
      </c>
      <c r="E478" s="4"/>
    </row>
    <row r="479">
      <c r="A479" s="3" t="s">
        <v>572</v>
      </c>
      <c r="B479" s="4"/>
      <c r="C479" s="4"/>
      <c r="D479" s="4" t="b">
        <f t="shared" si="1"/>
        <v>1</v>
      </c>
      <c r="E479" s="4"/>
    </row>
    <row r="480">
      <c r="A480" s="3" t="s">
        <v>573</v>
      </c>
      <c r="B480" s="3">
        <v>0.0</v>
      </c>
      <c r="C480" s="3" t="s">
        <v>3</v>
      </c>
      <c r="D480" s="4" t="b">
        <f t="shared" si="1"/>
        <v>0</v>
      </c>
      <c r="E480" s="4"/>
    </row>
    <row r="481">
      <c r="A481" s="3" t="s">
        <v>574</v>
      </c>
      <c r="B481" s="3">
        <v>700.0</v>
      </c>
      <c r="C481" s="4"/>
      <c r="D481" s="4" t="b">
        <f t="shared" si="1"/>
        <v>0</v>
      </c>
      <c r="E481" s="4"/>
    </row>
    <row r="482">
      <c r="A482" s="3" t="s">
        <v>576</v>
      </c>
      <c r="B482" s="4"/>
      <c r="C482" s="4"/>
      <c r="D482" s="4" t="b">
        <f t="shared" si="1"/>
        <v>1</v>
      </c>
      <c r="E482" s="4"/>
    </row>
    <row r="483">
      <c r="A483" s="3" t="s">
        <v>577</v>
      </c>
      <c r="B483" s="3">
        <v>0.0</v>
      </c>
      <c r="C483" s="3" t="s">
        <v>32</v>
      </c>
      <c r="D483" s="4" t="b">
        <f t="shared" si="1"/>
        <v>0</v>
      </c>
      <c r="E483" s="4"/>
    </row>
    <row r="484">
      <c r="A484" s="3" t="s">
        <v>578</v>
      </c>
      <c r="B484" s="3">
        <v>1700.0</v>
      </c>
      <c r="C484" s="3" t="s">
        <v>580</v>
      </c>
      <c r="D484" s="4" t="b">
        <f t="shared" si="1"/>
        <v>0</v>
      </c>
      <c r="E484" s="4"/>
    </row>
    <row r="485">
      <c r="A485" s="4"/>
      <c r="B485" s="4"/>
      <c r="C485" s="3" t="s">
        <v>581</v>
      </c>
      <c r="D485" s="4" t="b">
        <f t="shared" si="1"/>
        <v>1</v>
      </c>
      <c r="E485" s="4"/>
    </row>
    <row r="486">
      <c r="A486" s="3" t="s">
        <v>582</v>
      </c>
      <c r="B486" s="3">
        <v>153407.0</v>
      </c>
      <c r="C486" s="3" t="s">
        <v>32</v>
      </c>
      <c r="D486" s="4" t="b">
        <f t="shared" si="1"/>
        <v>0</v>
      </c>
      <c r="E486" s="4"/>
    </row>
    <row r="487">
      <c r="A487" s="3" t="s">
        <v>584</v>
      </c>
      <c r="B487" s="3">
        <v>0.0</v>
      </c>
      <c r="C487" s="3" t="s">
        <v>6</v>
      </c>
      <c r="D487" s="4" t="b">
        <f t="shared" si="1"/>
        <v>0</v>
      </c>
      <c r="E487" s="4"/>
    </row>
    <row r="488">
      <c r="A488" s="3" t="s">
        <v>585</v>
      </c>
      <c r="B488" s="4"/>
      <c r="C488" s="4"/>
      <c r="D488" s="4" t="b">
        <f t="shared" si="1"/>
        <v>1</v>
      </c>
      <c r="E488" s="4"/>
    </row>
    <row r="489">
      <c r="A489" s="3" t="s">
        <v>586</v>
      </c>
      <c r="B489" s="3">
        <v>4550.0</v>
      </c>
      <c r="C489" s="3" t="s">
        <v>6</v>
      </c>
      <c r="D489" s="4" t="b">
        <f t="shared" si="1"/>
        <v>0</v>
      </c>
      <c r="E489" s="4"/>
    </row>
    <row r="490">
      <c r="A490" s="3" t="s">
        <v>588</v>
      </c>
      <c r="B490" s="3">
        <v>0.0</v>
      </c>
      <c r="C490" s="3" t="s">
        <v>3</v>
      </c>
      <c r="D490" s="4" t="b">
        <f t="shared" si="1"/>
        <v>0</v>
      </c>
      <c r="E490" s="4"/>
    </row>
    <row r="491">
      <c r="A491" s="3" t="s">
        <v>589</v>
      </c>
      <c r="B491" s="3">
        <v>44200.0</v>
      </c>
      <c r="C491" s="3" t="s">
        <v>3</v>
      </c>
      <c r="D491" s="4" t="b">
        <f t="shared" si="1"/>
        <v>0</v>
      </c>
      <c r="E491" s="4"/>
    </row>
    <row r="492">
      <c r="A492" s="3" t="s">
        <v>591</v>
      </c>
      <c r="B492" s="3">
        <v>0.0</v>
      </c>
      <c r="C492" s="3" t="s">
        <v>3</v>
      </c>
      <c r="D492" s="4" t="b">
        <f t="shared" si="1"/>
        <v>0</v>
      </c>
      <c r="E492" s="4"/>
    </row>
    <row r="493">
      <c r="A493" s="3" t="s">
        <v>592</v>
      </c>
      <c r="B493" s="3">
        <v>0.0</v>
      </c>
      <c r="C493" s="3" t="s">
        <v>3</v>
      </c>
      <c r="D493" s="4" t="b">
        <f t="shared" si="1"/>
        <v>0</v>
      </c>
      <c r="E493" s="4"/>
    </row>
    <row r="494">
      <c r="A494" s="3" t="s">
        <v>593</v>
      </c>
      <c r="B494" s="3">
        <v>0.0</v>
      </c>
      <c r="C494" s="3" t="s">
        <v>3</v>
      </c>
      <c r="D494" s="4" t="b">
        <f t="shared" si="1"/>
        <v>0</v>
      </c>
      <c r="E494" s="4"/>
    </row>
    <row r="495">
      <c r="A495" s="3" t="s">
        <v>594</v>
      </c>
      <c r="B495" s="3">
        <v>0.0</v>
      </c>
      <c r="C495" s="3" t="s">
        <v>6</v>
      </c>
      <c r="D495" s="4" t="b">
        <f t="shared" si="1"/>
        <v>0</v>
      </c>
      <c r="E495" s="4"/>
    </row>
    <row r="496">
      <c r="A496" s="3" t="s">
        <v>595</v>
      </c>
      <c r="B496" s="3">
        <v>0.0</v>
      </c>
      <c r="C496" s="3" t="s">
        <v>3</v>
      </c>
      <c r="D496" s="4" t="b">
        <f t="shared" si="1"/>
        <v>0</v>
      </c>
      <c r="E496" s="4"/>
    </row>
    <row r="497">
      <c r="A497" s="3" t="s">
        <v>596</v>
      </c>
      <c r="B497" s="3">
        <v>0.0</v>
      </c>
      <c r="C497" s="3" t="s">
        <v>3</v>
      </c>
      <c r="D497" s="4" t="b">
        <f t="shared" si="1"/>
        <v>0</v>
      </c>
      <c r="E497" s="4"/>
    </row>
    <row r="498">
      <c r="A498" s="3" t="s">
        <v>597</v>
      </c>
      <c r="B498" s="4"/>
      <c r="C498" s="4"/>
      <c r="D498" s="4" t="b">
        <f t="shared" si="1"/>
        <v>1</v>
      </c>
      <c r="E498" s="4"/>
    </row>
    <row r="499">
      <c r="A499" s="3" t="s">
        <v>598</v>
      </c>
      <c r="B499" s="3">
        <v>0.0</v>
      </c>
      <c r="C499" s="3" t="s">
        <v>3</v>
      </c>
      <c r="D499" s="4" t="b">
        <f t="shared" si="1"/>
        <v>0</v>
      </c>
      <c r="E499" s="4"/>
    </row>
    <row r="500">
      <c r="A500" s="3" t="s">
        <v>599</v>
      </c>
      <c r="B500" s="3">
        <v>347000.0</v>
      </c>
      <c r="C500" s="4"/>
      <c r="D500" s="4" t="b">
        <f t="shared" si="1"/>
        <v>0</v>
      </c>
      <c r="E500" s="4"/>
    </row>
    <row r="501">
      <c r="A501" s="3" t="s">
        <v>601</v>
      </c>
      <c r="B501" s="3">
        <v>2000.0</v>
      </c>
      <c r="C501" s="4"/>
      <c r="D501" s="4" t="b">
        <f t="shared" si="1"/>
        <v>0</v>
      </c>
      <c r="E501" s="4"/>
    </row>
    <row r="502">
      <c r="A502" s="3" t="s">
        <v>602</v>
      </c>
      <c r="B502" s="3">
        <v>1089439.0</v>
      </c>
      <c r="C502" s="3" t="s">
        <v>37</v>
      </c>
      <c r="D502" s="4" t="b">
        <f t="shared" si="1"/>
        <v>0</v>
      </c>
      <c r="E502" s="4"/>
    </row>
    <row r="503">
      <c r="A503" s="3" t="s">
        <v>604</v>
      </c>
      <c r="B503" s="4"/>
      <c r="C503" s="3" t="s">
        <v>38</v>
      </c>
      <c r="D503" s="4" t="b">
        <f t="shared" si="1"/>
        <v>1</v>
      </c>
      <c r="E503" s="4"/>
    </row>
    <row r="504">
      <c r="A504" s="3" t="s">
        <v>605</v>
      </c>
      <c r="B504" s="3">
        <v>3000.0</v>
      </c>
      <c r="C504" s="3" t="s">
        <v>29</v>
      </c>
      <c r="D504" s="4" t="b">
        <f t="shared" si="1"/>
        <v>0</v>
      </c>
      <c r="E504" s="4"/>
    </row>
    <row r="505">
      <c r="A505" s="3" t="s">
        <v>606</v>
      </c>
      <c r="B505" s="3">
        <v>3000.0</v>
      </c>
      <c r="C505" s="3" t="s">
        <v>484</v>
      </c>
      <c r="D505" s="4" t="b">
        <f t="shared" si="1"/>
        <v>0</v>
      </c>
      <c r="E505" s="4"/>
    </row>
    <row r="506">
      <c r="A506" s="3" t="s">
        <v>607</v>
      </c>
      <c r="B506" s="3">
        <v>30500.0</v>
      </c>
      <c r="C506" s="3" t="s">
        <v>32</v>
      </c>
      <c r="D506" s="4" t="b">
        <f t="shared" si="1"/>
        <v>0</v>
      </c>
      <c r="E506" s="4"/>
    </row>
    <row r="507">
      <c r="A507" s="3" t="s">
        <v>609</v>
      </c>
      <c r="B507" s="3">
        <v>3500.0</v>
      </c>
      <c r="C507" s="3" t="s">
        <v>29</v>
      </c>
      <c r="D507" s="4" t="b">
        <f t="shared" si="1"/>
        <v>0</v>
      </c>
      <c r="E507" s="4"/>
    </row>
    <row r="508">
      <c r="A508" s="3" t="s">
        <v>610</v>
      </c>
      <c r="B508" s="3">
        <v>0.0</v>
      </c>
      <c r="C508" s="3" t="s">
        <v>6</v>
      </c>
      <c r="D508" s="4" t="b">
        <f t="shared" si="1"/>
        <v>0</v>
      </c>
      <c r="E508" s="4"/>
    </row>
    <row r="509">
      <c r="A509" s="3" t="s">
        <v>611</v>
      </c>
      <c r="B509" s="3">
        <v>2500.0</v>
      </c>
      <c r="C509" s="4"/>
      <c r="D509" s="4" t="b">
        <f t="shared" si="1"/>
        <v>0</v>
      </c>
      <c r="E509" s="4"/>
    </row>
    <row r="510">
      <c r="A510" s="3" t="s">
        <v>612</v>
      </c>
      <c r="B510" s="3">
        <v>0.0</v>
      </c>
      <c r="C510" s="3" t="s">
        <v>6</v>
      </c>
      <c r="D510" s="4" t="b">
        <f t="shared" si="1"/>
        <v>0</v>
      </c>
      <c r="E510" s="4"/>
    </row>
    <row r="511">
      <c r="A511" s="3" t="s">
        <v>613</v>
      </c>
      <c r="B511" s="3">
        <v>0.0</v>
      </c>
      <c r="C511" s="3" t="s">
        <v>3</v>
      </c>
      <c r="D511" s="4" t="b">
        <f t="shared" si="1"/>
        <v>0</v>
      </c>
      <c r="E511" s="4"/>
    </row>
    <row r="512">
      <c r="A512" s="3" t="s">
        <v>614</v>
      </c>
      <c r="B512" s="3">
        <v>1500.0</v>
      </c>
      <c r="C512" s="4"/>
      <c r="D512" s="4" t="b">
        <f t="shared" si="1"/>
        <v>0</v>
      </c>
      <c r="E512" s="4"/>
    </row>
    <row r="513">
      <c r="A513" s="3" t="s">
        <v>615</v>
      </c>
      <c r="B513" s="3">
        <v>0.0</v>
      </c>
      <c r="C513" s="3" t="s">
        <v>3</v>
      </c>
      <c r="D513" s="4" t="b">
        <f t="shared" si="1"/>
        <v>0</v>
      </c>
      <c r="E513" s="4"/>
    </row>
    <row r="514">
      <c r="A514" s="3" t="s">
        <v>616</v>
      </c>
      <c r="B514" s="3">
        <v>0.0</v>
      </c>
      <c r="C514" s="3" t="s">
        <v>3</v>
      </c>
      <c r="D514" s="4" t="b">
        <f t="shared" si="1"/>
        <v>0</v>
      </c>
      <c r="E514" s="4"/>
    </row>
    <row r="515">
      <c r="A515" s="3" t="s">
        <v>617</v>
      </c>
      <c r="B515" s="3">
        <v>0.0</v>
      </c>
      <c r="C515" s="3" t="s">
        <v>3</v>
      </c>
      <c r="D515" s="4" t="b">
        <f t="shared" si="1"/>
        <v>0</v>
      </c>
      <c r="E515" s="4"/>
    </row>
    <row r="516">
      <c r="A516" s="3" t="s">
        <v>618</v>
      </c>
      <c r="B516" s="3">
        <v>0.0</v>
      </c>
      <c r="C516" s="3" t="s">
        <v>3</v>
      </c>
      <c r="D516" s="4" t="b">
        <f t="shared" si="1"/>
        <v>0</v>
      </c>
      <c r="E516" s="4"/>
    </row>
    <row r="517">
      <c r="A517" s="3" t="s">
        <v>619</v>
      </c>
      <c r="B517" s="3">
        <v>0.0</v>
      </c>
      <c r="C517" s="3" t="s">
        <v>3</v>
      </c>
      <c r="D517" s="4" t="b">
        <f t="shared" si="1"/>
        <v>0</v>
      </c>
      <c r="E517" s="4"/>
    </row>
    <row r="518">
      <c r="A518" s="3" t="s">
        <v>620</v>
      </c>
      <c r="B518" s="3">
        <v>0.0</v>
      </c>
      <c r="C518" s="3" t="s">
        <v>6</v>
      </c>
      <c r="D518" s="4" t="b">
        <f t="shared" si="1"/>
        <v>0</v>
      </c>
      <c r="E518" s="4"/>
    </row>
    <row r="519">
      <c r="A519" s="3" t="s">
        <v>621</v>
      </c>
      <c r="B519" s="3">
        <v>1500.0</v>
      </c>
      <c r="C519" s="3" t="s">
        <v>32</v>
      </c>
      <c r="D519" s="4" t="b">
        <f t="shared" si="1"/>
        <v>0</v>
      </c>
      <c r="E519" s="4"/>
    </row>
    <row r="520">
      <c r="A520" s="3" t="s">
        <v>622</v>
      </c>
      <c r="B520" s="3">
        <v>8000.0</v>
      </c>
      <c r="C520" s="3" t="s">
        <v>32</v>
      </c>
      <c r="D520" s="4" t="b">
        <f t="shared" si="1"/>
        <v>0</v>
      </c>
      <c r="E520" s="4"/>
    </row>
    <row r="521">
      <c r="A521" s="3" t="s">
        <v>624</v>
      </c>
      <c r="B521" s="3">
        <v>0.0</v>
      </c>
      <c r="C521" s="3" t="s">
        <v>3</v>
      </c>
      <c r="D521" s="4" t="b">
        <f t="shared" si="1"/>
        <v>0</v>
      </c>
      <c r="E521" s="4"/>
    </row>
    <row r="522">
      <c r="A522" s="3" t="s">
        <v>625</v>
      </c>
      <c r="B522" s="3">
        <v>13600.0</v>
      </c>
      <c r="C522" s="3" t="s">
        <v>37</v>
      </c>
      <c r="D522" s="4" t="b">
        <f t="shared" si="1"/>
        <v>0</v>
      </c>
      <c r="E522" s="4"/>
    </row>
    <row r="523">
      <c r="A523" s="4"/>
      <c r="B523" s="4"/>
      <c r="C523" s="3" t="s">
        <v>38</v>
      </c>
      <c r="D523" s="4" t="b">
        <f t="shared" si="1"/>
        <v>1</v>
      </c>
      <c r="E523" s="4"/>
    </row>
    <row r="524">
      <c r="A524" s="3" t="s">
        <v>627</v>
      </c>
      <c r="B524" s="3">
        <v>0.0</v>
      </c>
      <c r="C524" s="3" t="s">
        <v>3</v>
      </c>
      <c r="D524" s="4" t="b">
        <f t="shared" si="1"/>
        <v>0</v>
      </c>
      <c r="E524" s="4"/>
    </row>
    <row r="525">
      <c r="A525" s="3" t="s">
        <v>628</v>
      </c>
      <c r="B525" s="3">
        <v>35895.0</v>
      </c>
      <c r="C525" s="3" t="s">
        <v>484</v>
      </c>
      <c r="D525" s="4" t="b">
        <f t="shared" si="1"/>
        <v>0</v>
      </c>
      <c r="E525" s="4"/>
    </row>
    <row r="526">
      <c r="A526" s="3" t="s">
        <v>630</v>
      </c>
      <c r="B526" s="3">
        <v>2500.0</v>
      </c>
      <c r="C526" s="4"/>
      <c r="D526" s="4" t="b">
        <f t="shared" si="1"/>
        <v>0</v>
      </c>
      <c r="E526" s="4"/>
    </row>
    <row r="527">
      <c r="A527" s="3" t="s">
        <v>631</v>
      </c>
      <c r="B527" s="3">
        <v>1000.0</v>
      </c>
      <c r="C527" s="4"/>
      <c r="D527" s="4" t="b">
        <f t="shared" si="1"/>
        <v>0</v>
      </c>
      <c r="E527" s="4"/>
    </row>
    <row r="528">
      <c r="A528" s="3" t="s">
        <v>632</v>
      </c>
      <c r="B528" s="3">
        <v>0.0</v>
      </c>
      <c r="C528" s="3" t="s">
        <v>3</v>
      </c>
      <c r="D528" s="4" t="b">
        <f t="shared" si="1"/>
        <v>0</v>
      </c>
      <c r="E528" s="4"/>
    </row>
    <row r="529">
      <c r="A529" s="3" t="s">
        <v>633</v>
      </c>
      <c r="B529" s="3">
        <v>8500.0</v>
      </c>
      <c r="C529" s="3" t="s">
        <v>3</v>
      </c>
      <c r="D529" s="4" t="b">
        <f t="shared" si="1"/>
        <v>0</v>
      </c>
      <c r="E529" s="4"/>
    </row>
    <row r="530">
      <c r="A530" s="3" t="s">
        <v>635</v>
      </c>
      <c r="B530" s="3">
        <v>1000.0</v>
      </c>
      <c r="C530" s="3" t="s">
        <v>32</v>
      </c>
      <c r="D530" s="4" t="b">
        <f t="shared" si="1"/>
        <v>0</v>
      </c>
      <c r="E530" s="4"/>
    </row>
    <row r="531">
      <c r="A531" s="3" t="s">
        <v>636</v>
      </c>
      <c r="B531" s="3">
        <v>2500.0</v>
      </c>
      <c r="C531" s="3" t="s">
        <v>6</v>
      </c>
      <c r="D531" s="4" t="b">
        <f t="shared" si="1"/>
        <v>0</v>
      </c>
      <c r="E531" s="4"/>
    </row>
    <row r="532">
      <c r="A532" s="3" t="s">
        <v>637</v>
      </c>
      <c r="B532" s="3">
        <v>0.0</v>
      </c>
      <c r="C532" s="3" t="s">
        <v>37</v>
      </c>
      <c r="D532" s="4" t="b">
        <f t="shared" si="1"/>
        <v>0</v>
      </c>
      <c r="E532" s="4"/>
    </row>
    <row r="533">
      <c r="A533" s="4"/>
      <c r="B533" s="4"/>
      <c r="C533" s="3" t="s">
        <v>38</v>
      </c>
      <c r="D533" s="4" t="b">
        <f t="shared" si="1"/>
        <v>1</v>
      </c>
      <c r="E533" s="4"/>
    </row>
    <row r="534">
      <c r="A534" s="3" t="s">
        <v>638</v>
      </c>
      <c r="B534" s="3">
        <v>0.0</v>
      </c>
      <c r="C534" s="3" t="s">
        <v>3</v>
      </c>
      <c r="D534" s="4" t="b">
        <f t="shared" si="1"/>
        <v>0</v>
      </c>
      <c r="E534" s="4"/>
    </row>
    <row r="535">
      <c r="A535" s="3" t="s">
        <v>639</v>
      </c>
      <c r="B535" s="3">
        <v>21600.0</v>
      </c>
      <c r="C535" s="3" t="s">
        <v>3</v>
      </c>
      <c r="D535" s="4" t="b">
        <f t="shared" si="1"/>
        <v>0</v>
      </c>
      <c r="E535" s="4"/>
    </row>
    <row r="536">
      <c r="A536" s="3" t="s">
        <v>641</v>
      </c>
      <c r="B536" s="3">
        <v>223734.0</v>
      </c>
      <c r="C536" s="3" t="s">
        <v>37</v>
      </c>
      <c r="D536" s="4" t="b">
        <f t="shared" si="1"/>
        <v>0</v>
      </c>
      <c r="E536" s="4"/>
    </row>
    <row r="537">
      <c r="A537" s="4"/>
      <c r="B537" s="4"/>
      <c r="C537" s="3" t="s">
        <v>38</v>
      </c>
      <c r="D537" s="4" t="b">
        <f t="shared" si="1"/>
        <v>1</v>
      </c>
      <c r="E537" s="4"/>
    </row>
    <row r="538">
      <c r="A538" s="3" t="s">
        <v>643</v>
      </c>
      <c r="B538" s="3">
        <v>3000.0</v>
      </c>
      <c r="C538" s="3" t="s">
        <v>29</v>
      </c>
      <c r="D538" s="4" t="b">
        <f t="shared" si="1"/>
        <v>0</v>
      </c>
      <c r="E538" s="4"/>
    </row>
    <row r="539">
      <c r="A539" s="3" t="s">
        <v>644</v>
      </c>
      <c r="B539" s="3">
        <v>0.0</v>
      </c>
      <c r="C539" s="3" t="s">
        <v>3</v>
      </c>
      <c r="D539" s="4" t="b">
        <f t="shared" si="1"/>
        <v>0</v>
      </c>
      <c r="E539" s="4"/>
    </row>
    <row r="540">
      <c r="A540" s="3" t="s">
        <v>645</v>
      </c>
      <c r="B540" s="3">
        <v>30000.0</v>
      </c>
      <c r="C540" s="4"/>
      <c r="D540" s="4" t="b">
        <f t="shared" si="1"/>
        <v>0</v>
      </c>
      <c r="E540" s="4"/>
    </row>
    <row r="541">
      <c r="A541" s="3" t="s">
        <v>646</v>
      </c>
      <c r="B541" s="3">
        <v>198775.0</v>
      </c>
      <c r="C541" s="3" t="s">
        <v>6</v>
      </c>
      <c r="D541" s="4" t="b">
        <f t="shared" si="1"/>
        <v>0</v>
      </c>
      <c r="E541" s="4"/>
    </row>
    <row r="542">
      <c r="A542" s="3" t="s">
        <v>648</v>
      </c>
      <c r="B542" s="3">
        <v>339500.0</v>
      </c>
      <c r="C542" s="3" t="s">
        <v>16</v>
      </c>
      <c r="D542" s="4" t="b">
        <f t="shared" si="1"/>
        <v>0</v>
      </c>
      <c r="E542" s="4"/>
    </row>
    <row r="543">
      <c r="A543" s="3" t="s">
        <v>650</v>
      </c>
      <c r="B543" s="3">
        <v>1000.0</v>
      </c>
      <c r="C543" s="4"/>
      <c r="D543" s="4" t="b">
        <f t="shared" si="1"/>
        <v>0</v>
      </c>
      <c r="E543" s="4"/>
    </row>
    <row r="544">
      <c r="A544" s="3" t="s">
        <v>651</v>
      </c>
      <c r="B544" s="3">
        <v>0.0</v>
      </c>
      <c r="C544" s="3" t="s">
        <v>3</v>
      </c>
      <c r="D544" s="4" t="b">
        <f t="shared" si="1"/>
        <v>0</v>
      </c>
      <c r="E544" s="4"/>
    </row>
    <row r="545">
      <c r="A545" s="3" t="s">
        <v>652</v>
      </c>
      <c r="B545" s="3">
        <v>3700.0</v>
      </c>
      <c r="C545" s="3" t="s">
        <v>29</v>
      </c>
      <c r="D545" s="4" t="b">
        <f t="shared" si="1"/>
        <v>0</v>
      </c>
      <c r="E545" s="4"/>
    </row>
    <row r="546">
      <c r="A546" s="3" t="s">
        <v>654</v>
      </c>
      <c r="B546" s="3">
        <v>0.0</v>
      </c>
      <c r="C546" s="3" t="s">
        <v>29</v>
      </c>
      <c r="D546" s="4" t="b">
        <f t="shared" si="1"/>
        <v>0</v>
      </c>
      <c r="E546" s="4"/>
    </row>
    <row r="547">
      <c r="A547" s="3" t="s">
        <v>655</v>
      </c>
      <c r="B547" s="3">
        <v>80000.0</v>
      </c>
      <c r="C547" s="3" t="s">
        <v>29</v>
      </c>
      <c r="D547" s="4" t="b">
        <f t="shared" si="1"/>
        <v>0</v>
      </c>
      <c r="E547" s="4"/>
    </row>
    <row r="548">
      <c r="A548" s="3" t="s">
        <v>657</v>
      </c>
      <c r="B548" s="3">
        <v>0.0</v>
      </c>
      <c r="C548" s="3" t="s">
        <v>32</v>
      </c>
      <c r="D548" s="4" t="b">
        <f t="shared" si="1"/>
        <v>0</v>
      </c>
      <c r="E548" s="4"/>
    </row>
    <row r="549">
      <c r="A549" s="3" t="s">
        <v>658</v>
      </c>
      <c r="B549" s="4"/>
      <c r="C549" s="4"/>
      <c r="D549" s="4" t="b">
        <f t="shared" si="1"/>
        <v>1</v>
      </c>
      <c r="E549" s="4"/>
    </row>
    <row r="550">
      <c r="A550" s="3" t="s">
        <v>659</v>
      </c>
      <c r="B550" s="3">
        <v>7000.0</v>
      </c>
      <c r="C550" s="3" t="s">
        <v>6</v>
      </c>
      <c r="D550" s="4" t="b">
        <f t="shared" si="1"/>
        <v>0</v>
      </c>
      <c r="E550" s="4"/>
    </row>
    <row r="551">
      <c r="A551" s="3" t="s">
        <v>660</v>
      </c>
      <c r="B551" s="3">
        <v>300.0</v>
      </c>
      <c r="C551" s="4"/>
      <c r="D551" s="4" t="b">
        <f t="shared" si="1"/>
        <v>0</v>
      </c>
      <c r="E551" s="4"/>
    </row>
    <row r="552">
      <c r="A552" s="3" t="s">
        <v>661</v>
      </c>
      <c r="B552" s="3">
        <v>0.0</v>
      </c>
      <c r="C552" s="3" t="s">
        <v>29</v>
      </c>
      <c r="D552" s="4" t="b">
        <f t="shared" si="1"/>
        <v>0</v>
      </c>
      <c r="E552" s="4"/>
    </row>
    <row r="553">
      <c r="A553" s="3" t="s">
        <v>662</v>
      </c>
      <c r="B553" s="3">
        <v>500.0</v>
      </c>
      <c r="C553" s="4"/>
      <c r="D553" s="4" t="b">
        <f t="shared" si="1"/>
        <v>0</v>
      </c>
      <c r="E553" s="4"/>
    </row>
    <row r="554">
      <c r="A554" s="3" t="s">
        <v>663</v>
      </c>
      <c r="B554" s="3">
        <v>14500.0</v>
      </c>
      <c r="C554" s="3" t="s">
        <v>176</v>
      </c>
      <c r="D554" s="4" t="b">
        <f t="shared" si="1"/>
        <v>0</v>
      </c>
      <c r="E554" s="4"/>
    </row>
    <row r="555">
      <c r="A555" s="3" t="s">
        <v>665</v>
      </c>
      <c r="B555" s="3">
        <v>600.0</v>
      </c>
      <c r="C555" s="3" t="s">
        <v>6</v>
      </c>
      <c r="D555" s="4" t="b">
        <f t="shared" si="1"/>
        <v>0</v>
      </c>
      <c r="E555" s="4"/>
    </row>
    <row r="556">
      <c r="A556" s="3" t="s">
        <v>666</v>
      </c>
      <c r="B556" s="3">
        <v>21000.0</v>
      </c>
      <c r="C556" s="4"/>
      <c r="D556" s="4" t="b">
        <f t="shared" si="1"/>
        <v>0</v>
      </c>
      <c r="E556" s="4"/>
    </row>
    <row r="557">
      <c r="A557" s="3" t="s">
        <v>667</v>
      </c>
      <c r="B557" s="3">
        <v>0.0</v>
      </c>
      <c r="C557" s="3" t="s">
        <v>668</v>
      </c>
      <c r="D557" s="4" t="b">
        <f t="shared" si="1"/>
        <v>0</v>
      </c>
      <c r="E557" s="4"/>
    </row>
    <row r="558">
      <c r="A558" s="3" t="s">
        <v>669</v>
      </c>
      <c r="B558" s="3">
        <v>28000.0</v>
      </c>
      <c r="C558" s="3" t="s">
        <v>3</v>
      </c>
      <c r="D558" s="4" t="b">
        <f t="shared" si="1"/>
        <v>0</v>
      </c>
      <c r="E558" s="4"/>
    </row>
    <row r="559">
      <c r="A559" s="3" t="s">
        <v>671</v>
      </c>
      <c r="B559" s="3">
        <v>0.0</v>
      </c>
      <c r="C559" s="3" t="s">
        <v>32</v>
      </c>
      <c r="D559" s="4" t="b">
        <f t="shared" si="1"/>
        <v>0</v>
      </c>
      <c r="E559" s="4"/>
    </row>
    <row r="560">
      <c r="A560" s="3" t="s">
        <v>672</v>
      </c>
      <c r="B560" s="3">
        <v>0.0</v>
      </c>
      <c r="C560" s="3" t="s">
        <v>3</v>
      </c>
      <c r="D560" s="4" t="b">
        <f t="shared" si="1"/>
        <v>0</v>
      </c>
      <c r="E560" s="4"/>
    </row>
    <row r="561">
      <c r="A561" s="3" t="s">
        <v>673</v>
      </c>
      <c r="B561" s="3">
        <v>0.0</v>
      </c>
      <c r="C561" s="3" t="s">
        <v>29</v>
      </c>
      <c r="D561" s="4" t="b">
        <f t="shared" si="1"/>
        <v>0</v>
      </c>
      <c r="E561" s="4"/>
    </row>
    <row r="562">
      <c r="A562" s="3" t="s">
        <v>674</v>
      </c>
      <c r="B562" s="3">
        <v>1000.0</v>
      </c>
      <c r="C562" s="3" t="s">
        <v>3</v>
      </c>
      <c r="D562" s="4" t="b">
        <f t="shared" si="1"/>
        <v>0</v>
      </c>
      <c r="E562" s="4"/>
    </row>
    <row r="563">
      <c r="A563" s="3" t="s">
        <v>675</v>
      </c>
      <c r="B563" s="3">
        <v>4000.0</v>
      </c>
      <c r="C563" s="3" t="s">
        <v>484</v>
      </c>
      <c r="D563" s="4" t="b">
        <f t="shared" si="1"/>
        <v>0</v>
      </c>
      <c r="E563" s="4"/>
    </row>
    <row r="564">
      <c r="A564" s="3" t="s">
        <v>676</v>
      </c>
      <c r="B564" s="3">
        <v>3200.0</v>
      </c>
      <c r="C564" s="3" t="s">
        <v>3</v>
      </c>
      <c r="D564" s="4" t="b">
        <f t="shared" si="1"/>
        <v>0</v>
      </c>
      <c r="E564" s="4"/>
    </row>
    <row r="565">
      <c r="A565" s="3" t="s">
        <v>677</v>
      </c>
      <c r="B565" s="3">
        <v>0.0</v>
      </c>
      <c r="C565" s="3" t="s">
        <v>3</v>
      </c>
      <c r="D565" s="4" t="b">
        <f t="shared" si="1"/>
        <v>0</v>
      </c>
      <c r="E565" s="4"/>
    </row>
    <row r="566">
      <c r="A566" s="3" t="s">
        <v>678</v>
      </c>
      <c r="B566" s="3">
        <v>0.0</v>
      </c>
      <c r="C566" s="3" t="s">
        <v>32</v>
      </c>
      <c r="D566" s="4" t="b">
        <f t="shared" si="1"/>
        <v>0</v>
      </c>
      <c r="E566" s="4"/>
    </row>
    <row r="567">
      <c r="A567" s="3" t="s">
        <v>679</v>
      </c>
      <c r="B567" s="3">
        <v>283000.0</v>
      </c>
      <c r="C567" s="4"/>
      <c r="D567" s="4" t="b">
        <f t="shared" si="1"/>
        <v>0</v>
      </c>
      <c r="E567" s="4"/>
    </row>
    <row r="568">
      <c r="A568" s="3" t="s">
        <v>681</v>
      </c>
      <c r="B568" s="3">
        <v>5000.0</v>
      </c>
      <c r="C568" s="4"/>
      <c r="D568" s="4" t="b">
        <f t="shared" si="1"/>
        <v>0</v>
      </c>
      <c r="E568" s="4"/>
    </row>
    <row r="569">
      <c r="A569" s="3" t="s">
        <v>682</v>
      </c>
      <c r="B569" s="3">
        <v>0.0</v>
      </c>
      <c r="C569" s="3" t="s">
        <v>26</v>
      </c>
      <c r="D569" s="4" t="b">
        <f t="shared" si="1"/>
        <v>0</v>
      </c>
      <c r="E569" s="4"/>
    </row>
    <row r="570">
      <c r="A570" s="3" t="s">
        <v>683</v>
      </c>
      <c r="B570" s="3">
        <v>11500.0</v>
      </c>
      <c r="C570" s="3" t="s">
        <v>29</v>
      </c>
      <c r="D570" s="4" t="b">
        <f t="shared" si="1"/>
        <v>0</v>
      </c>
      <c r="E570" s="4"/>
    </row>
    <row r="571">
      <c r="A571" s="3" t="s">
        <v>685</v>
      </c>
      <c r="B571" s="3">
        <v>0.0</v>
      </c>
      <c r="C571" s="3" t="s">
        <v>6</v>
      </c>
      <c r="D571" s="4" t="b">
        <f t="shared" si="1"/>
        <v>0</v>
      </c>
      <c r="E571" s="4"/>
    </row>
    <row r="572">
      <c r="A572" s="3" t="s">
        <v>686</v>
      </c>
      <c r="B572" s="3">
        <v>4000.0</v>
      </c>
      <c r="C572" s="3" t="s">
        <v>580</v>
      </c>
      <c r="D572" s="4" t="b">
        <f t="shared" si="1"/>
        <v>0</v>
      </c>
      <c r="E572" s="4"/>
    </row>
    <row r="573">
      <c r="A573" s="4"/>
      <c r="B573" s="4"/>
      <c r="C573" s="3" t="s">
        <v>581</v>
      </c>
      <c r="D573" s="4" t="b">
        <f t="shared" si="1"/>
        <v>1</v>
      </c>
      <c r="E573" s="4"/>
    </row>
    <row r="574">
      <c r="A574" s="3" t="s">
        <v>687</v>
      </c>
      <c r="B574" s="3">
        <v>15000.0</v>
      </c>
      <c r="C574" s="3" t="s">
        <v>6</v>
      </c>
      <c r="D574" s="4" t="b">
        <f t="shared" si="1"/>
        <v>0</v>
      </c>
      <c r="E574" s="4"/>
    </row>
    <row r="575">
      <c r="A575" s="3" t="s">
        <v>688</v>
      </c>
      <c r="B575" s="3">
        <v>0.0</v>
      </c>
      <c r="C575" s="3" t="s">
        <v>6</v>
      </c>
      <c r="D575" s="4" t="b">
        <f t="shared" si="1"/>
        <v>0</v>
      </c>
      <c r="E575" s="4"/>
    </row>
    <row r="576">
      <c r="A576" s="3" t="s">
        <v>689</v>
      </c>
      <c r="B576" s="3">
        <v>800.0</v>
      </c>
      <c r="C576" s="3" t="s">
        <v>32</v>
      </c>
      <c r="D576" s="4" t="b">
        <f t="shared" si="1"/>
        <v>0</v>
      </c>
      <c r="E576" s="4"/>
    </row>
    <row r="577">
      <c r="A577" s="3" t="s">
        <v>690</v>
      </c>
      <c r="B577" s="3">
        <v>0.0</v>
      </c>
      <c r="C577" s="3" t="s">
        <v>29</v>
      </c>
      <c r="D577" s="4" t="b">
        <f t="shared" si="1"/>
        <v>0</v>
      </c>
      <c r="E577" s="4"/>
    </row>
    <row r="578">
      <c r="A578" s="3" t="s">
        <v>691</v>
      </c>
      <c r="B578" s="3">
        <v>400.0</v>
      </c>
      <c r="C578" s="3" t="s">
        <v>3</v>
      </c>
      <c r="D578" s="4" t="b">
        <f t="shared" si="1"/>
        <v>0</v>
      </c>
      <c r="E578" s="4"/>
    </row>
    <row r="579">
      <c r="A579" s="3" t="s">
        <v>692</v>
      </c>
      <c r="B579" s="4"/>
      <c r="C579" s="4"/>
      <c r="D579" s="4" t="b">
        <f t="shared" si="1"/>
        <v>1</v>
      </c>
      <c r="E579" s="4"/>
    </row>
    <row r="580">
      <c r="A580" s="3" t="s">
        <v>693</v>
      </c>
      <c r="B580" s="3">
        <v>0.0</v>
      </c>
      <c r="C580" s="3" t="s">
        <v>3</v>
      </c>
      <c r="D580" s="4" t="b">
        <f t="shared" si="1"/>
        <v>0</v>
      </c>
      <c r="E580" s="4"/>
    </row>
    <row r="581">
      <c r="A581" s="3" t="s">
        <v>694</v>
      </c>
      <c r="B581" s="3">
        <v>0.0</v>
      </c>
      <c r="C581" s="3" t="s">
        <v>6</v>
      </c>
      <c r="D581" s="4" t="b">
        <f t="shared" si="1"/>
        <v>0</v>
      </c>
      <c r="E581" s="4"/>
    </row>
    <row r="582">
      <c r="A582" s="3" t="s">
        <v>695</v>
      </c>
      <c r="B582" s="3">
        <v>0.0</v>
      </c>
      <c r="C582" s="3" t="s">
        <v>3</v>
      </c>
      <c r="D582" s="4" t="b">
        <f t="shared" si="1"/>
        <v>0</v>
      </c>
      <c r="E582" s="4"/>
    </row>
    <row r="583">
      <c r="A583" s="3" t="s">
        <v>696</v>
      </c>
      <c r="B583" s="3">
        <v>0.0</v>
      </c>
      <c r="C583" s="3" t="s">
        <v>3</v>
      </c>
      <c r="D583" s="4" t="b">
        <f t="shared" si="1"/>
        <v>0</v>
      </c>
      <c r="E583" s="4"/>
    </row>
    <row r="584">
      <c r="A584" s="3" t="s">
        <v>697</v>
      </c>
      <c r="B584" s="3">
        <v>115000.0</v>
      </c>
      <c r="C584" s="4"/>
      <c r="D584" s="4" t="b">
        <f t="shared" si="1"/>
        <v>0</v>
      </c>
      <c r="E584" s="4"/>
    </row>
    <row r="585">
      <c r="A585" s="3" t="s">
        <v>699</v>
      </c>
      <c r="B585" s="3">
        <v>0.0</v>
      </c>
      <c r="C585" s="3" t="s">
        <v>3</v>
      </c>
      <c r="D585" s="4" t="b">
        <f t="shared" si="1"/>
        <v>0</v>
      </c>
      <c r="E585" s="4"/>
    </row>
    <row r="586">
      <c r="A586" s="3" t="s">
        <v>700</v>
      </c>
      <c r="B586" s="3">
        <v>1080.0</v>
      </c>
      <c r="C586" s="4"/>
      <c r="D586" s="4" t="b">
        <f t="shared" si="1"/>
        <v>0</v>
      </c>
      <c r="E586" s="4"/>
    </row>
    <row r="587">
      <c r="A587" s="3" t="s">
        <v>702</v>
      </c>
      <c r="B587" s="3">
        <v>7300.0</v>
      </c>
      <c r="C587" s="3" t="s">
        <v>32</v>
      </c>
      <c r="D587" s="4" t="b">
        <f t="shared" si="1"/>
        <v>0</v>
      </c>
      <c r="E587" s="4"/>
    </row>
    <row r="588">
      <c r="A588" s="3" t="s">
        <v>704</v>
      </c>
      <c r="B588" s="3">
        <v>2000.0</v>
      </c>
      <c r="C588" s="4"/>
      <c r="D588" s="4" t="b">
        <f t="shared" si="1"/>
        <v>0</v>
      </c>
      <c r="E588" s="4"/>
    </row>
    <row r="589">
      <c r="A589" s="3" t="s">
        <v>705</v>
      </c>
      <c r="B589" s="3">
        <v>900.0</v>
      </c>
      <c r="C589" s="4"/>
      <c r="D589" s="4" t="b">
        <f t="shared" si="1"/>
        <v>0</v>
      </c>
      <c r="E589" s="4"/>
    </row>
    <row r="590">
      <c r="A590" s="3" t="s">
        <v>707</v>
      </c>
      <c r="B590" s="3">
        <v>0.0</v>
      </c>
      <c r="C590" s="3" t="s">
        <v>3</v>
      </c>
      <c r="D590" s="4" t="b">
        <f t="shared" si="1"/>
        <v>0</v>
      </c>
      <c r="E590" s="4"/>
    </row>
    <row r="591">
      <c r="A591" s="3" t="s">
        <v>708</v>
      </c>
      <c r="B591" s="4"/>
      <c r="C591" s="4"/>
      <c r="D591" s="4" t="b">
        <f t="shared" si="1"/>
        <v>1</v>
      </c>
      <c r="E591" s="4"/>
    </row>
    <row r="592">
      <c r="A592" s="3" t="s">
        <v>709</v>
      </c>
      <c r="B592" s="3">
        <v>0.0</v>
      </c>
      <c r="C592" s="3" t="s">
        <v>29</v>
      </c>
      <c r="D592" s="4" t="b">
        <f t="shared" si="1"/>
        <v>0</v>
      </c>
      <c r="E592" s="4"/>
    </row>
    <row r="593">
      <c r="A593" s="3" t="s">
        <v>710</v>
      </c>
      <c r="B593" s="3">
        <v>0.0</v>
      </c>
      <c r="C593" s="3" t="s">
        <v>6</v>
      </c>
      <c r="D593" s="4" t="b">
        <f t="shared" si="1"/>
        <v>0</v>
      </c>
      <c r="E593" s="4"/>
    </row>
    <row r="594">
      <c r="A594" s="3" t="s">
        <v>711</v>
      </c>
      <c r="B594" s="3">
        <v>0.0</v>
      </c>
      <c r="C594" s="3" t="s">
        <v>3</v>
      </c>
      <c r="D594" s="4" t="b">
        <f t="shared" si="1"/>
        <v>0</v>
      </c>
      <c r="E594" s="4"/>
    </row>
    <row r="595">
      <c r="A595" s="3" t="s">
        <v>712</v>
      </c>
      <c r="B595" s="3">
        <v>81568.0</v>
      </c>
      <c r="C595" s="4"/>
      <c r="D595" s="4" t="b">
        <f t="shared" si="1"/>
        <v>0</v>
      </c>
      <c r="E595" s="4"/>
    </row>
    <row r="596">
      <c r="A596" s="3" t="s">
        <v>714</v>
      </c>
      <c r="B596" s="3">
        <v>0.0</v>
      </c>
      <c r="C596" s="3" t="s">
        <v>6</v>
      </c>
      <c r="D596" s="4" t="b">
        <f t="shared" si="1"/>
        <v>0</v>
      </c>
      <c r="E596" s="4"/>
    </row>
    <row r="597">
      <c r="A597" s="3" t="s">
        <v>715</v>
      </c>
      <c r="B597" s="3">
        <v>15000.0</v>
      </c>
      <c r="C597" s="4"/>
      <c r="D597" s="4" t="b">
        <f t="shared" si="1"/>
        <v>0</v>
      </c>
      <c r="E597" s="4"/>
    </row>
    <row r="598">
      <c r="A598" s="3" t="s">
        <v>716</v>
      </c>
      <c r="B598" s="3">
        <v>3000.0</v>
      </c>
      <c r="C598" s="3" t="s">
        <v>32</v>
      </c>
      <c r="D598" s="4" t="b">
        <f t="shared" si="1"/>
        <v>0</v>
      </c>
      <c r="E598" s="4"/>
    </row>
    <row r="599">
      <c r="A599" s="3" t="s">
        <v>717</v>
      </c>
      <c r="B599" s="3">
        <v>5750.0</v>
      </c>
      <c r="C599" s="3" t="s">
        <v>3</v>
      </c>
      <c r="D599" s="4" t="b">
        <f t="shared" si="1"/>
        <v>0</v>
      </c>
      <c r="E599" s="4"/>
    </row>
    <row r="600">
      <c r="A600" s="3" t="s">
        <v>719</v>
      </c>
      <c r="B600" s="3">
        <v>0.0</v>
      </c>
      <c r="C600" s="3" t="s">
        <v>29</v>
      </c>
      <c r="D600" s="4" t="b">
        <f t="shared" si="1"/>
        <v>0</v>
      </c>
      <c r="E600" s="4"/>
    </row>
    <row r="601">
      <c r="A601" s="3" t="s">
        <v>720</v>
      </c>
      <c r="B601" s="3">
        <v>2000.0</v>
      </c>
      <c r="C601" s="4"/>
      <c r="D601" s="4" t="b">
        <f t="shared" si="1"/>
        <v>0</v>
      </c>
      <c r="E601" s="4"/>
    </row>
    <row r="602">
      <c r="A602" s="3" t="s">
        <v>721</v>
      </c>
      <c r="B602" s="3">
        <v>0.0</v>
      </c>
      <c r="C602" s="3" t="s">
        <v>3</v>
      </c>
      <c r="D602" s="4" t="b">
        <f t="shared" si="1"/>
        <v>0</v>
      </c>
      <c r="E602" s="4"/>
    </row>
    <row r="603">
      <c r="A603" s="3" t="s">
        <v>722</v>
      </c>
      <c r="B603" s="3">
        <v>11620.0</v>
      </c>
      <c r="C603" s="4"/>
      <c r="D603" s="4" t="b">
        <f t="shared" si="1"/>
        <v>0</v>
      </c>
      <c r="E603" s="4"/>
    </row>
    <row r="604">
      <c r="A604" s="3" t="s">
        <v>724</v>
      </c>
      <c r="B604" s="3">
        <v>0.0</v>
      </c>
      <c r="C604" s="3" t="s">
        <v>29</v>
      </c>
      <c r="D604" s="4" t="b">
        <f t="shared" si="1"/>
        <v>0</v>
      </c>
      <c r="E604" s="4"/>
    </row>
    <row r="605">
      <c r="A605" s="3" t="s">
        <v>725</v>
      </c>
      <c r="B605" s="3">
        <v>30000.0</v>
      </c>
      <c r="C605" s="3" t="s">
        <v>6</v>
      </c>
      <c r="D605" s="4" t="b">
        <f t="shared" si="1"/>
        <v>0</v>
      </c>
      <c r="E605" s="4"/>
    </row>
    <row r="606">
      <c r="A606" s="3" t="s">
        <v>726</v>
      </c>
      <c r="B606" s="3">
        <v>10000.0</v>
      </c>
      <c r="C606" s="3" t="s">
        <v>3</v>
      </c>
      <c r="D606" s="4" t="b">
        <f t="shared" si="1"/>
        <v>0</v>
      </c>
      <c r="E606" s="4"/>
    </row>
    <row r="607">
      <c r="A607" s="3" t="s">
        <v>727</v>
      </c>
      <c r="B607" s="4"/>
      <c r="C607" s="4"/>
      <c r="D607" s="4" t="b">
        <f t="shared" si="1"/>
        <v>1</v>
      </c>
      <c r="E607" s="4"/>
    </row>
    <row r="608">
      <c r="A608" s="3" t="s">
        <v>728</v>
      </c>
      <c r="B608" s="3">
        <v>0.0</v>
      </c>
      <c r="C608" s="3" t="s">
        <v>3</v>
      </c>
      <c r="D608" s="4" t="b">
        <f t="shared" si="1"/>
        <v>0</v>
      </c>
      <c r="E608" s="4"/>
    </row>
    <row r="609">
      <c r="A609" s="3" t="s">
        <v>729</v>
      </c>
      <c r="B609" s="3">
        <v>49000.0</v>
      </c>
      <c r="C609" s="3" t="s">
        <v>32</v>
      </c>
      <c r="D609" s="4" t="b">
        <f t="shared" si="1"/>
        <v>0</v>
      </c>
      <c r="E609" s="4"/>
    </row>
    <row r="610">
      <c r="A610" s="3" t="s">
        <v>731</v>
      </c>
      <c r="B610" s="3">
        <v>0.0</v>
      </c>
      <c r="C610" s="3" t="s">
        <v>3</v>
      </c>
      <c r="D610" s="4" t="b">
        <f t="shared" si="1"/>
        <v>0</v>
      </c>
      <c r="E610" s="4"/>
    </row>
    <row r="611">
      <c r="A611" s="3" t="s">
        <v>732</v>
      </c>
      <c r="B611" s="3">
        <v>7000.0</v>
      </c>
      <c r="C611" s="4"/>
      <c r="D611" s="4" t="b">
        <f t="shared" si="1"/>
        <v>0</v>
      </c>
      <c r="E611" s="4"/>
    </row>
    <row r="612">
      <c r="A612" s="3" t="s">
        <v>733</v>
      </c>
      <c r="B612" s="4"/>
      <c r="C612" s="4"/>
      <c r="D612" s="4" t="b">
        <f t="shared" si="1"/>
        <v>1</v>
      </c>
      <c r="E612" s="4"/>
    </row>
    <row r="613">
      <c r="A613" s="3" t="s">
        <v>734</v>
      </c>
      <c r="B613" s="3">
        <v>0.0</v>
      </c>
      <c r="C613" s="3" t="s">
        <v>3</v>
      </c>
      <c r="D613" s="4" t="b">
        <f t="shared" si="1"/>
        <v>0</v>
      </c>
      <c r="E613" s="4"/>
    </row>
    <row r="614">
      <c r="A614" s="3" t="s">
        <v>735</v>
      </c>
      <c r="B614" s="4"/>
      <c r="C614" s="4"/>
      <c r="D614" s="4" t="b">
        <f t="shared" si="1"/>
        <v>1</v>
      </c>
      <c r="E614" s="4"/>
    </row>
    <row r="615">
      <c r="A615" s="3" t="s">
        <v>736</v>
      </c>
      <c r="B615" s="3">
        <v>0.0</v>
      </c>
      <c r="C615" s="3" t="s">
        <v>3</v>
      </c>
      <c r="D615" s="4" t="b">
        <f t="shared" si="1"/>
        <v>0</v>
      </c>
      <c r="E615" s="4"/>
    </row>
    <row r="616">
      <c r="A616" s="3" t="s">
        <v>737</v>
      </c>
      <c r="B616" s="3">
        <v>11500.0</v>
      </c>
      <c r="C616" s="3" t="s">
        <v>3</v>
      </c>
      <c r="D616" s="4" t="b">
        <f t="shared" si="1"/>
        <v>0</v>
      </c>
      <c r="E616" s="4"/>
    </row>
    <row r="617">
      <c r="A617" s="3" t="s">
        <v>738</v>
      </c>
      <c r="B617" s="4"/>
      <c r="C617" s="4"/>
      <c r="D617" s="4" t="b">
        <f t="shared" si="1"/>
        <v>1</v>
      </c>
      <c r="E617" s="4"/>
    </row>
    <row r="618">
      <c r="A618" s="3" t="s">
        <v>739</v>
      </c>
      <c r="B618" s="3">
        <v>0.0</v>
      </c>
      <c r="C618" s="3" t="s">
        <v>3</v>
      </c>
      <c r="D618" s="4" t="b">
        <f t="shared" si="1"/>
        <v>0</v>
      </c>
      <c r="E618" s="4"/>
    </row>
    <row r="619">
      <c r="A619" s="3" t="s">
        <v>740</v>
      </c>
      <c r="B619" s="4"/>
      <c r="C619" s="4"/>
      <c r="D619" s="4" t="b">
        <f t="shared" si="1"/>
        <v>1</v>
      </c>
      <c r="E619" s="4"/>
    </row>
    <row r="620">
      <c r="A620" s="3" t="s">
        <v>741</v>
      </c>
      <c r="B620" s="3">
        <v>1300.0</v>
      </c>
      <c r="C620" s="3" t="s">
        <v>3</v>
      </c>
      <c r="D620" s="4" t="b">
        <f t="shared" si="1"/>
        <v>0</v>
      </c>
      <c r="E620" s="4"/>
    </row>
    <row r="621">
      <c r="A621" s="3" t="s">
        <v>743</v>
      </c>
      <c r="B621" s="4"/>
      <c r="C621" s="4"/>
      <c r="D621" s="4" t="b">
        <f t="shared" si="1"/>
        <v>1</v>
      </c>
      <c r="E621" s="4"/>
    </row>
    <row r="622">
      <c r="A622" s="3" t="s">
        <v>744</v>
      </c>
      <c r="B622" s="3">
        <v>0.0</v>
      </c>
      <c r="C622" s="3" t="s">
        <v>3</v>
      </c>
      <c r="D622" s="4" t="b">
        <f t="shared" si="1"/>
        <v>0</v>
      </c>
      <c r="E622" s="4"/>
    </row>
    <row r="623">
      <c r="A623" s="3" t="s">
        <v>745</v>
      </c>
      <c r="B623" s="3">
        <v>8200.0</v>
      </c>
      <c r="C623" s="3" t="s">
        <v>3</v>
      </c>
      <c r="D623" s="4" t="b">
        <f t="shared" si="1"/>
        <v>0</v>
      </c>
      <c r="E623" s="4"/>
    </row>
    <row r="624">
      <c r="A624" s="3" t="s">
        <v>747</v>
      </c>
      <c r="B624" s="3">
        <v>0.0</v>
      </c>
      <c r="C624" s="3" t="s">
        <v>3</v>
      </c>
      <c r="D624" s="4" t="b">
        <f t="shared" si="1"/>
        <v>0</v>
      </c>
      <c r="E624" s="4"/>
    </row>
    <row r="625">
      <c r="A625" s="3" t="s">
        <v>748</v>
      </c>
      <c r="B625" s="3">
        <v>0.0</v>
      </c>
      <c r="C625" s="3" t="s">
        <v>32</v>
      </c>
      <c r="D625" s="4" t="b">
        <f t="shared" si="1"/>
        <v>0</v>
      </c>
      <c r="E625" s="4"/>
    </row>
    <row r="626">
      <c r="A626" s="3" t="s">
        <v>749</v>
      </c>
      <c r="B626" s="3">
        <v>0.0</v>
      </c>
      <c r="C626" s="3" t="s">
        <v>6</v>
      </c>
      <c r="D626" s="4" t="b">
        <f t="shared" si="1"/>
        <v>0</v>
      </c>
      <c r="E626" s="4"/>
    </row>
    <row r="627">
      <c r="A627" s="3" t="s">
        <v>750</v>
      </c>
      <c r="B627" s="3">
        <v>1000.0</v>
      </c>
      <c r="C627" s="4"/>
      <c r="D627" s="4" t="b">
        <f t="shared" si="1"/>
        <v>0</v>
      </c>
      <c r="E627" s="4"/>
    </row>
    <row r="628">
      <c r="A628" s="3" t="s">
        <v>751</v>
      </c>
      <c r="B628" s="3">
        <v>20500.0</v>
      </c>
      <c r="C628" s="3" t="s">
        <v>280</v>
      </c>
      <c r="D628" s="4" t="b">
        <f t="shared" si="1"/>
        <v>0</v>
      </c>
      <c r="E628" s="4"/>
    </row>
    <row r="629">
      <c r="A629" s="3" t="s">
        <v>753</v>
      </c>
      <c r="B629" s="3">
        <v>0.0</v>
      </c>
      <c r="C629" s="3" t="s">
        <v>3</v>
      </c>
      <c r="D629" s="4" t="b">
        <f t="shared" si="1"/>
        <v>0</v>
      </c>
      <c r="E629" s="4"/>
    </row>
    <row r="630">
      <c r="A630" s="3" t="s">
        <v>754</v>
      </c>
      <c r="B630" s="4"/>
      <c r="C630" s="4"/>
      <c r="D630" s="4" t="b">
        <f t="shared" si="1"/>
        <v>1</v>
      </c>
      <c r="E630" s="4"/>
    </row>
    <row r="631">
      <c r="A631" s="3" t="s">
        <v>755</v>
      </c>
      <c r="B631" s="3">
        <v>7000.0</v>
      </c>
      <c r="C631" s="3" t="s">
        <v>3</v>
      </c>
      <c r="D631" s="4" t="b">
        <f t="shared" si="1"/>
        <v>0</v>
      </c>
      <c r="E631" s="4"/>
    </row>
    <row r="632">
      <c r="A632" s="3" t="s">
        <v>756</v>
      </c>
      <c r="B632" s="3">
        <v>10000.0</v>
      </c>
      <c r="C632" s="4"/>
      <c r="D632" s="4" t="b">
        <f t="shared" si="1"/>
        <v>0</v>
      </c>
      <c r="E632" s="4"/>
    </row>
    <row r="633">
      <c r="A633" s="3" t="s">
        <v>757</v>
      </c>
      <c r="B633" s="3">
        <v>14800.0</v>
      </c>
      <c r="C633" s="4"/>
      <c r="D633" s="4" t="b">
        <f t="shared" si="1"/>
        <v>0</v>
      </c>
      <c r="E633" s="4"/>
    </row>
    <row r="634">
      <c r="A634" s="3" t="s">
        <v>759</v>
      </c>
      <c r="B634" s="3">
        <v>461165.0</v>
      </c>
      <c r="C634" s="3" t="s">
        <v>37</v>
      </c>
      <c r="D634" s="4" t="b">
        <f t="shared" si="1"/>
        <v>0</v>
      </c>
      <c r="E634" s="4"/>
    </row>
    <row r="635">
      <c r="A635" s="4"/>
      <c r="B635" s="4"/>
      <c r="C635" s="3" t="s">
        <v>38</v>
      </c>
      <c r="D635" s="4" t="b">
        <f t="shared" si="1"/>
        <v>1</v>
      </c>
      <c r="E635" s="4"/>
    </row>
    <row r="636">
      <c r="A636" s="3" t="s">
        <v>761</v>
      </c>
      <c r="B636" s="3">
        <v>2500.0</v>
      </c>
      <c r="C636" s="4"/>
      <c r="D636" s="4" t="b">
        <f t="shared" si="1"/>
        <v>0</v>
      </c>
      <c r="E636" s="4"/>
    </row>
    <row r="637">
      <c r="A637" s="3" t="s">
        <v>762</v>
      </c>
      <c r="B637" s="3">
        <v>0.0</v>
      </c>
      <c r="C637" s="3" t="s">
        <v>3</v>
      </c>
      <c r="D637" s="4" t="b">
        <f t="shared" si="1"/>
        <v>0</v>
      </c>
      <c r="E637" s="4"/>
    </row>
    <row r="638">
      <c r="A638" s="3" t="s">
        <v>763</v>
      </c>
      <c r="B638" s="3">
        <v>0.0</v>
      </c>
      <c r="C638" s="3" t="s">
        <v>3</v>
      </c>
      <c r="D638" s="4" t="b">
        <f t="shared" si="1"/>
        <v>0</v>
      </c>
      <c r="E638" s="4"/>
    </row>
    <row r="639">
      <c r="A639" s="3" t="s">
        <v>764</v>
      </c>
      <c r="B639" s="3">
        <v>150.0</v>
      </c>
      <c r="C639" s="3" t="s">
        <v>3</v>
      </c>
      <c r="D639" s="4" t="b">
        <f t="shared" si="1"/>
        <v>0</v>
      </c>
      <c r="E639" s="4"/>
    </row>
    <row r="640">
      <c r="A640" s="3" t="s">
        <v>766</v>
      </c>
      <c r="B640" s="3">
        <v>0.0</v>
      </c>
      <c r="C640" s="3" t="s">
        <v>3</v>
      </c>
      <c r="D640" s="4" t="b">
        <f t="shared" si="1"/>
        <v>0</v>
      </c>
      <c r="E640" s="4"/>
    </row>
    <row r="641">
      <c r="A641" s="3" t="s">
        <v>767</v>
      </c>
      <c r="B641" s="3">
        <v>0.0</v>
      </c>
      <c r="C641" s="3" t="s">
        <v>3</v>
      </c>
      <c r="D641" s="4" t="b">
        <f t="shared" si="1"/>
        <v>0</v>
      </c>
      <c r="E641" s="4"/>
    </row>
    <row r="642">
      <c r="A642" s="3" t="s">
        <v>768</v>
      </c>
      <c r="B642" s="3">
        <v>0.0</v>
      </c>
      <c r="C642" s="3" t="s">
        <v>3</v>
      </c>
      <c r="D642" s="4" t="b">
        <f t="shared" si="1"/>
        <v>0</v>
      </c>
      <c r="E642" s="4"/>
    </row>
    <row r="643">
      <c r="A643" s="3" t="s">
        <v>769</v>
      </c>
      <c r="B643" s="3">
        <v>0.0</v>
      </c>
      <c r="C643" s="3" t="s">
        <v>3</v>
      </c>
      <c r="D643" s="4" t="b">
        <f t="shared" si="1"/>
        <v>0</v>
      </c>
      <c r="E643" s="4"/>
    </row>
    <row r="644">
      <c r="A644" s="3" t="s">
        <v>770</v>
      </c>
      <c r="B644" s="3">
        <v>0.0</v>
      </c>
      <c r="C644" s="3" t="s">
        <v>3</v>
      </c>
      <c r="D644" s="4" t="b">
        <f t="shared" si="1"/>
        <v>0</v>
      </c>
      <c r="E644" s="4"/>
    </row>
    <row r="645">
      <c r="A645" s="3" t="s">
        <v>771</v>
      </c>
      <c r="B645" s="3">
        <v>0.0</v>
      </c>
      <c r="C645" s="3" t="s">
        <v>3</v>
      </c>
      <c r="D645" s="4" t="b">
        <f t="shared" si="1"/>
        <v>0</v>
      </c>
      <c r="E645" s="4"/>
    </row>
    <row r="646">
      <c r="A646" s="3" t="s">
        <v>772</v>
      </c>
      <c r="B646" s="3">
        <v>0.0</v>
      </c>
      <c r="C646" s="3" t="s">
        <v>3</v>
      </c>
      <c r="D646" s="4" t="b">
        <f t="shared" si="1"/>
        <v>0</v>
      </c>
      <c r="E646" s="4"/>
    </row>
    <row r="647">
      <c r="A647" s="3" t="s">
        <v>773</v>
      </c>
      <c r="B647" s="3">
        <v>0.0</v>
      </c>
      <c r="C647" s="3" t="s">
        <v>3</v>
      </c>
      <c r="D647" s="4" t="b">
        <f t="shared" si="1"/>
        <v>0</v>
      </c>
      <c r="E647" s="4"/>
    </row>
    <row r="648">
      <c r="A648" s="3" t="s">
        <v>774</v>
      </c>
      <c r="B648" s="3">
        <v>57500.0</v>
      </c>
      <c r="C648" s="3" t="s">
        <v>280</v>
      </c>
      <c r="D648" s="4" t="b">
        <f t="shared" si="1"/>
        <v>0</v>
      </c>
      <c r="E648" s="4"/>
    </row>
    <row r="649">
      <c r="A649" s="3" t="s">
        <v>776</v>
      </c>
      <c r="B649" s="3">
        <v>0.0</v>
      </c>
      <c r="C649" s="3" t="s">
        <v>3</v>
      </c>
      <c r="D649" s="4" t="b">
        <f t="shared" si="1"/>
        <v>0</v>
      </c>
      <c r="E649" s="4"/>
    </row>
    <row r="650">
      <c r="A650" s="3" t="s">
        <v>777</v>
      </c>
      <c r="B650" s="4"/>
      <c r="C650" s="4"/>
      <c r="D650" s="4" t="b">
        <f t="shared" si="1"/>
        <v>1</v>
      </c>
      <c r="E650" s="4"/>
    </row>
    <row r="651">
      <c r="A651" s="3" t="s">
        <v>778</v>
      </c>
      <c r="B651" s="3">
        <v>800.0</v>
      </c>
      <c r="C651" s="3" t="s">
        <v>32</v>
      </c>
      <c r="D651" s="4" t="b">
        <f t="shared" si="1"/>
        <v>0</v>
      </c>
      <c r="E651" s="4"/>
    </row>
    <row r="652">
      <c r="A652" s="3" t="s">
        <v>779</v>
      </c>
      <c r="B652" s="3">
        <v>800.0</v>
      </c>
      <c r="C652" s="4"/>
      <c r="D652" s="4" t="b">
        <f t="shared" si="1"/>
        <v>0</v>
      </c>
      <c r="E652" s="4"/>
    </row>
    <row r="653">
      <c r="A653" s="3" t="s">
        <v>780</v>
      </c>
      <c r="B653" s="3">
        <v>2000.0</v>
      </c>
      <c r="C653" s="4"/>
      <c r="D653" s="4" t="b">
        <f t="shared" si="1"/>
        <v>0</v>
      </c>
      <c r="E653" s="4"/>
    </row>
    <row r="654">
      <c r="A654" s="3" t="s">
        <v>781</v>
      </c>
      <c r="B654" s="3">
        <v>0.0</v>
      </c>
      <c r="C654" s="3" t="s">
        <v>6</v>
      </c>
      <c r="D654" s="4" t="b">
        <f t="shared" si="1"/>
        <v>0</v>
      </c>
      <c r="E654" s="4"/>
    </row>
    <row r="655">
      <c r="A655" s="3" t="s">
        <v>782</v>
      </c>
      <c r="B655" s="3">
        <v>0.0</v>
      </c>
      <c r="C655" s="3" t="s">
        <v>3</v>
      </c>
      <c r="D655" s="4" t="b">
        <f t="shared" si="1"/>
        <v>0</v>
      </c>
      <c r="E655" s="4"/>
    </row>
    <row r="656">
      <c r="A656" s="3" t="s">
        <v>783</v>
      </c>
      <c r="B656" s="3">
        <v>0.0</v>
      </c>
      <c r="C656" s="3" t="s">
        <v>29</v>
      </c>
      <c r="D656" s="4" t="b">
        <f t="shared" si="1"/>
        <v>0</v>
      </c>
      <c r="E656" s="4"/>
    </row>
    <row r="657">
      <c r="A657" s="3" t="s">
        <v>784</v>
      </c>
      <c r="B657" s="3">
        <v>1500.0</v>
      </c>
      <c r="C657" s="4"/>
      <c r="D657" s="4" t="b">
        <f t="shared" si="1"/>
        <v>0</v>
      </c>
      <c r="E657" s="4"/>
    </row>
    <row r="658">
      <c r="A658" s="3" t="s">
        <v>785</v>
      </c>
      <c r="B658" s="3">
        <v>3000.0</v>
      </c>
      <c r="C658" s="4"/>
      <c r="D658" s="4" t="b">
        <f t="shared" si="1"/>
        <v>0</v>
      </c>
      <c r="E658" s="4"/>
    </row>
    <row r="659">
      <c r="A659" s="3" t="s">
        <v>786</v>
      </c>
      <c r="B659" s="3">
        <v>32500.0</v>
      </c>
      <c r="C659" s="4"/>
      <c r="D659" s="4" t="b">
        <f t="shared" si="1"/>
        <v>0</v>
      </c>
      <c r="E659" s="4"/>
    </row>
    <row r="660">
      <c r="A660" s="3" t="s">
        <v>788</v>
      </c>
      <c r="B660" s="3">
        <v>3000.0</v>
      </c>
      <c r="C660" s="3" t="s">
        <v>3</v>
      </c>
      <c r="D660" s="4" t="b">
        <f t="shared" si="1"/>
        <v>0</v>
      </c>
      <c r="E660" s="4"/>
    </row>
    <row r="661">
      <c r="A661" s="3" t="s">
        <v>789</v>
      </c>
      <c r="B661" s="3">
        <v>0.0</v>
      </c>
      <c r="C661" s="3" t="s">
        <v>3</v>
      </c>
      <c r="D661" s="4" t="b">
        <f t="shared" si="1"/>
        <v>0</v>
      </c>
      <c r="E661" s="4"/>
    </row>
    <row r="662">
      <c r="A662" s="3" t="s">
        <v>790</v>
      </c>
      <c r="B662" s="3">
        <v>19000.0</v>
      </c>
      <c r="C662" s="4"/>
      <c r="D662" s="4" t="b">
        <f t="shared" si="1"/>
        <v>0</v>
      </c>
      <c r="E662" s="4"/>
    </row>
    <row r="663">
      <c r="A663" s="3" t="s">
        <v>791</v>
      </c>
      <c r="B663" s="3">
        <v>0.0</v>
      </c>
      <c r="C663" s="3" t="s">
        <v>3</v>
      </c>
      <c r="D663" s="4" t="b">
        <f t="shared" si="1"/>
        <v>0</v>
      </c>
      <c r="E663" s="4"/>
    </row>
    <row r="664">
      <c r="A664" s="3" t="s">
        <v>792</v>
      </c>
      <c r="B664" s="3">
        <v>0.0</v>
      </c>
      <c r="C664" s="3" t="s">
        <v>3</v>
      </c>
      <c r="D664" s="4" t="b">
        <f t="shared" si="1"/>
        <v>0</v>
      </c>
      <c r="E664" s="4"/>
    </row>
    <row r="665">
      <c r="A665" s="3" t="s">
        <v>793</v>
      </c>
      <c r="B665" s="3">
        <v>6000.0</v>
      </c>
      <c r="C665" s="4"/>
      <c r="D665" s="4" t="b">
        <f t="shared" si="1"/>
        <v>0</v>
      </c>
      <c r="E665" s="4"/>
    </row>
    <row r="666">
      <c r="A666" s="3" t="s">
        <v>794</v>
      </c>
      <c r="B666" s="3">
        <v>0.0</v>
      </c>
      <c r="C666" s="3" t="s">
        <v>3</v>
      </c>
      <c r="D666" s="4" t="b">
        <f t="shared" si="1"/>
        <v>0</v>
      </c>
      <c r="E666" s="4"/>
    </row>
    <row r="667">
      <c r="A667" s="3" t="s">
        <v>795</v>
      </c>
      <c r="B667" s="3">
        <v>0.0</v>
      </c>
      <c r="C667" s="3" t="s">
        <v>3</v>
      </c>
      <c r="D667" s="4" t="b">
        <f t="shared" si="1"/>
        <v>0</v>
      </c>
      <c r="E667" s="4"/>
    </row>
    <row r="668">
      <c r="A668" s="3" t="s">
        <v>796</v>
      </c>
      <c r="B668" s="3">
        <v>0.0</v>
      </c>
      <c r="C668" s="3" t="s">
        <v>3</v>
      </c>
      <c r="D668" s="4" t="b">
        <f t="shared" si="1"/>
        <v>0</v>
      </c>
      <c r="E668" s="4"/>
    </row>
    <row r="669">
      <c r="A669" s="3" t="s">
        <v>797</v>
      </c>
      <c r="B669" s="3">
        <v>3000.0</v>
      </c>
      <c r="C669" s="3" t="s">
        <v>32</v>
      </c>
      <c r="D669" s="4" t="b">
        <f t="shared" si="1"/>
        <v>0</v>
      </c>
      <c r="E669" s="4"/>
    </row>
    <row r="670">
      <c r="A670" s="3" t="s">
        <v>798</v>
      </c>
      <c r="B670" s="3">
        <v>0.0</v>
      </c>
      <c r="C670" s="3" t="s">
        <v>29</v>
      </c>
      <c r="D670" s="4" t="b">
        <f t="shared" si="1"/>
        <v>0</v>
      </c>
      <c r="E670" s="4"/>
    </row>
    <row r="671">
      <c r="A671" s="3" t="s">
        <v>799</v>
      </c>
      <c r="B671" s="3">
        <v>0.0</v>
      </c>
      <c r="C671" s="3" t="s">
        <v>29</v>
      </c>
      <c r="D671" s="4" t="b">
        <f t="shared" si="1"/>
        <v>0</v>
      </c>
      <c r="E671" s="4"/>
    </row>
    <row r="672">
      <c r="A672" s="3" t="s">
        <v>800</v>
      </c>
      <c r="B672" s="3">
        <v>243834.0</v>
      </c>
      <c r="C672" s="3" t="s">
        <v>37</v>
      </c>
      <c r="D672" s="4" t="b">
        <f t="shared" si="1"/>
        <v>0</v>
      </c>
      <c r="E672" s="4"/>
    </row>
    <row r="673">
      <c r="A673" s="4"/>
      <c r="B673" s="4"/>
      <c r="C673" s="3" t="s">
        <v>38</v>
      </c>
      <c r="D673" s="4" t="b">
        <f t="shared" si="1"/>
        <v>1</v>
      </c>
      <c r="E673" s="4"/>
    </row>
    <row r="674">
      <c r="A674" s="3" t="s">
        <v>802</v>
      </c>
      <c r="B674" s="3">
        <v>0.0</v>
      </c>
      <c r="C674" s="3" t="s">
        <v>3</v>
      </c>
      <c r="D674" s="4" t="b">
        <f t="shared" si="1"/>
        <v>0</v>
      </c>
      <c r="E674" s="4"/>
    </row>
    <row r="675">
      <c r="A675" s="3" t="s">
        <v>803</v>
      </c>
      <c r="B675" s="3">
        <v>0.0</v>
      </c>
      <c r="C675" s="3" t="s">
        <v>3</v>
      </c>
      <c r="D675" s="4" t="b">
        <f t="shared" si="1"/>
        <v>0</v>
      </c>
      <c r="E675" s="4"/>
    </row>
    <row r="676">
      <c r="A676" s="3" t="s">
        <v>804</v>
      </c>
      <c r="B676" s="3">
        <v>0.0</v>
      </c>
      <c r="C676" s="3" t="s">
        <v>32</v>
      </c>
      <c r="D676" s="4" t="b">
        <f t="shared" si="1"/>
        <v>0</v>
      </c>
      <c r="E676" s="4"/>
    </row>
    <row r="677">
      <c r="A677" s="3" t="s">
        <v>805</v>
      </c>
      <c r="B677" s="3">
        <v>0.0</v>
      </c>
      <c r="C677" s="3" t="s">
        <v>6</v>
      </c>
      <c r="D677" s="4" t="b">
        <f t="shared" si="1"/>
        <v>0</v>
      </c>
      <c r="E677" s="4"/>
    </row>
    <row r="678">
      <c r="A678" s="3" t="s">
        <v>806</v>
      </c>
      <c r="B678" s="3">
        <v>1500.0</v>
      </c>
      <c r="C678" s="4"/>
      <c r="D678" s="4" t="b">
        <f t="shared" si="1"/>
        <v>0</v>
      </c>
      <c r="E678" s="4"/>
    </row>
    <row r="679">
      <c r="A679" s="3" t="s">
        <v>807</v>
      </c>
      <c r="B679" s="3">
        <v>0.0</v>
      </c>
      <c r="C679" s="3" t="s">
        <v>484</v>
      </c>
      <c r="D679" s="4" t="b">
        <f t="shared" si="1"/>
        <v>0</v>
      </c>
      <c r="E679" s="4"/>
    </row>
    <row r="680">
      <c r="A680" s="3" t="s">
        <v>808</v>
      </c>
      <c r="B680" s="3">
        <v>0.0</v>
      </c>
      <c r="C680" s="3" t="s">
        <v>6</v>
      </c>
      <c r="D680" s="4" t="b">
        <f t="shared" si="1"/>
        <v>0</v>
      </c>
      <c r="E680" s="4"/>
    </row>
    <row r="681">
      <c r="A681" s="3" t="s">
        <v>809</v>
      </c>
      <c r="B681" s="3">
        <v>0.0</v>
      </c>
      <c r="C681" s="3" t="s">
        <v>29</v>
      </c>
      <c r="D681" s="4" t="b">
        <f t="shared" si="1"/>
        <v>0</v>
      </c>
      <c r="E681" s="4"/>
    </row>
    <row r="682">
      <c r="A682" s="3" t="s">
        <v>810</v>
      </c>
      <c r="B682" s="3">
        <v>0.0</v>
      </c>
      <c r="C682" s="3" t="s">
        <v>32</v>
      </c>
      <c r="D682" s="4" t="b">
        <f t="shared" si="1"/>
        <v>0</v>
      </c>
      <c r="E682" s="4"/>
    </row>
    <row r="683">
      <c r="A683" s="3" t="s">
        <v>811</v>
      </c>
      <c r="B683" s="3">
        <v>15800.0</v>
      </c>
      <c r="C683" s="3" t="s">
        <v>6</v>
      </c>
      <c r="D683" s="4" t="b">
        <f t="shared" si="1"/>
        <v>0</v>
      </c>
      <c r="E683" s="4"/>
    </row>
    <row r="684">
      <c r="A684" s="3" t="s">
        <v>813</v>
      </c>
      <c r="B684" s="3">
        <v>1700.0</v>
      </c>
      <c r="C684" s="4"/>
      <c r="D684" s="4" t="b">
        <f t="shared" si="1"/>
        <v>0</v>
      </c>
      <c r="E684" s="4"/>
    </row>
    <row r="685">
      <c r="A685" s="3" t="s">
        <v>814</v>
      </c>
      <c r="B685" s="3">
        <v>0.0</v>
      </c>
      <c r="C685" s="3" t="s">
        <v>3</v>
      </c>
      <c r="D685" s="4" t="b">
        <f t="shared" si="1"/>
        <v>0</v>
      </c>
      <c r="E685" s="4"/>
    </row>
    <row r="686">
      <c r="A686" s="3" t="s">
        <v>815</v>
      </c>
      <c r="B686" s="3">
        <v>0.0</v>
      </c>
      <c r="C686" s="3" t="s">
        <v>3</v>
      </c>
      <c r="D686" s="4" t="b">
        <f t="shared" si="1"/>
        <v>0</v>
      </c>
      <c r="E686" s="4"/>
    </row>
    <row r="687">
      <c r="A687" s="3" t="s">
        <v>816</v>
      </c>
      <c r="B687" s="3">
        <v>0.0</v>
      </c>
      <c r="C687" s="3" t="s">
        <v>3</v>
      </c>
      <c r="D687" s="4" t="b">
        <f t="shared" si="1"/>
        <v>0</v>
      </c>
      <c r="E687" s="4"/>
    </row>
    <row r="688">
      <c r="A688" s="3" t="s">
        <v>817</v>
      </c>
      <c r="B688" s="3">
        <v>1000.0</v>
      </c>
      <c r="C688" s="3" t="s">
        <v>3</v>
      </c>
      <c r="D688" s="4" t="b">
        <f t="shared" si="1"/>
        <v>0</v>
      </c>
      <c r="E688" s="4"/>
    </row>
    <row r="689">
      <c r="A689" s="3" t="s">
        <v>818</v>
      </c>
      <c r="B689" s="3">
        <v>0.0</v>
      </c>
      <c r="C689" s="3" t="s">
        <v>3</v>
      </c>
      <c r="D689" s="4" t="b">
        <f t="shared" si="1"/>
        <v>0</v>
      </c>
      <c r="E689" s="4"/>
    </row>
    <row r="690">
      <c r="A690" s="3" t="s">
        <v>819</v>
      </c>
      <c r="B690" s="3">
        <v>634600.0</v>
      </c>
      <c r="C690" s="3" t="s">
        <v>37</v>
      </c>
      <c r="D690" s="4" t="b">
        <f t="shared" si="1"/>
        <v>0</v>
      </c>
      <c r="E690" s="4"/>
    </row>
    <row r="691">
      <c r="A691" s="3" t="s">
        <v>821</v>
      </c>
      <c r="B691" s="4"/>
      <c r="C691" s="3" t="s">
        <v>38</v>
      </c>
      <c r="D691" s="4" t="b">
        <f t="shared" si="1"/>
        <v>1</v>
      </c>
      <c r="E691" s="4"/>
    </row>
    <row r="692">
      <c r="A692" s="3" t="s">
        <v>822</v>
      </c>
      <c r="B692" s="3">
        <v>5000.0</v>
      </c>
      <c r="C692" s="4"/>
      <c r="D692" s="4" t="b">
        <f t="shared" si="1"/>
        <v>0</v>
      </c>
      <c r="E692" s="4"/>
    </row>
    <row r="693">
      <c r="A693" s="3" t="s">
        <v>823</v>
      </c>
      <c r="B693" s="4"/>
      <c r="C693" s="4"/>
      <c r="D693" s="4" t="b">
        <f t="shared" si="1"/>
        <v>1</v>
      </c>
      <c r="E693" s="4"/>
    </row>
    <row r="694">
      <c r="A694" s="3" t="s">
        <v>824</v>
      </c>
      <c r="B694" s="3">
        <v>8800.0</v>
      </c>
      <c r="C694" s="4"/>
      <c r="D694" s="4" t="b">
        <f t="shared" si="1"/>
        <v>0</v>
      </c>
      <c r="E694" s="4"/>
    </row>
    <row r="695">
      <c r="A695" s="3" t="s">
        <v>826</v>
      </c>
      <c r="B695" s="3">
        <v>0.0</v>
      </c>
      <c r="C695" s="3" t="s">
        <v>668</v>
      </c>
      <c r="D695" s="4" t="b">
        <f t="shared" si="1"/>
        <v>0</v>
      </c>
      <c r="E695" s="4"/>
    </row>
    <row r="696">
      <c r="A696" s="3" t="s">
        <v>827</v>
      </c>
      <c r="B696" s="3">
        <v>0.0</v>
      </c>
      <c r="C696" s="3" t="s">
        <v>3</v>
      </c>
      <c r="D696" s="4" t="b">
        <f t="shared" si="1"/>
        <v>0</v>
      </c>
      <c r="E696" s="4"/>
    </row>
    <row r="697">
      <c r="A697" s="3" t="s">
        <v>828</v>
      </c>
      <c r="B697" s="4"/>
      <c r="C697" s="4"/>
      <c r="D697" s="4" t="b">
        <f t="shared" si="1"/>
        <v>1</v>
      </c>
      <c r="E697" s="4"/>
    </row>
    <row r="698">
      <c r="A698" s="3" t="s">
        <v>829</v>
      </c>
      <c r="B698" s="3">
        <v>0.0</v>
      </c>
      <c r="C698" s="3" t="s">
        <v>3</v>
      </c>
      <c r="D698" s="4" t="b">
        <f t="shared" si="1"/>
        <v>0</v>
      </c>
      <c r="E698" s="4"/>
    </row>
    <row r="699">
      <c r="A699" s="3" t="s">
        <v>830</v>
      </c>
      <c r="B699" s="3">
        <v>0.0</v>
      </c>
      <c r="C699" s="3" t="s">
        <v>3</v>
      </c>
      <c r="D699" s="4" t="b">
        <f t="shared" si="1"/>
        <v>0</v>
      </c>
      <c r="E699" s="4"/>
    </row>
    <row r="700">
      <c r="A700" s="3" t="s">
        <v>831</v>
      </c>
      <c r="B700" s="3">
        <v>100.0</v>
      </c>
      <c r="C700" s="3" t="s">
        <v>3</v>
      </c>
      <c r="D700" s="4" t="b">
        <f t="shared" si="1"/>
        <v>0</v>
      </c>
      <c r="E700" s="4"/>
    </row>
    <row r="701">
      <c r="A701" s="3" t="s">
        <v>833</v>
      </c>
      <c r="B701" s="3">
        <v>500.0</v>
      </c>
      <c r="C701" s="4"/>
      <c r="D701" s="4" t="b">
        <f t="shared" si="1"/>
        <v>0</v>
      </c>
      <c r="E701" s="4"/>
    </row>
    <row r="702">
      <c r="A702" s="3" t="s">
        <v>834</v>
      </c>
      <c r="B702" s="3">
        <v>28000.0</v>
      </c>
      <c r="C702" s="3" t="s">
        <v>6</v>
      </c>
      <c r="D702" s="4" t="b">
        <f t="shared" si="1"/>
        <v>0</v>
      </c>
      <c r="E702" s="4"/>
    </row>
    <row r="703">
      <c r="A703" s="3" t="s">
        <v>835</v>
      </c>
      <c r="B703" s="3">
        <v>0.0</v>
      </c>
      <c r="C703" s="3" t="s">
        <v>6</v>
      </c>
      <c r="D703" s="4" t="b">
        <f t="shared" si="1"/>
        <v>0</v>
      </c>
      <c r="E703" s="4"/>
    </row>
    <row r="704">
      <c r="A704" s="3" t="s">
        <v>836</v>
      </c>
      <c r="B704" s="4"/>
      <c r="C704" s="4"/>
      <c r="D704" s="4" t="b">
        <f t="shared" si="1"/>
        <v>1</v>
      </c>
      <c r="E704" s="4"/>
    </row>
    <row r="705">
      <c r="A705" s="3" t="s">
        <v>837</v>
      </c>
      <c r="B705" s="3">
        <v>800.0</v>
      </c>
      <c r="C705" s="3" t="s">
        <v>3</v>
      </c>
      <c r="D705" s="4" t="b">
        <f t="shared" si="1"/>
        <v>0</v>
      </c>
      <c r="E705" s="4"/>
    </row>
    <row r="706">
      <c r="A706" s="3" t="s">
        <v>838</v>
      </c>
      <c r="B706" s="4"/>
      <c r="C706" s="4"/>
      <c r="D706" s="4" t="b">
        <f t="shared" si="1"/>
        <v>1</v>
      </c>
      <c r="E706" s="4"/>
    </row>
    <row r="707">
      <c r="A707" s="3" t="s">
        <v>839</v>
      </c>
      <c r="B707" s="3">
        <v>1000.0</v>
      </c>
      <c r="C707" s="3" t="s">
        <v>6</v>
      </c>
      <c r="D707" s="4" t="b">
        <f t="shared" si="1"/>
        <v>0</v>
      </c>
      <c r="E707" s="4"/>
    </row>
    <row r="708">
      <c r="A708" s="3" t="s">
        <v>840</v>
      </c>
      <c r="B708" s="3">
        <v>0.0</v>
      </c>
      <c r="C708" s="3" t="s">
        <v>3</v>
      </c>
      <c r="D708" s="4" t="b">
        <f t="shared" si="1"/>
        <v>0</v>
      </c>
      <c r="E708" s="4"/>
    </row>
    <row r="709">
      <c r="A709" s="3" t="s">
        <v>841</v>
      </c>
      <c r="B709" s="4"/>
      <c r="C709" s="4"/>
      <c r="D709" s="4" t="b">
        <f t="shared" si="1"/>
        <v>1</v>
      </c>
      <c r="E709" s="4"/>
    </row>
    <row r="710">
      <c r="A710" s="3" t="s">
        <v>842</v>
      </c>
      <c r="B710" s="3">
        <v>2500.0</v>
      </c>
      <c r="C710" s="4"/>
      <c r="D710" s="4" t="b">
        <f t="shared" si="1"/>
        <v>0</v>
      </c>
      <c r="E710" s="4"/>
    </row>
    <row r="711">
      <c r="A711" s="3" t="s">
        <v>843</v>
      </c>
      <c r="B711" s="3">
        <v>2300.0</v>
      </c>
      <c r="C711" s="3" t="s">
        <v>32</v>
      </c>
      <c r="D711" s="4" t="b">
        <f t="shared" si="1"/>
        <v>0</v>
      </c>
      <c r="E711" s="4"/>
    </row>
    <row r="712">
      <c r="A712" s="3" t="s">
        <v>845</v>
      </c>
      <c r="B712" s="3">
        <v>11000.0</v>
      </c>
      <c r="C712" s="4"/>
      <c r="D712" s="4" t="b">
        <f t="shared" si="1"/>
        <v>0</v>
      </c>
      <c r="E712" s="4"/>
    </row>
    <row r="713">
      <c r="A713" s="3" t="s">
        <v>846</v>
      </c>
      <c r="B713" s="3">
        <v>800.0</v>
      </c>
      <c r="C713" s="4"/>
      <c r="D713" s="4" t="b">
        <f t="shared" si="1"/>
        <v>0</v>
      </c>
      <c r="E713" s="4"/>
    </row>
    <row r="714">
      <c r="A714" s="3" t="s">
        <v>33</v>
      </c>
      <c r="B714" s="4"/>
      <c r="C714" s="4"/>
      <c r="D714" s="4" t="b">
        <f t="shared" si="1"/>
        <v>1</v>
      </c>
      <c r="E714" s="4"/>
    </row>
    <row r="715">
      <c r="A715" s="3" t="s">
        <v>847</v>
      </c>
      <c r="B715" s="3">
        <v>2000.0</v>
      </c>
      <c r="C715" s="4"/>
      <c r="D715" s="4" t="b">
        <f t="shared" si="1"/>
        <v>0</v>
      </c>
      <c r="E715" s="4"/>
    </row>
    <row r="716">
      <c r="A716" s="3" t="s">
        <v>848</v>
      </c>
      <c r="B716" s="3">
        <v>0.0</v>
      </c>
      <c r="C716" s="3" t="s">
        <v>3</v>
      </c>
      <c r="D716" s="4" t="b">
        <f t="shared" si="1"/>
        <v>0</v>
      </c>
      <c r="E716" s="4"/>
    </row>
    <row r="717">
      <c r="A717" s="3" t="s">
        <v>849</v>
      </c>
      <c r="B717" s="3">
        <v>0.0</v>
      </c>
      <c r="C717" s="3" t="s">
        <v>3</v>
      </c>
      <c r="D717" s="4" t="b">
        <f t="shared" si="1"/>
        <v>0</v>
      </c>
      <c r="E717" s="4"/>
    </row>
    <row r="718">
      <c r="A718" s="3" t="s">
        <v>850</v>
      </c>
      <c r="B718" s="3">
        <v>0.0</v>
      </c>
      <c r="C718" s="3" t="s">
        <v>3</v>
      </c>
      <c r="D718" s="4" t="b">
        <f t="shared" si="1"/>
        <v>0</v>
      </c>
      <c r="E718" s="4"/>
    </row>
    <row r="719">
      <c r="A719" s="3" t="s">
        <v>851</v>
      </c>
      <c r="B719" s="3">
        <v>1000.0</v>
      </c>
      <c r="C719" s="4"/>
      <c r="D719" s="4" t="b">
        <f t="shared" si="1"/>
        <v>0</v>
      </c>
      <c r="E719" s="4"/>
    </row>
    <row r="720">
      <c r="A720" s="3" t="s">
        <v>852</v>
      </c>
      <c r="B720" s="3">
        <v>0.0</v>
      </c>
      <c r="C720" s="3" t="s">
        <v>3</v>
      </c>
      <c r="D720" s="4" t="b">
        <f t="shared" si="1"/>
        <v>0</v>
      </c>
      <c r="E720" s="4"/>
    </row>
    <row r="721">
      <c r="A721" s="3" t="s">
        <v>853</v>
      </c>
      <c r="B721" s="3">
        <v>0.0</v>
      </c>
      <c r="C721" s="3" t="s">
        <v>32</v>
      </c>
      <c r="D721" s="4" t="b">
        <f t="shared" si="1"/>
        <v>0</v>
      </c>
      <c r="E721" s="4"/>
    </row>
    <row r="722">
      <c r="A722" s="3" t="s">
        <v>854</v>
      </c>
      <c r="B722" s="3">
        <v>0.0</v>
      </c>
      <c r="C722" s="3" t="s">
        <v>3</v>
      </c>
      <c r="D722" s="4" t="b">
        <f t="shared" si="1"/>
        <v>0</v>
      </c>
      <c r="E722" s="4"/>
    </row>
    <row r="723">
      <c r="A723" s="3" t="s">
        <v>855</v>
      </c>
      <c r="B723" s="3">
        <v>0.0</v>
      </c>
      <c r="C723" s="3" t="s">
        <v>37</v>
      </c>
      <c r="D723" s="4" t="b">
        <f t="shared" si="1"/>
        <v>0</v>
      </c>
      <c r="E723" s="4"/>
    </row>
    <row r="724">
      <c r="A724" s="3" t="s">
        <v>856</v>
      </c>
      <c r="B724" s="4"/>
      <c r="C724" s="3" t="s">
        <v>38</v>
      </c>
      <c r="D724" s="4" t="b">
        <f t="shared" si="1"/>
        <v>1</v>
      </c>
      <c r="E724" s="4"/>
    </row>
    <row r="725">
      <c r="A725" s="3" t="s">
        <v>857</v>
      </c>
      <c r="B725" s="3">
        <v>20500.0</v>
      </c>
      <c r="C725" s="3" t="s">
        <v>37</v>
      </c>
      <c r="D725" s="4" t="b">
        <f t="shared" si="1"/>
        <v>0</v>
      </c>
      <c r="E725" s="4"/>
    </row>
    <row r="726">
      <c r="A726" s="3" t="s">
        <v>858</v>
      </c>
      <c r="B726" s="4"/>
      <c r="C726" s="3" t="s">
        <v>38</v>
      </c>
      <c r="D726" s="4" t="b">
        <f t="shared" si="1"/>
        <v>1</v>
      </c>
      <c r="E726" s="4"/>
    </row>
    <row r="727">
      <c r="A727" s="3" t="s">
        <v>859</v>
      </c>
      <c r="B727" s="3">
        <v>2000.0</v>
      </c>
      <c r="C727" s="3" t="s">
        <v>3</v>
      </c>
      <c r="D727" s="4" t="b">
        <f t="shared" si="1"/>
        <v>0</v>
      </c>
      <c r="E727" s="4"/>
    </row>
    <row r="728">
      <c r="A728" s="3" t="s">
        <v>860</v>
      </c>
      <c r="B728" s="4"/>
      <c r="C728" s="4"/>
      <c r="D728" s="4" t="b">
        <f t="shared" si="1"/>
        <v>1</v>
      </c>
      <c r="E728" s="4"/>
    </row>
    <row r="729">
      <c r="A729" s="3" t="s">
        <v>861</v>
      </c>
      <c r="B729" s="3">
        <v>1000.0</v>
      </c>
      <c r="C729" s="4"/>
      <c r="D729" s="4" t="b">
        <f t="shared" si="1"/>
        <v>0</v>
      </c>
      <c r="E729" s="4"/>
    </row>
    <row r="730">
      <c r="A730" s="3" t="s">
        <v>862</v>
      </c>
      <c r="B730" s="3">
        <v>0.0</v>
      </c>
      <c r="C730" s="3" t="s">
        <v>6</v>
      </c>
      <c r="D730" s="4" t="b">
        <f t="shared" si="1"/>
        <v>0</v>
      </c>
      <c r="E730" s="4"/>
    </row>
    <row r="731">
      <c r="A731" s="3" t="s">
        <v>863</v>
      </c>
      <c r="B731" s="4"/>
      <c r="C731" s="4"/>
      <c r="D731" s="4" t="b">
        <f t="shared" si="1"/>
        <v>1</v>
      </c>
      <c r="E731" s="4"/>
    </row>
    <row r="732">
      <c r="A732" s="3" t="s">
        <v>864</v>
      </c>
      <c r="B732" s="3">
        <v>0.0</v>
      </c>
      <c r="C732" s="3" t="s">
        <v>3</v>
      </c>
      <c r="D732" s="4" t="b">
        <f t="shared" si="1"/>
        <v>0</v>
      </c>
      <c r="E732" s="4"/>
    </row>
    <row r="733">
      <c r="A733" s="3" t="s">
        <v>865</v>
      </c>
      <c r="B733" s="3">
        <v>750.0</v>
      </c>
      <c r="C733" s="3" t="s">
        <v>6</v>
      </c>
      <c r="D733" s="4" t="b">
        <f t="shared" si="1"/>
        <v>0</v>
      </c>
      <c r="E733" s="4"/>
    </row>
    <row r="734">
      <c r="A734" s="3" t="s">
        <v>866</v>
      </c>
      <c r="B734" s="4"/>
      <c r="C734" s="4"/>
      <c r="D734" s="4" t="b">
        <f t="shared" si="1"/>
        <v>1</v>
      </c>
      <c r="E734" s="4"/>
    </row>
    <row r="735">
      <c r="A735" s="3" t="s">
        <v>867</v>
      </c>
      <c r="B735" s="3">
        <v>0.0</v>
      </c>
      <c r="C735" s="3" t="s">
        <v>3</v>
      </c>
      <c r="D735" s="4" t="b">
        <f t="shared" si="1"/>
        <v>0</v>
      </c>
      <c r="E735" s="4"/>
    </row>
    <row r="736">
      <c r="A736" s="3" t="s">
        <v>868</v>
      </c>
      <c r="B736" s="4"/>
      <c r="C736" s="4"/>
      <c r="D736" s="4" t="b">
        <f t="shared" si="1"/>
        <v>1</v>
      </c>
      <c r="E736" s="4"/>
    </row>
    <row r="737">
      <c r="A737" s="3" t="s">
        <v>869</v>
      </c>
      <c r="B737" s="3">
        <v>1600.0</v>
      </c>
      <c r="C737" s="4"/>
      <c r="D737" s="4" t="b">
        <f t="shared" si="1"/>
        <v>0</v>
      </c>
      <c r="E737" s="4"/>
    </row>
    <row r="738">
      <c r="A738" s="3" t="s">
        <v>871</v>
      </c>
      <c r="B738" s="3">
        <v>500.0</v>
      </c>
      <c r="C738" s="4"/>
      <c r="D738" s="4" t="b">
        <f t="shared" si="1"/>
        <v>0</v>
      </c>
      <c r="E738" s="4"/>
    </row>
    <row r="739">
      <c r="A739" s="3" t="s">
        <v>872</v>
      </c>
      <c r="B739" s="4"/>
      <c r="C739" s="4"/>
      <c r="D739" s="4" t="b">
        <f t="shared" si="1"/>
        <v>1</v>
      </c>
      <c r="E739" s="4"/>
    </row>
    <row r="740">
      <c r="A740" s="3" t="s">
        <v>873</v>
      </c>
      <c r="B740" s="3">
        <v>0.0</v>
      </c>
      <c r="C740" s="3" t="s">
        <v>26</v>
      </c>
      <c r="D740" s="4" t="b">
        <f t="shared" si="1"/>
        <v>0</v>
      </c>
      <c r="E740" s="4"/>
    </row>
    <row r="741">
      <c r="A741" s="3" t="s">
        <v>874</v>
      </c>
      <c r="B741" s="3">
        <v>1500.0</v>
      </c>
      <c r="C741" s="3" t="s">
        <v>3</v>
      </c>
      <c r="D741" s="4" t="b">
        <f t="shared" si="1"/>
        <v>0</v>
      </c>
      <c r="E741" s="4"/>
    </row>
    <row r="742">
      <c r="A742" s="3" t="s">
        <v>875</v>
      </c>
      <c r="B742" s="3">
        <v>0.0</v>
      </c>
      <c r="C742" s="3" t="s">
        <v>6</v>
      </c>
      <c r="D742" s="4" t="b">
        <f t="shared" si="1"/>
        <v>0</v>
      </c>
      <c r="E742" s="4"/>
    </row>
    <row r="743">
      <c r="A743" s="3" t="s">
        <v>876</v>
      </c>
      <c r="B743" s="3">
        <v>750.0</v>
      </c>
      <c r="C743" s="4"/>
      <c r="D743" s="4" t="b">
        <f t="shared" si="1"/>
        <v>0</v>
      </c>
      <c r="E743" s="4"/>
    </row>
    <row r="744">
      <c r="A744" s="3" t="s">
        <v>877</v>
      </c>
      <c r="B744" s="4"/>
      <c r="C744" s="4"/>
      <c r="D744" s="4" t="b">
        <f t="shared" si="1"/>
        <v>1</v>
      </c>
      <c r="E744" s="4"/>
    </row>
    <row r="745">
      <c r="A745" s="3" t="s">
        <v>878</v>
      </c>
      <c r="B745" s="3">
        <v>0.0</v>
      </c>
      <c r="C745" s="3" t="s">
        <v>29</v>
      </c>
      <c r="D745" s="4" t="b">
        <f t="shared" si="1"/>
        <v>0</v>
      </c>
      <c r="E745" s="4"/>
    </row>
    <row r="746">
      <c r="A746" s="3" t="s">
        <v>879</v>
      </c>
      <c r="B746" s="4"/>
      <c r="C746" s="4"/>
      <c r="D746" s="4" t="b">
        <f t="shared" si="1"/>
        <v>1</v>
      </c>
      <c r="E746" s="4"/>
    </row>
    <row r="747">
      <c r="A747" s="3" t="s">
        <v>880</v>
      </c>
      <c r="B747" s="3">
        <v>0.0</v>
      </c>
      <c r="C747" s="3" t="s">
        <v>29</v>
      </c>
      <c r="D747" s="4" t="b">
        <f t="shared" si="1"/>
        <v>0</v>
      </c>
      <c r="E747" s="4"/>
    </row>
    <row r="748">
      <c r="A748" s="3" t="s">
        <v>881</v>
      </c>
      <c r="B748" s="4"/>
      <c r="C748" s="4"/>
      <c r="D748" s="4" t="b">
        <f t="shared" si="1"/>
        <v>1</v>
      </c>
      <c r="E748" s="4"/>
    </row>
    <row r="749">
      <c r="A749" s="3" t="s">
        <v>882</v>
      </c>
      <c r="B749" s="3">
        <v>0.0</v>
      </c>
      <c r="C749" s="3" t="s">
        <v>6</v>
      </c>
      <c r="D749" s="4" t="b">
        <f t="shared" si="1"/>
        <v>0</v>
      </c>
      <c r="E749" s="4"/>
    </row>
    <row r="750">
      <c r="A750" s="3" t="s">
        <v>883</v>
      </c>
      <c r="B750" s="3">
        <v>0.0</v>
      </c>
      <c r="C750" s="3" t="s">
        <v>29</v>
      </c>
      <c r="D750" s="4" t="b">
        <f t="shared" si="1"/>
        <v>0</v>
      </c>
      <c r="E750" s="4"/>
    </row>
    <row r="751">
      <c r="A751" s="3" t="s">
        <v>884</v>
      </c>
      <c r="B751" s="4"/>
      <c r="C751" s="4"/>
      <c r="D751" s="4" t="b">
        <f t="shared" si="1"/>
        <v>1</v>
      </c>
      <c r="E751" s="4"/>
    </row>
    <row r="752">
      <c r="A752" s="3" t="s">
        <v>885</v>
      </c>
      <c r="B752" s="3">
        <v>1000.0</v>
      </c>
      <c r="C752" s="3" t="s">
        <v>6</v>
      </c>
      <c r="D752" s="4" t="b">
        <f t="shared" si="1"/>
        <v>0</v>
      </c>
      <c r="E752" s="4"/>
    </row>
    <row r="753">
      <c r="A753" s="3" t="s">
        <v>886</v>
      </c>
      <c r="B753" s="3">
        <v>1000.0</v>
      </c>
      <c r="C753" s="3" t="s">
        <v>32</v>
      </c>
      <c r="D753" s="4" t="b">
        <f t="shared" si="1"/>
        <v>0</v>
      </c>
      <c r="E753" s="4"/>
    </row>
    <row r="754">
      <c r="A754" s="3" t="s">
        <v>887</v>
      </c>
      <c r="B754" s="3">
        <v>500.0</v>
      </c>
      <c r="C754" s="4"/>
      <c r="D754" s="4" t="b">
        <f t="shared" si="1"/>
        <v>0</v>
      </c>
      <c r="E754" s="4"/>
    </row>
    <row r="755">
      <c r="A755" s="3" t="s">
        <v>888</v>
      </c>
      <c r="B755" s="4"/>
      <c r="C755" s="4"/>
      <c r="D755" s="4" t="b">
        <f t="shared" si="1"/>
        <v>1</v>
      </c>
      <c r="E755" s="4"/>
    </row>
    <row r="756">
      <c r="A756" s="3" t="s">
        <v>889</v>
      </c>
      <c r="B756" s="3">
        <v>1600.0</v>
      </c>
      <c r="C756" s="4"/>
      <c r="D756" s="4" t="b">
        <f t="shared" si="1"/>
        <v>0</v>
      </c>
      <c r="E756" s="4"/>
    </row>
    <row r="757">
      <c r="A757" s="3" t="s">
        <v>890</v>
      </c>
      <c r="B757" s="3">
        <v>1000.0</v>
      </c>
      <c r="C757" s="3" t="s">
        <v>6</v>
      </c>
      <c r="D757" s="4" t="b">
        <f t="shared" si="1"/>
        <v>0</v>
      </c>
      <c r="E757" s="4"/>
    </row>
    <row r="758">
      <c r="A758" s="3" t="s">
        <v>891</v>
      </c>
      <c r="B758" s="4"/>
      <c r="C758" s="4"/>
      <c r="D758" s="4" t="b">
        <f t="shared" si="1"/>
        <v>1</v>
      </c>
      <c r="E758" s="4"/>
    </row>
    <row r="759">
      <c r="A759" s="3" t="s">
        <v>892</v>
      </c>
      <c r="B759" s="3">
        <v>1300.0</v>
      </c>
      <c r="C759" s="4"/>
      <c r="D759" s="4" t="b">
        <f t="shared" si="1"/>
        <v>0</v>
      </c>
      <c r="E759" s="4"/>
    </row>
    <row r="760">
      <c r="A760" s="3" t="s">
        <v>893</v>
      </c>
      <c r="B760" s="4"/>
      <c r="C760" s="4"/>
      <c r="D760" s="4" t="b">
        <f t="shared" si="1"/>
        <v>1</v>
      </c>
      <c r="E760" s="4"/>
    </row>
    <row r="761">
      <c r="A761" s="3" t="s">
        <v>894</v>
      </c>
      <c r="B761" s="3">
        <v>0.0</v>
      </c>
      <c r="C761" s="3" t="s">
        <v>6</v>
      </c>
      <c r="D761" s="4" t="b">
        <f t="shared" si="1"/>
        <v>0</v>
      </c>
      <c r="E761" s="4"/>
    </row>
    <row r="762">
      <c r="A762" s="3" t="s">
        <v>895</v>
      </c>
      <c r="B762" s="3">
        <v>0.0</v>
      </c>
      <c r="C762" s="3" t="s">
        <v>3</v>
      </c>
      <c r="D762" s="4" t="b">
        <f t="shared" si="1"/>
        <v>0</v>
      </c>
      <c r="E762" s="4"/>
    </row>
    <row r="763">
      <c r="A763" s="3" t="s">
        <v>896</v>
      </c>
      <c r="B763" s="3">
        <v>0.0</v>
      </c>
      <c r="C763" s="3" t="s">
        <v>32</v>
      </c>
      <c r="D763" s="4" t="b">
        <f t="shared" si="1"/>
        <v>0</v>
      </c>
      <c r="E763" s="4"/>
    </row>
    <row r="764">
      <c r="A764" s="3" t="s">
        <v>897</v>
      </c>
      <c r="B764" s="3">
        <v>0.0</v>
      </c>
      <c r="C764" s="3" t="s">
        <v>3</v>
      </c>
      <c r="D764" s="4" t="b">
        <f t="shared" si="1"/>
        <v>0</v>
      </c>
      <c r="E764" s="4"/>
    </row>
    <row r="765">
      <c r="A765" s="3" t="s">
        <v>898</v>
      </c>
      <c r="B765" s="4"/>
      <c r="C765" s="4"/>
      <c r="D765" s="4" t="b">
        <f t="shared" si="1"/>
        <v>1</v>
      </c>
      <c r="E765" s="4"/>
    </row>
    <row r="766">
      <c r="A766" s="3" t="s">
        <v>899</v>
      </c>
      <c r="B766" s="3">
        <v>0.0</v>
      </c>
      <c r="C766" s="3" t="s">
        <v>3</v>
      </c>
      <c r="D766" s="4" t="b">
        <f t="shared" si="1"/>
        <v>0</v>
      </c>
      <c r="E766" s="4"/>
    </row>
    <row r="767">
      <c r="A767" s="3" t="s">
        <v>900</v>
      </c>
      <c r="B767" s="3">
        <v>8000.0</v>
      </c>
      <c r="C767" s="4"/>
      <c r="D767" s="4" t="b">
        <f t="shared" si="1"/>
        <v>0</v>
      </c>
      <c r="E767" s="4"/>
    </row>
    <row r="768">
      <c r="A768" s="3" t="s">
        <v>901</v>
      </c>
      <c r="B768" s="3">
        <v>0.0</v>
      </c>
      <c r="C768" s="3" t="s">
        <v>32</v>
      </c>
      <c r="D768" s="4" t="b">
        <f t="shared" si="1"/>
        <v>0</v>
      </c>
      <c r="E768" s="4"/>
    </row>
    <row r="769">
      <c r="A769" s="3" t="s">
        <v>902</v>
      </c>
      <c r="B769" s="3">
        <v>0.0</v>
      </c>
      <c r="C769" s="3" t="s">
        <v>6</v>
      </c>
      <c r="D769" s="4" t="b">
        <f t="shared" si="1"/>
        <v>0</v>
      </c>
      <c r="E769" s="4"/>
    </row>
    <row r="770">
      <c r="A770" s="3" t="s">
        <v>903</v>
      </c>
      <c r="B770" s="4"/>
      <c r="C770" s="4"/>
      <c r="D770" s="4" t="b">
        <f t="shared" si="1"/>
        <v>1</v>
      </c>
      <c r="E770" s="4"/>
    </row>
    <row r="771">
      <c r="A771" s="3" t="s">
        <v>904</v>
      </c>
      <c r="B771" s="3">
        <v>2635.0</v>
      </c>
      <c r="C771" s="4"/>
      <c r="D771" s="4" t="b">
        <f t="shared" si="1"/>
        <v>0</v>
      </c>
      <c r="E771" s="4"/>
    </row>
    <row r="772">
      <c r="A772" s="3" t="s">
        <v>906</v>
      </c>
      <c r="B772" s="3">
        <v>3917.0</v>
      </c>
      <c r="C772" s="4"/>
      <c r="D772" s="4" t="b">
        <f t="shared" si="1"/>
        <v>0</v>
      </c>
      <c r="E772" s="4"/>
    </row>
    <row r="773">
      <c r="A773" s="3" t="s">
        <v>908</v>
      </c>
      <c r="B773" s="3">
        <v>1728.0</v>
      </c>
      <c r="C773" s="4"/>
      <c r="D773" s="4" t="b">
        <f t="shared" si="1"/>
        <v>0</v>
      </c>
      <c r="E773" s="4"/>
    </row>
    <row r="774">
      <c r="A774" s="3" t="s">
        <v>910</v>
      </c>
      <c r="B774" s="4"/>
      <c r="C774" s="4"/>
      <c r="D774" s="4" t="b">
        <f t="shared" si="1"/>
        <v>1</v>
      </c>
      <c r="E774" s="4"/>
    </row>
    <row r="775">
      <c r="A775" s="3" t="s">
        <v>911</v>
      </c>
      <c r="B775" s="3">
        <v>0.0</v>
      </c>
      <c r="C775" s="3" t="s">
        <v>3</v>
      </c>
      <c r="D775" s="4" t="b">
        <f t="shared" si="1"/>
        <v>0</v>
      </c>
      <c r="E775" s="4"/>
    </row>
    <row r="776">
      <c r="A776" s="3" t="s">
        <v>912</v>
      </c>
      <c r="B776" s="3">
        <v>0.0</v>
      </c>
      <c r="C776" s="3" t="s">
        <v>3</v>
      </c>
      <c r="D776" s="4" t="b">
        <f t="shared" si="1"/>
        <v>0</v>
      </c>
      <c r="E776" s="4"/>
    </row>
    <row r="777">
      <c r="A777" s="3" t="s">
        <v>913</v>
      </c>
      <c r="B777" s="3">
        <v>3000.0</v>
      </c>
      <c r="C777" s="4"/>
      <c r="D777" s="4" t="b">
        <f t="shared" si="1"/>
        <v>0</v>
      </c>
      <c r="E777" s="4"/>
    </row>
    <row r="778">
      <c r="A778" s="3" t="s">
        <v>914</v>
      </c>
      <c r="B778" s="3">
        <v>3500.0</v>
      </c>
      <c r="C778" s="4"/>
      <c r="D778" s="4" t="b">
        <f t="shared" si="1"/>
        <v>0</v>
      </c>
      <c r="E778" s="4"/>
    </row>
    <row r="779">
      <c r="A779" s="3" t="s">
        <v>915</v>
      </c>
      <c r="B779" s="3">
        <v>8000.0</v>
      </c>
      <c r="C779" s="4"/>
      <c r="D779" s="4" t="b">
        <f t="shared" si="1"/>
        <v>0</v>
      </c>
      <c r="E779" s="4"/>
    </row>
    <row r="780">
      <c r="A780" s="3" t="s">
        <v>916</v>
      </c>
      <c r="B780" s="3">
        <v>41500.0</v>
      </c>
      <c r="C780" s="3" t="s">
        <v>280</v>
      </c>
      <c r="D780" s="4" t="b">
        <f t="shared" si="1"/>
        <v>0</v>
      </c>
      <c r="E780" s="4"/>
    </row>
    <row r="781">
      <c r="A781" s="3" t="s">
        <v>918</v>
      </c>
      <c r="B781" s="3">
        <v>0.0</v>
      </c>
      <c r="C781" s="3" t="s">
        <v>32</v>
      </c>
      <c r="D781" s="4" t="b">
        <f t="shared" si="1"/>
        <v>0</v>
      </c>
      <c r="E781" s="4"/>
    </row>
    <row r="782">
      <c r="A782" s="3" t="s">
        <v>919</v>
      </c>
      <c r="B782" s="3">
        <v>0.0</v>
      </c>
      <c r="C782" s="3" t="s">
        <v>3</v>
      </c>
      <c r="D782" s="4" t="b">
        <f t="shared" si="1"/>
        <v>0</v>
      </c>
      <c r="E782" s="4"/>
    </row>
    <row r="783">
      <c r="A783" s="3" t="s">
        <v>920</v>
      </c>
      <c r="B783" s="3">
        <v>0.0</v>
      </c>
      <c r="C783" s="3" t="s">
        <v>3</v>
      </c>
      <c r="D783" s="4" t="b">
        <f t="shared" si="1"/>
        <v>0</v>
      </c>
      <c r="E783" s="4"/>
    </row>
    <row r="784">
      <c r="A784" s="3" t="s">
        <v>921</v>
      </c>
      <c r="B784" s="3">
        <v>6000.0</v>
      </c>
      <c r="C784" s="4"/>
      <c r="D784" s="4" t="b">
        <f t="shared" si="1"/>
        <v>0</v>
      </c>
      <c r="E784" s="4"/>
    </row>
    <row r="785">
      <c r="A785" s="3" t="s">
        <v>922</v>
      </c>
      <c r="B785" s="3">
        <v>5000.0</v>
      </c>
      <c r="C785" s="4"/>
      <c r="D785" s="4" t="b">
        <f t="shared" si="1"/>
        <v>0</v>
      </c>
      <c r="E785" s="4"/>
    </row>
    <row r="786">
      <c r="A786" s="3" t="s">
        <v>923</v>
      </c>
      <c r="B786" s="3">
        <v>3000.0</v>
      </c>
      <c r="C786" s="4"/>
      <c r="D786" s="4" t="b">
        <f t="shared" si="1"/>
        <v>0</v>
      </c>
      <c r="E786" s="4"/>
    </row>
    <row r="787">
      <c r="A787" s="3" t="s">
        <v>924</v>
      </c>
      <c r="B787" s="3">
        <v>0.0</v>
      </c>
      <c r="C787" s="3" t="s">
        <v>3</v>
      </c>
      <c r="D787" s="4" t="b">
        <f t="shared" si="1"/>
        <v>0</v>
      </c>
      <c r="E787" s="4"/>
    </row>
    <row r="788">
      <c r="A788" s="3" t="s">
        <v>925</v>
      </c>
      <c r="B788" s="3">
        <v>2000.0</v>
      </c>
      <c r="C788" s="4"/>
      <c r="D788" s="4" t="b">
        <f t="shared" si="1"/>
        <v>0</v>
      </c>
      <c r="E788" s="4"/>
    </row>
    <row r="789">
      <c r="A789" s="3" t="s">
        <v>926</v>
      </c>
      <c r="B789" s="3">
        <v>0.0</v>
      </c>
      <c r="C789" s="3" t="s">
        <v>3</v>
      </c>
      <c r="D789" s="4" t="b">
        <f t="shared" si="1"/>
        <v>0</v>
      </c>
      <c r="E789" s="4"/>
    </row>
    <row r="790">
      <c r="A790" s="3" t="s">
        <v>927</v>
      </c>
      <c r="B790" s="3">
        <v>6000.0</v>
      </c>
      <c r="C790" s="4"/>
      <c r="D790" s="4" t="b">
        <f t="shared" si="1"/>
        <v>0</v>
      </c>
      <c r="E790" s="4"/>
    </row>
    <row r="791">
      <c r="A791" s="3" t="s">
        <v>928</v>
      </c>
      <c r="B791" s="3">
        <v>0.0</v>
      </c>
      <c r="C791" s="3" t="s">
        <v>32</v>
      </c>
      <c r="D791" s="4" t="b">
        <f t="shared" si="1"/>
        <v>0</v>
      </c>
      <c r="E791" s="4"/>
    </row>
    <row r="792">
      <c r="A792" s="3" t="s">
        <v>929</v>
      </c>
      <c r="B792" s="3">
        <v>17500.0</v>
      </c>
      <c r="C792" s="4"/>
      <c r="D792" s="4" t="b">
        <f t="shared" si="1"/>
        <v>0</v>
      </c>
      <c r="E792" s="4"/>
    </row>
    <row r="793">
      <c r="A793" s="3" t="s">
        <v>931</v>
      </c>
      <c r="B793" s="3">
        <v>11380.0</v>
      </c>
      <c r="C793" s="3" t="s">
        <v>3</v>
      </c>
      <c r="D793" s="4" t="b">
        <f t="shared" si="1"/>
        <v>0</v>
      </c>
      <c r="E793" s="4"/>
    </row>
    <row r="794">
      <c r="A794" s="3" t="s">
        <v>933</v>
      </c>
      <c r="B794" s="3">
        <v>3000.0</v>
      </c>
      <c r="C794" s="4"/>
      <c r="D794" s="4" t="b">
        <f t="shared" si="1"/>
        <v>0</v>
      </c>
      <c r="E794" s="4"/>
    </row>
    <row r="795">
      <c r="A795" s="3" t="s">
        <v>934</v>
      </c>
      <c r="B795" s="3">
        <v>0.0</v>
      </c>
      <c r="C795" s="3" t="s">
        <v>3</v>
      </c>
      <c r="D795" s="4" t="b">
        <f t="shared" si="1"/>
        <v>0</v>
      </c>
      <c r="E795" s="4"/>
    </row>
    <row r="796">
      <c r="A796" s="3" t="s">
        <v>935</v>
      </c>
      <c r="B796" s="3">
        <v>23000.0</v>
      </c>
      <c r="C796" s="4"/>
      <c r="D796" s="4" t="b">
        <f t="shared" si="1"/>
        <v>0</v>
      </c>
      <c r="E796" s="4"/>
    </row>
    <row r="797">
      <c r="A797" s="3" t="s">
        <v>937</v>
      </c>
      <c r="B797" s="3">
        <v>17000.0</v>
      </c>
      <c r="C797" s="4"/>
      <c r="D797" s="4" t="b">
        <f t="shared" si="1"/>
        <v>0</v>
      </c>
      <c r="E797" s="4"/>
    </row>
    <row r="798">
      <c r="A798" s="3" t="s">
        <v>939</v>
      </c>
      <c r="B798" s="3">
        <v>16000.0</v>
      </c>
      <c r="C798" s="4"/>
      <c r="D798" s="4" t="b">
        <f t="shared" si="1"/>
        <v>0</v>
      </c>
      <c r="E798" s="4"/>
    </row>
    <row r="799">
      <c r="A799" s="3" t="s">
        <v>941</v>
      </c>
      <c r="B799" s="3">
        <v>2100.0</v>
      </c>
      <c r="C799" s="4"/>
      <c r="D799" s="4" t="b">
        <f t="shared" si="1"/>
        <v>0</v>
      </c>
      <c r="E799" s="4"/>
    </row>
    <row r="800">
      <c r="A800" s="3" t="s">
        <v>943</v>
      </c>
      <c r="B800" s="3">
        <v>0.0</v>
      </c>
      <c r="C800" s="3" t="s">
        <v>3</v>
      </c>
      <c r="D800" s="4" t="b">
        <f t="shared" si="1"/>
        <v>0</v>
      </c>
      <c r="E800" s="4"/>
    </row>
    <row r="801">
      <c r="A801" s="3" t="s">
        <v>944</v>
      </c>
      <c r="B801" s="3">
        <v>0.0</v>
      </c>
      <c r="C801" s="3" t="s">
        <v>3</v>
      </c>
      <c r="D801" s="4" t="b">
        <f t="shared" si="1"/>
        <v>0</v>
      </c>
      <c r="E801" s="4"/>
    </row>
    <row r="802">
      <c r="A802" s="3" t="s">
        <v>945</v>
      </c>
      <c r="B802" s="3">
        <v>40000.0</v>
      </c>
      <c r="C802" s="3" t="s">
        <v>216</v>
      </c>
      <c r="D802" s="4" t="b">
        <f t="shared" si="1"/>
        <v>0</v>
      </c>
      <c r="E802" s="4"/>
    </row>
    <row r="803">
      <c r="A803" s="3" t="s">
        <v>947</v>
      </c>
      <c r="B803" s="3">
        <v>0.0</v>
      </c>
      <c r="C803" s="3" t="s">
        <v>29</v>
      </c>
      <c r="D803" s="4" t="b">
        <f t="shared" si="1"/>
        <v>0</v>
      </c>
      <c r="E803" s="4"/>
    </row>
    <row r="804">
      <c r="A804" s="3" t="s">
        <v>948</v>
      </c>
      <c r="B804" s="3">
        <v>15000.0</v>
      </c>
      <c r="C804" s="3" t="s">
        <v>3</v>
      </c>
      <c r="D804" s="4" t="b">
        <f t="shared" si="1"/>
        <v>0</v>
      </c>
      <c r="E804" s="4"/>
    </row>
    <row r="805">
      <c r="A805" s="3" t="s">
        <v>949</v>
      </c>
      <c r="B805" s="4"/>
      <c r="C805" s="4"/>
      <c r="D805" s="4" t="b">
        <f t="shared" si="1"/>
        <v>1</v>
      </c>
      <c r="E805" s="4"/>
    </row>
    <row r="806">
      <c r="A806" s="3" t="s">
        <v>950</v>
      </c>
      <c r="B806" s="3">
        <v>500.0</v>
      </c>
      <c r="C806" s="3" t="s">
        <v>3</v>
      </c>
      <c r="D806" s="4" t="b">
        <f t="shared" si="1"/>
        <v>0</v>
      </c>
      <c r="E806" s="4"/>
    </row>
    <row r="807">
      <c r="A807" s="3" t="s">
        <v>951</v>
      </c>
      <c r="B807" s="4"/>
      <c r="C807" s="4"/>
      <c r="D807" s="4" t="b">
        <f t="shared" si="1"/>
        <v>1</v>
      </c>
      <c r="E807" s="4"/>
    </row>
    <row r="808">
      <c r="A808" s="3" t="s">
        <v>952</v>
      </c>
      <c r="B808" s="3">
        <v>1000.0</v>
      </c>
      <c r="C808" s="4"/>
      <c r="D808" s="4" t="b">
        <f t="shared" si="1"/>
        <v>0</v>
      </c>
      <c r="E808" s="4"/>
    </row>
    <row r="809">
      <c r="A809" s="3" t="s">
        <v>953</v>
      </c>
      <c r="B809" s="4"/>
      <c r="C809" s="4"/>
      <c r="D809" s="4" t="b">
        <f t="shared" si="1"/>
        <v>1</v>
      </c>
      <c r="E809" s="4"/>
    </row>
    <row r="810">
      <c r="A810" s="3" t="s">
        <v>954</v>
      </c>
      <c r="B810" s="3">
        <v>1400.0</v>
      </c>
      <c r="C810" s="4"/>
      <c r="D810" s="4" t="b">
        <f t="shared" si="1"/>
        <v>0</v>
      </c>
      <c r="E810" s="4"/>
    </row>
    <row r="811">
      <c r="A811" s="3" t="s">
        <v>956</v>
      </c>
      <c r="B811" s="3">
        <v>10730.0</v>
      </c>
      <c r="C811" s="4"/>
      <c r="D811" s="4" t="b">
        <f t="shared" si="1"/>
        <v>0</v>
      </c>
      <c r="E811" s="4"/>
    </row>
    <row r="812">
      <c r="A812" s="3" t="s">
        <v>958</v>
      </c>
      <c r="B812" s="3">
        <v>0.0</v>
      </c>
      <c r="C812" s="3" t="s">
        <v>3</v>
      </c>
      <c r="D812" s="4" t="b">
        <f t="shared" si="1"/>
        <v>0</v>
      </c>
      <c r="E812" s="4"/>
    </row>
    <row r="813">
      <c r="A813" s="3" t="s">
        <v>959</v>
      </c>
      <c r="B813" s="3">
        <v>1500.0</v>
      </c>
      <c r="C813" s="4"/>
      <c r="D813" s="4" t="b">
        <f t="shared" si="1"/>
        <v>0</v>
      </c>
      <c r="E813" s="4"/>
    </row>
    <row r="814">
      <c r="A814" s="3" t="s">
        <v>960</v>
      </c>
      <c r="B814" s="3">
        <v>0.0</v>
      </c>
      <c r="C814" s="3" t="s">
        <v>3</v>
      </c>
      <c r="D814" s="4" t="b">
        <f t="shared" si="1"/>
        <v>0</v>
      </c>
      <c r="E814" s="4"/>
    </row>
    <row r="815">
      <c r="A815" s="3" t="s">
        <v>961</v>
      </c>
      <c r="B815" s="4"/>
      <c r="C815" s="4"/>
      <c r="D815" s="4" t="b">
        <f t="shared" si="1"/>
        <v>1</v>
      </c>
      <c r="E815" s="4"/>
    </row>
    <row r="816">
      <c r="A816" s="3" t="s">
        <v>962</v>
      </c>
      <c r="B816" s="3">
        <v>2000.0</v>
      </c>
      <c r="C816" s="3" t="s">
        <v>6</v>
      </c>
      <c r="D816" s="4" t="b">
        <f t="shared" si="1"/>
        <v>0</v>
      </c>
      <c r="E816" s="4"/>
    </row>
    <row r="817">
      <c r="A817" s="3" t="s">
        <v>963</v>
      </c>
      <c r="B817" s="3">
        <v>115000.0</v>
      </c>
      <c r="C817" s="3" t="s">
        <v>6</v>
      </c>
      <c r="D817" s="4" t="b">
        <f t="shared" si="1"/>
        <v>0</v>
      </c>
      <c r="E817" s="4"/>
    </row>
    <row r="818">
      <c r="A818" s="3" t="s">
        <v>964</v>
      </c>
      <c r="B818" s="3">
        <v>0.0</v>
      </c>
      <c r="C818" s="3" t="s">
        <v>3</v>
      </c>
      <c r="D818" s="4" t="b">
        <f t="shared" si="1"/>
        <v>0</v>
      </c>
      <c r="E818" s="4"/>
    </row>
    <row r="819">
      <c r="A819" s="3" t="s">
        <v>965</v>
      </c>
      <c r="B819" s="3">
        <v>11176.0</v>
      </c>
      <c r="C819" s="4"/>
      <c r="D819" s="4" t="b">
        <f t="shared" si="1"/>
        <v>0</v>
      </c>
      <c r="E819" s="4"/>
    </row>
    <row r="820">
      <c r="A820" s="3" t="s">
        <v>967</v>
      </c>
      <c r="B820" s="3">
        <v>1500.0</v>
      </c>
      <c r="C820" s="3" t="s">
        <v>32</v>
      </c>
      <c r="D820" s="4" t="b">
        <f t="shared" si="1"/>
        <v>0</v>
      </c>
      <c r="E820" s="4"/>
    </row>
    <row r="821">
      <c r="A821" s="3" t="s">
        <v>968</v>
      </c>
      <c r="B821" s="3">
        <v>1000.0</v>
      </c>
      <c r="C821" s="4"/>
      <c r="D821" s="4" t="b">
        <f t="shared" si="1"/>
        <v>0</v>
      </c>
      <c r="E821" s="4"/>
    </row>
    <row r="822">
      <c r="A822" s="3" t="s">
        <v>969</v>
      </c>
      <c r="B822" s="3">
        <v>0.0</v>
      </c>
      <c r="C822" s="3" t="s">
        <v>3</v>
      </c>
      <c r="D822" s="4" t="b">
        <f t="shared" si="1"/>
        <v>0</v>
      </c>
      <c r="E822" s="4"/>
    </row>
    <row r="823">
      <c r="A823" s="3" t="s">
        <v>970</v>
      </c>
      <c r="B823" s="3">
        <v>0.0</v>
      </c>
      <c r="C823" s="3" t="s">
        <v>3</v>
      </c>
      <c r="D823" s="4" t="b">
        <f t="shared" si="1"/>
        <v>0</v>
      </c>
      <c r="E823" s="4"/>
    </row>
    <row r="824">
      <c r="A824" s="3" t="s">
        <v>971</v>
      </c>
      <c r="B824" s="3">
        <v>0.0</v>
      </c>
      <c r="C824" s="3" t="s">
        <v>3</v>
      </c>
      <c r="D824" s="4" t="b">
        <f t="shared" si="1"/>
        <v>0</v>
      </c>
      <c r="E824" s="4"/>
    </row>
    <row r="825">
      <c r="A825" s="3" t="s">
        <v>972</v>
      </c>
      <c r="B825" s="3">
        <v>0.0</v>
      </c>
      <c r="C825" s="3" t="s">
        <v>32</v>
      </c>
      <c r="D825" s="4" t="b">
        <f t="shared" si="1"/>
        <v>0</v>
      </c>
      <c r="E825" s="4"/>
    </row>
    <row r="826">
      <c r="A826" s="3" t="s">
        <v>973</v>
      </c>
      <c r="B826" s="3">
        <v>400.0</v>
      </c>
      <c r="C826" s="4"/>
      <c r="D826" s="4" t="b">
        <f t="shared" si="1"/>
        <v>0</v>
      </c>
      <c r="E826" s="4"/>
    </row>
    <row r="827">
      <c r="A827" s="3" t="s">
        <v>974</v>
      </c>
      <c r="B827" s="3">
        <v>0.0</v>
      </c>
      <c r="C827" s="3" t="s">
        <v>3</v>
      </c>
      <c r="D827" s="4" t="b">
        <f t="shared" si="1"/>
        <v>0</v>
      </c>
      <c r="E827" s="4"/>
    </row>
    <row r="828">
      <c r="A828" s="3" t="s">
        <v>975</v>
      </c>
      <c r="B828" s="3">
        <v>5000.0</v>
      </c>
      <c r="C828" s="4"/>
      <c r="D828" s="4" t="b">
        <f t="shared" si="1"/>
        <v>0</v>
      </c>
      <c r="E828" s="4"/>
    </row>
    <row r="829">
      <c r="A829" s="3" t="s">
        <v>976</v>
      </c>
      <c r="B829" s="4"/>
      <c r="C829" s="4"/>
      <c r="D829" s="4" t="b">
        <f t="shared" si="1"/>
        <v>1</v>
      </c>
      <c r="E829" s="4"/>
    </row>
    <row r="830">
      <c r="A830" s="3" t="s">
        <v>977</v>
      </c>
      <c r="B830" s="3">
        <v>8000.0</v>
      </c>
      <c r="C830" s="4"/>
      <c r="D830" s="4" t="b">
        <f t="shared" si="1"/>
        <v>0</v>
      </c>
      <c r="E830" s="4"/>
    </row>
    <row r="831">
      <c r="A831" s="3" t="s">
        <v>978</v>
      </c>
      <c r="B831" s="3">
        <v>0.0</v>
      </c>
      <c r="C831" s="3" t="s">
        <v>29</v>
      </c>
      <c r="D831" s="4" t="b">
        <f t="shared" si="1"/>
        <v>0</v>
      </c>
      <c r="E831" s="4"/>
    </row>
    <row r="832">
      <c r="A832" s="3" t="s">
        <v>979</v>
      </c>
      <c r="B832" s="3">
        <v>700.0</v>
      </c>
      <c r="C832" s="3" t="s">
        <v>3</v>
      </c>
      <c r="D832" s="4" t="b">
        <f t="shared" si="1"/>
        <v>0</v>
      </c>
      <c r="E832" s="4"/>
    </row>
    <row r="833">
      <c r="A833" s="3" t="s">
        <v>980</v>
      </c>
      <c r="B833" s="3">
        <v>0.0</v>
      </c>
      <c r="C833" s="3" t="s">
        <v>3</v>
      </c>
      <c r="D833" s="4" t="b">
        <f t="shared" si="1"/>
        <v>0</v>
      </c>
      <c r="E833" s="4"/>
    </row>
    <row r="834">
      <c r="A834" s="3" t="s">
        <v>981</v>
      </c>
      <c r="B834" s="3">
        <v>1000.0</v>
      </c>
      <c r="C834" s="4"/>
      <c r="D834" s="4" t="b">
        <f t="shared" si="1"/>
        <v>0</v>
      </c>
      <c r="E834" s="4"/>
    </row>
    <row r="835">
      <c r="A835" s="3" t="s">
        <v>982</v>
      </c>
      <c r="B835" s="3">
        <v>0.0</v>
      </c>
      <c r="C835" s="3" t="s">
        <v>6</v>
      </c>
      <c r="D835" s="4" t="b">
        <f t="shared" si="1"/>
        <v>0</v>
      </c>
      <c r="E835" s="4"/>
    </row>
    <row r="836">
      <c r="A836" s="3" t="s">
        <v>983</v>
      </c>
      <c r="B836" s="3">
        <v>0.0</v>
      </c>
      <c r="C836" s="3" t="s">
        <v>3</v>
      </c>
      <c r="D836" s="4" t="b">
        <f t="shared" si="1"/>
        <v>0</v>
      </c>
      <c r="E836" s="4"/>
    </row>
    <row r="837">
      <c r="A837" s="3" t="s">
        <v>984</v>
      </c>
      <c r="B837" s="3">
        <v>9600.0</v>
      </c>
      <c r="C837" s="4"/>
      <c r="D837" s="4" t="b">
        <f t="shared" si="1"/>
        <v>0</v>
      </c>
      <c r="E837" s="4"/>
    </row>
    <row r="838">
      <c r="A838" s="3" t="s">
        <v>986</v>
      </c>
      <c r="B838" s="3">
        <v>3000.0</v>
      </c>
      <c r="C838" s="4"/>
      <c r="D838" s="4" t="b">
        <f t="shared" si="1"/>
        <v>0</v>
      </c>
      <c r="E838" s="4"/>
    </row>
    <row r="839">
      <c r="A839" s="3" t="s">
        <v>987</v>
      </c>
      <c r="B839" s="3">
        <v>0.0</v>
      </c>
      <c r="C839" s="3" t="s">
        <v>3</v>
      </c>
      <c r="D839" s="4" t="b">
        <f t="shared" si="1"/>
        <v>0</v>
      </c>
      <c r="E839" s="4"/>
    </row>
    <row r="840">
      <c r="A840" s="3" t="s">
        <v>988</v>
      </c>
      <c r="B840" s="3">
        <v>7800.0</v>
      </c>
      <c r="C840" s="3" t="s">
        <v>280</v>
      </c>
      <c r="D840" s="4" t="b">
        <f t="shared" si="1"/>
        <v>0</v>
      </c>
      <c r="E840" s="4"/>
    </row>
    <row r="841">
      <c r="A841" s="3" t="s">
        <v>990</v>
      </c>
      <c r="B841" s="3">
        <v>4000.0</v>
      </c>
      <c r="C841" s="4"/>
      <c r="D841" s="4" t="b">
        <f t="shared" si="1"/>
        <v>0</v>
      </c>
      <c r="E841" s="4"/>
    </row>
    <row r="842">
      <c r="A842" s="3" t="s">
        <v>991</v>
      </c>
      <c r="B842" s="3">
        <v>0.0</v>
      </c>
      <c r="C842" s="3" t="s">
        <v>3</v>
      </c>
      <c r="D842" s="4" t="b">
        <f t="shared" si="1"/>
        <v>0</v>
      </c>
      <c r="E842" s="4"/>
    </row>
    <row r="843">
      <c r="A843" s="3" t="s">
        <v>992</v>
      </c>
      <c r="B843" s="3">
        <v>0.0</v>
      </c>
      <c r="C843" s="3" t="s">
        <v>3</v>
      </c>
      <c r="D843" s="4" t="b">
        <f t="shared" si="1"/>
        <v>0</v>
      </c>
      <c r="E843" s="4"/>
    </row>
    <row r="844">
      <c r="A844" s="3" t="s">
        <v>993</v>
      </c>
      <c r="B844" s="3">
        <v>0.0</v>
      </c>
      <c r="C844" s="3" t="s">
        <v>3</v>
      </c>
      <c r="D844" s="4" t="b">
        <f t="shared" si="1"/>
        <v>0</v>
      </c>
      <c r="E844" s="4"/>
    </row>
    <row r="845">
      <c r="A845" s="3" t="s">
        <v>994</v>
      </c>
      <c r="B845" s="3">
        <v>8000.0</v>
      </c>
      <c r="C845" s="4"/>
      <c r="D845" s="4" t="b">
        <f t="shared" si="1"/>
        <v>0</v>
      </c>
      <c r="E845" s="4"/>
    </row>
    <row r="846">
      <c r="A846" s="3" t="s">
        <v>995</v>
      </c>
      <c r="B846" s="3">
        <v>1200.0</v>
      </c>
      <c r="C846" s="3" t="s">
        <v>6</v>
      </c>
      <c r="D846" s="4" t="b">
        <f t="shared" si="1"/>
        <v>0</v>
      </c>
      <c r="E846" s="4"/>
    </row>
    <row r="847">
      <c r="A847" s="3" t="s">
        <v>997</v>
      </c>
      <c r="B847" s="3">
        <v>950.0</v>
      </c>
      <c r="C847" s="4"/>
      <c r="D847" s="4" t="b">
        <f t="shared" si="1"/>
        <v>0</v>
      </c>
      <c r="E847" s="4"/>
    </row>
    <row r="848">
      <c r="A848" s="3" t="s">
        <v>999</v>
      </c>
      <c r="B848" s="3">
        <v>0.0</v>
      </c>
      <c r="C848" s="3" t="s">
        <v>3</v>
      </c>
      <c r="D848" s="4" t="b">
        <f t="shared" si="1"/>
        <v>0</v>
      </c>
      <c r="E848" s="4"/>
    </row>
    <row r="849">
      <c r="A849" s="3" t="s">
        <v>1000</v>
      </c>
      <c r="B849" s="3">
        <v>30000.0</v>
      </c>
      <c r="C849" s="3" t="s">
        <v>3</v>
      </c>
      <c r="D849" s="4" t="b">
        <f t="shared" si="1"/>
        <v>0</v>
      </c>
      <c r="E849" s="4"/>
    </row>
    <row r="850">
      <c r="A850" s="3" t="s">
        <v>1001</v>
      </c>
      <c r="B850" s="3">
        <v>0.0</v>
      </c>
      <c r="C850" s="3" t="s">
        <v>6</v>
      </c>
      <c r="D850" s="4" t="b">
        <f t="shared" si="1"/>
        <v>0</v>
      </c>
      <c r="E850" s="4"/>
    </row>
    <row r="851">
      <c r="A851" s="3" t="s">
        <v>1002</v>
      </c>
      <c r="B851" s="3">
        <v>10000.0</v>
      </c>
      <c r="C851" s="3" t="s">
        <v>3</v>
      </c>
      <c r="D851" s="4" t="b">
        <f t="shared" si="1"/>
        <v>0</v>
      </c>
      <c r="E851" s="4"/>
    </row>
    <row r="852">
      <c r="A852" s="3" t="s">
        <v>1003</v>
      </c>
      <c r="B852" s="3">
        <v>0.0</v>
      </c>
      <c r="C852" s="3" t="s">
        <v>3</v>
      </c>
      <c r="D852" s="4" t="b">
        <f t="shared" si="1"/>
        <v>0</v>
      </c>
      <c r="E852" s="4"/>
    </row>
    <row r="853">
      <c r="A853" s="3" t="s">
        <v>1004</v>
      </c>
      <c r="B853" s="3">
        <v>0.0</v>
      </c>
      <c r="C853" s="3" t="s">
        <v>3</v>
      </c>
      <c r="D853" s="4" t="b">
        <f t="shared" si="1"/>
        <v>0</v>
      </c>
      <c r="E853" s="4"/>
    </row>
    <row r="854">
      <c r="A854" s="3" t="s">
        <v>1005</v>
      </c>
      <c r="B854" s="3">
        <v>500.0</v>
      </c>
      <c r="C854" s="4"/>
      <c r="D854" s="4" t="b">
        <f t="shared" si="1"/>
        <v>0</v>
      </c>
      <c r="E854" s="4"/>
    </row>
    <row r="855">
      <c r="A855" s="3" t="s">
        <v>1006</v>
      </c>
      <c r="B855" s="3">
        <v>0.0</v>
      </c>
      <c r="C855" s="3" t="s">
        <v>3</v>
      </c>
      <c r="D855" s="4" t="b">
        <f t="shared" si="1"/>
        <v>0</v>
      </c>
      <c r="E855" s="4"/>
    </row>
    <row r="856">
      <c r="A856" s="3" t="s">
        <v>1007</v>
      </c>
      <c r="B856" s="3">
        <v>3000.0</v>
      </c>
      <c r="C856" s="4"/>
      <c r="D856" s="4" t="b">
        <f t="shared" si="1"/>
        <v>0</v>
      </c>
      <c r="E856" s="4"/>
    </row>
    <row r="857">
      <c r="A857" s="3" t="s">
        <v>1008</v>
      </c>
      <c r="B857" s="3">
        <v>0.0</v>
      </c>
      <c r="C857" s="3" t="s">
        <v>484</v>
      </c>
      <c r="D857" s="4" t="b">
        <f t="shared" si="1"/>
        <v>0</v>
      </c>
      <c r="E857" s="4"/>
    </row>
    <row r="858">
      <c r="A858" s="3" t="s">
        <v>1009</v>
      </c>
      <c r="B858" s="3">
        <v>0.0</v>
      </c>
      <c r="C858" s="3" t="s">
        <v>3</v>
      </c>
      <c r="D858" s="4" t="b">
        <f t="shared" si="1"/>
        <v>0</v>
      </c>
      <c r="E858" s="4"/>
    </row>
    <row r="859">
      <c r="A859" s="3" t="s">
        <v>1010</v>
      </c>
      <c r="B859" s="3">
        <v>0.0</v>
      </c>
      <c r="C859" s="3" t="s">
        <v>6</v>
      </c>
      <c r="D859" s="4" t="b">
        <f t="shared" si="1"/>
        <v>0</v>
      </c>
      <c r="E859" s="4"/>
    </row>
    <row r="860">
      <c r="A860" s="3" t="s">
        <v>1011</v>
      </c>
      <c r="B860" s="3">
        <v>4000.0</v>
      </c>
      <c r="C860" s="4"/>
      <c r="D860" s="4" t="b">
        <f t="shared" si="1"/>
        <v>0</v>
      </c>
      <c r="E860" s="4"/>
    </row>
    <row r="861">
      <c r="A861" s="3" t="s">
        <v>1012</v>
      </c>
      <c r="B861" s="3">
        <v>2100.0</v>
      </c>
      <c r="C861" s="3" t="s">
        <v>3</v>
      </c>
      <c r="D861" s="4" t="b">
        <f t="shared" si="1"/>
        <v>0</v>
      </c>
      <c r="E861" s="4"/>
    </row>
    <row r="862">
      <c r="A862" s="3" t="s">
        <v>1013</v>
      </c>
      <c r="B862" s="3">
        <v>9500.0</v>
      </c>
      <c r="C862" s="3" t="s">
        <v>6</v>
      </c>
      <c r="D862" s="4" t="b">
        <f t="shared" si="1"/>
        <v>0</v>
      </c>
      <c r="E862" s="4"/>
    </row>
    <row r="863">
      <c r="A863" s="3" t="s">
        <v>1015</v>
      </c>
      <c r="B863" s="3">
        <v>0.0</v>
      </c>
      <c r="C863" s="3" t="s">
        <v>3</v>
      </c>
      <c r="D863" s="4" t="b">
        <f t="shared" si="1"/>
        <v>0</v>
      </c>
      <c r="E863" s="4"/>
    </row>
    <row r="864">
      <c r="A864" s="3" t="s">
        <v>1016</v>
      </c>
      <c r="B864" s="3">
        <v>0.0</v>
      </c>
      <c r="C864" s="3" t="s">
        <v>6</v>
      </c>
      <c r="D864" s="4" t="b">
        <f t="shared" si="1"/>
        <v>0</v>
      </c>
      <c r="E864" s="4"/>
    </row>
    <row r="865">
      <c r="A865" s="3" t="s">
        <v>1017</v>
      </c>
      <c r="B865" s="3">
        <v>1200.0</v>
      </c>
      <c r="C865" s="4"/>
      <c r="D865" s="4" t="b">
        <f t="shared" si="1"/>
        <v>0</v>
      </c>
      <c r="E865" s="4"/>
    </row>
    <row r="866">
      <c r="A866" s="3" t="s">
        <v>1018</v>
      </c>
      <c r="B866" s="3">
        <v>0.0</v>
      </c>
      <c r="C866" s="3" t="s">
        <v>32</v>
      </c>
      <c r="D866" s="4" t="b">
        <f t="shared" si="1"/>
        <v>0</v>
      </c>
      <c r="E866" s="4"/>
    </row>
    <row r="867">
      <c r="A867" s="3" t="s">
        <v>1019</v>
      </c>
      <c r="B867" s="3">
        <v>0.0</v>
      </c>
      <c r="C867" s="3" t="s">
        <v>6</v>
      </c>
      <c r="D867" s="4" t="b">
        <f t="shared" si="1"/>
        <v>0</v>
      </c>
      <c r="E867" s="4"/>
    </row>
    <row r="868">
      <c r="A868" s="3" t="s">
        <v>1020</v>
      </c>
      <c r="B868" s="3">
        <v>1534.0</v>
      </c>
      <c r="C868" s="4"/>
      <c r="D868" s="4" t="b">
        <f t="shared" si="1"/>
        <v>0</v>
      </c>
      <c r="E868" s="4"/>
    </row>
    <row r="869">
      <c r="A869" s="3" t="s">
        <v>1022</v>
      </c>
      <c r="B869" s="3">
        <v>0.0</v>
      </c>
      <c r="C869" s="3" t="s">
        <v>6</v>
      </c>
      <c r="D869" s="4" t="b">
        <f t="shared" si="1"/>
        <v>0</v>
      </c>
      <c r="E869" s="4"/>
    </row>
    <row r="870">
      <c r="A870" s="3" t="s">
        <v>1023</v>
      </c>
      <c r="B870" s="3">
        <v>27000.0</v>
      </c>
      <c r="C870" s="3" t="s">
        <v>3</v>
      </c>
      <c r="D870" s="4" t="b">
        <f t="shared" si="1"/>
        <v>0</v>
      </c>
      <c r="E870" s="4"/>
    </row>
    <row r="871">
      <c r="A871" s="3" t="s">
        <v>1025</v>
      </c>
      <c r="B871" s="3">
        <v>0.0</v>
      </c>
      <c r="C871" s="3" t="s">
        <v>3</v>
      </c>
      <c r="D871" s="4" t="b">
        <f t="shared" si="1"/>
        <v>0</v>
      </c>
      <c r="E871" s="4"/>
    </row>
    <row r="872">
      <c r="A872" s="3" t="s">
        <v>1026</v>
      </c>
      <c r="B872" s="3">
        <v>46500.0</v>
      </c>
      <c r="C872" s="3" t="s">
        <v>3</v>
      </c>
      <c r="D872" s="4" t="b">
        <f t="shared" si="1"/>
        <v>0</v>
      </c>
      <c r="E872" s="4"/>
    </row>
    <row r="873">
      <c r="A873" s="3" t="s">
        <v>1028</v>
      </c>
      <c r="B873" s="4"/>
      <c r="C873" s="4"/>
      <c r="D873" s="4" t="b">
        <f t="shared" si="1"/>
        <v>1</v>
      </c>
      <c r="E873" s="4"/>
    </row>
    <row r="874">
      <c r="A874" s="3" t="s">
        <v>1029</v>
      </c>
      <c r="B874" s="3">
        <v>0.0</v>
      </c>
      <c r="C874" s="3" t="s">
        <v>3</v>
      </c>
      <c r="D874" s="4" t="b">
        <f t="shared" si="1"/>
        <v>0</v>
      </c>
      <c r="E874" s="4"/>
    </row>
    <row r="875">
      <c r="A875" s="3" t="s">
        <v>1030</v>
      </c>
      <c r="B875" s="4"/>
      <c r="C875" s="4"/>
      <c r="D875" s="4" t="b">
        <f t="shared" si="1"/>
        <v>1</v>
      </c>
      <c r="E875" s="4"/>
    </row>
    <row r="876">
      <c r="A876" s="3" t="s">
        <v>1031</v>
      </c>
      <c r="B876" s="3">
        <v>0.0</v>
      </c>
      <c r="C876" s="3" t="s">
        <v>3</v>
      </c>
      <c r="D876" s="4" t="b">
        <f t="shared" si="1"/>
        <v>0</v>
      </c>
      <c r="E876" s="4"/>
    </row>
    <row r="877">
      <c r="A877" s="3" t="s">
        <v>1032</v>
      </c>
      <c r="B877" s="3">
        <v>0.0</v>
      </c>
      <c r="C877" s="3" t="s">
        <v>29</v>
      </c>
      <c r="D877" s="4" t="b">
        <f t="shared" si="1"/>
        <v>0</v>
      </c>
      <c r="E877" s="4"/>
    </row>
    <row r="878">
      <c r="A878" s="3" t="s">
        <v>1033</v>
      </c>
      <c r="B878" s="3">
        <v>109834.0</v>
      </c>
      <c r="C878" s="4"/>
      <c r="D878" s="4" t="b">
        <f t="shared" si="1"/>
        <v>0</v>
      </c>
      <c r="E878" s="4"/>
    </row>
    <row r="879">
      <c r="A879" s="3" t="s">
        <v>1035</v>
      </c>
      <c r="B879" s="3">
        <v>4000.0</v>
      </c>
      <c r="C879" s="4"/>
      <c r="D879" s="4" t="b">
        <f t="shared" si="1"/>
        <v>0</v>
      </c>
      <c r="E879" s="4"/>
    </row>
    <row r="880">
      <c r="A880" s="3" t="s">
        <v>1036</v>
      </c>
      <c r="B880" s="3">
        <v>0.0</v>
      </c>
      <c r="C880" s="3" t="s">
        <v>3</v>
      </c>
      <c r="D880" s="4" t="b">
        <f t="shared" si="1"/>
        <v>0</v>
      </c>
      <c r="E880" s="4"/>
    </row>
    <row r="881">
      <c r="A881" s="3" t="s">
        <v>1037</v>
      </c>
      <c r="B881" s="3">
        <v>0.0</v>
      </c>
      <c r="C881" s="3" t="s">
        <v>26</v>
      </c>
      <c r="D881" s="4" t="b">
        <f t="shared" si="1"/>
        <v>0</v>
      </c>
      <c r="E881" s="4"/>
    </row>
    <row r="882">
      <c r="A882" s="3" t="s">
        <v>1038</v>
      </c>
      <c r="B882" s="3">
        <v>0.0</v>
      </c>
      <c r="C882" s="3" t="s">
        <v>3</v>
      </c>
      <c r="D882" s="4" t="b">
        <f t="shared" si="1"/>
        <v>0</v>
      </c>
      <c r="E882" s="4"/>
    </row>
    <row r="883">
      <c r="A883" s="3" t="s">
        <v>1039</v>
      </c>
      <c r="B883" s="3">
        <v>14000.0</v>
      </c>
      <c r="C883" s="3" t="s">
        <v>3</v>
      </c>
      <c r="D883" s="4" t="b">
        <f t="shared" si="1"/>
        <v>0</v>
      </c>
      <c r="E883" s="4"/>
    </row>
    <row r="884">
      <c r="A884" s="3" t="s">
        <v>1041</v>
      </c>
      <c r="B884" s="3">
        <v>500.0</v>
      </c>
      <c r="C884" s="4"/>
      <c r="D884" s="4" t="b">
        <f t="shared" si="1"/>
        <v>0</v>
      </c>
      <c r="E884" s="4"/>
    </row>
    <row r="885">
      <c r="A885" s="3" t="s">
        <v>1042</v>
      </c>
      <c r="B885" s="3">
        <v>0.0</v>
      </c>
      <c r="C885" s="3" t="s">
        <v>3</v>
      </c>
      <c r="D885" s="4" t="b">
        <f t="shared" si="1"/>
        <v>0</v>
      </c>
      <c r="E885" s="4"/>
    </row>
    <row r="886">
      <c r="A886" s="3" t="s">
        <v>1043</v>
      </c>
      <c r="B886" s="3">
        <v>4000.0</v>
      </c>
      <c r="C886" s="4"/>
      <c r="D886" s="4" t="b">
        <f t="shared" si="1"/>
        <v>0</v>
      </c>
      <c r="E886" s="4"/>
    </row>
    <row r="887">
      <c r="A887" s="3" t="s">
        <v>1044</v>
      </c>
      <c r="B887" s="3">
        <v>118603.0</v>
      </c>
      <c r="C887" s="3" t="s">
        <v>37</v>
      </c>
      <c r="D887" s="4" t="b">
        <f t="shared" si="1"/>
        <v>0</v>
      </c>
      <c r="E887" s="4"/>
    </row>
    <row r="888">
      <c r="A888" s="4"/>
      <c r="B888" s="4"/>
      <c r="C888" s="3" t="s">
        <v>38</v>
      </c>
      <c r="D888" s="4" t="b">
        <f t="shared" si="1"/>
        <v>1</v>
      </c>
      <c r="E888" s="4"/>
    </row>
    <row r="889">
      <c r="A889" s="3" t="s">
        <v>1046</v>
      </c>
      <c r="B889" s="3">
        <v>0.0</v>
      </c>
      <c r="C889" s="3" t="s">
        <v>3</v>
      </c>
      <c r="D889" s="4" t="b">
        <f t="shared" si="1"/>
        <v>0</v>
      </c>
      <c r="E889" s="4"/>
    </row>
    <row r="890">
      <c r="A890" s="3" t="s">
        <v>1047</v>
      </c>
      <c r="B890" s="3">
        <v>4500.0</v>
      </c>
      <c r="C890" s="4"/>
      <c r="D890" s="4" t="b">
        <f t="shared" si="1"/>
        <v>0</v>
      </c>
      <c r="E890" s="4"/>
    </row>
    <row r="891">
      <c r="A891" s="3" t="s">
        <v>1048</v>
      </c>
      <c r="B891" s="3">
        <v>0.0</v>
      </c>
      <c r="C891" s="3" t="s">
        <v>3</v>
      </c>
      <c r="D891" s="4" t="b">
        <f t="shared" si="1"/>
        <v>0</v>
      </c>
      <c r="E891" s="4"/>
    </row>
    <row r="892">
      <c r="A892" s="3" t="s">
        <v>1049</v>
      </c>
      <c r="B892" s="3">
        <v>0.0</v>
      </c>
      <c r="C892" s="3" t="s">
        <v>3</v>
      </c>
      <c r="D892" s="4" t="b">
        <f t="shared" si="1"/>
        <v>0</v>
      </c>
      <c r="E892" s="4"/>
    </row>
    <row r="893">
      <c r="A893" s="3" t="s">
        <v>1050</v>
      </c>
      <c r="B893" s="4"/>
      <c r="C893" s="4"/>
      <c r="D893" s="4" t="b">
        <f t="shared" si="1"/>
        <v>1</v>
      </c>
      <c r="E893" s="4"/>
    </row>
    <row r="894">
      <c r="A894" s="3" t="s">
        <v>1051</v>
      </c>
      <c r="B894" s="3">
        <v>1410.0</v>
      </c>
      <c r="C894" s="4"/>
      <c r="D894" s="4" t="b">
        <f t="shared" si="1"/>
        <v>0</v>
      </c>
      <c r="E894" s="4"/>
    </row>
    <row r="895">
      <c r="A895" s="3" t="s">
        <v>1053</v>
      </c>
      <c r="B895" s="3">
        <v>1000.0</v>
      </c>
      <c r="C895" s="3" t="s">
        <v>32</v>
      </c>
      <c r="D895" s="4" t="b">
        <f t="shared" si="1"/>
        <v>0</v>
      </c>
      <c r="E895" s="4"/>
    </row>
    <row r="896">
      <c r="A896" s="3" t="s">
        <v>1054</v>
      </c>
      <c r="B896" s="3">
        <v>0.0</v>
      </c>
      <c r="C896" s="3" t="s">
        <v>3</v>
      </c>
      <c r="D896" s="4" t="b">
        <f t="shared" si="1"/>
        <v>0</v>
      </c>
      <c r="E896" s="4"/>
    </row>
    <row r="897">
      <c r="A897" s="3" t="s">
        <v>1055</v>
      </c>
      <c r="B897" s="3">
        <v>31000.0</v>
      </c>
      <c r="C897" s="4"/>
      <c r="D897" s="4" t="b">
        <f t="shared" si="1"/>
        <v>0</v>
      </c>
      <c r="E897" s="4"/>
    </row>
    <row r="898">
      <c r="A898" s="3" t="s">
        <v>1057</v>
      </c>
      <c r="B898" s="3">
        <v>0.0</v>
      </c>
      <c r="C898" s="3" t="s">
        <v>32</v>
      </c>
      <c r="D898" s="4" t="b">
        <f t="shared" si="1"/>
        <v>0</v>
      </c>
      <c r="E898" s="4"/>
    </row>
    <row r="899">
      <c r="A899" s="3" t="s">
        <v>1058</v>
      </c>
      <c r="B899" s="3">
        <v>1000.0</v>
      </c>
      <c r="C899" s="4"/>
      <c r="D899" s="4" t="b">
        <f t="shared" si="1"/>
        <v>0</v>
      </c>
      <c r="E899" s="4"/>
    </row>
    <row r="900">
      <c r="A900" s="3" t="s">
        <v>1059</v>
      </c>
      <c r="B900" s="3">
        <v>0.0</v>
      </c>
      <c r="C900" s="3" t="s">
        <v>3</v>
      </c>
      <c r="D900" s="4" t="b">
        <f t="shared" si="1"/>
        <v>0</v>
      </c>
      <c r="E900" s="4"/>
    </row>
    <row r="901">
      <c r="A901" s="3" t="s">
        <v>1060</v>
      </c>
      <c r="B901" s="3">
        <v>3000.0</v>
      </c>
      <c r="C901" s="4"/>
      <c r="D901" s="4" t="b">
        <f t="shared" si="1"/>
        <v>0</v>
      </c>
      <c r="E901" s="4"/>
    </row>
    <row r="902">
      <c r="A902" s="3" t="s">
        <v>1061</v>
      </c>
      <c r="B902" s="3">
        <v>2000.0</v>
      </c>
      <c r="C902" s="3" t="s">
        <v>3</v>
      </c>
      <c r="D902" s="4" t="b">
        <f t="shared" si="1"/>
        <v>0</v>
      </c>
      <c r="E902" s="4"/>
    </row>
    <row r="903">
      <c r="A903" s="3" t="s">
        <v>1062</v>
      </c>
      <c r="B903" s="4"/>
      <c r="C903" s="4"/>
      <c r="D903" s="4" t="b">
        <f t="shared" si="1"/>
        <v>1</v>
      </c>
      <c r="E903" s="4"/>
    </row>
    <row r="904">
      <c r="A904" s="3" t="s">
        <v>1063</v>
      </c>
      <c r="B904" s="3">
        <v>14800.0</v>
      </c>
      <c r="C904" s="4"/>
      <c r="D904" s="4" t="b">
        <f t="shared" si="1"/>
        <v>0</v>
      </c>
      <c r="E904" s="4"/>
    </row>
    <row r="905">
      <c r="A905" s="3" t="s">
        <v>1064</v>
      </c>
      <c r="B905" s="3">
        <v>0.0</v>
      </c>
      <c r="C905" s="3" t="s">
        <v>3</v>
      </c>
      <c r="D905" s="4" t="b">
        <f t="shared" si="1"/>
        <v>0</v>
      </c>
      <c r="E905" s="4"/>
    </row>
    <row r="906">
      <c r="A906" s="3" t="s">
        <v>1065</v>
      </c>
      <c r="B906" s="3">
        <v>15000.0</v>
      </c>
      <c r="C906" s="3" t="s">
        <v>3</v>
      </c>
      <c r="D906" s="4" t="b">
        <f t="shared" si="1"/>
        <v>0</v>
      </c>
      <c r="E906" s="4"/>
    </row>
    <row r="907">
      <c r="A907" s="3" t="s">
        <v>1066</v>
      </c>
      <c r="B907" s="4"/>
      <c r="C907" s="4"/>
      <c r="D907" s="4" t="b">
        <f t="shared" si="1"/>
        <v>1</v>
      </c>
      <c r="E907" s="4"/>
    </row>
    <row r="908">
      <c r="A908" s="3" t="s">
        <v>1067</v>
      </c>
      <c r="B908" s="3">
        <v>13050.0</v>
      </c>
      <c r="C908" s="3" t="s">
        <v>37</v>
      </c>
      <c r="D908" s="4" t="b">
        <f t="shared" si="1"/>
        <v>0</v>
      </c>
      <c r="E908" s="4"/>
    </row>
    <row r="909">
      <c r="A909" s="4"/>
      <c r="B909" s="4"/>
      <c r="C909" s="3" t="s">
        <v>38</v>
      </c>
      <c r="D909" s="4" t="b">
        <f t="shared" si="1"/>
        <v>1</v>
      </c>
      <c r="E909" s="4"/>
    </row>
    <row r="910">
      <c r="A910" s="3" t="s">
        <v>1069</v>
      </c>
      <c r="B910" s="3">
        <v>4000.0</v>
      </c>
      <c r="C910" s="4"/>
      <c r="D910" s="4" t="b">
        <f t="shared" si="1"/>
        <v>0</v>
      </c>
      <c r="E910" s="4"/>
    </row>
    <row r="911">
      <c r="A911" s="3" t="s">
        <v>1070</v>
      </c>
      <c r="B911" s="3">
        <v>185000.0</v>
      </c>
      <c r="C911" s="3" t="s">
        <v>280</v>
      </c>
      <c r="D911" s="4" t="b">
        <f t="shared" si="1"/>
        <v>0</v>
      </c>
      <c r="E911" s="4"/>
    </row>
    <row r="912">
      <c r="A912" s="3" t="s">
        <v>1072</v>
      </c>
      <c r="B912" s="3">
        <v>0.0</v>
      </c>
      <c r="C912" s="3" t="s">
        <v>3</v>
      </c>
      <c r="D912" s="4" t="b">
        <f t="shared" si="1"/>
        <v>0</v>
      </c>
      <c r="E912" s="4"/>
    </row>
    <row r="913">
      <c r="A913" s="3" t="s">
        <v>1073</v>
      </c>
      <c r="B913" s="3">
        <v>0.0</v>
      </c>
      <c r="C913" s="3" t="s">
        <v>484</v>
      </c>
      <c r="D913" s="4" t="b">
        <f t="shared" si="1"/>
        <v>0</v>
      </c>
      <c r="E913" s="4"/>
    </row>
    <row r="914">
      <c r="A914" s="3" t="s">
        <v>1074</v>
      </c>
      <c r="B914" s="4"/>
      <c r="C914" s="4"/>
      <c r="D914" s="4" t="b">
        <f t="shared" si="1"/>
        <v>1</v>
      </c>
      <c r="E914" s="4"/>
    </row>
    <row r="915">
      <c r="A915" s="3" t="s">
        <v>1075</v>
      </c>
      <c r="B915" s="3">
        <v>0.0</v>
      </c>
      <c r="C915" s="3" t="s">
        <v>3</v>
      </c>
      <c r="D915" s="4" t="b">
        <f t="shared" si="1"/>
        <v>0</v>
      </c>
      <c r="E915" s="4"/>
    </row>
    <row r="916">
      <c r="A916" s="3" t="s">
        <v>1076</v>
      </c>
      <c r="B916" s="3">
        <v>0.0</v>
      </c>
      <c r="C916" s="3" t="s">
        <v>3</v>
      </c>
      <c r="D916" s="4" t="b">
        <f t="shared" si="1"/>
        <v>0</v>
      </c>
      <c r="E916" s="4"/>
    </row>
    <row r="917">
      <c r="A917" s="3" t="s">
        <v>1077</v>
      </c>
      <c r="B917" s="3">
        <v>0.0</v>
      </c>
      <c r="C917" s="3" t="s">
        <v>3</v>
      </c>
      <c r="D917" s="4" t="b">
        <f t="shared" si="1"/>
        <v>0</v>
      </c>
      <c r="E917" s="4"/>
    </row>
    <row r="918">
      <c r="A918" s="3" t="s">
        <v>1078</v>
      </c>
      <c r="B918" s="4"/>
      <c r="C918" s="4"/>
      <c r="D918" s="4" t="b">
        <f t="shared" si="1"/>
        <v>1</v>
      </c>
      <c r="E918" s="4"/>
    </row>
    <row r="919">
      <c r="A919" s="3" t="s">
        <v>1079</v>
      </c>
      <c r="B919" s="3">
        <v>0.0</v>
      </c>
      <c r="C919" s="3" t="s">
        <v>3</v>
      </c>
      <c r="D919" s="4" t="b">
        <f t="shared" si="1"/>
        <v>0</v>
      </c>
      <c r="E919" s="4"/>
    </row>
    <row r="920">
      <c r="A920" s="3" t="s">
        <v>1080</v>
      </c>
      <c r="B920" s="3">
        <v>3500.0</v>
      </c>
      <c r="C920" s="3" t="s">
        <v>32</v>
      </c>
      <c r="D920" s="4" t="b">
        <f t="shared" si="1"/>
        <v>0</v>
      </c>
      <c r="E920" s="4"/>
    </row>
    <row r="921">
      <c r="A921" s="3" t="s">
        <v>1081</v>
      </c>
      <c r="B921" s="3">
        <v>0.0</v>
      </c>
      <c r="C921" s="3" t="s">
        <v>6</v>
      </c>
      <c r="D921" s="4" t="b">
        <f t="shared" si="1"/>
        <v>0</v>
      </c>
      <c r="E921" s="4"/>
    </row>
    <row r="922">
      <c r="A922" s="3" t="s">
        <v>1082</v>
      </c>
      <c r="B922" s="3">
        <v>0.0</v>
      </c>
      <c r="C922" s="3" t="s">
        <v>3</v>
      </c>
      <c r="D922" s="4" t="b">
        <f t="shared" si="1"/>
        <v>0</v>
      </c>
      <c r="E922" s="4"/>
    </row>
    <row r="923">
      <c r="A923" s="3" t="s">
        <v>1083</v>
      </c>
      <c r="B923" s="3">
        <v>500.0</v>
      </c>
      <c r="C923" s="3" t="s">
        <v>32</v>
      </c>
      <c r="D923" s="4" t="b">
        <f t="shared" si="1"/>
        <v>0</v>
      </c>
      <c r="E923" s="4"/>
    </row>
    <row r="924">
      <c r="A924" s="3" t="s">
        <v>1084</v>
      </c>
      <c r="B924" s="3">
        <v>0.0</v>
      </c>
      <c r="C924" s="3" t="s">
        <v>3</v>
      </c>
      <c r="D924" s="4" t="b">
        <f t="shared" si="1"/>
        <v>0</v>
      </c>
      <c r="E924" s="4"/>
    </row>
    <row r="925">
      <c r="A925" s="3" t="s">
        <v>1085</v>
      </c>
      <c r="B925" s="3">
        <v>700.0</v>
      </c>
      <c r="C925" s="4"/>
      <c r="D925" s="4" t="b">
        <f t="shared" si="1"/>
        <v>0</v>
      </c>
      <c r="E925" s="4"/>
    </row>
    <row r="926">
      <c r="A926" s="3" t="s">
        <v>1086</v>
      </c>
      <c r="B926" s="3">
        <v>0.0</v>
      </c>
      <c r="C926" s="3" t="s">
        <v>3</v>
      </c>
      <c r="D926" s="4" t="b">
        <f t="shared" si="1"/>
        <v>0</v>
      </c>
      <c r="E926" s="4"/>
    </row>
    <row r="927">
      <c r="A927" s="3" t="s">
        <v>1087</v>
      </c>
      <c r="B927" s="4"/>
      <c r="C927" s="4"/>
      <c r="D927" s="4" t="b">
        <f t="shared" si="1"/>
        <v>1</v>
      </c>
      <c r="E927" s="4"/>
    </row>
    <row r="928">
      <c r="A928" s="3" t="s">
        <v>1088</v>
      </c>
      <c r="B928" s="3">
        <v>3000.0</v>
      </c>
      <c r="C928" s="3" t="s">
        <v>3</v>
      </c>
      <c r="D928" s="4" t="b">
        <f t="shared" si="1"/>
        <v>0</v>
      </c>
      <c r="E928" s="4"/>
    </row>
    <row r="929">
      <c r="A929" s="3" t="s">
        <v>1089</v>
      </c>
      <c r="B929" s="3">
        <v>210000.0</v>
      </c>
      <c r="C929" s="4"/>
      <c r="D929" s="4" t="b">
        <f t="shared" si="1"/>
        <v>0</v>
      </c>
      <c r="E929" s="4"/>
    </row>
    <row r="930">
      <c r="A930" s="3" t="s">
        <v>1091</v>
      </c>
      <c r="B930" s="3">
        <v>0.0</v>
      </c>
      <c r="C930" s="3" t="s">
        <v>3</v>
      </c>
      <c r="D930" s="4" t="b">
        <f t="shared" si="1"/>
        <v>0</v>
      </c>
      <c r="E930" s="4"/>
    </row>
    <row r="931">
      <c r="A931" s="3" t="s">
        <v>1092</v>
      </c>
      <c r="B931" s="3">
        <v>2200.0</v>
      </c>
      <c r="C931" s="4"/>
      <c r="D931" s="4" t="b">
        <f t="shared" si="1"/>
        <v>0</v>
      </c>
      <c r="E931" s="4"/>
    </row>
    <row r="932">
      <c r="A932" s="3" t="s">
        <v>1094</v>
      </c>
      <c r="B932" s="3">
        <v>0.0</v>
      </c>
      <c r="C932" s="3" t="s">
        <v>3</v>
      </c>
      <c r="D932" s="4" t="b">
        <f t="shared" si="1"/>
        <v>0</v>
      </c>
      <c r="E932" s="4"/>
    </row>
    <row r="933">
      <c r="A933" s="3" t="s">
        <v>1095</v>
      </c>
      <c r="B933" s="3">
        <v>0.0</v>
      </c>
      <c r="C933" s="3" t="s">
        <v>6</v>
      </c>
      <c r="D933" s="4" t="b">
        <f t="shared" si="1"/>
        <v>0</v>
      </c>
      <c r="E933" s="4"/>
    </row>
    <row r="934">
      <c r="A934" s="3" t="s">
        <v>1096</v>
      </c>
      <c r="B934" s="3">
        <v>15500.0</v>
      </c>
      <c r="C934" s="3" t="s">
        <v>3</v>
      </c>
      <c r="D934" s="4" t="b">
        <f t="shared" si="1"/>
        <v>0</v>
      </c>
      <c r="E934" s="4"/>
    </row>
    <row r="935">
      <c r="A935" s="3" t="s">
        <v>1097</v>
      </c>
      <c r="B935" s="3">
        <v>0.0</v>
      </c>
      <c r="C935" s="3" t="s">
        <v>29</v>
      </c>
      <c r="D935" s="4" t="b">
        <f t="shared" si="1"/>
        <v>0</v>
      </c>
      <c r="E935" s="4"/>
    </row>
    <row r="936">
      <c r="A936" s="3" t="s">
        <v>1098</v>
      </c>
      <c r="B936" s="3">
        <v>500.0</v>
      </c>
      <c r="C936" s="4"/>
      <c r="D936" s="4" t="b">
        <f t="shared" si="1"/>
        <v>0</v>
      </c>
      <c r="E936" s="4"/>
    </row>
    <row r="937">
      <c r="A937" s="3" t="s">
        <v>1099</v>
      </c>
      <c r="B937" s="3">
        <v>0.0</v>
      </c>
      <c r="C937" s="3" t="s">
        <v>3</v>
      </c>
      <c r="D937" s="4" t="b">
        <f t="shared" si="1"/>
        <v>0</v>
      </c>
      <c r="E937" s="4"/>
    </row>
    <row r="938">
      <c r="A938" s="3" t="s">
        <v>1100</v>
      </c>
      <c r="B938" s="3">
        <v>0.0</v>
      </c>
      <c r="C938" s="3" t="s">
        <v>3</v>
      </c>
      <c r="D938" s="4" t="b">
        <f t="shared" si="1"/>
        <v>0</v>
      </c>
      <c r="E938" s="4"/>
    </row>
    <row r="939">
      <c r="A939" s="3" t="s">
        <v>1101</v>
      </c>
      <c r="B939" s="3">
        <v>0.0</v>
      </c>
      <c r="C939" s="3" t="s">
        <v>3</v>
      </c>
      <c r="D939" s="4" t="b">
        <f t="shared" si="1"/>
        <v>0</v>
      </c>
      <c r="E939" s="4"/>
    </row>
    <row r="940">
      <c r="A940" s="3" t="s">
        <v>1102</v>
      </c>
      <c r="B940" s="4"/>
      <c r="C940" s="4"/>
      <c r="D940" s="4" t="b">
        <f t="shared" si="1"/>
        <v>1</v>
      </c>
      <c r="E940" s="4"/>
    </row>
    <row r="941">
      <c r="A941" s="3" t="s">
        <v>1103</v>
      </c>
      <c r="B941" s="3">
        <v>0.0</v>
      </c>
      <c r="C941" s="3" t="s">
        <v>3</v>
      </c>
      <c r="D941" s="4" t="b">
        <f t="shared" si="1"/>
        <v>0</v>
      </c>
      <c r="E941" s="4"/>
    </row>
    <row r="942">
      <c r="A942" s="3" t="s">
        <v>1104</v>
      </c>
      <c r="B942" s="3">
        <v>0.0</v>
      </c>
      <c r="C942" s="3" t="s">
        <v>32</v>
      </c>
      <c r="D942" s="4" t="b">
        <f t="shared" si="1"/>
        <v>0</v>
      </c>
      <c r="E942" s="4"/>
    </row>
    <row r="943">
      <c r="A943" s="3" t="s">
        <v>1105</v>
      </c>
      <c r="B943" s="4"/>
      <c r="C943" s="4"/>
      <c r="D943" s="4" t="b">
        <f t="shared" si="1"/>
        <v>1</v>
      </c>
      <c r="E943" s="4"/>
    </row>
    <row r="944">
      <c r="A944" s="3" t="s">
        <v>1106</v>
      </c>
      <c r="B944" s="3">
        <v>750.0</v>
      </c>
      <c r="C944" s="3" t="s">
        <v>3</v>
      </c>
      <c r="D944" s="4" t="b">
        <f t="shared" si="1"/>
        <v>0</v>
      </c>
      <c r="E944" s="4"/>
    </row>
    <row r="945">
      <c r="A945" s="3" t="s">
        <v>1107</v>
      </c>
      <c r="B945" s="3">
        <v>0.0</v>
      </c>
      <c r="C945" s="3" t="s">
        <v>3</v>
      </c>
      <c r="D945" s="4" t="b">
        <f t="shared" si="1"/>
        <v>0</v>
      </c>
      <c r="E945" s="4"/>
    </row>
    <row r="946">
      <c r="A946" s="3" t="s">
        <v>1108</v>
      </c>
      <c r="B946" s="3">
        <v>0.0</v>
      </c>
      <c r="C946" s="3" t="s">
        <v>3</v>
      </c>
      <c r="D946" s="4" t="b">
        <f t="shared" si="1"/>
        <v>0</v>
      </c>
      <c r="E946" s="4"/>
    </row>
    <row r="947">
      <c r="A947" s="3" t="s">
        <v>1109</v>
      </c>
      <c r="B947" s="4"/>
      <c r="C947" s="4"/>
      <c r="D947" s="4" t="b">
        <f t="shared" si="1"/>
        <v>1</v>
      </c>
      <c r="E947" s="4"/>
    </row>
    <row r="948">
      <c r="A948" s="3" t="s">
        <v>1110</v>
      </c>
      <c r="B948" s="3">
        <v>1000.0</v>
      </c>
      <c r="C948" s="3" t="s">
        <v>32</v>
      </c>
      <c r="D948" s="4" t="b">
        <f t="shared" si="1"/>
        <v>0</v>
      </c>
      <c r="E948" s="4"/>
    </row>
    <row r="949">
      <c r="A949" s="3">
        <v>33.0</v>
      </c>
      <c r="B949" s="4"/>
      <c r="C949" s="4"/>
      <c r="D949" s="4" t="b">
        <f t="shared" si="1"/>
        <v>1</v>
      </c>
      <c r="E949" s="4"/>
    </row>
    <row r="950">
      <c r="A950" s="3" t="s">
        <v>1111</v>
      </c>
      <c r="B950" s="3">
        <v>16000.0</v>
      </c>
      <c r="C950" s="3" t="s">
        <v>6</v>
      </c>
      <c r="D950" s="4" t="b">
        <f t="shared" si="1"/>
        <v>0</v>
      </c>
      <c r="E950" s="4"/>
    </row>
    <row r="951">
      <c r="A951" s="3" t="s">
        <v>1112</v>
      </c>
      <c r="B951" s="4"/>
      <c r="C951" s="4"/>
      <c r="D951" s="4" t="b">
        <f t="shared" si="1"/>
        <v>1</v>
      </c>
      <c r="E951" s="4"/>
    </row>
    <row r="952">
      <c r="A952" s="3" t="s">
        <v>1113</v>
      </c>
      <c r="B952" s="3">
        <v>5000.0</v>
      </c>
      <c r="C952" s="4"/>
      <c r="D952" s="4" t="b">
        <f t="shared" si="1"/>
        <v>0</v>
      </c>
      <c r="E952" s="4"/>
    </row>
    <row r="953">
      <c r="A953" s="3" t="s">
        <v>1114</v>
      </c>
      <c r="B953" s="3">
        <v>0.0</v>
      </c>
      <c r="C953" s="3" t="s">
        <v>6</v>
      </c>
      <c r="D953" s="4" t="b">
        <f t="shared" si="1"/>
        <v>0</v>
      </c>
      <c r="E953" s="4"/>
    </row>
    <row r="954">
      <c r="A954" s="3" t="s">
        <v>1115</v>
      </c>
      <c r="B954" s="3">
        <v>0.0</v>
      </c>
      <c r="C954" s="3" t="s">
        <v>3</v>
      </c>
      <c r="D954" s="4" t="b">
        <f t="shared" si="1"/>
        <v>0</v>
      </c>
      <c r="E954" s="4"/>
    </row>
    <row r="955">
      <c r="A955" s="3" t="s">
        <v>1116</v>
      </c>
      <c r="B955" s="4"/>
      <c r="C955" s="4"/>
      <c r="D955" s="4" t="b">
        <f t="shared" si="1"/>
        <v>1</v>
      </c>
      <c r="E955" s="4"/>
    </row>
    <row r="956">
      <c r="A956" s="3" t="s">
        <v>1117</v>
      </c>
      <c r="B956" s="3">
        <v>0.0</v>
      </c>
      <c r="C956" s="3" t="s">
        <v>3</v>
      </c>
      <c r="D956" s="4" t="b">
        <f t="shared" si="1"/>
        <v>0</v>
      </c>
      <c r="E956" s="4"/>
    </row>
    <row r="957">
      <c r="A957" s="3" t="s">
        <v>1118</v>
      </c>
      <c r="B957" s="3">
        <v>0.0</v>
      </c>
      <c r="C957" s="3" t="s">
        <v>6</v>
      </c>
      <c r="D957" s="4" t="b">
        <f t="shared" si="1"/>
        <v>0</v>
      </c>
      <c r="E957" s="4"/>
    </row>
    <row r="958">
      <c r="A958" s="3" t="s">
        <v>1119</v>
      </c>
      <c r="B958" s="3">
        <v>0.0</v>
      </c>
      <c r="C958" s="3" t="s">
        <v>3</v>
      </c>
      <c r="D958" s="4" t="b">
        <f t="shared" si="1"/>
        <v>0</v>
      </c>
      <c r="E958" s="4"/>
    </row>
    <row r="959">
      <c r="A959" s="3" t="s">
        <v>1120</v>
      </c>
      <c r="B959" s="4"/>
      <c r="C959" s="4"/>
      <c r="D959" s="4" t="b">
        <f t="shared" si="1"/>
        <v>1</v>
      </c>
      <c r="E959" s="4"/>
    </row>
    <row r="960">
      <c r="A960" s="3" t="s">
        <v>1121</v>
      </c>
      <c r="B960" s="3">
        <v>2000.0</v>
      </c>
      <c r="C960" s="4"/>
      <c r="D960" s="4" t="b">
        <f t="shared" si="1"/>
        <v>0</v>
      </c>
      <c r="E960" s="4"/>
    </row>
    <row r="961">
      <c r="A961" s="3" t="s">
        <v>1122</v>
      </c>
      <c r="B961" s="4"/>
      <c r="C961" s="4"/>
      <c r="D961" s="4" t="b">
        <f t="shared" si="1"/>
        <v>1</v>
      </c>
      <c r="E961" s="4"/>
    </row>
    <row r="962">
      <c r="A962" s="3" t="s">
        <v>1123</v>
      </c>
      <c r="B962" s="3">
        <v>0.0</v>
      </c>
      <c r="C962" s="3" t="s">
        <v>3</v>
      </c>
      <c r="D962" s="4" t="b">
        <f t="shared" si="1"/>
        <v>0</v>
      </c>
      <c r="E962" s="4"/>
    </row>
    <row r="963">
      <c r="A963" s="3" t="s">
        <v>1124</v>
      </c>
      <c r="B963" s="4"/>
      <c r="C963" s="4"/>
      <c r="D963" s="4" t="b">
        <f t="shared" si="1"/>
        <v>1</v>
      </c>
      <c r="E963" s="4"/>
    </row>
    <row r="964">
      <c r="A964" s="3" t="s">
        <v>1125</v>
      </c>
      <c r="B964" s="3">
        <v>0.0</v>
      </c>
      <c r="C964" s="3" t="s">
        <v>3</v>
      </c>
      <c r="D964" s="4" t="b">
        <f t="shared" si="1"/>
        <v>0</v>
      </c>
      <c r="E964" s="4"/>
    </row>
    <row r="965">
      <c r="A965" s="3" t="s">
        <v>1126</v>
      </c>
      <c r="B965" s="4"/>
      <c r="C965" s="4"/>
      <c r="D965" s="4" t="b">
        <f t="shared" si="1"/>
        <v>1</v>
      </c>
      <c r="E965" s="4"/>
    </row>
    <row r="966">
      <c r="A966" s="3" t="s">
        <v>1127</v>
      </c>
      <c r="B966" s="3">
        <v>0.0</v>
      </c>
      <c r="C966" s="3" t="s">
        <v>32</v>
      </c>
      <c r="D966" s="4" t="b">
        <f t="shared" si="1"/>
        <v>0</v>
      </c>
      <c r="E966" s="4"/>
    </row>
    <row r="967">
      <c r="A967" s="3" t="s">
        <v>1128</v>
      </c>
      <c r="B967" s="4"/>
      <c r="C967" s="4"/>
      <c r="D967" s="4" t="b">
        <f t="shared" si="1"/>
        <v>1</v>
      </c>
      <c r="E967" s="4"/>
    </row>
    <row r="968">
      <c r="A968" s="3" t="s">
        <v>1129</v>
      </c>
      <c r="B968" s="3">
        <v>800.0</v>
      </c>
      <c r="C968" s="4"/>
      <c r="D968" s="4" t="b">
        <f t="shared" si="1"/>
        <v>0</v>
      </c>
      <c r="E968" s="4"/>
    </row>
    <row r="969">
      <c r="A969" s="3" t="s">
        <v>1130</v>
      </c>
      <c r="B969" s="4"/>
      <c r="C969" s="4"/>
      <c r="D969" s="4" t="b">
        <f t="shared" si="1"/>
        <v>1</v>
      </c>
      <c r="E969" s="4"/>
    </row>
    <row r="970">
      <c r="A970" s="3" t="s">
        <v>1131</v>
      </c>
      <c r="B970" s="3">
        <v>2000.0</v>
      </c>
      <c r="C970" s="3" t="s">
        <v>6</v>
      </c>
      <c r="D970" s="4" t="b">
        <f t="shared" si="1"/>
        <v>0</v>
      </c>
      <c r="E970" s="4"/>
    </row>
    <row r="971">
      <c r="A971" s="3" t="s">
        <v>1132</v>
      </c>
      <c r="B971" s="3">
        <v>0.0</v>
      </c>
      <c r="C971" s="3" t="s">
        <v>6</v>
      </c>
      <c r="D971" s="4" t="b">
        <f t="shared" si="1"/>
        <v>0</v>
      </c>
      <c r="E971" s="4"/>
    </row>
    <row r="972">
      <c r="A972" s="3" t="s">
        <v>1133</v>
      </c>
      <c r="B972" s="3">
        <v>0.0</v>
      </c>
      <c r="C972" s="3" t="s">
        <v>32</v>
      </c>
      <c r="D972" s="4" t="b">
        <f t="shared" si="1"/>
        <v>0</v>
      </c>
      <c r="E972" s="4"/>
    </row>
    <row r="973">
      <c r="A973" s="3" t="s">
        <v>1134</v>
      </c>
      <c r="B973" s="3">
        <v>500.0</v>
      </c>
      <c r="C973" s="4"/>
      <c r="D973" s="4" t="b">
        <f t="shared" si="1"/>
        <v>0</v>
      </c>
      <c r="E973" s="4"/>
    </row>
    <row r="974">
      <c r="A974" s="3" t="s">
        <v>1135</v>
      </c>
      <c r="B974" s="3">
        <v>3000.0</v>
      </c>
      <c r="C974" s="3" t="s">
        <v>6</v>
      </c>
      <c r="D974" s="4" t="b">
        <f t="shared" si="1"/>
        <v>0</v>
      </c>
      <c r="E974" s="4"/>
    </row>
    <row r="975">
      <c r="A975" s="3" t="s">
        <v>1136</v>
      </c>
      <c r="B975" s="3">
        <v>402000.0</v>
      </c>
      <c r="C975" s="3" t="s">
        <v>16</v>
      </c>
      <c r="D975" s="4" t="b">
        <f t="shared" si="1"/>
        <v>0</v>
      </c>
      <c r="E975" s="4"/>
    </row>
    <row r="976">
      <c r="A976" s="3" t="s">
        <v>1138</v>
      </c>
      <c r="B976" s="3">
        <v>0.0</v>
      </c>
      <c r="C976" s="3" t="s">
        <v>3</v>
      </c>
      <c r="D976" s="4" t="b">
        <f t="shared" si="1"/>
        <v>0</v>
      </c>
      <c r="E976" s="4"/>
    </row>
    <row r="977">
      <c r="A977" s="3" t="s">
        <v>1139</v>
      </c>
      <c r="B977" s="3">
        <v>0.0</v>
      </c>
      <c r="C977" s="3" t="s">
        <v>3</v>
      </c>
      <c r="D977" s="4" t="b">
        <f t="shared" si="1"/>
        <v>0</v>
      </c>
      <c r="E977" s="4"/>
    </row>
    <row r="978">
      <c r="A978" s="3" t="s">
        <v>1140</v>
      </c>
      <c r="B978" s="3">
        <v>0.0</v>
      </c>
      <c r="C978" s="3" t="s">
        <v>6</v>
      </c>
      <c r="D978" s="4" t="b">
        <f t="shared" si="1"/>
        <v>0</v>
      </c>
      <c r="E978" s="4"/>
    </row>
    <row r="979">
      <c r="A979" s="3" t="s">
        <v>1141</v>
      </c>
      <c r="B979" s="3">
        <v>0.0</v>
      </c>
      <c r="C979" s="3" t="s">
        <v>3</v>
      </c>
      <c r="D979" s="4" t="b">
        <f t="shared" si="1"/>
        <v>0</v>
      </c>
      <c r="E979" s="4"/>
    </row>
    <row r="980">
      <c r="A980" s="3" t="s">
        <v>1142</v>
      </c>
      <c r="B980" s="3">
        <v>0.0</v>
      </c>
      <c r="C980" s="3" t="s">
        <v>6</v>
      </c>
      <c r="D980" s="4" t="b">
        <f t="shared" si="1"/>
        <v>0</v>
      </c>
      <c r="E980" s="4"/>
    </row>
    <row r="981">
      <c r="A981" s="3" t="s">
        <v>1143</v>
      </c>
      <c r="B981" s="3">
        <v>0.0</v>
      </c>
      <c r="C981" s="3" t="s">
        <v>3</v>
      </c>
      <c r="D981" s="4" t="b">
        <f t="shared" si="1"/>
        <v>0</v>
      </c>
      <c r="E981" s="4"/>
    </row>
    <row r="982">
      <c r="A982" s="3" t="s">
        <v>1144</v>
      </c>
      <c r="B982" s="3">
        <v>2000.0</v>
      </c>
      <c r="C982" s="4"/>
      <c r="D982" s="4" t="b">
        <f t="shared" si="1"/>
        <v>0</v>
      </c>
      <c r="E982" s="4"/>
    </row>
    <row r="983">
      <c r="A983" s="3" t="s">
        <v>1145</v>
      </c>
      <c r="B983" s="3">
        <v>15000.0</v>
      </c>
      <c r="C983" s="3" t="s">
        <v>668</v>
      </c>
      <c r="D983" s="4" t="b">
        <f t="shared" si="1"/>
        <v>0</v>
      </c>
      <c r="E983" s="4"/>
    </row>
    <row r="984">
      <c r="A984" s="3" t="s">
        <v>1146</v>
      </c>
      <c r="B984" s="3">
        <v>4250.0</v>
      </c>
      <c r="C984" s="3" t="s">
        <v>29</v>
      </c>
      <c r="D984" s="4" t="b">
        <f t="shared" si="1"/>
        <v>0</v>
      </c>
      <c r="E984" s="4"/>
    </row>
    <row r="985">
      <c r="A985" s="3" t="s">
        <v>1148</v>
      </c>
      <c r="B985" s="3">
        <v>0.0</v>
      </c>
      <c r="C985" s="3" t="s">
        <v>26</v>
      </c>
      <c r="D985" s="4" t="b">
        <f t="shared" si="1"/>
        <v>0</v>
      </c>
      <c r="E985" s="4"/>
    </row>
    <row r="986">
      <c r="A986" s="3" t="s">
        <v>1149</v>
      </c>
      <c r="B986" s="3">
        <v>0.0</v>
      </c>
      <c r="C986" s="3" t="s">
        <v>29</v>
      </c>
      <c r="D986" s="4" t="b">
        <f t="shared" si="1"/>
        <v>0</v>
      </c>
      <c r="E986" s="4"/>
    </row>
    <row r="987">
      <c r="A987" s="3" t="s">
        <v>1150</v>
      </c>
      <c r="B987" s="3">
        <v>100000.0</v>
      </c>
      <c r="C987" s="3" t="s">
        <v>29</v>
      </c>
      <c r="D987" s="4" t="b">
        <f t="shared" si="1"/>
        <v>0</v>
      </c>
      <c r="E987" s="4"/>
    </row>
    <row r="988">
      <c r="A988" s="3" t="s">
        <v>1152</v>
      </c>
      <c r="B988" s="3">
        <v>0.0</v>
      </c>
      <c r="C988" s="3" t="s">
        <v>29</v>
      </c>
      <c r="D988" s="4" t="b">
        <f t="shared" si="1"/>
        <v>0</v>
      </c>
      <c r="E988" s="4"/>
    </row>
    <row r="989">
      <c r="A989" s="3" t="s">
        <v>1153</v>
      </c>
      <c r="B989" s="3">
        <v>0.0</v>
      </c>
      <c r="C989" s="3" t="s">
        <v>29</v>
      </c>
      <c r="D989" s="4" t="b">
        <f t="shared" si="1"/>
        <v>0</v>
      </c>
      <c r="E989" s="4"/>
    </row>
    <row r="990">
      <c r="A990" s="3" t="s">
        <v>1154</v>
      </c>
      <c r="B990" s="3">
        <v>0.0</v>
      </c>
      <c r="C990" s="3" t="s">
        <v>3</v>
      </c>
      <c r="D990" s="4" t="b">
        <f t="shared" si="1"/>
        <v>0</v>
      </c>
      <c r="E990" s="4"/>
    </row>
    <row r="991">
      <c r="A991" s="3" t="s">
        <v>1155</v>
      </c>
      <c r="B991" s="3">
        <v>0.0</v>
      </c>
      <c r="C991" s="3" t="s">
        <v>3</v>
      </c>
      <c r="D991" s="4" t="b">
        <f t="shared" si="1"/>
        <v>0</v>
      </c>
      <c r="E991" s="4"/>
    </row>
    <row r="992">
      <c r="A992" s="3" t="s">
        <v>1156</v>
      </c>
      <c r="B992" s="3">
        <v>33251.0</v>
      </c>
      <c r="C992" s="4"/>
      <c r="D992" s="4" t="b">
        <f t="shared" si="1"/>
        <v>0</v>
      </c>
      <c r="E992" s="4"/>
    </row>
    <row r="993">
      <c r="A993" s="3" t="s">
        <v>1158</v>
      </c>
      <c r="B993" s="3">
        <v>0.0</v>
      </c>
      <c r="C993" s="3" t="s">
        <v>3</v>
      </c>
      <c r="D993" s="4" t="b">
        <f t="shared" si="1"/>
        <v>0</v>
      </c>
      <c r="E993" s="4"/>
    </row>
    <row r="994">
      <c r="A994" s="3" t="s">
        <v>1159</v>
      </c>
      <c r="B994" s="3">
        <v>426565.0</v>
      </c>
      <c r="C994" s="3" t="s">
        <v>32</v>
      </c>
      <c r="D994" s="4" t="b">
        <f t="shared" si="1"/>
        <v>0</v>
      </c>
      <c r="E994" s="4"/>
    </row>
    <row r="995">
      <c r="A995" s="3" t="s">
        <v>1161</v>
      </c>
      <c r="B995" s="3">
        <v>500.0</v>
      </c>
      <c r="C995" s="4"/>
      <c r="D995" s="4" t="b">
        <f t="shared" si="1"/>
        <v>0</v>
      </c>
      <c r="E995" s="4"/>
    </row>
    <row r="996">
      <c r="A996" s="3" t="s">
        <v>1162</v>
      </c>
      <c r="B996" s="3">
        <v>0.0</v>
      </c>
      <c r="C996" s="3" t="s">
        <v>3</v>
      </c>
      <c r="D996" s="4" t="b">
        <f t="shared" si="1"/>
        <v>0</v>
      </c>
      <c r="E996" s="4"/>
    </row>
    <row r="997">
      <c r="A997" s="3" t="s">
        <v>1163</v>
      </c>
      <c r="B997" s="3">
        <v>0.0</v>
      </c>
      <c r="C997" s="3" t="s">
        <v>3</v>
      </c>
      <c r="D997" s="4" t="b">
        <f t="shared" si="1"/>
        <v>0</v>
      </c>
      <c r="E997" s="4"/>
    </row>
    <row r="998">
      <c r="A998" s="3" t="s">
        <v>1164</v>
      </c>
      <c r="B998" s="3">
        <v>0.0</v>
      </c>
      <c r="C998" s="3" t="s">
        <v>3</v>
      </c>
      <c r="D998" s="4" t="b">
        <f t="shared" si="1"/>
        <v>0</v>
      </c>
      <c r="E998" s="4"/>
    </row>
    <row r="999">
      <c r="A999" s="3" t="s">
        <v>1165</v>
      </c>
      <c r="B999" s="3">
        <v>3000.0</v>
      </c>
      <c r="C999" s="3" t="s">
        <v>3</v>
      </c>
      <c r="D999" s="4" t="b">
        <f t="shared" si="1"/>
        <v>0</v>
      </c>
      <c r="E999" s="4"/>
    </row>
    <row r="1000">
      <c r="A1000" s="3" t="s">
        <v>1166</v>
      </c>
      <c r="B1000" s="3">
        <v>0.0</v>
      </c>
      <c r="C1000" s="3" t="s">
        <v>3</v>
      </c>
      <c r="D1000" s="4" t="b">
        <f t="shared" si="1"/>
        <v>0</v>
      </c>
      <c r="E1000" s="4"/>
    </row>
    <row r="1001">
      <c r="A1001" s="3" t="s">
        <v>1167</v>
      </c>
      <c r="B1001" s="3">
        <v>0.0</v>
      </c>
      <c r="C1001" s="3" t="s">
        <v>3</v>
      </c>
      <c r="D1001" s="4" t="b">
        <f t="shared" si="1"/>
        <v>0</v>
      </c>
      <c r="E1001" s="4"/>
    </row>
    <row r="1002">
      <c r="A1002" s="3" t="s">
        <v>1168</v>
      </c>
      <c r="B1002" s="3">
        <v>0.0</v>
      </c>
      <c r="C1002" s="3" t="s">
        <v>3</v>
      </c>
      <c r="D1002" s="4" t="b">
        <f t="shared" si="1"/>
        <v>0</v>
      </c>
      <c r="E1002" s="4"/>
    </row>
    <row r="1003">
      <c r="A1003" s="3" t="s">
        <v>1169</v>
      </c>
      <c r="B1003" s="3">
        <v>0.0</v>
      </c>
      <c r="C1003" s="3" t="s">
        <v>3</v>
      </c>
      <c r="D1003" s="4" t="b">
        <f t="shared" si="1"/>
        <v>0</v>
      </c>
      <c r="E1003" s="4"/>
    </row>
    <row r="1004">
      <c r="A1004" s="3" t="s">
        <v>1170</v>
      </c>
      <c r="B1004" s="3">
        <v>0.0</v>
      </c>
      <c r="C1004" s="3" t="s">
        <v>3</v>
      </c>
      <c r="D1004" s="4" t="b">
        <f t="shared" si="1"/>
        <v>0</v>
      </c>
      <c r="E1004" s="4"/>
    </row>
    <row r="1005">
      <c r="A1005" s="3" t="s">
        <v>1171</v>
      </c>
      <c r="B1005" s="3">
        <v>0.0</v>
      </c>
      <c r="C1005" s="3" t="s">
        <v>3</v>
      </c>
      <c r="D1005" s="4" t="b">
        <f t="shared" si="1"/>
        <v>0</v>
      </c>
      <c r="E1005" s="4"/>
    </row>
    <row r="1006">
      <c r="A1006" s="3" t="s">
        <v>1172</v>
      </c>
      <c r="B1006" s="3">
        <v>0.0</v>
      </c>
      <c r="C1006" s="3" t="s">
        <v>6</v>
      </c>
      <c r="D1006" s="4" t="b">
        <f t="shared" si="1"/>
        <v>0</v>
      </c>
      <c r="E1006" s="4"/>
    </row>
    <row r="1007">
      <c r="A1007" s="3" t="s">
        <v>1173</v>
      </c>
      <c r="B1007" s="3">
        <v>0.0</v>
      </c>
      <c r="C1007" s="3" t="s">
        <v>3</v>
      </c>
      <c r="D1007" s="4" t="b">
        <f t="shared" si="1"/>
        <v>0</v>
      </c>
      <c r="E1007" s="4"/>
    </row>
    <row r="1008">
      <c r="A1008" s="3" t="s">
        <v>1174</v>
      </c>
      <c r="B1008" s="3">
        <v>0.0</v>
      </c>
      <c r="C1008" s="3" t="s">
        <v>3</v>
      </c>
      <c r="D1008" s="4" t="b">
        <f t="shared" si="1"/>
        <v>0</v>
      </c>
      <c r="E1008" s="4"/>
    </row>
    <row r="1009">
      <c r="A1009" s="3" t="s">
        <v>1175</v>
      </c>
      <c r="B1009" s="3">
        <v>500.0</v>
      </c>
      <c r="C1009" s="4"/>
      <c r="D1009" s="4" t="b">
        <f t="shared" si="1"/>
        <v>0</v>
      </c>
      <c r="E1009" s="4"/>
    </row>
    <row r="1010">
      <c r="A1010" s="3" t="s">
        <v>1176</v>
      </c>
      <c r="B1010" s="4"/>
      <c r="C1010" s="4"/>
      <c r="D1010" s="4" t="b">
        <f t="shared" si="1"/>
        <v>1</v>
      </c>
      <c r="E1010" s="4"/>
    </row>
    <row r="1011">
      <c r="A1011" s="3" t="s">
        <v>1177</v>
      </c>
      <c r="B1011" s="3">
        <v>2800.0</v>
      </c>
      <c r="C1011" s="3" t="s">
        <v>3</v>
      </c>
      <c r="D1011" s="4" t="b">
        <f t="shared" si="1"/>
        <v>0</v>
      </c>
      <c r="E1011" s="4"/>
    </row>
    <row r="1012">
      <c r="A1012" s="3" t="s">
        <v>1178</v>
      </c>
      <c r="B1012" s="3">
        <v>1800.0</v>
      </c>
      <c r="C1012" s="4"/>
      <c r="D1012" s="4" t="b">
        <f t="shared" si="1"/>
        <v>0</v>
      </c>
      <c r="E1012" s="4"/>
    </row>
    <row r="1013">
      <c r="A1013" s="3" t="s">
        <v>1179</v>
      </c>
      <c r="B1013" s="3">
        <v>334000.0</v>
      </c>
      <c r="C1013" s="4"/>
      <c r="D1013" s="4" t="b">
        <f t="shared" si="1"/>
        <v>0</v>
      </c>
      <c r="E1013" s="4"/>
    </row>
    <row r="1014">
      <c r="A1014" s="3" t="s">
        <v>1181</v>
      </c>
      <c r="B1014" s="3">
        <v>1000.0</v>
      </c>
      <c r="C1014" s="4"/>
      <c r="D1014" s="4" t="b">
        <f t="shared" si="1"/>
        <v>0</v>
      </c>
      <c r="E1014" s="4"/>
    </row>
    <row r="1015">
      <c r="A1015" s="3" t="s">
        <v>1182</v>
      </c>
      <c r="B1015" s="3">
        <v>500.0</v>
      </c>
      <c r="C1015" s="4"/>
      <c r="D1015" s="4" t="b">
        <f t="shared" si="1"/>
        <v>0</v>
      </c>
      <c r="E1015" s="4"/>
    </row>
    <row r="1016">
      <c r="A1016" s="3" t="s">
        <v>1183</v>
      </c>
      <c r="B1016" s="3">
        <v>0.0</v>
      </c>
      <c r="C1016" s="3" t="s">
        <v>3</v>
      </c>
      <c r="D1016" s="4" t="b">
        <f t="shared" si="1"/>
        <v>0</v>
      </c>
      <c r="E1016" s="4"/>
    </row>
    <row r="1017">
      <c r="A1017" s="3" t="s">
        <v>1184</v>
      </c>
      <c r="B1017" s="3">
        <v>141174.0</v>
      </c>
      <c r="C1017" s="3" t="s">
        <v>37</v>
      </c>
      <c r="D1017" s="4" t="b">
        <f t="shared" si="1"/>
        <v>0</v>
      </c>
      <c r="E1017" s="4"/>
    </row>
    <row r="1018">
      <c r="A1018" s="4"/>
      <c r="B1018" s="4"/>
      <c r="C1018" s="3" t="s">
        <v>38</v>
      </c>
      <c r="D1018" s="4" t="b">
        <f t="shared" si="1"/>
        <v>1</v>
      </c>
      <c r="E1018" s="4"/>
    </row>
    <row r="1019">
      <c r="A1019" s="3" t="s">
        <v>1186</v>
      </c>
      <c r="B1019" s="3">
        <v>0.0</v>
      </c>
      <c r="C1019" s="3" t="s">
        <v>6</v>
      </c>
      <c r="D1019" s="4" t="b">
        <f t="shared" si="1"/>
        <v>0</v>
      </c>
      <c r="E1019" s="4"/>
    </row>
    <row r="1020">
      <c r="A1020" s="3" t="s">
        <v>1187</v>
      </c>
      <c r="B1020" s="3">
        <v>115000.0</v>
      </c>
      <c r="C1020" s="3" t="s">
        <v>32</v>
      </c>
      <c r="D1020" s="4" t="b">
        <f t="shared" si="1"/>
        <v>0</v>
      </c>
      <c r="E1020" s="4"/>
    </row>
    <row r="1021">
      <c r="A1021" s="3" t="s">
        <v>1188</v>
      </c>
      <c r="B1021" s="3">
        <v>492222.0</v>
      </c>
      <c r="C1021" s="3" t="s">
        <v>32</v>
      </c>
      <c r="D1021" s="4" t="b">
        <f t="shared" si="1"/>
        <v>0</v>
      </c>
      <c r="E1021" s="4"/>
    </row>
    <row r="1022">
      <c r="A1022" s="3" t="s">
        <v>1190</v>
      </c>
      <c r="B1022" s="3">
        <v>0.0</v>
      </c>
      <c r="C1022" s="3" t="s">
        <v>3</v>
      </c>
      <c r="D1022" s="4" t="b">
        <f t="shared" si="1"/>
        <v>0</v>
      </c>
      <c r="E1022" s="4"/>
    </row>
    <row r="1023">
      <c r="A1023" s="3" t="s">
        <v>1191</v>
      </c>
      <c r="B1023" s="3">
        <v>0.0</v>
      </c>
      <c r="C1023" s="3" t="s">
        <v>6</v>
      </c>
      <c r="D1023" s="4" t="b">
        <f t="shared" si="1"/>
        <v>0</v>
      </c>
      <c r="E1023" s="4"/>
    </row>
    <row r="1024">
      <c r="A1024" s="3" t="s">
        <v>1192</v>
      </c>
      <c r="B1024" s="3">
        <v>5500.0</v>
      </c>
      <c r="C1024" s="3" t="s">
        <v>29</v>
      </c>
      <c r="D1024" s="4" t="b">
        <f t="shared" si="1"/>
        <v>0</v>
      </c>
      <c r="E1024" s="4"/>
    </row>
    <row r="1025">
      <c r="A1025" s="3" t="s">
        <v>1193</v>
      </c>
      <c r="B1025" s="3">
        <v>4000.0</v>
      </c>
      <c r="C1025" s="4"/>
      <c r="D1025" s="4" t="b">
        <f t="shared" si="1"/>
        <v>0</v>
      </c>
      <c r="E1025" s="4"/>
    </row>
    <row r="1026">
      <c r="A1026" s="3" t="s">
        <v>1194</v>
      </c>
      <c r="B1026" s="3">
        <v>16000.0</v>
      </c>
      <c r="C1026" s="4"/>
      <c r="D1026" s="4" t="b">
        <f t="shared" si="1"/>
        <v>0</v>
      </c>
      <c r="E1026" s="4"/>
    </row>
    <row r="1027">
      <c r="A1027" s="3" t="s">
        <v>1195</v>
      </c>
      <c r="B1027" s="3">
        <v>0.0</v>
      </c>
      <c r="C1027" s="3" t="s">
        <v>3</v>
      </c>
      <c r="D1027" s="4" t="b">
        <f t="shared" si="1"/>
        <v>0</v>
      </c>
      <c r="E1027" s="4"/>
    </row>
    <row r="1028">
      <c r="A1028" s="3" t="s">
        <v>1196</v>
      </c>
      <c r="B1028" s="3">
        <v>500.0</v>
      </c>
      <c r="C1028" s="4"/>
      <c r="D1028" s="4" t="b">
        <f t="shared" si="1"/>
        <v>0</v>
      </c>
      <c r="E1028" s="4"/>
    </row>
    <row r="1029">
      <c r="A1029" s="3" t="s">
        <v>1197</v>
      </c>
      <c r="B1029" s="3">
        <v>0.0</v>
      </c>
      <c r="C1029" s="3" t="s">
        <v>3</v>
      </c>
      <c r="D1029" s="4" t="b">
        <f t="shared" si="1"/>
        <v>0</v>
      </c>
      <c r="E1029" s="4"/>
    </row>
    <row r="1030">
      <c r="A1030" s="3" t="s">
        <v>1198</v>
      </c>
      <c r="B1030" s="4"/>
      <c r="C1030" s="4"/>
      <c r="D1030" s="4" t="b">
        <f t="shared" si="1"/>
        <v>1</v>
      </c>
      <c r="E1030" s="4"/>
    </row>
    <row r="1031">
      <c r="A1031" s="3" t="s">
        <v>1199</v>
      </c>
      <c r="B1031" s="3">
        <v>0.0</v>
      </c>
      <c r="C1031" s="3" t="s">
        <v>3</v>
      </c>
      <c r="D1031" s="4" t="b">
        <f t="shared" si="1"/>
        <v>0</v>
      </c>
      <c r="E1031" s="4"/>
    </row>
    <row r="1032">
      <c r="A1032" s="3" t="s">
        <v>1200</v>
      </c>
      <c r="B1032" s="4"/>
      <c r="C1032" s="4"/>
      <c r="D1032" s="4" t="b">
        <f t="shared" si="1"/>
        <v>1</v>
      </c>
      <c r="E1032" s="4"/>
    </row>
    <row r="1033">
      <c r="A1033" s="3" t="s">
        <v>1201</v>
      </c>
      <c r="B1033" s="3">
        <v>0.0</v>
      </c>
      <c r="C1033" s="3" t="s">
        <v>16</v>
      </c>
      <c r="D1033" s="4" t="b">
        <f t="shared" si="1"/>
        <v>0</v>
      </c>
      <c r="E1033" s="4"/>
    </row>
    <row r="1034">
      <c r="A1034" s="3" t="s">
        <v>1202</v>
      </c>
      <c r="B1034" s="3">
        <v>0.0</v>
      </c>
      <c r="C1034" s="3" t="s">
        <v>32</v>
      </c>
      <c r="D1034" s="4" t="b">
        <f t="shared" si="1"/>
        <v>0</v>
      </c>
      <c r="E1034" s="4"/>
    </row>
    <row r="1035">
      <c r="A1035" s="3" t="s">
        <v>1203</v>
      </c>
      <c r="B1035" s="3">
        <v>190000.0</v>
      </c>
      <c r="C1035" s="4"/>
      <c r="D1035" s="4" t="b">
        <f t="shared" si="1"/>
        <v>0</v>
      </c>
      <c r="E1035" s="4"/>
    </row>
    <row r="1036">
      <c r="A1036" s="3" t="s">
        <v>1205</v>
      </c>
      <c r="B1036" s="3">
        <v>35000.0</v>
      </c>
      <c r="C1036" s="4"/>
      <c r="D1036" s="4" t="b">
        <f t="shared" si="1"/>
        <v>0</v>
      </c>
      <c r="E1036" s="4"/>
    </row>
    <row r="1037">
      <c r="A1037" s="3" t="s">
        <v>33</v>
      </c>
      <c r="B1037" s="4"/>
      <c r="C1037" s="4"/>
      <c r="D1037" s="4" t="b">
        <f t="shared" si="1"/>
        <v>1</v>
      </c>
      <c r="E1037" s="4"/>
    </row>
    <row r="1038">
      <c r="A1038" s="3" t="s">
        <v>1207</v>
      </c>
      <c r="B1038" s="3">
        <v>1000.0</v>
      </c>
      <c r="C1038" s="4"/>
      <c r="D1038" s="4" t="b">
        <f t="shared" si="1"/>
        <v>0</v>
      </c>
      <c r="E1038" s="4"/>
    </row>
    <row r="1039">
      <c r="A1039" s="3" t="s">
        <v>1208</v>
      </c>
      <c r="B1039" s="4"/>
      <c r="C1039" s="4"/>
      <c r="D1039" s="4" t="b">
        <f t="shared" si="1"/>
        <v>1</v>
      </c>
      <c r="E1039" s="4"/>
    </row>
    <row r="1040">
      <c r="A1040" s="3" t="s">
        <v>1209</v>
      </c>
      <c r="B1040" s="3">
        <v>1500.0</v>
      </c>
      <c r="C1040" s="4"/>
      <c r="D1040" s="4" t="b">
        <f t="shared" si="1"/>
        <v>0</v>
      </c>
      <c r="E1040" s="4"/>
    </row>
    <row r="1041">
      <c r="A1041" s="3" t="s">
        <v>1210</v>
      </c>
      <c r="B1041" s="3">
        <v>0.0</v>
      </c>
      <c r="C1041" s="3" t="s">
        <v>3</v>
      </c>
      <c r="D1041" s="4" t="b">
        <f t="shared" si="1"/>
        <v>0</v>
      </c>
      <c r="E1041" s="4"/>
    </row>
    <row r="1042">
      <c r="A1042" s="3" t="s">
        <v>1211</v>
      </c>
      <c r="B1042" s="4"/>
      <c r="C1042" s="4"/>
      <c r="D1042" s="4" t="b">
        <f t="shared" si="1"/>
        <v>1</v>
      </c>
      <c r="E1042" s="4"/>
    </row>
    <row r="1043">
      <c r="A1043" s="3" t="s">
        <v>1212</v>
      </c>
      <c r="B1043" s="3">
        <v>2500.0</v>
      </c>
      <c r="C1043" s="3" t="s">
        <v>3</v>
      </c>
      <c r="D1043" s="4" t="b">
        <f t="shared" si="1"/>
        <v>0</v>
      </c>
      <c r="E1043" s="4"/>
    </row>
    <row r="1044">
      <c r="A1044" s="3" t="s">
        <v>1213</v>
      </c>
      <c r="B1044" s="4"/>
      <c r="C1044" s="4"/>
      <c r="D1044" s="4" t="b">
        <f t="shared" si="1"/>
        <v>1</v>
      </c>
      <c r="E1044" s="4"/>
    </row>
    <row r="1045">
      <c r="A1045" s="3" t="s">
        <v>1214</v>
      </c>
      <c r="B1045" s="3">
        <v>5000.0</v>
      </c>
      <c r="C1045" s="3" t="s">
        <v>29</v>
      </c>
      <c r="D1045" s="4" t="b">
        <f t="shared" si="1"/>
        <v>0</v>
      </c>
      <c r="E1045" s="4"/>
    </row>
    <row r="1046">
      <c r="A1046" s="3" t="s">
        <v>1215</v>
      </c>
      <c r="B1046" s="3">
        <v>0.0</v>
      </c>
      <c r="C1046" s="3" t="s">
        <v>29</v>
      </c>
      <c r="D1046" s="4" t="b">
        <f t="shared" si="1"/>
        <v>0</v>
      </c>
      <c r="E1046" s="4"/>
    </row>
    <row r="1047">
      <c r="A1047" s="3" t="s">
        <v>1216</v>
      </c>
      <c r="B1047" s="3">
        <v>0.0</v>
      </c>
      <c r="C1047" s="3" t="s">
        <v>3</v>
      </c>
      <c r="D1047" s="4" t="b">
        <f t="shared" si="1"/>
        <v>0</v>
      </c>
      <c r="E1047" s="4"/>
    </row>
    <row r="1048">
      <c r="A1048" s="3" t="s">
        <v>1217</v>
      </c>
      <c r="B1048" s="3">
        <v>0.0</v>
      </c>
      <c r="C1048" s="3" t="s">
        <v>29</v>
      </c>
      <c r="D1048" s="4" t="b">
        <f t="shared" si="1"/>
        <v>0</v>
      </c>
      <c r="E1048" s="4"/>
    </row>
    <row r="1049">
      <c r="A1049" s="3" t="s">
        <v>1218</v>
      </c>
      <c r="B1049" s="3">
        <v>0.0</v>
      </c>
      <c r="C1049" s="3" t="s">
        <v>29</v>
      </c>
      <c r="D1049" s="4" t="b">
        <f t="shared" si="1"/>
        <v>0</v>
      </c>
      <c r="E1049" s="4"/>
    </row>
    <row r="1050">
      <c r="A1050" s="3" t="s">
        <v>1219</v>
      </c>
      <c r="B1050" s="3">
        <v>0.0</v>
      </c>
      <c r="C1050" s="3" t="s">
        <v>26</v>
      </c>
      <c r="D1050" s="4" t="b">
        <f t="shared" si="1"/>
        <v>0</v>
      </c>
      <c r="E1050" s="4"/>
    </row>
    <row r="1051">
      <c r="A1051" s="3" t="s">
        <v>1220</v>
      </c>
      <c r="B1051" s="3">
        <v>0.0</v>
      </c>
      <c r="C1051" s="3" t="s">
        <v>3</v>
      </c>
      <c r="D1051" s="4" t="b">
        <f t="shared" si="1"/>
        <v>0</v>
      </c>
      <c r="E1051" s="4"/>
    </row>
    <row r="1052">
      <c r="A1052" s="3" t="s">
        <v>1221</v>
      </c>
      <c r="B1052" s="3">
        <v>0.0</v>
      </c>
      <c r="C1052" s="3" t="s">
        <v>3</v>
      </c>
      <c r="D1052" s="4" t="b">
        <f t="shared" si="1"/>
        <v>0</v>
      </c>
      <c r="E1052" s="4"/>
    </row>
    <row r="1053">
      <c r="A1053" s="3" t="s">
        <v>1222</v>
      </c>
      <c r="B1053" s="3">
        <v>0.0</v>
      </c>
      <c r="C1053" s="3" t="s">
        <v>6</v>
      </c>
      <c r="D1053" s="4" t="b">
        <f t="shared" si="1"/>
        <v>0</v>
      </c>
      <c r="E1053" s="4"/>
    </row>
    <row r="1054">
      <c r="A1054" s="3" t="s">
        <v>1223</v>
      </c>
      <c r="B1054" s="3">
        <v>3000.0</v>
      </c>
      <c r="C1054" s="3" t="s">
        <v>3</v>
      </c>
      <c r="D1054" s="4" t="b">
        <f t="shared" si="1"/>
        <v>0</v>
      </c>
      <c r="E1054" s="4"/>
    </row>
    <row r="1055">
      <c r="A1055" s="3" t="s">
        <v>1224</v>
      </c>
      <c r="B1055" s="3">
        <v>0.0</v>
      </c>
      <c r="C1055" s="3" t="s">
        <v>6</v>
      </c>
      <c r="D1055" s="4" t="b">
        <f t="shared" si="1"/>
        <v>0</v>
      </c>
      <c r="E1055" s="4"/>
    </row>
    <row r="1056">
      <c r="A1056" s="3" t="s">
        <v>1225</v>
      </c>
      <c r="B1056" s="3">
        <v>0.0</v>
      </c>
      <c r="C1056" s="3" t="s">
        <v>3</v>
      </c>
      <c r="D1056" s="4" t="b">
        <f t="shared" si="1"/>
        <v>0</v>
      </c>
      <c r="E1056" s="4"/>
    </row>
    <row r="1057">
      <c r="A1057" s="3" t="s">
        <v>1226</v>
      </c>
      <c r="B1057" s="3">
        <v>0.0</v>
      </c>
      <c r="C1057" s="3" t="s">
        <v>29</v>
      </c>
      <c r="D1057" s="4" t="b">
        <f t="shared" si="1"/>
        <v>0</v>
      </c>
      <c r="E1057" s="4"/>
    </row>
    <row r="1058">
      <c r="A1058" s="3" t="s">
        <v>1227</v>
      </c>
      <c r="B1058" s="3">
        <v>66000.0</v>
      </c>
      <c r="C1058" s="4"/>
      <c r="D1058" s="4" t="b">
        <f t="shared" si="1"/>
        <v>0</v>
      </c>
      <c r="E1058" s="4"/>
    </row>
    <row r="1059">
      <c r="A1059" s="3" t="s">
        <v>1229</v>
      </c>
      <c r="B1059" s="3">
        <v>0.0</v>
      </c>
      <c r="C1059" s="3" t="s">
        <v>6</v>
      </c>
      <c r="D1059" s="4" t="b">
        <f t="shared" si="1"/>
        <v>0</v>
      </c>
      <c r="E1059" s="4"/>
    </row>
    <row r="1060">
      <c r="A1060" s="3" t="s">
        <v>1230</v>
      </c>
      <c r="B1060" s="3">
        <v>0.0</v>
      </c>
      <c r="C1060" s="3" t="s">
        <v>3</v>
      </c>
      <c r="D1060" s="4" t="b">
        <f t="shared" si="1"/>
        <v>0</v>
      </c>
      <c r="E1060" s="4"/>
    </row>
    <row r="1061">
      <c r="A1061" s="3" t="s">
        <v>1231</v>
      </c>
      <c r="B1061" s="4"/>
      <c r="C1061" s="4"/>
      <c r="D1061" s="4" t="b">
        <f t="shared" si="1"/>
        <v>1</v>
      </c>
      <c r="E1061" s="4"/>
    </row>
    <row r="1062">
      <c r="A1062" s="3" t="s">
        <v>1232</v>
      </c>
      <c r="B1062" s="3">
        <v>0.0</v>
      </c>
      <c r="C1062" s="3" t="s">
        <v>29</v>
      </c>
      <c r="D1062" s="4" t="b">
        <f t="shared" si="1"/>
        <v>0</v>
      </c>
      <c r="E1062" s="4"/>
    </row>
    <row r="1063">
      <c r="A1063" s="3" t="s">
        <v>1233</v>
      </c>
      <c r="B1063" s="3">
        <v>0.0</v>
      </c>
      <c r="C1063" s="3" t="s">
        <v>3</v>
      </c>
      <c r="D1063" s="4" t="b">
        <f t="shared" si="1"/>
        <v>0</v>
      </c>
      <c r="E1063" s="4"/>
    </row>
    <row r="1064">
      <c r="A1064" s="3" t="s">
        <v>1234</v>
      </c>
      <c r="B1064" s="3">
        <v>8308.0</v>
      </c>
      <c r="C1064" s="3" t="s">
        <v>26</v>
      </c>
      <c r="D1064" s="4" t="b">
        <f t="shared" si="1"/>
        <v>0</v>
      </c>
      <c r="E1064" s="4"/>
    </row>
    <row r="1065">
      <c r="A1065" s="3" t="s">
        <v>1236</v>
      </c>
      <c r="B1065" s="3">
        <v>0.0</v>
      </c>
      <c r="C1065" s="3" t="s">
        <v>6</v>
      </c>
      <c r="D1065" s="4" t="b">
        <f t="shared" si="1"/>
        <v>0</v>
      </c>
      <c r="E1065" s="4"/>
    </row>
    <row r="1066">
      <c r="A1066" s="3" t="s">
        <v>1237</v>
      </c>
      <c r="B1066" s="3">
        <v>0.0</v>
      </c>
      <c r="C1066" s="3" t="s">
        <v>32</v>
      </c>
      <c r="D1066" s="4" t="b">
        <f t="shared" si="1"/>
        <v>0</v>
      </c>
      <c r="E1066" s="4"/>
    </row>
    <row r="1067">
      <c r="A1067" s="3" t="s">
        <v>1238</v>
      </c>
      <c r="B1067" s="3">
        <v>1500.0</v>
      </c>
      <c r="C1067" s="4"/>
      <c r="D1067" s="4" t="b">
        <f t="shared" si="1"/>
        <v>0</v>
      </c>
      <c r="E1067" s="4"/>
    </row>
    <row r="1068">
      <c r="A1068" s="3" t="s">
        <v>1239</v>
      </c>
      <c r="B1068" s="3">
        <v>0.0</v>
      </c>
      <c r="C1068" s="3" t="s">
        <v>3</v>
      </c>
      <c r="D1068" s="4" t="b">
        <f t="shared" si="1"/>
        <v>0</v>
      </c>
      <c r="E1068" s="4"/>
    </row>
    <row r="1069">
      <c r="A1069" s="3" t="s">
        <v>1240</v>
      </c>
      <c r="B1069" s="3">
        <v>0.0</v>
      </c>
      <c r="C1069" s="3" t="s">
        <v>3</v>
      </c>
      <c r="D1069" s="4" t="b">
        <f t="shared" si="1"/>
        <v>0</v>
      </c>
      <c r="E1069" s="4"/>
    </row>
    <row r="1070">
      <c r="A1070" s="3" t="s">
        <v>1241</v>
      </c>
      <c r="B1070" s="3">
        <v>300.0</v>
      </c>
      <c r="C1070" s="4"/>
      <c r="D1070" s="4" t="b">
        <f t="shared" si="1"/>
        <v>0</v>
      </c>
      <c r="E1070" s="4"/>
    </row>
    <row r="1071">
      <c r="A1071" s="3" t="s">
        <v>1242</v>
      </c>
      <c r="B1071" s="3">
        <v>4500.0</v>
      </c>
      <c r="C1071" s="3" t="s">
        <v>3</v>
      </c>
      <c r="D1071" s="4" t="b">
        <f t="shared" si="1"/>
        <v>0</v>
      </c>
      <c r="E1071" s="4"/>
    </row>
    <row r="1072">
      <c r="A1072" s="3" t="s">
        <v>1243</v>
      </c>
      <c r="B1072" s="3">
        <v>7000.0</v>
      </c>
      <c r="C1072" s="3" t="s">
        <v>26</v>
      </c>
      <c r="D1072" s="4" t="b">
        <f t="shared" si="1"/>
        <v>0</v>
      </c>
      <c r="E1072" s="4"/>
    </row>
    <row r="1073">
      <c r="A1073" s="3" t="s">
        <v>1244</v>
      </c>
      <c r="B1073" s="3">
        <v>3000.0</v>
      </c>
      <c r="C1073" s="4"/>
      <c r="D1073" s="4" t="b">
        <f t="shared" si="1"/>
        <v>0</v>
      </c>
      <c r="E1073" s="4"/>
    </row>
    <row r="1074">
      <c r="A1074" s="3" t="s">
        <v>1245</v>
      </c>
      <c r="B1074" s="3">
        <v>500.0</v>
      </c>
      <c r="C1074" s="4"/>
      <c r="D1074" s="4" t="b">
        <f t="shared" si="1"/>
        <v>0</v>
      </c>
      <c r="E1074" s="4"/>
    </row>
    <row r="1075">
      <c r="A1075" s="3" t="s">
        <v>1246</v>
      </c>
      <c r="B1075" s="3">
        <v>21000.0</v>
      </c>
      <c r="C1075" s="4"/>
      <c r="D1075" s="4" t="b">
        <f t="shared" si="1"/>
        <v>0</v>
      </c>
      <c r="E1075" s="4"/>
    </row>
    <row r="1076">
      <c r="A1076" s="3" t="s">
        <v>1247</v>
      </c>
      <c r="B1076" s="3">
        <v>3000.0</v>
      </c>
      <c r="C1076" s="4"/>
      <c r="D1076" s="4" t="b">
        <f t="shared" si="1"/>
        <v>0</v>
      </c>
      <c r="E1076" s="4"/>
    </row>
    <row r="1077">
      <c r="A1077" s="3" t="s">
        <v>1248</v>
      </c>
      <c r="B1077" s="3">
        <v>12000.0</v>
      </c>
      <c r="C1077" s="4"/>
      <c r="D1077" s="4" t="b">
        <f t="shared" si="1"/>
        <v>0</v>
      </c>
      <c r="E1077" s="4"/>
    </row>
    <row r="1078">
      <c r="A1078" s="3" t="s">
        <v>1249</v>
      </c>
      <c r="B1078" s="3">
        <v>0.0</v>
      </c>
      <c r="C1078" s="3" t="s">
        <v>3</v>
      </c>
      <c r="D1078" s="4" t="b">
        <f t="shared" si="1"/>
        <v>0</v>
      </c>
      <c r="E1078" s="4"/>
    </row>
    <row r="1079">
      <c r="A1079" s="3" t="s">
        <v>1250</v>
      </c>
      <c r="B1079" s="3">
        <v>0.0</v>
      </c>
      <c r="C1079" s="3" t="s">
        <v>3</v>
      </c>
      <c r="D1079" s="4" t="b">
        <f t="shared" si="1"/>
        <v>0</v>
      </c>
      <c r="E1079" s="4"/>
    </row>
    <row r="1080">
      <c r="A1080" s="3" t="s">
        <v>1251</v>
      </c>
      <c r="B1080" s="4"/>
      <c r="C1080" s="4"/>
      <c r="D1080" s="4" t="b">
        <f t="shared" si="1"/>
        <v>1</v>
      </c>
      <c r="E1080" s="4"/>
    </row>
    <row r="1081">
      <c r="A1081" s="3" t="s">
        <v>1252</v>
      </c>
      <c r="B1081" s="3">
        <v>2500.0</v>
      </c>
      <c r="C1081" s="4"/>
      <c r="D1081" s="4" t="b">
        <f t="shared" si="1"/>
        <v>0</v>
      </c>
      <c r="E1081" s="4"/>
    </row>
    <row r="1082">
      <c r="A1082" s="3" t="s">
        <v>1253</v>
      </c>
      <c r="B1082" s="3">
        <v>0.0</v>
      </c>
      <c r="C1082" s="3" t="s">
        <v>6</v>
      </c>
      <c r="D1082" s="4" t="b">
        <f t="shared" si="1"/>
        <v>0</v>
      </c>
      <c r="E1082" s="4"/>
    </row>
    <row r="1083">
      <c r="A1083" s="3" t="s">
        <v>1254</v>
      </c>
      <c r="B1083" s="3">
        <v>0.0</v>
      </c>
      <c r="C1083" s="3" t="s">
        <v>484</v>
      </c>
      <c r="D1083" s="4" t="b">
        <f t="shared" si="1"/>
        <v>0</v>
      </c>
      <c r="E1083" s="4"/>
    </row>
    <row r="1084">
      <c r="A1084" s="3" t="s">
        <v>1255</v>
      </c>
      <c r="B1084" s="3">
        <v>0.0</v>
      </c>
      <c r="C1084" s="3" t="s">
        <v>3</v>
      </c>
      <c r="D1084" s="4" t="b">
        <f t="shared" si="1"/>
        <v>0</v>
      </c>
      <c r="E1084" s="4"/>
    </row>
    <row r="1085">
      <c r="A1085" s="3" t="s">
        <v>1256</v>
      </c>
      <c r="B1085" s="4"/>
      <c r="C1085" s="4"/>
      <c r="D1085" s="4" t="b">
        <f t="shared" si="1"/>
        <v>1</v>
      </c>
      <c r="E1085" s="4"/>
    </row>
    <row r="1086">
      <c r="A1086" s="3" t="s">
        <v>1257</v>
      </c>
      <c r="B1086" s="3">
        <v>0.0</v>
      </c>
      <c r="C1086" s="3" t="s">
        <v>29</v>
      </c>
      <c r="D1086" s="4" t="b">
        <f t="shared" si="1"/>
        <v>0</v>
      </c>
      <c r="E1086" s="4"/>
    </row>
    <row r="1087">
      <c r="A1087" s="3" t="s">
        <v>1258</v>
      </c>
      <c r="B1087" s="3">
        <v>1500.0</v>
      </c>
      <c r="C1087" s="4"/>
      <c r="D1087" s="4" t="b">
        <f t="shared" si="1"/>
        <v>0</v>
      </c>
      <c r="E1087" s="4"/>
    </row>
    <row r="1088">
      <c r="A1088" s="3" t="s">
        <v>1259</v>
      </c>
      <c r="B1088" s="3">
        <v>1000.0</v>
      </c>
      <c r="C1088" s="3" t="s">
        <v>6</v>
      </c>
      <c r="D1088" s="4" t="b">
        <f t="shared" si="1"/>
        <v>0</v>
      </c>
      <c r="E1088" s="4"/>
    </row>
    <row r="1089">
      <c r="A1089" s="3" t="s">
        <v>1260</v>
      </c>
      <c r="B1089" s="3">
        <v>1550.0</v>
      </c>
      <c r="C1089" s="4"/>
      <c r="D1089" s="4" t="b">
        <f t="shared" si="1"/>
        <v>0</v>
      </c>
      <c r="E1089" s="4"/>
    </row>
    <row r="1090">
      <c r="A1090" s="3" t="s">
        <v>1262</v>
      </c>
      <c r="B1090" s="3">
        <v>25000.0</v>
      </c>
      <c r="C1090" s="4"/>
      <c r="D1090" s="4" t="b">
        <f t="shared" si="1"/>
        <v>0</v>
      </c>
      <c r="E1090" s="4"/>
    </row>
    <row r="1091">
      <c r="A1091" s="3" t="s">
        <v>1264</v>
      </c>
      <c r="B1091" s="3">
        <v>9000.0</v>
      </c>
      <c r="C1091" s="4"/>
      <c r="D1091" s="4" t="b">
        <f t="shared" si="1"/>
        <v>0</v>
      </c>
      <c r="E1091" s="4"/>
    </row>
    <row r="1092">
      <c r="A1092" s="3" t="s">
        <v>1266</v>
      </c>
      <c r="B1092" s="3">
        <v>0.0</v>
      </c>
      <c r="C1092" s="3" t="s">
        <v>3</v>
      </c>
      <c r="D1092" s="4" t="b">
        <f t="shared" si="1"/>
        <v>0</v>
      </c>
      <c r="E1092" s="4"/>
    </row>
    <row r="1093">
      <c r="A1093" s="3" t="s">
        <v>1267</v>
      </c>
      <c r="B1093" s="3">
        <v>0.0</v>
      </c>
      <c r="C1093" s="3" t="s">
        <v>29</v>
      </c>
      <c r="D1093" s="4" t="b">
        <f t="shared" si="1"/>
        <v>0</v>
      </c>
      <c r="E1093" s="4"/>
    </row>
    <row r="1094">
      <c r="A1094" s="3" t="s">
        <v>1268</v>
      </c>
      <c r="B1094" s="3">
        <v>0.0</v>
      </c>
      <c r="C1094" s="3" t="s">
        <v>6</v>
      </c>
      <c r="D1094" s="4" t="b">
        <f t="shared" si="1"/>
        <v>0</v>
      </c>
      <c r="E1094" s="4"/>
    </row>
    <row r="1095">
      <c r="A1095" s="3" t="s">
        <v>1269</v>
      </c>
      <c r="B1095" s="3">
        <v>800.0</v>
      </c>
      <c r="C1095" s="4"/>
      <c r="D1095" s="4" t="b">
        <f t="shared" si="1"/>
        <v>0</v>
      </c>
      <c r="E1095" s="4"/>
    </row>
    <row r="1096">
      <c r="A1096" s="3" t="s">
        <v>1270</v>
      </c>
      <c r="B1096" s="3">
        <v>478850.0</v>
      </c>
      <c r="C1096" s="3" t="s">
        <v>32</v>
      </c>
      <c r="D1096" s="4" t="b">
        <f t="shared" si="1"/>
        <v>0</v>
      </c>
      <c r="E1096" s="4"/>
    </row>
    <row r="1097">
      <c r="A1097" s="3" t="s">
        <v>1272</v>
      </c>
      <c r="B1097" s="3">
        <v>700.0</v>
      </c>
      <c r="C1097" s="3" t="s">
        <v>3</v>
      </c>
      <c r="D1097" s="4" t="b">
        <f t="shared" si="1"/>
        <v>0</v>
      </c>
      <c r="E1097" s="4"/>
    </row>
    <row r="1098">
      <c r="A1098" s="3" t="s">
        <v>1273</v>
      </c>
      <c r="B1098" s="3">
        <v>24500.0</v>
      </c>
      <c r="C1098" s="3" t="s">
        <v>3</v>
      </c>
      <c r="D1098" s="4" t="b">
        <f t="shared" si="1"/>
        <v>0</v>
      </c>
      <c r="E1098" s="4"/>
    </row>
    <row r="1099">
      <c r="A1099" s="3" t="s">
        <v>1275</v>
      </c>
      <c r="B1099" s="3">
        <v>0.0</v>
      </c>
      <c r="C1099" s="3" t="s">
        <v>29</v>
      </c>
      <c r="D1099" s="4" t="b">
        <f t="shared" si="1"/>
        <v>0</v>
      </c>
      <c r="E1099" s="4"/>
    </row>
    <row r="1100">
      <c r="A1100" s="3" t="s">
        <v>1276</v>
      </c>
      <c r="B1100" s="3">
        <v>0.0</v>
      </c>
      <c r="C1100" s="3" t="s">
        <v>3</v>
      </c>
      <c r="D1100" s="4" t="b">
        <f t="shared" si="1"/>
        <v>0</v>
      </c>
      <c r="E1100" s="4"/>
    </row>
    <row r="1101">
      <c r="A1101" s="3" t="s">
        <v>1277</v>
      </c>
      <c r="B1101" s="3">
        <v>14000.0</v>
      </c>
      <c r="C1101" s="3" t="s">
        <v>16</v>
      </c>
      <c r="D1101" s="4" t="b">
        <f t="shared" si="1"/>
        <v>0</v>
      </c>
      <c r="E1101" s="4"/>
    </row>
    <row r="1102">
      <c r="A1102" s="3" t="s">
        <v>1278</v>
      </c>
      <c r="B1102" s="3">
        <v>10000.0</v>
      </c>
      <c r="C1102" s="4"/>
      <c r="D1102" s="4" t="b">
        <f t="shared" si="1"/>
        <v>0</v>
      </c>
      <c r="E1102" s="4"/>
    </row>
    <row r="1103">
      <c r="A1103" s="3" t="s">
        <v>1279</v>
      </c>
      <c r="B1103" s="3">
        <v>6000.0</v>
      </c>
      <c r="C1103" s="4"/>
      <c r="D1103" s="4" t="b">
        <f t="shared" si="1"/>
        <v>0</v>
      </c>
      <c r="E1103" s="4"/>
    </row>
    <row r="1104">
      <c r="A1104" s="3" t="s">
        <v>1280</v>
      </c>
      <c r="B1104" s="3">
        <v>0.0</v>
      </c>
      <c r="C1104" s="3" t="s">
        <v>3</v>
      </c>
      <c r="D1104" s="4" t="b">
        <f t="shared" si="1"/>
        <v>0</v>
      </c>
      <c r="E1104" s="4"/>
    </row>
    <row r="1105">
      <c r="A1105" s="3" t="s">
        <v>1281</v>
      </c>
      <c r="B1105" s="3">
        <v>3000.0</v>
      </c>
      <c r="C1105" s="3" t="s">
        <v>3</v>
      </c>
      <c r="D1105" s="4" t="b">
        <f t="shared" si="1"/>
        <v>0</v>
      </c>
      <c r="E1105" s="4"/>
    </row>
    <row r="1106">
      <c r="A1106" s="3" t="s">
        <v>1282</v>
      </c>
      <c r="B1106" s="3">
        <v>0.0</v>
      </c>
      <c r="C1106" s="3" t="s">
        <v>3</v>
      </c>
      <c r="D1106" s="4" t="b">
        <f t="shared" si="1"/>
        <v>0</v>
      </c>
      <c r="E1106" s="4"/>
    </row>
    <row r="1107">
      <c r="A1107" s="3" t="s">
        <v>1283</v>
      </c>
      <c r="B1107" s="3">
        <v>0.0</v>
      </c>
      <c r="C1107" s="3" t="s">
        <v>3</v>
      </c>
      <c r="D1107" s="4" t="b">
        <f t="shared" si="1"/>
        <v>0</v>
      </c>
      <c r="E1107" s="4"/>
    </row>
    <row r="1108">
      <c r="A1108" s="3" t="s">
        <v>1284</v>
      </c>
      <c r="B1108" s="3">
        <v>0.0</v>
      </c>
      <c r="C1108" s="3" t="s">
        <v>32</v>
      </c>
      <c r="D1108" s="4" t="b">
        <f t="shared" si="1"/>
        <v>0</v>
      </c>
      <c r="E1108" s="4"/>
    </row>
    <row r="1109">
      <c r="A1109" s="3" t="s">
        <v>1285</v>
      </c>
      <c r="B1109" s="3">
        <v>3300.0</v>
      </c>
      <c r="C1109" s="4"/>
      <c r="D1109" s="4" t="b">
        <f t="shared" si="1"/>
        <v>0</v>
      </c>
      <c r="E1109" s="4"/>
    </row>
    <row r="1110">
      <c r="A1110" s="3" t="s">
        <v>1287</v>
      </c>
      <c r="B1110" s="3">
        <v>4000.0</v>
      </c>
      <c r="C1110" s="3" t="s">
        <v>3</v>
      </c>
      <c r="D1110" s="4" t="b">
        <f t="shared" si="1"/>
        <v>0</v>
      </c>
      <c r="E1110" s="4"/>
    </row>
    <row r="1111">
      <c r="A1111" s="3" t="s">
        <v>1288</v>
      </c>
      <c r="B1111" s="3">
        <v>10083.0</v>
      </c>
      <c r="C1111" s="3" t="s">
        <v>32</v>
      </c>
      <c r="D1111" s="4" t="b">
        <f t="shared" si="1"/>
        <v>0</v>
      </c>
      <c r="E1111" s="4"/>
    </row>
    <row r="1112">
      <c r="A1112" s="3" t="s">
        <v>1290</v>
      </c>
      <c r="B1112" s="3">
        <v>3000.0</v>
      </c>
      <c r="C1112" s="3" t="s">
        <v>3</v>
      </c>
      <c r="D1112" s="4" t="b">
        <f t="shared" si="1"/>
        <v>0</v>
      </c>
      <c r="E1112" s="4"/>
    </row>
    <row r="1113">
      <c r="A1113" s="3" t="s">
        <v>1291</v>
      </c>
      <c r="B1113" s="3">
        <v>0.0</v>
      </c>
      <c r="C1113" s="3" t="s">
        <v>29</v>
      </c>
      <c r="D1113" s="4" t="b">
        <f t="shared" si="1"/>
        <v>0</v>
      </c>
      <c r="E1113" s="4"/>
    </row>
    <row r="1114">
      <c r="A1114" s="3" t="s">
        <v>1292</v>
      </c>
      <c r="B1114" s="3">
        <v>0.0</v>
      </c>
      <c r="C1114" s="3" t="s">
        <v>3</v>
      </c>
      <c r="D1114" s="4" t="b">
        <f t="shared" si="1"/>
        <v>0</v>
      </c>
      <c r="E1114" s="4"/>
    </row>
    <row r="1115">
      <c r="A1115" s="3" t="s">
        <v>1293</v>
      </c>
      <c r="B1115" s="3">
        <v>7370.0</v>
      </c>
      <c r="C1115" s="3" t="s">
        <v>29</v>
      </c>
      <c r="D1115" s="4" t="b">
        <f t="shared" si="1"/>
        <v>0</v>
      </c>
      <c r="E1115" s="4"/>
    </row>
    <row r="1116">
      <c r="A1116" s="3" t="s">
        <v>1295</v>
      </c>
      <c r="B1116" s="3">
        <v>0.0</v>
      </c>
      <c r="C1116" s="3" t="s">
        <v>3</v>
      </c>
      <c r="D1116" s="4" t="b">
        <f t="shared" si="1"/>
        <v>0</v>
      </c>
      <c r="E1116" s="4"/>
    </row>
    <row r="1117">
      <c r="A1117" s="3" t="s">
        <v>1296</v>
      </c>
      <c r="B1117" s="3">
        <v>0.0</v>
      </c>
      <c r="C1117" s="3" t="s">
        <v>3</v>
      </c>
      <c r="D1117" s="4" t="b">
        <f t="shared" si="1"/>
        <v>0</v>
      </c>
      <c r="E1117" s="4"/>
    </row>
    <row r="1118">
      <c r="A1118" s="3" t="s">
        <v>1297</v>
      </c>
      <c r="B1118" s="3">
        <v>0.0</v>
      </c>
      <c r="C1118" s="3" t="s">
        <v>3</v>
      </c>
      <c r="D1118" s="4" t="b">
        <f t="shared" si="1"/>
        <v>0</v>
      </c>
      <c r="E1118" s="4"/>
    </row>
    <row r="1119">
      <c r="A1119" s="3" t="s">
        <v>1298</v>
      </c>
      <c r="B1119" s="3">
        <v>0.0</v>
      </c>
      <c r="C1119" s="3" t="s">
        <v>3</v>
      </c>
      <c r="D1119" s="4" t="b">
        <f t="shared" si="1"/>
        <v>0</v>
      </c>
      <c r="E1119" s="4"/>
    </row>
    <row r="1120">
      <c r="A1120" s="3" t="s">
        <v>1299</v>
      </c>
      <c r="B1120" s="3">
        <v>0.0</v>
      </c>
      <c r="C1120" s="3" t="s">
        <v>3</v>
      </c>
      <c r="D1120" s="4" t="b">
        <f t="shared" si="1"/>
        <v>0</v>
      </c>
      <c r="E1120" s="4"/>
    </row>
    <row r="1121">
      <c r="A1121" s="3" t="s">
        <v>1300</v>
      </c>
      <c r="B1121" s="3">
        <v>2000.0</v>
      </c>
      <c r="C1121" s="3" t="s">
        <v>6</v>
      </c>
      <c r="D1121" s="4" t="b">
        <f t="shared" si="1"/>
        <v>0</v>
      </c>
      <c r="E1121" s="4"/>
    </row>
    <row r="1122">
      <c r="A1122" s="3" t="s">
        <v>1301</v>
      </c>
      <c r="B1122" s="3">
        <v>0.0</v>
      </c>
      <c r="C1122" s="3" t="s">
        <v>3</v>
      </c>
      <c r="D1122" s="4" t="b">
        <f t="shared" si="1"/>
        <v>0</v>
      </c>
      <c r="E1122" s="4"/>
    </row>
    <row r="1123">
      <c r="A1123" s="3" t="s">
        <v>1302</v>
      </c>
      <c r="B1123" s="3">
        <v>0.0</v>
      </c>
      <c r="C1123" s="3" t="s">
        <v>29</v>
      </c>
      <c r="D1123" s="4" t="b">
        <f t="shared" si="1"/>
        <v>0</v>
      </c>
      <c r="E1123" s="4"/>
    </row>
    <row r="1124">
      <c r="A1124" s="3" t="s">
        <v>1303</v>
      </c>
      <c r="B1124" s="3">
        <v>500.0</v>
      </c>
      <c r="C1124" s="3" t="s">
        <v>6</v>
      </c>
      <c r="D1124" s="4" t="b">
        <f t="shared" si="1"/>
        <v>0</v>
      </c>
      <c r="E1124" s="4"/>
    </row>
    <row r="1125">
      <c r="A1125" s="3" t="s">
        <v>1304</v>
      </c>
      <c r="B1125" s="3">
        <v>9000.0</v>
      </c>
      <c r="C1125" s="3" t="s">
        <v>3</v>
      </c>
      <c r="D1125" s="4" t="b">
        <f t="shared" si="1"/>
        <v>0</v>
      </c>
      <c r="E1125" s="4"/>
    </row>
    <row r="1126">
      <c r="A1126" s="3" t="s">
        <v>1305</v>
      </c>
      <c r="B1126" s="3">
        <v>2000.0</v>
      </c>
      <c r="C1126" s="3" t="s">
        <v>3</v>
      </c>
      <c r="D1126" s="4" t="b">
        <f t="shared" si="1"/>
        <v>0</v>
      </c>
      <c r="E1126" s="4"/>
    </row>
    <row r="1127">
      <c r="A1127" s="3" t="s">
        <v>1306</v>
      </c>
      <c r="B1127" s="3">
        <v>1700.0</v>
      </c>
      <c r="C1127" s="4"/>
      <c r="D1127" s="4" t="b">
        <f t="shared" si="1"/>
        <v>0</v>
      </c>
      <c r="E1127" s="4"/>
    </row>
    <row r="1128">
      <c r="A1128" s="3" t="s">
        <v>1307</v>
      </c>
      <c r="B1128" s="3">
        <v>0.0</v>
      </c>
      <c r="C1128" s="3" t="s">
        <v>32</v>
      </c>
      <c r="D1128" s="4" t="b">
        <f t="shared" si="1"/>
        <v>0</v>
      </c>
      <c r="E1128" s="4"/>
    </row>
    <row r="1129">
      <c r="A1129" s="3" t="s">
        <v>1308</v>
      </c>
      <c r="B1129" s="3">
        <v>3000.0</v>
      </c>
      <c r="C1129" s="4"/>
      <c r="D1129" s="4" t="b">
        <f t="shared" si="1"/>
        <v>0</v>
      </c>
      <c r="E1129" s="4"/>
    </row>
    <row r="1130">
      <c r="A1130" s="3" t="s">
        <v>1309</v>
      </c>
      <c r="B1130" s="3">
        <v>0.0</v>
      </c>
      <c r="C1130" s="3" t="s">
        <v>3</v>
      </c>
      <c r="D1130" s="4" t="b">
        <f t="shared" si="1"/>
        <v>0</v>
      </c>
      <c r="E1130" s="4"/>
    </row>
    <row r="1131">
      <c r="A1131" s="3" t="s">
        <v>1310</v>
      </c>
      <c r="B1131" s="3">
        <v>0.0</v>
      </c>
      <c r="C1131" s="3" t="s">
        <v>6</v>
      </c>
      <c r="D1131" s="4" t="b">
        <f t="shared" si="1"/>
        <v>0</v>
      </c>
      <c r="E1131" s="4"/>
    </row>
    <row r="1132">
      <c r="A1132" s="3" t="s">
        <v>1311</v>
      </c>
      <c r="B1132" s="3">
        <v>0.0</v>
      </c>
      <c r="C1132" s="3" t="s">
        <v>3</v>
      </c>
      <c r="D1132" s="4" t="b">
        <f t="shared" si="1"/>
        <v>0</v>
      </c>
      <c r="E1132" s="4"/>
    </row>
    <row r="1133">
      <c r="A1133" s="3" t="s">
        <v>1312</v>
      </c>
      <c r="B1133" s="3">
        <v>500.0</v>
      </c>
      <c r="C1133" s="3" t="s">
        <v>3</v>
      </c>
      <c r="D1133" s="4" t="b">
        <f t="shared" si="1"/>
        <v>0</v>
      </c>
      <c r="E1133" s="4"/>
    </row>
    <row r="1134">
      <c r="A1134" s="3" t="s">
        <v>1313</v>
      </c>
      <c r="B1134" s="3">
        <v>0.0</v>
      </c>
      <c r="C1134" s="3" t="s">
        <v>3</v>
      </c>
      <c r="D1134" s="4" t="b">
        <f t="shared" si="1"/>
        <v>0</v>
      </c>
      <c r="E1134" s="4"/>
    </row>
    <row r="1135">
      <c r="A1135" s="3" t="s">
        <v>1314</v>
      </c>
      <c r="B1135" s="3">
        <v>4000.0</v>
      </c>
      <c r="C1135" s="4"/>
      <c r="D1135" s="4" t="b">
        <f t="shared" si="1"/>
        <v>0</v>
      </c>
      <c r="E1135" s="4"/>
    </row>
    <row r="1136">
      <c r="A1136" s="3" t="s">
        <v>1315</v>
      </c>
      <c r="B1136" s="3">
        <v>16000.0</v>
      </c>
      <c r="C1136" s="3" t="s">
        <v>3</v>
      </c>
      <c r="D1136" s="4" t="b">
        <f t="shared" si="1"/>
        <v>0</v>
      </c>
      <c r="E1136" s="4"/>
    </row>
    <row r="1137">
      <c r="A1137" s="3" t="s">
        <v>1316</v>
      </c>
      <c r="B1137" s="3">
        <v>0.0</v>
      </c>
      <c r="C1137" s="3" t="s">
        <v>3</v>
      </c>
      <c r="D1137" s="4" t="b">
        <f t="shared" si="1"/>
        <v>0</v>
      </c>
      <c r="E1137" s="4"/>
    </row>
    <row r="1138">
      <c r="A1138" s="3" t="s">
        <v>1317</v>
      </c>
      <c r="B1138" s="3">
        <v>0.0</v>
      </c>
      <c r="C1138" s="3" t="s">
        <v>6</v>
      </c>
      <c r="D1138" s="4" t="b">
        <f t="shared" si="1"/>
        <v>0</v>
      </c>
      <c r="E1138" s="4"/>
    </row>
    <row r="1139">
      <c r="A1139" s="3" t="s">
        <v>1318</v>
      </c>
      <c r="B1139" s="3">
        <v>2000.0</v>
      </c>
      <c r="C1139" s="4"/>
      <c r="D1139" s="4" t="b">
        <f t="shared" si="1"/>
        <v>0</v>
      </c>
      <c r="E1139" s="4"/>
    </row>
    <row r="1140">
      <c r="A1140" s="3" t="s">
        <v>1319</v>
      </c>
      <c r="B1140" s="3">
        <v>0.0</v>
      </c>
      <c r="C1140" s="3" t="s">
        <v>3</v>
      </c>
      <c r="D1140" s="4" t="b">
        <f t="shared" si="1"/>
        <v>0</v>
      </c>
      <c r="E1140" s="4"/>
    </row>
    <row r="1141">
      <c r="A1141" s="3" t="s">
        <v>1320</v>
      </c>
      <c r="B1141" s="4"/>
      <c r="C1141" s="4"/>
      <c r="D1141" s="4" t="b">
        <f t="shared" si="1"/>
        <v>1</v>
      </c>
      <c r="E1141" s="4"/>
    </row>
    <row r="1142">
      <c r="A1142" s="3" t="s">
        <v>1321</v>
      </c>
      <c r="B1142" s="3">
        <v>8000.0</v>
      </c>
      <c r="C1142" s="4"/>
      <c r="D1142" s="4" t="b">
        <f t="shared" si="1"/>
        <v>0</v>
      </c>
      <c r="E1142" s="4"/>
    </row>
    <row r="1143">
      <c r="A1143" s="3" t="s">
        <v>1322</v>
      </c>
      <c r="B1143" s="3">
        <v>23000.0</v>
      </c>
      <c r="C1143" s="3" t="s">
        <v>3</v>
      </c>
      <c r="D1143" s="4" t="b">
        <f t="shared" si="1"/>
        <v>0</v>
      </c>
      <c r="E1143" s="4"/>
    </row>
    <row r="1144">
      <c r="A1144" s="3" t="s">
        <v>1323</v>
      </c>
      <c r="B1144" s="3">
        <v>0.0</v>
      </c>
      <c r="C1144" s="3" t="s">
        <v>3</v>
      </c>
      <c r="D1144" s="4" t="b">
        <f t="shared" si="1"/>
        <v>0</v>
      </c>
      <c r="E1144" s="4"/>
    </row>
    <row r="1145">
      <c r="A1145" s="3" t="s">
        <v>1324</v>
      </c>
      <c r="B1145" s="3">
        <v>4500.0</v>
      </c>
      <c r="C1145" s="3" t="s">
        <v>16</v>
      </c>
      <c r="D1145" s="4" t="b">
        <f t="shared" si="1"/>
        <v>0</v>
      </c>
      <c r="E1145" s="4"/>
    </row>
    <row r="1146">
      <c r="A1146" s="3" t="s">
        <v>1325</v>
      </c>
      <c r="B1146" s="3">
        <v>0.0</v>
      </c>
      <c r="C1146" s="3" t="s">
        <v>3</v>
      </c>
      <c r="D1146" s="4" t="b">
        <f t="shared" si="1"/>
        <v>0</v>
      </c>
      <c r="E1146" s="4"/>
    </row>
    <row r="1147">
      <c r="A1147" s="3" t="s">
        <v>1326</v>
      </c>
      <c r="B1147" s="3">
        <v>3000.0</v>
      </c>
      <c r="C1147" s="4"/>
      <c r="D1147" s="4" t="b">
        <f t="shared" si="1"/>
        <v>0</v>
      </c>
      <c r="E1147" s="4"/>
    </row>
    <row r="1148">
      <c r="A1148" s="3" t="s">
        <v>1327</v>
      </c>
      <c r="B1148" s="3">
        <v>0.0</v>
      </c>
      <c r="C1148" s="3" t="s">
        <v>6</v>
      </c>
      <c r="D1148" s="4" t="b">
        <f t="shared" si="1"/>
        <v>0</v>
      </c>
      <c r="E1148" s="4"/>
    </row>
    <row r="1149">
      <c r="A1149" s="3" t="s">
        <v>1328</v>
      </c>
      <c r="B1149" s="3">
        <v>0.0</v>
      </c>
      <c r="C1149" s="3" t="s">
        <v>29</v>
      </c>
      <c r="D1149" s="4" t="b">
        <f t="shared" si="1"/>
        <v>0</v>
      </c>
      <c r="E1149" s="4"/>
    </row>
    <row r="1150">
      <c r="A1150" s="3" t="s">
        <v>1329</v>
      </c>
      <c r="B1150" s="3">
        <v>0.0</v>
      </c>
      <c r="C1150" s="3" t="s">
        <v>6</v>
      </c>
      <c r="D1150" s="4" t="b">
        <f t="shared" si="1"/>
        <v>0</v>
      </c>
      <c r="E1150" s="4"/>
    </row>
    <row r="1151">
      <c r="A1151" s="3" t="s">
        <v>1330</v>
      </c>
      <c r="B1151" s="3">
        <v>0.0</v>
      </c>
      <c r="C1151" s="3" t="s">
        <v>6</v>
      </c>
      <c r="D1151" s="4" t="b">
        <f t="shared" si="1"/>
        <v>0</v>
      </c>
      <c r="E1151" s="4"/>
    </row>
    <row r="1152">
      <c r="A1152" s="3" t="s">
        <v>1331</v>
      </c>
      <c r="B1152" s="3">
        <v>10000.0</v>
      </c>
      <c r="C1152" s="3" t="s">
        <v>32</v>
      </c>
      <c r="D1152" s="4" t="b">
        <f t="shared" si="1"/>
        <v>0</v>
      </c>
      <c r="E1152" s="4"/>
    </row>
    <row r="1153">
      <c r="A1153" s="3" t="s">
        <v>1332</v>
      </c>
      <c r="B1153" s="3">
        <v>500.0</v>
      </c>
      <c r="C1153" s="4"/>
      <c r="D1153" s="4" t="b">
        <f t="shared" si="1"/>
        <v>0</v>
      </c>
      <c r="E1153" s="4"/>
    </row>
    <row r="1154">
      <c r="A1154" s="3" t="s">
        <v>1333</v>
      </c>
      <c r="B1154" s="3">
        <v>1500.0</v>
      </c>
      <c r="C1154" s="4"/>
      <c r="D1154" s="4" t="b">
        <f t="shared" si="1"/>
        <v>0</v>
      </c>
      <c r="E1154" s="4"/>
    </row>
    <row r="1155">
      <c r="A1155" s="3" t="s">
        <v>1334</v>
      </c>
      <c r="B1155" s="3">
        <v>1000.0</v>
      </c>
      <c r="C1155" s="4"/>
      <c r="D1155" s="4" t="b">
        <f t="shared" si="1"/>
        <v>0</v>
      </c>
      <c r="E1155" s="4"/>
    </row>
    <row r="1156">
      <c r="A1156" s="3" t="s">
        <v>1335</v>
      </c>
      <c r="B1156" s="3">
        <v>1200.0</v>
      </c>
      <c r="C1156" s="3" t="s">
        <v>32</v>
      </c>
      <c r="D1156" s="4" t="b">
        <f t="shared" si="1"/>
        <v>0</v>
      </c>
      <c r="E1156" s="4"/>
    </row>
    <row r="1157">
      <c r="A1157" s="3" t="s">
        <v>1336</v>
      </c>
      <c r="B1157" s="3">
        <v>22000.0</v>
      </c>
      <c r="C1157" s="4"/>
      <c r="D1157" s="4" t="b">
        <f t="shared" si="1"/>
        <v>0</v>
      </c>
      <c r="E1157" s="4"/>
    </row>
    <row r="1158">
      <c r="A1158" s="3" t="s">
        <v>1337</v>
      </c>
      <c r="B1158" s="3">
        <v>3000.0</v>
      </c>
      <c r="C1158" s="4"/>
      <c r="D1158" s="4" t="b">
        <f t="shared" si="1"/>
        <v>0</v>
      </c>
      <c r="E1158" s="4"/>
    </row>
    <row r="1159">
      <c r="A1159" s="3" t="s">
        <v>1338</v>
      </c>
      <c r="B1159" s="3">
        <v>3200.0</v>
      </c>
      <c r="C1159" s="3" t="s">
        <v>3</v>
      </c>
      <c r="D1159" s="4" t="b">
        <f t="shared" si="1"/>
        <v>0</v>
      </c>
      <c r="E1159" s="4"/>
    </row>
    <row r="1160">
      <c r="A1160" s="3" t="s">
        <v>1339</v>
      </c>
      <c r="B1160" s="3">
        <v>57005.0</v>
      </c>
      <c r="C1160" s="4"/>
      <c r="D1160" s="4" t="b">
        <f t="shared" si="1"/>
        <v>0</v>
      </c>
      <c r="E1160" s="4"/>
    </row>
    <row r="1161">
      <c r="A1161" s="3" t="s">
        <v>1341</v>
      </c>
      <c r="B1161" s="3">
        <v>2000.0</v>
      </c>
      <c r="C1161" s="3" t="s">
        <v>6</v>
      </c>
      <c r="D1161" s="4" t="b">
        <f t="shared" si="1"/>
        <v>0</v>
      </c>
      <c r="E1161" s="4"/>
    </row>
    <row r="1162">
      <c r="A1162" s="3" t="s">
        <v>1342</v>
      </c>
      <c r="B1162" s="3">
        <v>3500.0</v>
      </c>
      <c r="C1162" s="4"/>
      <c r="D1162" s="4" t="b">
        <f t="shared" si="1"/>
        <v>0</v>
      </c>
      <c r="E1162" s="4"/>
    </row>
    <row r="1163">
      <c r="A1163" s="3" t="s">
        <v>1343</v>
      </c>
      <c r="B1163" s="3">
        <v>6000.0</v>
      </c>
      <c r="C1163" s="4"/>
      <c r="D1163" s="4" t="b">
        <f t="shared" si="1"/>
        <v>0</v>
      </c>
      <c r="E1163" s="4"/>
    </row>
    <row r="1164">
      <c r="A1164" s="3" t="s">
        <v>1344</v>
      </c>
      <c r="B1164" s="3">
        <v>0.0</v>
      </c>
      <c r="C1164" s="3" t="s">
        <v>3</v>
      </c>
      <c r="D1164" s="4" t="b">
        <f t="shared" si="1"/>
        <v>0</v>
      </c>
      <c r="E1164" s="4"/>
    </row>
    <row r="1165">
      <c r="A1165" s="3" t="s">
        <v>1345</v>
      </c>
      <c r="B1165" s="3">
        <v>600.0</v>
      </c>
      <c r="C1165" s="4"/>
      <c r="D1165" s="4" t="b">
        <f t="shared" si="1"/>
        <v>0</v>
      </c>
      <c r="E1165" s="4"/>
    </row>
    <row r="1166">
      <c r="A1166" s="3" t="s">
        <v>1346</v>
      </c>
      <c r="B1166" s="3">
        <v>50000.0</v>
      </c>
      <c r="C1166" s="4"/>
      <c r="D1166" s="4" t="b">
        <f t="shared" si="1"/>
        <v>0</v>
      </c>
      <c r="E1166" s="4"/>
    </row>
    <row r="1167">
      <c r="A1167" s="3" t="s">
        <v>1347</v>
      </c>
      <c r="B1167" s="3">
        <v>0.0</v>
      </c>
      <c r="C1167" s="3" t="s">
        <v>3</v>
      </c>
      <c r="D1167" s="4" t="b">
        <f t="shared" si="1"/>
        <v>0</v>
      </c>
      <c r="E1167" s="4"/>
    </row>
    <row r="1168">
      <c r="A1168" s="3" t="s">
        <v>1348</v>
      </c>
      <c r="B1168" s="3">
        <v>13000.0</v>
      </c>
      <c r="C1168" s="4"/>
      <c r="D1168" s="4" t="b">
        <f t="shared" si="1"/>
        <v>0</v>
      </c>
      <c r="E1168" s="4"/>
    </row>
    <row r="1169">
      <c r="A1169" s="3" t="s">
        <v>1350</v>
      </c>
      <c r="B1169" s="3">
        <v>0.0</v>
      </c>
      <c r="C1169" s="3" t="s">
        <v>3</v>
      </c>
      <c r="D1169" s="4" t="b">
        <f t="shared" si="1"/>
        <v>0</v>
      </c>
      <c r="E1169" s="4"/>
    </row>
    <row r="1170">
      <c r="A1170" s="3" t="s">
        <v>1351</v>
      </c>
      <c r="B1170" s="3">
        <v>8000.0</v>
      </c>
      <c r="C1170" s="4"/>
      <c r="D1170" s="4" t="b">
        <f t="shared" si="1"/>
        <v>0</v>
      </c>
      <c r="E1170" s="4"/>
    </row>
    <row r="1171">
      <c r="A1171" s="3" t="s">
        <v>1352</v>
      </c>
      <c r="B1171" s="3">
        <v>0.0</v>
      </c>
      <c r="C1171" s="3" t="s">
        <v>3</v>
      </c>
      <c r="D1171" s="4" t="b">
        <f t="shared" si="1"/>
        <v>0</v>
      </c>
      <c r="E1171" s="4"/>
    </row>
    <row r="1172">
      <c r="A1172" s="3" t="s">
        <v>1353</v>
      </c>
      <c r="B1172" s="3">
        <v>0.0</v>
      </c>
      <c r="C1172" s="3" t="s">
        <v>3</v>
      </c>
      <c r="D1172" s="4" t="b">
        <f t="shared" si="1"/>
        <v>0</v>
      </c>
      <c r="E1172" s="4"/>
    </row>
    <row r="1173">
      <c r="A1173" s="3" t="s">
        <v>1354</v>
      </c>
      <c r="B1173" s="3">
        <v>2500.0</v>
      </c>
      <c r="C1173" s="3" t="s">
        <v>3</v>
      </c>
      <c r="D1173" s="4" t="b">
        <f t="shared" si="1"/>
        <v>0</v>
      </c>
      <c r="E1173" s="4"/>
    </row>
    <row r="1174">
      <c r="A1174" s="3" t="s">
        <v>1355</v>
      </c>
      <c r="B1174" s="3">
        <v>0.0</v>
      </c>
      <c r="C1174" s="3" t="s">
        <v>3</v>
      </c>
      <c r="D1174" s="4" t="b">
        <f t="shared" si="1"/>
        <v>0</v>
      </c>
      <c r="E1174" s="4"/>
    </row>
    <row r="1175">
      <c r="A1175" s="3" t="s">
        <v>1356</v>
      </c>
      <c r="B1175" s="3">
        <v>0.0</v>
      </c>
      <c r="C1175" s="3" t="s">
        <v>3</v>
      </c>
      <c r="D1175" s="4" t="b">
        <f t="shared" si="1"/>
        <v>0</v>
      </c>
      <c r="E1175" s="4"/>
    </row>
    <row r="1176">
      <c r="A1176" s="3" t="s">
        <v>1357</v>
      </c>
      <c r="B1176" s="3">
        <v>0.0</v>
      </c>
      <c r="C1176" s="3" t="s">
        <v>3</v>
      </c>
      <c r="D1176" s="4" t="b">
        <f t="shared" si="1"/>
        <v>0</v>
      </c>
      <c r="E1176" s="4"/>
    </row>
    <row r="1177">
      <c r="A1177" s="3" t="s">
        <v>1358</v>
      </c>
      <c r="B1177" s="3">
        <v>15000.0</v>
      </c>
      <c r="C1177" s="3" t="s">
        <v>32</v>
      </c>
      <c r="D1177" s="4" t="b">
        <f t="shared" si="1"/>
        <v>0</v>
      </c>
      <c r="E1177" s="4"/>
    </row>
    <row r="1178">
      <c r="A1178" s="3" t="s">
        <v>1359</v>
      </c>
      <c r="B1178" s="3">
        <v>9000.0</v>
      </c>
      <c r="C1178" s="3" t="s">
        <v>37</v>
      </c>
      <c r="D1178" s="4" t="b">
        <f t="shared" si="1"/>
        <v>0</v>
      </c>
      <c r="E1178" s="4"/>
    </row>
    <row r="1179">
      <c r="A1179" s="4"/>
      <c r="B1179" s="4"/>
      <c r="C1179" s="3" t="s">
        <v>38</v>
      </c>
      <c r="D1179" s="4" t="b">
        <f t="shared" si="1"/>
        <v>1</v>
      </c>
      <c r="E1179" s="4"/>
    </row>
    <row r="1180">
      <c r="A1180" s="3" t="s">
        <v>1360</v>
      </c>
      <c r="B1180" s="3">
        <v>0.0</v>
      </c>
      <c r="C1180" s="3" t="s">
        <v>3</v>
      </c>
      <c r="D1180" s="4" t="b">
        <f t="shared" si="1"/>
        <v>0</v>
      </c>
      <c r="E1180" s="4"/>
    </row>
    <row r="1181">
      <c r="A1181" s="3" t="s">
        <v>1361</v>
      </c>
      <c r="B1181" s="3">
        <v>2000.0</v>
      </c>
      <c r="C1181" s="4"/>
      <c r="D1181" s="4" t="b">
        <f t="shared" si="1"/>
        <v>0</v>
      </c>
      <c r="E1181" s="4"/>
    </row>
    <row r="1182">
      <c r="A1182" s="3" t="s">
        <v>1362</v>
      </c>
      <c r="B1182" s="3">
        <v>0.0</v>
      </c>
      <c r="C1182" s="3" t="s">
        <v>29</v>
      </c>
      <c r="D1182" s="4" t="b">
        <f t="shared" si="1"/>
        <v>0</v>
      </c>
      <c r="E1182" s="4"/>
    </row>
    <row r="1183">
      <c r="A1183" s="3" t="s">
        <v>1363</v>
      </c>
      <c r="B1183" s="3">
        <v>80000.0</v>
      </c>
      <c r="C1183" s="3" t="s">
        <v>3</v>
      </c>
      <c r="D1183" s="4" t="b">
        <f t="shared" si="1"/>
        <v>0</v>
      </c>
      <c r="E1183" s="4"/>
    </row>
    <row r="1184">
      <c r="A1184" s="3" t="s">
        <v>1364</v>
      </c>
      <c r="B1184" s="3">
        <v>0.0</v>
      </c>
      <c r="C1184" s="3" t="s">
        <v>6</v>
      </c>
      <c r="D1184" s="4" t="b">
        <f t="shared" si="1"/>
        <v>0</v>
      </c>
      <c r="E1184" s="4"/>
    </row>
    <row r="1185">
      <c r="A1185" s="3" t="s">
        <v>1365</v>
      </c>
      <c r="B1185" s="3">
        <v>0.0</v>
      </c>
      <c r="C1185" s="3" t="s">
        <v>3</v>
      </c>
      <c r="D1185" s="4" t="b">
        <f t="shared" si="1"/>
        <v>0</v>
      </c>
      <c r="E1185" s="4"/>
    </row>
    <row r="1186">
      <c r="A1186" s="3" t="s">
        <v>1366</v>
      </c>
      <c r="B1186" s="3">
        <v>0.0</v>
      </c>
      <c r="C1186" s="3" t="s">
        <v>6</v>
      </c>
      <c r="D1186" s="4" t="b">
        <f t="shared" si="1"/>
        <v>0</v>
      </c>
      <c r="E1186" s="4"/>
    </row>
    <row r="1187">
      <c r="A1187" s="3" t="s">
        <v>1367</v>
      </c>
      <c r="B1187" s="3">
        <v>6000.0</v>
      </c>
      <c r="C1187" s="3" t="s">
        <v>3</v>
      </c>
      <c r="D1187" s="4" t="b">
        <f t="shared" si="1"/>
        <v>0</v>
      </c>
      <c r="E1187" s="4"/>
    </row>
    <row r="1188">
      <c r="A1188" s="3" t="s">
        <v>1368</v>
      </c>
      <c r="B1188" s="3">
        <v>3000.0</v>
      </c>
      <c r="C1188" s="4"/>
      <c r="D1188" s="4" t="b">
        <f t="shared" si="1"/>
        <v>0</v>
      </c>
      <c r="E1188" s="4"/>
    </row>
    <row r="1189">
      <c r="A1189" s="3" t="s">
        <v>1369</v>
      </c>
      <c r="B1189" s="3">
        <v>0.0</v>
      </c>
      <c r="C1189" s="3" t="s">
        <v>3</v>
      </c>
      <c r="D1189" s="4" t="b">
        <f t="shared" si="1"/>
        <v>0</v>
      </c>
      <c r="E1189" s="4"/>
    </row>
    <row r="1190">
      <c r="A1190" s="3" t="s">
        <v>1370</v>
      </c>
      <c r="B1190" s="3">
        <v>2000.0</v>
      </c>
      <c r="C1190" s="3" t="s">
        <v>32</v>
      </c>
      <c r="D1190" s="4" t="b">
        <f t="shared" si="1"/>
        <v>0</v>
      </c>
      <c r="E1190" s="4"/>
    </row>
    <row r="1191">
      <c r="A1191" s="3" t="s">
        <v>1371</v>
      </c>
      <c r="B1191" s="3">
        <v>198000.0</v>
      </c>
      <c r="C1191" s="3" t="s">
        <v>1373</v>
      </c>
      <c r="D1191" s="4" t="b">
        <f t="shared" si="1"/>
        <v>0</v>
      </c>
      <c r="E1191" s="4"/>
    </row>
    <row r="1192">
      <c r="A1192" s="4"/>
      <c r="B1192" s="4"/>
      <c r="C1192" s="3" t="s">
        <v>1374</v>
      </c>
      <c r="D1192" s="4" t="b">
        <f t="shared" si="1"/>
        <v>1</v>
      </c>
      <c r="E1192" s="4"/>
    </row>
    <row r="1193">
      <c r="A1193" s="3" t="s">
        <v>1375</v>
      </c>
      <c r="B1193" s="3">
        <v>2000.0</v>
      </c>
      <c r="C1193" s="3" t="s">
        <v>32</v>
      </c>
      <c r="D1193" s="4" t="b">
        <f t="shared" si="1"/>
        <v>0</v>
      </c>
      <c r="E1193" s="4"/>
    </row>
    <row r="1194">
      <c r="A1194" s="3" t="s">
        <v>1376</v>
      </c>
      <c r="B1194" s="3">
        <v>0.0</v>
      </c>
      <c r="C1194" s="3" t="s">
        <v>3</v>
      </c>
      <c r="D1194" s="4" t="b">
        <f t="shared" si="1"/>
        <v>0</v>
      </c>
      <c r="E1194" s="4"/>
    </row>
    <row r="1195">
      <c r="A1195" s="3" t="s">
        <v>1377</v>
      </c>
      <c r="B1195" s="3">
        <v>56105.0</v>
      </c>
      <c r="C1195" s="3" t="s">
        <v>1379</v>
      </c>
      <c r="D1195" s="4" t="b">
        <f t="shared" si="1"/>
        <v>0</v>
      </c>
      <c r="E1195" s="4"/>
    </row>
    <row r="1196">
      <c r="A1196" s="3" t="s">
        <v>1380</v>
      </c>
      <c r="B1196" s="3">
        <v>0.0</v>
      </c>
      <c r="C1196" s="3" t="s">
        <v>3</v>
      </c>
      <c r="D1196" s="4" t="b">
        <f t="shared" si="1"/>
        <v>0</v>
      </c>
      <c r="E1196" s="4"/>
    </row>
    <row r="1197">
      <c r="A1197" s="3" t="s">
        <v>1381</v>
      </c>
      <c r="B1197" s="3">
        <v>3000.0</v>
      </c>
      <c r="C1197" s="3" t="s">
        <v>1379</v>
      </c>
      <c r="D1197" s="4" t="b">
        <f t="shared" si="1"/>
        <v>0</v>
      </c>
      <c r="E1197" s="4"/>
    </row>
    <row r="1198">
      <c r="A1198" s="3" t="s">
        <v>1382</v>
      </c>
      <c r="B1198" s="3">
        <v>0.0</v>
      </c>
      <c r="C1198" s="3" t="s">
        <v>6</v>
      </c>
      <c r="D1198" s="4" t="b">
        <f t="shared" si="1"/>
        <v>0</v>
      </c>
      <c r="E1198" s="4"/>
    </row>
    <row r="1199">
      <c r="A1199" s="3" t="s">
        <v>1383</v>
      </c>
      <c r="B1199" s="3">
        <v>3000.0</v>
      </c>
      <c r="C1199" s="4"/>
      <c r="D1199" s="4" t="b">
        <f t="shared" si="1"/>
        <v>0</v>
      </c>
      <c r="E1199" s="4"/>
    </row>
    <row r="1200">
      <c r="A1200" s="3" t="s">
        <v>1384</v>
      </c>
      <c r="B1200" s="3">
        <v>0.0</v>
      </c>
      <c r="C1200" s="3" t="s">
        <v>3</v>
      </c>
      <c r="D1200" s="4" t="b">
        <f t="shared" si="1"/>
        <v>0</v>
      </c>
      <c r="E1200" s="4"/>
    </row>
    <row r="1201">
      <c r="A1201" s="3" t="s">
        <v>1385</v>
      </c>
      <c r="B1201" s="3">
        <v>800.0</v>
      </c>
      <c r="C1201" s="3" t="s">
        <v>3</v>
      </c>
      <c r="D1201" s="4" t="b">
        <f t="shared" si="1"/>
        <v>0</v>
      </c>
      <c r="E1201" s="4"/>
    </row>
    <row r="1202">
      <c r="A1202" s="3" t="s">
        <v>1386</v>
      </c>
      <c r="B1202" s="3">
        <v>2500.0</v>
      </c>
      <c r="C1202" s="3" t="s">
        <v>32</v>
      </c>
      <c r="D1202" s="4" t="b">
        <f t="shared" si="1"/>
        <v>0</v>
      </c>
      <c r="E1202" s="4"/>
    </row>
    <row r="1203">
      <c r="A1203" s="3" t="s">
        <v>1387</v>
      </c>
      <c r="B1203" s="3">
        <v>2000.0</v>
      </c>
      <c r="C1203" s="4"/>
      <c r="D1203" s="4" t="b">
        <f t="shared" si="1"/>
        <v>0</v>
      </c>
      <c r="E1203" s="4"/>
    </row>
    <row r="1204">
      <c r="A1204" s="3" t="s">
        <v>1388</v>
      </c>
      <c r="B1204" s="3">
        <v>500.0</v>
      </c>
      <c r="C1204" s="3" t="s">
        <v>32</v>
      </c>
      <c r="D1204" s="4" t="b">
        <f t="shared" si="1"/>
        <v>0</v>
      </c>
      <c r="E1204" s="4"/>
    </row>
    <row r="1205">
      <c r="A1205" s="3" t="s">
        <v>1389</v>
      </c>
      <c r="B1205" s="3">
        <v>119100.0</v>
      </c>
      <c r="C1205" s="3" t="s">
        <v>280</v>
      </c>
      <c r="D1205" s="4" t="b">
        <f t="shared" si="1"/>
        <v>0</v>
      </c>
      <c r="E1205" s="4"/>
    </row>
    <row r="1206">
      <c r="A1206" s="3" t="s">
        <v>1391</v>
      </c>
      <c r="B1206" s="3">
        <v>0.0</v>
      </c>
      <c r="C1206" s="3" t="s">
        <v>29</v>
      </c>
      <c r="D1206" s="4" t="b">
        <f t="shared" si="1"/>
        <v>0</v>
      </c>
      <c r="E1206" s="4"/>
    </row>
    <row r="1207">
      <c r="A1207" s="3" t="s">
        <v>1392</v>
      </c>
      <c r="B1207" s="3">
        <v>7000.0</v>
      </c>
      <c r="C1207" s="4"/>
      <c r="D1207" s="4" t="b">
        <f t="shared" si="1"/>
        <v>0</v>
      </c>
      <c r="E1207" s="4"/>
    </row>
    <row r="1208">
      <c r="A1208" s="3" t="s">
        <v>1393</v>
      </c>
      <c r="B1208" s="3">
        <v>4500.0</v>
      </c>
      <c r="C1208" s="3" t="s">
        <v>6</v>
      </c>
      <c r="D1208" s="4" t="b">
        <f t="shared" si="1"/>
        <v>0</v>
      </c>
      <c r="E1208" s="4"/>
    </row>
    <row r="1209">
      <c r="A1209" s="3" t="s">
        <v>1394</v>
      </c>
      <c r="B1209" s="3">
        <v>0.0</v>
      </c>
      <c r="C1209" s="3" t="s">
        <v>6</v>
      </c>
      <c r="D1209" s="4" t="b">
        <f t="shared" si="1"/>
        <v>0</v>
      </c>
      <c r="E1209" s="4"/>
    </row>
    <row r="1210">
      <c r="A1210" s="3" t="s">
        <v>1395</v>
      </c>
      <c r="B1210" s="3">
        <v>420.0</v>
      </c>
      <c r="C1210" s="4"/>
      <c r="D1210" s="4" t="b">
        <f t="shared" si="1"/>
        <v>0</v>
      </c>
      <c r="E1210" s="4"/>
    </row>
    <row r="1211">
      <c r="A1211" s="3" t="s">
        <v>1397</v>
      </c>
      <c r="B1211" s="3">
        <v>0.0</v>
      </c>
      <c r="C1211" s="3" t="s">
        <v>3</v>
      </c>
      <c r="D1211" s="4" t="b">
        <f t="shared" si="1"/>
        <v>0</v>
      </c>
      <c r="E1211" s="4"/>
    </row>
    <row r="1212">
      <c r="A1212" s="3" t="s">
        <v>1398</v>
      </c>
      <c r="B1212" s="3">
        <v>0.0</v>
      </c>
      <c r="C1212" s="3" t="s">
        <v>3</v>
      </c>
      <c r="D1212" s="4" t="b">
        <f t="shared" si="1"/>
        <v>0</v>
      </c>
      <c r="E1212" s="4"/>
    </row>
    <row r="1213">
      <c r="A1213" s="3" t="s">
        <v>1399</v>
      </c>
      <c r="B1213" s="3">
        <v>0.0</v>
      </c>
      <c r="C1213" s="3" t="s">
        <v>3</v>
      </c>
      <c r="D1213" s="4" t="b">
        <f t="shared" si="1"/>
        <v>0</v>
      </c>
      <c r="E1213" s="4"/>
    </row>
    <row r="1214">
      <c r="A1214" s="3" t="s">
        <v>1400</v>
      </c>
      <c r="B1214" s="3">
        <v>0.0</v>
      </c>
      <c r="C1214" s="3" t="s">
        <v>3</v>
      </c>
      <c r="D1214" s="4" t="b">
        <f t="shared" si="1"/>
        <v>0</v>
      </c>
      <c r="E1214" s="4"/>
    </row>
    <row r="1215">
      <c r="A1215" s="3" t="s">
        <v>1401</v>
      </c>
      <c r="B1215" s="3">
        <v>8640.0</v>
      </c>
      <c r="C1215" s="4"/>
      <c r="D1215" s="4" t="b">
        <f t="shared" si="1"/>
        <v>0</v>
      </c>
      <c r="E1215" s="4"/>
    </row>
    <row r="1216">
      <c r="A1216" s="3" t="s">
        <v>1403</v>
      </c>
      <c r="B1216" s="3">
        <v>0.0</v>
      </c>
      <c r="C1216" s="3" t="s">
        <v>3</v>
      </c>
      <c r="D1216" s="4" t="b">
        <f t="shared" si="1"/>
        <v>0</v>
      </c>
      <c r="E1216" s="4"/>
    </row>
    <row r="1217">
      <c r="A1217" s="3" t="s">
        <v>1404</v>
      </c>
      <c r="B1217" s="3">
        <v>0.0</v>
      </c>
      <c r="C1217" s="3" t="s">
        <v>32</v>
      </c>
      <c r="D1217" s="4" t="b">
        <f t="shared" si="1"/>
        <v>0</v>
      </c>
      <c r="E1217" s="4"/>
    </row>
    <row r="1218">
      <c r="A1218" s="3" t="s">
        <v>1405</v>
      </c>
      <c r="B1218" s="3">
        <v>14000.0</v>
      </c>
      <c r="C1218" s="4"/>
      <c r="D1218" s="4" t="b">
        <f t="shared" si="1"/>
        <v>0</v>
      </c>
      <c r="E1218" s="4"/>
    </row>
    <row r="1219">
      <c r="A1219" s="3" t="s">
        <v>1406</v>
      </c>
      <c r="B1219" s="3">
        <v>11950.0</v>
      </c>
      <c r="C1219" s="3" t="s">
        <v>32</v>
      </c>
      <c r="D1219" s="4" t="b">
        <f t="shared" si="1"/>
        <v>0</v>
      </c>
      <c r="E1219" s="4"/>
    </row>
    <row r="1220">
      <c r="A1220" s="3" t="s">
        <v>1408</v>
      </c>
      <c r="B1220" s="3">
        <v>1500.0</v>
      </c>
      <c r="C1220" s="4"/>
      <c r="D1220" s="4" t="b">
        <f t="shared" si="1"/>
        <v>0</v>
      </c>
      <c r="E1220" s="4"/>
    </row>
    <row r="1221">
      <c r="A1221" s="3" t="s">
        <v>1409</v>
      </c>
      <c r="B1221" s="3">
        <v>0.0</v>
      </c>
      <c r="C1221" s="3" t="s">
        <v>6</v>
      </c>
      <c r="D1221" s="4" t="b">
        <f t="shared" si="1"/>
        <v>0</v>
      </c>
      <c r="E1221" s="4"/>
    </row>
    <row r="1222">
      <c r="A1222" s="3" t="s">
        <v>1410</v>
      </c>
      <c r="B1222" s="3">
        <v>0.0</v>
      </c>
      <c r="C1222" s="3" t="s">
        <v>6</v>
      </c>
      <c r="D1222" s="4" t="b">
        <f t="shared" si="1"/>
        <v>0</v>
      </c>
      <c r="E1222" s="4"/>
    </row>
    <row r="1223">
      <c r="A1223" s="3" t="s">
        <v>1411</v>
      </c>
      <c r="B1223" s="3">
        <v>800.0</v>
      </c>
      <c r="C1223" s="3" t="s">
        <v>3</v>
      </c>
      <c r="D1223" s="4" t="b">
        <f t="shared" si="1"/>
        <v>0</v>
      </c>
      <c r="E1223" s="4"/>
    </row>
    <row r="1224">
      <c r="A1224" s="3" t="s">
        <v>1412</v>
      </c>
      <c r="B1224" s="3">
        <v>800.0</v>
      </c>
      <c r="C1224" s="4"/>
      <c r="D1224" s="4" t="b">
        <f t="shared" si="1"/>
        <v>0</v>
      </c>
      <c r="E1224" s="4"/>
    </row>
    <row r="1225">
      <c r="A1225" s="3" t="s">
        <v>1413</v>
      </c>
      <c r="B1225" s="3">
        <v>0.0</v>
      </c>
      <c r="C1225" s="3" t="s">
        <v>32</v>
      </c>
      <c r="D1225" s="4" t="b">
        <f t="shared" si="1"/>
        <v>0</v>
      </c>
      <c r="E1225" s="4"/>
    </row>
    <row r="1226">
      <c r="A1226" s="3" t="s">
        <v>1414</v>
      </c>
      <c r="B1226" s="3">
        <v>8000.0</v>
      </c>
      <c r="C1226" s="4"/>
      <c r="D1226" s="4" t="b">
        <f t="shared" si="1"/>
        <v>0</v>
      </c>
      <c r="E1226" s="4"/>
    </row>
    <row r="1227">
      <c r="A1227" s="3" t="s">
        <v>1415</v>
      </c>
      <c r="B1227" s="3">
        <v>500.0</v>
      </c>
      <c r="C1227" s="4"/>
      <c r="D1227" s="4" t="b">
        <f t="shared" si="1"/>
        <v>0</v>
      </c>
      <c r="E1227" s="4"/>
    </row>
    <row r="1228">
      <c r="A1228" s="3" t="s">
        <v>1416</v>
      </c>
      <c r="B1228" s="3">
        <v>1000.0</v>
      </c>
      <c r="C1228" s="4"/>
      <c r="D1228" s="4" t="b">
        <f t="shared" si="1"/>
        <v>0</v>
      </c>
      <c r="E1228" s="4"/>
    </row>
    <row r="1229">
      <c r="A1229" s="3" t="s">
        <v>1417</v>
      </c>
      <c r="B1229" s="3">
        <v>5000.0</v>
      </c>
      <c r="C1229" s="4"/>
      <c r="D1229" s="4" t="b">
        <f t="shared" si="1"/>
        <v>0</v>
      </c>
      <c r="E1229" s="4"/>
    </row>
    <row r="1230">
      <c r="A1230" s="3" t="s">
        <v>1418</v>
      </c>
      <c r="B1230" s="3">
        <v>6400.0</v>
      </c>
      <c r="C1230" s="3" t="s">
        <v>580</v>
      </c>
      <c r="D1230" s="4" t="b">
        <f t="shared" si="1"/>
        <v>0</v>
      </c>
      <c r="E1230" s="4"/>
    </row>
    <row r="1231">
      <c r="A1231" s="4"/>
      <c r="B1231" s="4"/>
      <c r="C1231" s="3" t="s">
        <v>581</v>
      </c>
      <c r="D1231" s="4" t="b">
        <f t="shared" si="1"/>
        <v>1</v>
      </c>
      <c r="E1231" s="4"/>
    </row>
    <row r="1232">
      <c r="A1232" s="3" t="s">
        <v>1420</v>
      </c>
      <c r="B1232" s="3">
        <v>7500.0</v>
      </c>
      <c r="C1232" s="3" t="s">
        <v>6</v>
      </c>
      <c r="D1232" s="4" t="b">
        <f t="shared" si="1"/>
        <v>0</v>
      </c>
      <c r="E1232" s="4"/>
    </row>
    <row r="1233">
      <c r="A1233" s="3" t="s">
        <v>1421</v>
      </c>
      <c r="B1233" s="3">
        <v>18800.0</v>
      </c>
      <c r="C1233" s="3" t="s">
        <v>6</v>
      </c>
      <c r="D1233" s="4" t="b">
        <f t="shared" si="1"/>
        <v>0</v>
      </c>
      <c r="E1233" s="4"/>
    </row>
    <row r="1234">
      <c r="A1234" s="3" t="s">
        <v>1423</v>
      </c>
      <c r="B1234" s="3">
        <v>22500.0</v>
      </c>
      <c r="C1234" s="3" t="s">
        <v>3</v>
      </c>
      <c r="D1234" s="4" t="b">
        <f t="shared" si="1"/>
        <v>0</v>
      </c>
      <c r="E1234" s="4"/>
    </row>
    <row r="1235">
      <c r="A1235" s="3" t="s">
        <v>1425</v>
      </c>
      <c r="B1235" s="3">
        <v>0.0</v>
      </c>
      <c r="C1235" s="3" t="s">
        <v>3</v>
      </c>
      <c r="D1235" s="4" t="b">
        <f t="shared" si="1"/>
        <v>0</v>
      </c>
      <c r="E1235" s="4"/>
    </row>
    <row r="1236">
      <c r="A1236" s="3" t="s">
        <v>1426</v>
      </c>
      <c r="B1236" s="3">
        <v>0.0</v>
      </c>
      <c r="C1236" s="3" t="s">
        <v>3</v>
      </c>
      <c r="D1236" s="4" t="b">
        <f t="shared" si="1"/>
        <v>0</v>
      </c>
      <c r="E1236" s="4"/>
    </row>
    <row r="1237">
      <c r="A1237" s="3" t="s">
        <v>1427</v>
      </c>
      <c r="B1237" s="3">
        <v>4634.0</v>
      </c>
      <c r="C1237" s="3" t="s">
        <v>6</v>
      </c>
      <c r="D1237" s="4" t="b">
        <f t="shared" si="1"/>
        <v>0</v>
      </c>
      <c r="E1237" s="4"/>
    </row>
    <row r="1238">
      <c r="A1238" s="3" t="s">
        <v>1429</v>
      </c>
      <c r="B1238" s="3">
        <v>0.0</v>
      </c>
      <c r="C1238" s="3" t="s">
        <v>3</v>
      </c>
      <c r="D1238" s="4" t="b">
        <f t="shared" si="1"/>
        <v>0</v>
      </c>
      <c r="E1238" s="4"/>
    </row>
    <row r="1239">
      <c r="A1239" s="3" t="s">
        <v>1430</v>
      </c>
      <c r="B1239" s="3">
        <v>0.0</v>
      </c>
      <c r="C1239" s="3" t="s">
        <v>6</v>
      </c>
      <c r="D1239" s="4" t="b">
        <f t="shared" si="1"/>
        <v>0</v>
      </c>
      <c r="E1239" s="4"/>
    </row>
    <row r="1240">
      <c r="A1240" s="3" t="s">
        <v>1431</v>
      </c>
      <c r="B1240" s="3">
        <v>5000.0</v>
      </c>
      <c r="C1240" s="4"/>
      <c r="D1240" s="4" t="b">
        <f t="shared" si="1"/>
        <v>0</v>
      </c>
      <c r="E1240" s="4"/>
    </row>
    <row r="1241">
      <c r="A1241" s="3" t="s">
        <v>1432</v>
      </c>
      <c r="B1241" s="3">
        <v>0.0</v>
      </c>
      <c r="C1241" s="3" t="s">
        <v>484</v>
      </c>
      <c r="D1241" s="4" t="b">
        <f t="shared" si="1"/>
        <v>0</v>
      </c>
      <c r="E1241" s="4"/>
    </row>
    <row r="1242">
      <c r="A1242" s="3" t="s">
        <v>1433</v>
      </c>
      <c r="B1242" s="4"/>
      <c r="C1242" s="4"/>
      <c r="D1242" s="4" t="b">
        <f t="shared" si="1"/>
        <v>1</v>
      </c>
      <c r="E1242" s="4"/>
    </row>
    <row r="1243">
      <c r="A1243" s="3" t="s">
        <v>1434</v>
      </c>
      <c r="B1243" s="3">
        <v>120.0</v>
      </c>
      <c r="C1243" s="3" t="s">
        <v>32</v>
      </c>
      <c r="D1243" s="4" t="b">
        <f t="shared" si="1"/>
        <v>0</v>
      </c>
      <c r="E1243" s="4"/>
    </row>
    <row r="1244">
      <c r="A1244" s="3" t="s">
        <v>1436</v>
      </c>
      <c r="B1244" s="3">
        <v>4000.0</v>
      </c>
      <c r="C1244" s="4"/>
      <c r="D1244" s="4" t="b">
        <f t="shared" si="1"/>
        <v>0</v>
      </c>
      <c r="E1244" s="4"/>
    </row>
    <row r="1245">
      <c r="A1245" s="3" t="s">
        <v>1437</v>
      </c>
      <c r="B1245" s="3">
        <v>0.0</v>
      </c>
      <c r="C1245" s="3" t="s">
        <v>6</v>
      </c>
      <c r="D1245" s="4" t="b">
        <f t="shared" si="1"/>
        <v>0</v>
      </c>
      <c r="E1245" s="4"/>
    </row>
    <row r="1246">
      <c r="A1246" s="3" t="s">
        <v>1438</v>
      </c>
      <c r="B1246" s="3">
        <v>50000.0</v>
      </c>
      <c r="C1246" s="4"/>
      <c r="D1246" s="4" t="b">
        <f t="shared" si="1"/>
        <v>0</v>
      </c>
      <c r="E1246" s="4"/>
    </row>
    <row r="1247">
      <c r="A1247" s="3" t="s">
        <v>1439</v>
      </c>
      <c r="B1247" s="3">
        <v>23000.0</v>
      </c>
      <c r="C1247" s="3" t="s">
        <v>37</v>
      </c>
      <c r="D1247" s="4" t="b">
        <f t="shared" si="1"/>
        <v>0</v>
      </c>
      <c r="E1247" s="4"/>
    </row>
    <row r="1248">
      <c r="A1248" s="4"/>
      <c r="B1248" s="4"/>
      <c r="C1248" s="3" t="s">
        <v>38</v>
      </c>
      <c r="D1248" s="4" t="b">
        <f t="shared" si="1"/>
        <v>1</v>
      </c>
      <c r="E1248" s="4"/>
    </row>
    <row r="1249">
      <c r="A1249" s="3" t="s">
        <v>1440</v>
      </c>
      <c r="B1249" s="3">
        <v>400.0</v>
      </c>
      <c r="C1249" s="4"/>
      <c r="D1249" s="4" t="b">
        <f t="shared" si="1"/>
        <v>0</v>
      </c>
      <c r="E1249" s="4"/>
    </row>
    <row r="1250">
      <c r="A1250" s="3" t="s">
        <v>1441</v>
      </c>
      <c r="B1250" s="3">
        <v>0.0</v>
      </c>
      <c r="C1250" s="3" t="s">
        <v>3</v>
      </c>
      <c r="D1250" s="4" t="b">
        <f t="shared" si="1"/>
        <v>0</v>
      </c>
      <c r="E1250" s="4"/>
    </row>
    <row r="1251">
      <c r="A1251" s="3" t="s">
        <v>1442</v>
      </c>
      <c r="B1251" s="3">
        <v>0.0</v>
      </c>
      <c r="C1251" s="3" t="s">
        <v>3</v>
      </c>
      <c r="D1251" s="4" t="b">
        <f t="shared" si="1"/>
        <v>0</v>
      </c>
      <c r="E1251" s="4"/>
    </row>
    <row r="1252">
      <c r="A1252" s="3" t="s">
        <v>1443</v>
      </c>
      <c r="B1252" s="3">
        <v>0.0</v>
      </c>
      <c r="C1252" s="3" t="s">
        <v>3</v>
      </c>
      <c r="D1252" s="4" t="b">
        <f t="shared" si="1"/>
        <v>0</v>
      </c>
      <c r="E1252" s="4"/>
    </row>
    <row r="1253">
      <c r="A1253" s="3" t="s">
        <v>1444</v>
      </c>
      <c r="B1253" s="3">
        <v>500.0</v>
      </c>
      <c r="C1253" s="4"/>
      <c r="D1253" s="4" t="b">
        <f t="shared" si="1"/>
        <v>0</v>
      </c>
      <c r="E1253" s="4"/>
    </row>
    <row r="1254">
      <c r="A1254" s="3" t="s">
        <v>1445</v>
      </c>
      <c r="B1254" s="3">
        <v>0.0</v>
      </c>
      <c r="C1254" s="3" t="s">
        <v>3</v>
      </c>
      <c r="D1254" s="4" t="b">
        <f t="shared" si="1"/>
        <v>0</v>
      </c>
      <c r="E1254" s="4"/>
    </row>
    <row r="1255">
      <c r="A1255" s="3" t="s">
        <v>1446</v>
      </c>
      <c r="B1255" s="3">
        <v>0.0</v>
      </c>
      <c r="C1255" s="3" t="s">
        <v>3</v>
      </c>
      <c r="D1255" s="4" t="b">
        <f t="shared" si="1"/>
        <v>0</v>
      </c>
      <c r="E1255" s="4"/>
    </row>
    <row r="1256">
      <c r="A1256" s="3" t="s">
        <v>1447</v>
      </c>
      <c r="B1256" s="3">
        <v>0.0</v>
      </c>
      <c r="C1256" s="3" t="s">
        <v>3</v>
      </c>
      <c r="D1256" s="4" t="b">
        <f t="shared" si="1"/>
        <v>0</v>
      </c>
      <c r="E1256" s="4"/>
    </row>
    <row r="1257">
      <c r="A1257" s="3" t="s">
        <v>1448</v>
      </c>
      <c r="B1257" s="3">
        <v>0.0</v>
      </c>
      <c r="C1257" s="3" t="s">
        <v>3</v>
      </c>
      <c r="D1257" s="4" t="b">
        <f t="shared" si="1"/>
        <v>0</v>
      </c>
      <c r="E1257" s="4"/>
    </row>
    <row r="1258">
      <c r="A1258" s="3" t="s">
        <v>1449</v>
      </c>
      <c r="B1258" s="3">
        <v>1800.0</v>
      </c>
      <c r="C1258" s="3" t="s">
        <v>6</v>
      </c>
      <c r="D1258" s="4" t="b">
        <f t="shared" si="1"/>
        <v>0</v>
      </c>
      <c r="E1258" s="4"/>
    </row>
    <row r="1259">
      <c r="A1259" s="3" t="s">
        <v>1450</v>
      </c>
      <c r="B1259" s="3">
        <v>2500.0</v>
      </c>
      <c r="C1259" s="3" t="s">
        <v>3</v>
      </c>
      <c r="D1259" s="4" t="b">
        <f t="shared" si="1"/>
        <v>0</v>
      </c>
      <c r="E1259" s="4"/>
    </row>
    <row r="1260">
      <c r="A1260" s="3" t="s">
        <v>1451</v>
      </c>
      <c r="B1260" s="3">
        <v>4000.0</v>
      </c>
      <c r="C1260" s="3" t="s">
        <v>32</v>
      </c>
      <c r="D1260" s="4" t="b">
        <f t="shared" si="1"/>
        <v>0</v>
      </c>
      <c r="E1260" s="4"/>
    </row>
    <row r="1261">
      <c r="A1261" s="3" t="s">
        <v>1452</v>
      </c>
      <c r="B1261" s="3">
        <v>0.0</v>
      </c>
      <c r="C1261" s="3" t="s">
        <v>32</v>
      </c>
      <c r="D1261" s="4" t="b">
        <f t="shared" si="1"/>
        <v>0</v>
      </c>
      <c r="E1261" s="4"/>
    </row>
    <row r="1262">
      <c r="A1262" s="3" t="s">
        <v>1453</v>
      </c>
      <c r="B1262" s="3">
        <v>0.0</v>
      </c>
      <c r="C1262" s="3" t="s">
        <v>3</v>
      </c>
      <c r="D1262" s="4" t="b">
        <f t="shared" si="1"/>
        <v>0</v>
      </c>
      <c r="E1262" s="4"/>
    </row>
    <row r="1263">
      <c r="A1263" s="3" t="s">
        <v>1454</v>
      </c>
      <c r="B1263" s="3">
        <v>500.0</v>
      </c>
      <c r="C1263" s="3" t="s">
        <v>484</v>
      </c>
      <c r="D1263" s="4" t="b">
        <f t="shared" si="1"/>
        <v>0</v>
      </c>
      <c r="E1263" s="4"/>
    </row>
    <row r="1264">
      <c r="A1264" s="3" t="s">
        <v>1455</v>
      </c>
      <c r="B1264" s="3">
        <v>500.0</v>
      </c>
      <c r="C1264" s="4"/>
      <c r="D1264" s="4" t="b">
        <f t="shared" si="1"/>
        <v>0</v>
      </c>
      <c r="E1264" s="4"/>
    </row>
    <row r="1265">
      <c r="A1265" s="3" t="s">
        <v>1456</v>
      </c>
      <c r="B1265" s="4"/>
      <c r="C1265" s="4"/>
      <c r="D1265" s="4" t="b">
        <f t="shared" si="1"/>
        <v>1</v>
      </c>
      <c r="E1265" s="4"/>
    </row>
    <row r="1266">
      <c r="A1266" s="3" t="s">
        <v>1457</v>
      </c>
      <c r="B1266" s="3">
        <v>800.0</v>
      </c>
      <c r="C1266" s="4"/>
      <c r="D1266" s="4" t="b">
        <f t="shared" si="1"/>
        <v>0</v>
      </c>
      <c r="E1266" s="4"/>
    </row>
    <row r="1267">
      <c r="A1267" s="3" t="s">
        <v>1458</v>
      </c>
      <c r="B1267" s="3">
        <v>0.0</v>
      </c>
      <c r="C1267" s="3" t="s">
        <v>3</v>
      </c>
      <c r="D1267" s="4" t="b">
        <f t="shared" si="1"/>
        <v>0</v>
      </c>
      <c r="E1267" s="4"/>
    </row>
    <row r="1268">
      <c r="A1268" s="3" t="s">
        <v>1459</v>
      </c>
      <c r="B1268" s="3">
        <v>0.0</v>
      </c>
      <c r="C1268" s="3" t="s">
        <v>3</v>
      </c>
      <c r="D1268" s="4" t="b">
        <f t="shared" si="1"/>
        <v>0</v>
      </c>
      <c r="E1268" s="4"/>
    </row>
    <row r="1269">
      <c r="A1269" s="3" t="s">
        <v>1460</v>
      </c>
      <c r="B1269" s="3">
        <v>6500.0</v>
      </c>
      <c r="C1269" s="4"/>
      <c r="D1269" s="4" t="b">
        <f t="shared" si="1"/>
        <v>0</v>
      </c>
      <c r="E1269" s="4"/>
    </row>
    <row r="1270">
      <c r="A1270" s="3" t="s">
        <v>1461</v>
      </c>
      <c r="B1270" s="3">
        <v>1000.0</v>
      </c>
      <c r="C1270" s="3" t="s">
        <v>6</v>
      </c>
      <c r="D1270" s="4" t="b">
        <f t="shared" si="1"/>
        <v>0</v>
      </c>
      <c r="E1270" s="4"/>
    </row>
    <row r="1271">
      <c r="A1271" s="3" t="s">
        <v>1462</v>
      </c>
      <c r="B1271" s="3">
        <v>1200.0</v>
      </c>
      <c r="C1271" s="3" t="s">
        <v>3</v>
      </c>
      <c r="D1271" s="4" t="b">
        <f t="shared" si="1"/>
        <v>0</v>
      </c>
      <c r="E1271" s="4"/>
    </row>
    <row r="1272">
      <c r="A1272" s="3" t="s">
        <v>1463</v>
      </c>
      <c r="B1272" s="3">
        <v>343924.0</v>
      </c>
      <c r="C1272" s="3" t="s">
        <v>484</v>
      </c>
      <c r="D1272" s="4" t="b">
        <f t="shared" si="1"/>
        <v>0</v>
      </c>
      <c r="E1272" s="4"/>
    </row>
    <row r="1273">
      <c r="A1273" s="3" t="s">
        <v>1465</v>
      </c>
      <c r="B1273" s="3">
        <v>0.0</v>
      </c>
      <c r="C1273" s="3" t="s">
        <v>3</v>
      </c>
      <c r="D1273" s="4" t="b">
        <f t="shared" si="1"/>
        <v>0</v>
      </c>
      <c r="E1273" s="4"/>
    </row>
    <row r="1274">
      <c r="A1274" s="3" t="s">
        <v>1466</v>
      </c>
      <c r="B1274" s="3">
        <v>0.0</v>
      </c>
      <c r="C1274" s="3" t="s">
        <v>3</v>
      </c>
      <c r="D1274" s="4" t="b">
        <f t="shared" si="1"/>
        <v>0</v>
      </c>
      <c r="E1274" s="4"/>
    </row>
    <row r="1275">
      <c r="A1275" s="3" t="s">
        <v>1467</v>
      </c>
      <c r="B1275" s="3">
        <v>900.0</v>
      </c>
      <c r="C1275" s="4"/>
      <c r="D1275" s="4" t="b">
        <f t="shared" si="1"/>
        <v>0</v>
      </c>
      <c r="E1275" s="4"/>
    </row>
    <row r="1276">
      <c r="A1276" s="3" t="s">
        <v>1468</v>
      </c>
      <c r="B1276" s="3">
        <v>5000.0</v>
      </c>
      <c r="C1276" s="4"/>
      <c r="D1276" s="4" t="b">
        <f t="shared" si="1"/>
        <v>0</v>
      </c>
      <c r="E1276" s="4"/>
    </row>
    <row r="1277">
      <c r="A1277" s="3" t="s">
        <v>1469</v>
      </c>
      <c r="B1277" s="3">
        <v>0.0</v>
      </c>
      <c r="C1277" s="3" t="s">
        <v>6</v>
      </c>
      <c r="D1277" s="4" t="b">
        <f t="shared" si="1"/>
        <v>0</v>
      </c>
      <c r="E1277" s="4"/>
    </row>
    <row r="1278">
      <c r="A1278" s="3" t="s">
        <v>1470</v>
      </c>
      <c r="B1278" s="3">
        <v>2250.0</v>
      </c>
      <c r="C1278" s="4"/>
      <c r="D1278" s="4" t="b">
        <f t="shared" si="1"/>
        <v>0</v>
      </c>
      <c r="E1278" s="4"/>
    </row>
    <row r="1279">
      <c r="A1279" s="3" t="s">
        <v>1472</v>
      </c>
      <c r="B1279" s="3">
        <v>240000.0</v>
      </c>
      <c r="C1279" s="4"/>
      <c r="D1279" s="4" t="b">
        <f t="shared" si="1"/>
        <v>0</v>
      </c>
      <c r="E1279" s="4"/>
    </row>
    <row r="1280">
      <c r="A1280" s="3" t="s">
        <v>1474</v>
      </c>
      <c r="B1280" s="3">
        <v>0.0</v>
      </c>
      <c r="C1280" s="3" t="s">
        <v>3</v>
      </c>
      <c r="D1280" s="4" t="b">
        <f t="shared" si="1"/>
        <v>0</v>
      </c>
      <c r="E1280" s="4"/>
    </row>
    <row r="1281">
      <c r="A1281" s="3" t="s">
        <v>1475</v>
      </c>
      <c r="B1281" s="3">
        <v>6000.0</v>
      </c>
      <c r="C1281" s="4"/>
      <c r="D1281" s="4" t="b">
        <f t="shared" si="1"/>
        <v>0</v>
      </c>
      <c r="E1281" s="4"/>
    </row>
    <row r="1282">
      <c r="A1282" s="3" t="s">
        <v>1476</v>
      </c>
      <c r="B1282" s="3">
        <v>0.0</v>
      </c>
      <c r="C1282" s="3" t="s">
        <v>3</v>
      </c>
      <c r="D1282" s="4" t="b">
        <f t="shared" si="1"/>
        <v>0</v>
      </c>
      <c r="E1282" s="4"/>
    </row>
    <row r="1283">
      <c r="A1283" s="3" t="s">
        <v>1477</v>
      </c>
      <c r="B1283" s="3">
        <v>0.0</v>
      </c>
      <c r="C1283" s="3" t="s">
        <v>6</v>
      </c>
      <c r="D1283" s="4" t="b">
        <f t="shared" si="1"/>
        <v>0</v>
      </c>
      <c r="E1283" s="4"/>
    </row>
    <row r="1284">
      <c r="A1284" s="3" t="s">
        <v>1478</v>
      </c>
      <c r="B1284" s="3">
        <v>0.0</v>
      </c>
      <c r="C1284" s="3" t="s">
        <v>3</v>
      </c>
      <c r="D1284" s="4" t="b">
        <f t="shared" si="1"/>
        <v>0</v>
      </c>
      <c r="E1284" s="4"/>
    </row>
    <row r="1285">
      <c r="A1285" s="3" t="s">
        <v>1479</v>
      </c>
      <c r="B1285" s="3">
        <v>800.0</v>
      </c>
      <c r="C1285" s="4"/>
      <c r="D1285" s="4" t="b">
        <f t="shared" si="1"/>
        <v>0</v>
      </c>
      <c r="E1285" s="4"/>
    </row>
    <row r="1286">
      <c r="A1286" s="3" t="s">
        <v>1480</v>
      </c>
      <c r="B1286" s="3">
        <v>3000.0</v>
      </c>
      <c r="C1286" s="4"/>
      <c r="D1286" s="4" t="b">
        <f t="shared" si="1"/>
        <v>0</v>
      </c>
      <c r="E1286" s="4"/>
    </row>
    <row r="1287">
      <c r="A1287" s="3" t="s">
        <v>1481</v>
      </c>
      <c r="B1287" s="3">
        <v>132000.0</v>
      </c>
      <c r="C1287" s="3" t="s">
        <v>37</v>
      </c>
      <c r="D1287" s="4" t="b">
        <f t="shared" si="1"/>
        <v>0</v>
      </c>
      <c r="E1287" s="4"/>
    </row>
    <row r="1288">
      <c r="A1288" s="4"/>
      <c r="B1288" s="4"/>
      <c r="C1288" s="3" t="s">
        <v>38</v>
      </c>
      <c r="D1288" s="4" t="b">
        <f t="shared" si="1"/>
        <v>1</v>
      </c>
      <c r="E1288" s="4"/>
    </row>
    <row r="1289">
      <c r="A1289" s="3" t="s">
        <v>1483</v>
      </c>
      <c r="B1289" s="3">
        <v>0.0</v>
      </c>
      <c r="C1289" s="3" t="s">
        <v>3</v>
      </c>
      <c r="D1289" s="4" t="b">
        <f t="shared" si="1"/>
        <v>0</v>
      </c>
      <c r="E1289" s="4"/>
    </row>
    <row r="1290">
      <c r="A1290" s="3" t="s">
        <v>1484</v>
      </c>
      <c r="B1290" s="3">
        <v>0.0</v>
      </c>
      <c r="C1290" s="3" t="s">
        <v>6</v>
      </c>
      <c r="D1290" s="4" t="b">
        <f t="shared" si="1"/>
        <v>0</v>
      </c>
      <c r="E1290" s="4"/>
    </row>
    <row r="1291">
      <c r="A1291" s="3" t="s">
        <v>1485</v>
      </c>
      <c r="B1291" s="4"/>
      <c r="C1291" s="4"/>
      <c r="D1291" s="4" t="b">
        <f t="shared" si="1"/>
        <v>1</v>
      </c>
      <c r="E1291" s="4"/>
    </row>
    <row r="1292">
      <c r="A1292" s="3" t="s">
        <v>1486</v>
      </c>
      <c r="B1292" s="3">
        <v>0.0</v>
      </c>
      <c r="C1292" s="3" t="s">
        <v>3</v>
      </c>
      <c r="D1292" s="4" t="b">
        <f t="shared" si="1"/>
        <v>0</v>
      </c>
      <c r="E1292" s="4"/>
    </row>
    <row r="1293">
      <c r="A1293" s="3" t="s">
        <v>1487</v>
      </c>
      <c r="B1293" s="3">
        <v>0.0</v>
      </c>
      <c r="C1293" s="3" t="s">
        <v>3</v>
      </c>
      <c r="D1293" s="4" t="b">
        <f t="shared" si="1"/>
        <v>0</v>
      </c>
      <c r="E1293" s="4"/>
    </row>
    <row r="1294">
      <c r="A1294" s="3" t="s">
        <v>1488</v>
      </c>
      <c r="B1294" s="3">
        <v>0.0</v>
      </c>
      <c r="C1294" s="3" t="s">
        <v>3</v>
      </c>
      <c r="D1294" s="4" t="b">
        <f t="shared" si="1"/>
        <v>0</v>
      </c>
      <c r="E1294" s="4"/>
    </row>
    <row r="1295">
      <c r="A1295" s="3" t="s">
        <v>1489</v>
      </c>
      <c r="B1295" s="3">
        <v>29750.0</v>
      </c>
      <c r="C1295" s="3" t="s">
        <v>32</v>
      </c>
      <c r="D1295" s="4" t="b">
        <f t="shared" si="1"/>
        <v>0</v>
      </c>
      <c r="E1295" s="4"/>
    </row>
    <row r="1296">
      <c r="A1296" s="3" t="s">
        <v>1491</v>
      </c>
      <c r="B1296" s="3">
        <v>500.0</v>
      </c>
      <c r="C1296" s="4"/>
      <c r="D1296" s="4" t="b">
        <f t="shared" si="1"/>
        <v>0</v>
      </c>
      <c r="E1296" s="4"/>
    </row>
    <row r="1297">
      <c r="A1297" s="3" t="s">
        <v>1492</v>
      </c>
      <c r="B1297" s="3">
        <v>892663.0</v>
      </c>
      <c r="C1297" s="3" t="s">
        <v>37</v>
      </c>
      <c r="D1297" s="4" t="b">
        <f t="shared" si="1"/>
        <v>0</v>
      </c>
      <c r="E1297" s="4"/>
    </row>
    <row r="1298">
      <c r="A1298" s="4"/>
      <c r="B1298" s="4"/>
      <c r="C1298" s="3" t="s">
        <v>38</v>
      </c>
      <c r="D1298" s="4" t="b">
        <f t="shared" si="1"/>
        <v>1</v>
      </c>
      <c r="E1298" s="4"/>
    </row>
    <row r="1299">
      <c r="A1299" s="3" t="s">
        <v>1494</v>
      </c>
      <c r="B1299" s="3">
        <v>0.0</v>
      </c>
      <c r="C1299" s="3" t="s">
        <v>3</v>
      </c>
      <c r="D1299" s="4" t="b">
        <f t="shared" si="1"/>
        <v>0</v>
      </c>
      <c r="E1299" s="4"/>
    </row>
    <row r="1300">
      <c r="A1300" s="3" t="s">
        <v>1495</v>
      </c>
      <c r="B1300" s="3">
        <v>1500.0</v>
      </c>
      <c r="C1300" s="4"/>
      <c r="D1300" s="4" t="b">
        <f t="shared" si="1"/>
        <v>0</v>
      </c>
      <c r="E1300" s="4"/>
    </row>
    <row r="1301">
      <c r="A1301" s="3" t="s">
        <v>1496</v>
      </c>
      <c r="B1301" s="3">
        <v>14000.0</v>
      </c>
      <c r="C1301" s="3" t="s">
        <v>29</v>
      </c>
      <c r="D1301" s="4" t="b">
        <f t="shared" si="1"/>
        <v>0</v>
      </c>
      <c r="E1301" s="4"/>
    </row>
    <row r="1302">
      <c r="A1302" s="3" t="s">
        <v>1497</v>
      </c>
      <c r="B1302" s="3">
        <v>0.0</v>
      </c>
      <c r="C1302" s="3" t="s">
        <v>3</v>
      </c>
      <c r="D1302" s="4" t="b">
        <f t="shared" si="1"/>
        <v>0</v>
      </c>
      <c r="E1302" s="4"/>
    </row>
    <row r="1303">
      <c r="A1303" s="3" t="s">
        <v>1498</v>
      </c>
      <c r="B1303" s="3">
        <v>0.0</v>
      </c>
      <c r="C1303" s="3" t="s">
        <v>29</v>
      </c>
      <c r="D1303" s="4" t="b">
        <f t="shared" si="1"/>
        <v>0</v>
      </c>
      <c r="E1303" s="4"/>
    </row>
    <row r="1304">
      <c r="A1304" s="3" t="s">
        <v>1499</v>
      </c>
      <c r="B1304" s="3">
        <v>9000.0</v>
      </c>
      <c r="C1304" s="3" t="s">
        <v>32</v>
      </c>
      <c r="D1304" s="4" t="b">
        <f t="shared" si="1"/>
        <v>0</v>
      </c>
      <c r="E1304" s="4"/>
    </row>
    <row r="1305">
      <c r="A1305" s="3" t="s">
        <v>1500</v>
      </c>
      <c r="B1305" s="3">
        <v>205000.0</v>
      </c>
      <c r="C1305" s="4"/>
      <c r="D1305" s="4" t="b">
        <f t="shared" si="1"/>
        <v>0</v>
      </c>
      <c r="E1305" s="4"/>
    </row>
    <row r="1306">
      <c r="A1306" s="3" t="s">
        <v>1502</v>
      </c>
      <c r="B1306" s="3">
        <v>54201.0</v>
      </c>
      <c r="C1306" s="3" t="s">
        <v>6</v>
      </c>
      <c r="D1306" s="4" t="b">
        <f t="shared" si="1"/>
        <v>0</v>
      </c>
      <c r="E1306" s="4"/>
    </row>
    <row r="1307">
      <c r="A1307" s="3" t="s">
        <v>1504</v>
      </c>
      <c r="B1307" s="3">
        <v>2800.0</v>
      </c>
      <c r="C1307" s="3" t="s">
        <v>3</v>
      </c>
      <c r="D1307" s="4" t="b">
        <f t="shared" si="1"/>
        <v>0</v>
      </c>
      <c r="E1307" s="4"/>
    </row>
    <row r="1308">
      <c r="A1308" s="3" t="s">
        <v>1505</v>
      </c>
      <c r="B1308" s="3">
        <v>0.0</v>
      </c>
      <c r="C1308" s="3" t="s">
        <v>3</v>
      </c>
      <c r="D1308" s="4" t="b">
        <f t="shared" si="1"/>
        <v>0</v>
      </c>
      <c r="E1308" s="4"/>
    </row>
    <row r="1309">
      <c r="A1309" s="3" t="s">
        <v>1506</v>
      </c>
      <c r="B1309" s="3">
        <v>0.0</v>
      </c>
      <c r="C1309" s="3" t="s">
        <v>3</v>
      </c>
      <c r="D1309" s="4" t="b">
        <f t="shared" si="1"/>
        <v>0</v>
      </c>
      <c r="E1309" s="4"/>
    </row>
    <row r="1310">
      <c r="A1310" s="3" t="s">
        <v>1507</v>
      </c>
      <c r="B1310" s="3">
        <v>0.0</v>
      </c>
      <c r="C1310" s="3" t="s">
        <v>3</v>
      </c>
      <c r="D1310" s="4" t="b">
        <f t="shared" si="1"/>
        <v>0</v>
      </c>
      <c r="E1310" s="4"/>
    </row>
    <row r="1311">
      <c r="A1311" s="3" t="s">
        <v>1508</v>
      </c>
      <c r="B1311" s="3">
        <v>0.0</v>
      </c>
      <c r="C1311" s="3" t="s">
        <v>3</v>
      </c>
      <c r="D1311" s="4" t="b">
        <f t="shared" si="1"/>
        <v>0</v>
      </c>
      <c r="E1311" s="4"/>
    </row>
    <row r="1312">
      <c r="A1312" s="3" t="s">
        <v>1509</v>
      </c>
      <c r="B1312" s="3">
        <v>0.0</v>
      </c>
      <c r="C1312" s="3" t="s">
        <v>3</v>
      </c>
      <c r="D1312" s="4" t="b">
        <f t="shared" si="1"/>
        <v>0</v>
      </c>
      <c r="E1312" s="4"/>
    </row>
    <row r="1313">
      <c r="A1313" s="3" t="s">
        <v>1510</v>
      </c>
      <c r="B1313" s="3">
        <v>3000.0</v>
      </c>
      <c r="C1313" s="3" t="s">
        <v>3</v>
      </c>
      <c r="D1313" s="4" t="b">
        <f t="shared" si="1"/>
        <v>0</v>
      </c>
      <c r="E1313" s="4"/>
    </row>
    <row r="1314">
      <c r="A1314" s="3" t="s">
        <v>1511</v>
      </c>
      <c r="B1314" s="3">
        <v>0.0</v>
      </c>
      <c r="C1314" s="3" t="s">
        <v>6</v>
      </c>
      <c r="D1314" s="4" t="b">
        <f t="shared" si="1"/>
        <v>0</v>
      </c>
      <c r="E1314" s="4"/>
    </row>
    <row r="1315">
      <c r="A1315" s="3" t="s">
        <v>1512</v>
      </c>
      <c r="B1315" s="3">
        <v>9500.0</v>
      </c>
      <c r="C1315" s="3" t="s">
        <v>6</v>
      </c>
      <c r="D1315" s="4" t="b">
        <f t="shared" si="1"/>
        <v>0</v>
      </c>
      <c r="E1315" s="4"/>
    </row>
    <row r="1316">
      <c r="A1316" s="3" t="s">
        <v>1513</v>
      </c>
      <c r="B1316" s="3">
        <v>0.0</v>
      </c>
      <c r="C1316" s="3" t="s">
        <v>6</v>
      </c>
      <c r="D1316" s="4" t="b">
        <f t="shared" si="1"/>
        <v>0</v>
      </c>
      <c r="E1316" s="4"/>
    </row>
    <row r="1317">
      <c r="A1317" s="3" t="s">
        <v>1514</v>
      </c>
      <c r="B1317" s="3">
        <v>0.0</v>
      </c>
      <c r="C1317" s="3" t="s">
        <v>6</v>
      </c>
      <c r="D1317" s="4" t="b">
        <f t="shared" si="1"/>
        <v>0</v>
      </c>
      <c r="E1317" s="4"/>
    </row>
    <row r="1318">
      <c r="A1318" s="3" t="s">
        <v>1515</v>
      </c>
      <c r="B1318" s="3">
        <v>11500.0</v>
      </c>
      <c r="C1318" s="3" t="s">
        <v>16</v>
      </c>
      <c r="D1318" s="4" t="b">
        <f t="shared" si="1"/>
        <v>0</v>
      </c>
      <c r="E1318" s="4"/>
    </row>
    <row r="1319">
      <c r="A1319" s="3" t="s">
        <v>1516</v>
      </c>
      <c r="B1319" s="3">
        <v>741.0</v>
      </c>
      <c r="C1319" s="4"/>
      <c r="D1319" s="4" t="b">
        <f t="shared" si="1"/>
        <v>0</v>
      </c>
      <c r="E1319" s="4"/>
    </row>
    <row r="1320">
      <c r="A1320" s="3" t="s">
        <v>1518</v>
      </c>
      <c r="B1320" s="3">
        <v>0.0</v>
      </c>
      <c r="C1320" s="3" t="s">
        <v>3</v>
      </c>
      <c r="D1320" s="4" t="b">
        <f t="shared" si="1"/>
        <v>0</v>
      </c>
      <c r="E1320" s="4"/>
    </row>
    <row r="1321">
      <c r="A1321" s="3" t="s">
        <v>1519</v>
      </c>
      <c r="B1321" s="3">
        <v>0.0</v>
      </c>
      <c r="C1321" s="3" t="s">
        <v>3</v>
      </c>
      <c r="D1321" s="4" t="b">
        <f t="shared" si="1"/>
        <v>0</v>
      </c>
      <c r="E1321" s="4"/>
    </row>
    <row r="1322">
      <c r="A1322" s="3" t="s">
        <v>1520</v>
      </c>
      <c r="B1322" s="3">
        <v>0.0</v>
      </c>
      <c r="C1322" s="3" t="s">
        <v>32</v>
      </c>
      <c r="D1322" s="4" t="b">
        <f t="shared" si="1"/>
        <v>0</v>
      </c>
      <c r="E1322" s="4"/>
    </row>
    <row r="1323">
      <c r="A1323" s="3" t="s">
        <v>1521</v>
      </c>
      <c r="B1323" s="3">
        <v>0.0</v>
      </c>
      <c r="C1323" s="3" t="s">
        <v>6</v>
      </c>
      <c r="D1323" s="4" t="b">
        <f t="shared" si="1"/>
        <v>0</v>
      </c>
      <c r="E1323" s="4"/>
    </row>
    <row r="1324">
      <c r="A1324" s="3" t="s">
        <v>1522</v>
      </c>
      <c r="B1324" s="3">
        <v>0.0</v>
      </c>
      <c r="C1324" s="3" t="s">
        <v>6</v>
      </c>
      <c r="D1324" s="4" t="b">
        <f t="shared" si="1"/>
        <v>0</v>
      </c>
      <c r="E1324" s="4"/>
    </row>
    <row r="1325">
      <c r="A1325" s="3" t="s">
        <v>1523</v>
      </c>
      <c r="B1325" s="3">
        <v>3000.0</v>
      </c>
      <c r="C1325" s="3" t="s">
        <v>32</v>
      </c>
      <c r="D1325" s="4" t="b">
        <f t="shared" si="1"/>
        <v>0</v>
      </c>
      <c r="E1325" s="4"/>
    </row>
    <row r="1326">
      <c r="A1326" s="3" t="s">
        <v>1524</v>
      </c>
      <c r="B1326" s="3">
        <v>0.0</v>
      </c>
      <c r="C1326" s="3" t="s">
        <v>3</v>
      </c>
      <c r="D1326" s="4" t="b">
        <f t="shared" si="1"/>
        <v>0</v>
      </c>
      <c r="E1326" s="4"/>
    </row>
    <row r="1327">
      <c r="A1327" s="3" t="s">
        <v>1525</v>
      </c>
      <c r="B1327" s="4"/>
      <c r="C1327" s="4"/>
      <c r="D1327" s="4" t="b">
        <f t="shared" si="1"/>
        <v>1</v>
      </c>
      <c r="E1327" s="4"/>
    </row>
    <row r="1328">
      <c r="A1328" s="3" t="s">
        <v>1526</v>
      </c>
      <c r="B1328" s="3">
        <v>9000.0</v>
      </c>
      <c r="C1328" s="3" t="s">
        <v>6</v>
      </c>
      <c r="D1328" s="4" t="b">
        <f t="shared" si="1"/>
        <v>0</v>
      </c>
      <c r="E1328" s="4"/>
    </row>
    <row r="1329">
      <c r="A1329" s="3" t="s">
        <v>1527</v>
      </c>
      <c r="B1329" s="4"/>
      <c r="C1329" s="4"/>
      <c r="D1329" s="4" t="b">
        <f t="shared" si="1"/>
        <v>1</v>
      </c>
      <c r="E1329" s="4"/>
    </row>
    <row r="1330">
      <c r="A1330" s="3" t="s">
        <v>1528</v>
      </c>
      <c r="B1330" s="3">
        <v>0.0</v>
      </c>
      <c r="C1330" s="3" t="s">
        <v>29</v>
      </c>
      <c r="D1330" s="4" t="b">
        <f t="shared" si="1"/>
        <v>0</v>
      </c>
      <c r="E1330" s="4"/>
    </row>
    <row r="1331">
      <c r="A1331" s="3" t="s">
        <v>1529</v>
      </c>
      <c r="B1331" s="3">
        <v>0.0</v>
      </c>
      <c r="C1331" s="3" t="s">
        <v>32</v>
      </c>
      <c r="D1331" s="4" t="b">
        <f t="shared" si="1"/>
        <v>0</v>
      </c>
      <c r="E1331" s="4"/>
    </row>
    <row r="1332">
      <c r="A1332" s="3" t="s">
        <v>1530</v>
      </c>
      <c r="B1332" s="3">
        <v>0.0</v>
      </c>
      <c r="C1332" s="3" t="s">
        <v>32</v>
      </c>
      <c r="D1332" s="4" t="b">
        <f t="shared" si="1"/>
        <v>0</v>
      </c>
      <c r="E1332" s="4"/>
    </row>
    <row r="1333">
      <c r="A1333" s="3" t="s">
        <v>1531</v>
      </c>
      <c r="B1333" s="3">
        <v>0.0</v>
      </c>
      <c r="C1333" s="3" t="s">
        <v>3</v>
      </c>
      <c r="D1333" s="4" t="b">
        <f t="shared" si="1"/>
        <v>0</v>
      </c>
      <c r="E1333" s="4"/>
    </row>
    <row r="1334">
      <c r="A1334" s="3" t="s">
        <v>1532</v>
      </c>
      <c r="B1334" s="3">
        <v>0.0</v>
      </c>
      <c r="C1334" s="3" t="s">
        <v>6</v>
      </c>
      <c r="D1334" s="4" t="b">
        <f t="shared" si="1"/>
        <v>0</v>
      </c>
      <c r="E1334" s="4"/>
    </row>
    <row r="1335">
      <c r="A1335" s="3" t="s">
        <v>1533</v>
      </c>
      <c r="B1335" s="3">
        <v>0.0</v>
      </c>
      <c r="C1335" s="3" t="s">
        <v>32</v>
      </c>
      <c r="D1335" s="4" t="b">
        <f t="shared" si="1"/>
        <v>0</v>
      </c>
      <c r="E1335" s="4"/>
    </row>
    <row r="1336">
      <c r="A1336" s="3" t="s">
        <v>1534</v>
      </c>
      <c r="B1336" s="3">
        <v>0.0</v>
      </c>
      <c r="C1336" s="3" t="s">
        <v>6</v>
      </c>
      <c r="D1336" s="4" t="b">
        <f t="shared" si="1"/>
        <v>0</v>
      </c>
      <c r="E1336" s="4"/>
    </row>
    <row r="1337">
      <c r="A1337" s="3" t="s">
        <v>1535</v>
      </c>
      <c r="B1337" s="3">
        <v>0.0</v>
      </c>
      <c r="C1337" s="3" t="s">
        <v>6</v>
      </c>
      <c r="D1337" s="4" t="b">
        <f t="shared" si="1"/>
        <v>0</v>
      </c>
      <c r="E1337" s="4"/>
    </row>
    <row r="1338">
      <c r="A1338" s="3" t="s">
        <v>1536</v>
      </c>
      <c r="B1338" s="3">
        <v>7000.0</v>
      </c>
      <c r="C1338" s="4"/>
      <c r="D1338" s="4" t="b">
        <f t="shared" si="1"/>
        <v>0</v>
      </c>
      <c r="E1338" s="4"/>
    </row>
    <row r="1339">
      <c r="A1339" s="3" t="s">
        <v>1537</v>
      </c>
      <c r="B1339" s="3">
        <v>0.0</v>
      </c>
      <c r="C1339" s="3" t="s">
        <v>32</v>
      </c>
      <c r="D1339" s="4" t="b">
        <f t="shared" si="1"/>
        <v>0</v>
      </c>
      <c r="E1339" s="4"/>
    </row>
    <row r="1340">
      <c r="A1340" s="3" t="s">
        <v>1538</v>
      </c>
      <c r="B1340" s="3">
        <v>0.0</v>
      </c>
      <c r="C1340" s="3" t="s">
        <v>3</v>
      </c>
      <c r="D1340" s="4" t="b">
        <f t="shared" si="1"/>
        <v>0</v>
      </c>
      <c r="E1340" s="4"/>
    </row>
    <row r="1341">
      <c r="A1341" s="3" t="s">
        <v>1539</v>
      </c>
      <c r="B1341" s="3">
        <v>200000.0</v>
      </c>
      <c r="C1341" s="4"/>
      <c r="D1341" s="4" t="b">
        <f t="shared" si="1"/>
        <v>0</v>
      </c>
      <c r="E1341" s="4"/>
    </row>
    <row r="1342">
      <c r="A1342" s="3" t="s">
        <v>1541</v>
      </c>
      <c r="B1342" s="3">
        <v>4500.0</v>
      </c>
      <c r="C1342" s="3" t="s">
        <v>6</v>
      </c>
      <c r="D1342" s="4" t="b">
        <f t="shared" si="1"/>
        <v>0</v>
      </c>
      <c r="E1342" s="4"/>
    </row>
    <row r="1343">
      <c r="A1343" s="3" t="s">
        <v>1542</v>
      </c>
      <c r="B1343" s="3">
        <v>0.0</v>
      </c>
      <c r="C1343" s="3" t="s">
        <v>3</v>
      </c>
      <c r="D1343" s="4" t="b">
        <f t="shared" si="1"/>
        <v>0</v>
      </c>
      <c r="E1343" s="4"/>
    </row>
    <row r="1344">
      <c r="A1344" s="3" t="s">
        <v>1543</v>
      </c>
      <c r="B1344" s="3">
        <v>0.0</v>
      </c>
      <c r="C1344" s="3" t="s">
        <v>3</v>
      </c>
      <c r="D1344" s="4" t="b">
        <f t="shared" si="1"/>
        <v>0</v>
      </c>
      <c r="E1344" s="4"/>
    </row>
    <row r="1345">
      <c r="A1345" s="3" t="s">
        <v>1544</v>
      </c>
      <c r="B1345" s="3">
        <v>400.0</v>
      </c>
      <c r="C1345" s="4"/>
      <c r="D1345" s="4" t="b">
        <f t="shared" si="1"/>
        <v>0</v>
      </c>
      <c r="E1345" s="4"/>
    </row>
    <row r="1346">
      <c r="A1346" s="3" t="s">
        <v>1545</v>
      </c>
      <c r="B1346" s="3">
        <v>0.0</v>
      </c>
      <c r="C1346" s="3" t="s">
        <v>3</v>
      </c>
      <c r="D1346" s="4" t="b">
        <f t="shared" si="1"/>
        <v>0</v>
      </c>
      <c r="E1346" s="4"/>
    </row>
    <row r="1347">
      <c r="A1347" s="3" t="s">
        <v>1546</v>
      </c>
      <c r="B1347" s="4"/>
      <c r="C1347" s="4"/>
      <c r="D1347" s="4" t="b">
        <f t="shared" si="1"/>
        <v>1</v>
      </c>
      <c r="E1347" s="4"/>
    </row>
    <row r="1348">
      <c r="A1348" s="3" t="s">
        <v>1547</v>
      </c>
      <c r="B1348" s="3">
        <v>4000.0</v>
      </c>
      <c r="C1348" s="4"/>
      <c r="D1348" s="4" t="b">
        <f t="shared" si="1"/>
        <v>0</v>
      </c>
      <c r="E1348" s="4"/>
    </row>
    <row r="1349">
      <c r="A1349" s="3" t="s">
        <v>1548</v>
      </c>
      <c r="B1349" s="3">
        <v>0.0</v>
      </c>
      <c r="C1349" s="3" t="s">
        <v>484</v>
      </c>
      <c r="D1349" s="4" t="b">
        <f t="shared" si="1"/>
        <v>0</v>
      </c>
      <c r="E1349" s="4"/>
    </row>
    <row r="1350">
      <c r="A1350" s="3" t="s">
        <v>1549</v>
      </c>
      <c r="B1350" s="3">
        <v>0.0</v>
      </c>
      <c r="C1350" s="3" t="s">
        <v>3</v>
      </c>
      <c r="D1350" s="4" t="b">
        <f t="shared" si="1"/>
        <v>0</v>
      </c>
      <c r="E1350" s="4"/>
    </row>
    <row r="1351">
      <c r="A1351" s="3" t="s">
        <v>1550</v>
      </c>
      <c r="B1351" s="3">
        <v>1000.0</v>
      </c>
      <c r="C1351" s="4"/>
      <c r="D1351" s="4" t="b">
        <f t="shared" si="1"/>
        <v>0</v>
      </c>
      <c r="E1351" s="4"/>
    </row>
    <row r="1352">
      <c r="A1352" s="3" t="s">
        <v>1551</v>
      </c>
      <c r="B1352" s="3">
        <v>0.0</v>
      </c>
      <c r="C1352" s="3" t="s">
        <v>3</v>
      </c>
      <c r="D1352" s="4" t="b">
        <f t="shared" si="1"/>
        <v>0</v>
      </c>
      <c r="E1352" s="4"/>
    </row>
    <row r="1353">
      <c r="A1353" s="3" t="s">
        <v>1552</v>
      </c>
      <c r="B1353" s="3">
        <v>50000.0</v>
      </c>
      <c r="C1353" s="4"/>
      <c r="D1353" s="4" t="b">
        <f t="shared" si="1"/>
        <v>0</v>
      </c>
      <c r="E1353" s="4"/>
    </row>
    <row r="1354">
      <c r="A1354" s="3" t="s">
        <v>1553</v>
      </c>
      <c r="B1354" s="3">
        <v>300.0</v>
      </c>
      <c r="C1354" s="4"/>
      <c r="D1354" s="4" t="b">
        <f t="shared" si="1"/>
        <v>0</v>
      </c>
      <c r="E1354" s="4"/>
    </row>
    <row r="1355">
      <c r="A1355" s="3" t="s">
        <v>1554</v>
      </c>
      <c r="B1355" s="3">
        <v>1800.0</v>
      </c>
      <c r="C1355" s="4"/>
      <c r="D1355" s="4" t="b">
        <f t="shared" si="1"/>
        <v>0</v>
      </c>
      <c r="E1355" s="4"/>
    </row>
    <row r="1356">
      <c r="A1356" s="3" t="s">
        <v>1555</v>
      </c>
      <c r="B1356" s="3">
        <v>0.0</v>
      </c>
      <c r="C1356" s="3" t="s">
        <v>32</v>
      </c>
      <c r="D1356" s="4" t="b">
        <f t="shared" si="1"/>
        <v>0</v>
      </c>
      <c r="E1356" s="4"/>
    </row>
    <row r="1357">
      <c r="A1357" s="3" t="s">
        <v>1556</v>
      </c>
      <c r="B1357" s="3">
        <v>678000.0</v>
      </c>
      <c r="C1357" s="4"/>
      <c r="D1357" s="4" t="b">
        <f t="shared" si="1"/>
        <v>0</v>
      </c>
      <c r="E1357" s="4"/>
    </row>
    <row r="1358">
      <c r="A1358" s="3" t="s">
        <v>1558</v>
      </c>
      <c r="B1358" s="4"/>
      <c r="C1358" s="4"/>
      <c r="D1358" s="4" t="b">
        <f t="shared" si="1"/>
        <v>1</v>
      </c>
      <c r="E1358" s="4"/>
    </row>
    <row r="1359">
      <c r="A1359" s="3" t="s">
        <v>1559</v>
      </c>
      <c r="B1359" s="3">
        <v>56000.0</v>
      </c>
      <c r="C1359" s="3" t="s">
        <v>3</v>
      </c>
      <c r="D1359" s="4" t="b">
        <f t="shared" si="1"/>
        <v>0</v>
      </c>
      <c r="E1359" s="4"/>
    </row>
    <row r="1360">
      <c r="A1360" s="3" t="s">
        <v>1561</v>
      </c>
      <c r="B1360" s="3">
        <v>12000.0</v>
      </c>
      <c r="C1360" s="3" t="s">
        <v>6</v>
      </c>
      <c r="D1360" s="4" t="b">
        <f t="shared" si="1"/>
        <v>0</v>
      </c>
      <c r="E1360" s="4"/>
    </row>
    <row r="1361">
      <c r="A1361" s="3" t="s">
        <v>1562</v>
      </c>
      <c r="B1361" s="3">
        <v>0.0</v>
      </c>
      <c r="C1361" s="3" t="s">
        <v>3</v>
      </c>
      <c r="D1361" s="4" t="b">
        <f t="shared" si="1"/>
        <v>0</v>
      </c>
      <c r="E1361" s="4"/>
    </row>
    <row r="1362">
      <c r="A1362" s="3" t="s">
        <v>1563</v>
      </c>
      <c r="B1362" s="3">
        <v>46000.0</v>
      </c>
      <c r="C1362" s="4"/>
      <c r="D1362" s="4" t="b">
        <f t="shared" si="1"/>
        <v>0</v>
      </c>
      <c r="E1362" s="4"/>
    </row>
    <row r="1363">
      <c r="A1363" s="3" t="s">
        <v>1565</v>
      </c>
      <c r="B1363" s="3">
        <v>5000.0</v>
      </c>
      <c r="C1363" s="4"/>
      <c r="D1363" s="4" t="b">
        <f t="shared" si="1"/>
        <v>0</v>
      </c>
      <c r="E1363" s="4"/>
    </row>
    <row r="1364">
      <c r="A1364" s="3" t="s">
        <v>1566</v>
      </c>
      <c r="B1364" s="3">
        <v>14653.49</v>
      </c>
      <c r="C1364" s="3" t="s">
        <v>32</v>
      </c>
      <c r="D1364" s="4" t="b">
        <f t="shared" si="1"/>
        <v>0</v>
      </c>
      <c r="E1364" s="4"/>
    </row>
    <row r="1365">
      <c r="A1365" s="3" t="s">
        <v>1568</v>
      </c>
      <c r="B1365" s="3">
        <v>6000.0</v>
      </c>
      <c r="C1365" s="3" t="s">
        <v>32</v>
      </c>
      <c r="D1365" s="4" t="b">
        <f t="shared" si="1"/>
        <v>0</v>
      </c>
      <c r="E1365" s="4"/>
    </row>
    <row r="1366">
      <c r="A1366" s="3" t="s">
        <v>1569</v>
      </c>
      <c r="B1366" s="3">
        <v>110350.0</v>
      </c>
      <c r="C1366" s="3" t="s">
        <v>6</v>
      </c>
      <c r="D1366" s="4" t="b">
        <f t="shared" si="1"/>
        <v>0</v>
      </c>
      <c r="E1366" s="4"/>
    </row>
    <row r="1367">
      <c r="A1367" s="3" t="s">
        <v>1571</v>
      </c>
      <c r="B1367" s="4"/>
      <c r="C1367" s="4"/>
      <c r="D1367" s="4" t="b">
        <f t="shared" si="1"/>
        <v>1</v>
      </c>
      <c r="E1367" s="4"/>
    </row>
    <row r="1368">
      <c r="A1368" s="3" t="s">
        <v>1572</v>
      </c>
      <c r="B1368" s="3">
        <v>0.0</v>
      </c>
      <c r="C1368" s="3" t="s">
        <v>3</v>
      </c>
      <c r="D1368" s="4" t="b">
        <f t="shared" si="1"/>
        <v>0</v>
      </c>
      <c r="E1368" s="4"/>
    </row>
    <row r="1369">
      <c r="A1369" s="3" t="s">
        <v>1573</v>
      </c>
      <c r="B1369" s="3">
        <v>0.0</v>
      </c>
      <c r="C1369" s="3" t="s">
        <v>3</v>
      </c>
      <c r="D1369" s="4" t="b">
        <f t="shared" si="1"/>
        <v>0</v>
      </c>
      <c r="E1369" s="4"/>
    </row>
    <row r="1370">
      <c r="A1370" s="3" t="s">
        <v>1574</v>
      </c>
      <c r="B1370" s="3">
        <v>1500.0</v>
      </c>
      <c r="C1370" s="3" t="s">
        <v>6</v>
      </c>
      <c r="D1370" s="4" t="b">
        <f t="shared" si="1"/>
        <v>0</v>
      </c>
      <c r="E1370" s="4"/>
    </row>
    <row r="1371">
      <c r="A1371" s="3" t="s">
        <v>1575</v>
      </c>
      <c r="B1371" s="3">
        <v>1700.0</v>
      </c>
      <c r="C1371" s="4"/>
      <c r="D1371" s="4" t="b">
        <f t="shared" si="1"/>
        <v>0</v>
      </c>
      <c r="E1371" s="4"/>
    </row>
    <row r="1372">
      <c r="A1372" s="3" t="s">
        <v>1576</v>
      </c>
      <c r="B1372" s="3">
        <v>0.0</v>
      </c>
      <c r="C1372" s="3" t="s">
        <v>3</v>
      </c>
      <c r="D1372" s="4" t="b">
        <f t="shared" si="1"/>
        <v>0</v>
      </c>
      <c r="E1372" s="4"/>
    </row>
    <row r="1373">
      <c r="A1373" s="3" t="s">
        <v>1577</v>
      </c>
      <c r="B1373" s="3">
        <v>4500.0</v>
      </c>
      <c r="C1373" s="4"/>
      <c r="D1373" s="4" t="b">
        <f t="shared" si="1"/>
        <v>0</v>
      </c>
      <c r="E1373" s="4"/>
    </row>
    <row r="1374">
      <c r="A1374" s="3" t="s">
        <v>1578</v>
      </c>
      <c r="B1374" s="3">
        <v>0.0</v>
      </c>
      <c r="C1374" s="3" t="s">
        <v>6</v>
      </c>
      <c r="D1374" s="4" t="b">
        <f t="shared" si="1"/>
        <v>0</v>
      </c>
      <c r="E1374" s="4"/>
    </row>
    <row r="1375">
      <c r="A1375" s="3" t="s">
        <v>1579</v>
      </c>
      <c r="B1375" s="3">
        <v>35500.0</v>
      </c>
      <c r="C1375" s="3" t="s">
        <v>32</v>
      </c>
      <c r="D1375" s="4" t="b">
        <f t="shared" si="1"/>
        <v>0</v>
      </c>
      <c r="E1375" s="4"/>
    </row>
    <row r="1376">
      <c r="A1376" s="3" t="s">
        <v>1581</v>
      </c>
      <c r="B1376" s="3">
        <v>6000.0</v>
      </c>
      <c r="C1376" s="3" t="s">
        <v>32</v>
      </c>
      <c r="D1376" s="4" t="b">
        <f t="shared" si="1"/>
        <v>0</v>
      </c>
      <c r="E1376" s="4"/>
    </row>
    <row r="1377">
      <c r="A1377" s="3" t="s">
        <v>1582</v>
      </c>
      <c r="B1377" s="3">
        <v>0.0</v>
      </c>
      <c r="C1377" s="3" t="s">
        <v>29</v>
      </c>
      <c r="D1377" s="4" t="b">
        <f t="shared" si="1"/>
        <v>0</v>
      </c>
      <c r="E1377" s="4"/>
    </row>
    <row r="1378">
      <c r="A1378" s="3" t="s">
        <v>1583</v>
      </c>
      <c r="B1378" s="3">
        <v>0.0</v>
      </c>
      <c r="C1378" s="3" t="s">
        <v>6</v>
      </c>
      <c r="D1378" s="4" t="b">
        <f t="shared" si="1"/>
        <v>0</v>
      </c>
      <c r="E1378" s="4"/>
    </row>
    <row r="1379">
      <c r="A1379" s="3" t="s">
        <v>1584</v>
      </c>
      <c r="B1379" s="3">
        <v>0.0</v>
      </c>
      <c r="C1379" s="3" t="s">
        <v>6</v>
      </c>
      <c r="D1379" s="4" t="b">
        <f t="shared" si="1"/>
        <v>0</v>
      </c>
      <c r="E1379" s="4"/>
    </row>
    <row r="1380">
      <c r="A1380" s="3" t="s">
        <v>1585</v>
      </c>
      <c r="B1380" s="3">
        <v>29000.0</v>
      </c>
      <c r="C1380" s="3" t="s">
        <v>32</v>
      </c>
      <c r="D1380" s="4" t="b">
        <f t="shared" si="1"/>
        <v>0</v>
      </c>
      <c r="E1380" s="4"/>
    </row>
    <row r="1381">
      <c r="A1381" s="3" t="s">
        <v>1587</v>
      </c>
      <c r="B1381" s="3">
        <v>0.0</v>
      </c>
      <c r="C1381" s="3" t="s">
        <v>3</v>
      </c>
      <c r="D1381" s="4" t="b">
        <f t="shared" si="1"/>
        <v>0</v>
      </c>
      <c r="E1381" s="4"/>
    </row>
    <row r="1382">
      <c r="A1382" s="3" t="s">
        <v>1588</v>
      </c>
      <c r="B1382" s="3">
        <v>0.0</v>
      </c>
      <c r="C1382" s="3" t="s">
        <v>3</v>
      </c>
      <c r="D1382" s="4" t="b">
        <f t="shared" si="1"/>
        <v>0</v>
      </c>
      <c r="E1382" s="4"/>
    </row>
    <row r="1383">
      <c r="A1383" s="3" t="s">
        <v>1589</v>
      </c>
      <c r="B1383" s="3">
        <v>3000.0</v>
      </c>
      <c r="C1383" s="3" t="s">
        <v>32</v>
      </c>
      <c r="D1383" s="4" t="b">
        <f t="shared" si="1"/>
        <v>0</v>
      </c>
      <c r="E1383" s="4"/>
    </row>
    <row r="1384">
      <c r="A1384" s="3" t="s">
        <v>1590</v>
      </c>
      <c r="B1384" s="3">
        <v>2500.0</v>
      </c>
      <c r="C1384" s="4"/>
      <c r="D1384" s="4" t="b">
        <f t="shared" si="1"/>
        <v>0</v>
      </c>
      <c r="E1384" s="4"/>
    </row>
    <row r="1385">
      <c r="A1385" s="3" t="s">
        <v>1591</v>
      </c>
      <c r="B1385" s="3">
        <v>0.0</v>
      </c>
      <c r="C1385" s="3" t="s">
        <v>3</v>
      </c>
      <c r="D1385" s="4" t="b">
        <f t="shared" si="1"/>
        <v>0</v>
      </c>
      <c r="E1385" s="4"/>
    </row>
    <row r="1386">
      <c r="A1386" s="3" t="s">
        <v>1592</v>
      </c>
      <c r="B1386" s="3">
        <v>2000.0</v>
      </c>
      <c r="C1386" s="4"/>
      <c r="D1386" s="4" t="b">
        <f t="shared" si="1"/>
        <v>0</v>
      </c>
      <c r="E1386" s="4"/>
    </row>
    <row r="1387">
      <c r="A1387" s="3" t="s">
        <v>1593</v>
      </c>
      <c r="B1387" s="3">
        <v>0.0</v>
      </c>
      <c r="C1387" s="3" t="s">
        <v>3</v>
      </c>
      <c r="D1387" s="4" t="b">
        <f t="shared" si="1"/>
        <v>0</v>
      </c>
      <c r="E1387" s="4"/>
    </row>
    <row r="1388">
      <c r="A1388" s="3" t="s">
        <v>1594</v>
      </c>
      <c r="B1388" s="3">
        <v>5500.0</v>
      </c>
      <c r="C1388" s="3" t="s">
        <v>6</v>
      </c>
      <c r="D1388" s="4" t="b">
        <f t="shared" si="1"/>
        <v>0</v>
      </c>
      <c r="E1388" s="4"/>
    </row>
    <row r="1389">
      <c r="A1389" s="3" t="s">
        <v>1595</v>
      </c>
      <c r="B1389" s="3">
        <v>0.0</v>
      </c>
      <c r="C1389" s="3" t="s">
        <v>6</v>
      </c>
      <c r="D1389" s="4" t="b">
        <f t="shared" si="1"/>
        <v>0</v>
      </c>
      <c r="E1389" s="4"/>
    </row>
    <row r="1390">
      <c r="A1390" s="3" t="s">
        <v>1596</v>
      </c>
      <c r="B1390" s="3">
        <v>37500.0</v>
      </c>
      <c r="C1390" s="3" t="s">
        <v>580</v>
      </c>
      <c r="D1390" s="4" t="b">
        <f t="shared" si="1"/>
        <v>0</v>
      </c>
      <c r="E1390" s="4"/>
    </row>
    <row r="1391">
      <c r="A1391" s="4"/>
      <c r="B1391" s="4"/>
      <c r="C1391" s="3" t="s">
        <v>581</v>
      </c>
      <c r="D1391" s="4" t="b">
        <f t="shared" si="1"/>
        <v>1</v>
      </c>
      <c r="E1391" s="4"/>
    </row>
    <row r="1392">
      <c r="A1392" s="3" t="s">
        <v>1598</v>
      </c>
      <c r="B1392" s="3">
        <v>0.0</v>
      </c>
      <c r="C1392" s="3" t="s">
        <v>32</v>
      </c>
      <c r="D1392" s="4" t="b">
        <f t="shared" si="1"/>
        <v>0</v>
      </c>
      <c r="E1392" s="4"/>
    </row>
    <row r="1393">
      <c r="A1393" s="3" t="s">
        <v>1599</v>
      </c>
      <c r="B1393" s="3">
        <v>0.0</v>
      </c>
      <c r="C1393" s="3" t="s">
        <v>6</v>
      </c>
      <c r="D1393" s="4" t="b">
        <f t="shared" si="1"/>
        <v>0</v>
      </c>
      <c r="E1393" s="4"/>
    </row>
    <row r="1394">
      <c r="A1394" s="3" t="s">
        <v>1600</v>
      </c>
      <c r="B1394" s="3">
        <v>494000.0</v>
      </c>
      <c r="C1394" s="3" t="s">
        <v>32</v>
      </c>
      <c r="D1394" s="4" t="b">
        <f t="shared" si="1"/>
        <v>0</v>
      </c>
      <c r="E1394" s="4"/>
    </row>
    <row r="1395">
      <c r="A1395" s="3" t="s">
        <v>1602</v>
      </c>
      <c r="B1395" s="3">
        <v>800.0</v>
      </c>
      <c r="C1395" s="4"/>
      <c r="D1395" s="4" t="b">
        <f t="shared" si="1"/>
        <v>0</v>
      </c>
      <c r="E1395" s="4"/>
    </row>
    <row r="1396">
      <c r="A1396" s="3" t="s">
        <v>1603</v>
      </c>
      <c r="B1396" s="3">
        <v>2500.0</v>
      </c>
      <c r="C1396" s="3" t="s">
        <v>3</v>
      </c>
      <c r="D1396" s="4" t="b">
        <f t="shared" si="1"/>
        <v>0</v>
      </c>
      <c r="E1396" s="4"/>
    </row>
    <row r="1397">
      <c r="A1397" s="3" t="s">
        <v>1604</v>
      </c>
      <c r="B1397" s="3">
        <v>17528.0</v>
      </c>
      <c r="C1397" s="4"/>
      <c r="D1397" s="4" t="b">
        <f t="shared" si="1"/>
        <v>0</v>
      </c>
      <c r="E1397" s="4"/>
    </row>
    <row r="1398">
      <c r="A1398" s="3" t="s">
        <v>1606</v>
      </c>
      <c r="B1398" s="3">
        <v>7800.0</v>
      </c>
      <c r="C1398" s="3" t="s">
        <v>3</v>
      </c>
      <c r="D1398" s="4" t="b">
        <f t="shared" si="1"/>
        <v>0</v>
      </c>
      <c r="E1398" s="4"/>
    </row>
    <row r="1399">
      <c r="A1399" s="3" t="s">
        <v>1607</v>
      </c>
      <c r="B1399" s="3">
        <v>0.0</v>
      </c>
      <c r="C1399" s="3" t="s">
        <v>3</v>
      </c>
      <c r="D1399" s="4" t="b">
        <f t="shared" si="1"/>
        <v>0</v>
      </c>
      <c r="E1399" s="4"/>
    </row>
    <row r="1400">
      <c r="A1400" s="3" t="s">
        <v>1608</v>
      </c>
      <c r="B1400" s="3">
        <v>0.0</v>
      </c>
      <c r="C1400" s="3" t="s">
        <v>3</v>
      </c>
      <c r="D1400" s="4" t="b">
        <f t="shared" si="1"/>
        <v>0</v>
      </c>
      <c r="E1400" s="4"/>
    </row>
    <row r="1401">
      <c r="A1401" s="3" t="s">
        <v>1609</v>
      </c>
      <c r="B1401" s="3">
        <v>10000.0</v>
      </c>
      <c r="C1401" s="3" t="s">
        <v>32</v>
      </c>
      <c r="D1401" s="4" t="b">
        <f t="shared" si="1"/>
        <v>0</v>
      </c>
      <c r="E1401" s="4"/>
    </row>
    <row r="1402">
      <c r="A1402" s="3" t="s">
        <v>1610</v>
      </c>
      <c r="B1402" s="3">
        <v>4000.0</v>
      </c>
      <c r="C1402" s="4"/>
      <c r="D1402" s="4" t="b">
        <f t="shared" si="1"/>
        <v>0</v>
      </c>
      <c r="E1402" s="4"/>
    </row>
    <row r="1403">
      <c r="A1403" s="3" t="s">
        <v>1611</v>
      </c>
      <c r="B1403" s="3">
        <v>4000.0</v>
      </c>
      <c r="C1403" s="4"/>
      <c r="D1403" s="4" t="b">
        <f t="shared" si="1"/>
        <v>0</v>
      </c>
      <c r="E1403" s="4"/>
    </row>
    <row r="1404">
      <c r="A1404" s="3" t="s">
        <v>1612</v>
      </c>
      <c r="B1404" s="3">
        <v>800.0</v>
      </c>
      <c r="C1404" s="3" t="s">
        <v>3</v>
      </c>
      <c r="D1404" s="4" t="b">
        <f t="shared" si="1"/>
        <v>0</v>
      </c>
      <c r="E1404" s="4"/>
    </row>
    <row r="1405">
      <c r="A1405" s="3" t="s">
        <v>1613</v>
      </c>
      <c r="B1405" s="4"/>
      <c r="C1405" s="4"/>
      <c r="D1405" s="4" t="b">
        <f t="shared" si="1"/>
        <v>1</v>
      </c>
      <c r="E1405" s="4"/>
    </row>
    <row r="1406">
      <c r="A1406" s="3" t="s">
        <v>1614</v>
      </c>
      <c r="B1406" s="3">
        <v>0.0</v>
      </c>
      <c r="C1406" s="3" t="s">
        <v>3</v>
      </c>
      <c r="D1406" s="4" t="b">
        <f t="shared" si="1"/>
        <v>0</v>
      </c>
      <c r="E1406" s="4"/>
    </row>
    <row r="1407">
      <c r="A1407" s="3" t="s">
        <v>1615</v>
      </c>
      <c r="B1407" s="3">
        <v>2000.0</v>
      </c>
      <c r="C1407" s="3" t="s">
        <v>3</v>
      </c>
      <c r="D1407" s="4" t="b">
        <f t="shared" si="1"/>
        <v>0</v>
      </c>
      <c r="E1407" s="4"/>
    </row>
    <row r="1408">
      <c r="A1408" s="3" t="s">
        <v>1616</v>
      </c>
      <c r="B1408" s="4"/>
      <c r="C1408" s="4"/>
      <c r="D1408" s="4" t="b">
        <f t="shared" si="1"/>
        <v>1</v>
      </c>
      <c r="E1408" s="4"/>
    </row>
    <row r="1409">
      <c r="A1409" s="3" t="s">
        <v>1617</v>
      </c>
      <c r="B1409" s="3">
        <v>0.0</v>
      </c>
      <c r="C1409" s="3" t="s">
        <v>3</v>
      </c>
      <c r="D1409" s="4" t="b">
        <f t="shared" si="1"/>
        <v>0</v>
      </c>
      <c r="E1409" s="4"/>
    </row>
    <row r="1410">
      <c r="A1410" s="3" t="s">
        <v>1618</v>
      </c>
      <c r="B1410" s="3">
        <v>0.0</v>
      </c>
      <c r="C1410" s="3" t="s">
        <v>3</v>
      </c>
      <c r="D1410" s="4" t="b">
        <f t="shared" si="1"/>
        <v>0</v>
      </c>
      <c r="E1410" s="4"/>
    </row>
    <row r="1411">
      <c r="A1411" s="3" t="s">
        <v>1619</v>
      </c>
      <c r="B1411" s="3">
        <v>0.0</v>
      </c>
      <c r="C1411" s="3" t="s">
        <v>29</v>
      </c>
      <c r="D1411" s="4" t="b">
        <f t="shared" si="1"/>
        <v>0</v>
      </c>
      <c r="E1411" s="4"/>
    </row>
    <row r="1412">
      <c r="A1412" s="3" t="s">
        <v>1620</v>
      </c>
      <c r="B1412" s="3">
        <v>40700.0</v>
      </c>
      <c r="C1412" s="3" t="s">
        <v>216</v>
      </c>
      <c r="D1412" s="4" t="b">
        <f t="shared" si="1"/>
        <v>0</v>
      </c>
      <c r="E1412" s="4"/>
    </row>
    <row r="1413">
      <c r="A1413" s="3" t="s">
        <v>1622</v>
      </c>
      <c r="B1413" s="3">
        <v>0.0</v>
      </c>
      <c r="C1413" s="3" t="s">
        <v>3</v>
      </c>
      <c r="D1413" s="4" t="b">
        <f t="shared" si="1"/>
        <v>0</v>
      </c>
      <c r="E1413" s="4"/>
    </row>
    <row r="1414">
      <c r="A1414" s="3" t="s">
        <v>1623</v>
      </c>
      <c r="B1414" s="3">
        <v>0.0</v>
      </c>
      <c r="C1414" s="3" t="s">
        <v>6</v>
      </c>
      <c r="D1414" s="4" t="b">
        <f t="shared" si="1"/>
        <v>0</v>
      </c>
      <c r="E1414" s="4"/>
    </row>
    <row r="1415">
      <c r="A1415" s="3" t="s">
        <v>1624</v>
      </c>
      <c r="B1415" s="3">
        <v>17000.0</v>
      </c>
      <c r="C1415" s="4"/>
      <c r="D1415" s="4" t="b">
        <f t="shared" si="1"/>
        <v>0</v>
      </c>
      <c r="E1415" s="4"/>
    </row>
    <row r="1416">
      <c r="A1416" s="3" t="s">
        <v>1625</v>
      </c>
      <c r="B1416" s="3">
        <v>0.0</v>
      </c>
      <c r="C1416" s="3" t="s">
        <v>29</v>
      </c>
      <c r="D1416" s="4" t="b">
        <f t="shared" si="1"/>
        <v>0</v>
      </c>
      <c r="E1416" s="4"/>
    </row>
    <row r="1417">
      <c r="A1417" s="3" t="s">
        <v>1626</v>
      </c>
      <c r="B1417" s="3">
        <v>10000.0</v>
      </c>
      <c r="C1417" s="3" t="s">
        <v>29</v>
      </c>
      <c r="D1417" s="4" t="b">
        <f t="shared" si="1"/>
        <v>0</v>
      </c>
      <c r="E1417" s="4"/>
    </row>
    <row r="1418">
      <c r="A1418" s="3" t="s">
        <v>1627</v>
      </c>
      <c r="B1418" s="3">
        <v>0.0</v>
      </c>
      <c r="C1418" s="3" t="s">
        <v>6</v>
      </c>
      <c r="D1418" s="4" t="b">
        <f t="shared" si="1"/>
        <v>0</v>
      </c>
      <c r="E1418" s="4"/>
    </row>
    <row r="1419">
      <c r="A1419" s="3" t="s">
        <v>1628</v>
      </c>
      <c r="B1419" s="3">
        <v>4000.0</v>
      </c>
      <c r="C1419" s="4"/>
      <c r="D1419" s="4" t="b">
        <f t="shared" si="1"/>
        <v>0</v>
      </c>
      <c r="E1419" s="4"/>
    </row>
    <row r="1420">
      <c r="A1420" s="3" t="s">
        <v>1629</v>
      </c>
      <c r="B1420" s="3">
        <v>0.0</v>
      </c>
      <c r="C1420" s="3" t="s">
        <v>3</v>
      </c>
      <c r="D1420" s="4" t="b">
        <f t="shared" si="1"/>
        <v>0</v>
      </c>
      <c r="E1420" s="4"/>
    </row>
    <row r="1421">
      <c r="A1421" s="3" t="s">
        <v>1630</v>
      </c>
      <c r="B1421" s="3">
        <v>0.0</v>
      </c>
      <c r="C1421" s="3" t="s">
        <v>3</v>
      </c>
      <c r="D1421" s="4" t="b">
        <f t="shared" si="1"/>
        <v>0</v>
      </c>
      <c r="E1421" s="4"/>
    </row>
    <row r="1422">
      <c r="A1422" s="3" t="s">
        <v>1631</v>
      </c>
      <c r="B1422" s="3">
        <v>0.0</v>
      </c>
      <c r="C1422" s="3" t="s">
        <v>3</v>
      </c>
      <c r="D1422" s="4" t="b">
        <f t="shared" si="1"/>
        <v>0</v>
      </c>
      <c r="E1422" s="4"/>
    </row>
    <row r="1423">
      <c r="A1423" s="3" t="s">
        <v>1632</v>
      </c>
      <c r="B1423" s="3">
        <v>0.0</v>
      </c>
      <c r="C1423" s="3" t="s">
        <v>3</v>
      </c>
      <c r="D1423" s="4" t="b">
        <f t="shared" si="1"/>
        <v>0</v>
      </c>
      <c r="E1423" s="4"/>
    </row>
    <row r="1424">
      <c r="A1424" s="3" t="s">
        <v>1633</v>
      </c>
      <c r="B1424" s="3">
        <v>0.0</v>
      </c>
      <c r="C1424" s="3" t="s">
        <v>668</v>
      </c>
      <c r="D1424" s="4" t="b">
        <f t="shared" si="1"/>
        <v>0</v>
      </c>
      <c r="E1424" s="4"/>
    </row>
    <row r="1425">
      <c r="A1425" s="3" t="s">
        <v>1634</v>
      </c>
      <c r="B1425" s="3">
        <v>0.0</v>
      </c>
      <c r="C1425" s="3" t="s">
        <v>3</v>
      </c>
      <c r="D1425" s="4" t="b">
        <f t="shared" si="1"/>
        <v>0</v>
      </c>
      <c r="E1425" s="4"/>
    </row>
    <row r="1426">
      <c r="A1426" s="3" t="s">
        <v>1635</v>
      </c>
      <c r="B1426" s="3">
        <v>130000.0</v>
      </c>
      <c r="C1426" s="3" t="s">
        <v>3</v>
      </c>
      <c r="D1426" s="4" t="b">
        <f t="shared" si="1"/>
        <v>0</v>
      </c>
      <c r="E1426" s="4"/>
    </row>
    <row r="1427">
      <c r="A1427" s="3" t="s">
        <v>1637</v>
      </c>
      <c r="B1427" s="3">
        <v>20686.0</v>
      </c>
      <c r="C1427" s="4"/>
      <c r="D1427" s="4" t="b">
        <f t="shared" si="1"/>
        <v>0</v>
      </c>
      <c r="E1427" s="4"/>
    </row>
    <row r="1428">
      <c r="A1428" s="3" t="s">
        <v>1639</v>
      </c>
      <c r="B1428" s="3">
        <v>170592.0</v>
      </c>
      <c r="C1428" s="4"/>
      <c r="D1428" s="4" t="b">
        <f t="shared" si="1"/>
        <v>0</v>
      </c>
      <c r="E1428" s="4"/>
    </row>
    <row r="1429">
      <c r="A1429" s="3" t="s">
        <v>1641</v>
      </c>
      <c r="B1429" s="3">
        <v>500.0</v>
      </c>
      <c r="C1429" s="4"/>
      <c r="D1429" s="4" t="b">
        <f t="shared" si="1"/>
        <v>0</v>
      </c>
      <c r="E1429" s="4"/>
    </row>
    <row r="1430">
      <c r="A1430" s="3" t="s">
        <v>1642</v>
      </c>
      <c r="B1430" s="3">
        <v>2000.0</v>
      </c>
      <c r="C1430" s="4"/>
      <c r="D1430" s="4" t="b">
        <f t="shared" si="1"/>
        <v>0</v>
      </c>
      <c r="E1430" s="4"/>
    </row>
    <row r="1431">
      <c r="A1431" s="3" t="s">
        <v>1643</v>
      </c>
      <c r="B1431" s="3">
        <v>865.0</v>
      </c>
      <c r="C1431" s="4"/>
      <c r="D1431" s="4" t="b">
        <f t="shared" si="1"/>
        <v>0</v>
      </c>
      <c r="E1431" s="4"/>
    </row>
    <row r="1432">
      <c r="A1432" s="3" t="s">
        <v>1645</v>
      </c>
      <c r="B1432" s="3">
        <v>0.0</v>
      </c>
      <c r="C1432" s="3" t="s">
        <v>3</v>
      </c>
      <c r="D1432" s="4" t="b">
        <f t="shared" si="1"/>
        <v>0</v>
      </c>
      <c r="E1432" s="4"/>
    </row>
    <row r="1433">
      <c r="A1433" s="3" t="s">
        <v>1646</v>
      </c>
      <c r="B1433" s="3">
        <v>0.0</v>
      </c>
      <c r="C1433" s="3" t="s">
        <v>32</v>
      </c>
      <c r="D1433" s="4" t="b">
        <f t="shared" si="1"/>
        <v>0</v>
      </c>
      <c r="E1433" s="4"/>
    </row>
    <row r="1434">
      <c r="A1434" s="3" t="s">
        <v>1647</v>
      </c>
      <c r="B1434" s="3">
        <v>200.0</v>
      </c>
      <c r="C1434" s="3" t="s">
        <v>3</v>
      </c>
      <c r="D1434" s="4" t="b">
        <f t="shared" si="1"/>
        <v>0</v>
      </c>
      <c r="E1434" s="4"/>
    </row>
    <row r="1435">
      <c r="A1435" s="3" t="s">
        <v>1649</v>
      </c>
      <c r="B1435" s="4"/>
      <c r="C1435" s="4"/>
      <c r="D1435" s="4" t="b">
        <f t="shared" si="1"/>
        <v>1</v>
      </c>
      <c r="E1435" s="4"/>
    </row>
    <row r="1436">
      <c r="A1436" s="3" t="s">
        <v>1650</v>
      </c>
      <c r="B1436" s="3">
        <v>0.0</v>
      </c>
      <c r="C1436" s="3" t="s">
        <v>1651</v>
      </c>
      <c r="D1436" s="4" t="b">
        <f t="shared" si="1"/>
        <v>0</v>
      </c>
      <c r="E1436" s="4"/>
    </row>
    <row r="1437">
      <c r="A1437" s="3" t="s">
        <v>1652</v>
      </c>
      <c r="B1437" s="3">
        <v>0.0</v>
      </c>
      <c r="C1437" s="3" t="s">
        <v>3</v>
      </c>
      <c r="D1437" s="4" t="b">
        <f t="shared" si="1"/>
        <v>0</v>
      </c>
      <c r="E1437" s="4"/>
    </row>
    <row r="1438">
      <c r="A1438" s="3" t="s">
        <v>1653</v>
      </c>
      <c r="B1438" s="3">
        <v>1000.0</v>
      </c>
      <c r="C1438" s="4"/>
      <c r="D1438" s="4" t="b">
        <f t="shared" si="1"/>
        <v>0</v>
      </c>
      <c r="E1438" s="4"/>
    </row>
    <row r="1439">
      <c r="A1439" s="3" t="s">
        <v>1654</v>
      </c>
      <c r="B1439" s="3">
        <v>120000.0</v>
      </c>
      <c r="C1439" s="4"/>
      <c r="D1439" s="4" t="b">
        <f t="shared" si="1"/>
        <v>0</v>
      </c>
      <c r="E1439" s="4"/>
    </row>
    <row r="1440">
      <c r="A1440" s="3" t="s">
        <v>1656</v>
      </c>
      <c r="B1440" s="3">
        <v>1500.0</v>
      </c>
      <c r="C1440" s="4"/>
      <c r="D1440" s="4" t="b">
        <f t="shared" si="1"/>
        <v>0</v>
      </c>
      <c r="E1440" s="4"/>
    </row>
    <row r="1441">
      <c r="A1441" s="3" t="s">
        <v>1657</v>
      </c>
      <c r="B1441" s="3">
        <v>0.0</v>
      </c>
      <c r="C1441" s="3" t="s">
        <v>3</v>
      </c>
      <c r="D1441" s="4" t="b">
        <f t="shared" si="1"/>
        <v>0</v>
      </c>
      <c r="E1441" s="4"/>
    </row>
    <row r="1442">
      <c r="A1442" s="3" t="s">
        <v>1658</v>
      </c>
      <c r="B1442" s="3">
        <v>4000.0</v>
      </c>
      <c r="C1442" s="4"/>
      <c r="D1442" s="4" t="b">
        <f t="shared" si="1"/>
        <v>0</v>
      </c>
      <c r="E1442" s="4"/>
    </row>
    <row r="1443">
      <c r="A1443" s="3" t="s">
        <v>1659</v>
      </c>
      <c r="B1443" s="3">
        <v>600.0</v>
      </c>
      <c r="C1443" s="4"/>
      <c r="D1443" s="4" t="b">
        <f t="shared" si="1"/>
        <v>0</v>
      </c>
      <c r="E1443" s="4"/>
    </row>
    <row r="1444">
      <c r="A1444" s="3" t="s">
        <v>1660</v>
      </c>
      <c r="B1444" s="3">
        <v>0.0</v>
      </c>
      <c r="C1444" s="3" t="s">
        <v>3</v>
      </c>
      <c r="D1444" s="4" t="b">
        <f t="shared" si="1"/>
        <v>0</v>
      </c>
      <c r="E1444" s="4"/>
    </row>
    <row r="1445">
      <c r="A1445" s="3" t="s">
        <v>1661</v>
      </c>
      <c r="B1445" s="3">
        <v>0.0</v>
      </c>
      <c r="C1445" s="3" t="s">
        <v>3</v>
      </c>
      <c r="D1445" s="4" t="b">
        <f t="shared" si="1"/>
        <v>0</v>
      </c>
      <c r="E1445" s="4"/>
    </row>
    <row r="1446">
      <c r="A1446" s="3" t="s">
        <v>1662</v>
      </c>
      <c r="B1446" s="3">
        <v>14000.0</v>
      </c>
      <c r="C1446" s="4"/>
      <c r="D1446" s="4" t="b">
        <f t="shared" si="1"/>
        <v>0</v>
      </c>
      <c r="E1446" s="4"/>
    </row>
    <row r="1447">
      <c r="A1447" s="3" t="s">
        <v>1663</v>
      </c>
      <c r="B1447" s="3">
        <v>600.0</v>
      </c>
      <c r="C1447" s="4"/>
      <c r="D1447" s="4" t="b">
        <f t="shared" si="1"/>
        <v>0</v>
      </c>
      <c r="E1447" s="4"/>
    </row>
    <row r="1448">
      <c r="A1448" s="3" t="s">
        <v>1664</v>
      </c>
      <c r="B1448" s="3">
        <v>0.0</v>
      </c>
      <c r="C1448" s="3" t="s">
        <v>3</v>
      </c>
      <c r="D1448" s="4" t="b">
        <f t="shared" si="1"/>
        <v>0</v>
      </c>
      <c r="E1448" s="4"/>
    </row>
    <row r="1449">
      <c r="A1449" s="3" t="s">
        <v>1665</v>
      </c>
      <c r="B1449" s="3">
        <v>27000.0</v>
      </c>
      <c r="C1449" s="3" t="s">
        <v>580</v>
      </c>
      <c r="D1449" s="4" t="b">
        <f t="shared" si="1"/>
        <v>0</v>
      </c>
      <c r="E1449" s="4"/>
    </row>
    <row r="1450">
      <c r="A1450" s="4"/>
      <c r="B1450" s="4"/>
      <c r="C1450" s="3" t="s">
        <v>581</v>
      </c>
      <c r="D1450" s="4" t="b">
        <f t="shared" si="1"/>
        <v>1</v>
      </c>
      <c r="E1450" s="4"/>
    </row>
    <row r="1451">
      <c r="A1451" s="3" t="s">
        <v>1666</v>
      </c>
      <c r="B1451" s="3">
        <v>0.0</v>
      </c>
      <c r="C1451" s="3" t="s">
        <v>6</v>
      </c>
      <c r="D1451" s="4" t="b">
        <f t="shared" si="1"/>
        <v>0</v>
      </c>
      <c r="E1451" s="4"/>
    </row>
    <row r="1452">
      <c r="A1452" s="3" t="s">
        <v>1667</v>
      </c>
      <c r="B1452" s="3">
        <v>2500.0</v>
      </c>
      <c r="C1452" s="4"/>
      <c r="D1452" s="4" t="b">
        <f t="shared" si="1"/>
        <v>0</v>
      </c>
      <c r="E1452" s="4"/>
    </row>
    <row r="1453">
      <c r="A1453" s="3" t="s">
        <v>1668</v>
      </c>
      <c r="B1453" s="3">
        <v>0.0</v>
      </c>
      <c r="C1453" s="3" t="s">
        <v>3</v>
      </c>
      <c r="D1453" s="4" t="b">
        <f t="shared" si="1"/>
        <v>0</v>
      </c>
      <c r="E1453" s="4"/>
    </row>
    <row r="1454">
      <c r="A1454" s="3" t="s">
        <v>1669</v>
      </c>
      <c r="B1454" s="3">
        <v>1000.0</v>
      </c>
      <c r="C1454" s="3" t="s">
        <v>32</v>
      </c>
      <c r="D1454" s="4" t="b">
        <f t="shared" si="1"/>
        <v>0</v>
      </c>
      <c r="E1454" s="4"/>
    </row>
    <row r="1455">
      <c r="A1455" s="3" t="s">
        <v>1670</v>
      </c>
      <c r="B1455" s="3">
        <v>0.0</v>
      </c>
      <c r="C1455" s="3" t="s">
        <v>3</v>
      </c>
      <c r="D1455" s="4" t="b">
        <f t="shared" si="1"/>
        <v>0</v>
      </c>
      <c r="E1455" s="4"/>
    </row>
    <row r="1456">
      <c r="A1456" s="3" t="s">
        <v>1671</v>
      </c>
      <c r="B1456" s="3">
        <v>22500.0</v>
      </c>
      <c r="C1456" s="4"/>
      <c r="D1456" s="4" t="b">
        <f t="shared" si="1"/>
        <v>0</v>
      </c>
      <c r="E1456" s="4"/>
    </row>
    <row r="1457">
      <c r="A1457" s="3" t="s">
        <v>1672</v>
      </c>
      <c r="B1457" s="3">
        <v>2500.0</v>
      </c>
      <c r="C1457" s="4"/>
      <c r="D1457" s="4" t="b">
        <f t="shared" si="1"/>
        <v>0</v>
      </c>
      <c r="E1457" s="4"/>
    </row>
    <row r="1458">
      <c r="A1458" s="3" t="s">
        <v>1673</v>
      </c>
      <c r="B1458" s="3">
        <v>567000.0</v>
      </c>
      <c r="C1458" s="3" t="s">
        <v>6</v>
      </c>
      <c r="D1458" s="4" t="b">
        <f t="shared" si="1"/>
        <v>0</v>
      </c>
      <c r="E1458" s="4"/>
    </row>
    <row r="1459">
      <c r="A1459" s="3" t="s">
        <v>1675</v>
      </c>
      <c r="B1459" s="3">
        <v>0.0</v>
      </c>
      <c r="C1459" s="3" t="s">
        <v>3</v>
      </c>
      <c r="D1459" s="4" t="b">
        <f t="shared" si="1"/>
        <v>0</v>
      </c>
      <c r="E1459" s="4"/>
    </row>
    <row r="1460">
      <c r="A1460" s="3" t="s">
        <v>1676</v>
      </c>
      <c r="B1460" s="3">
        <v>237000.0</v>
      </c>
      <c r="C1460" s="3" t="s">
        <v>580</v>
      </c>
      <c r="D1460" s="4" t="b">
        <f t="shared" si="1"/>
        <v>0</v>
      </c>
      <c r="E1460" s="4"/>
    </row>
    <row r="1461">
      <c r="A1461" s="4"/>
      <c r="B1461" s="4"/>
      <c r="C1461" s="3" t="s">
        <v>581</v>
      </c>
      <c r="D1461" s="4" t="b">
        <f t="shared" si="1"/>
        <v>1</v>
      </c>
      <c r="E1461" s="4"/>
    </row>
    <row r="1462">
      <c r="A1462" s="3" t="s">
        <v>1678</v>
      </c>
      <c r="B1462" s="3">
        <v>1000.0</v>
      </c>
      <c r="C1462" s="3" t="s">
        <v>32</v>
      </c>
      <c r="D1462" s="4" t="b">
        <f t="shared" si="1"/>
        <v>0</v>
      </c>
      <c r="E1462" s="4"/>
    </row>
    <row r="1463">
      <c r="A1463" s="3" t="s">
        <v>1679</v>
      </c>
      <c r="B1463" s="3">
        <v>1800.0</v>
      </c>
      <c r="C1463" s="4"/>
      <c r="D1463" s="4" t="b">
        <f t="shared" si="1"/>
        <v>0</v>
      </c>
      <c r="E1463" s="4"/>
    </row>
    <row r="1464">
      <c r="A1464" s="3" t="s">
        <v>1680</v>
      </c>
      <c r="B1464" s="3">
        <v>0.0</v>
      </c>
      <c r="C1464" s="3" t="s">
        <v>3</v>
      </c>
      <c r="D1464" s="4" t="b">
        <f t="shared" si="1"/>
        <v>0</v>
      </c>
      <c r="E1464" s="4"/>
    </row>
    <row r="1465">
      <c r="A1465" s="3" t="s">
        <v>1681</v>
      </c>
      <c r="B1465" s="4"/>
      <c r="C1465" s="4"/>
      <c r="D1465" s="4" t="b">
        <f t="shared" si="1"/>
        <v>1</v>
      </c>
      <c r="E1465" s="4"/>
    </row>
    <row r="1466">
      <c r="A1466" s="3" t="s">
        <v>1682</v>
      </c>
      <c r="B1466" s="3">
        <v>0.0</v>
      </c>
      <c r="C1466" s="3" t="s">
        <v>3</v>
      </c>
      <c r="D1466" s="4" t="b">
        <f t="shared" si="1"/>
        <v>0</v>
      </c>
      <c r="E1466" s="4"/>
    </row>
    <row r="1467">
      <c r="A1467" s="3" t="s">
        <v>1683</v>
      </c>
      <c r="B1467" s="3">
        <v>1650.0</v>
      </c>
      <c r="C1467" s="4"/>
      <c r="D1467" s="4" t="b">
        <f t="shared" si="1"/>
        <v>0</v>
      </c>
      <c r="E1467" s="4"/>
    </row>
    <row r="1468">
      <c r="A1468" s="3" t="s">
        <v>1685</v>
      </c>
      <c r="B1468" s="3">
        <v>0.0</v>
      </c>
      <c r="C1468" s="3" t="s">
        <v>3</v>
      </c>
      <c r="D1468" s="4" t="b">
        <f t="shared" si="1"/>
        <v>0</v>
      </c>
      <c r="E1468" s="4"/>
    </row>
    <row r="1469">
      <c r="A1469" s="3" t="s">
        <v>1686</v>
      </c>
      <c r="B1469" s="3">
        <v>0.0</v>
      </c>
      <c r="C1469" s="3" t="s">
        <v>3</v>
      </c>
      <c r="D1469" s="4" t="b">
        <f t="shared" si="1"/>
        <v>0</v>
      </c>
      <c r="E1469" s="4"/>
    </row>
    <row r="1470">
      <c r="A1470" s="3" t="s">
        <v>1687</v>
      </c>
      <c r="B1470" s="3">
        <v>0.0</v>
      </c>
      <c r="C1470" s="3" t="s">
        <v>29</v>
      </c>
      <c r="D1470" s="4" t="b">
        <f t="shared" si="1"/>
        <v>0</v>
      </c>
      <c r="E1470" s="4"/>
    </row>
    <row r="1471">
      <c r="A1471" s="3" t="s">
        <v>1688</v>
      </c>
      <c r="B1471" s="3">
        <v>2000.0</v>
      </c>
      <c r="C1471" s="3" t="s">
        <v>3</v>
      </c>
      <c r="D1471" s="4" t="b">
        <f t="shared" si="1"/>
        <v>0</v>
      </c>
      <c r="E1471" s="4"/>
    </row>
    <row r="1472">
      <c r="A1472" s="3" t="s">
        <v>1689</v>
      </c>
      <c r="B1472" s="3">
        <v>700.0</v>
      </c>
      <c r="C1472" s="4"/>
      <c r="D1472" s="4" t="b">
        <f t="shared" si="1"/>
        <v>0</v>
      </c>
      <c r="E1472" s="4"/>
    </row>
    <row r="1473">
      <c r="A1473" s="3" t="s">
        <v>1690</v>
      </c>
      <c r="B1473" s="3">
        <v>0.0</v>
      </c>
      <c r="C1473" s="3" t="s">
        <v>29</v>
      </c>
      <c r="D1473" s="4" t="b">
        <f t="shared" si="1"/>
        <v>0</v>
      </c>
      <c r="E1473" s="4"/>
    </row>
    <row r="1474">
      <c r="A1474" s="3" t="s">
        <v>1691</v>
      </c>
      <c r="B1474" s="3">
        <v>0.0</v>
      </c>
      <c r="C1474" s="3" t="s">
        <v>484</v>
      </c>
      <c r="D1474" s="4" t="b">
        <f t="shared" si="1"/>
        <v>0</v>
      </c>
      <c r="E1474" s="4"/>
    </row>
    <row r="1475">
      <c r="A1475" s="3" t="s">
        <v>1692</v>
      </c>
      <c r="B1475" s="3">
        <v>10000.0</v>
      </c>
      <c r="C1475" s="3" t="s">
        <v>1693</v>
      </c>
      <c r="D1475" s="4" t="b">
        <f t="shared" si="1"/>
        <v>0</v>
      </c>
      <c r="E1475" s="4"/>
    </row>
    <row r="1476">
      <c r="A1476" s="3" t="s">
        <v>1694</v>
      </c>
      <c r="B1476" s="3">
        <v>0.0</v>
      </c>
      <c r="C1476" s="3" t="s">
        <v>32</v>
      </c>
      <c r="D1476" s="4" t="b">
        <f t="shared" si="1"/>
        <v>0</v>
      </c>
      <c r="E1476" s="4"/>
    </row>
    <row r="1477">
      <c r="A1477" s="3" t="s">
        <v>1695</v>
      </c>
      <c r="B1477" s="3">
        <v>0.0</v>
      </c>
      <c r="C1477" s="3" t="s">
        <v>3</v>
      </c>
      <c r="D1477" s="4" t="b">
        <f t="shared" si="1"/>
        <v>0</v>
      </c>
      <c r="E1477" s="4"/>
    </row>
    <row r="1478">
      <c r="A1478" s="3" t="s">
        <v>1696</v>
      </c>
      <c r="B1478" s="3">
        <v>800.0</v>
      </c>
      <c r="C1478" s="4"/>
      <c r="D1478" s="4" t="b">
        <f t="shared" si="1"/>
        <v>0</v>
      </c>
      <c r="E1478" s="4"/>
    </row>
    <row r="1479">
      <c r="A1479" s="3" t="s">
        <v>1697</v>
      </c>
      <c r="B1479" s="3">
        <v>500.0</v>
      </c>
      <c r="C1479" s="3" t="s">
        <v>32</v>
      </c>
      <c r="D1479" s="4" t="b">
        <f t="shared" si="1"/>
        <v>0</v>
      </c>
      <c r="E1479" s="4"/>
    </row>
    <row r="1480">
      <c r="A1480" s="3" t="s">
        <v>1698</v>
      </c>
      <c r="B1480" s="3">
        <v>1500.0</v>
      </c>
      <c r="C1480" s="3" t="s">
        <v>6</v>
      </c>
      <c r="D1480" s="4" t="b">
        <f t="shared" si="1"/>
        <v>0</v>
      </c>
      <c r="E1480" s="4"/>
    </row>
    <row r="1481">
      <c r="A1481" s="3" t="s">
        <v>1699</v>
      </c>
      <c r="B1481" s="3">
        <v>0.0</v>
      </c>
      <c r="C1481" s="3" t="s">
        <v>3</v>
      </c>
      <c r="D1481" s="4" t="b">
        <f t="shared" si="1"/>
        <v>0</v>
      </c>
      <c r="E1481" s="4"/>
    </row>
    <row r="1482">
      <c r="A1482" s="3" t="s">
        <v>1700</v>
      </c>
      <c r="B1482" s="3">
        <v>0.0</v>
      </c>
      <c r="C1482" s="3" t="s">
        <v>3</v>
      </c>
      <c r="D1482" s="4" t="b">
        <f t="shared" si="1"/>
        <v>0</v>
      </c>
      <c r="E1482" s="4"/>
    </row>
    <row r="1483">
      <c r="A1483" s="3" t="s">
        <v>1701</v>
      </c>
      <c r="B1483" s="3">
        <v>2500.0</v>
      </c>
      <c r="C1483" s="3" t="s">
        <v>3</v>
      </c>
      <c r="D1483" s="4" t="b">
        <f t="shared" si="1"/>
        <v>0</v>
      </c>
      <c r="E1483" s="4"/>
    </row>
    <row r="1484">
      <c r="A1484" s="3" t="s">
        <v>1702</v>
      </c>
      <c r="B1484" s="3">
        <v>1000.0</v>
      </c>
      <c r="C1484" s="3" t="s">
        <v>3</v>
      </c>
      <c r="D1484" s="4" t="b">
        <f t="shared" si="1"/>
        <v>0</v>
      </c>
      <c r="E1484" s="4"/>
    </row>
    <row r="1485">
      <c r="A1485" s="3" t="s">
        <v>1703</v>
      </c>
      <c r="B1485" s="3">
        <v>0.0</v>
      </c>
      <c r="C1485" s="3" t="s">
        <v>3</v>
      </c>
      <c r="D1485" s="4" t="b">
        <f t="shared" si="1"/>
        <v>0</v>
      </c>
      <c r="E1485" s="4"/>
    </row>
    <row r="1486">
      <c r="A1486" s="3" t="s">
        <v>1704</v>
      </c>
      <c r="B1486" s="3">
        <v>0.0</v>
      </c>
      <c r="C1486" s="3" t="s">
        <v>3</v>
      </c>
      <c r="D1486" s="4" t="b">
        <f t="shared" si="1"/>
        <v>0</v>
      </c>
      <c r="E1486" s="4"/>
    </row>
    <row r="1487">
      <c r="A1487" s="3" t="s">
        <v>1705</v>
      </c>
      <c r="B1487" s="3">
        <v>0.0</v>
      </c>
      <c r="C1487" s="3" t="s">
        <v>3</v>
      </c>
      <c r="D1487" s="4" t="b">
        <f t="shared" si="1"/>
        <v>0</v>
      </c>
      <c r="E1487" s="4"/>
    </row>
    <row r="1488">
      <c r="A1488" s="3" t="s">
        <v>1706</v>
      </c>
      <c r="B1488" s="3">
        <v>0.0</v>
      </c>
      <c r="C1488" s="3" t="s">
        <v>6</v>
      </c>
      <c r="D1488" s="4" t="b">
        <f t="shared" si="1"/>
        <v>0</v>
      </c>
      <c r="E1488" s="4"/>
    </row>
    <row r="1489">
      <c r="A1489" s="3" t="s">
        <v>1707</v>
      </c>
      <c r="B1489" s="3">
        <v>0.0</v>
      </c>
      <c r="C1489" s="3" t="s">
        <v>6</v>
      </c>
      <c r="D1489" s="4" t="b">
        <f t="shared" si="1"/>
        <v>0</v>
      </c>
      <c r="E1489" s="4"/>
    </row>
    <row r="1490">
      <c r="A1490" s="3" t="s">
        <v>1708</v>
      </c>
      <c r="B1490" s="3">
        <v>0.0</v>
      </c>
      <c r="C1490" s="3" t="s">
        <v>3</v>
      </c>
      <c r="D1490" s="4" t="b">
        <f t="shared" si="1"/>
        <v>0</v>
      </c>
      <c r="E1490" s="4"/>
    </row>
    <row r="1491">
      <c r="A1491" s="3" t="s">
        <v>1709</v>
      </c>
      <c r="B1491" s="3">
        <v>4000.0</v>
      </c>
      <c r="C1491" s="4"/>
      <c r="D1491" s="4" t="b">
        <f t="shared" si="1"/>
        <v>0</v>
      </c>
      <c r="E1491" s="4"/>
    </row>
    <row r="1492">
      <c r="A1492" s="3" t="s">
        <v>1710</v>
      </c>
      <c r="B1492" s="3">
        <v>3000.0</v>
      </c>
      <c r="C1492" s="3" t="s">
        <v>6</v>
      </c>
      <c r="D1492" s="4" t="b">
        <f t="shared" si="1"/>
        <v>0</v>
      </c>
      <c r="E1492" s="4"/>
    </row>
    <row r="1493">
      <c r="A1493" s="3" t="s">
        <v>1711</v>
      </c>
      <c r="B1493" s="3">
        <v>0.0</v>
      </c>
      <c r="C1493" s="3" t="s">
        <v>3</v>
      </c>
      <c r="D1493" s="4" t="b">
        <f t="shared" si="1"/>
        <v>0</v>
      </c>
      <c r="E1493" s="4"/>
    </row>
    <row r="1494">
      <c r="A1494" s="3" t="s">
        <v>1712</v>
      </c>
      <c r="B1494" s="3">
        <v>500.0</v>
      </c>
      <c r="C1494" s="4"/>
      <c r="D1494" s="4" t="b">
        <f t="shared" si="1"/>
        <v>0</v>
      </c>
      <c r="E1494" s="4"/>
    </row>
    <row r="1495">
      <c r="A1495" s="3" t="s">
        <v>1713</v>
      </c>
      <c r="B1495" s="3">
        <v>1000.0</v>
      </c>
      <c r="C1495" s="3" t="s">
        <v>668</v>
      </c>
      <c r="D1495" s="4" t="b">
        <f t="shared" si="1"/>
        <v>0</v>
      </c>
      <c r="E1495" s="4"/>
    </row>
    <row r="1496">
      <c r="A1496" s="3" t="s">
        <v>1714</v>
      </c>
      <c r="B1496" s="4"/>
      <c r="C1496" s="4"/>
      <c r="D1496" s="4" t="b">
        <f t="shared" si="1"/>
        <v>1</v>
      </c>
      <c r="E1496" s="4"/>
    </row>
    <row r="1497">
      <c r="A1497" s="3" t="s">
        <v>1715</v>
      </c>
      <c r="B1497" s="3">
        <v>357672.0</v>
      </c>
      <c r="C1497" s="3" t="s">
        <v>3</v>
      </c>
      <c r="D1497" s="4" t="b">
        <f t="shared" si="1"/>
        <v>0</v>
      </c>
      <c r="E1497" s="4"/>
    </row>
    <row r="1498">
      <c r="A1498" s="3" t="s">
        <v>1717</v>
      </c>
      <c r="B1498" s="4"/>
      <c r="C1498" s="4"/>
      <c r="D1498" s="4" t="b">
        <f t="shared" si="1"/>
        <v>1</v>
      </c>
      <c r="E1498" s="4"/>
    </row>
    <row r="1499">
      <c r="A1499" s="3" t="s">
        <v>1718</v>
      </c>
      <c r="B1499" s="3">
        <v>21350.0</v>
      </c>
      <c r="C1499" s="3" t="s">
        <v>32</v>
      </c>
      <c r="D1499" s="4" t="b">
        <f t="shared" si="1"/>
        <v>0</v>
      </c>
      <c r="E1499" s="4"/>
    </row>
    <row r="1500">
      <c r="A1500" s="3" t="s">
        <v>1720</v>
      </c>
      <c r="B1500" s="3">
        <v>0.0</v>
      </c>
      <c r="C1500" s="3" t="s">
        <v>3</v>
      </c>
      <c r="D1500" s="4" t="b">
        <f t="shared" si="1"/>
        <v>0</v>
      </c>
      <c r="E1500" s="4"/>
    </row>
    <row r="1501">
      <c r="A1501" s="3" t="s">
        <v>1721</v>
      </c>
      <c r="B1501" s="3">
        <v>0.0</v>
      </c>
      <c r="C1501" s="3" t="s">
        <v>3</v>
      </c>
      <c r="D1501" s="4" t="b">
        <f t="shared" si="1"/>
        <v>0</v>
      </c>
      <c r="E1501" s="4"/>
    </row>
    <row r="1502">
      <c r="A1502" s="3" t="s">
        <v>1722</v>
      </c>
      <c r="B1502" s="3">
        <v>0.0</v>
      </c>
      <c r="C1502" s="3" t="s">
        <v>3</v>
      </c>
      <c r="D1502" s="4" t="b">
        <f t="shared" si="1"/>
        <v>0</v>
      </c>
      <c r="E1502" s="4"/>
    </row>
    <row r="1503">
      <c r="A1503" s="3" t="s">
        <v>1723</v>
      </c>
      <c r="B1503" s="3">
        <v>3800.0</v>
      </c>
      <c r="C1503" s="4"/>
      <c r="D1503" s="4" t="b">
        <f t="shared" si="1"/>
        <v>0</v>
      </c>
      <c r="E1503" s="4"/>
    </row>
    <row r="1504">
      <c r="A1504" s="3" t="s">
        <v>1725</v>
      </c>
      <c r="B1504" s="3">
        <v>150.0</v>
      </c>
      <c r="C1504" s="4"/>
      <c r="D1504" s="4" t="b">
        <f t="shared" si="1"/>
        <v>0</v>
      </c>
      <c r="E1504" s="4"/>
    </row>
    <row r="1505">
      <c r="A1505" s="3" t="s">
        <v>1726</v>
      </c>
      <c r="B1505" s="3">
        <v>0.0</v>
      </c>
      <c r="C1505" s="3" t="s">
        <v>32</v>
      </c>
      <c r="D1505" s="4" t="b">
        <f t="shared" si="1"/>
        <v>0</v>
      </c>
      <c r="E1505" s="4"/>
    </row>
    <row r="1506">
      <c r="A1506" s="3" t="s">
        <v>1727</v>
      </c>
      <c r="B1506" s="4"/>
      <c r="C1506" s="4"/>
      <c r="D1506" s="4" t="b">
        <f t="shared" si="1"/>
        <v>1</v>
      </c>
      <c r="E1506" s="4"/>
    </row>
    <row r="1507">
      <c r="A1507" s="3" t="s">
        <v>1728</v>
      </c>
      <c r="B1507" s="3">
        <v>0.0</v>
      </c>
      <c r="C1507" s="3" t="s">
        <v>3</v>
      </c>
      <c r="D1507" s="4" t="b">
        <f t="shared" si="1"/>
        <v>0</v>
      </c>
      <c r="E1507" s="4"/>
    </row>
    <row r="1508">
      <c r="A1508" s="3" t="s">
        <v>1729</v>
      </c>
      <c r="B1508" s="3">
        <v>0.0</v>
      </c>
      <c r="C1508" s="3" t="s">
        <v>3</v>
      </c>
      <c r="D1508" s="4" t="b">
        <f t="shared" si="1"/>
        <v>0</v>
      </c>
      <c r="E1508" s="4"/>
    </row>
    <row r="1509">
      <c r="A1509" s="3" t="s">
        <v>1730</v>
      </c>
      <c r="B1509" s="3">
        <v>0.0</v>
      </c>
      <c r="C1509" s="3" t="s">
        <v>29</v>
      </c>
      <c r="D1509" s="4" t="b">
        <f t="shared" si="1"/>
        <v>0</v>
      </c>
      <c r="E1509" s="4"/>
    </row>
    <row r="1510">
      <c r="A1510" s="3" t="s">
        <v>1731</v>
      </c>
      <c r="B1510" s="3">
        <v>0.0</v>
      </c>
      <c r="C1510" s="3" t="s">
        <v>6</v>
      </c>
      <c r="D1510" s="4" t="b">
        <f t="shared" si="1"/>
        <v>0</v>
      </c>
      <c r="E1510" s="4"/>
    </row>
    <row r="1511">
      <c r="A1511" s="3" t="s">
        <v>1732</v>
      </c>
      <c r="B1511" s="3">
        <v>0.0</v>
      </c>
      <c r="C1511" s="3" t="s">
        <v>3</v>
      </c>
      <c r="D1511" s="4" t="b">
        <f t="shared" si="1"/>
        <v>0</v>
      </c>
      <c r="E1511" s="4"/>
    </row>
    <row r="1512">
      <c r="A1512" s="3" t="s">
        <v>1733</v>
      </c>
      <c r="B1512" s="3">
        <v>31500.0</v>
      </c>
      <c r="C1512" s="3" t="s">
        <v>3</v>
      </c>
      <c r="D1512" s="4" t="b">
        <f t="shared" si="1"/>
        <v>0</v>
      </c>
      <c r="E1512" s="4"/>
    </row>
    <row r="1513">
      <c r="A1513" s="3" t="s">
        <v>1735</v>
      </c>
      <c r="B1513" s="3">
        <v>10000.0</v>
      </c>
      <c r="C1513" s="4"/>
      <c r="D1513" s="4" t="b">
        <f t="shared" si="1"/>
        <v>0</v>
      </c>
      <c r="E1513" s="4"/>
    </row>
    <row r="1514">
      <c r="A1514" s="3" t="s">
        <v>1736</v>
      </c>
      <c r="B1514" s="3">
        <v>35000.0</v>
      </c>
      <c r="C1514" s="3" t="s">
        <v>280</v>
      </c>
      <c r="D1514" s="4" t="b">
        <f t="shared" si="1"/>
        <v>0</v>
      </c>
      <c r="E1514" s="4"/>
    </row>
    <row r="1515">
      <c r="A1515" s="3" t="s">
        <v>1737</v>
      </c>
      <c r="B1515" s="3">
        <v>0.0</v>
      </c>
      <c r="C1515" s="3" t="s">
        <v>3</v>
      </c>
      <c r="D1515" s="4" t="b">
        <f t="shared" si="1"/>
        <v>0</v>
      </c>
      <c r="E1515" s="4"/>
    </row>
    <row r="1516">
      <c r="A1516" s="3" t="s">
        <v>1738</v>
      </c>
      <c r="B1516" s="3">
        <v>1500.0</v>
      </c>
      <c r="C1516" s="4"/>
      <c r="D1516" s="4" t="b">
        <f t="shared" si="1"/>
        <v>0</v>
      </c>
      <c r="E1516" s="4"/>
    </row>
    <row r="1517">
      <c r="A1517" s="3" t="s">
        <v>1739</v>
      </c>
      <c r="B1517" s="3">
        <v>22000.0</v>
      </c>
      <c r="C1517" s="3" t="s">
        <v>484</v>
      </c>
      <c r="D1517" s="4" t="b">
        <f t="shared" si="1"/>
        <v>0</v>
      </c>
      <c r="E1517" s="4"/>
    </row>
    <row r="1518">
      <c r="A1518" s="3" t="s">
        <v>1740</v>
      </c>
      <c r="B1518" s="3">
        <v>0.0</v>
      </c>
      <c r="C1518" s="3" t="s">
        <v>3</v>
      </c>
      <c r="D1518" s="4" t="b">
        <f t="shared" si="1"/>
        <v>0</v>
      </c>
      <c r="E1518" s="4"/>
    </row>
    <row r="1519">
      <c r="A1519" s="3" t="s">
        <v>1741</v>
      </c>
      <c r="B1519" s="3">
        <v>0.0</v>
      </c>
      <c r="C1519" s="3" t="s">
        <v>3</v>
      </c>
      <c r="D1519" s="4" t="b">
        <f t="shared" si="1"/>
        <v>0</v>
      </c>
      <c r="E1519" s="4"/>
    </row>
    <row r="1520">
      <c r="A1520" s="3" t="s">
        <v>1742</v>
      </c>
      <c r="B1520" s="4"/>
      <c r="C1520" s="4"/>
      <c r="D1520" s="4" t="b">
        <f t="shared" si="1"/>
        <v>1</v>
      </c>
      <c r="E1520" s="4"/>
    </row>
    <row r="1521">
      <c r="A1521" s="3" t="s">
        <v>1743</v>
      </c>
      <c r="B1521" s="3">
        <v>0.0</v>
      </c>
      <c r="C1521" s="3" t="s">
        <v>3</v>
      </c>
      <c r="D1521" s="4" t="b">
        <f t="shared" si="1"/>
        <v>0</v>
      </c>
      <c r="E1521" s="4"/>
    </row>
    <row r="1522">
      <c r="A1522" s="3" t="s">
        <v>1744</v>
      </c>
      <c r="B1522" s="3">
        <v>9520.0</v>
      </c>
      <c r="C1522" s="4"/>
      <c r="D1522" s="4" t="b">
        <f t="shared" si="1"/>
        <v>0</v>
      </c>
      <c r="E1522" s="4"/>
    </row>
    <row r="1523">
      <c r="A1523" s="3" t="s">
        <v>1746</v>
      </c>
      <c r="B1523" s="3">
        <v>900.0</v>
      </c>
      <c r="C1523" s="4"/>
      <c r="D1523" s="4" t="b">
        <f t="shared" si="1"/>
        <v>0</v>
      </c>
      <c r="E1523" s="4"/>
    </row>
    <row r="1524">
      <c r="A1524" s="3" t="s">
        <v>1747</v>
      </c>
      <c r="B1524" s="3">
        <v>7100.0</v>
      </c>
      <c r="C1524" s="3" t="s">
        <v>6</v>
      </c>
      <c r="D1524" s="4" t="b">
        <f t="shared" si="1"/>
        <v>0</v>
      </c>
      <c r="E1524" s="4"/>
    </row>
    <row r="1525">
      <c r="A1525" s="3" t="s">
        <v>1749</v>
      </c>
      <c r="B1525" s="3">
        <v>0.0</v>
      </c>
      <c r="C1525" s="3" t="s">
        <v>6</v>
      </c>
      <c r="D1525" s="4" t="b">
        <f t="shared" si="1"/>
        <v>0</v>
      </c>
      <c r="E1525" s="4"/>
    </row>
    <row r="1526">
      <c r="A1526" s="3" t="s">
        <v>1750</v>
      </c>
      <c r="B1526" s="3">
        <v>0.0</v>
      </c>
      <c r="C1526" s="3" t="s">
        <v>6</v>
      </c>
      <c r="D1526" s="4" t="b">
        <f t="shared" si="1"/>
        <v>0</v>
      </c>
      <c r="E1526" s="4"/>
    </row>
    <row r="1527">
      <c r="A1527" s="3" t="s">
        <v>1751</v>
      </c>
      <c r="B1527" s="3">
        <v>51000.0</v>
      </c>
      <c r="C1527" s="3" t="s">
        <v>3</v>
      </c>
      <c r="D1527" s="4" t="b">
        <f t="shared" si="1"/>
        <v>0</v>
      </c>
      <c r="E1527" s="4"/>
    </row>
    <row r="1528">
      <c r="A1528" s="3" t="s">
        <v>1753</v>
      </c>
      <c r="B1528" s="3">
        <v>0.0</v>
      </c>
      <c r="C1528" s="3" t="s">
        <v>32</v>
      </c>
      <c r="D1528" s="4" t="b">
        <f t="shared" si="1"/>
        <v>0</v>
      </c>
      <c r="E1528" s="4"/>
    </row>
    <row r="1529">
      <c r="A1529" s="3" t="s">
        <v>1754</v>
      </c>
      <c r="B1529" s="3">
        <v>6000.0</v>
      </c>
      <c r="C1529" s="3" t="s">
        <v>32</v>
      </c>
      <c r="D1529" s="4" t="b">
        <f t="shared" si="1"/>
        <v>0</v>
      </c>
      <c r="E1529" s="4"/>
    </row>
    <row r="1530">
      <c r="A1530" s="3" t="s">
        <v>1755</v>
      </c>
      <c r="B1530" s="3">
        <v>0.0</v>
      </c>
      <c r="C1530" s="3" t="s">
        <v>3</v>
      </c>
      <c r="D1530" s="4" t="b">
        <f t="shared" si="1"/>
        <v>0</v>
      </c>
      <c r="E1530" s="4"/>
    </row>
    <row r="1531">
      <c r="A1531" s="3" t="s">
        <v>1756</v>
      </c>
      <c r="B1531" s="3">
        <v>29985.0</v>
      </c>
      <c r="C1531" s="4"/>
      <c r="D1531" s="4" t="b">
        <f t="shared" si="1"/>
        <v>0</v>
      </c>
      <c r="E1531" s="4"/>
    </row>
    <row r="1532">
      <c r="A1532" s="3" t="s">
        <v>1758</v>
      </c>
      <c r="B1532" s="3">
        <v>2000.0</v>
      </c>
      <c r="C1532" s="4"/>
      <c r="D1532" s="4" t="b">
        <f t="shared" si="1"/>
        <v>0</v>
      </c>
      <c r="E1532" s="4"/>
    </row>
    <row r="1533">
      <c r="A1533" s="3" t="s">
        <v>1759</v>
      </c>
      <c r="B1533" s="3">
        <v>10000.0</v>
      </c>
      <c r="C1533" s="3" t="s">
        <v>6</v>
      </c>
      <c r="D1533" s="4" t="b">
        <f t="shared" si="1"/>
        <v>0</v>
      </c>
      <c r="E1533" s="4"/>
    </row>
    <row r="1534">
      <c r="A1534" s="3" t="s">
        <v>1760</v>
      </c>
      <c r="B1534" s="3">
        <v>0.0</v>
      </c>
      <c r="C1534" s="3" t="s">
        <v>3</v>
      </c>
      <c r="D1534" s="4" t="b">
        <f t="shared" si="1"/>
        <v>0</v>
      </c>
      <c r="E1534" s="4"/>
    </row>
    <row r="1535">
      <c r="A1535" s="3" t="s">
        <v>1761</v>
      </c>
      <c r="B1535" s="3">
        <v>64000.0</v>
      </c>
      <c r="C1535" s="4"/>
      <c r="D1535" s="4" t="b">
        <f t="shared" si="1"/>
        <v>0</v>
      </c>
      <c r="E1535" s="4"/>
    </row>
    <row r="1536">
      <c r="A1536" s="3" t="s">
        <v>1763</v>
      </c>
      <c r="B1536" s="3">
        <v>0.0</v>
      </c>
      <c r="C1536" s="3" t="s">
        <v>3</v>
      </c>
      <c r="D1536" s="4" t="b">
        <f t="shared" si="1"/>
        <v>0</v>
      </c>
      <c r="E1536" s="4"/>
    </row>
    <row r="1537">
      <c r="A1537" s="3" t="s">
        <v>1764</v>
      </c>
      <c r="B1537" s="3">
        <v>10000.0</v>
      </c>
      <c r="C1537" s="3" t="s">
        <v>3</v>
      </c>
      <c r="D1537" s="4" t="b">
        <f t="shared" si="1"/>
        <v>0</v>
      </c>
      <c r="E1537" s="4"/>
    </row>
    <row r="1538">
      <c r="A1538" s="3" t="s">
        <v>1765</v>
      </c>
      <c r="B1538" s="3">
        <v>600.0</v>
      </c>
      <c r="C1538" s="3" t="s">
        <v>32</v>
      </c>
      <c r="D1538" s="4" t="b">
        <f t="shared" si="1"/>
        <v>0</v>
      </c>
      <c r="E1538" s="4"/>
    </row>
    <row r="1539">
      <c r="A1539" s="3" t="s">
        <v>1766</v>
      </c>
      <c r="B1539" s="3">
        <v>9750.0</v>
      </c>
      <c r="C1539" s="3" t="s">
        <v>32</v>
      </c>
      <c r="D1539" s="4" t="b">
        <f t="shared" si="1"/>
        <v>0</v>
      </c>
      <c r="E1539" s="4"/>
    </row>
    <row r="1540">
      <c r="A1540" s="3" t="s">
        <v>1768</v>
      </c>
      <c r="B1540" s="3">
        <v>0.0</v>
      </c>
      <c r="C1540" s="3" t="s">
        <v>6</v>
      </c>
      <c r="D1540" s="4" t="b">
        <f t="shared" si="1"/>
        <v>0</v>
      </c>
      <c r="E1540" s="4"/>
    </row>
    <row r="1541">
      <c r="A1541" s="3" t="s">
        <v>1769</v>
      </c>
      <c r="B1541" s="3">
        <v>0.0</v>
      </c>
      <c r="C1541" s="3" t="s">
        <v>3</v>
      </c>
      <c r="D1541" s="4" t="b">
        <f t="shared" si="1"/>
        <v>0</v>
      </c>
      <c r="E1541" s="4"/>
    </row>
    <row r="1542">
      <c r="A1542" s="3" t="s">
        <v>1770</v>
      </c>
      <c r="B1542" s="3">
        <v>0.0</v>
      </c>
      <c r="C1542" s="3" t="s">
        <v>29</v>
      </c>
      <c r="D1542" s="4" t="b">
        <f t="shared" si="1"/>
        <v>0</v>
      </c>
      <c r="E1542" s="4"/>
    </row>
    <row r="1543">
      <c r="A1543" s="3" t="s">
        <v>1771</v>
      </c>
      <c r="B1543" s="3">
        <v>0.0</v>
      </c>
      <c r="C1543" s="3" t="s">
        <v>3</v>
      </c>
      <c r="D1543" s="4" t="b">
        <f t="shared" si="1"/>
        <v>0</v>
      </c>
      <c r="E1543" s="4"/>
    </row>
    <row r="1544">
      <c r="A1544" s="3" t="s">
        <v>1772</v>
      </c>
      <c r="B1544" s="3">
        <v>0.0</v>
      </c>
      <c r="C1544" s="3" t="s">
        <v>32</v>
      </c>
      <c r="D1544" s="4" t="b">
        <f t="shared" si="1"/>
        <v>0</v>
      </c>
      <c r="E1544" s="4"/>
    </row>
    <row r="1545">
      <c r="A1545" s="3" t="s">
        <v>1773</v>
      </c>
      <c r="B1545" s="3">
        <v>6182.0</v>
      </c>
      <c r="C1545" s="4"/>
      <c r="D1545" s="4" t="b">
        <f t="shared" si="1"/>
        <v>0</v>
      </c>
      <c r="E1545" s="4"/>
    </row>
    <row r="1546">
      <c r="A1546" s="3" t="s">
        <v>1775</v>
      </c>
      <c r="B1546" s="3">
        <v>2000.0</v>
      </c>
      <c r="C1546" s="3" t="s">
        <v>3</v>
      </c>
      <c r="D1546" s="4" t="b">
        <f t="shared" si="1"/>
        <v>0</v>
      </c>
      <c r="E1546" s="4"/>
    </row>
    <row r="1547">
      <c r="A1547" s="3" t="s">
        <v>1776</v>
      </c>
      <c r="B1547" s="4"/>
      <c r="C1547" s="4"/>
      <c r="D1547" s="4" t="b">
        <f t="shared" si="1"/>
        <v>1</v>
      </c>
      <c r="E1547" s="4"/>
    </row>
    <row r="1548">
      <c r="A1548" s="3" t="s">
        <v>1777</v>
      </c>
      <c r="B1548" s="3">
        <v>800.0</v>
      </c>
      <c r="C1548" s="3" t="s">
        <v>29</v>
      </c>
      <c r="D1548" s="4" t="b">
        <f t="shared" si="1"/>
        <v>0</v>
      </c>
      <c r="E1548" s="4"/>
    </row>
    <row r="1549">
      <c r="A1549" s="3" t="s">
        <v>1778</v>
      </c>
      <c r="B1549" s="3">
        <v>650.0</v>
      </c>
      <c r="C1549" s="4"/>
      <c r="D1549" s="4" t="b">
        <f t="shared" si="1"/>
        <v>0</v>
      </c>
      <c r="E1549" s="4"/>
    </row>
    <row r="1550">
      <c r="A1550" s="3" t="s">
        <v>1780</v>
      </c>
      <c r="B1550" s="3">
        <v>0.0</v>
      </c>
      <c r="C1550" s="3" t="s">
        <v>32</v>
      </c>
      <c r="D1550" s="4" t="b">
        <f t="shared" si="1"/>
        <v>0</v>
      </c>
      <c r="E1550" s="4"/>
    </row>
    <row r="1551">
      <c r="A1551" s="3" t="s">
        <v>1781</v>
      </c>
      <c r="B1551" s="3">
        <v>3000.0</v>
      </c>
      <c r="C1551" s="4"/>
      <c r="D1551" s="4" t="b">
        <f t="shared" si="1"/>
        <v>0</v>
      </c>
      <c r="E1551" s="4"/>
    </row>
    <row r="1552">
      <c r="A1552" s="3" t="s">
        <v>1782</v>
      </c>
      <c r="B1552" s="3">
        <v>3700.0</v>
      </c>
      <c r="C1552" s="3" t="s">
        <v>32</v>
      </c>
      <c r="D1552" s="4" t="b">
        <f t="shared" si="1"/>
        <v>0</v>
      </c>
      <c r="E1552" s="4"/>
    </row>
    <row r="1553">
      <c r="A1553" s="3" t="s">
        <v>1783</v>
      </c>
      <c r="B1553" s="3">
        <v>4400.0</v>
      </c>
      <c r="C1553" s="4"/>
      <c r="D1553" s="4" t="b">
        <f t="shared" si="1"/>
        <v>0</v>
      </c>
      <c r="E1553" s="4"/>
    </row>
    <row r="1554">
      <c r="A1554" s="3" t="s">
        <v>1784</v>
      </c>
      <c r="B1554" s="3">
        <v>0.0</v>
      </c>
      <c r="C1554" s="3" t="s">
        <v>3</v>
      </c>
      <c r="D1554" s="4" t="b">
        <f t="shared" si="1"/>
        <v>0</v>
      </c>
      <c r="E1554" s="4"/>
    </row>
    <row r="1555">
      <c r="A1555" s="3" t="s">
        <v>1785</v>
      </c>
      <c r="B1555" s="3">
        <v>0.0</v>
      </c>
      <c r="C1555" s="3" t="s">
        <v>3</v>
      </c>
      <c r="D1555" s="4" t="b">
        <f t="shared" si="1"/>
        <v>0</v>
      </c>
      <c r="E1555" s="4"/>
    </row>
    <row r="1556">
      <c r="A1556" s="3" t="s">
        <v>1786</v>
      </c>
      <c r="B1556" s="3">
        <v>0.0</v>
      </c>
      <c r="C1556" s="3" t="s">
        <v>6</v>
      </c>
      <c r="D1556" s="4" t="b">
        <f t="shared" si="1"/>
        <v>0</v>
      </c>
      <c r="E1556" s="4"/>
    </row>
    <row r="1557">
      <c r="A1557" s="3" t="s">
        <v>1787</v>
      </c>
      <c r="B1557" s="3">
        <v>280000.0</v>
      </c>
      <c r="C1557" s="3" t="s">
        <v>6</v>
      </c>
      <c r="D1557" s="4" t="b">
        <f t="shared" si="1"/>
        <v>0</v>
      </c>
      <c r="E1557" s="4"/>
    </row>
    <row r="1558">
      <c r="A1558" s="3" t="s">
        <v>1789</v>
      </c>
      <c r="B1558" s="3">
        <v>450000.0</v>
      </c>
      <c r="C1558" s="3" t="s">
        <v>6</v>
      </c>
      <c r="D1558" s="4" t="b">
        <f t="shared" si="1"/>
        <v>0</v>
      </c>
      <c r="E1558" s="4"/>
    </row>
    <row r="1559">
      <c r="A1559" s="3" t="s">
        <v>1791</v>
      </c>
      <c r="B1559" s="3">
        <v>2000.0</v>
      </c>
      <c r="C1559" s="3" t="s">
        <v>29</v>
      </c>
      <c r="D1559" s="4" t="b">
        <f t="shared" si="1"/>
        <v>0</v>
      </c>
      <c r="E1559" s="4"/>
    </row>
    <row r="1560">
      <c r="A1560" s="3" t="s">
        <v>1792</v>
      </c>
      <c r="B1560" s="3">
        <v>2000.0</v>
      </c>
      <c r="C1560" s="4"/>
      <c r="D1560" s="4" t="b">
        <f t="shared" si="1"/>
        <v>0</v>
      </c>
      <c r="E1560" s="4"/>
    </row>
    <row r="1561">
      <c r="A1561" s="3" t="s">
        <v>1793</v>
      </c>
      <c r="B1561" s="4"/>
      <c r="C1561" s="4"/>
      <c r="D1561" s="4" t="b">
        <f t="shared" si="1"/>
        <v>1</v>
      </c>
      <c r="E1561" s="4"/>
    </row>
    <row r="1562">
      <c r="A1562" s="3" t="s">
        <v>1794</v>
      </c>
      <c r="B1562" s="3">
        <v>0.0</v>
      </c>
      <c r="C1562" s="3" t="s">
        <v>3</v>
      </c>
      <c r="D1562" s="4" t="b">
        <f t="shared" si="1"/>
        <v>0</v>
      </c>
      <c r="E1562" s="4"/>
    </row>
    <row r="1563">
      <c r="A1563" s="3" t="s">
        <v>1795</v>
      </c>
      <c r="B1563" s="3">
        <v>3500.0</v>
      </c>
      <c r="C1563" s="4"/>
      <c r="D1563" s="4" t="b">
        <f t="shared" si="1"/>
        <v>0</v>
      </c>
      <c r="E1563" s="4"/>
    </row>
    <row r="1564">
      <c r="A1564" s="3" t="s">
        <v>1796</v>
      </c>
      <c r="B1564" s="3">
        <v>0.0</v>
      </c>
      <c r="C1564" s="3" t="s">
        <v>3</v>
      </c>
      <c r="D1564" s="4" t="b">
        <f t="shared" si="1"/>
        <v>0</v>
      </c>
      <c r="E1564" s="4"/>
    </row>
    <row r="1565">
      <c r="A1565" s="3" t="s">
        <v>1797</v>
      </c>
      <c r="B1565" s="3">
        <v>0.0</v>
      </c>
      <c r="C1565" s="3" t="s">
        <v>32</v>
      </c>
      <c r="D1565" s="4" t="b">
        <f t="shared" si="1"/>
        <v>0</v>
      </c>
      <c r="E1565" s="4"/>
    </row>
    <row r="1566">
      <c r="A1566" s="3" t="s">
        <v>1798</v>
      </c>
      <c r="B1566" s="4"/>
      <c r="C1566" s="4"/>
      <c r="D1566" s="4" t="b">
        <f t="shared" si="1"/>
        <v>1</v>
      </c>
      <c r="E1566" s="4"/>
    </row>
    <row r="1567">
      <c r="A1567" s="3" t="s">
        <v>1799</v>
      </c>
      <c r="B1567" s="3">
        <v>0.0</v>
      </c>
      <c r="C1567" s="3" t="s">
        <v>29</v>
      </c>
      <c r="D1567" s="4" t="b">
        <f t="shared" si="1"/>
        <v>0</v>
      </c>
      <c r="E1567" s="4"/>
    </row>
    <row r="1568">
      <c r="A1568" s="3" t="s">
        <v>1800</v>
      </c>
      <c r="B1568" s="3">
        <v>73250.0</v>
      </c>
      <c r="C1568" s="3" t="s">
        <v>1373</v>
      </c>
      <c r="D1568" s="4" t="b">
        <f t="shared" si="1"/>
        <v>0</v>
      </c>
      <c r="E1568" s="4"/>
    </row>
    <row r="1569">
      <c r="A1569" s="4"/>
      <c r="B1569" s="4"/>
      <c r="C1569" s="3" t="s">
        <v>1374</v>
      </c>
      <c r="D1569" s="4" t="b">
        <f t="shared" si="1"/>
        <v>1</v>
      </c>
      <c r="E1569" s="4"/>
    </row>
    <row r="1570">
      <c r="A1570" s="3" t="s">
        <v>1802</v>
      </c>
      <c r="B1570" s="3">
        <v>0.0</v>
      </c>
      <c r="C1570" s="3" t="s">
        <v>6</v>
      </c>
      <c r="D1570" s="4" t="b">
        <f t="shared" si="1"/>
        <v>0</v>
      </c>
      <c r="E1570" s="4"/>
    </row>
    <row r="1571">
      <c r="A1571" s="3" t="s">
        <v>823</v>
      </c>
      <c r="B1571" s="4"/>
      <c r="C1571" s="4"/>
      <c r="D1571" s="4" t="b">
        <f t="shared" si="1"/>
        <v>1</v>
      </c>
      <c r="E1571" s="4"/>
    </row>
    <row r="1572">
      <c r="A1572" s="3" t="s">
        <v>1803</v>
      </c>
      <c r="B1572" s="3">
        <v>0.0</v>
      </c>
      <c r="C1572" s="3" t="s">
        <v>29</v>
      </c>
      <c r="D1572" s="4" t="b">
        <f t="shared" si="1"/>
        <v>0</v>
      </c>
      <c r="E1572" s="4"/>
    </row>
    <row r="1573">
      <c r="A1573" s="3" t="s">
        <v>1804</v>
      </c>
      <c r="B1573" s="4"/>
      <c r="C1573" s="4"/>
      <c r="D1573" s="4" t="b">
        <f t="shared" si="1"/>
        <v>1</v>
      </c>
      <c r="E1573" s="4"/>
    </row>
    <row r="1574">
      <c r="A1574" s="3" t="s">
        <v>1805</v>
      </c>
      <c r="B1574" s="3">
        <v>9980.0</v>
      </c>
      <c r="C1574" s="3" t="s">
        <v>32</v>
      </c>
      <c r="D1574" s="4" t="b">
        <f t="shared" si="1"/>
        <v>0</v>
      </c>
      <c r="E1574" s="4"/>
    </row>
    <row r="1575">
      <c r="A1575" s="3" t="s">
        <v>1807</v>
      </c>
      <c r="B1575" s="3">
        <v>0.0</v>
      </c>
      <c r="C1575" s="3" t="s">
        <v>668</v>
      </c>
      <c r="D1575" s="4" t="b">
        <f t="shared" si="1"/>
        <v>0</v>
      </c>
      <c r="E1575" s="4"/>
    </row>
    <row r="1576">
      <c r="A1576" s="3" t="s">
        <v>1808</v>
      </c>
      <c r="B1576" s="3">
        <v>4000.0</v>
      </c>
      <c r="C1576" s="4"/>
      <c r="D1576" s="4" t="b">
        <f t="shared" si="1"/>
        <v>0</v>
      </c>
      <c r="E1576" s="4"/>
    </row>
    <row r="1577">
      <c r="A1577" s="3" t="s">
        <v>1809</v>
      </c>
      <c r="B1577" s="3">
        <v>1000.0</v>
      </c>
      <c r="C1577" s="4"/>
      <c r="D1577" s="4" t="b">
        <f t="shared" si="1"/>
        <v>0</v>
      </c>
      <c r="E1577" s="4"/>
    </row>
    <row r="1578">
      <c r="A1578" s="3" t="s">
        <v>1810</v>
      </c>
      <c r="B1578" s="3">
        <v>2000.0</v>
      </c>
      <c r="C1578" s="3" t="s">
        <v>3</v>
      </c>
      <c r="D1578" s="4" t="b">
        <f t="shared" si="1"/>
        <v>0</v>
      </c>
      <c r="E1578" s="4"/>
    </row>
    <row r="1579">
      <c r="A1579" s="3" t="s">
        <v>1811</v>
      </c>
      <c r="B1579" s="3">
        <v>16770.0</v>
      </c>
      <c r="C1579" s="3" t="s">
        <v>3</v>
      </c>
      <c r="D1579" s="4" t="b">
        <f t="shared" si="1"/>
        <v>0</v>
      </c>
      <c r="E1579" s="4"/>
    </row>
    <row r="1580">
      <c r="A1580" s="3" t="s">
        <v>1813</v>
      </c>
      <c r="B1580" s="3">
        <v>300.0</v>
      </c>
      <c r="C1580" s="4"/>
      <c r="D1580" s="4" t="b">
        <f t="shared" si="1"/>
        <v>0</v>
      </c>
      <c r="E1580" s="4"/>
    </row>
    <row r="1581">
      <c r="A1581" s="3" t="s">
        <v>1814</v>
      </c>
      <c r="B1581" s="3">
        <v>0.0</v>
      </c>
      <c r="C1581" s="3" t="s">
        <v>3</v>
      </c>
      <c r="D1581" s="4" t="b">
        <f t="shared" si="1"/>
        <v>0</v>
      </c>
      <c r="E1581" s="4"/>
    </row>
    <row r="1582">
      <c r="A1582" s="3" t="s">
        <v>1815</v>
      </c>
      <c r="B1582" s="3">
        <v>500.0</v>
      </c>
      <c r="C1582" s="4"/>
      <c r="D1582" s="4" t="b">
        <f t="shared" si="1"/>
        <v>0</v>
      </c>
      <c r="E1582" s="4"/>
    </row>
    <row r="1583">
      <c r="A1583" s="3" t="s">
        <v>196</v>
      </c>
      <c r="B1583" s="4"/>
      <c r="C1583" s="4"/>
      <c r="D1583" s="4" t="b">
        <f t="shared" si="1"/>
        <v>1</v>
      </c>
      <c r="E1583" s="4"/>
    </row>
    <row r="1584">
      <c r="A1584" s="3" t="s">
        <v>1816</v>
      </c>
      <c r="B1584" s="3">
        <v>0.0</v>
      </c>
      <c r="C1584" s="3" t="s">
        <v>3</v>
      </c>
      <c r="D1584" s="4" t="b">
        <f t="shared" si="1"/>
        <v>0</v>
      </c>
      <c r="E1584" s="4"/>
    </row>
    <row r="1585">
      <c r="A1585" s="3" t="s">
        <v>1817</v>
      </c>
      <c r="B1585" s="4"/>
      <c r="C1585" s="4"/>
      <c r="D1585" s="4" t="b">
        <f t="shared" si="1"/>
        <v>1</v>
      </c>
      <c r="E1585" s="4"/>
    </row>
    <row r="1586">
      <c r="A1586" s="3" t="s">
        <v>1818</v>
      </c>
      <c r="B1586" s="3">
        <v>0.0</v>
      </c>
      <c r="C1586" s="3" t="s">
        <v>3</v>
      </c>
      <c r="D1586" s="4" t="b">
        <f t="shared" si="1"/>
        <v>0</v>
      </c>
      <c r="E1586" s="4"/>
    </row>
    <row r="1587">
      <c r="A1587" s="3" t="s">
        <v>1819</v>
      </c>
      <c r="B1587" s="3">
        <v>2500.0</v>
      </c>
      <c r="C1587" s="3" t="s">
        <v>3</v>
      </c>
      <c r="D1587" s="4" t="b">
        <f t="shared" si="1"/>
        <v>0</v>
      </c>
      <c r="E1587" s="4"/>
    </row>
    <row r="1588">
      <c r="A1588" s="3" t="s">
        <v>1820</v>
      </c>
      <c r="B1588" s="4"/>
      <c r="C1588" s="4"/>
      <c r="D1588" s="4" t="b">
        <f t="shared" si="1"/>
        <v>1</v>
      </c>
      <c r="E1588" s="4"/>
    </row>
    <row r="1589">
      <c r="A1589" s="3" t="s">
        <v>1821</v>
      </c>
      <c r="B1589" s="3">
        <v>0.0</v>
      </c>
      <c r="C1589" s="3" t="s">
        <v>3</v>
      </c>
      <c r="D1589" s="4" t="b">
        <f t="shared" si="1"/>
        <v>0</v>
      </c>
      <c r="E1589" s="4"/>
    </row>
    <row r="1590">
      <c r="A1590" s="3" t="s">
        <v>1822</v>
      </c>
      <c r="B1590" s="3">
        <v>300.0</v>
      </c>
      <c r="C1590" s="4"/>
      <c r="D1590" s="4" t="b">
        <f t="shared" si="1"/>
        <v>0</v>
      </c>
      <c r="E1590" s="4"/>
    </row>
    <row r="1591">
      <c r="A1591" s="3" t="s">
        <v>1823</v>
      </c>
      <c r="B1591" s="3">
        <v>9500.0</v>
      </c>
      <c r="C1591" s="3" t="s">
        <v>3</v>
      </c>
      <c r="D1591" s="4" t="b">
        <f t="shared" si="1"/>
        <v>0</v>
      </c>
      <c r="E1591" s="4"/>
    </row>
    <row r="1592">
      <c r="A1592" s="3" t="s">
        <v>1824</v>
      </c>
      <c r="B1592" s="4"/>
      <c r="C1592" s="4"/>
      <c r="D1592" s="4" t="b">
        <f t="shared" si="1"/>
        <v>1</v>
      </c>
      <c r="E1592" s="4"/>
    </row>
    <row r="1593">
      <c r="A1593" s="3" t="s">
        <v>1825</v>
      </c>
      <c r="B1593" s="3">
        <v>0.0</v>
      </c>
      <c r="C1593" s="3" t="s">
        <v>3</v>
      </c>
      <c r="D1593" s="4" t="b">
        <f t="shared" si="1"/>
        <v>0</v>
      </c>
      <c r="E1593" s="4"/>
    </row>
    <row r="1594">
      <c r="A1594" s="3" t="s">
        <v>1826</v>
      </c>
      <c r="B1594" s="3">
        <v>0.0</v>
      </c>
      <c r="C1594" s="3" t="s">
        <v>3</v>
      </c>
      <c r="D1594" s="4" t="b">
        <f t="shared" si="1"/>
        <v>0</v>
      </c>
      <c r="E1594" s="4"/>
    </row>
    <row r="1595">
      <c r="A1595" s="3" t="s">
        <v>1827</v>
      </c>
      <c r="B1595" s="3">
        <v>0.0</v>
      </c>
      <c r="C1595" s="3" t="s">
        <v>3</v>
      </c>
      <c r="D1595" s="4" t="b">
        <f t="shared" si="1"/>
        <v>0</v>
      </c>
      <c r="E1595" s="4"/>
    </row>
    <row r="1596">
      <c r="A1596" s="3" t="s">
        <v>1828</v>
      </c>
      <c r="B1596" s="4"/>
      <c r="C1596" s="4"/>
      <c r="D1596" s="4" t="b">
        <f t="shared" si="1"/>
        <v>1</v>
      </c>
      <c r="E1596" s="4"/>
    </row>
    <row r="1597">
      <c r="A1597" s="3" t="s">
        <v>1829</v>
      </c>
      <c r="B1597" s="3">
        <v>0.0</v>
      </c>
      <c r="C1597" s="3" t="s">
        <v>3</v>
      </c>
      <c r="D1597" s="4" t="b">
        <f t="shared" si="1"/>
        <v>0</v>
      </c>
      <c r="E1597" s="4"/>
    </row>
    <row r="1598">
      <c r="A1598" s="3" t="s">
        <v>1830</v>
      </c>
      <c r="B1598" s="3">
        <v>2100.0</v>
      </c>
      <c r="C1598" s="4"/>
      <c r="D1598" s="4" t="b">
        <f t="shared" si="1"/>
        <v>0</v>
      </c>
      <c r="E1598" s="4"/>
    </row>
    <row r="1599">
      <c r="A1599" s="3" t="s">
        <v>823</v>
      </c>
      <c r="B1599" s="4"/>
      <c r="C1599" s="4"/>
      <c r="D1599" s="4" t="b">
        <f t="shared" si="1"/>
        <v>1</v>
      </c>
      <c r="E1599" s="4"/>
    </row>
    <row r="1600">
      <c r="A1600" s="3" t="s">
        <v>1831</v>
      </c>
      <c r="B1600" s="3">
        <v>0.0</v>
      </c>
      <c r="C1600" s="3" t="s">
        <v>3</v>
      </c>
      <c r="D1600" s="4" t="b">
        <f t="shared" si="1"/>
        <v>0</v>
      </c>
      <c r="E1600" s="4"/>
    </row>
    <row r="1601">
      <c r="A1601" s="3" t="s">
        <v>1832</v>
      </c>
      <c r="B1601" s="3">
        <v>2000.0</v>
      </c>
      <c r="C1601" s="4"/>
      <c r="D1601" s="4" t="b">
        <f t="shared" si="1"/>
        <v>0</v>
      </c>
      <c r="E1601" s="4"/>
    </row>
    <row r="1602">
      <c r="A1602" s="3" t="s">
        <v>1833</v>
      </c>
      <c r="B1602" s="3">
        <v>10000.0</v>
      </c>
      <c r="C1602" s="3" t="s">
        <v>3</v>
      </c>
      <c r="D1602" s="4" t="b">
        <f t="shared" si="1"/>
        <v>0</v>
      </c>
      <c r="E1602" s="4"/>
    </row>
    <row r="1603">
      <c r="A1603" s="3" t="s">
        <v>1834</v>
      </c>
      <c r="B1603" s="3">
        <v>0.0</v>
      </c>
      <c r="C1603" s="3" t="s">
        <v>29</v>
      </c>
      <c r="D1603" s="4" t="b">
        <f t="shared" si="1"/>
        <v>0</v>
      </c>
      <c r="E1603" s="4"/>
    </row>
    <row r="1604">
      <c r="A1604" s="3" t="s">
        <v>1835</v>
      </c>
      <c r="B1604" s="3">
        <v>200.0</v>
      </c>
      <c r="C1604" s="3" t="s">
        <v>6</v>
      </c>
      <c r="D1604" s="4" t="b">
        <f t="shared" si="1"/>
        <v>0</v>
      </c>
      <c r="E1604" s="4"/>
    </row>
    <row r="1605">
      <c r="A1605" s="3" t="s">
        <v>1836</v>
      </c>
      <c r="B1605" s="3">
        <v>1500.0</v>
      </c>
      <c r="C1605" s="4"/>
      <c r="D1605" s="4" t="b">
        <f t="shared" si="1"/>
        <v>0</v>
      </c>
      <c r="E1605" s="4"/>
    </row>
    <row r="1606">
      <c r="A1606" s="3" t="s">
        <v>1837</v>
      </c>
      <c r="B1606" s="3">
        <v>0.0</v>
      </c>
      <c r="C1606" s="3" t="s">
        <v>3</v>
      </c>
      <c r="D1606" s="4" t="b">
        <f t="shared" si="1"/>
        <v>0</v>
      </c>
      <c r="E1606" s="4"/>
    </row>
    <row r="1607">
      <c r="A1607" s="3" t="s">
        <v>1838</v>
      </c>
      <c r="B1607" s="3">
        <v>73900.0</v>
      </c>
      <c r="C1607" s="3" t="s">
        <v>3</v>
      </c>
      <c r="D1607" s="4" t="b">
        <f t="shared" si="1"/>
        <v>0</v>
      </c>
      <c r="E1607" s="4"/>
    </row>
    <row r="1608">
      <c r="A1608" s="3" t="s">
        <v>1840</v>
      </c>
      <c r="B1608" s="3">
        <v>0.0</v>
      </c>
      <c r="C1608" s="3" t="s">
        <v>3</v>
      </c>
      <c r="D1608" s="4" t="b">
        <f t="shared" si="1"/>
        <v>0</v>
      </c>
      <c r="E1608" s="4"/>
    </row>
    <row r="1609">
      <c r="A1609" s="3" t="s">
        <v>1841</v>
      </c>
      <c r="B1609" s="3">
        <v>0.0</v>
      </c>
      <c r="C1609" s="3" t="s">
        <v>29</v>
      </c>
      <c r="D1609" s="4" t="b">
        <f t="shared" si="1"/>
        <v>0</v>
      </c>
      <c r="E1609" s="4"/>
    </row>
    <row r="1610">
      <c r="A1610" s="3" t="s">
        <v>1842</v>
      </c>
      <c r="B1610" s="3">
        <v>2500.0</v>
      </c>
      <c r="C1610" s="3" t="s">
        <v>3</v>
      </c>
      <c r="D1610" s="4" t="b">
        <f t="shared" si="1"/>
        <v>0</v>
      </c>
      <c r="E1610" s="4"/>
    </row>
    <row r="1611">
      <c r="A1611" s="3" t="s">
        <v>1843</v>
      </c>
      <c r="B1611" s="3">
        <v>0.0</v>
      </c>
      <c r="C1611" s="3" t="s">
        <v>3</v>
      </c>
      <c r="D1611" s="4" t="b">
        <f t="shared" si="1"/>
        <v>0</v>
      </c>
      <c r="E1611" s="4"/>
    </row>
    <row r="1612">
      <c r="A1612" s="3" t="s">
        <v>1844</v>
      </c>
      <c r="B1612" s="3">
        <v>0.0</v>
      </c>
      <c r="C1612" s="3" t="s">
        <v>32</v>
      </c>
      <c r="D1612" s="4" t="b">
        <f t="shared" si="1"/>
        <v>0</v>
      </c>
      <c r="E1612" s="4"/>
    </row>
    <row r="1613">
      <c r="A1613" s="3" t="s">
        <v>1845</v>
      </c>
      <c r="B1613" s="4"/>
      <c r="C1613" s="4"/>
      <c r="D1613" s="4" t="b">
        <f t="shared" si="1"/>
        <v>1</v>
      </c>
      <c r="E1613" s="4"/>
    </row>
    <row r="1614">
      <c r="A1614" s="3" t="s">
        <v>1846</v>
      </c>
      <c r="B1614" s="3">
        <v>0.0</v>
      </c>
      <c r="C1614" s="3" t="s">
        <v>6</v>
      </c>
      <c r="D1614" s="4" t="b">
        <f t="shared" si="1"/>
        <v>0</v>
      </c>
      <c r="E1614" s="4"/>
    </row>
    <row r="1615">
      <c r="A1615" s="3" t="s">
        <v>1847</v>
      </c>
      <c r="B1615" s="3">
        <v>0.0</v>
      </c>
      <c r="C1615" s="3" t="s">
        <v>6</v>
      </c>
      <c r="D1615" s="4" t="b">
        <f t="shared" si="1"/>
        <v>0</v>
      </c>
      <c r="E1615" s="4"/>
    </row>
    <row r="1616">
      <c r="A1616" s="3" t="s">
        <v>1848</v>
      </c>
      <c r="B1616" s="3">
        <v>1128560.0</v>
      </c>
      <c r="C1616" s="3" t="s">
        <v>37</v>
      </c>
      <c r="D1616" s="4" t="b">
        <f t="shared" si="1"/>
        <v>0</v>
      </c>
      <c r="E1616" s="4"/>
    </row>
    <row r="1617">
      <c r="A1617" s="4"/>
      <c r="B1617" s="4"/>
      <c r="C1617" s="3" t="s">
        <v>38</v>
      </c>
      <c r="D1617" s="4" t="b">
        <f t="shared" si="1"/>
        <v>1</v>
      </c>
      <c r="E1617" s="4"/>
    </row>
    <row r="1618">
      <c r="A1618" s="3" t="s">
        <v>1850</v>
      </c>
      <c r="B1618" s="3">
        <v>10000.0</v>
      </c>
      <c r="C1618" s="3" t="s">
        <v>26</v>
      </c>
      <c r="D1618" s="4" t="b">
        <f t="shared" si="1"/>
        <v>0</v>
      </c>
      <c r="E1618" s="4"/>
    </row>
    <row r="1619">
      <c r="A1619" s="3" t="s">
        <v>1851</v>
      </c>
      <c r="B1619" s="3">
        <v>819458.0</v>
      </c>
      <c r="C1619" s="3" t="s">
        <v>37</v>
      </c>
      <c r="D1619" s="4" t="b">
        <f t="shared" si="1"/>
        <v>0</v>
      </c>
      <c r="E1619" s="4"/>
    </row>
    <row r="1620">
      <c r="A1620" s="4"/>
      <c r="B1620" s="4"/>
      <c r="C1620" s="3" t="s">
        <v>38</v>
      </c>
      <c r="D1620" s="4" t="b">
        <f t="shared" si="1"/>
        <v>1</v>
      </c>
      <c r="E1620" s="4"/>
    </row>
    <row r="1621">
      <c r="A1621" s="3" t="s">
        <v>1853</v>
      </c>
      <c r="B1621" s="3">
        <v>1000.0</v>
      </c>
      <c r="C1621" s="4"/>
      <c r="D1621" s="4" t="b">
        <f t="shared" si="1"/>
        <v>0</v>
      </c>
      <c r="E1621" s="4"/>
    </row>
    <row r="1622">
      <c r="A1622" s="3" t="s">
        <v>1854</v>
      </c>
      <c r="B1622" s="3">
        <v>0.0</v>
      </c>
      <c r="C1622" s="3" t="s">
        <v>6</v>
      </c>
      <c r="D1622" s="4" t="b">
        <f t="shared" si="1"/>
        <v>0</v>
      </c>
      <c r="E1622" s="4"/>
    </row>
    <row r="1623">
      <c r="A1623" s="3" t="s">
        <v>1855</v>
      </c>
      <c r="B1623" s="3">
        <v>0.0</v>
      </c>
      <c r="C1623" s="3" t="s">
        <v>29</v>
      </c>
      <c r="D1623" s="4" t="b">
        <f t="shared" si="1"/>
        <v>0</v>
      </c>
      <c r="E1623" s="4"/>
    </row>
    <row r="1624">
      <c r="A1624" s="3" t="s">
        <v>1856</v>
      </c>
      <c r="B1624" s="3">
        <v>0.0</v>
      </c>
      <c r="C1624" s="3" t="s">
        <v>3</v>
      </c>
      <c r="D1624" s="4" t="b">
        <f t="shared" si="1"/>
        <v>0</v>
      </c>
      <c r="E1624" s="4"/>
    </row>
    <row r="1625">
      <c r="A1625" s="3" t="s">
        <v>1857</v>
      </c>
      <c r="B1625" s="4"/>
      <c r="C1625" s="4"/>
      <c r="D1625" s="4" t="b">
        <f t="shared" si="1"/>
        <v>1</v>
      </c>
      <c r="E1625" s="4"/>
    </row>
    <row r="1626">
      <c r="A1626" s="3" t="s">
        <v>1858</v>
      </c>
      <c r="B1626" s="3">
        <v>4000.0</v>
      </c>
      <c r="C1626" s="4"/>
      <c r="D1626" s="4" t="b">
        <f t="shared" si="1"/>
        <v>0</v>
      </c>
      <c r="E1626" s="4"/>
    </row>
    <row r="1627">
      <c r="A1627" s="3" t="s">
        <v>1859</v>
      </c>
      <c r="B1627" s="3">
        <v>19000.0</v>
      </c>
      <c r="C1627" s="4"/>
      <c r="D1627" s="4" t="b">
        <f t="shared" si="1"/>
        <v>0</v>
      </c>
      <c r="E1627" s="4"/>
    </row>
    <row r="1628">
      <c r="A1628" s="3" t="s">
        <v>1860</v>
      </c>
      <c r="B1628" s="3">
        <v>2000.0</v>
      </c>
      <c r="C1628" s="4"/>
      <c r="D1628" s="4" t="b">
        <f t="shared" si="1"/>
        <v>0</v>
      </c>
      <c r="E1628" s="4"/>
    </row>
    <row r="1629">
      <c r="A1629" s="3" t="s">
        <v>1861</v>
      </c>
      <c r="B1629" s="3">
        <v>0.0</v>
      </c>
      <c r="C1629" s="3" t="s">
        <v>3</v>
      </c>
      <c r="D1629" s="4" t="b">
        <f t="shared" si="1"/>
        <v>0</v>
      </c>
      <c r="E1629" s="4"/>
    </row>
    <row r="1630">
      <c r="A1630" s="3" t="s">
        <v>1862</v>
      </c>
      <c r="B1630" s="3">
        <v>2000.0</v>
      </c>
      <c r="C1630" s="3" t="s">
        <v>32</v>
      </c>
      <c r="D1630" s="4" t="b">
        <f t="shared" si="1"/>
        <v>0</v>
      </c>
      <c r="E1630" s="4"/>
    </row>
    <row r="1631">
      <c r="A1631" s="3" t="s">
        <v>1863</v>
      </c>
      <c r="B1631" s="3">
        <v>0.0</v>
      </c>
      <c r="C1631" s="3" t="s">
        <v>6</v>
      </c>
      <c r="D1631" s="4" t="b">
        <f t="shared" si="1"/>
        <v>0</v>
      </c>
      <c r="E1631" s="4"/>
    </row>
    <row r="1632">
      <c r="A1632" s="3" t="s">
        <v>1864</v>
      </c>
      <c r="B1632" s="3">
        <v>0.0</v>
      </c>
      <c r="C1632" s="3" t="s">
        <v>6</v>
      </c>
      <c r="D1632" s="4" t="b">
        <f t="shared" si="1"/>
        <v>0</v>
      </c>
      <c r="E1632" s="4"/>
    </row>
    <row r="1633">
      <c r="A1633" s="3" t="s">
        <v>1865</v>
      </c>
      <c r="B1633" s="3">
        <v>0.0</v>
      </c>
      <c r="C1633" s="3" t="s">
        <v>32</v>
      </c>
      <c r="D1633" s="4" t="b">
        <f t="shared" si="1"/>
        <v>0</v>
      </c>
      <c r="E1633" s="4"/>
    </row>
    <row r="1634">
      <c r="A1634" s="3" t="s">
        <v>1866</v>
      </c>
      <c r="B1634" s="3">
        <v>0.0</v>
      </c>
      <c r="C1634" s="3" t="s">
        <v>3</v>
      </c>
      <c r="D1634" s="4" t="b">
        <f t="shared" si="1"/>
        <v>0</v>
      </c>
      <c r="E1634" s="4"/>
    </row>
    <row r="1635">
      <c r="A1635" s="3" t="s">
        <v>1867</v>
      </c>
      <c r="B1635" s="3">
        <v>0.0</v>
      </c>
      <c r="C1635" s="3" t="s">
        <v>3</v>
      </c>
      <c r="D1635" s="4" t="b">
        <f t="shared" si="1"/>
        <v>0</v>
      </c>
      <c r="E1635" s="4"/>
    </row>
    <row r="1636">
      <c r="A1636" s="3" t="s">
        <v>1868</v>
      </c>
      <c r="B1636" s="3">
        <v>0.0</v>
      </c>
      <c r="C1636" s="3" t="s">
        <v>26</v>
      </c>
      <c r="D1636" s="4" t="b">
        <f t="shared" si="1"/>
        <v>0</v>
      </c>
      <c r="E1636" s="4"/>
    </row>
    <row r="1637">
      <c r="A1637" s="3" t="s">
        <v>1869</v>
      </c>
      <c r="B1637" s="3">
        <v>0.0</v>
      </c>
      <c r="C1637" s="3" t="s">
        <v>3</v>
      </c>
      <c r="D1637" s="4" t="b">
        <f t="shared" si="1"/>
        <v>0</v>
      </c>
      <c r="E1637" s="4"/>
    </row>
    <row r="1638">
      <c r="A1638" s="3" t="s">
        <v>1870</v>
      </c>
      <c r="B1638" s="3">
        <v>0.0</v>
      </c>
      <c r="C1638" s="3" t="s">
        <v>3</v>
      </c>
      <c r="D1638" s="4" t="b">
        <f t="shared" si="1"/>
        <v>0</v>
      </c>
      <c r="E1638" s="4"/>
    </row>
    <row r="1639">
      <c r="A1639" s="3" t="s">
        <v>1871</v>
      </c>
      <c r="B1639" s="3">
        <v>0.0</v>
      </c>
      <c r="C1639" s="3" t="s">
        <v>3</v>
      </c>
      <c r="D1639" s="4" t="b">
        <f t="shared" si="1"/>
        <v>0</v>
      </c>
      <c r="E1639" s="4"/>
    </row>
    <row r="1640">
      <c r="A1640" s="3" t="s">
        <v>1872</v>
      </c>
      <c r="B1640" s="3">
        <v>0.0</v>
      </c>
      <c r="C1640" s="3" t="s">
        <v>3</v>
      </c>
      <c r="D1640" s="4" t="b">
        <f t="shared" si="1"/>
        <v>0</v>
      </c>
      <c r="E1640" s="4"/>
    </row>
    <row r="1641">
      <c r="A1641" s="3" t="s">
        <v>1873</v>
      </c>
      <c r="B1641" s="4"/>
      <c r="C1641" s="4"/>
      <c r="D1641" s="4" t="b">
        <f t="shared" si="1"/>
        <v>1</v>
      </c>
      <c r="E1641" s="4"/>
    </row>
    <row r="1642">
      <c r="A1642" s="3" t="s">
        <v>1874</v>
      </c>
      <c r="B1642" s="3">
        <v>3000.0</v>
      </c>
      <c r="C1642" s="3" t="s">
        <v>29</v>
      </c>
      <c r="D1642" s="4" t="b">
        <f t="shared" si="1"/>
        <v>0</v>
      </c>
      <c r="E1642" s="4"/>
    </row>
    <row r="1643">
      <c r="A1643" s="3" t="s">
        <v>1875</v>
      </c>
      <c r="B1643" s="3">
        <v>0.0</v>
      </c>
      <c r="C1643" s="3" t="s">
        <v>32</v>
      </c>
      <c r="D1643" s="4" t="b">
        <f t="shared" si="1"/>
        <v>0</v>
      </c>
      <c r="E1643" s="4"/>
    </row>
    <row r="1644">
      <c r="A1644" s="3" t="s">
        <v>1876</v>
      </c>
      <c r="B1644" s="3">
        <v>0.0</v>
      </c>
      <c r="C1644" s="3" t="s">
        <v>3</v>
      </c>
      <c r="D1644" s="4" t="b">
        <f t="shared" si="1"/>
        <v>0</v>
      </c>
      <c r="E1644" s="4"/>
    </row>
    <row r="1645">
      <c r="A1645" s="3" t="s">
        <v>1877</v>
      </c>
      <c r="B1645" s="3">
        <v>0.0</v>
      </c>
      <c r="C1645" s="3" t="s">
        <v>3</v>
      </c>
      <c r="D1645" s="4" t="b">
        <f t="shared" si="1"/>
        <v>0</v>
      </c>
      <c r="E1645" s="4"/>
    </row>
    <row r="1646">
      <c r="A1646" s="3" t="s">
        <v>1878</v>
      </c>
      <c r="B1646" s="3">
        <v>0.0</v>
      </c>
      <c r="C1646" s="3" t="s">
        <v>3</v>
      </c>
      <c r="D1646" s="4" t="b">
        <f t="shared" si="1"/>
        <v>0</v>
      </c>
      <c r="E1646" s="4"/>
    </row>
    <row r="1647">
      <c r="A1647" s="3" t="s">
        <v>1879</v>
      </c>
      <c r="B1647" s="3">
        <v>0.0</v>
      </c>
      <c r="C1647" s="3" t="s">
        <v>6</v>
      </c>
      <c r="D1647" s="4" t="b">
        <f t="shared" si="1"/>
        <v>0</v>
      </c>
      <c r="E1647" s="4"/>
    </row>
    <row r="1648">
      <c r="A1648" s="3" t="s">
        <v>1880</v>
      </c>
      <c r="B1648" s="3">
        <v>10000.0</v>
      </c>
      <c r="C1648" s="3" t="s">
        <v>3</v>
      </c>
      <c r="D1648" s="4" t="b">
        <f t="shared" si="1"/>
        <v>0</v>
      </c>
      <c r="E1648" s="4"/>
    </row>
    <row r="1649">
      <c r="A1649" s="3" t="s">
        <v>1881</v>
      </c>
      <c r="B1649" s="3">
        <v>0.0</v>
      </c>
      <c r="C1649" s="3" t="s">
        <v>3</v>
      </c>
      <c r="D1649" s="4" t="b">
        <f t="shared" si="1"/>
        <v>0</v>
      </c>
      <c r="E1649" s="4"/>
    </row>
    <row r="1650">
      <c r="A1650" s="3" t="s">
        <v>1882</v>
      </c>
      <c r="B1650" s="3">
        <v>0.0</v>
      </c>
      <c r="C1650" s="3" t="s">
        <v>32</v>
      </c>
      <c r="D1650" s="4" t="b">
        <f t="shared" si="1"/>
        <v>0</v>
      </c>
      <c r="E1650" s="4"/>
    </row>
    <row r="1651">
      <c r="A1651" s="3" t="s">
        <v>1883</v>
      </c>
      <c r="B1651" s="3">
        <v>0.0</v>
      </c>
      <c r="C1651" s="3" t="s">
        <v>3</v>
      </c>
      <c r="D1651" s="4" t="b">
        <f t="shared" si="1"/>
        <v>0</v>
      </c>
      <c r="E1651" s="4"/>
    </row>
    <row r="1652">
      <c r="A1652" s="3" t="s">
        <v>1884</v>
      </c>
      <c r="B1652" s="3">
        <v>52250.0</v>
      </c>
      <c r="C1652" s="4"/>
      <c r="D1652" s="4" t="b">
        <f t="shared" si="1"/>
        <v>0</v>
      </c>
      <c r="E1652" s="4"/>
    </row>
    <row r="1653">
      <c r="A1653" s="3" t="s">
        <v>1886</v>
      </c>
      <c r="B1653" s="3">
        <v>2000.0</v>
      </c>
      <c r="C1653" s="4"/>
      <c r="D1653" s="4" t="b">
        <f t="shared" si="1"/>
        <v>0</v>
      </c>
      <c r="E1653" s="4"/>
    </row>
    <row r="1654">
      <c r="A1654" s="3" t="s">
        <v>1887</v>
      </c>
      <c r="B1654" s="3">
        <v>0.0</v>
      </c>
      <c r="C1654" s="3" t="s">
        <v>6</v>
      </c>
      <c r="D1654" s="4" t="b">
        <f t="shared" si="1"/>
        <v>0</v>
      </c>
      <c r="E1654" s="4"/>
    </row>
    <row r="1655">
      <c r="A1655" s="3" t="s">
        <v>1888</v>
      </c>
      <c r="B1655" s="3">
        <v>1646816.0</v>
      </c>
      <c r="C1655" s="3" t="s">
        <v>16</v>
      </c>
      <c r="D1655" s="4" t="b">
        <f t="shared" si="1"/>
        <v>0</v>
      </c>
      <c r="E1655" s="4"/>
    </row>
    <row r="1656">
      <c r="A1656" s="3" t="s">
        <v>1890</v>
      </c>
      <c r="B1656" s="3">
        <v>8000.0</v>
      </c>
      <c r="C1656" s="3" t="s">
        <v>3</v>
      </c>
      <c r="D1656" s="4" t="b">
        <f t="shared" si="1"/>
        <v>0</v>
      </c>
      <c r="E1656" s="4"/>
    </row>
    <row r="1657">
      <c r="A1657" s="3" t="s">
        <v>1891</v>
      </c>
      <c r="B1657" s="3">
        <v>0.0</v>
      </c>
      <c r="C1657" s="3" t="s">
        <v>3</v>
      </c>
      <c r="D1657" s="4" t="b">
        <f t="shared" si="1"/>
        <v>0</v>
      </c>
      <c r="E1657" s="4"/>
    </row>
    <row r="1658">
      <c r="A1658" s="3" t="s">
        <v>1892</v>
      </c>
      <c r="B1658" s="3">
        <v>0.0</v>
      </c>
      <c r="C1658" s="3" t="s">
        <v>3</v>
      </c>
      <c r="D1658" s="4" t="b">
        <f t="shared" si="1"/>
        <v>0</v>
      </c>
      <c r="E1658" s="4"/>
    </row>
    <row r="1659">
      <c r="A1659" s="3" t="s">
        <v>1893</v>
      </c>
      <c r="B1659" s="3">
        <v>0.0</v>
      </c>
      <c r="C1659" s="3" t="s">
        <v>3</v>
      </c>
      <c r="D1659" s="4" t="b">
        <f t="shared" si="1"/>
        <v>0</v>
      </c>
      <c r="E1659" s="4"/>
    </row>
    <row r="1660">
      <c r="A1660" s="3" t="s">
        <v>1894</v>
      </c>
      <c r="B1660" s="3">
        <v>0.0</v>
      </c>
      <c r="C1660" s="3" t="s">
        <v>3</v>
      </c>
      <c r="D1660" s="4" t="b">
        <f t="shared" si="1"/>
        <v>0</v>
      </c>
      <c r="E1660" s="4"/>
    </row>
    <row r="1661">
      <c r="A1661" s="3" t="s">
        <v>1895</v>
      </c>
      <c r="B1661" s="3">
        <v>3000.0</v>
      </c>
      <c r="C1661" s="3" t="s">
        <v>1651</v>
      </c>
      <c r="D1661" s="4" t="b">
        <f t="shared" si="1"/>
        <v>0</v>
      </c>
      <c r="E1661" s="4"/>
    </row>
    <row r="1662">
      <c r="A1662" s="3" t="s">
        <v>1896</v>
      </c>
      <c r="B1662" s="3">
        <v>6500.0</v>
      </c>
      <c r="C1662" s="4"/>
      <c r="D1662" s="4" t="b">
        <f t="shared" si="1"/>
        <v>0</v>
      </c>
      <c r="E1662" s="4"/>
    </row>
    <row r="1663">
      <c r="A1663" s="3" t="s">
        <v>1897</v>
      </c>
      <c r="B1663" s="3">
        <v>2200.0</v>
      </c>
      <c r="C1663" s="3" t="s">
        <v>3</v>
      </c>
      <c r="D1663" s="4" t="b">
        <f t="shared" si="1"/>
        <v>0</v>
      </c>
      <c r="E1663" s="4"/>
    </row>
    <row r="1664">
      <c r="A1664" s="3" t="s">
        <v>1898</v>
      </c>
      <c r="B1664" s="3">
        <v>0.0</v>
      </c>
      <c r="C1664" s="3" t="s">
        <v>3</v>
      </c>
      <c r="D1664" s="4" t="b">
        <f t="shared" si="1"/>
        <v>0</v>
      </c>
      <c r="E1664" s="4"/>
    </row>
    <row r="1665">
      <c r="A1665" s="3" t="s">
        <v>1899</v>
      </c>
      <c r="B1665" s="3">
        <v>1000.0</v>
      </c>
      <c r="C1665" s="3" t="s">
        <v>3</v>
      </c>
      <c r="D1665" s="4" t="b">
        <f t="shared" si="1"/>
        <v>0</v>
      </c>
      <c r="E1665" s="4"/>
    </row>
    <row r="1666">
      <c r="A1666" s="3" t="s">
        <v>1900</v>
      </c>
      <c r="B1666" s="3">
        <v>0.0</v>
      </c>
      <c r="C1666" s="3" t="s">
        <v>3</v>
      </c>
      <c r="D1666" s="4" t="b">
        <f t="shared" si="1"/>
        <v>0</v>
      </c>
      <c r="E1666" s="4"/>
    </row>
    <row r="1667">
      <c r="A1667" s="3" t="s">
        <v>1901</v>
      </c>
      <c r="B1667" s="3">
        <v>0.0</v>
      </c>
      <c r="C1667" s="3" t="s">
        <v>3</v>
      </c>
      <c r="D1667" s="4" t="b">
        <f t="shared" si="1"/>
        <v>0</v>
      </c>
      <c r="E1667" s="4"/>
    </row>
    <row r="1668">
      <c r="A1668" s="3" t="s">
        <v>1902</v>
      </c>
      <c r="B1668" s="3">
        <v>25000.0</v>
      </c>
      <c r="C1668" s="4"/>
      <c r="D1668" s="4" t="b">
        <f t="shared" si="1"/>
        <v>0</v>
      </c>
      <c r="E1668" s="4"/>
    </row>
    <row r="1669">
      <c r="A1669" s="3" t="s">
        <v>1903</v>
      </c>
      <c r="B1669" s="3">
        <v>32987.75</v>
      </c>
      <c r="C1669" s="3" t="s">
        <v>280</v>
      </c>
      <c r="D1669" s="4" t="b">
        <f t="shared" si="1"/>
        <v>0</v>
      </c>
      <c r="E1669" s="4"/>
    </row>
    <row r="1670">
      <c r="A1670" s="3" t="s">
        <v>1905</v>
      </c>
      <c r="B1670" s="3">
        <v>0.0</v>
      </c>
      <c r="C1670" s="3" t="s">
        <v>3</v>
      </c>
      <c r="D1670" s="4" t="b">
        <f t="shared" si="1"/>
        <v>0</v>
      </c>
      <c r="E1670" s="4"/>
    </row>
    <row r="1671">
      <c r="A1671" s="3" t="s">
        <v>1906</v>
      </c>
      <c r="B1671" s="3">
        <v>0.0</v>
      </c>
      <c r="C1671" s="3" t="s">
        <v>32</v>
      </c>
      <c r="D1671" s="4" t="b">
        <f t="shared" si="1"/>
        <v>0</v>
      </c>
      <c r="E1671" s="4"/>
    </row>
    <row r="1672">
      <c r="A1672" s="3" t="s">
        <v>1907</v>
      </c>
      <c r="B1672" s="3">
        <v>12000.0</v>
      </c>
      <c r="C1672" s="4"/>
      <c r="D1672" s="4" t="b">
        <f t="shared" si="1"/>
        <v>0</v>
      </c>
      <c r="E1672" s="4"/>
    </row>
    <row r="1673">
      <c r="A1673" s="3" t="s">
        <v>1908</v>
      </c>
      <c r="B1673" s="3">
        <v>0.0</v>
      </c>
      <c r="C1673" s="3" t="s">
        <v>3</v>
      </c>
      <c r="D1673" s="4" t="b">
        <f t="shared" si="1"/>
        <v>0</v>
      </c>
      <c r="E1673" s="4"/>
    </row>
    <row r="1674">
      <c r="A1674" s="3" t="s">
        <v>1909</v>
      </c>
      <c r="B1674" s="3">
        <v>500.0</v>
      </c>
      <c r="C1674" s="4"/>
      <c r="D1674" s="4" t="b">
        <f t="shared" si="1"/>
        <v>0</v>
      </c>
      <c r="E1674" s="4"/>
    </row>
    <row r="1675">
      <c r="A1675" s="3" t="s">
        <v>1910</v>
      </c>
      <c r="B1675" s="3">
        <v>500.0</v>
      </c>
      <c r="C1675" s="4"/>
      <c r="D1675" s="4" t="b">
        <f t="shared" si="1"/>
        <v>0</v>
      </c>
      <c r="E1675" s="4"/>
    </row>
    <row r="1676">
      <c r="A1676" s="3" t="s">
        <v>1911</v>
      </c>
      <c r="B1676" s="3">
        <v>6500.0</v>
      </c>
      <c r="C1676" s="4"/>
      <c r="D1676" s="4" t="b">
        <f t="shared" si="1"/>
        <v>0</v>
      </c>
      <c r="E1676" s="4"/>
    </row>
    <row r="1677">
      <c r="A1677" s="3" t="s">
        <v>1912</v>
      </c>
      <c r="B1677" s="3">
        <v>400.0</v>
      </c>
      <c r="C1677" s="4"/>
      <c r="D1677" s="4" t="b">
        <f t="shared" si="1"/>
        <v>0</v>
      </c>
      <c r="E1677" s="4"/>
    </row>
    <row r="1678">
      <c r="A1678" s="3" t="s">
        <v>1913</v>
      </c>
      <c r="B1678" s="3">
        <v>0.0</v>
      </c>
      <c r="C1678" s="3" t="s">
        <v>3</v>
      </c>
      <c r="D1678" s="4" t="b">
        <f t="shared" si="1"/>
        <v>0</v>
      </c>
      <c r="E1678" s="4"/>
    </row>
    <row r="1679">
      <c r="A1679" s="3" t="s">
        <v>1914</v>
      </c>
      <c r="B1679" s="3">
        <v>0.0</v>
      </c>
      <c r="C1679" s="3" t="s">
        <v>3</v>
      </c>
      <c r="D1679" s="4" t="b">
        <f t="shared" si="1"/>
        <v>0</v>
      </c>
      <c r="E1679" s="4"/>
    </row>
    <row r="1680">
      <c r="A1680" s="3" t="s">
        <v>1915</v>
      </c>
      <c r="B1680" s="3">
        <v>0.0</v>
      </c>
      <c r="C1680" s="3" t="s">
        <v>3</v>
      </c>
      <c r="D1680" s="4" t="b">
        <f t="shared" si="1"/>
        <v>0</v>
      </c>
      <c r="E1680" s="4"/>
    </row>
    <row r="1681">
      <c r="A1681" s="3" t="s">
        <v>1916</v>
      </c>
      <c r="B1681" s="3">
        <v>0.0</v>
      </c>
      <c r="C1681" s="3" t="s">
        <v>3</v>
      </c>
      <c r="D1681" s="4" t="b">
        <f t="shared" si="1"/>
        <v>0</v>
      </c>
      <c r="E1681" s="4"/>
    </row>
    <row r="1682">
      <c r="A1682" s="3" t="s">
        <v>1917</v>
      </c>
      <c r="B1682" s="3">
        <v>0.0</v>
      </c>
      <c r="C1682" s="3" t="s">
        <v>3</v>
      </c>
      <c r="D1682" s="4" t="b">
        <f t="shared" si="1"/>
        <v>0</v>
      </c>
      <c r="E1682" s="4"/>
    </row>
    <row r="1683">
      <c r="A1683" s="3" t="s">
        <v>1918</v>
      </c>
      <c r="B1683" s="3">
        <v>83680.0</v>
      </c>
      <c r="C1683" s="3" t="s">
        <v>26</v>
      </c>
      <c r="D1683" s="4" t="b">
        <f t="shared" si="1"/>
        <v>0</v>
      </c>
      <c r="E1683" s="4"/>
    </row>
    <row r="1684">
      <c r="A1684" s="3" t="s">
        <v>1920</v>
      </c>
      <c r="B1684" s="3">
        <v>7800.0</v>
      </c>
      <c r="C1684" s="4"/>
      <c r="D1684" s="4" t="b">
        <f t="shared" si="1"/>
        <v>0</v>
      </c>
      <c r="E1684" s="4"/>
    </row>
    <row r="1685">
      <c r="A1685" s="3" t="s">
        <v>1921</v>
      </c>
      <c r="B1685" s="4"/>
      <c r="C1685" s="4"/>
      <c r="D1685" s="4" t="b">
        <f t="shared" si="1"/>
        <v>1</v>
      </c>
      <c r="E1685" s="4"/>
    </row>
    <row r="1686">
      <c r="A1686" s="3" t="s">
        <v>1922</v>
      </c>
      <c r="B1686" s="3">
        <v>0.0</v>
      </c>
      <c r="C1686" s="3" t="s">
        <v>29</v>
      </c>
      <c r="D1686" s="4" t="b">
        <f t="shared" si="1"/>
        <v>0</v>
      </c>
      <c r="E1686" s="4"/>
    </row>
    <row r="1687">
      <c r="A1687" s="3" t="s">
        <v>1923</v>
      </c>
      <c r="B1687" s="3">
        <v>0.0</v>
      </c>
      <c r="C1687" s="3" t="s">
        <v>6</v>
      </c>
      <c r="D1687" s="4" t="b">
        <f t="shared" si="1"/>
        <v>0</v>
      </c>
      <c r="E1687" s="4"/>
    </row>
    <row r="1688">
      <c r="A1688" s="3" t="s">
        <v>1924</v>
      </c>
      <c r="B1688" s="3">
        <v>6800.0</v>
      </c>
      <c r="C1688" s="4"/>
      <c r="D1688" s="4" t="b">
        <f t="shared" si="1"/>
        <v>0</v>
      </c>
      <c r="E1688" s="4"/>
    </row>
    <row r="1689">
      <c r="A1689" s="3" t="s">
        <v>1926</v>
      </c>
      <c r="B1689" s="4"/>
      <c r="C1689" s="4"/>
      <c r="D1689" s="4" t="b">
        <f t="shared" si="1"/>
        <v>1</v>
      </c>
      <c r="E1689" s="4"/>
    </row>
    <row r="1690">
      <c r="A1690" s="3" t="s">
        <v>1927</v>
      </c>
      <c r="B1690" s="3">
        <v>2500.0</v>
      </c>
      <c r="C1690" s="4"/>
      <c r="D1690" s="4" t="b">
        <f t="shared" si="1"/>
        <v>0</v>
      </c>
      <c r="E1690" s="4"/>
    </row>
    <row r="1691">
      <c r="A1691" s="3" t="s">
        <v>1928</v>
      </c>
      <c r="B1691" s="4"/>
      <c r="C1691" s="4"/>
      <c r="D1691" s="4" t="b">
        <f t="shared" si="1"/>
        <v>1</v>
      </c>
      <c r="E1691" s="4"/>
    </row>
    <row r="1692">
      <c r="A1692" s="3" t="s">
        <v>1929</v>
      </c>
      <c r="B1692" s="3">
        <v>8000.0</v>
      </c>
      <c r="C1692" s="4"/>
      <c r="D1692" s="4" t="b">
        <f t="shared" si="1"/>
        <v>0</v>
      </c>
      <c r="E1692" s="4"/>
    </row>
    <row r="1693">
      <c r="A1693" s="3" t="s">
        <v>1930</v>
      </c>
      <c r="B1693" s="4"/>
      <c r="C1693" s="4"/>
      <c r="D1693" s="4" t="b">
        <f t="shared" si="1"/>
        <v>1</v>
      </c>
      <c r="E1693" s="4"/>
    </row>
    <row r="1694">
      <c r="A1694" s="3" t="s">
        <v>1931</v>
      </c>
      <c r="B1694" s="3">
        <v>1500.0</v>
      </c>
      <c r="C1694" s="3" t="s">
        <v>3</v>
      </c>
      <c r="D1694" s="4" t="b">
        <f t="shared" si="1"/>
        <v>0</v>
      </c>
      <c r="E1694" s="4"/>
    </row>
    <row r="1695">
      <c r="A1695" s="3" t="s">
        <v>1932</v>
      </c>
      <c r="B1695" s="3">
        <v>15000.0</v>
      </c>
      <c r="C1695" s="4"/>
      <c r="D1695" s="4" t="b">
        <f t="shared" si="1"/>
        <v>0</v>
      </c>
      <c r="E1695" s="4"/>
    </row>
    <row r="1696">
      <c r="A1696" s="3" t="s">
        <v>1933</v>
      </c>
      <c r="B1696" s="3">
        <v>400.0</v>
      </c>
      <c r="C1696" s="4"/>
      <c r="D1696" s="4" t="b">
        <f t="shared" si="1"/>
        <v>0</v>
      </c>
      <c r="E1696" s="4"/>
    </row>
    <row r="1697">
      <c r="A1697" s="3" t="s">
        <v>1934</v>
      </c>
      <c r="B1697" s="4"/>
      <c r="C1697" s="4"/>
      <c r="D1697" s="4" t="b">
        <f t="shared" si="1"/>
        <v>1</v>
      </c>
      <c r="E1697" s="4"/>
    </row>
    <row r="1698">
      <c r="A1698" s="3" t="s">
        <v>1935</v>
      </c>
      <c r="B1698" s="3">
        <v>500.0</v>
      </c>
      <c r="C1698" s="4"/>
      <c r="D1698" s="4" t="b">
        <f t="shared" si="1"/>
        <v>0</v>
      </c>
      <c r="E1698" s="4"/>
    </row>
    <row r="1699">
      <c r="A1699" s="3">
        <v>33.0</v>
      </c>
      <c r="B1699" s="4"/>
      <c r="C1699" s="4"/>
      <c r="D1699" s="4" t="b">
        <f t="shared" si="1"/>
        <v>1</v>
      </c>
      <c r="E1699" s="4"/>
    </row>
    <row r="1700">
      <c r="A1700" s="3" t="s">
        <v>1936</v>
      </c>
      <c r="B1700" s="3">
        <v>0.0</v>
      </c>
      <c r="C1700" s="3" t="s">
        <v>6</v>
      </c>
      <c r="D1700" s="4" t="b">
        <f t="shared" si="1"/>
        <v>0</v>
      </c>
      <c r="E1700" s="4"/>
    </row>
    <row r="1701">
      <c r="A1701" s="3" t="s">
        <v>1937</v>
      </c>
      <c r="B1701" s="3">
        <v>0.0</v>
      </c>
      <c r="C1701" s="3" t="s">
        <v>3</v>
      </c>
      <c r="D1701" s="4" t="b">
        <f t="shared" si="1"/>
        <v>0</v>
      </c>
      <c r="E1701" s="4"/>
    </row>
    <row r="1702">
      <c r="A1702" s="3" t="s">
        <v>1938</v>
      </c>
      <c r="B1702" s="3">
        <v>6100.0</v>
      </c>
      <c r="C1702" s="4"/>
      <c r="D1702" s="4" t="b">
        <f t="shared" si="1"/>
        <v>0</v>
      </c>
      <c r="E1702" s="4"/>
    </row>
    <row r="1703">
      <c r="A1703" s="3" t="s">
        <v>1940</v>
      </c>
      <c r="B1703" s="3">
        <v>0.0</v>
      </c>
      <c r="C1703" s="3" t="s">
        <v>6</v>
      </c>
      <c r="D1703" s="4" t="b">
        <f t="shared" si="1"/>
        <v>0</v>
      </c>
      <c r="E1703" s="4"/>
    </row>
    <row r="1704">
      <c r="A1704" s="3" t="s">
        <v>823</v>
      </c>
      <c r="B1704" s="4"/>
      <c r="C1704" s="4"/>
      <c r="D1704" s="4" t="b">
        <f t="shared" si="1"/>
        <v>1</v>
      </c>
      <c r="E1704" s="4"/>
    </row>
    <row r="1705">
      <c r="A1705" s="3" t="s">
        <v>1941</v>
      </c>
      <c r="B1705" s="3">
        <v>0.0</v>
      </c>
      <c r="C1705" s="3" t="s">
        <v>3</v>
      </c>
      <c r="D1705" s="4" t="b">
        <f t="shared" si="1"/>
        <v>0</v>
      </c>
      <c r="E1705" s="4"/>
    </row>
    <row r="1706">
      <c r="A1706" s="3" t="s">
        <v>1942</v>
      </c>
      <c r="B1706" s="4"/>
      <c r="C1706" s="4"/>
      <c r="D1706" s="4" t="b">
        <f t="shared" si="1"/>
        <v>1</v>
      </c>
      <c r="E1706" s="4"/>
    </row>
    <row r="1707">
      <c r="A1707" s="3" t="s">
        <v>1943</v>
      </c>
      <c r="B1707" s="3">
        <v>2000.0</v>
      </c>
      <c r="C1707" s="4"/>
      <c r="D1707" s="4" t="b">
        <f t="shared" si="1"/>
        <v>0</v>
      </c>
      <c r="E1707" s="4"/>
    </row>
    <row r="1708">
      <c r="A1708" s="3" t="s">
        <v>1944</v>
      </c>
      <c r="B1708" s="3">
        <v>500.0</v>
      </c>
      <c r="C1708" s="4"/>
      <c r="D1708" s="4" t="b">
        <f t="shared" si="1"/>
        <v>0</v>
      </c>
      <c r="E1708" s="4"/>
    </row>
    <row r="1709">
      <c r="A1709" s="3" t="s">
        <v>1945</v>
      </c>
      <c r="B1709" s="3">
        <v>0.0</v>
      </c>
      <c r="C1709" s="3" t="s">
        <v>3</v>
      </c>
      <c r="D1709" s="4" t="b">
        <f t="shared" si="1"/>
        <v>0</v>
      </c>
      <c r="E1709" s="4"/>
    </row>
    <row r="1710">
      <c r="A1710" s="3" t="s">
        <v>1946</v>
      </c>
      <c r="B1710" s="4"/>
      <c r="C1710" s="4"/>
      <c r="D1710" s="4" t="b">
        <f t="shared" si="1"/>
        <v>1</v>
      </c>
      <c r="E1710" s="4"/>
    </row>
    <row r="1711">
      <c r="A1711" s="3" t="s">
        <v>1947</v>
      </c>
      <c r="B1711" s="3">
        <v>400.0</v>
      </c>
      <c r="C1711" s="3" t="s">
        <v>6</v>
      </c>
      <c r="D1711" s="4" t="b">
        <f t="shared" si="1"/>
        <v>0</v>
      </c>
      <c r="E1711" s="4"/>
    </row>
    <row r="1712">
      <c r="A1712" s="3" t="s">
        <v>1948</v>
      </c>
      <c r="B1712" s="4"/>
      <c r="C1712" s="4"/>
      <c r="D1712" s="4" t="b">
        <f t="shared" si="1"/>
        <v>1</v>
      </c>
      <c r="E1712" s="4"/>
    </row>
    <row r="1713">
      <c r="A1713" s="3" t="s">
        <v>1949</v>
      </c>
      <c r="B1713" s="3">
        <v>700.0</v>
      </c>
      <c r="C1713" s="3" t="s">
        <v>3</v>
      </c>
      <c r="D1713" s="4" t="b">
        <f t="shared" si="1"/>
        <v>0</v>
      </c>
      <c r="E1713" s="4"/>
    </row>
    <row r="1714">
      <c r="A1714" s="3" t="s">
        <v>1950</v>
      </c>
      <c r="B1714" s="4"/>
      <c r="C1714" s="4"/>
      <c r="D1714" s="4" t="b">
        <f t="shared" si="1"/>
        <v>1</v>
      </c>
      <c r="E1714" s="4"/>
    </row>
    <row r="1715">
      <c r="A1715" s="3" t="s">
        <v>1951</v>
      </c>
      <c r="B1715" s="3">
        <v>0.0</v>
      </c>
      <c r="C1715" s="3" t="s">
        <v>484</v>
      </c>
      <c r="D1715" s="4" t="b">
        <f t="shared" si="1"/>
        <v>0</v>
      </c>
      <c r="E1715" s="4"/>
    </row>
    <row r="1716">
      <c r="A1716" s="3" t="s">
        <v>1952</v>
      </c>
      <c r="B1716" s="3">
        <v>900.0</v>
      </c>
      <c r="C1716" s="3" t="s">
        <v>3</v>
      </c>
      <c r="D1716" s="4" t="b">
        <f t="shared" si="1"/>
        <v>0</v>
      </c>
      <c r="E1716" s="4"/>
    </row>
    <row r="1717">
      <c r="A1717" s="3" t="s">
        <v>1953</v>
      </c>
      <c r="B1717" s="4"/>
      <c r="C1717" s="4"/>
      <c r="D1717" s="4" t="b">
        <f t="shared" si="1"/>
        <v>1</v>
      </c>
      <c r="E1717" s="4"/>
    </row>
    <row r="1718">
      <c r="A1718" s="3" t="s">
        <v>1954</v>
      </c>
      <c r="B1718" s="3">
        <v>1500.0</v>
      </c>
      <c r="C1718" s="3" t="s">
        <v>3</v>
      </c>
      <c r="D1718" s="4" t="b">
        <f t="shared" si="1"/>
        <v>0</v>
      </c>
      <c r="E1718" s="4"/>
    </row>
    <row r="1719">
      <c r="A1719" s="3" t="s">
        <v>1955</v>
      </c>
      <c r="B1719" s="4"/>
      <c r="C1719" s="4"/>
      <c r="D1719" s="4" t="b">
        <f t="shared" si="1"/>
        <v>1</v>
      </c>
      <c r="E1719" s="4"/>
    </row>
    <row r="1720">
      <c r="A1720" s="3" t="s">
        <v>1956</v>
      </c>
      <c r="B1720" s="3">
        <v>0.0</v>
      </c>
      <c r="C1720" s="3" t="s">
        <v>3</v>
      </c>
      <c r="D1720" s="4" t="b">
        <f t="shared" si="1"/>
        <v>0</v>
      </c>
      <c r="E1720" s="4"/>
    </row>
    <row r="1721">
      <c r="A1721" s="3" t="s">
        <v>353</v>
      </c>
      <c r="B1721" s="4"/>
      <c r="C1721" s="4"/>
      <c r="D1721" s="4" t="b">
        <f t="shared" si="1"/>
        <v>1</v>
      </c>
      <c r="E1721" s="4"/>
    </row>
    <row r="1722">
      <c r="A1722" s="3" t="s">
        <v>1957</v>
      </c>
      <c r="B1722" s="3">
        <v>879983.0</v>
      </c>
      <c r="C1722" s="3" t="s">
        <v>37</v>
      </c>
      <c r="D1722" s="4" t="b">
        <f t="shared" si="1"/>
        <v>0</v>
      </c>
      <c r="E1722" s="4"/>
    </row>
    <row r="1723">
      <c r="A1723" s="4"/>
      <c r="B1723" s="4"/>
      <c r="C1723" s="3" t="s">
        <v>38</v>
      </c>
      <c r="D1723" s="4" t="b">
        <f t="shared" si="1"/>
        <v>1</v>
      </c>
      <c r="E1723" s="4"/>
    </row>
    <row r="1724">
      <c r="A1724" s="3" t="s">
        <v>1959</v>
      </c>
      <c r="B1724" s="3">
        <v>1537650.0</v>
      </c>
      <c r="C1724" s="3" t="s">
        <v>37</v>
      </c>
      <c r="D1724" s="4" t="b">
        <f t="shared" si="1"/>
        <v>0</v>
      </c>
      <c r="E1724" s="4"/>
    </row>
    <row r="1725">
      <c r="A1725" s="4"/>
      <c r="B1725" s="4"/>
      <c r="C1725" s="3" t="s">
        <v>38</v>
      </c>
      <c r="D1725" s="4" t="b">
        <f t="shared" si="1"/>
        <v>1</v>
      </c>
      <c r="E1725" s="4"/>
    </row>
    <row r="1726">
      <c r="A1726" s="3" t="s">
        <v>1961</v>
      </c>
      <c r="B1726" s="3">
        <v>19500.0</v>
      </c>
      <c r="C1726" s="3" t="s">
        <v>6</v>
      </c>
      <c r="D1726" s="4" t="b">
        <f t="shared" si="1"/>
        <v>0</v>
      </c>
      <c r="E1726" s="4"/>
    </row>
    <row r="1727">
      <c r="A1727" s="3" t="s">
        <v>1963</v>
      </c>
      <c r="B1727" s="4"/>
      <c r="C1727" s="4"/>
      <c r="D1727" s="4" t="b">
        <f t="shared" si="1"/>
        <v>1</v>
      </c>
      <c r="E1727" s="4"/>
    </row>
    <row r="1728">
      <c r="A1728" s="3" t="s">
        <v>1964</v>
      </c>
      <c r="B1728" s="3">
        <v>896350.0</v>
      </c>
      <c r="C1728" s="3" t="s">
        <v>37</v>
      </c>
      <c r="D1728" s="4" t="b">
        <f t="shared" si="1"/>
        <v>0</v>
      </c>
      <c r="E1728" s="4"/>
    </row>
    <row r="1729">
      <c r="A1729" s="4"/>
      <c r="B1729" s="4"/>
      <c r="C1729" s="3" t="s">
        <v>38</v>
      </c>
      <c r="D1729" s="4" t="b">
        <f t="shared" si="1"/>
        <v>1</v>
      </c>
      <c r="E1729" s="4"/>
    </row>
    <row r="1730">
      <c r="A1730" s="3" t="s">
        <v>1966</v>
      </c>
      <c r="B1730" s="3">
        <v>3500.0</v>
      </c>
      <c r="C1730" s="4"/>
      <c r="D1730" s="4" t="b">
        <f t="shared" si="1"/>
        <v>0</v>
      </c>
      <c r="E1730" s="4"/>
    </row>
    <row r="1731">
      <c r="A1731" s="3" t="s">
        <v>1967</v>
      </c>
      <c r="B1731" s="3">
        <v>105000.0</v>
      </c>
      <c r="C1731" s="3" t="s">
        <v>32</v>
      </c>
      <c r="D1731" s="4" t="b">
        <f t="shared" si="1"/>
        <v>0</v>
      </c>
      <c r="E1731" s="4"/>
    </row>
    <row r="1732">
      <c r="A1732" s="3" t="s">
        <v>1969</v>
      </c>
      <c r="B1732" s="3">
        <v>4000.0</v>
      </c>
      <c r="C1732" s="4"/>
      <c r="D1732" s="4" t="b">
        <f t="shared" si="1"/>
        <v>0</v>
      </c>
      <c r="E1732" s="4"/>
    </row>
    <row r="1733">
      <c r="A1733" s="3" t="s">
        <v>1970</v>
      </c>
      <c r="B1733" s="3">
        <v>0.0</v>
      </c>
      <c r="C1733" s="3" t="s">
        <v>6</v>
      </c>
      <c r="D1733" s="4" t="b">
        <f t="shared" si="1"/>
        <v>0</v>
      </c>
      <c r="E1733" s="4"/>
    </row>
    <row r="1734">
      <c r="A1734" s="3" t="s">
        <v>1971</v>
      </c>
      <c r="B1734" s="3">
        <v>0.0</v>
      </c>
      <c r="C1734" s="3" t="s">
        <v>6</v>
      </c>
      <c r="D1734" s="4" t="b">
        <f t="shared" si="1"/>
        <v>0</v>
      </c>
      <c r="E1734" s="4"/>
    </row>
    <row r="1735">
      <c r="A1735" s="3" t="s">
        <v>1972</v>
      </c>
      <c r="B1735" s="4"/>
      <c r="C1735" s="4"/>
      <c r="D1735" s="4" t="b">
        <f t="shared" si="1"/>
        <v>1</v>
      </c>
      <c r="E1735" s="4"/>
    </row>
    <row r="1736">
      <c r="A1736" s="3" t="s">
        <v>1973</v>
      </c>
      <c r="B1736" s="3">
        <v>3500.0</v>
      </c>
      <c r="C1736" s="3" t="s">
        <v>484</v>
      </c>
      <c r="D1736" s="4" t="b">
        <f t="shared" si="1"/>
        <v>0</v>
      </c>
      <c r="E1736" s="4"/>
    </row>
    <row r="1737">
      <c r="A1737" s="3" t="s">
        <v>1974</v>
      </c>
      <c r="B1737" s="3">
        <v>0.0</v>
      </c>
      <c r="C1737" s="3" t="s">
        <v>3</v>
      </c>
      <c r="D1737" s="4" t="b">
        <f t="shared" si="1"/>
        <v>0</v>
      </c>
      <c r="E1737" s="4"/>
    </row>
    <row r="1738">
      <c r="A1738" s="3" t="s">
        <v>1975</v>
      </c>
      <c r="B1738" s="3">
        <v>5000.0</v>
      </c>
      <c r="C1738" s="4"/>
      <c r="D1738" s="4" t="b">
        <f t="shared" si="1"/>
        <v>0</v>
      </c>
      <c r="E1738" s="4"/>
    </row>
    <row r="1739">
      <c r="A1739" s="3" t="s">
        <v>1976</v>
      </c>
      <c r="B1739" s="3">
        <v>28500.0</v>
      </c>
      <c r="C1739" s="3" t="s">
        <v>32</v>
      </c>
      <c r="D1739" s="4" t="b">
        <f t="shared" si="1"/>
        <v>0</v>
      </c>
      <c r="E1739" s="4"/>
    </row>
    <row r="1740">
      <c r="A1740" s="3" t="s">
        <v>1978</v>
      </c>
      <c r="B1740" s="3">
        <v>0.0</v>
      </c>
      <c r="C1740" s="3" t="s">
        <v>3</v>
      </c>
      <c r="D1740" s="4" t="b">
        <f t="shared" si="1"/>
        <v>0</v>
      </c>
      <c r="E1740" s="4"/>
    </row>
    <row r="1741">
      <c r="A1741" s="3" t="s">
        <v>1979</v>
      </c>
      <c r="B1741" s="3">
        <v>1300.0</v>
      </c>
      <c r="C1741" s="4"/>
      <c r="D1741" s="4" t="b">
        <f t="shared" si="1"/>
        <v>0</v>
      </c>
      <c r="E1741" s="4"/>
    </row>
    <row r="1742">
      <c r="A1742" s="3" t="s">
        <v>1980</v>
      </c>
      <c r="B1742" s="3">
        <v>2450.0</v>
      </c>
      <c r="C1742" s="4"/>
      <c r="D1742" s="4" t="b">
        <f t="shared" si="1"/>
        <v>0</v>
      </c>
      <c r="E1742" s="4"/>
    </row>
    <row r="1743">
      <c r="A1743" s="3" t="s">
        <v>1982</v>
      </c>
      <c r="B1743" s="3">
        <v>0.0</v>
      </c>
      <c r="C1743" s="3" t="s">
        <v>3</v>
      </c>
      <c r="D1743" s="4" t="b">
        <f t="shared" si="1"/>
        <v>0</v>
      </c>
      <c r="E1743" s="4"/>
    </row>
    <row r="1744">
      <c r="A1744" s="3" t="s">
        <v>1983</v>
      </c>
      <c r="B1744" s="3">
        <v>0.0</v>
      </c>
      <c r="C1744" s="3" t="s">
        <v>6</v>
      </c>
      <c r="D1744" s="4" t="b">
        <f t="shared" si="1"/>
        <v>0</v>
      </c>
      <c r="E1744" s="4"/>
    </row>
    <row r="1745">
      <c r="A1745" s="3" t="s">
        <v>1984</v>
      </c>
      <c r="B1745" s="3">
        <v>0.0</v>
      </c>
      <c r="C1745" s="3" t="s">
        <v>3</v>
      </c>
      <c r="D1745" s="4" t="b">
        <f t="shared" si="1"/>
        <v>0</v>
      </c>
      <c r="E1745" s="4"/>
    </row>
    <row r="1746">
      <c r="A1746" s="3" t="s">
        <v>1985</v>
      </c>
      <c r="B1746" s="3">
        <v>0.0</v>
      </c>
      <c r="C1746" s="3" t="s">
        <v>3</v>
      </c>
      <c r="D1746" s="4" t="b">
        <f t="shared" si="1"/>
        <v>0</v>
      </c>
      <c r="E1746" s="4"/>
    </row>
    <row r="1747">
      <c r="A1747" s="3" t="s">
        <v>1986</v>
      </c>
      <c r="B1747" s="3">
        <v>0.0</v>
      </c>
      <c r="C1747" s="3" t="s">
        <v>3</v>
      </c>
      <c r="D1747" s="4" t="b">
        <f t="shared" si="1"/>
        <v>0</v>
      </c>
      <c r="E1747" s="4"/>
    </row>
    <row r="1748">
      <c r="A1748" s="3" t="s">
        <v>1987</v>
      </c>
      <c r="B1748" s="3">
        <v>0.0</v>
      </c>
      <c r="C1748" s="3" t="s">
        <v>3</v>
      </c>
      <c r="D1748" s="4" t="b">
        <f t="shared" si="1"/>
        <v>0</v>
      </c>
      <c r="E1748" s="4"/>
    </row>
    <row r="1749">
      <c r="A1749" s="3" t="s">
        <v>1988</v>
      </c>
      <c r="B1749" s="3">
        <v>0.0</v>
      </c>
      <c r="C1749" s="3" t="s">
        <v>3</v>
      </c>
      <c r="D1749" s="4" t="b">
        <f t="shared" si="1"/>
        <v>0</v>
      </c>
      <c r="E1749" s="4"/>
    </row>
    <row r="1750">
      <c r="A1750" s="3" t="s">
        <v>1989</v>
      </c>
      <c r="B1750" s="3">
        <v>5394.0</v>
      </c>
      <c r="C1750" s="3" t="s">
        <v>6</v>
      </c>
      <c r="D1750" s="4" t="b">
        <f t="shared" si="1"/>
        <v>0</v>
      </c>
      <c r="E1750" s="4"/>
    </row>
    <row r="1751">
      <c r="A1751" s="3" t="s">
        <v>1991</v>
      </c>
      <c r="B1751" s="3">
        <v>1000.0</v>
      </c>
      <c r="C1751" s="4"/>
      <c r="D1751" s="4" t="b">
        <f t="shared" si="1"/>
        <v>0</v>
      </c>
      <c r="E1751" s="4"/>
    </row>
    <row r="1752">
      <c r="A1752" s="3" t="s">
        <v>1992</v>
      </c>
      <c r="B1752" s="3">
        <v>21500.0</v>
      </c>
      <c r="C1752" s="4"/>
      <c r="D1752" s="4" t="b">
        <f t="shared" si="1"/>
        <v>0</v>
      </c>
      <c r="E1752" s="4"/>
    </row>
    <row r="1753">
      <c r="A1753" s="3" t="s">
        <v>1994</v>
      </c>
      <c r="B1753" s="3">
        <v>6500.0</v>
      </c>
      <c r="C1753" s="4"/>
      <c r="D1753" s="4" t="b">
        <f t="shared" si="1"/>
        <v>0</v>
      </c>
      <c r="E1753" s="4"/>
    </row>
    <row r="1754">
      <c r="A1754" s="3" t="s">
        <v>1995</v>
      </c>
      <c r="B1754" s="3">
        <v>500.0</v>
      </c>
      <c r="C1754" s="3" t="s">
        <v>3</v>
      </c>
      <c r="D1754" s="4" t="b">
        <f t="shared" si="1"/>
        <v>0</v>
      </c>
      <c r="E1754" s="4"/>
    </row>
    <row r="1755">
      <c r="A1755" s="3" t="s">
        <v>1996</v>
      </c>
      <c r="B1755" s="3">
        <v>500.0</v>
      </c>
      <c r="C1755" s="3" t="s">
        <v>3</v>
      </c>
      <c r="D1755" s="4" t="b">
        <f t="shared" si="1"/>
        <v>0</v>
      </c>
      <c r="E1755" s="4"/>
    </row>
    <row r="1756">
      <c r="A1756" s="3" t="s">
        <v>1997</v>
      </c>
      <c r="B1756" s="3">
        <v>0.0</v>
      </c>
      <c r="C1756" s="3" t="s">
        <v>6</v>
      </c>
      <c r="D1756" s="4" t="b">
        <f t="shared" si="1"/>
        <v>0</v>
      </c>
      <c r="E1756" s="4"/>
    </row>
    <row r="1757">
      <c r="A1757" s="3" t="s">
        <v>1998</v>
      </c>
      <c r="B1757" s="3">
        <v>119000.0</v>
      </c>
      <c r="C1757" s="3" t="s">
        <v>2000</v>
      </c>
      <c r="D1757" s="4" t="b">
        <f t="shared" si="1"/>
        <v>0</v>
      </c>
      <c r="E1757" s="4"/>
    </row>
    <row r="1758">
      <c r="A1758" s="4"/>
      <c r="B1758" s="4"/>
      <c r="C1758" s="3" t="s">
        <v>38</v>
      </c>
      <c r="D1758" s="4" t="b">
        <f t="shared" si="1"/>
        <v>1</v>
      </c>
      <c r="E1758" s="4"/>
    </row>
    <row r="1759">
      <c r="A1759" s="3" t="s">
        <v>2001</v>
      </c>
      <c r="B1759" s="3">
        <v>0.0</v>
      </c>
      <c r="C1759" s="3" t="s">
        <v>6</v>
      </c>
      <c r="D1759" s="4" t="b">
        <f t="shared" si="1"/>
        <v>0</v>
      </c>
      <c r="E1759" s="4"/>
    </row>
    <row r="1760">
      <c r="A1760" s="3" t="s">
        <v>2002</v>
      </c>
      <c r="B1760" s="3">
        <v>8300.0</v>
      </c>
      <c r="C1760" s="3" t="s">
        <v>6</v>
      </c>
      <c r="D1760" s="4" t="b">
        <f t="shared" si="1"/>
        <v>0</v>
      </c>
      <c r="E1760" s="4"/>
    </row>
    <row r="1761">
      <c r="A1761" s="3" t="s">
        <v>2004</v>
      </c>
      <c r="B1761" s="3">
        <v>0.0</v>
      </c>
      <c r="C1761" s="3" t="s">
        <v>3</v>
      </c>
      <c r="D1761" s="4" t="b">
        <f t="shared" si="1"/>
        <v>0</v>
      </c>
      <c r="E1761" s="4"/>
    </row>
    <row r="1762">
      <c r="A1762" s="3" t="s">
        <v>2005</v>
      </c>
      <c r="B1762" s="3">
        <v>0.0</v>
      </c>
      <c r="C1762" s="3" t="s">
        <v>3</v>
      </c>
      <c r="D1762" s="4" t="b">
        <f t="shared" si="1"/>
        <v>0</v>
      </c>
      <c r="E1762" s="4"/>
    </row>
    <row r="1763">
      <c r="A1763" s="3" t="s">
        <v>2006</v>
      </c>
      <c r="B1763" s="3">
        <v>0.0</v>
      </c>
      <c r="C1763" s="3" t="s">
        <v>3</v>
      </c>
      <c r="D1763" s="4" t="b">
        <f t="shared" si="1"/>
        <v>0</v>
      </c>
      <c r="E1763" s="4"/>
    </row>
    <row r="1764">
      <c r="A1764" s="3" t="s">
        <v>2007</v>
      </c>
      <c r="B1764" s="4"/>
      <c r="C1764" s="4"/>
      <c r="D1764" s="4" t="b">
        <f t="shared" si="1"/>
        <v>1</v>
      </c>
      <c r="E1764" s="4"/>
    </row>
    <row r="1765">
      <c r="A1765" s="3" t="s">
        <v>2008</v>
      </c>
      <c r="B1765" s="3">
        <v>800.0</v>
      </c>
      <c r="C1765" s="3" t="s">
        <v>32</v>
      </c>
      <c r="D1765" s="4" t="b">
        <f t="shared" si="1"/>
        <v>0</v>
      </c>
      <c r="E1765" s="4"/>
    </row>
    <row r="1766">
      <c r="A1766" s="3" t="s">
        <v>2009</v>
      </c>
      <c r="B1766" s="3">
        <v>6900.0</v>
      </c>
      <c r="C1766" s="3" t="s">
        <v>6</v>
      </c>
      <c r="D1766" s="4" t="b">
        <f t="shared" si="1"/>
        <v>0</v>
      </c>
      <c r="E1766" s="4"/>
    </row>
    <row r="1767">
      <c r="A1767" s="3" t="s">
        <v>2011</v>
      </c>
      <c r="B1767" s="3">
        <v>3000.0</v>
      </c>
      <c r="C1767" s="3" t="s">
        <v>3</v>
      </c>
      <c r="D1767" s="4" t="b">
        <f t="shared" si="1"/>
        <v>0</v>
      </c>
      <c r="E1767" s="4"/>
    </row>
    <row r="1768">
      <c r="A1768" s="3" t="s">
        <v>2012</v>
      </c>
      <c r="B1768" s="3">
        <v>0.0</v>
      </c>
      <c r="C1768" s="3" t="s">
        <v>3</v>
      </c>
      <c r="D1768" s="4" t="b">
        <f t="shared" si="1"/>
        <v>0</v>
      </c>
      <c r="E1768" s="4"/>
    </row>
    <row r="1769">
      <c r="A1769" s="3" t="s">
        <v>2013</v>
      </c>
      <c r="B1769" s="3">
        <v>0.0</v>
      </c>
      <c r="C1769" s="3" t="s">
        <v>6</v>
      </c>
      <c r="D1769" s="4" t="b">
        <f t="shared" si="1"/>
        <v>0</v>
      </c>
      <c r="E1769" s="4"/>
    </row>
    <row r="1770">
      <c r="A1770" s="3" t="s">
        <v>2014</v>
      </c>
      <c r="B1770" s="3">
        <v>3400.0</v>
      </c>
      <c r="C1770" s="4"/>
      <c r="D1770" s="4" t="b">
        <f t="shared" si="1"/>
        <v>0</v>
      </c>
      <c r="E1770" s="4"/>
    </row>
    <row r="1771">
      <c r="A1771" s="3" t="s">
        <v>2016</v>
      </c>
      <c r="B1771" s="3">
        <v>0.0</v>
      </c>
      <c r="C1771" s="3" t="s">
        <v>29</v>
      </c>
      <c r="D1771" s="4" t="b">
        <f t="shared" si="1"/>
        <v>0</v>
      </c>
      <c r="E1771" s="4"/>
    </row>
    <row r="1772">
      <c r="A1772" s="3" t="s">
        <v>2017</v>
      </c>
      <c r="B1772" s="3">
        <v>0.0</v>
      </c>
      <c r="C1772" s="3" t="s">
        <v>3</v>
      </c>
      <c r="D1772" s="4" t="b">
        <f t="shared" si="1"/>
        <v>0</v>
      </c>
      <c r="E1772" s="4"/>
    </row>
    <row r="1773">
      <c r="A1773" s="3" t="s">
        <v>2018</v>
      </c>
      <c r="B1773" s="3">
        <v>5000.0</v>
      </c>
      <c r="C1773" s="4"/>
      <c r="D1773" s="4" t="b">
        <f t="shared" si="1"/>
        <v>0</v>
      </c>
      <c r="E1773" s="4"/>
    </row>
    <row r="1774">
      <c r="A1774" s="3" t="s">
        <v>2019</v>
      </c>
      <c r="B1774" s="3">
        <v>0.0</v>
      </c>
      <c r="C1774" s="3" t="s">
        <v>29</v>
      </c>
      <c r="D1774" s="4" t="b">
        <f t="shared" si="1"/>
        <v>0</v>
      </c>
      <c r="E1774" s="4"/>
    </row>
    <row r="1775">
      <c r="A1775" s="3" t="s">
        <v>2020</v>
      </c>
      <c r="B1775" s="3">
        <v>0.0</v>
      </c>
      <c r="C1775" s="3" t="s">
        <v>29</v>
      </c>
      <c r="D1775" s="4" t="b">
        <f t="shared" si="1"/>
        <v>0</v>
      </c>
      <c r="E1775" s="4"/>
    </row>
    <row r="1776">
      <c r="A1776" s="3" t="s">
        <v>2021</v>
      </c>
      <c r="B1776" s="3">
        <v>0.0</v>
      </c>
      <c r="C1776" s="3" t="s">
        <v>3</v>
      </c>
      <c r="D1776" s="4" t="b">
        <f t="shared" si="1"/>
        <v>0</v>
      </c>
      <c r="E1776" s="4"/>
    </row>
    <row r="1777">
      <c r="A1777" s="3" t="s">
        <v>2022</v>
      </c>
      <c r="B1777" s="3">
        <v>17000.0</v>
      </c>
      <c r="C1777" s="3" t="s">
        <v>32</v>
      </c>
      <c r="D1777" s="4" t="b">
        <f t="shared" si="1"/>
        <v>0</v>
      </c>
      <c r="E1777" s="4"/>
    </row>
    <row r="1778">
      <c r="A1778" s="3" t="s">
        <v>2023</v>
      </c>
      <c r="B1778" s="3">
        <v>13000.0</v>
      </c>
      <c r="C1778" s="3" t="s">
        <v>6</v>
      </c>
      <c r="D1778" s="4" t="b">
        <f t="shared" si="1"/>
        <v>0</v>
      </c>
      <c r="E1778" s="4"/>
    </row>
    <row r="1779">
      <c r="A1779" s="3" t="s">
        <v>2024</v>
      </c>
      <c r="B1779" s="4"/>
      <c r="C1779" s="4"/>
      <c r="D1779" s="4" t="b">
        <f t="shared" si="1"/>
        <v>1</v>
      </c>
      <c r="E1779" s="4"/>
    </row>
    <row r="1780">
      <c r="A1780" s="3" t="s">
        <v>2025</v>
      </c>
      <c r="B1780" s="3">
        <v>0.0</v>
      </c>
      <c r="C1780" s="3" t="s">
        <v>32</v>
      </c>
      <c r="D1780" s="4" t="b">
        <f t="shared" si="1"/>
        <v>0</v>
      </c>
      <c r="E1780" s="4"/>
    </row>
    <row r="1781">
      <c r="A1781" s="3" t="s">
        <v>2026</v>
      </c>
      <c r="B1781" s="3">
        <v>0.0</v>
      </c>
      <c r="C1781" s="3" t="s">
        <v>3</v>
      </c>
      <c r="D1781" s="4" t="b">
        <f t="shared" si="1"/>
        <v>0</v>
      </c>
      <c r="E1781" s="4"/>
    </row>
    <row r="1782">
      <c r="A1782" s="3" t="s">
        <v>2027</v>
      </c>
      <c r="B1782" s="3">
        <v>0.0</v>
      </c>
      <c r="C1782" s="3" t="s">
        <v>3</v>
      </c>
      <c r="D1782" s="4" t="b">
        <f t="shared" si="1"/>
        <v>0</v>
      </c>
      <c r="E1782" s="4"/>
    </row>
    <row r="1783">
      <c r="A1783" s="3" t="s">
        <v>2028</v>
      </c>
      <c r="B1783" s="3">
        <v>0.0</v>
      </c>
      <c r="C1783" s="3" t="s">
        <v>29</v>
      </c>
      <c r="D1783" s="4" t="b">
        <f t="shared" si="1"/>
        <v>0</v>
      </c>
      <c r="E1783" s="4"/>
    </row>
    <row r="1784">
      <c r="A1784" s="3" t="s">
        <v>2029</v>
      </c>
      <c r="B1784" s="3">
        <v>0.0</v>
      </c>
      <c r="C1784" s="3" t="s">
        <v>29</v>
      </c>
      <c r="D1784" s="4" t="b">
        <f t="shared" si="1"/>
        <v>0</v>
      </c>
      <c r="E1784" s="4"/>
    </row>
    <row r="1785">
      <c r="A1785" s="3" t="s">
        <v>2030</v>
      </c>
      <c r="B1785" s="3">
        <v>23000.0</v>
      </c>
      <c r="C1785" s="3" t="s">
        <v>3</v>
      </c>
      <c r="D1785" s="4" t="b">
        <f t="shared" si="1"/>
        <v>0</v>
      </c>
      <c r="E1785" s="4"/>
    </row>
    <row r="1786">
      <c r="A1786" s="3" t="s">
        <v>2031</v>
      </c>
      <c r="B1786" s="3">
        <v>9000.0</v>
      </c>
      <c r="C1786" s="4"/>
      <c r="D1786" s="4" t="b">
        <f t="shared" si="1"/>
        <v>0</v>
      </c>
      <c r="E1786" s="4"/>
    </row>
    <row r="1787">
      <c r="A1787" s="3" t="s">
        <v>2032</v>
      </c>
      <c r="B1787" s="3">
        <v>4300.0</v>
      </c>
      <c r="C1787" s="3" t="s">
        <v>6</v>
      </c>
      <c r="D1787" s="4" t="b">
        <f t="shared" si="1"/>
        <v>0</v>
      </c>
      <c r="E1787" s="4"/>
    </row>
    <row r="1788">
      <c r="A1788" s="3" t="s">
        <v>2034</v>
      </c>
      <c r="B1788" s="4"/>
      <c r="C1788" s="4"/>
      <c r="D1788" s="4" t="b">
        <f t="shared" si="1"/>
        <v>1</v>
      </c>
      <c r="E1788" s="4"/>
    </row>
    <row r="1789">
      <c r="A1789" s="3" t="s">
        <v>2035</v>
      </c>
      <c r="B1789" s="4"/>
      <c r="C1789" s="4"/>
      <c r="D1789" s="4" t="b">
        <f t="shared" si="1"/>
        <v>1</v>
      </c>
      <c r="E1789" s="4"/>
    </row>
    <row r="1790">
      <c r="A1790" s="3" t="s">
        <v>2036</v>
      </c>
      <c r="B1790" s="4"/>
      <c r="C1790" s="4"/>
      <c r="D1790" s="4" t="b">
        <f t="shared" si="1"/>
        <v>1</v>
      </c>
      <c r="E1790" s="4"/>
    </row>
    <row r="1791">
      <c r="A1791" s="3" t="s">
        <v>2037</v>
      </c>
      <c r="B1791" s="4"/>
      <c r="C1791" s="4"/>
      <c r="D1791" s="4" t="b">
        <f t="shared" si="1"/>
        <v>1</v>
      </c>
      <c r="E1791" s="4"/>
    </row>
    <row r="1792">
      <c r="A1792" s="3" t="s">
        <v>2038</v>
      </c>
      <c r="B1792" s="4"/>
      <c r="C1792" s="4"/>
      <c r="D1792" s="4" t="b">
        <f t="shared" si="1"/>
        <v>1</v>
      </c>
      <c r="E1792" s="4"/>
    </row>
    <row r="1793">
      <c r="A1793" s="3" t="s">
        <v>2039</v>
      </c>
      <c r="B1793" s="4"/>
      <c r="C1793" s="4"/>
      <c r="D1793" s="4" t="b">
        <f t="shared" si="1"/>
        <v>1</v>
      </c>
      <c r="E1793" s="4"/>
    </row>
    <row r="1794">
      <c r="A1794" s="3" t="s">
        <v>2040</v>
      </c>
      <c r="B1794" s="4"/>
      <c r="C1794" s="4"/>
      <c r="D1794" s="4" t="b">
        <f t="shared" si="1"/>
        <v>1</v>
      </c>
      <c r="E1794" s="4"/>
    </row>
    <row r="1795">
      <c r="A1795" s="3" t="s">
        <v>2041</v>
      </c>
      <c r="B1795" s="4"/>
      <c r="C1795" s="4"/>
      <c r="D1795" s="4" t="b">
        <f t="shared" si="1"/>
        <v>1</v>
      </c>
      <c r="E1795" s="4"/>
    </row>
    <row r="1796">
      <c r="A1796" s="3" t="s">
        <v>2042</v>
      </c>
      <c r="B1796" s="4"/>
      <c r="C1796" s="4"/>
      <c r="D1796" s="4" t="b">
        <f t="shared" si="1"/>
        <v>1</v>
      </c>
      <c r="E1796" s="4"/>
    </row>
    <row r="1797">
      <c r="A1797" s="3" t="s">
        <v>283</v>
      </c>
      <c r="B1797" s="3">
        <v>5000.0</v>
      </c>
      <c r="C1797" s="4"/>
      <c r="D1797" s="4" t="b">
        <f t="shared" si="1"/>
        <v>0</v>
      </c>
      <c r="E1797" s="4"/>
    </row>
    <row r="1798">
      <c r="A1798" s="3" t="s">
        <v>2043</v>
      </c>
      <c r="B1798" s="3">
        <v>3120000.0</v>
      </c>
      <c r="C1798" s="4"/>
      <c r="D1798" s="4" t="b">
        <f t="shared" si="1"/>
        <v>0</v>
      </c>
      <c r="E1798" s="4"/>
    </row>
    <row r="1799">
      <c r="A1799" s="3" t="s">
        <v>2045</v>
      </c>
      <c r="B1799" s="3">
        <v>52500.0</v>
      </c>
      <c r="C1799" s="3" t="s">
        <v>3</v>
      </c>
      <c r="D1799" s="4" t="b">
        <f t="shared" si="1"/>
        <v>0</v>
      </c>
      <c r="E1799" s="4"/>
    </row>
    <row r="1800">
      <c r="A1800" s="3" t="s">
        <v>2047</v>
      </c>
      <c r="B1800" s="3">
        <v>7000.0</v>
      </c>
      <c r="C1800" s="4"/>
      <c r="D1800" s="4" t="b">
        <f t="shared" si="1"/>
        <v>0</v>
      </c>
      <c r="E1800" s="4"/>
    </row>
    <row r="1801">
      <c r="A1801" s="3" t="s">
        <v>2048</v>
      </c>
      <c r="B1801" s="3">
        <v>7600.0</v>
      </c>
      <c r="C1801" s="4"/>
      <c r="D1801" s="4" t="b">
        <f t="shared" si="1"/>
        <v>0</v>
      </c>
      <c r="E1801" s="4"/>
    </row>
    <row r="1802">
      <c r="A1802" s="3" t="s">
        <v>2049</v>
      </c>
      <c r="B1802" s="3">
        <v>16628.76</v>
      </c>
      <c r="C1802" s="4"/>
      <c r="D1802" s="4" t="b">
        <f t="shared" si="1"/>
        <v>0</v>
      </c>
      <c r="E1802" s="4"/>
    </row>
    <row r="1803">
      <c r="A1803" s="3" t="s">
        <v>2051</v>
      </c>
      <c r="B1803" s="3">
        <v>15920.46</v>
      </c>
      <c r="C1803" s="4"/>
      <c r="D1803" s="4" t="b">
        <f t="shared" si="1"/>
        <v>0</v>
      </c>
      <c r="E1803" s="4"/>
    </row>
    <row r="1804">
      <c r="A1804" s="3" t="s">
        <v>2053</v>
      </c>
      <c r="B1804" s="3">
        <v>1.616767E7</v>
      </c>
      <c r="C1804" s="4"/>
      <c r="D1804" s="4" t="b">
        <f t="shared" si="1"/>
        <v>0</v>
      </c>
      <c r="E1804" s="4"/>
    </row>
    <row r="1805">
      <c r="A1805" s="3" t="s">
        <v>2055</v>
      </c>
      <c r="B1805" s="3">
        <v>82.0</v>
      </c>
      <c r="C1805" s="4"/>
      <c r="D1805" s="4" t="b">
        <f t="shared" si="1"/>
        <v>0</v>
      </c>
      <c r="E1805" s="4"/>
    </row>
    <row r="1806">
      <c r="A1806" s="3" t="s">
        <v>2036</v>
      </c>
      <c r="B1806" s="4"/>
      <c r="C1806" s="4"/>
      <c r="D1806" s="4" t="b">
        <f t="shared" si="1"/>
        <v>1</v>
      </c>
      <c r="E1806" s="4"/>
    </row>
    <row r="1807">
      <c r="A1807" s="3" t="s">
        <v>2057</v>
      </c>
      <c r="B1807" s="3">
        <v>7912204.0</v>
      </c>
      <c r="C1807" s="4"/>
      <c r="D1807" s="4" t="b">
        <f t="shared" si="1"/>
        <v>0</v>
      </c>
      <c r="E1807" s="4"/>
    </row>
    <row r="1808">
      <c r="A1808" s="3" t="s">
        <v>2059</v>
      </c>
      <c r="B1808" s="3">
        <v>10536.77</v>
      </c>
      <c r="C1808" s="4"/>
      <c r="D1808" s="4" t="b">
        <f t="shared" si="1"/>
        <v>0</v>
      </c>
      <c r="E1808" s="4"/>
    </row>
    <row r="1809">
      <c r="A1809" s="3" t="s">
        <v>2061</v>
      </c>
      <c r="B1809" s="3">
        <v>13000.0</v>
      </c>
      <c r="C1809" s="4"/>
      <c r="D1809" s="4" t="b">
        <f t="shared" si="1"/>
        <v>0</v>
      </c>
      <c r="E1809" s="4"/>
    </row>
    <row r="1810">
      <c r="A1810" s="4"/>
      <c r="B1810" s="4"/>
      <c r="C1810" s="4"/>
      <c r="D1810" s="4"/>
      <c r="E1810" s="4"/>
    </row>
    <row r="1811">
      <c r="A1811" s="4"/>
      <c r="B1811" s="4"/>
      <c r="C1811" s="4"/>
      <c r="D1811" s="4"/>
      <c r="E1811" s="4"/>
    </row>
  </sheetData>
  <mergeCells count="1">
    <mergeCell ref="A1:D1"/>
  </mergeCells>
  <conditionalFormatting sqref="D2:D1811">
    <cfRule type="cellIs" dxfId="0" priority="1" operator="equal">
      <formula>"TRUE"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19.63"/>
    <col customWidth="1" min="3" max="3" width="24.88"/>
    <col customWidth="1" min="4" max="4" width="19.13"/>
    <col customWidth="1" min="5" max="5" width="24.88"/>
  </cols>
  <sheetData>
    <row r="1" ht="334.5" customHeight="1">
      <c r="A1" s="1" t="s">
        <v>2063</v>
      </c>
    </row>
    <row r="2">
      <c r="A2" s="3" t="s">
        <v>1</v>
      </c>
      <c r="B2" s="3">
        <v>0.0</v>
      </c>
      <c r="C2" s="3" t="s">
        <v>3</v>
      </c>
      <c r="D2" s="4" t="b">
        <f t="shared" ref="D2:D1809" si="1">ISBLANK(B2)</f>
        <v>0</v>
      </c>
      <c r="E2" s="4" t="str">
        <f t="shared" ref="E2:E1809" si="2">if(D3=TRUE, CONCATENATE(A2," ",A3),A2)</f>
        <v>"BAMBINO BERTHELOT" ASSOCIATION DE PARENTS D'ELEVES DE L'ECOLE MATERNELLE BERTHELOT A BORDEAUX</v>
      </c>
    </row>
    <row r="3">
      <c r="A3" s="3" t="s">
        <v>4</v>
      </c>
      <c r="B3" s="4"/>
      <c r="C3" s="4"/>
      <c r="D3" s="4" t="b">
        <f t="shared" si="1"/>
        <v>1</v>
      </c>
      <c r="E3" s="4" t="str">
        <f t="shared" si="2"/>
        <v>L'ECOLE MATERNELLE BERTHELOT A BORDEAUX</v>
      </c>
    </row>
    <row r="4">
      <c r="A4" s="3" t="s">
        <v>5</v>
      </c>
      <c r="B4" s="3">
        <v>0.0</v>
      </c>
      <c r="C4" s="3" t="s">
        <v>6</v>
      </c>
      <c r="D4" s="4" t="b">
        <f t="shared" si="1"/>
        <v>0</v>
      </c>
      <c r="E4" s="4" t="str">
        <f t="shared" si="2"/>
        <v>1001 JEUNES BORDELAIS</v>
      </c>
    </row>
    <row r="5">
      <c r="A5" s="3" t="s">
        <v>7</v>
      </c>
      <c r="B5" s="3">
        <v>0.0</v>
      </c>
      <c r="C5" s="3" t="s">
        <v>3</v>
      </c>
      <c r="D5" s="4" t="b">
        <f t="shared" si="1"/>
        <v>0</v>
      </c>
      <c r="E5" s="4" t="str">
        <f t="shared" si="2"/>
        <v>2AA</v>
      </c>
    </row>
    <row r="6">
      <c r="A6" s="3" t="s">
        <v>8</v>
      </c>
      <c r="B6" s="3">
        <v>0.0</v>
      </c>
      <c r="C6" s="3" t="s">
        <v>3</v>
      </c>
      <c r="D6" s="4" t="b">
        <f t="shared" si="1"/>
        <v>0</v>
      </c>
      <c r="E6" s="4" t="str">
        <f t="shared" si="2"/>
        <v>2SI2LA</v>
      </c>
    </row>
    <row r="7">
      <c r="A7" s="3" t="s">
        <v>9</v>
      </c>
      <c r="B7" s="3">
        <v>0.0</v>
      </c>
      <c r="C7" s="3" t="s">
        <v>3</v>
      </c>
      <c r="D7" s="4" t="b">
        <f t="shared" si="1"/>
        <v>0</v>
      </c>
      <c r="E7" s="4" t="str">
        <f t="shared" si="2"/>
        <v>4 CATS</v>
      </c>
    </row>
    <row r="8">
      <c r="A8" s="3" t="s">
        <v>10</v>
      </c>
      <c r="B8" s="3">
        <v>1000.0</v>
      </c>
      <c r="C8" s="4"/>
      <c r="D8" s="4" t="b">
        <f t="shared" si="1"/>
        <v>0</v>
      </c>
      <c r="E8" s="4" t="str">
        <f t="shared" si="2"/>
        <v>5UN7</v>
      </c>
    </row>
    <row r="9">
      <c r="A9" s="3" t="s">
        <v>12</v>
      </c>
      <c r="B9" s="3">
        <v>1800.0</v>
      </c>
      <c r="C9" s="4"/>
      <c r="D9" s="4" t="b">
        <f t="shared" si="1"/>
        <v>0</v>
      </c>
      <c r="E9" s="4" t="str">
        <f t="shared" si="2"/>
        <v>60 000 REBONDS</v>
      </c>
    </row>
    <row r="10">
      <c r="A10" s="3" t="s">
        <v>14</v>
      </c>
      <c r="B10" s="3">
        <v>19000.0</v>
      </c>
      <c r="C10" s="3" t="s">
        <v>16</v>
      </c>
      <c r="D10" s="4" t="b">
        <f t="shared" si="1"/>
        <v>0</v>
      </c>
      <c r="E10" s="4" t="str">
        <f t="shared" si="2"/>
        <v>9-33</v>
      </c>
    </row>
    <row r="11">
      <c r="A11" s="3" t="s">
        <v>17</v>
      </c>
      <c r="B11" s="3">
        <v>500.0</v>
      </c>
      <c r="C11" s="4"/>
      <c r="D11" s="4" t="b">
        <f t="shared" si="1"/>
        <v>0</v>
      </c>
      <c r="E11" s="4" t="str">
        <f t="shared" si="2"/>
        <v>A L EAU MUSIC</v>
      </c>
    </row>
    <row r="12">
      <c r="A12" s="3" t="s">
        <v>19</v>
      </c>
      <c r="B12" s="3">
        <v>2000.0</v>
      </c>
      <c r="C12" s="4"/>
      <c r="D12" s="4" t="b">
        <f t="shared" si="1"/>
        <v>0</v>
      </c>
      <c r="E12" s="4" t="str">
        <f t="shared" si="2"/>
        <v>A PART ENTIERE</v>
      </c>
    </row>
    <row r="13">
      <c r="A13" s="3" t="s">
        <v>21</v>
      </c>
      <c r="B13" s="3">
        <v>3000.0</v>
      </c>
      <c r="C13" s="4"/>
      <c r="D13" s="4" t="b">
        <f t="shared" si="1"/>
        <v>0</v>
      </c>
      <c r="E13" s="4" t="str">
        <f t="shared" si="2"/>
        <v>A PETIT PAS</v>
      </c>
    </row>
    <row r="14">
      <c r="A14" s="3" t="s">
        <v>23</v>
      </c>
      <c r="B14" s="3">
        <v>0.0</v>
      </c>
      <c r="C14" s="3" t="s">
        <v>3</v>
      </c>
      <c r="D14" s="4" t="b">
        <f t="shared" si="1"/>
        <v>0</v>
      </c>
      <c r="E14" s="4" t="str">
        <f t="shared" si="2"/>
        <v>A TRAVERS CHANT</v>
      </c>
    </row>
    <row r="15">
      <c r="A15" s="3" t="s">
        <v>24</v>
      </c>
      <c r="B15" s="3">
        <v>0.0</v>
      </c>
      <c r="C15" s="3" t="s">
        <v>3</v>
      </c>
      <c r="D15" s="4" t="b">
        <f t="shared" si="1"/>
        <v>0</v>
      </c>
      <c r="E15" s="4" t="str">
        <f t="shared" si="2"/>
        <v>A2RUNNING</v>
      </c>
    </row>
    <row r="16">
      <c r="A16" s="3" t="s">
        <v>25</v>
      </c>
      <c r="B16" s="3">
        <v>0.0</v>
      </c>
      <c r="C16" s="3" t="s">
        <v>26</v>
      </c>
      <c r="D16" s="4" t="b">
        <f t="shared" si="1"/>
        <v>0</v>
      </c>
      <c r="E16" s="4" t="str">
        <f t="shared" si="2"/>
        <v>ABALONE CHASSE BORDEAUX</v>
      </c>
    </row>
    <row r="17">
      <c r="A17" s="3" t="s">
        <v>27</v>
      </c>
      <c r="B17" s="3">
        <v>0.0</v>
      </c>
      <c r="C17" s="3" t="s">
        <v>3</v>
      </c>
      <c r="D17" s="4" t="b">
        <f t="shared" si="1"/>
        <v>0</v>
      </c>
      <c r="E17" s="4" t="str">
        <f t="shared" si="2"/>
        <v>ABEILLES BORDELAISES</v>
      </c>
    </row>
    <row r="18">
      <c r="A18" s="3" t="s">
        <v>28</v>
      </c>
      <c r="B18" s="3">
        <v>0.0</v>
      </c>
      <c r="C18" s="3" t="s">
        <v>29</v>
      </c>
      <c r="D18" s="4" t="b">
        <f t="shared" si="1"/>
        <v>0</v>
      </c>
      <c r="E18" s="4" t="str">
        <f t="shared" si="2"/>
        <v>ACADEMIE BUSHIKAI KARATE DO</v>
      </c>
    </row>
    <row r="19">
      <c r="A19" s="3" t="s">
        <v>30</v>
      </c>
      <c r="B19" s="3">
        <v>7600.0</v>
      </c>
      <c r="C19" s="3" t="s">
        <v>32</v>
      </c>
      <c r="D19" s="4" t="b">
        <f t="shared" si="1"/>
        <v>0</v>
      </c>
      <c r="E19" s="4" t="str">
        <f t="shared" si="2"/>
        <v>ACADEMIE DES SCIENCES, BELLES LETTRES ET ARTS DE BORDEAUX</v>
      </c>
    </row>
    <row r="20">
      <c r="A20" s="3" t="s">
        <v>33</v>
      </c>
      <c r="B20" s="4"/>
      <c r="C20" s="4"/>
      <c r="D20" s="4" t="b">
        <f t="shared" si="1"/>
        <v>1</v>
      </c>
      <c r="E20" s="4" t="str">
        <f t="shared" si="2"/>
        <v>BORDEAUX</v>
      </c>
    </row>
    <row r="21">
      <c r="A21" s="3" t="s">
        <v>34</v>
      </c>
      <c r="B21" s="3">
        <v>0.0</v>
      </c>
      <c r="C21" s="3" t="s">
        <v>3</v>
      </c>
      <c r="D21" s="4" t="b">
        <f t="shared" si="1"/>
        <v>0</v>
      </c>
      <c r="E21" s="4" t="str">
        <f t="shared" si="2"/>
        <v>ACADEMIE PROSPECTIVE NOUVELLES TECHNOLOGIES</v>
      </c>
    </row>
    <row r="22">
      <c r="A22" s="3" t="s">
        <v>35</v>
      </c>
      <c r="B22" s="3">
        <v>22000.0</v>
      </c>
      <c r="C22" s="3" t="s">
        <v>37</v>
      </c>
      <c r="D22" s="4" t="b">
        <f t="shared" si="1"/>
        <v>0</v>
      </c>
      <c r="E22" s="4" t="str">
        <f t="shared" si="2"/>
        <v>ACADEMIE YOUNUS </v>
      </c>
    </row>
    <row r="23">
      <c r="A23" s="4"/>
      <c r="B23" s="4"/>
      <c r="C23" s="3" t="s">
        <v>38</v>
      </c>
      <c r="D23" s="4" t="b">
        <f t="shared" si="1"/>
        <v>1</v>
      </c>
      <c r="E23" s="4" t="str">
        <f t="shared" si="2"/>
        <v/>
      </c>
    </row>
    <row r="24">
      <c r="A24" s="3" t="s">
        <v>39</v>
      </c>
      <c r="B24" s="3">
        <v>0.0</v>
      </c>
      <c r="C24" s="3" t="s">
        <v>3</v>
      </c>
      <c r="D24" s="4" t="b">
        <f t="shared" si="1"/>
        <v>0</v>
      </c>
      <c r="E24" s="4" t="str">
        <f t="shared" si="2"/>
        <v>ACCOMPAGNEMENT ET RECHERCHE PSYCHO-SOCIO EDUCATIFS POUR LES JEUNES (ARPEJE)</v>
      </c>
    </row>
    <row r="25">
      <c r="A25" s="3" t="s">
        <v>40</v>
      </c>
      <c r="B25" s="4"/>
      <c r="C25" s="4"/>
      <c r="D25" s="4" t="b">
        <f t="shared" si="1"/>
        <v>1</v>
      </c>
      <c r="E25" s="4" t="str">
        <f t="shared" si="2"/>
        <v>POUR LES JEUNES (ARPEJE)</v>
      </c>
    </row>
    <row r="26">
      <c r="A26" s="3" t="s">
        <v>41</v>
      </c>
      <c r="B26" s="3">
        <v>5000.0</v>
      </c>
      <c r="C26" s="4"/>
      <c r="D26" s="4" t="b">
        <f t="shared" si="1"/>
        <v>0</v>
      </c>
      <c r="E26" s="4" t="str">
        <f t="shared" si="2"/>
        <v>ACCOMPAGNEMENT PSYCHOLOGIQUE ET MEDIATION INTERCULTURELLE - AMI</v>
      </c>
    </row>
    <row r="27">
      <c r="A27" s="3" t="s">
        <v>43</v>
      </c>
      <c r="B27" s="4"/>
      <c r="C27" s="4"/>
      <c r="D27" s="4" t="b">
        <f t="shared" si="1"/>
        <v>1</v>
      </c>
      <c r="E27" s="4" t="str">
        <f t="shared" si="2"/>
        <v>INTERCULTURELLE - AMI</v>
      </c>
    </row>
    <row r="28">
      <c r="A28" s="3" t="s">
        <v>44</v>
      </c>
      <c r="B28" s="3">
        <v>300.0</v>
      </c>
      <c r="C28" s="3" t="s">
        <v>3</v>
      </c>
      <c r="D28" s="4" t="b">
        <f t="shared" si="1"/>
        <v>0</v>
      </c>
      <c r="E28" s="4" t="str">
        <f t="shared" si="2"/>
        <v>ACCOMPAGNER CONDUIRE TRANSMETTRE - ACT</v>
      </c>
    </row>
    <row r="29">
      <c r="A29" s="3" t="s">
        <v>46</v>
      </c>
      <c r="B29" s="3">
        <v>4500.0</v>
      </c>
      <c r="C29" s="3" t="s">
        <v>3</v>
      </c>
      <c r="D29" s="4" t="b">
        <f t="shared" si="1"/>
        <v>0</v>
      </c>
      <c r="E29" s="4" t="str">
        <f t="shared" si="2"/>
        <v>ACCORDERIE BORDEAUX SUD</v>
      </c>
    </row>
    <row r="30">
      <c r="A30" s="3" t="s">
        <v>48</v>
      </c>
      <c r="B30" s="3">
        <v>0.0</v>
      </c>
      <c r="C30" s="3" t="s">
        <v>3</v>
      </c>
      <c r="D30" s="4" t="b">
        <f t="shared" si="1"/>
        <v>0</v>
      </c>
      <c r="E30" s="4" t="str">
        <f t="shared" si="2"/>
        <v>ACHATS GROUPES ASSOCIATIF POUR L'ECONOMIE SOLIDAIRE DE BORDEAUX - AGAPES</v>
      </c>
    </row>
    <row r="31">
      <c r="A31" s="3" t="s">
        <v>49</v>
      </c>
      <c r="B31" s="4"/>
      <c r="C31" s="4"/>
      <c r="D31" s="4" t="b">
        <f t="shared" si="1"/>
        <v>1</v>
      </c>
      <c r="E31" s="4" t="str">
        <f t="shared" si="2"/>
        <v>BORDEAUX - AGAPES</v>
      </c>
    </row>
    <row r="32">
      <c r="A32" s="3" t="s">
        <v>50</v>
      </c>
      <c r="B32" s="3">
        <v>10000.0</v>
      </c>
      <c r="C32" s="3" t="s">
        <v>3</v>
      </c>
      <c r="D32" s="4" t="b">
        <f t="shared" si="1"/>
        <v>0</v>
      </c>
      <c r="E32" s="4" t="str">
        <f t="shared" si="2"/>
        <v>ACIDD, ASSOCIATION COMMUNICATION ET INFORMATION POUR LE DEVELOPPEMENT DURABLE</v>
      </c>
    </row>
    <row r="33">
      <c r="A33" s="3" t="s">
        <v>52</v>
      </c>
      <c r="B33" s="4"/>
      <c r="C33" s="4"/>
      <c r="D33" s="4" t="b">
        <f t="shared" si="1"/>
        <v>1</v>
      </c>
      <c r="E33" s="4" t="str">
        <f t="shared" si="2"/>
        <v>DEVELOPPEMENT DURABLE</v>
      </c>
    </row>
    <row r="34">
      <c r="A34" s="3" t="s">
        <v>53</v>
      </c>
      <c r="B34" s="3">
        <v>22000.0</v>
      </c>
      <c r="C34" s="4"/>
      <c r="D34" s="4" t="b">
        <f t="shared" si="1"/>
        <v>0</v>
      </c>
      <c r="E34" s="4" t="str">
        <f t="shared" si="2"/>
        <v>ACINQBYS_ESPACE 29 A5BIS</v>
      </c>
    </row>
    <row r="35">
      <c r="A35" s="3" t="s">
        <v>54</v>
      </c>
      <c r="B35" s="3">
        <v>0.0</v>
      </c>
      <c r="C35" s="3" t="s">
        <v>3</v>
      </c>
      <c r="D35" s="4" t="b">
        <f t="shared" si="1"/>
        <v>0</v>
      </c>
      <c r="E35" s="4" t="str">
        <f t="shared" si="2"/>
        <v>ACTA GIRONDE - AGIR CONTRE LA TORTURE DES ANIMAUX</v>
      </c>
    </row>
    <row r="36">
      <c r="A36" s="3" t="s">
        <v>55</v>
      </c>
      <c r="B36" s="3">
        <v>2400.0</v>
      </c>
      <c r="C36" s="4"/>
      <c r="D36" s="4" t="b">
        <f t="shared" si="1"/>
        <v>0</v>
      </c>
      <c r="E36" s="4" t="str">
        <f t="shared" si="2"/>
        <v>ACTIFS 33</v>
      </c>
    </row>
    <row r="37">
      <c r="A37" s="3" t="s">
        <v>57</v>
      </c>
      <c r="B37" s="3">
        <v>6500.0</v>
      </c>
      <c r="C37" s="4"/>
      <c r="D37" s="4" t="b">
        <f t="shared" si="1"/>
        <v>0</v>
      </c>
      <c r="E37" s="4" t="str">
        <f t="shared" si="2"/>
        <v>ACTIMAGE</v>
      </c>
    </row>
    <row r="38">
      <c r="A38" s="3" t="s">
        <v>59</v>
      </c>
      <c r="B38" s="3">
        <v>0.0</v>
      </c>
      <c r="C38" s="3" t="s">
        <v>3</v>
      </c>
      <c r="D38" s="4" t="b">
        <f t="shared" si="1"/>
        <v>0</v>
      </c>
      <c r="E38" s="4" t="str">
        <f t="shared" si="2"/>
        <v>ACTION CONTRE LA FAIM</v>
      </c>
    </row>
    <row r="39">
      <c r="A39" s="3" t="s">
        <v>60</v>
      </c>
      <c r="B39" s="3">
        <v>0.0</v>
      </c>
      <c r="C39" s="3" t="s">
        <v>3</v>
      </c>
      <c r="D39" s="4" t="b">
        <f t="shared" si="1"/>
        <v>0</v>
      </c>
      <c r="E39" s="4" t="str">
        <f t="shared" si="2"/>
        <v>ACTION INTERNATIONALE POUR LA PAIX ET LE DEVELOPPEMENT</v>
      </c>
    </row>
    <row r="40">
      <c r="A40" s="3" t="s">
        <v>61</v>
      </c>
      <c r="B40" s="3">
        <v>0.0</v>
      </c>
      <c r="C40" s="3" t="s">
        <v>3</v>
      </c>
      <c r="D40" s="4" t="b">
        <f t="shared" si="1"/>
        <v>0</v>
      </c>
      <c r="E40" s="4" t="str">
        <f t="shared" si="2"/>
        <v>AD LUCEM THEATRE</v>
      </c>
    </row>
    <row r="41">
      <c r="A41" s="3" t="s">
        <v>62</v>
      </c>
      <c r="B41" s="3">
        <v>500.0</v>
      </c>
      <c r="C41" s="4"/>
      <c r="D41" s="4" t="b">
        <f t="shared" si="1"/>
        <v>0</v>
      </c>
      <c r="E41" s="4" t="str">
        <f t="shared" si="2"/>
        <v>ADDAH 33</v>
      </c>
    </row>
    <row r="42">
      <c r="A42" s="3" t="s">
        <v>63</v>
      </c>
      <c r="B42" s="3">
        <v>5000.0</v>
      </c>
      <c r="C42" s="3" t="s">
        <v>3</v>
      </c>
      <c r="D42" s="4" t="b">
        <f t="shared" si="1"/>
        <v>0</v>
      </c>
      <c r="E42" s="4" t="str">
        <f t="shared" si="2"/>
        <v>ADORA</v>
      </c>
    </row>
    <row r="43">
      <c r="A43" s="3" t="s">
        <v>64</v>
      </c>
      <c r="B43" s="3">
        <v>1500.0</v>
      </c>
      <c r="C43" s="4"/>
      <c r="D43" s="4" t="b">
        <f t="shared" si="1"/>
        <v>0</v>
      </c>
      <c r="E43" s="4" t="str">
        <f t="shared" si="2"/>
        <v>ADRIA</v>
      </c>
    </row>
    <row r="44">
      <c r="A44" s="3" t="s">
        <v>66</v>
      </c>
      <c r="B44" s="3">
        <v>0.0</v>
      </c>
      <c r="C44" s="3" t="s">
        <v>6</v>
      </c>
      <c r="D44" s="4" t="b">
        <f t="shared" si="1"/>
        <v>0</v>
      </c>
      <c r="E44" s="4" t="str">
        <f t="shared" si="2"/>
        <v>AEP SAINT PROJET</v>
      </c>
    </row>
    <row r="45">
      <c r="A45" s="3" t="s">
        <v>67</v>
      </c>
      <c r="B45" s="3">
        <v>1500.0</v>
      </c>
      <c r="C45" s="4"/>
      <c r="D45" s="4" t="b">
        <f t="shared" si="1"/>
        <v>0</v>
      </c>
      <c r="E45" s="4" t="str">
        <f t="shared" si="2"/>
        <v>AFRICAFRANCE</v>
      </c>
    </row>
    <row r="46">
      <c r="A46" s="3" t="s">
        <v>68</v>
      </c>
      <c r="B46" s="3">
        <v>60000.0</v>
      </c>
      <c r="C46" s="4"/>
      <c r="D46" s="4" t="b">
        <f t="shared" si="1"/>
        <v>0</v>
      </c>
      <c r="E46" s="4" t="str">
        <f t="shared" si="2"/>
        <v>AGENCE D'URBANISME BORDEAUX METROPOLE AQUITAINE (A'URBA)</v>
      </c>
    </row>
    <row r="47">
      <c r="A47" s="3" t="s">
        <v>70</v>
      </c>
      <c r="B47" s="4"/>
      <c r="C47" s="4"/>
      <c r="D47" s="4" t="b">
        <f t="shared" si="1"/>
        <v>1</v>
      </c>
      <c r="E47" s="4" t="str">
        <f t="shared" si="2"/>
        <v>(A'URBA)</v>
      </c>
    </row>
    <row r="48">
      <c r="A48" s="3" t="s">
        <v>71</v>
      </c>
      <c r="B48" s="3">
        <v>6000.0</v>
      </c>
      <c r="C48" s="3" t="s">
        <v>3</v>
      </c>
      <c r="D48" s="4" t="b">
        <f t="shared" si="1"/>
        <v>0</v>
      </c>
      <c r="E48" s="4" t="str">
        <f t="shared" si="2"/>
        <v>AGENCE LOCALE DE L'ENERGIE ET DU CLIMAT (ALEC)</v>
      </c>
    </row>
    <row r="49">
      <c r="A49" s="3" t="s">
        <v>73</v>
      </c>
      <c r="B49" s="3">
        <v>0.0</v>
      </c>
      <c r="C49" s="3" t="s">
        <v>6</v>
      </c>
      <c r="D49" s="4" t="b">
        <f t="shared" si="1"/>
        <v>0</v>
      </c>
      <c r="E49" s="4" t="str">
        <f t="shared" si="2"/>
        <v>AGENCE REGIONALE DE SANTE NOUVELLE AQUITAINE</v>
      </c>
    </row>
    <row r="50">
      <c r="A50" s="3" t="s">
        <v>74</v>
      </c>
      <c r="B50" s="3">
        <v>500.0</v>
      </c>
      <c r="C50" s="4"/>
      <c r="D50" s="4" t="b">
        <f t="shared" si="1"/>
        <v>0</v>
      </c>
      <c r="E50" s="4" t="str">
        <f t="shared" si="2"/>
        <v>AGIR POUR UN COMMERE EQUITABLE ET SOLIDAIRE EN AQUITAINE - ACESA</v>
      </c>
    </row>
    <row r="51">
      <c r="A51" s="3" t="s">
        <v>75</v>
      </c>
      <c r="B51" s="4"/>
      <c r="C51" s="4"/>
      <c r="D51" s="4" t="b">
        <f t="shared" si="1"/>
        <v>1</v>
      </c>
      <c r="E51" s="4" t="str">
        <f t="shared" si="2"/>
        <v>ACESA</v>
      </c>
    </row>
    <row r="52">
      <c r="A52" s="3" t="s">
        <v>76</v>
      </c>
      <c r="B52" s="3">
        <v>5000.0</v>
      </c>
      <c r="C52" s="3" t="s">
        <v>6</v>
      </c>
      <c r="D52" s="4" t="b">
        <f t="shared" si="1"/>
        <v>0</v>
      </c>
      <c r="E52" s="4" t="str">
        <f t="shared" si="2"/>
        <v>AGORA DES ARTS</v>
      </c>
    </row>
    <row r="53">
      <c r="A53" s="3" t="s">
        <v>77</v>
      </c>
      <c r="B53" s="3">
        <v>2000.0</v>
      </c>
      <c r="C53" s="4"/>
      <c r="D53" s="4" t="b">
        <f t="shared" si="1"/>
        <v>0</v>
      </c>
      <c r="E53" s="4" t="str">
        <f t="shared" si="2"/>
        <v>AIDE AUX AIDANTS DU PAVILLON</v>
      </c>
    </row>
    <row r="54">
      <c r="A54" s="3" t="s">
        <v>78</v>
      </c>
      <c r="B54" s="3">
        <v>5500.0</v>
      </c>
      <c r="C54" s="4"/>
      <c r="D54" s="4" t="b">
        <f t="shared" si="1"/>
        <v>0</v>
      </c>
      <c r="E54" s="4" t="str">
        <f t="shared" si="2"/>
        <v>AIDES AQUITAINE</v>
      </c>
    </row>
    <row r="55">
      <c r="A55" s="3" t="s">
        <v>80</v>
      </c>
      <c r="B55" s="3">
        <v>0.0</v>
      </c>
      <c r="C55" s="3" t="s">
        <v>3</v>
      </c>
      <c r="D55" s="4" t="b">
        <f t="shared" si="1"/>
        <v>0</v>
      </c>
      <c r="E55" s="4" t="str">
        <f t="shared" si="2"/>
        <v>AIGUILLES ET CALAME</v>
      </c>
    </row>
    <row r="56">
      <c r="A56" s="3" t="s">
        <v>81</v>
      </c>
      <c r="B56" s="3">
        <v>2000.0</v>
      </c>
      <c r="C56" s="3" t="s">
        <v>29</v>
      </c>
      <c r="D56" s="4" t="b">
        <f t="shared" si="1"/>
        <v>0</v>
      </c>
      <c r="E56" s="4" t="str">
        <f t="shared" si="2"/>
        <v>AIKIDO BORDEAUX BASTIDE</v>
      </c>
    </row>
    <row r="57">
      <c r="A57" s="3" t="s">
        <v>82</v>
      </c>
      <c r="B57" s="3">
        <v>20060.0</v>
      </c>
      <c r="C57" s="4"/>
      <c r="D57" s="4" t="b">
        <f t="shared" si="1"/>
        <v>0</v>
      </c>
      <c r="E57" s="4" t="str">
        <f t="shared" si="2"/>
        <v>AIM ACTIONS INTER MEDIATION</v>
      </c>
    </row>
    <row r="58">
      <c r="A58" s="3" t="s">
        <v>84</v>
      </c>
      <c r="B58" s="3">
        <v>11000.0</v>
      </c>
      <c r="C58" s="3" t="s">
        <v>26</v>
      </c>
      <c r="D58" s="4" t="b">
        <f t="shared" si="1"/>
        <v>0</v>
      </c>
      <c r="E58" s="4" t="str">
        <f t="shared" si="2"/>
        <v>AIR ROLLER (ATTENTION INERTIE RENOUVELABLE)</v>
      </c>
    </row>
    <row r="59">
      <c r="A59" s="3" t="s">
        <v>86</v>
      </c>
      <c r="B59" s="3">
        <v>0.0</v>
      </c>
      <c r="C59" s="3" t="s">
        <v>32</v>
      </c>
      <c r="D59" s="4" t="b">
        <f t="shared" si="1"/>
        <v>0</v>
      </c>
      <c r="E59" s="4" t="str">
        <f t="shared" si="2"/>
        <v>ALAM AMIS DU LIVRE ANCIEN ET MODERNE</v>
      </c>
    </row>
    <row r="60">
      <c r="A60" s="3" t="s">
        <v>87</v>
      </c>
      <c r="B60" s="3">
        <v>0.0</v>
      </c>
      <c r="C60" s="3" t="s">
        <v>3</v>
      </c>
      <c r="D60" s="4" t="b">
        <f t="shared" si="1"/>
        <v>0</v>
      </c>
      <c r="E60" s="4" t="str">
        <f t="shared" si="2"/>
        <v>ALGERIENS DE L'AQUITAINE</v>
      </c>
    </row>
    <row r="61">
      <c r="A61" s="3" t="s">
        <v>88</v>
      </c>
      <c r="B61" s="3">
        <v>4500.0</v>
      </c>
      <c r="C61" s="3" t="s">
        <v>3</v>
      </c>
      <c r="D61" s="4" t="b">
        <f t="shared" si="1"/>
        <v>0</v>
      </c>
      <c r="E61" s="4" t="str">
        <f t="shared" si="2"/>
        <v>ALLIANCE DEPARTEMENT 33, JUSQU'AU BOUT ACCOMPAGNER LA VIE...</v>
      </c>
    </row>
    <row r="62">
      <c r="A62" s="3" t="s">
        <v>89</v>
      </c>
      <c r="B62" s="4"/>
      <c r="C62" s="4"/>
      <c r="D62" s="4" t="b">
        <f t="shared" si="1"/>
        <v>1</v>
      </c>
      <c r="E62" s="4" t="str">
        <f t="shared" si="2"/>
        <v>VIE...</v>
      </c>
    </row>
    <row r="63">
      <c r="A63" s="3" t="s">
        <v>90</v>
      </c>
      <c r="B63" s="3">
        <v>0.0</v>
      </c>
      <c r="C63" s="3" t="s">
        <v>3</v>
      </c>
      <c r="D63" s="4" t="b">
        <f t="shared" si="1"/>
        <v>0</v>
      </c>
      <c r="E63" s="4" t="str">
        <f t="shared" si="2"/>
        <v>ALLIANCE FRANCAISE DE BORDEAUX AQUITAINE</v>
      </c>
    </row>
    <row r="64">
      <c r="A64" s="3" t="s">
        <v>91</v>
      </c>
      <c r="B64" s="3">
        <v>0.0</v>
      </c>
      <c r="C64" s="3" t="s">
        <v>3</v>
      </c>
      <c r="D64" s="4" t="b">
        <f t="shared" si="1"/>
        <v>0</v>
      </c>
      <c r="E64" s="4" t="str">
        <f t="shared" si="2"/>
        <v>ALPTIS</v>
      </c>
    </row>
    <row r="65">
      <c r="A65" s="3" t="s">
        <v>92</v>
      </c>
      <c r="B65" s="3">
        <v>0.0</v>
      </c>
      <c r="C65" s="3" t="s">
        <v>6</v>
      </c>
      <c r="D65" s="4" t="b">
        <f t="shared" si="1"/>
        <v>0</v>
      </c>
      <c r="E65" s="4" t="str">
        <f t="shared" si="2"/>
        <v>ALTER INSERTION</v>
      </c>
    </row>
    <row r="66">
      <c r="A66" s="3" t="s">
        <v>93</v>
      </c>
      <c r="B66" s="3">
        <v>1000.0</v>
      </c>
      <c r="C66" s="4"/>
      <c r="D66" s="4" t="b">
        <f t="shared" si="1"/>
        <v>0</v>
      </c>
      <c r="E66" s="4" t="str">
        <f t="shared" si="2"/>
        <v>AMADEUS</v>
      </c>
    </row>
    <row r="67">
      <c r="A67" s="3" t="s">
        <v>94</v>
      </c>
      <c r="B67" s="3">
        <v>500.0</v>
      </c>
      <c r="C67" s="4"/>
      <c r="D67" s="4" t="b">
        <f t="shared" si="1"/>
        <v>0</v>
      </c>
      <c r="E67" s="4" t="str">
        <f t="shared" si="2"/>
        <v>AMBASSADE REGIONALE DES CONFRERIES DE PRODUITS DE TERROIR ET DU GOUT</v>
      </c>
    </row>
    <row r="68">
      <c r="A68" s="3" t="s">
        <v>95</v>
      </c>
      <c r="B68" s="4"/>
      <c r="C68" s="4"/>
      <c r="D68" s="4" t="b">
        <f t="shared" si="1"/>
        <v>1</v>
      </c>
      <c r="E68" s="4" t="str">
        <f t="shared" si="2"/>
        <v>TERROIR ET DU GOUT</v>
      </c>
    </row>
    <row r="69">
      <c r="A69" s="3" t="s">
        <v>96</v>
      </c>
      <c r="B69" s="3">
        <v>571.0</v>
      </c>
      <c r="C69" s="4"/>
      <c r="D69" s="4" t="b">
        <f t="shared" si="1"/>
        <v>0</v>
      </c>
      <c r="E69" s="4" t="str">
        <f t="shared" si="2"/>
        <v>AMELIORATION DES CONDITIONS DE VIE DES ENFANTS ADOLESCENTS HOSPITALISES</v>
      </c>
    </row>
    <row r="70">
      <c r="A70" s="3" t="s">
        <v>98</v>
      </c>
      <c r="B70" s="4"/>
      <c r="C70" s="4"/>
      <c r="D70" s="4" t="b">
        <f t="shared" si="1"/>
        <v>1</v>
      </c>
      <c r="E70" s="4" t="str">
        <f t="shared" si="2"/>
        <v>ADOLESCENTS HOSPITALISES</v>
      </c>
    </row>
    <row r="71">
      <c r="A71" s="3" t="s">
        <v>99</v>
      </c>
      <c r="B71" s="3">
        <v>0.0</v>
      </c>
      <c r="C71" s="3" t="s">
        <v>3</v>
      </c>
      <c r="D71" s="4" t="b">
        <f t="shared" si="1"/>
        <v>0</v>
      </c>
      <c r="E71" s="4" t="str">
        <f t="shared" si="2"/>
        <v>AMEPI</v>
      </c>
    </row>
    <row r="72">
      <c r="A72" s="3" t="s">
        <v>100</v>
      </c>
      <c r="B72" s="3">
        <v>0.0</v>
      </c>
      <c r="C72" s="3" t="s">
        <v>3</v>
      </c>
      <c r="D72" s="4" t="b">
        <f t="shared" si="1"/>
        <v>0</v>
      </c>
      <c r="E72" s="4" t="str">
        <f t="shared" si="2"/>
        <v>AMICALE BORDELAISE TRACTION AVANT CITROEN</v>
      </c>
    </row>
    <row r="73">
      <c r="A73" s="3" t="s">
        <v>101</v>
      </c>
      <c r="B73" s="3">
        <v>0.0</v>
      </c>
      <c r="C73" s="3" t="s">
        <v>3</v>
      </c>
      <c r="D73" s="4" t="b">
        <f t="shared" si="1"/>
        <v>0</v>
      </c>
      <c r="E73" s="4" t="str">
        <f t="shared" si="2"/>
        <v>AMICALE COMORIENNE DE BORDEAUX</v>
      </c>
    </row>
    <row r="74">
      <c r="A74" s="3" t="s">
        <v>102</v>
      </c>
      <c r="B74" s="3">
        <v>0.0</v>
      </c>
      <c r="C74" s="3" t="s">
        <v>3</v>
      </c>
      <c r="D74" s="4" t="b">
        <f t="shared" si="1"/>
        <v>0</v>
      </c>
      <c r="E74" s="4" t="str">
        <f t="shared" si="2"/>
        <v>AMICALE DE LA RESIDENCE DU LAC</v>
      </c>
    </row>
    <row r="75">
      <c r="A75" s="3" t="s">
        <v>103</v>
      </c>
      <c r="B75" s="3">
        <v>1000.0</v>
      </c>
      <c r="C75" s="4"/>
      <c r="D75" s="4" t="b">
        <f t="shared" si="1"/>
        <v>0</v>
      </c>
      <c r="E75" s="4" t="str">
        <f t="shared" si="2"/>
        <v>AMICALE DES ANCIENS DE LA LEGION ETRANGERE</v>
      </c>
    </row>
    <row r="76">
      <c r="A76" s="3" t="s">
        <v>104</v>
      </c>
      <c r="B76" s="3">
        <v>0.0</v>
      </c>
      <c r="C76" s="3" t="s">
        <v>3</v>
      </c>
      <c r="D76" s="4" t="b">
        <f t="shared" si="1"/>
        <v>0</v>
      </c>
      <c r="E76" s="4" t="str">
        <f t="shared" si="2"/>
        <v>AMICALE DES ANCIENS DE MARIE-BRIZARD - AAMB</v>
      </c>
    </row>
    <row r="77">
      <c r="A77" s="3" t="s">
        <v>105</v>
      </c>
      <c r="B77" s="3">
        <v>0.0</v>
      </c>
      <c r="C77" s="3" t="s">
        <v>3</v>
      </c>
      <c r="D77" s="4" t="b">
        <f t="shared" si="1"/>
        <v>0</v>
      </c>
      <c r="E77" s="4" t="str">
        <f t="shared" si="2"/>
        <v>AMICALE DES ANCIENS DES NOUVELLES GALERIES DE BORDEAUX</v>
      </c>
    </row>
    <row r="78">
      <c r="A78" s="3" t="s">
        <v>106</v>
      </c>
      <c r="B78" s="3">
        <v>500.0</v>
      </c>
      <c r="C78" s="4"/>
      <c r="D78" s="4" t="b">
        <f t="shared" si="1"/>
        <v>0</v>
      </c>
      <c r="E78" s="4" t="str">
        <f t="shared" si="2"/>
        <v>AMICALE DES ANCIENS DES TROUPES DE MARINE DE BORDEAUX ET D'AQUITAINE</v>
      </c>
    </row>
    <row r="79">
      <c r="A79" s="3" t="s">
        <v>107</v>
      </c>
      <c r="B79" s="4"/>
      <c r="C79" s="4"/>
      <c r="D79" s="4" t="b">
        <f t="shared" si="1"/>
        <v>1</v>
      </c>
      <c r="E79" s="4" t="str">
        <f t="shared" si="2"/>
        <v>D'AQUITAINE</v>
      </c>
    </row>
    <row r="80">
      <c r="A80" s="3" t="s">
        <v>108</v>
      </c>
      <c r="B80" s="3">
        <v>0.0</v>
      </c>
      <c r="C80" s="3" t="s">
        <v>3</v>
      </c>
      <c r="D80" s="4" t="b">
        <f t="shared" si="1"/>
        <v>0</v>
      </c>
      <c r="E80" s="4" t="str">
        <f t="shared" si="2"/>
        <v>AMICALE DES ANCIENS GUERILLEROS ESPAGNOLS EN FRANCE-FFI - SECTION DE LA GIRONDE</v>
      </c>
    </row>
    <row r="81">
      <c r="A81" s="3" t="s">
        <v>109</v>
      </c>
      <c r="B81" s="4"/>
      <c r="C81" s="4"/>
      <c r="D81" s="4" t="b">
        <f t="shared" si="1"/>
        <v>1</v>
      </c>
      <c r="E81" s="4" t="str">
        <f t="shared" si="2"/>
        <v>SECTION DE LA GIRONDE</v>
      </c>
    </row>
    <row r="82">
      <c r="A82" s="3" t="s">
        <v>110</v>
      </c>
      <c r="B82" s="3">
        <v>0.0</v>
      </c>
      <c r="C82" s="3" t="s">
        <v>3</v>
      </c>
      <c r="D82" s="4" t="b">
        <f t="shared" si="1"/>
        <v>0</v>
      </c>
      <c r="E82" s="4" t="str">
        <f t="shared" si="2"/>
        <v>AMICALE DES AVEYRONNAIS DE BORDEAUX ET GIRONDE</v>
      </c>
    </row>
    <row r="83">
      <c r="A83" s="3" t="s">
        <v>111</v>
      </c>
      <c r="B83" s="3">
        <v>82238.0</v>
      </c>
      <c r="C83" s="3" t="s">
        <v>37</v>
      </c>
      <c r="D83" s="4" t="b">
        <f t="shared" si="1"/>
        <v>0</v>
      </c>
      <c r="E83" s="4" t="str">
        <f t="shared" si="2"/>
        <v>AMICALE DES ETABLISSEMENTS SCOLAIRES LAIQUES DE BACALAN - ALB</v>
      </c>
    </row>
    <row r="84">
      <c r="A84" s="3" t="s">
        <v>113</v>
      </c>
      <c r="B84" s="4"/>
      <c r="C84" s="3" t="s">
        <v>38</v>
      </c>
      <c r="D84" s="4" t="b">
        <f t="shared" si="1"/>
        <v>1</v>
      </c>
      <c r="E84" s="4" t="str">
        <f t="shared" si="2"/>
        <v>ALB</v>
      </c>
    </row>
    <row r="85">
      <c r="A85" s="3" t="s">
        <v>114</v>
      </c>
      <c r="B85" s="3">
        <v>4000.0</v>
      </c>
      <c r="C85" s="4"/>
      <c r="D85" s="4" t="b">
        <f t="shared" si="1"/>
        <v>0</v>
      </c>
      <c r="E85" s="4" t="str">
        <f t="shared" si="2"/>
        <v>AMICALE DES LOCATAIRES DU PORT DE LA LUNE</v>
      </c>
    </row>
    <row r="86">
      <c r="A86" s="3" t="s">
        <v>116</v>
      </c>
      <c r="B86" s="3">
        <v>300.0</v>
      </c>
      <c r="C86" s="4"/>
      <c r="D86" s="4" t="b">
        <f t="shared" si="1"/>
        <v>0</v>
      </c>
      <c r="E86" s="4" t="str">
        <f t="shared" si="2"/>
        <v>AMICALE DES PARACHUTISTES DU SUD-OUEST</v>
      </c>
    </row>
    <row r="87">
      <c r="A87" s="3" t="s">
        <v>117</v>
      </c>
      <c r="B87" s="3">
        <v>8605.0</v>
      </c>
      <c r="C87" s="4"/>
      <c r="D87" s="4" t="b">
        <f t="shared" si="1"/>
        <v>0</v>
      </c>
      <c r="E87" s="4" t="str">
        <f t="shared" si="2"/>
        <v>AMICALE DES PARENTS D'ELEVES DE L'ECOLE STEHELIN</v>
      </c>
    </row>
    <row r="88">
      <c r="A88" s="3" t="s">
        <v>119</v>
      </c>
      <c r="B88" s="3">
        <v>0.0</v>
      </c>
      <c r="C88" s="3" t="s">
        <v>3</v>
      </c>
      <c r="D88" s="4" t="b">
        <f t="shared" si="1"/>
        <v>0</v>
      </c>
      <c r="E88" s="4" t="str">
        <f t="shared" si="2"/>
        <v>AMICALE DES PHILIPPEVILLOIS, CONSTANTINOIS ET LEURS AMIS - APCA</v>
      </c>
    </row>
    <row r="89">
      <c r="A89" s="3" t="s">
        <v>120</v>
      </c>
      <c r="B89" s="4"/>
      <c r="C89" s="4"/>
      <c r="D89" s="4" t="b">
        <f t="shared" si="1"/>
        <v>1</v>
      </c>
      <c r="E89" s="4" t="str">
        <f t="shared" si="2"/>
        <v>APCA</v>
      </c>
    </row>
    <row r="90">
      <c r="A90" s="3" t="s">
        <v>121</v>
      </c>
      <c r="B90" s="3">
        <v>0.0</v>
      </c>
      <c r="C90" s="3" t="s">
        <v>3</v>
      </c>
      <c r="D90" s="4" t="b">
        <f t="shared" si="1"/>
        <v>0</v>
      </c>
      <c r="E90" s="4" t="str">
        <f t="shared" si="2"/>
        <v>AMICALE DES RETRAITES U.G.R.R. - I.S.I.C.A. DE BORDEAUX</v>
      </c>
    </row>
    <row r="91">
      <c r="A91" s="3" t="s">
        <v>122</v>
      </c>
      <c r="B91" s="3">
        <v>1000.0</v>
      </c>
      <c r="C91" s="3" t="s">
        <v>6</v>
      </c>
      <c r="D91" s="4" t="b">
        <f t="shared" si="1"/>
        <v>0</v>
      </c>
      <c r="E91" s="4" t="str">
        <f t="shared" si="2"/>
        <v>AMICALE DU PATRONAGE LAIQUE ET DU CONSEIL DE PARENTS D'ELEVES DU GROUPE SCOLAIRE NUYENS</v>
      </c>
    </row>
    <row r="92">
      <c r="A92" s="3" t="s">
        <v>123</v>
      </c>
      <c r="B92" s="4"/>
      <c r="C92" s="4"/>
      <c r="D92" s="4" t="b">
        <f t="shared" si="1"/>
        <v>1</v>
      </c>
      <c r="E92" s="4" t="str">
        <f t="shared" si="2"/>
        <v>D'ELEVES DU GROUPE SCOLAIRE NUYENS</v>
      </c>
    </row>
    <row r="93">
      <c r="A93" s="3" t="s">
        <v>124</v>
      </c>
      <c r="B93" s="3">
        <v>2500.0</v>
      </c>
      <c r="C93" s="3" t="s">
        <v>26</v>
      </c>
      <c r="D93" s="4" t="b">
        <f t="shared" si="1"/>
        <v>0</v>
      </c>
      <c r="E93" s="4" t="str">
        <f t="shared" si="2"/>
        <v>AMICALE LAIQUE BORDEAUX CENTRE</v>
      </c>
    </row>
    <row r="94">
      <c r="A94" s="3" t="s">
        <v>126</v>
      </c>
      <c r="B94" s="3">
        <v>450195.0</v>
      </c>
      <c r="C94" s="3" t="s">
        <v>29</v>
      </c>
      <c r="D94" s="4" t="b">
        <f t="shared" si="1"/>
        <v>0</v>
      </c>
      <c r="E94" s="4" t="str">
        <f t="shared" si="2"/>
        <v>AMICALE LAIQUE DAVID JOHNSTON LAGRANGE ALBERT BARRAUD NAUJAC</v>
      </c>
    </row>
    <row r="95">
      <c r="A95" s="3" t="s">
        <v>128</v>
      </c>
      <c r="B95" s="4"/>
      <c r="C95" s="4"/>
      <c r="D95" s="4" t="b">
        <f t="shared" si="1"/>
        <v>1</v>
      </c>
      <c r="E95" s="4" t="str">
        <f t="shared" si="2"/>
        <v>NAUJAC</v>
      </c>
    </row>
    <row r="96">
      <c r="A96" s="3" t="s">
        <v>129</v>
      </c>
      <c r="B96" s="3">
        <v>0.0</v>
      </c>
      <c r="C96" s="3" t="s">
        <v>29</v>
      </c>
      <c r="D96" s="4" t="b">
        <f t="shared" si="1"/>
        <v>0</v>
      </c>
      <c r="E96" s="4" t="str">
        <f t="shared" si="2"/>
        <v>AMICALE LAIQUE DU GROUPE SCOLAIRE LEONARD-LENOIR - MONTAUD - NUITS</v>
      </c>
    </row>
    <row r="97">
      <c r="A97" s="3" t="s">
        <v>130</v>
      </c>
      <c r="B97" s="4"/>
      <c r="C97" s="4"/>
      <c r="D97" s="4" t="b">
        <f t="shared" si="1"/>
        <v>1</v>
      </c>
      <c r="E97" s="4" t="str">
        <f t="shared" si="2"/>
        <v>MONTAUD - NUITS</v>
      </c>
    </row>
    <row r="98">
      <c r="A98" s="3" t="s">
        <v>131</v>
      </c>
      <c r="B98" s="3">
        <v>0.0</v>
      </c>
      <c r="C98" s="3" t="s">
        <v>3</v>
      </c>
      <c r="D98" s="4" t="b">
        <f t="shared" si="1"/>
        <v>0</v>
      </c>
      <c r="E98" s="4" t="str">
        <f t="shared" si="2"/>
        <v>AMICALE LAIQUE LEONARD LENOIR</v>
      </c>
    </row>
    <row r="99">
      <c r="A99" s="3" t="s">
        <v>132</v>
      </c>
      <c r="B99" s="3">
        <v>0.0</v>
      </c>
      <c r="C99" s="3" t="s">
        <v>3</v>
      </c>
      <c r="D99" s="4" t="b">
        <f t="shared" si="1"/>
        <v>0</v>
      </c>
      <c r="E99" s="4" t="str">
        <f t="shared" si="2"/>
        <v>AMICALE NATIONALE DES RETRAITES DE L'AUDIOVISUEL</v>
      </c>
    </row>
    <row r="100">
      <c r="A100" s="3" t="s">
        <v>133</v>
      </c>
      <c r="B100" s="3">
        <v>2000.0</v>
      </c>
      <c r="C100" s="3" t="s">
        <v>3</v>
      </c>
      <c r="D100" s="4" t="b">
        <f t="shared" si="1"/>
        <v>0</v>
      </c>
      <c r="E100" s="4" t="str">
        <f t="shared" si="2"/>
        <v>AMIS D'ARS ET FIDES BORDEAUX</v>
      </c>
    </row>
    <row r="101">
      <c r="A101" s="3" t="s">
        <v>134</v>
      </c>
      <c r="B101" s="3">
        <v>750.0</v>
      </c>
      <c r="C101" s="3" t="s">
        <v>3</v>
      </c>
      <c r="D101" s="4" t="b">
        <f t="shared" si="1"/>
        <v>0</v>
      </c>
      <c r="E101" s="4" t="str">
        <f t="shared" si="2"/>
        <v>AMIS D'ICI ET D'AILLEURS</v>
      </c>
    </row>
    <row r="102">
      <c r="A102" s="3" t="s">
        <v>136</v>
      </c>
      <c r="B102" s="3">
        <v>3109.0</v>
      </c>
      <c r="C102" s="4"/>
      <c r="D102" s="4" t="b">
        <f t="shared" si="1"/>
        <v>0</v>
      </c>
      <c r="E102" s="4" t="str">
        <f t="shared" si="2"/>
        <v>AMIS DE L'HOTEL DE LALANDE</v>
      </c>
    </row>
    <row r="103">
      <c r="A103" s="3" t="s">
        <v>138</v>
      </c>
      <c r="B103" s="3">
        <v>11011.0</v>
      </c>
      <c r="C103" s="4"/>
      <c r="D103" s="4" t="b">
        <f t="shared" si="1"/>
        <v>0</v>
      </c>
      <c r="E103" s="4" t="str">
        <f t="shared" si="2"/>
        <v>AMIS DE L'ORCHESTRE D'HARMONIE DE BORDEAUX</v>
      </c>
    </row>
    <row r="104">
      <c r="A104" s="3" t="s">
        <v>140</v>
      </c>
      <c r="B104" s="3">
        <v>0.0</v>
      </c>
      <c r="C104" s="3" t="s">
        <v>6</v>
      </c>
      <c r="D104" s="4" t="b">
        <f t="shared" si="1"/>
        <v>0</v>
      </c>
      <c r="E104" s="4" t="str">
        <f t="shared" si="2"/>
        <v>AMIS DU CAPC MUSEE</v>
      </c>
    </row>
    <row r="105">
      <c r="A105" s="3" t="s">
        <v>141</v>
      </c>
      <c r="B105" s="3">
        <v>0.0</v>
      </c>
      <c r="C105" s="3" t="s">
        <v>3</v>
      </c>
      <c r="D105" s="4" t="b">
        <f t="shared" si="1"/>
        <v>0</v>
      </c>
      <c r="E105" s="4" t="str">
        <f t="shared" si="2"/>
        <v>AMITIES FRANCAISES</v>
      </c>
    </row>
    <row r="106">
      <c r="A106" s="3" t="s">
        <v>142</v>
      </c>
      <c r="B106" s="3">
        <v>0.0</v>
      </c>
      <c r="C106" s="3" t="s">
        <v>3</v>
      </c>
      <c r="D106" s="4" t="b">
        <f t="shared" si="1"/>
        <v>0</v>
      </c>
      <c r="E106" s="4" t="str">
        <f t="shared" si="2"/>
        <v>AMITIES GENEALOGIQUES BORDELAISES</v>
      </c>
    </row>
    <row r="107">
      <c r="A107" s="3" t="s">
        <v>143</v>
      </c>
      <c r="B107" s="3">
        <v>0.0</v>
      </c>
      <c r="C107" s="3" t="s">
        <v>32</v>
      </c>
      <c r="D107" s="4" t="b">
        <f t="shared" si="1"/>
        <v>0</v>
      </c>
      <c r="E107" s="4" t="str">
        <f t="shared" si="2"/>
        <v>AMNESTY INTERNATIONAL GROUPE 234 DE BORDEAUX CENTRE</v>
      </c>
    </row>
    <row r="108">
      <c r="A108" s="3" t="s">
        <v>144</v>
      </c>
      <c r="B108" s="3">
        <v>0.0</v>
      </c>
      <c r="C108" s="3" t="s">
        <v>3</v>
      </c>
      <c r="D108" s="4" t="b">
        <f t="shared" si="1"/>
        <v>0</v>
      </c>
      <c r="E108" s="4" t="str">
        <f t="shared" si="2"/>
        <v>AMOR DEL TANGO</v>
      </c>
    </row>
    <row r="109">
      <c r="A109" s="3" t="s">
        <v>145</v>
      </c>
      <c r="B109" s="3">
        <v>15000.0</v>
      </c>
      <c r="C109" s="4"/>
      <c r="D109" s="4" t="b">
        <f t="shared" si="1"/>
        <v>0</v>
      </c>
      <c r="E109" s="4" t="str">
        <f t="shared" si="2"/>
        <v>AMOS</v>
      </c>
    </row>
    <row r="110">
      <c r="A110" s="3" t="s">
        <v>147</v>
      </c>
      <c r="B110" s="3">
        <v>0.0</v>
      </c>
      <c r="C110" s="3" t="s">
        <v>3</v>
      </c>
      <c r="D110" s="4" t="b">
        <f t="shared" si="1"/>
        <v>0</v>
      </c>
      <c r="E110" s="4" t="str">
        <f t="shared" si="2"/>
        <v>ANCIENS BASTIDIENS-CLUB</v>
      </c>
    </row>
    <row r="111">
      <c r="A111" s="3" t="s">
        <v>148</v>
      </c>
      <c r="B111" s="3">
        <v>0.0</v>
      </c>
      <c r="C111" s="3" t="s">
        <v>6</v>
      </c>
      <c r="D111" s="4" t="b">
        <f t="shared" si="1"/>
        <v>0</v>
      </c>
      <c r="E111" s="4" t="str">
        <f t="shared" si="2"/>
        <v>ANIMATIONS VILLAGE SAINT-SEURIN</v>
      </c>
    </row>
    <row r="112">
      <c r="A112" s="3" t="s">
        <v>149</v>
      </c>
      <c r="B112" s="3">
        <v>30000.0</v>
      </c>
      <c r="C112" s="3" t="s">
        <v>3</v>
      </c>
      <c r="D112" s="4" t="b">
        <f t="shared" si="1"/>
        <v>0</v>
      </c>
      <c r="E112" s="4" t="str">
        <f t="shared" si="2"/>
        <v>ANPAA - ASSOCIATION NATIONALE DE PREVENTION EN ALCOOLOGIE ET EN ADDICTOLOGIE</v>
      </c>
    </row>
    <row r="113">
      <c r="A113" s="3" t="s">
        <v>151</v>
      </c>
      <c r="B113" s="4"/>
      <c r="C113" s="4"/>
      <c r="D113" s="4" t="b">
        <f t="shared" si="1"/>
        <v>1</v>
      </c>
      <c r="E113" s="4" t="str">
        <f t="shared" si="2"/>
        <v>ALCOOLOGIE ET EN ADDICTOLOGIE</v>
      </c>
    </row>
    <row r="114">
      <c r="A114" s="3" t="s">
        <v>152</v>
      </c>
      <c r="B114" s="3">
        <v>1500.0</v>
      </c>
      <c r="C114" s="4"/>
      <c r="D114" s="4" t="b">
        <f t="shared" si="1"/>
        <v>0</v>
      </c>
      <c r="E114" s="4" t="str">
        <f t="shared" si="2"/>
        <v>APEC (33PASSAJE )</v>
      </c>
    </row>
    <row r="115">
      <c r="A115" s="3" t="s">
        <v>153</v>
      </c>
      <c r="B115" s="3">
        <v>0.0</v>
      </c>
      <c r="C115" s="3" t="s">
        <v>29</v>
      </c>
      <c r="D115" s="4" t="b">
        <f t="shared" si="1"/>
        <v>0</v>
      </c>
      <c r="E115" s="4" t="str">
        <f t="shared" si="2"/>
        <v>APNEE 33</v>
      </c>
    </row>
    <row r="116">
      <c r="A116" s="3" t="s">
        <v>154</v>
      </c>
      <c r="B116" s="3">
        <v>0.0</v>
      </c>
      <c r="C116" s="3" t="s">
        <v>32</v>
      </c>
      <c r="D116" s="4" t="b">
        <f t="shared" si="1"/>
        <v>0</v>
      </c>
      <c r="E116" s="4" t="str">
        <f t="shared" si="2"/>
        <v>APPEL DES CENT POUR LA PAIX COLLECTIF BORDELAIS</v>
      </c>
    </row>
    <row r="117">
      <c r="A117" s="3" t="s">
        <v>155</v>
      </c>
      <c r="B117" s="3">
        <v>0.0</v>
      </c>
      <c r="C117" s="3" t="s">
        <v>3</v>
      </c>
      <c r="D117" s="4" t="b">
        <f t="shared" si="1"/>
        <v>0</v>
      </c>
      <c r="E117" s="4" t="str">
        <f t="shared" si="2"/>
        <v>APPRENDRE AVEC MONTESSORI AUJOURD'HUI</v>
      </c>
    </row>
    <row r="118">
      <c r="A118" s="3" t="s">
        <v>156</v>
      </c>
      <c r="B118" s="3">
        <v>0.0</v>
      </c>
      <c r="C118" s="3" t="s">
        <v>6</v>
      </c>
      <c r="D118" s="4" t="b">
        <f t="shared" si="1"/>
        <v>0</v>
      </c>
      <c r="E118" s="4" t="str">
        <f t="shared" si="2"/>
        <v>APPRENTIS D'AUTEUIL - DELEGATION AQUITAINE</v>
      </c>
    </row>
    <row r="119">
      <c r="A119" s="3" t="s">
        <v>157</v>
      </c>
      <c r="B119" s="3">
        <v>3000.0</v>
      </c>
      <c r="C119" s="4"/>
      <c r="D119" s="4" t="b">
        <f t="shared" si="1"/>
        <v>0</v>
      </c>
      <c r="E119" s="4" t="str">
        <f t="shared" si="2"/>
        <v>APPRENTISSA'JEU</v>
      </c>
    </row>
    <row r="120">
      <c r="A120" s="3" t="s">
        <v>158</v>
      </c>
      <c r="B120" s="3">
        <v>7932.0</v>
      </c>
      <c r="C120" s="4"/>
      <c r="D120" s="4" t="b">
        <f t="shared" si="1"/>
        <v>0</v>
      </c>
      <c r="E120" s="4" t="str">
        <f t="shared" si="2"/>
        <v>APSARAS</v>
      </c>
    </row>
    <row r="121">
      <c r="A121" s="3" t="s">
        <v>160</v>
      </c>
      <c r="B121" s="3">
        <v>0.0</v>
      </c>
      <c r="C121" s="3" t="s">
        <v>26</v>
      </c>
      <c r="D121" s="4" t="b">
        <f t="shared" si="1"/>
        <v>0</v>
      </c>
      <c r="E121" s="4" t="str">
        <f t="shared" si="2"/>
        <v>AQUATIC BORDEAUX CAUDERAN CLUB - AB2C</v>
      </c>
    </row>
    <row r="122">
      <c r="A122" s="3" t="s">
        <v>161</v>
      </c>
      <c r="B122" s="3">
        <v>21000.0</v>
      </c>
      <c r="C122" s="3" t="s">
        <v>32</v>
      </c>
      <c r="D122" s="4" t="b">
        <f t="shared" si="1"/>
        <v>0</v>
      </c>
      <c r="E122" s="4" t="str">
        <f t="shared" si="2"/>
        <v>AQUINUM - ASSOCIATION DES PROFESSIONNELS DU NUMERIQUE EN AQUITAINE</v>
      </c>
    </row>
    <row r="123">
      <c r="A123" s="3" t="s">
        <v>163</v>
      </c>
      <c r="B123" s="4"/>
      <c r="C123" s="4"/>
      <c r="D123" s="4" t="b">
        <f t="shared" si="1"/>
        <v>1</v>
      </c>
      <c r="E123" s="4" t="str">
        <f t="shared" si="2"/>
        <v>EN AQUITAINE</v>
      </c>
    </row>
    <row r="124">
      <c r="A124" s="3" t="s">
        <v>164</v>
      </c>
      <c r="B124" s="3">
        <v>7500.0</v>
      </c>
      <c r="C124" s="4"/>
      <c r="D124" s="4" t="b">
        <f t="shared" si="1"/>
        <v>0</v>
      </c>
      <c r="E124" s="4" t="str">
        <f t="shared" si="2"/>
        <v>AQUITAINE ACTIVE</v>
      </c>
    </row>
    <row r="125">
      <c r="A125" s="3" t="s">
        <v>166</v>
      </c>
      <c r="B125" s="3">
        <v>2700.0</v>
      </c>
      <c r="C125" s="4"/>
      <c r="D125" s="4" t="b">
        <f t="shared" si="1"/>
        <v>0</v>
      </c>
      <c r="E125" s="4" t="str">
        <f t="shared" si="2"/>
        <v>AQUITAINE CULTURE</v>
      </c>
    </row>
    <row r="126">
      <c r="A126" s="3" t="s">
        <v>168</v>
      </c>
      <c r="B126" s="3">
        <v>2500.0</v>
      </c>
      <c r="C126" s="4"/>
      <c r="D126" s="4" t="b">
        <f t="shared" si="1"/>
        <v>0</v>
      </c>
      <c r="E126" s="4" t="str">
        <f t="shared" si="2"/>
        <v>AQUITAINE PARTAGE</v>
      </c>
    </row>
    <row r="127">
      <c r="A127" s="3" t="s">
        <v>169</v>
      </c>
      <c r="B127" s="3">
        <v>0.0</v>
      </c>
      <c r="C127" s="3" t="s">
        <v>29</v>
      </c>
      <c r="D127" s="4" t="b">
        <f t="shared" si="1"/>
        <v>0</v>
      </c>
      <c r="E127" s="4" t="str">
        <f t="shared" si="2"/>
        <v>AQUITAINE PLONGEE SPORT NAUTIQUE APSN</v>
      </c>
    </row>
    <row r="128">
      <c r="A128" s="3" t="s">
        <v>170</v>
      </c>
      <c r="B128" s="3">
        <v>0.0</v>
      </c>
      <c r="C128" s="3" t="s">
        <v>3</v>
      </c>
      <c r="D128" s="4" t="b">
        <f t="shared" si="1"/>
        <v>0</v>
      </c>
      <c r="E128" s="4" t="str">
        <f t="shared" si="2"/>
        <v>AQUITAINE PREFI-CRESS</v>
      </c>
    </row>
    <row r="129">
      <c r="A129" s="3" t="s">
        <v>171</v>
      </c>
      <c r="B129" s="3">
        <v>12000.0</v>
      </c>
      <c r="C129" s="3" t="s">
        <v>6</v>
      </c>
      <c r="D129" s="4" t="b">
        <f t="shared" si="1"/>
        <v>0</v>
      </c>
      <c r="E129" s="4" t="str">
        <f t="shared" si="2"/>
        <v>AQUITEC</v>
      </c>
    </row>
    <row r="130">
      <c r="A130" s="3" t="s">
        <v>173</v>
      </c>
      <c r="B130" s="3">
        <v>4000.0</v>
      </c>
      <c r="C130" s="4"/>
      <c r="D130" s="4" t="b">
        <f t="shared" si="1"/>
        <v>0</v>
      </c>
      <c r="E130" s="4" t="str">
        <f t="shared" si="2"/>
        <v>AR'KHAN</v>
      </c>
    </row>
    <row r="131">
      <c r="A131" s="3" t="s">
        <v>174</v>
      </c>
      <c r="B131" s="3">
        <v>752250.0</v>
      </c>
      <c r="C131" s="3" t="s">
        <v>176</v>
      </c>
      <c r="D131" s="4" t="b">
        <f t="shared" si="1"/>
        <v>0</v>
      </c>
      <c r="E131" s="4" t="str">
        <f t="shared" si="2"/>
        <v>ARC EN REVE</v>
      </c>
    </row>
    <row r="132">
      <c r="A132" s="3" t="s">
        <v>177</v>
      </c>
      <c r="B132" s="3">
        <v>0.0</v>
      </c>
      <c r="C132" s="3" t="s">
        <v>3</v>
      </c>
      <c r="D132" s="4" t="b">
        <f t="shared" si="1"/>
        <v>0</v>
      </c>
      <c r="E132" s="4" t="str">
        <f t="shared" si="2"/>
        <v>ARC'ANGECIEL VOYAGES</v>
      </c>
    </row>
    <row r="133">
      <c r="A133" s="3" t="s">
        <v>178</v>
      </c>
      <c r="B133" s="3">
        <v>0.0</v>
      </c>
      <c r="C133" s="3" t="s">
        <v>6</v>
      </c>
      <c r="D133" s="4" t="b">
        <f t="shared" si="1"/>
        <v>0</v>
      </c>
      <c r="E133" s="4" t="str">
        <f t="shared" si="2"/>
        <v>ARCHIMUSE - BORDEAUX</v>
      </c>
    </row>
    <row r="134">
      <c r="A134" s="3" t="s">
        <v>179</v>
      </c>
      <c r="B134" s="3">
        <v>0.0</v>
      </c>
      <c r="C134" s="3" t="s">
        <v>3</v>
      </c>
      <c r="D134" s="4" t="b">
        <f t="shared" si="1"/>
        <v>0</v>
      </c>
      <c r="E134" s="4" t="str">
        <f t="shared" si="2"/>
        <v>AREPT</v>
      </c>
    </row>
    <row r="135">
      <c r="A135" s="3" t="s">
        <v>180</v>
      </c>
      <c r="B135" s="3">
        <v>9880.0</v>
      </c>
      <c r="C135" s="4"/>
      <c r="D135" s="4" t="b">
        <f t="shared" si="1"/>
        <v>0</v>
      </c>
      <c r="E135" s="4" t="str">
        <f t="shared" si="2"/>
        <v>ARESVI</v>
      </c>
    </row>
    <row r="136">
      <c r="A136" s="3" t="s">
        <v>182</v>
      </c>
      <c r="B136" s="3">
        <v>0.0</v>
      </c>
      <c r="C136" s="3" t="s">
        <v>3</v>
      </c>
      <c r="D136" s="4" t="b">
        <f t="shared" si="1"/>
        <v>0</v>
      </c>
      <c r="E136" s="4" t="str">
        <f t="shared" si="2"/>
        <v>ART EN ACTION - TIC-TAC THEATRE</v>
      </c>
    </row>
    <row r="137">
      <c r="A137" s="3" t="s">
        <v>183</v>
      </c>
      <c r="B137" s="3">
        <v>0.0</v>
      </c>
      <c r="C137" s="3" t="s">
        <v>3</v>
      </c>
      <c r="D137" s="4" t="b">
        <f t="shared" si="1"/>
        <v>0</v>
      </c>
      <c r="E137" s="4" t="str">
        <f t="shared" si="2"/>
        <v>ART EN PRODUCTION</v>
      </c>
    </row>
    <row r="138">
      <c r="A138" s="3" t="s">
        <v>184</v>
      </c>
      <c r="B138" s="3">
        <v>0.0</v>
      </c>
      <c r="C138" s="3" t="s">
        <v>3</v>
      </c>
      <c r="D138" s="4" t="b">
        <f t="shared" si="1"/>
        <v>0</v>
      </c>
      <c r="E138" s="4" t="str">
        <f t="shared" si="2"/>
        <v>ART MEDIUM EN SCENES</v>
      </c>
    </row>
    <row r="139">
      <c r="A139" s="3" t="s">
        <v>185</v>
      </c>
      <c r="B139" s="3">
        <v>0.0</v>
      </c>
      <c r="C139" s="3" t="s">
        <v>6</v>
      </c>
      <c r="D139" s="4" t="b">
        <f t="shared" si="1"/>
        <v>0</v>
      </c>
      <c r="E139" s="4" t="str">
        <f t="shared" si="2"/>
        <v>ART PASTEL</v>
      </c>
    </row>
    <row r="140">
      <c r="A140" s="3" t="s">
        <v>186</v>
      </c>
      <c r="B140" s="3">
        <v>0.0</v>
      </c>
      <c r="C140" s="3" t="s">
        <v>6</v>
      </c>
      <c r="D140" s="4" t="b">
        <f t="shared" si="1"/>
        <v>0</v>
      </c>
      <c r="E140" s="4" t="str">
        <f t="shared" si="2"/>
        <v>ARTISANS DU MONDE BORDEAUX</v>
      </c>
    </row>
    <row r="141">
      <c r="A141" s="3" t="s">
        <v>187</v>
      </c>
      <c r="B141" s="3">
        <v>0.0</v>
      </c>
      <c r="C141" s="3" t="s">
        <v>3</v>
      </c>
      <c r="D141" s="4" t="b">
        <f t="shared" si="1"/>
        <v>0</v>
      </c>
      <c r="E141" s="4" t="str">
        <f t="shared" si="2"/>
        <v>ARTS CROISES</v>
      </c>
    </row>
    <row r="142">
      <c r="A142" s="3" t="s">
        <v>188</v>
      </c>
      <c r="B142" s="3">
        <v>0.0</v>
      </c>
      <c r="C142" s="3" t="s">
        <v>32</v>
      </c>
      <c r="D142" s="4" t="b">
        <f t="shared" si="1"/>
        <v>0</v>
      </c>
      <c r="E142" s="4" t="str">
        <f t="shared" si="2"/>
        <v>ARTS ET COMMUNICATION DU MONDE - ACM</v>
      </c>
    </row>
    <row r="143">
      <c r="A143" s="3" t="s">
        <v>189</v>
      </c>
      <c r="B143" s="3">
        <v>0.0</v>
      </c>
      <c r="C143" s="3" t="s">
        <v>3</v>
      </c>
      <c r="D143" s="4" t="b">
        <f t="shared" si="1"/>
        <v>0</v>
      </c>
      <c r="E143" s="4" t="str">
        <f t="shared" si="2"/>
        <v>ARTS ET LETTRES DE FRANCE ASSOCIATION CULTURELLE INTERNATIONALE</v>
      </c>
    </row>
    <row r="144">
      <c r="A144" s="3" t="s">
        <v>190</v>
      </c>
      <c r="B144" s="4"/>
      <c r="C144" s="4"/>
      <c r="D144" s="4" t="b">
        <f t="shared" si="1"/>
        <v>1</v>
      </c>
      <c r="E144" s="4" t="str">
        <f t="shared" si="2"/>
        <v>INTERNATIONALE</v>
      </c>
    </row>
    <row r="145">
      <c r="A145" s="3" t="s">
        <v>191</v>
      </c>
      <c r="B145" s="3">
        <v>0.0</v>
      </c>
      <c r="C145" s="3" t="s">
        <v>3</v>
      </c>
      <c r="D145" s="4" t="b">
        <f t="shared" si="1"/>
        <v>0</v>
      </c>
      <c r="E145" s="4" t="str">
        <f t="shared" si="2"/>
        <v>ARTS ET SCIENCES</v>
      </c>
    </row>
    <row r="146">
      <c r="A146" s="3" t="s">
        <v>192</v>
      </c>
      <c r="B146" s="3">
        <v>0.0</v>
      </c>
      <c r="C146" s="3" t="s">
        <v>26</v>
      </c>
      <c r="D146" s="4" t="b">
        <f t="shared" si="1"/>
        <v>0</v>
      </c>
      <c r="E146" s="4" t="str">
        <f t="shared" si="2"/>
        <v>ARTS MARTIAUX ET BIEN ETRE</v>
      </c>
    </row>
    <row r="147">
      <c r="A147" s="3" t="s">
        <v>193</v>
      </c>
      <c r="B147" s="3">
        <v>1000.0</v>
      </c>
      <c r="C147" s="3" t="s">
        <v>29</v>
      </c>
      <c r="D147" s="4" t="b">
        <f t="shared" si="1"/>
        <v>0</v>
      </c>
      <c r="E147" s="4" t="str">
        <f t="shared" si="2"/>
        <v>ARTS MARTIAUX SHAOLIN BORDEAUX</v>
      </c>
    </row>
    <row r="148">
      <c r="A148" s="3" t="s">
        <v>194</v>
      </c>
      <c r="B148" s="3">
        <v>0.0</v>
      </c>
      <c r="C148" s="3" t="s">
        <v>29</v>
      </c>
      <c r="D148" s="4" t="b">
        <f t="shared" si="1"/>
        <v>0</v>
      </c>
      <c r="E148" s="4" t="str">
        <f t="shared" si="2"/>
        <v>ARTS MARTIAUX TRADITIONNELS BORDELAIS</v>
      </c>
    </row>
    <row r="149">
      <c r="A149" s="3" t="s">
        <v>195</v>
      </c>
      <c r="B149" s="3">
        <v>0.0</v>
      </c>
      <c r="C149" s="3" t="s">
        <v>3</v>
      </c>
      <c r="D149" s="4" t="b">
        <f t="shared" si="1"/>
        <v>0</v>
      </c>
      <c r="E149" s="4" t="str">
        <f t="shared" si="2"/>
        <v>ASAD DE BORDEAUX, ASSOCIATION SERVICES D’AIDE A DOMICILE DE BORDEAUX</v>
      </c>
    </row>
    <row r="150">
      <c r="A150" s="3" t="s">
        <v>196</v>
      </c>
      <c r="B150" s="4"/>
      <c r="C150" s="4"/>
      <c r="D150" s="4" t="b">
        <f t="shared" si="1"/>
        <v>1</v>
      </c>
      <c r="E150" s="4" t="str">
        <f t="shared" si="2"/>
        <v>DE BORDEAUX</v>
      </c>
    </row>
    <row r="151">
      <c r="A151" s="3" t="s">
        <v>197</v>
      </c>
      <c r="B151" s="3">
        <v>0.0</v>
      </c>
      <c r="C151" s="3" t="s">
        <v>29</v>
      </c>
      <c r="D151" s="4" t="b">
        <f t="shared" si="1"/>
        <v>0</v>
      </c>
      <c r="E151" s="4" t="str">
        <f t="shared" si="2"/>
        <v>ASC BNP PARIBAS BX TT</v>
      </c>
    </row>
    <row r="152">
      <c r="A152" s="3" t="s">
        <v>198</v>
      </c>
      <c r="B152" s="3">
        <v>0.0</v>
      </c>
      <c r="C152" s="3" t="s">
        <v>3</v>
      </c>
      <c r="D152" s="4" t="b">
        <f t="shared" si="1"/>
        <v>0</v>
      </c>
      <c r="E152" s="4" t="str">
        <f t="shared" si="2"/>
        <v>ASPER 33</v>
      </c>
    </row>
    <row r="153">
      <c r="A153" s="3" t="s">
        <v>199</v>
      </c>
      <c r="B153" s="3">
        <v>4850.0</v>
      </c>
      <c r="C153" s="4"/>
      <c r="D153" s="4" t="b">
        <f t="shared" si="1"/>
        <v>0</v>
      </c>
      <c r="E153" s="4" t="str">
        <f t="shared" si="2"/>
        <v>ASPOM JUDO CLUB</v>
      </c>
    </row>
    <row r="154">
      <c r="A154" s="3" t="s">
        <v>201</v>
      </c>
      <c r="B154" s="3">
        <v>0.0</v>
      </c>
      <c r="C154" s="3" t="s">
        <v>32</v>
      </c>
      <c r="D154" s="4" t="b">
        <f t="shared" si="1"/>
        <v>0</v>
      </c>
      <c r="E154" s="4" t="str">
        <f t="shared" si="2"/>
        <v>ASSOCIATION "LA BOULANGERIE"</v>
      </c>
    </row>
    <row r="155">
      <c r="A155" s="3" t="s">
        <v>202</v>
      </c>
      <c r="B155" s="3">
        <v>0.0</v>
      </c>
      <c r="C155" s="3" t="s">
        <v>3</v>
      </c>
      <c r="D155" s="4" t="b">
        <f t="shared" si="1"/>
        <v>0</v>
      </c>
      <c r="E155" s="4" t="str">
        <f t="shared" si="2"/>
        <v>ASSOCIATION AFRICAN SOLIDARITE FRANCE (AASF)</v>
      </c>
    </row>
    <row r="156">
      <c r="A156" s="3" t="s">
        <v>203</v>
      </c>
      <c r="B156" s="3">
        <v>15280.0</v>
      </c>
      <c r="C156" s="4"/>
      <c r="D156" s="4" t="b">
        <f t="shared" si="1"/>
        <v>0</v>
      </c>
      <c r="E156" s="4" t="str">
        <f t="shared" si="2"/>
        <v>ASSOCIATION ALCHIMIST</v>
      </c>
    </row>
    <row r="157">
      <c r="A157" s="3" t="s">
        <v>205</v>
      </c>
      <c r="B157" s="3">
        <v>0.0</v>
      </c>
      <c r="C157" s="3" t="s">
        <v>3</v>
      </c>
      <c r="D157" s="4" t="b">
        <f t="shared" si="1"/>
        <v>0</v>
      </c>
      <c r="E157" s="4" t="str">
        <f t="shared" si="2"/>
        <v>ASSOCIATION AMITIE LAO MEKONG DE LA GIRONDE</v>
      </c>
    </row>
    <row r="158">
      <c r="A158" s="3" t="s">
        <v>206</v>
      </c>
      <c r="B158" s="3">
        <v>0.0</v>
      </c>
      <c r="C158" s="3" t="s">
        <v>3</v>
      </c>
      <c r="D158" s="4" t="b">
        <f t="shared" si="1"/>
        <v>0</v>
      </c>
      <c r="E158" s="4" t="str">
        <f t="shared" si="2"/>
        <v>ASSOCIATION AQUITAINE DE QUILLES FINLANDAISES (QUIF)</v>
      </c>
    </row>
    <row r="159">
      <c r="A159" s="3" t="s">
        <v>207</v>
      </c>
      <c r="B159" s="3">
        <v>0.0</v>
      </c>
      <c r="C159" s="3" t="s">
        <v>3</v>
      </c>
      <c r="D159" s="4" t="b">
        <f t="shared" si="1"/>
        <v>0</v>
      </c>
      <c r="E159" s="4" t="str">
        <f t="shared" si="2"/>
        <v>ASSOCIATION ARTS &amp; RENCONTRES</v>
      </c>
    </row>
    <row r="160">
      <c r="A160" s="3" t="s">
        <v>208</v>
      </c>
      <c r="B160" s="3">
        <v>0.0</v>
      </c>
      <c r="C160" s="3" t="s">
        <v>3</v>
      </c>
      <c r="D160" s="4" t="b">
        <f t="shared" si="1"/>
        <v>0</v>
      </c>
      <c r="E160" s="4" t="str">
        <f t="shared" si="2"/>
        <v>ASSOCIATION AUTONOME DES PARENTS D'ELEVES DE BORDEAUX : ECOLES JEAN COCTEAU</v>
      </c>
    </row>
    <row r="161">
      <c r="A161" s="3" t="s">
        <v>209</v>
      </c>
      <c r="B161" s="4"/>
      <c r="C161" s="4"/>
      <c r="D161" s="4" t="b">
        <f t="shared" si="1"/>
        <v>1</v>
      </c>
      <c r="E161" s="4" t="str">
        <f t="shared" si="2"/>
        <v>ECOLES JEAN COCTEAU</v>
      </c>
    </row>
    <row r="162">
      <c r="A162" s="3" t="s">
        <v>210</v>
      </c>
      <c r="B162" s="3">
        <v>0.0</v>
      </c>
      <c r="C162" s="3" t="s">
        <v>3</v>
      </c>
      <c r="D162" s="4" t="b">
        <f t="shared" si="1"/>
        <v>0</v>
      </c>
      <c r="E162" s="4" t="str">
        <f t="shared" si="2"/>
        <v>ASSOCIATION BI-IZARRAK (LES DEUX ETOILES)</v>
      </c>
    </row>
    <row r="163">
      <c r="A163" s="3" t="s">
        <v>211</v>
      </c>
      <c r="B163" s="3">
        <v>0.0</v>
      </c>
      <c r="C163" s="3" t="s">
        <v>6</v>
      </c>
      <c r="D163" s="4" t="b">
        <f t="shared" si="1"/>
        <v>0</v>
      </c>
      <c r="E163" s="4" t="str">
        <f t="shared" si="2"/>
        <v>ASSOCIATION BORDEAUX - USA</v>
      </c>
    </row>
    <row r="164">
      <c r="A164" s="3" t="s">
        <v>212</v>
      </c>
      <c r="B164" s="3">
        <v>0.0</v>
      </c>
      <c r="C164" s="3" t="s">
        <v>29</v>
      </c>
      <c r="D164" s="4" t="b">
        <f t="shared" si="1"/>
        <v>0</v>
      </c>
      <c r="E164" s="4" t="str">
        <f t="shared" si="2"/>
        <v>ASSOCIATION BORDEAUX CULTURE GRAPPLING (ABC GRAPPLING)</v>
      </c>
    </row>
    <row r="165">
      <c r="A165" s="3" t="s">
        <v>213</v>
      </c>
      <c r="B165" s="3">
        <v>3220.0</v>
      </c>
      <c r="C165" s="4"/>
      <c r="D165" s="4" t="b">
        <f t="shared" si="1"/>
        <v>0</v>
      </c>
      <c r="E165" s="4" t="str">
        <f t="shared" si="2"/>
        <v>ASSOCIATION BORDEAUX GAMES</v>
      </c>
    </row>
    <row r="166">
      <c r="A166" s="3" t="s">
        <v>215</v>
      </c>
      <c r="B166" s="3">
        <v>0.0</v>
      </c>
      <c r="C166" s="3" t="s">
        <v>216</v>
      </c>
      <c r="D166" s="4" t="b">
        <f t="shared" si="1"/>
        <v>0</v>
      </c>
      <c r="E166" s="4" t="str">
        <f t="shared" si="2"/>
        <v>ASSOCIATION BORDEAUX QUINCONCES</v>
      </c>
    </row>
    <row r="167">
      <c r="A167" s="3" t="s">
        <v>217</v>
      </c>
      <c r="B167" s="3">
        <v>3500.0</v>
      </c>
      <c r="C167" s="3" t="s">
        <v>3</v>
      </c>
      <c r="D167" s="4" t="b">
        <f t="shared" si="1"/>
        <v>0</v>
      </c>
      <c r="E167" s="4" t="str">
        <f t="shared" si="2"/>
        <v>ASSOCIATION BORDEAUX-COMPOSTELLE HOSPITALITE SAINT-JACQUES</v>
      </c>
    </row>
    <row r="168">
      <c r="A168" s="3" t="s">
        <v>219</v>
      </c>
      <c r="B168" s="4"/>
      <c r="C168" s="4"/>
      <c r="D168" s="4" t="b">
        <f t="shared" si="1"/>
        <v>1</v>
      </c>
      <c r="E168" s="4" t="str">
        <f t="shared" si="2"/>
        <v>SAINT-JACQUES</v>
      </c>
    </row>
    <row r="169">
      <c r="A169" s="3" t="s">
        <v>220</v>
      </c>
      <c r="B169" s="3">
        <v>0.0</v>
      </c>
      <c r="C169" s="3" t="s">
        <v>6</v>
      </c>
      <c r="D169" s="4" t="b">
        <f t="shared" si="1"/>
        <v>0</v>
      </c>
      <c r="E169" s="4" t="str">
        <f t="shared" si="2"/>
        <v>ASSOCIATION BORDEAUX-TANESSE</v>
      </c>
    </row>
    <row r="170">
      <c r="A170" s="3" t="s">
        <v>221</v>
      </c>
      <c r="B170" s="3">
        <v>0.0</v>
      </c>
      <c r="C170" s="3" t="s">
        <v>29</v>
      </c>
      <c r="D170" s="4" t="b">
        <f t="shared" si="1"/>
        <v>0</v>
      </c>
      <c r="E170" s="4" t="str">
        <f t="shared" si="2"/>
        <v>ASSOCIATION BORDELAISE DE TAEKWONDO INTERNATIONAL ATLANTICA</v>
      </c>
    </row>
    <row r="171">
      <c r="A171" s="3" t="s">
        <v>222</v>
      </c>
      <c r="B171" s="4"/>
      <c r="C171" s="4"/>
      <c r="D171" s="4" t="b">
        <f t="shared" si="1"/>
        <v>1</v>
      </c>
      <c r="E171" s="4" t="str">
        <f t="shared" si="2"/>
        <v>ATLANTICA</v>
      </c>
    </row>
    <row r="172">
      <c r="A172" s="3" t="s">
        <v>223</v>
      </c>
      <c r="B172" s="3">
        <v>532800.0</v>
      </c>
      <c r="C172" s="4"/>
      <c r="D172" s="4" t="b">
        <f t="shared" si="1"/>
        <v>0</v>
      </c>
      <c r="E172" s="4" t="str">
        <f t="shared" si="2"/>
        <v>ASSOCIATION BRINS D'EVEIL</v>
      </c>
    </row>
    <row r="173">
      <c r="A173" s="3" t="s">
        <v>225</v>
      </c>
      <c r="B173" s="3">
        <v>0.0</v>
      </c>
      <c r="C173" s="3" t="s">
        <v>3</v>
      </c>
      <c r="D173" s="4" t="b">
        <f t="shared" si="1"/>
        <v>0</v>
      </c>
      <c r="E173" s="4" t="str">
        <f t="shared" si="2"/>
        <v>ASSOCIATION BULGARE CULTURELLE - ABC</v>
      </c>
    </row>
    <row r="174">
      <c r="A174" s="3" t="s">
        <v>226</v>
      </c>
      <c r="B174" s="3">
        <v>2000.0</v>
      </c>
      <c r="C174" s="3" t="s">
        <v>3</v>
      </c>
      <c r="D174" s="4" t="b">
        <f t="shared" si="1"/>
        <v>0</v>
      </c>
      <c r="E174" s="4" t="str">
        <f t="shared" si="2"/>
        <v>ASSOCIATION COEXISTER</v>
      </c>
    </row>
    <row r="175">
      <c r="A175" s="3" t="s">
        <v>227</v>
      </c>
      <c r="B175" s="3">
        <v>0.0</v>
      </c>
      <c r="C175" s="3" t="s">
        <v>3</v>
      </c>
      <c r="D175" s="4" t="b">
        <f t="shared" si="1"/>
        <v>0</v>
      </c>
      <c r="E175" s="4" t="str">
        <f t="shared" si="2"/>
        <v>ASSOCIATION COMUNIDAD</v>
      </c>
    </row>
    <row r="176">
      <c r="A176" s="3" t="s">
        <v>228</v>
      </c>
      <c r="B176" s="3">
        <v>0.0</v>
      </c>
      <c r="C176" s="3" t="s">
        <v>32</v>
      </c>
      <c r="D176" s="4" t="b">
        <f t="shared" si="1"/>
        <v>0</v>
      </c>
      <c r="E176" s="4" t="str">
        <f t="shared" si="2"/>
        <v>ASSOCIATION CONTRE LA TUBERCULOSE ET LES MALADIES ENDEMIQUES - ACTUME</v>
      </c>
    </row>
    <row r="177">
      <c r="A177" s="3" t="s">
        <v>229</v>
      </c>
      <c r="B177" s="4"/>
      <c r="C177" s="4"/>
      <c r="D177" s="4" t="b">
        <f t="shared" si="1"/>
        <v>1</v>
      </c>
      <c r="E177" s="4" t="str">
        <f t="shared" si="2"/>
        <v>ENDEMIQUES - ACTUME</v>
      </c>
    </row>
    <row r="178">
      <c r="A178" s="3" t="s">
        <v>230</v>
      </c>
      <c r="B178" s="3">
        <v>0.0</v>
      </c>
      <c r="C178" s="3" t="s">
        <v>3</v>
      </c>
      <c r="D178" s="4" t="b">
        <f t="shared" si="1"/>
        <v>0</v>
      </c>
      <c r="E178" s="4" t="str">
        <f t="shared" si="2"/>
        <v>ASSOCIATION COOPERATIVE DE L'INSTITUT UNIVERSITAIRE DE TECHNOLOGIE</v>
      </c>
    </row>
    <row r="179">
      <c r="A179" s="3" t="s">
        <v>231</v>
      </c>
      <c r="B179" s="4"/>
      <c r="C179" s="4"/>
      <c r="D179" s="4" t="b">
        <f t="shared" si="1"/>
        <v>1</v>
      </c>
      <c r="E179" s="4" t="str">
        <f t="shared" si="2"/>
        <v>TECHNOLOGIE</v>
      </c>
    </row>
    <row r="180">
      <c r="A180" s="3" t="s">
        <v>232</v>
      </c>
      <c r="B180" s="3">
        <v>0.0</v>
      </c>
      <c r="C180" s="3" t="s">
        <v>6</v>
      </c>
      <c r="D180" s="4" t="b">
        <f t="shared" si="1"/>
        <v>0</v>
      </c>
      <c r="E180" s="4" t="str">
        <f t="shared" si="2"/>
        <v>ASSOCIATION CREMATISTE DE LA GIRONDE</v>
      </c>
    </row>
    <row r="181">
      <c r="A181" s="3" t="s">
        <v>233</v>
      </c>
      <c r="B181" s="3">
        <v>0.0</v>
      </c>
      <c r="C181" s="3" t="s">
        <v>6</v>
      </c>
      <c r="D181" s="4" t="b">
        <f t="shared" si="1"/>
        <v>0</v>
      </c>
      <c r="E181" s="4" t="str">
        <f t="shared" si="2"/>
        <v>ASSOCIATION CULTURE ET MUSIQUE DE L'ESTUAIRE - ACME</v>
      </c>
    </row>
    <row r="182">
      <c r="A182" s="3" t="s">
        <v>234</v>
      </c>
      <c r="B182" s="3">
        <v>0.0</v>
      </c>
      <c r="C182" s="3" t="s">
        <v>3</v>
      </c>
      <c r="D182" s="4" t="b">
        <f t="shared" si="1"/>
        <v>0</v>
      </c>
      <c r="E182" s="4" t="str">
        <f t="shared" si="2"/>
        <v>ASSOCIATION CULTURELLE DES ALEVIS DE GIRONDE</v>
      </c>
    </row>
    <row r="183">
      <c r="A183" s="3" t="s">
        <v>235</v>
      </c>
      <c r="B183" s="3">
        <v>0.0</v>
      </c>
      <c r="C183" s="3" t="s">
        <v>3</v>
      </c>
      <c r="D183" s="4" t="b">
        <f t="shared" si="1"/>
        <v>0</v>
      </c>
      <c r="E183" s="4" t="str">
        <f t="shared" si="2"/>
        <v>ASSOCIATION CULTURELLE DES ELEVES DU LYCEE MONTESQUIEU - ACELM</v>
      </c>
    </row>
    <row r="184">
      <c r="A184" s="3" t="s">
        <v>236</v>
      </c>
      <c r="B184" s="4"/>
      <c r="C184" s="4"/>
      <c r="D184" s="4" t="b">
        <f t="shared" si="1"/>
        <v>1</v>
      </c>
      <c r="E184" s="4" t="str">
        <f t="shared" si="2"/>
        <v>ACELM</v>
      </c>
    </row>
    <row r="185">
      <c r="A185" s="3" t="s">
        <v>237</v>
      </c>
      <c r="B185" s="3">
        <v>0.0</v>
      </c>
      <c r="C185" s="3" t="s">
        <v>3</v>
      </c>
      <c r="D185" s="4" t="b">
        <f t="shared" si="1"/>
        <v>0</v>
      </c>
      <c r="E185" s="4" t="str">
        <f t="shared" si="2"/>
        <v>ASSOCIATION CULTURELLE DES KABYLES DE BORDEAUX (ACKB)</v>
      </c>
    </row>
    <row r="186">
      <c r="A186" s="3" t="s">
        <v>238</v>
      </c>
      <c r="B186" s="3">
        <v>5500.0</v>
      </c>
      <c r="C186" s="3" t="s">
        <v>3</v>
      </c>
      <c r="D186" s="4" t="b">
        <f t="shared" si="1"/>
        <v>0</v>
      </c>
      <c r="E186" s="4" t="str">
        <f t="shared" si="2"/>
        <v>ASSOCIATION CULTURELLE DU MARCHE DES CHARTRONS</v>
      </c>
    </row>
    <row r="187">
      <c r="A187" s="3" t="s">
        <v>239</v>
      </c>
      <c r="B187" s="3">
        <v>0.0</v>
      </c>
      <c r="C187" s="3" t="s">
        <v>3</v>
      </c>
      <c r="D187" s="4" t="b">
        <f t="shared" si="1"/>
        <v>0</v>
      </c>
      <c r="E187" s="4" t="str">
        <f t="shared" si="2"/>
        <v>ASSOCIATION D'AQUITAINE DES AMIS D'ALGERIANIE</v>
      </c>
    </row>
    <row r="188">
      <c r="A188" s="3" t="s">
        <v>240</v>
      </c>
      <c r="B188" s="3">
        <v>0.0</v>
      </c>
      <c r="C188" s="3" t="s">
        <v>3</v>
      </c>
      <c r="D188" s="4" t="b">
        <f t="shared" si="1"/>
        <v>0</v>
      </c>
      <c r="E188" s="4" t="str">
        <f t="shared" si="2"/>
        <v>ASSOCIATION DAVID ET JONATHAN</v>
      </c>
    </row>
    <row r="189">
      <c r="A189" s="3" t="s">
        <v>241</v>
      </c>
      <c r="B189" s="3">
        <v>0.0</v>
      </c>
      <c r="C189" s="3" t="s">
        <v>6</v>
      </c>
      <c r="D189" s="4" t="b">
        <f t="shared" si="1"/>
        <v>0</v>
      </c>
      <c r="E189" s="4" t="str">
        <f t="shared" si="2"/>
        <v>ASSOCIATION DE CARDIOLOGIE D'AQUITAINE</v>
      </c>
    </row>
    <row r="190">
      <c r="A190" s="3" t="s">
        <v>242</v>
      </c>
      <c r="B190" s="3">
        <v>300.0</v>
      </c>
      <c r="C190" s="3" t="s">
        <v>3</v>
      </c>
      <c r="D190" s="4" t="b">
        <f t="shared" si="1"/>
        <v>0</v>
      </c>
      <c r="E190" s="4" t="str">
        <f t="shared" si="2"/>
        <v>ASSOCIATION DE DEFENSE DES INTERETS DU QUARTIER DE BACALAN - ADIQ</v>
      </c>
    </row>
    <row r="191">
      <c r="A191" s="3" t="s">
        <v>243</v>
      </c>
      <c r="B191" s="4"/>
      <c r="C191" s="4"/>
      <c r="D191" s="4" t="b">
        <f t="shared" si="1"/>
        <v>1</v>
      </c>
      <c r="E191" s="4" t="str">
        <f t="shared" si="2"/>
        <v>BACALAN - ADIQ</v>
      </c>
    </row>
    <row r="192">
      <c r="A192" s="3" t="s">
        <v>244</v>
      </c>
      <c r="B192" s="3">
        <v>50580.0</v>
      </c>
      <c r="C192" s="3" t="s">
        <v>216</v>
      </c>
      <c r="D192" s="4" t="b">
        <f t="shared" si="1"/>
        <v>0</v>
      </c>
      <c r="E192" s="4" t="str">
        <f t="shared" si="2"/>
        <v>ASSOCIATION DE DEFENSE DES MUSIQUES ALTERNATIVES EN AQUITAINE - ADMAA (ALLEZ LES FILLES)</v>
      </c>
    </row>
    <row r="193">
      <c r="A193" s="3" t="s">
        <v>246</v>
      </c>
      <c r="B193" s="4"/>
      <c r="C193" s="4"/>
      <c r="D193" s="4" t="b">
        <f t="shared" si="1"/>
        <v>1</v>
      </c>
      <c r="E193" s="4" t="str">
        <f t="shared" si="2"/>
        <v>AQUITAINE - ADMAA (ALLEZ LES FILLES)</v>
      </c>
    </row>
    <row r="194">
      <c r="A194" s="3" t="s">
        <v>247</v>
      </c>
      <c r="B194" s="3">
        <v>0.0</v>
      </c>
      <c r="C194" s="3" t="s">
        <v>3</v>
      </c>
      <c r="D194" s="4" t="b">
        <f t="shared" si="1"/>
        <v>0</v>
      </c>
      <c r="E194" s="4" t="str">
        <f t="shared" si="2"/>
        <v>ASSOCIATION DE DEFENSE DES RESIDENTS DE LA GALERIE (ADREGA)</v>
      </c>
    </row>
    <row r="195">
      <c r="A195" s="3" t="s">
        <v>248</v>
      </c>
      <c r="B195" s="4"/>
      <c r="C195" s="4"/>
      <c r="D195" s="4" t="b">
        <f t="shared" si="1"/>
        <v>1</v>
      </c>
      <c r="E195" s="4" t="str">
        <f t="shared" si="2"/>
        <v>(ADREGA)</v>
      </c>
    </row>
    <row r="196">
      <c r="A196" s="3" t="s">
        <v>249</v>
      </c>
      <c r="B196" s="3">
        <v>0.0</v>
      </c>
      <c r="C196" s="3" t="s">
        <v>3</v>
      </c>
      <c r="D196" s="4" t="b">
        <f t="shared" si="1"/>
        <v>0</v>
      </c>
      <c r="E196" s="4" t="str">
        <f t="shared" si="2"/>
        <v>ASSOCIATION DE DEVELOPPEMENT NATUREL (A.D.N.)</v>
      </c>
    </row>
    <row r="197">
      <c r="A197" s="3" t="s">
        <v>250</v>
      </c>
      <c r="B197" s="3">
        <v>0.0</v>
      </c>
      <c r="C197" s="3" t="s">
        <v>32</v>
      </c>
      <c r="D197" s="4" t="b">
        <f t="shared" si="1"/>
        <v>0</v>
      </c>
      <c r="E197" s="4" t="str">
        <f t="shared" si="2"/>
        <v>ASSOCIATION DE FAMILLES DE TRAUMATISES CRANIENS AVENIR - AFTC AVENIR</v>
      </c>
    </row>
    <row r="198">
      <c r="A198" s="3" t="s">
        <v>251</v>
      </c>
      <c r="B198" s="4"/>
      <c r="C198" s="4"/>
      <c r="D198" s="4" t="b">
        <f t="shared" si="1"/>
        <v>1</v>
      </c>
      <c r="E198" s="4" t="str">
        <f t="shared" si="2"/>
        <v>AFTC AVENIR</v>
      </c>
    </row>
    <row r="199">
      <c r="A199" s="3" t="s">
        <v>252</v>
      </c>
      <c r="B199" s="3">
        <v>4000.0</v>
      </c>
      <c r="C199" s="3" t="s">
        <v>3</v>
      </c>
      <c r="D199" s="4" t="b">
        <f t="shared" si="1"/>
        <v>0</v>
      </c>
      <c r="E199" s="4" t="str">
        <f t="shared" si="2"/>
        <v>ASSOCIATION DE GESTION DES CENTRES PSYCHANALYTIQUES DE CONSULTATIONS ET DE TRAITEMENT (CPCT)</v>
      </c>
    </row>
    <row r="200">
      <c r="A200" s="3" t="s">
        <v>253</v>
      </c>
      <c r="B200" s="4"/>
      <c r="C200" s="4"/>
      <c r="D200" s="4" t="b">
        <f t="shared" si="1"/>
        <v>1</v>
      </c>
      <c r="E200" s="4" t="str">
        <f t="shared" si="2"/>
        <v>CONSULTATIONS ET DE TRAITEMENT (CPCT)</v>
      </c>
    </row>
    <row r="201">
      <c r="A201" s="3" t="s">
        <v>254</v>
      </c>
      <c r="B201" s="3">
        <v>512833.33</v>
      </c>
      <c r="C201" s="4"/>
      <c r="D201" s="4" t="b">
        <f t="shared" si="1"/>
        <v>0</v>
      </c>
      <c r="E201" s="4" t="str">
        <f t="shared" si="2"/>
        <v>ASSOCIATION DE GESTION ET D'ANIMATION DES CRECHES C.S.F. (AGEAC/CSF)</v>
      </c>
    </row>
    <row r="202">
      <c r="A202" s="3" t="s">
        <v>256</v>
      </c>
      <c r="B202" s="4"/>
      <c r="C202" s="4"/>
      <c r="D202" s="4" t="b">
        <f t="shared" si="1"/>
        <v>1</v>
      </c>
      <c r="E202" s="4" t="str">
        <f t="shared" si="2"/>
        <v>(AGEAC/CSF)</v>
      </c>
    </row>
    <row r="203">
      <c r="A203" s="3" t="s">
        <v>257</v>
      </c>
      <c r="B203" s="3">
        <v>0.0</v>
      </c>
      <c r="C203" s="3" t="s">
        <v>3</v>
      </c>
      <c r="D203" s="4" t="b">
        <f t="shared" si="1"/>
        <v>0</v>
      </c>
      <c r="E203" s="4" t="str">
        <f t="shared" si="2"/>
        <v>ASSOCIATION DE L'AIDE FAMILIALE POPULAIRE - U.D.C.S.F.</v>
      </c>
    </row>
    <row r="204">
      <c r="A204" s="3" t="s">
        <v>258</v>
      </c>
      <c r="B204" s="3">
        <v>0.0</v>
      </c>
      <c r="C204" s="3" t="s">
        <v>3</v>
      </c>
      <c r="D204" s="4" t="b">
        <f t="shared" si="1"/>
        <v>0</v>
      </c>
      <c r="E204" s="4" t="str">
        <f t="shared" si="2"/>
        <v>ASSOCIATION DE L'ECOLE COREENNE DE BORDEAUX - AECB</v>
      </c>
    </row>
    <row r="205">
      <c r="A205" s="3" t="s">
        <v>259</v>
      </c>
      <c r="B205" s="3">
        <v>0.0</v>
      </c>
      <c r="C205" s="3" t="s">
        <v>3</v>
      </c>
      <c r="D205" s="4" t="b">
        <f t="shared" si="1"/>
        <v>0</v>
      </c>
      <c r="E205" s="4" t="str">
        <f t="shared" si="2"/>
        <v>ASSOCIATION DE LA FONDATION ETUDIANTE POUR LA VILLE - AFEV</v>
      </c>
    </row>
    <row r="206">
      <c r="A206" s="3" t="s">
        <v>260</v>
      </c>
      <c r="B206" s="3">
        <v>2064.0</v>
      </c>
      <c r="C206" s="3" t="s">
        <v>32</v>
      </c>
      <c r="D206" s="4" t="b">
        <f t="shared" si="1"/>
        <v>0</v>
      </c>
      <c r="E206" s="4" t="str">
        <f t="shared" si="2"/>
        <v>ASSOCIATION DE LA RUE NOTRE DAME DES CHARTRONS</v>
      </c>
    </row>
    <row r="207">
      <c r="A207" s="3" t="s">
        <v>262</v>
      </c>
      <c r="B207" s="3">
        <v>0.0</v>
      </c>
      <c r="C207" s="3" t="s">
        <v>3</v>
      </c>
      <c r="D207" s="4" t="b">
        <f t="shared" si="1"/>
        <v>0</v>
      </c>
      <c r="E207" s="4" t="str">
        <f t="shared" si="2"/>
        <v>ASSOCIATION DE LOCATAIRES SEM-LM</v>
      </c>
    </row>
    <row r="208">
      <c r="A208" s="3" t="s">
        <v>263</v>
      </c>
      <c r="B208" s="3">
        <v>0.0</v>
      </c>
      <c r="C208" s="3" t="s">
        <v>3</v>
      </c>
      <c r="D208" s="4" t="b">
        <f t="shared" si="1"/>
        <v>0</v>
      </c>
      <c r="E208" s="4" t="str">
        <f t="shared" si="2"/>
        <v>ASSOCIATION DE MEDECINE PHYSIQUE ET READAPTATION D'AQUITAINE (AMPRA)</v>
      </c>
    </row>
    <row r="209">
      <c r="A209" s="3" t="s">
        <v>264</v>
      </c>
      <c r="B209" s="4"/>
      <c r="C209" s="4"/>
      <c r="D209" s="4" t="b">
        <f t="shared" si="1"/>
        <v>1</v>
      </c>
      <c r="E209" s="4" t="str">
        <f t="shared" si="2"/>
        <v>D'AQUITAINE (AMPRA)</v>
      </c>
    </row>
    <row r="210">
      <c r="A210" s="3" t="s">
        <v>265</v>
      </c>
      <c r="B210" s="3">
        <v>0.0</v>
      </c>
      <c r="C210" s="3" t="s">
        <v>3</v>
      </c>
      <c r="D210" s="4" t="b">
        <f t="shared" si="1"/>
        <v>0</v>
      </c>
      <c r="E210" s="4" t="str">
        <f t="shared" si="2"/>
        <v>ASSOCIATION DE PARENTS D'ELEVES DE L'ENSEIGNEMENT LIBRE SAINT-MICHEL/SAINT-GENES</v>
      </c>
    </row>
    <row r="211">
      <c r="A211" s="3" t="s">
        <v>266</v>
      </c>
      <c r="B211" s="4"/>
      <c r="C211" s="4"/>
      <c r="D211" s="4" t="b">
        <f t="shared" si="1"/>
        <v>1</v>
      </c>
      <c r="E211" s="4" t="str">
        <f t="shared" si="2"/>
        <v>SAINT-MICHEL/SAINT-GENES</v>
      </c>
    </row>
    <row r="212">
      <c r="A212" s="3" t="s">
        <v>267</v>
      </c>
      <c r="B212" s="3">
        <v>0.0</v>
      </c>
      <c r="C212" s="3" t="s">
        <v>3</v>
      </c>
      <c r="D212" s="4" t="b">
        <f t="shared" si="1"/>
        <v>0</v>
      </c>
      <c r="E212" s="4" t="str">
        <f t="shared" si="2"/>
        <v>ASSOCIATION DE PATIENTS POUR PREVENTION TRAITEMENT LUTTE CONTRE MALADIE CHRONIQUE L'OBESITE (ALOA)</v>
      </c>
    </row>
    <row r="213">
      <c r="A213" s="3" t="s">
        <v>268</v>
      </c>
      <c r="B213" s="4"/>
      <c r="C213" s="4"/>
      <c r="D213" s="4" t="b">
        <f t="shared" si="1"/>
        <v>1</v>
      </c>
      <c r="E213" s="4" t="str">
        <f t="shared" si="2"/>
        <v>CONTRE MALADIE CHRONIQUE L'OBESITE (ALOA)</v>
      </c>
    </row>
    <row r="214">
      <c r="A214" s="3" t="s">
        <v>269</v>
      </c>
      <c r="B214" s="3">
        <v>0.0</v>
      </c>
      <c r="C214" s="3" t="s">
        <v>3</v>
      </c>
      <c r="D214" s="4" t="b">
        <f t="shared" si="1"/>
        <v>0</v>
      </c>
      <c r="E214" s="4" t="str">
        <f t="shared" si="2"/>
        <v>ASSOCIATION DE PREFIGURATION DE LA COOPERATIVE DE PRESTATAIRES RESPONSABLES SUD-OUEST</v>
      </c>
    </row>
    <row r="215">
      <c r="A215" s="3" t="s">
        <v>270</v>
      </c>
      <c r="B215" s="4"/>
      <c r="C215" s="4"/>
      <c r="D215" s="4" t="b">
        <f t="shared" si="1"/>
        <v>1</v>
      </c>
      <c r="E215" s="4" t="str">
        <f t="shared" si="2"/>
        <v>PRESTATAIRES RESPONSABLES SUD-OUEST</v>
      </c>
    </row>
    <row r="216">
      <c r="A216" s="3" t="s">
        <v>271</v>
      </c>
      <c r="B216" s="3">
        <v>0.0</v>
      </c>
      <c r="C216" s="3" t="s">
        <v>3</v>
      </c>
      <c r="D216" s="4" t="b">
        <f t="shared" si="1"/>
        <v>0</v>
      </c>
      <c r="E216" s="4" t="str">
        <f t="shared" si="2"/>
        <v>ASSOCIATION DE PREFIGURATION D’UNE PLATEFORME D’AQUITAINE POUR LE COMMERCE EQUITABLE (LA PLACE)</v>
      </c>
    </row>
    <row r="217">
      <c r="A217" s="3" t="s">
        <v>272</v>
      </c>
      <c r="B217" s="4"/>
      <c r="C217" s="4"/>
      <c r="D217" s="4" t="b">
        <f t="shared" si="1"/>
        <v>1</v>
      </c>
      <c r="E217" s="4" t="str">
        <f t="shared" si="2"/>
        <v>D’AQUITAINE POUR LE COMMERCE EQUITABLE (LA PLACE)</v>
      </c>
    </row>
    <row r="218">
      <c r="A218" s="3" t="s">
        <v>273</v>
      </c>
      <c r="B218" s="3">
        <v>0.0</v>
      </c>
      <c r="C218" s="3" t="s">
        <v>3</v>
      </c>
      <c r="D218" s="4" t="b">
        <f t="shared" si="1"/>
        <v>0</v>
      </c>
      <c r="E218" s="4" t="str">
        <f t="shared" si="2"/>
        <v>ASSOCIATION DE RIVERAINS BASTIDE-ID</v>
      </c>
    </row>
    <row r="219">
      <c r="A219" s="3" t="s">
        <v>274</v>
      </c>
      <c r="B219" s="3">
        <v>4000.0</v>
      </c>
      <c r="C219" s="3" t="s">
        <v>3</v>
      </c>
      <c r="D219" s="4" t="b">
        <f t="shared" si="1"/>
        <v>0</v>
      </c>
      <c r="E219" s="4" t="str">
        <f t="shared" si="2"/>
        <v>ASSOCIATION DE SOLIDARITE AVEC TOUS LES IMMIGRES - BORDEAUX (ASTI BORDEAUX)</v>
      </c>
    </row>
    <row r="220">
      <c r="A220" s="3" t="s">
        <v>275</v>
      </c>
      <c r="B220" s="4"/>
      <c r="C220" s="4"/>
      <c r="D220" s="4" t="b">
        <f t="shared" si="1"/>
        <v>1</v>
      </c>
      <c r="E220" s="4" t="str">
        <f t="shared" si="2"/>
        <v>BORDEAUX (ASTI BORDEAUX)</v>
      </c>
    </row>
    <row r="221">
      <c r="A221" s="3" t="s">
        <v>276</v>
      </c>
      <c r="B221" s="3">
        <v>0.0</v>
      </c>
      <c r="C221" s="3" t="s">
        <v>3</v>
      </c>
      <c r="D221" s="4" t="b">
        <f t="shared" si="1"/>
        <v>0</v>
      </c>
      <c r="E221" s="4" t="str">
        <f t="shared" si="2"/>
        <v>ASSOCIATION DE SOLIDARITE BORDEAUX</v>
      </c>
    </row>
    <row r="222">
      <c r="A222" s="3" t="s">
        <v>277</v>
      </c>
      <c r="B222" s="3">
        <v>0.0</v>
      </c>
      <c r="C222" s="3" t="s">
        <v>3</v>
      </c>
      <c r="D222" s="4" t="b">
        <f t="shared" si="1"/>
        <v>0</v>
      </c>
      <c r="E222" s="4" t="str">
        <f t="shared" si="2"/>
        <v>ASSOCIATION DE SOPHROLOGIE EXISTENTIELLE DE BORDEAUX</v>
      </c>
    </row>
    <row r="223">
      <c r="A223" s="3" t="s">
        <v>278</v>
      </c>
      <c r="B223" s="3">
        <v>15500.0</v>
      </c>
      <c r="C223" s="3" t="s">
        <v>280</v>
      </c>
      <c r="D223" s="4" t="b">
        <f t="shared" si="1"/>
        <v>0</v>
      </c>
      <c r="E223" s="4" t="str">
        <f t="shared" si="2"/>
        <v>ASSOCIATION DE SOUTIEN AUX INVENTIONS LIBRES (ASIL)</v>
      </c>
    </row>
    <row r="224">
      <c r="A224" s="3" t="s">
        <v>281</v>
      </c>
      <c r="B224" s="3">
        <v>600.0</v>
      </c>
      <c r="C224" s="4"/>
      <c r="D224" s="4" t="b">
        <f t="shared" si="1"/>
        <v>0</v>
      </c>
      <c r="E224" s="4" t="str">
        <f t="shared" si="2"/>
        <v>ASSOCIATION DEFENSE DES RESIDENTS DES QUARTIERS BORDEAUX METROPOLE</v>
      </c>
    </row>
    <row r="225">
      <c r="A225" s="3" t="s">
        <v>283</v>
      </c>
      <c r="B225" s="4"/>
      <c r="C225" s="4"/>
      <c r="D225" s="4" t="b">
        <f t="shared" si="1"/>
        <v>1</v>
      </c>
      <c r="E225" s="4" t="str">
        <f t="shared" si="2"/>
        <v>BORDEAUX METROPOLE</v>
      </c>
    </row>
    <row r="226">
      <c r="A226" s="3" t="s">
        <v>284</v>
      </c>
      <c r="B226" s="3">
        <v>0.0</v>
      </c>
      <c r="C226" s="3" t="s">
        <v>6</v>
      </c>
      <c r="D226" s="4" t="b">
        <f t="shared" si="1"/>
        <v>0</v>
      </c>
      <c r="E226" s="4" t="str">
        <f t="shared" si="2"/>
        <v>ASSOCIATION DEPART. AMIS ET PARENTS DE PERS. HANDICAPEES MENTALES - LES PAPILLONS BLANCS (ADAPEI)</v>
      </c>
    </row>
    <row r="227">
      <c r="A227" s="3" t="s">
        <v>285</v>
      </c>
      <c r="B227" s="4"/>
      <c r="C227" s="4"/>
      <c r="D227" s="4" t="b">
        <f t="shared" si="1"/>
        <v>1</v>
      </c>
      <c r="E227" s="4" t="str">
        <f t="shared" si="2"/>
        <v>MENTALES - LES PAPILLONS BLANCS (ADAPEI)</v>
      </c>
    </row>
    <row r="228">
      <c r="A228" s="3" t="s">
        <v>286</v>
      </c>
      <c r="B228" s="3">
        <v>0.0</v>
      </c>
      <c r="C228" s="3" t="s">
        <v>3</v>
      </c>
      <c r="D228" s="4" t="b">
        <f t="shared" si="1"/>
        <v>0</v>
      </c>
      <c r="E228" s="4" t="str">
        <f t="shared" si="2"/>
        <v>ASSOCIATION DEPARTEMENTALE APAJH DE LA GIRONDE</v>
      </c>
    </row>
    <row r="229">
      <c r="A229" s="3" t="s">
        <v>287</v>
      </c>
      <c r="B229" s="3">
        <v>0.0</v>
      </c>
      <c r="C229" s="3" t="s">
        <v>3</v>
      </c>
      <c r="D229" s="4" t="b">
        <f t="shared" si="1"/>
        <v>0</v>
      </c>
      <c r="E229" s="4" t="str">
        <f t="shared" si="2"/>
        <v>ASSOCIATION DEPARTEMENTALE DE L'OFFICE CENTRAL DE LA COOPERATION A L'ECOLE DE LA GIRONDE - AD-OCCE</v>
      </c>
    </row>
    <row r="230">
      <c r="A230" s="3" t="s">
        <v>288</v>
      </c>
      <c r="B230" s="4"/>
      <c r="C230" s="4"/>
      <c r="D230" s="4" t="b">
        <f t="shared" si="1"/>
        <v>1</v>
      </c>
      <c r="E230" s="4" t="str">
        <f t="shared" si="2"/>
        <v>COOPERATION A L'ECOLE DE LA GIRONDE - AD-OCCE</v>
      </c>
    </row>
    <row r="231">
      <c r="A231" s="3" t="s">
        <v>289</v>
      </c>
      <c r="B231" s="3">
        <v>0.0</v>
      </c>
      <c r="C231" s="3" t="s">
        <v>3</v>
      </c>
      <c r="D231" s="4" t="b">
        <f t="shared" si="1"/>
        <v>0</v>
      </c>
      <c r="E231" s="4" t="str">
        <f t="shared" si="2"/>
        <v>ASSOCIATION DEPARTEMENTALE DES CONJOINTS SURVIVANTS ET PARENTS D'ORPHELINS DE LA GIRONDE - FAVEC 33</v>
      </c>
    </row>
    <row r="232">
      <c r="A232" s="3" t="s">
        <v>290</v>
      </c>
      <c r="B232" s="4"/>
      <c r="C232" s="4"/>
      <c r="D232" s="4" t="b">
        <f t="shared" si="1"/>
        <v>1</v>
      </c>
      <c r="E232" s="4" t="str">
        <f t="shared" si="2"/>
        <v>PARENTS D'ORPHELINS DE LA GIRONDE - FAVEC 33</v>
      </c>
    </row>
    <row r="233">
      <c r="A233" s="3" t="s">
        <v>291</v>
      </c>
      <c r="B233" s="3">
        <v>0.0</v>
      </c>
      <c r="C233" s="3" t="s">
        <v>3</v>
      </c>
      <c r="D233" s="4" t="b">
        <f t="shared" si="1"/>
        <v>0</v>
      </c>
      <c r="E233" s="4" t="str">
        <f t="shared" si="2"/>
        <v>ASSOCIATION DEPARTEMENTALE DES PARENTS D'ELEVES DE L'ENSEIGNEMENT PUBLIC DE LA GIRONDE - PEEP AD 33</v>
      </c>
    </row>
    <row r="234">
      <c r="A234" s="3" t="s">
        <v>292</v>
      </c>
      <c r="B234" s="4"/>
      <c r="C234" s="4"/>
      <c r="D234" s="4" t="b">
        <f t="shared" si="1"/>
        <v>1</v>
      </c>
      <c r="E234" s="4" t="str">
        <f t="shared" si="2"/>
        <v>L'ENSEIGNEMENT PUBLIC DE LA GIRONDE - PEEP AD 33</v>
      </c>
    </row>
    <row r="235">
      <c r="A235" s="3" t="s">
        <v>293</v>
      </c>
      <c r="B235" s="3">
        <v>3030.0</v>
      </c>
      <c r="C235" s="4"/>
      <c r="D235" s="4" t="b">
        <f t="shared" si="1"/>
        <v>0</v>
      </c>
      <c r="E235" s="4" t="str">
        <f t="shared" si="2"/>
        <v>ASSOCIATION DEPARTEMENTALE POUR INFORMATION AU LOGEMENT 33 - ADIL33</v>
      </c>
    </row>
    <row r="236">
      <c r="A236" s="3" t="s">
        <v>295</v>
      </c>
      <c r="B236" s="4"/>
      <c r="C236" s="4"/>
      <c r="D236" s="4" t="b">
        <f t="shared" si="1"/>
        <v>1</v>
      </c>
      <c r="E236" s="4" t="str">
        <f t="shared" si="2"/>
        <v>LOGEMENT 33 - ADIL33</v>
      </c>
    </row>
    <row r="237">
      <c r="A237" s="3" t="s">
        <v>296</v>
      </c>
      <c r="B237" s="3">
        <v>0.0</v>
      </c>
      <c r="C237" s="3" t="s">
        <v>3</v>
      </c>
      <c r="D237" s="4" t="b">
        <f t="shared" si="1"/>
        <v>0</v>
      </c>
      <c r="E237" s="4" t="str">
        <f t="shared" si="2"/>
        <v>ASSOCIATION DES AMIS D'ELIANE LAVAIL</v>
      </c>
    </row>
    <row r="238">
      <c r="A238" s="3" t="s">
        <v>297</v>
      </c>
      <c r="B238" s="3">
        <v>1000.0</v>
      </c>
      <c r="C238" s="3" t="s">
        <v>3</v>
      </c>
      <c r="D238" s="4" t="b">
        <f t="shared" si="1"/>
        <v>0</v>
      </c>
      <c r="E238" s="4" t="str">
        <f t="shared" si="2"/>
        <v>ASSOCIATION DES AUDITEURS INSTITUT HAUTES ETUDES DEFENSE NATIONALE REGION AQUITAINE - AQUI IHEDN</v>
      </c>
    </row>
    <row r="239">
      <c r="A239" s="3" t="s">
        <v>298</v>
      </c>
      <c r="B239" s="4"/>
      <c r="C239" s="4"/>
      <c r="D239" s="4" t="b">
        <f t="shared" si="1"/>
        <v>1</v>
      </c>
      <c r="E239" s="4" t="str">
        <f t="shared" si="2"/>
        <v>NATIONALE REGION AQUITAINE - AQUI IHEDN</v>
      </c>
    </row>
    <row r="240">
      <c r="A240" s="3" t="s">
        <v>299</v>
      </c>
      <c r="B240" s="3">
        <v>8907.0</v>
      </c>
      <c r="C240" s="3" t="s">
        <v>6</v>
      </c>
      <c r="D240" s="4" t="b">
        <f t="shared" si="1"/>
        <v>0</v>
      </c>
      <c r="E240" s="4" t="str">
        <f t="shared" si="2"/>
        <v>ASSOCIATION DES BROCANTEURS DES CHARTRONS - ABC</v>
      </c>
    </row>
    <row r="241">
      <c r="A241" s="3" t="s">
        <v>301</v>
      </c>
      <c r="B241" s="3">
        <v>8060927.5</v>
      </c>
      <c r="C241" s="3" t="s">
        <v>303</v>
      </c>
      <c r="D241" s="4" t="b">
        <f t="shared" si="1"/>
        <v>0</v>
      </c>
      <c r="E241" s="4" t="str">
        <f t="shared" si="2"/>
        <v>ASSOCIATION DES CENTRES D'ANIMATION DE QUARTIERS DE BORDEAUX - ACAQB</v>
      </c>
    </row>
    <row r="242">
      <c r="A242" s="3" t="s">
        <v>304</v>
      </c>
      <c r="B242" s="4"/>
      <c r="C242" s="3" t="s">
        <v>305</v>
      </c>
      <c r="D242" s="4" t="b">
        <f t="shared" si="1"/>
        <v>1</v>
      </c>
      <c r="E242" s="4" t="str">
        <f t="shared" si="2"/>
        <v>BORDEAUX - ACAQB</v>
      </c>
    </row>
    <row r="243">
      <c r="A243" s="3" t="s">
        <v>306</v>
      </c>
      <c r="B243" s="3">
        <v>0.0</v>
      </c>
      <c r="C243" s="3" t="s">
        <v>3</v>
      </c>
      <c r="D243" s="4" t="b">
        <f t="shared" si="1"/>
        <v>0</v>
      </c>
      <c r="E243" s="4" t="str">
        <f t="shared" si="2"/>
        <v>ASSOCIATION DES CITES DU SECOURS CATHOLIQUE - DELEGATION BORDEAUX</v>
      </c>
    </row>
    <row r="244">
      <c r="A244" s="3" t="s">
        <v>33</v>
      </c>
      <c r="B244" s="4"/>
      <c r="C244" s="4"/>
      <c r="D244" s="4" t="b">
        <f t="shared" si="1"/>
        <v>1</v>
      </c>
      <c r="E244" s="4" t="str">
        <f t="shared" si="2"/>
        <v>BORDEAUX</v>
      </c>
    </row>
    <row r="245">
      <c r="A245" s="3" t="s">
        <v>307</v>
      </c>
      <c r="B245" s="3">
        <v>8400.0</v>
      </c>
      <c r="C245" s="4"/>
      <c r="D245" s="4" t="b">
        <f t="shared" si="1"/>
        <v>0</v>
      </c>
      <c r="E245" s="4" t="str">
        <f t="shared" si="2"/>
        <v>ASSOCIATION DES COMMERCANTS "BARRIERE DE PESSAC" BORDEAUX-TALENCE</v>
      </c>
    </row>
    <row r="246">
      <c r="A246" s="3" t="s">
        <v>309</v>
      </c>
      <c r="B246" s="4"/>
      <c r="C246" s="4"/>
      <c r="D246" s="4" t="b">
        <f t="shared" si="1"/>
        <v>1</v>
      </c>
      <c r="E246" s="4" t="str">
        <f t="shared" si="2"/>
        <v>BORDEAUX-TALENCE</v>
      </c>
    </row>
    <row r="247">
      <c r="A247" s="3" t="s">
        <v>310</v>
      </c>
      <c r="B247" s="3">
        <v>0.0</v>
      </c>
      <c r="C247" s="3" t="s">
        <v>3</v>
      </c>
      <c r="D247" s="4" t="b">
        <f t="shared" si="1"/>
        <v>0</v>
      </c>
      <c r="E247" s="4" t="str">
        <f t="shared" si="2"/>
        <v>ASSOCIATION DES COMMERCANTS BORDEAUX RIVE DROITE (BRD)</v>
      </c>
    </row>
    <row r="248">
      <c r="A248" s="3" t="s">
        <v>311</v>
      </c>
      <c r="B248" s="3">
        <v>0.0</v>
      </c>
      <c r="C248" s="3" t="s">
        <v>6</v>
      </c>
      <c r="D248" s="4" t="b">
        <f t="shared" si="1"/>
        <v>0</v>
      </c>
      <c r="E248" s="4" t="str">
        <f t="shared" si="2"/>
        <v>ASSOCIATION DES COMMERCANTS CAUDERAN CENTRE</v>
      </c>
    </row>
    <row r="249">
      <c r="A249" s="3" t="s">
        <v>312</v>
      </c>
      <c r="B249" s="3">
        <v>9400.0</v>
      </c>
      <c r="C249" s="4"/>
      <c r="D249" s="4" t="b">
        <f t="shared" si="1"/>
        <v>0</v>
      </c>
      <c r="E249" s="4" t="str">
        <f t="shared" si="2"/>
        <v>ASSOCIATION DES COMMERCANTS DE CAUDERAN SAINT AMAND</v>
      </c>
    </row>
    <row r="250">
      <c r="A250" s="3" t="s">
        <v>314</v>
      </c>
      <c r="B250" s="3">
        <v>4880.0</v>
      </c>
      <c r="C250" s="3" t="s">
        <v>6</v>
      </c>
      <c r="D250" s="4" t="b">
        <f t="shared" si="1"/>
        <v>0</v>
      </c>
      <c r="E250" s="4" t="str">
        <f t="shared" si="2"/>
        <v>ASSOCIATION DES COMMERCANTS DE LA BARRIERE JUDAIQUE</v>
      </c>
    </row>
    <row r="251">
      <c r="A251" s="3" t="s">
        <v>316</v>
      </c>
      <c r="B251" s="3">
        <v>4420.0</v>
      </c>
      <c r="C251" s="4"/>
      <c r="D251" s="4" t="b">
        <f t="shared" si="1"/>
        <v>0</v>
      </c>
      <c r="E251" s="4" t="str">
        <f t="shared" si="2"/>
        <v>ASSOCIATION DES COMMERCANTS DE LA RUE DES REMPARTS</v>
      </c>
    </row>
    <row r="252">
      <c r="A252" s="3" t="s">
        <v>318</v>
      </c>
      <c r="B252" s="3">
        <v>2055.0</v>
      </c>
      <c r="C252" s="4"/>
      <c r="D252" s="4" t="b">
        <f t="shared" si="1"/>
        <v>0</v>
      </c>
      <c r="E252" s="4" t="str">
        <f t="shared" si="2"/>
        <v>ASSOCIATION DES COMMERCANTS DE LA RUE JJ ROUSSEAU</v>
      </c>
    </row>
    <row r="253">
      <c r="A253" s="3" t="s">
        <v>320</v>
      </c>
      <c r="B253" s="3">
        <v>2150.0</v>
      </c>
      <c r="C253" s="3" t="s">
        <v>6</v>
      </c>
      <c r="D253" s="4" t="b">
        <f t="shared" si="1"/>
        <v>0</v>
      </c>
      <c r="E253" s="4" t="str">
        <f t="shared" si="2"/>
        <v>ASSOCIATION DES COMMERCANTS DE LA RUE SAINT-SERNIN</v>
      </c>
    </row>
    <row r="254">
      <c r="A254" s="3" t="s">
        <v>322</v>
      </c>
      <c r="B254" s="3">
        <v>7475.0</v>
      </c>
      <c r="C254" s="3" t="s">
        <v>32</v>
      </c>
      <c r="D254" s="4" t="b">
        <f t="shared" si="1"/>
        <v>0</v>
      </c>
      <c r="E254" s="4" t="str">
        <f t="shared" si="2"/>
        <v>ASSOCIATION DES COMMERCANTS DE SAINT-AUGUSTIN</v>
      </c>
    </row>
    <row r="255">
      <c r="A255" s="3" t="s">
        <v>324</v>
      </c>
      <c r="B255" s="3">
        <v>920.0</v>
      </c>
      <c r="C255" s="4"/>
      <c r="D255" s="4" t="b">
        <f t="shared" si="1"/>
        <v>0</v>
      </c>
      <c r="E255" s="4" t="str">
        <f t="shared" si="2"/>
        <v>ASSOCIATION DES COMMERCANTS DU CENTRE COMMERCIAL DES BASTIDES</v>
      </c>
    </row>
    <row r="256">
      <c r="A256" s="3" t="s">
        <v>326</v>
      </c>
      <c r="B256" s="4"/>
      <c r="C256" s="4"/>
      <c r="D256" s="4" t="b">
        <f t="shared" si="1"/>
        <v>1</v>
      </c>
      <c r="E256" s="4" t="str">
        <f t="shared" si="2"/>
        <v>BASTIDES</v>
      </c>
    </row>
    <row r="257">
      <c r="A257" s="3" t="s">
        <v>327</v>
      </c>
      <c r="B257" s="3">
        <v>4700.0</v>
      </c>
      <c r="C257" s="4"/>
      <c r="D257" s="4" t="b">
        <f t="shared" si="1"/>
        <v>0</v>
      </c>
      <c r="E257" s="4" t="str">
        <f t="shared" si="2"/>
        <v>ASSOCIATION DES COMMERCANTS DU CENTRE COMMERCIAL MERIADECK</v>
      </c>
    </row>
    <row r="258">
      <c r="A258" s="3" t="s">
        <v>329</v>
      </c>
      <c r="B258" s="4"/>
      <c r="C258" s="4"/>
      <c r="D258" s="4" t="b">
        <f t="shared" si="1"/>
        <v>1</v>
      </c>
      <c r="E258" s="4" t="str">
        <f t="shared" si="2"/>
        <v>MERIADECK</v>
      </c>
    </row>
    <row r="259">
      <c r="A259" s="3" t="s">
        <v>330</v>
      </c>
      <c r="B259" s="3">
        <v>5688.0</v>
      </c>
      <c r="C259" s="3" t="s">
        <v>6</v>
      </c>
      <c r="D259" s="4" t="b">
        <f t="shared" si="1"/>
        <v>0</v>
      </c>
      <c r="E259" s="4" t="str">
        <f t="shared" si="2"/>
        <v>ASSOCIATION DES COMMERCANTS DU GRAND PARC</v>
      </c>
    </row>
    <row r="260">
      <c r="A260" s="3" t="s">
        <v>332</v>
      </c>
      <c r="B260" s="3">
        <v>1500.0</v>
      </c>
      <c r="C260" s="4"/>
      <c r="D260" s="4" t="b">
        <f t="shared" si="1"/>
        <v>0</v>
      </c>
      <c r="E260" s="4" t="str">
        <f t="shared" si="2"/>
        <v>ASSOCIATION DES COMMERCANTS ET ARTISANS DU QUARTIER REPUBLIQUE</v>
      </c>
    </row>
    <row r="261">
      <c r="A261" s="3" t="s">
        <v>333</v>
      </c>
      <c r="B261" s="4"/>
      <c r="C261" s="4"/>
      <c r="D261" s="4" t="b">
        <f t="shared" si="1"/>
        <v>1</v>
      </c>
      <c r="E261" s="4" t="str">
        <f t="shared" si="2"/>
        <v>REPUBLIQUE</v>
      </c>
    </row>
    <row r="262">
      <c r="A262" s="3" t="s">
        <v>332</v>
      </c>
      <c r="B262" s="3">
        <v>0.0</v>
      </c>
      <c r="C262" s="3" t="s">
        <v>32</v>
      </c>
      <c r="D262" s="4" t="b">
        <f t="shared" si="1"/>
        <v>0</v>
      </c>
      <c r="E262" s="4" t="str">
        <f t="shared" si="2"/>
        <v>ASSOCIATION DES COMMERCANTS ET ARTISANS DU QUARTIER SAINT MICHEL</v>
      </c>
    </row>
    <row r="263">
      <c r="A263" s="3" t="s">
        <v>334</v>
      </c>
      <c r="B263" s="4"/>
      <c r="C263" s="4"/>
      <c r="D263" s="4" t="b">
        <f t="shared" si="1"/>
        <v>1</v>
      </c>
      <c r="E263" s="4" t="str">
        <f t="shared" si="2"/>
        <v>SAINT MICHEL</v>
      </c>
    </row>
    <row r="264">
      <c r="A264" s="3" t="s">
        <v>332</v>
      </c>
      <c r="B264" s="3">
        <v>0.0</v>
      </c>
      <c r="C264" s="3" t="s">
        <v>6</v>
      </c>
      <c r="D264" s="4" t="b">
        <f t="shared" si="1"/>
        <v>0</v>
      </c>
      <c r="E264" s="4" t="str">
        <f t="shared" si="2"/>
        <v>ASSOCIATION DES COMMERCANTS ET ARTISANS DU QUARTIER STEHELIN</v>
      </c>
    </row>
    <row r="265">
      <c r="A265" s="3" t="s">
        <v>335</v>
      </c>
      <c r="B265" s="4"/>
      <c r="C265" s="4"/>
      <c r="D265" s="4" t="b">
        <f t="shared" si="1"/>
        <v>1</v>
      </c>
      <c r="E265" s="4" t="str">
        <f t="shared" si="2"/>
        <v>STEHELIN</v>
      </c>
    </row>
    <row r="266">
      <c r="A266" s="3" t="s">
        <v>336</v>
      </c>
      <c r="B266" s="3">
        <v>3000.0</v>
      </c>
      <c r="C266" s="3" t="s">
        <v>6</v>
      </c>
      <c r="D266" s="4" t="b">
        <f t="shared" si="1"/>
        <v>0</v>
      </c>
      <c r="E266" s="4" t="str">
        <f t="shared" si="2"/>
        <v>ASSOCIATION DES COMMERCANTS ET ARTISANS LES BERGES DU LAC</v>
      </c>
    </row>
    <row r="267">
      <c r="A267" s="3" t="s">
        <v>337</v>
      </c>
      <c r="B267" s="4"/>
      <c r="C267" s="4"/>
      <c r="D267" s="4" t="b">
        <f t="shared" si="1"/>
        <v>1</v>
      </c>
      <c r="E267" s="4" t="str">
        <f t="shared" si="2"/>
        <v>LAC</v>
      </c>
    </row>
    <row r="268">
      <c r="A268" s="3" t="s">
        <v>338</v>
      </c>
      <c r="B268" s="3">
        <v>0.0</v>
      </c>
      <c r="C268" s="3" t="s">
        <v>6</v>
      </c>
      <c r="D268" s="4" t="b">
        <f t="shared" si="1"/>
        <v>0</v>
      </c>
      <c r="E268" s="4" t="str">
        <f t="shared" si="2"/>
        <v>ASSOCIATION DES COMMERCANTS ET PROFESSIONNELS DE L'ART DE LA RUE BOUFFARD</v>
      </c>
    </row>
    <row r="269">
      <c r="A269" s="3" t="s">
        <v>339</v>
      </c>
      <c r="B269" s="4"/>
      <c r="C269" s="4"/>
      <c r="D269" s="4" t="b">
        <f t="shared" si="1"/>
        <v>1</v>
      </c>
      <c r="E269" s="4" t="str">
        <f t="shared" si="2"/>
        <v>DE LA RUE BOUFFARD</v>
      </c>
    </row>
    <row r="270">
      <c r="A270" s="3" t="s">
        <v>340</v>
      </c>
      <c r="B270" s="3">
        <v>11000.0</v>
      </c>
      <c r="C270" s="3" t="s">
        <v>6</v>
      </c>
      <c r="D270" s="4" t="b">
        <f t="shared" si="1"/>
        <v>0</v>
      </c>
      <c r="E270" s="4" t="str">
        <f t="shared" si="2"/>
        <v>ASSOCIATION DES COMMERCANTS ET RIVERAINS DU QUARTIER VICTOIRE</v>
      </c>
    </row>
    <row r="271">
      <c r="A271" s="3" t="s">
        <v>341</v>
      </c>
      <c r="B271" s="4"/>
      <c r="C271" s="4"/>
      <c r="D271" s="4" t="b">
        <f t="shared" si="1"/>
        <v>1</v>
      </c>
      <c r="E271" s="4" t="str">
        <f t="shared" si="2"/>
        <v>VICTOIRE</v>
      </c>
    </row>
    <row r="272">
      <c r="A272" s="3" t="s">
        <v>342</v>
      </c>
      <c r="B272" s="3">
        <v>1500.0</v>
      </c>
      <c r="C272" s="3" t="s">
        <v>6</v>
      </c>
      <c r="D272" s="4" t="b">
        <f t="shared" si="1"/>
        <v>0</v>
      </c>
      <c r="E272" s="4" t="str">
        <f t="shared" si="2"/>
        <v>ASSOCIATION DES COMMERCANTS ORNANO - GAVINIES - St VICTOR</v>
      </c>
    </row>
    <row r="273">
      <c r="A273" s="3" t="s">
        <v>343</v>
      </c>
      <c r="B273" s="3">
        <v>2670.0</v>
      </c>
      <c r="C273" s="4"/>
      <c r="D273" s="4" t="b">
        <f t="shared" si="1"/>
        <v>0</v>
      </c>
      <c r="E273" s="4" t="str">
        <f t="shared" si="2"/>
        <v>ASSOCIATION DES COMMERCANTS RUE VOLTAIRE</v>
      </c>
    </row>
    <row r="274">
      <c r="A274" s="3" t="s">
        <v>345</v>
      </c>
      <c r="B274" s="3">
        <v>4000.0</v>
      </c>
      <c r="C274" s="4"/>
      <c r="D274" s="4" t="b">
        <f t="shared" si="1"/>
        <v>0</v>
      </c>
      <c r="E274" s="4" t="str">
        <f t="shared" si="2"/>
        <v>ASSOCIATION DES COMMERÇANTS DU QUARTIER SAINT MICHEL AUTOUR DE LA FLECHE</v>
      </c>
    </row>
    <row r="275">
      <c r="A275" s="3" t="s">
        <v>346</v>
      </c>
      <c r="B275" s="4"/>
      <c r="C275" s="4"/>
      <c r="D275" s="4" t="b">
        <f t="shared" si="1"/>
        <v>1</v>
      </c>
      <c r="E275" s="4" t="str">
        <f t="shared" si="2"/>
        <v>AUTOUR DE LA FLECHE</v>
      </c>
    </row>
    <row r="276">
      <c r="A276" s="3" t="s">
        <v>347</v>
      </c>
      <c r="B276" s="3">
        <v>0.0</v>
      </c>
      <c r="C276" s="3" t="s">
        <v>32</v>
      </c>
      <c r="D276" s="4" t="b">
        <f t="shared" si="1"/>
        <v>0</v>
      </c>
      <c r="E276" s="4" t="str">
        <f t="shared" si="2"/>
        <v>ASSOCIATION DES COREENS DE BORDEAUX (ACB)</v>
      </c>
    </row>
    <row r="277">
      <c r="A277" s="3" t="s">
        <v>348</v>
      </c>
      <c r="B277" s="3">
        <v>0.0</v>
      </c>
      <c r="C277" s="3" t="s">
        <v>3</v>
      </c>
      <c r="D277" s="4" t="b">
        <f t="shared" si="1"/>
        <v>0</v>
      </c>
      <c r="E277" s="4" t="str">
        <f t="shared" si="2"/>
        <v>ASSOCIATION DES DAMES DU CALVAIRE DE BORDEAUX - MAISON DE SANTE MARIE GALENE</v>
      </c>
    </row>
    <row r="278">
      <c r="A278" s="3" t="s">
        <v>349</v>
      </c>
      <c r="B278" s="4"/>
      <c r="C278" s="4"/>
      <c r="D278" s="4" t="b">
        <f t="shared" si="1"/>
        <v>1</v>
      </c>
      <c r="E278" s="4" t="str">
        <f t="shared" si="2"/>
        <v>DE SANTE MARIE GALENE</v>
      </c>
    </row>
    <row r="279">
      <c r="A279" s="3" t="s">
        <v>350</v>
      </c>
      <c r="B279" s="3">
        <v>0.0</v>
      </c>
      <c r="C279" s="3" t="s">
        <v>3</v>
      </c>
      <c r="D279" s="4" t="b">
        <f t="shared" si="1"/>
        <v>0</v>
      </c>
      <c r="E279" s="4" t="str">
        <f t="shared" si="2"/>
        <v>ASSOCIATION DES DONNEURS DE VOIX</v>
      </c>
    </row>
    <row r="280">
      <c r="A280" s="3" t="s">
        <v>351</v>
      </c>
      <c r="B280" s="3">
        <v>4072.0</v>
      </c>
      <c r="C280" s="3" t="s">
        <v>6</v>
      </c>
      <c r="D280" s="4" t="b">
        <f t="shared" si="1"/>
        <v>0</v>
      </c>
      <c r="E280" s="4" t="str">
        <f t="shared" si="2"/>
        <v>ASSOCIATION DES ECLAIREUSES ET ECLAIREURS DE FRANCE - REGION AQUITAINE</v>
      </c>
    </row>
    <row r="281">
      <c r="A281" s="3" t="s">
        <v>353</v>
      </c>
      <c r="B281" s="4"/>
      <c r="C281" s="4"/>
      <c r="D281" s="4" t="b">
        <f t="shared" si="1"/>
        <v>1</v>
      </c>
      <c r="E281" s="4" t="str">
        <f t="shared" si="2"/>
        <v>REGION AQUITAINE</v>
      </c>
    </row>
    <row r="282">
      <c r="A282" s="3" t="s">
        <v>354</v>
      </c>
      <c r="B282" s="3">
        <v>0.0</v>
      </c>
      <c r="C282" s="3" t="s">
        <v>3</v>
      </c>
      <c r="D282" s="4" t="b">
        <f t="shared" si="1"/>
        <v>0</v>
      </c>
      <c r="E282" s="4" t="str">
        <f t="shared" si="2"/>
        <v>ASSOCIATION DES ELEVES AVOCATS ALIENOR 2015 - ADEAA</v>
      </c>
    </row>
    <row r="283">
      <c r="A283" s="3" t="s">
        <v>355</v>
      </c>
      <c r="B283" s="3">
        <v>0.0</v>
      </c>
      <c r="C283" s="3" t="s">
        <v>6</v>
      </c>
      <c r="D283" s="4" t="b">
        <f t="shared" si="1"/>
        <v>0</v>
      </c>
      <c r="E283" s="4" t="str">
        <f t="shared" si="2"/>
        <v>ASSOCIATION DES ELEVES INGENIEURS DE L'ECOLE NATIONALE SUPERIEURE DES ARTS ET METIERS - AE ENSAM</v>
      </c>
    </row>
    <row r="284">
      <c r="A284" s="3" t="s">
        <v>356</v>
      </c>
      <c r="B284" s="4"/>
      <c r="C284" s="4"/>
      <c r="D284" s="4" t="b">
        <f t="shared" si="1"/>
        <v>1</v>
      </c>
      <c r="E284" s="4" t="str">
        <f t="shared" si="2"/>
        <v>SUPERIEURE DES ARTS ET METIERS - AE ENSAM</v>
      </c>
    </row>
    <row r="285">
      <c r="A285" s="3" t="s">
        <v>357</v>
      </c>
      <c r="B285" s="3">
        <v>0.0</v>
      </c>
      <c r="C285" s="3" t="s">
        <v>3</v>
      </c>
      <c r="D285" s="4" t="b">
        <f t="shared" si="1"/>
        <v>0</v>
      </c>
      <c r="E285" s="4" t="str">
        <f t="shared" si="2"/>
        <v>ASSOCIATION DES ELEVES-AVOCATS ALIENOR 2016</v>
      </c>
    </row>
    <row r="286">
      <c r="A286" s="3" t="s">
        <v>358</v>
      </c>
      <c r="B286" s="3">
        <v>0.0</v>
      </c>
      <c r="C286" s="3" t="s">
        <v>3</v>
      </c>
      <c r="D286" s="4" t="b">
        <f t="shared" si="1"/>
        <v>0</v>
      </c>
      <c r="E286" s="4" t="str">
        <f t="shared" si="2"/>
        <v>ASSOCIATION DES ETUDIANTS EN PSYCHOLOGIE DU TRAVAIL ET ERGONOMIE DES SYSTEMES</v>
      </c>
    </row>
    <row r="287">
      <c r="A287" s="3" t="s">
        <v>359</v>
      </c>
      <c r="B287" s="4"/>
      <c r="C287" s="4"/>
      <c r="D287" s="4" t="b">
        <f t="shared" si="1"/>
        <v>1</v>
      </c>
      <c r="E287" s="4" t="str">
        <f t="shared" si="2"/>
        <v>ERGONOMIE DES SYSTEMES</v>
      </c>
    </row>
    <row r="288">
      <c r="A288" s="3" t="s">
        <v>360</v>
      </c>
      <c r="B288" s="3">
        <v>0.0</v>
      </c>
      <c r="C288" s="3" t="s">
        <v>3</v>
      </c>
      <c r="D288" s="4" t="b">
        <f t="shared" si="1"/>
        <v>0</v>
      </c>
      <c r="E288" s="4" t="str">
        <f t="shared" si="2"/>
        <v>ASSOCIATION DES ETUDIANTS REUNIONNAIS A BORDEAUX - AERB</v>
      </c>
    </row>
    <row r="289">
      <c r="A289" s="3" t="s">
        <v>361</v>
      </c>
      <c r="B289" s="3">
        <v>4400.0</v>
      </c>
      <c r="C289" s="4"/>
      <c r="D289" s="4" t="b">
        <f t="shared" si="1"/>
        <v>0</v>
      </c>
      <c r="E289" s="4" t="str">
        <f t="shared" si="2"/>
        <v>ASSOCIATION DES EXPLOITANTS DU CENTRE COMMERCIAL QUAI DES MARQUES</v>
      </c>
    </row>
    <row r="290">
      <c r="A290" s="3" t="s">
        <v>363</v>
      </c>
      <c r="B290" s="4"/>
      <c r="C290" s="4"/>
      <c r="D290" s="4" t="b">
        <f t="shared" si="1"/>
        <v>1</v>
      </c>
      <c r="E290" s="4" t="str">
        <f t="shared" si="2"/>
        <v>DES MARQUES</v>
      </c>
    </row>
    <row r="291">
      <c r="A291" s="3" t="s">
        <v>364</v>
      </c>
      <c r="B291" s="3">
        <v>0.0</v>
      </c>
      <c r="C291" s="3" t="s">
        <v>3</v>
      </c>
      <c r="D291" s="4" t="b">
        <f t="shared" si="1"/>
        <v>0</v>
      </c>
      <c r="E291" s="4" t="str">
        <f t="shared" si="2"/>
        <v>ASSOCIATION DES FAMILLES D'ENFANTS DE LA POSTE ET D'ORANGE - AFEH</v>
      </c>
    </row>
    <row r="292">
      <c r="A292" s="3" t="s">
        <v>365</v>
      </c>
      <c r="B292" s="4"/>
      <c r="C292" s="4"/>
      <c r="D292" s="4" t="b">
        <f t="shared" si="1"/>
        <v>1</v>
      </c>
      <c r="E292" s="4" t="str">
        <f t="shared" si="2"/>
        <v>D'ORANGE - AFEH</v>
      </c>
    </row>
    <row r="293">
      <c r="A293" s="3" t="s">
        <v>366</v>
      </c>
      <c r="B293" s="3">
        <v>0.0</v>
      </c>
      <c r="C293" s="3" t="s">
        <v>3</v>
      </c>
      <c r="D293" s="4" t="b">
        <f t="shared" si="1"/>
        <v>0</v>
      </c>
      <c r="E293" s="4" t="str">
        <f t="shared" si="2"/>
        <v>ASSOCIATION DES GROUPES BIBLIQUES ET UNIVERSITAIRES DE FRANCE - AGBUF-GBU</v>
      </c>
    </row>
    <row r="294">
      <c r="A294" s="3" t="s">
        <v>367</v>
      </c>
      <c r="B294" s="4"/>
      <c r="C294" s="4"/>
      <c r="D294" s="4" t="b">
        <f t="shared" si="1"/>
        <v>1</v>
      </c>
      <c r="E294" s="4" t="str">
        <f t="shared" si="2"/>
        <v>FRANCE - AGBUF-GBU</v>
      </c>
    </row>
    <row r="295">
      <c r="A295" s="3" t="s">
        <v>368</v>
      </c>
      <c r="B295" s="3">
        <v>0.0</v>
      </c>
      <c r="C295" s="3" t="s">
        <v>3</v>
      </c>
      <c r="D295" s="4" t="b">
        <f t="shared" si="1"/>
        <v>0</v>
      </c>
      <c r="E295" s="4" t="str">
        <f t="shared" si="2"/>
        <v>ASSOCIATION DES GUIDES INTERPRETES ET CONFERENCIERS D'AQUITAINE - AGICA</v>
      </c>
    </row>
    <row r="296">
      <c r="A296" s="3" t="s">
        <v>369</v>
      </c>
      <c r="B296" s="4"/>
      <c r="C296" s="4"/>
      <c r="D296" s="4" t="b">
        <f t="shared" si="1"/>
        <v>1</v>
      </c>
      <c r="E296" s="4" t="str">
        <f t="shared" si="2"/>
        <v>D'AQUITAINE - AGICA</v>
      </c>
    </row>
    <row r="297">
      <c r="A297" s="3" t="s">
        <v>370</v>
      </c>
      <c r="B297" s="3">
        <v>0.0</v>
      </c>
      <c r="C297" s="3" t="s">
        <v>6</v>
      </c>
      <c r="D297" s="4" t="b">
        <f t="shared" si="1"/>
        <v>0</v>
      </c>
      <c r="E297" s="4" t="str">
        <f t="shared" si="2"/>
        <v>ASSOCIATION DES MAIRES DE LA GIRONDE</v>
      </c>
    </row>
    <row r="298">
      <c r="A298" s="3" t="s">
        <v>371</v>
      </c>
      <c r="B298" s="3">
        <v>500.0</v>
      </c>
      <c r="C298" s="4"/>
      <c r="D298" s="4" t="b">
        <f t="shared" si="1"/>
        <v>0</v>
      </c>
      <c r="E298" s="4" t="str">
        <f t="shared" si="2"/>
        <v>ASSOCIATION DES MEMBRES LA LEGION D'HONNEUR DECORES AU PERIL DE LEUR VIE SECTION AQUITAINE OUEST</v>
      </c>
    </row>
    <row r="299">
      <c r="A299" s="3" t="s">
        <v>372</v>
      </c>
      <c r="B299" s="4"/>
      <c r="C299" s="4"/>
      <c r="D299" s="4" t="b">
        <f t="shared" si="1"/>
        <v>1</v>
      </c>
      <c r="E299" s="4" t="str">
        <f t="shared" si="2"/>
        <v>PERIL DE LEUR VIE SECTION AQUITAINE OUEST</v>
      </c>
    </row>
    <row r="300">
      <c r="A300" s="3" t="s">
        <v>373</v>
      </c>
      <c r="B300" s="3">
        <v>0.0</v>
      </c>
      <c r="C300" s="3" t="s">
        <v>6</v>
      </c>
      <c r="D300" s="4" t="b">
        <f t="shared" si="1"/>
        <v>0</v>
      </c>
      <c r="E300" s="4" t="str">
        <f t="shared" si="2"/>
        <v>ASSOCIATION DES MUSULMANS DE BORDEAUX NORD (A.M.B.N.)</v>
      </c>
    </row>
    <row r="301">
      <c r="A301" s="3" t="s">
        <v>374</v>
      </c>
      <c r="B301" s="3">
        <v>0.0</v>
      </c>
      <c r="C301" s="3" t="s">
        <v>3</v>
      </c>
      <c r="D301" s="4" t="b">
        <f t="shared" si="1"/>
        <v>0</v>
      </c>
      <c r="E301" s="4" t="str">
        <f t="shared" si="2"/>
        <v>ASSOCIATION DES MUSULMANS DE LA GIRONDE</v>
      </c>
    </row>
    <row r="302">
      <c r="A302" s="3" t="s">
        <v>375</v>
      </c>
      <c r="B302" s="3">
        <v>3200.0</v>
      </c>
      <c r="C302" s="3" t="s">
        <v>6</v>
      </c>
      <c r="D302" s="4" t="b">
        <f t="shared" si="1"/>
        <v>0</v>
      </c>
      <c r="E302" s="4" t="str">
        <f t="shared" si="2"/>
        <v>ASSOCIATION DES PARALYSES DE FRANCE - APF</v>
      </c>
    </row>
    <row r="303">
      <c r="A303" s="3" t="s">
        <v>377</v>
      </c>
      <c r="B303" s="3">
        <v>0.0</v>
      </c>
      <c r="C303" s="3" t="s">
        <v>3</v>
      </c>
      <c r="D303" s="4" t="b">
        <f t="shared" si="1"/>
        <v>0</v>
      </c>
      <c r="E303" s="4" t="str">
        <f t="shared" si="2"/>
        <v>ASSOCIATION DES PARENTS D'ELEVES DE L'ENSEIGNEMENT PUBLIC DU LYCEE CAMILLE JULLIAN</v>
      </c>
    </row>
    <row r="304">
      <c r="A304" s="3" t="s">
        <v>378</v>
      </c>
      <c r="B304" s="4"/>
      <c r="C304" s="4"/>
      <c r="D304" s="4" t="b">
        <f t="shared" si="1"/>
        <v>1</v>
      </c>
      <c r="E304" s="4" t="str">
        <f t="shared" si="2"/>
        <v>DU LYCEE CAMILLE JULLIAN</v>
      </c>
    </row>
    <row r="305">
      <c r="A305" s="3" t="s">
        <v>379</v>
      </c>
      <c r="B305" s="3">
        <v>0.0</v>
      </c>
      <c r="C305" s="3" t="s">
        <v>3</v>
      </c>
      <c r="D305" s="4" t="b">
        <f t="shared" si="1"/>
        <v>0</v>
      </c>
      <c r="E305" s="4" t="str">
        <f t="shared" si="2"/>
        <v>ASSOCIATION DES PROFESSIONNELS AQUITAINS DE LA COMMUNICATION (APACOM)</v>
      </c>
    </row>
    <row r="306">
      <c r="A306" s="3" t="s">
        <v>380</v>
      </c>
      <c r="B306" s="4"/>
      <c r="C306" s="4"/>
      <c r="D306" s="4" t="b">
        <f t="shared" si="1"/>
        <v>1</v>
      </c>
      <c r="E306" s="4" t="str">
        <f t="shared" si="2"/>
        <v>COMMUNICATION (APACOM)</v>
      </c>
    </row>
    <row r="307">
      <c r="A307" s="3" t="s">
        <v>381</v>
      </c>
      <c r="B307" s="3">
        <v>400.0</v>
      </c>
      <c r="C307" s="3" t="s">
        <v>6</v>
      </c>
      <c r="D307" s="4" t="b">
        <f t="shared" si="1"/>
        <v>0</v>
      </c>
      <c r="E307" s="4" t="str">
        <f t="shared" si="2"/>
        <v>ASSOCIATION DES PSYCHOLOGUES ETUDIANTS (APE)</v>
      </c>
    </row>
    <row r="308">
      <c r="A308" s="3" t="s">
        <v>383</v>
      </c>
      <c r="B308" s="3">
        <v>0.0</v>
      </c>
      <c r="C308" s="3" t="s">
        <v>3</v>
      </c>
      <c r="D308" s="4" t="b">
        <f t="shared" si="1"/>
        <v>0</v>
      </c>
      <c r="E308" s="4" t="str">
        <f t="shared" si="2"/>
        <v>ASSOCIATION DES PSYCHOMOTRICIENS DE LA GIRONDE</v>
      </c>
    </row>
    <row r="309">
      <c r="A309" s="3" t="s">
        <v>384</v>
      </c>
      <c r="B309" s="3">
        <v>0.0</v>
      </c>
      <c r="C309" s="3" t="s">
        <v>3</v>
      </c>
      <c r="D309" s="4" t="b">
        <f t="shared" si="1"/>
        <v>0</v>
      </c>
      <c r="E309" s="4" t="str">
        <f t="shared" si="2"/>
        <v>ASSOCIATION DES RESIDENCES DE L'ILOT BONNAC</v>
      </c>
    </row>
    <row r="310">
      <c r="A310" s="3" t="s">
        <v>385</v>
      </c>
      <c r="B310" s="3">
        <v>0.0</v>
      </c>
      <c r="C310" s="3" t="s">
        <v>32</v>
      </c>
      <c r="D310" s="4" t="b">
        <f t="shared" si="1"/>
        <v>0</v>
      </c>
      <c r="E310" s="4" t="str">
        <f t="shared" si="2"/>
        <v>ASSOCIATION DES RETRAITES IRSEA D'AQUITAINE (A.R.I.A.).</v>
      </c>
    </row>
    <row r="311">
      <c r="A311" s="3" t="s">
        <v>386</v>
      </c>
      <c r="B311" s="3">
        <v>0.0</v>
      </c>
      <c r="C311" s="3" t="s">
        <v>6</v>
      </c>
      <c r="D311" s="4" t="b">
        <f t="shared" si="1"/>
        <v>0</v>
      </c>
      <c r="E311" s="4" t="str">
        <f t="shared" si="2"/>
        <v>ASSOCIATION DES RIVERAINS DE LA PLACE MITCHELL</v>
      </c>
    </row>
    <row r="312">
      <c r="A312" s="3" t="s">
        <v>387</v>
      </c>
      <c r="B312" s="3">
        <v>0.0</v>
      </c>
      <c r="C312" s="3" t="s">
        <v>6</v>
      </c>
      <c r="D312" s="4" t="b">
        <f t="shared" si="1"/>
        <v>0</v>
      </c>
      <c r="E312" s="4" t="str">
        <f t="shared" si="2"/>
        <v>ASSOCIATION DES RIVERAINS DU QUARTIER ORNANO-GAVINIES</v>
      </c>
    </row>
    <row r="313">
      <c r="A313" s="3" t="s">
        <v>388</v>
      </c>
      <c r="B313" s="3">
        <v>0.0</v>
      </c>
      <c r="C313" s="3" t="s">
        <v>3</v>
      </c>
      <c r="D313" s="4" t="b">
        <f t="shared" si="1"/>
        <v>0</v>
      </c>
      <c r="E313" s="4" t="str">
        <f t="shared" si="2"/>
        <v>ASSOCIATION DES STAGIAIRES ET ETUDIANTS CAMEROUNAIS DE BORDEAUX (ASECB)</v>
      </c>
    </row>
    <row r="314">
      <c r="A314" s="3" t="s">
        <v>389</v>
      </c>
      <c r="B314" s="4"/>
      <c r="C314" s="4"/>
      <c r="D314" s="4" t="b">
        <f t="shared" si="1"/>
        <v>1</v>
      </c>
      <c r="E314" s="4" t="str">
        <f t="shared" si="2"/>
        <v>BORDEAUX (ASECB)</v>
      </c>
    </row>
    <row r="315">
      <c r="A315" s="3" t="s">
        <v>390</v>
      </c>
      <c r="B315" s="3">
        <v>0.0</v>
      </c>
      <c r="C315" s="3" t="s">
        <v>3</v>
      </c>
      <c r="D315" s="4" t="b">
        <f t="shared" si="1"/>
        <v>0</v>
      </c>
      <c r="E315" s="4" t="str">
        <f t="shared" si="2"/>
        <v>ASSOCIATION DES ŒUVRES GIRONDINES DE PROTECTION DE L'ENFANCE</v>
      </c>
    </row>
    <row r="316">
      <c r="A316" s="3" t="s">
        <v>391</v>
      </c>
      <c r="B316" s="4"/>
      <c r="C316" s="4"/>
      <c r="D316" s="4" t="b">
        <f t="shared" si="1"/>
        <v>1</v>
      </c>
      <c r="E316" s="4" t="str">
        <f t="shared" si="2"/>
        <v>L'ENFANCE</v>
      </c>
    </row>
    <row r="317">
      <c r="A317" s="3" t="s">
        <v>392</v>
      </c>
      <c r="B317" s="3">
        <v>380000.0</v>
      </c>
      <c r="C317" s="3" t="s">
        <v>6</v>
      </c>
      <c r="D317" s="4" t="b">
        <f t="shared" si="1"/>
        <v>0</v>
      </c>
      <c r="E317" s="4" t="str">
        <f t="shared" si="2"/>
        <v>ASSOCIATION DU COMITE DES OEUVRES SOCIALES DES MUNICIPAUX DE BORDEAUX - ACOSMB</v>
      </c>
    </row>
    <row r="318">
      <c r="A318" s="3" t="s">
        <v>394</v>
      </c>
      <c r="B318" s="4"/>
      <c r="C318" s="4"/>
      <c r="D318" s="4" t="b">
        <f t="shared" si="1"/>
        <v>1</v>
      </c>
      <c r="E318" s="4" t="str">
        <f t="shared" si="2"/>
        <v>MUNICIPAUX DE BORDEAUX - ACOSMB</v>
      </c>
    </row>
    <row r="319">
      <c r="A319" s="3" t="s">
        <v>395</v>
      </c>
      <c r="B319" s="3">
        <v>37000.0</v>
      </c>
      <c r="C319" s="3" t="s">
        <v>32</v>
      </c>
      <c r="D319" s="4" t="b">
        <f t="shared" si="1"/>
        <v>0</v>
      </c>
      <c r="E319" s="4" t="str">
        <f t="shared" si="2"/>
        <v>ASSOCIATION DU LIEN INTERCULTUREL FAMILIAL ET SOCIAL - ALIFS</v>
      </c>
    </row>
    <row r="320">
      <c r="A320" s="3" t="s">
        <v>397</v>
      </c>
      <c r="B320" s="3">
        <v>2800.0</v>
      </c>
      <c r="C320" s="4"/>
      <c r="D320" s="4" t="b">
        <f t="shared" si="1"/>
        <v>0</v>
      </c>
      <c r="E320" s="4" t="str">
        <f t="shared" si="2"/>
        <v>ASSOCIATION DU PARC D'ACTIVITE DE BORDEAUX NORD</v>
      </c>
    </row>
    <row r="321">
      <c r="A321" s="3" t="s">
        <v>399</v>
      </c>
      <c r="B321" s="3">
        <v>5000.0</v>
      </c>
      <c r="C321" s="4"/>
      <c r="D321" s="4" t="b">
        <f t="shared" si="1"/>
        <v>0</v>
      </c>
      <c r="E321" s="4" t="str">
        <f t="shared" si="2"/>
        <v>ASSOCIATION DU PATRIMOINE ISRAELITE D'AQUITAINE</v>
      </c>
    </row>
    <row r="322">
      <c r="A322" s="3" t="s">
        <v>400</v>
      </c>
      <c r="B322" s="3">
        <v>0.0</v>
      </c>
      <c r="C322" s="3" t="s">
        <v>26</v>
      </c>
      <c r="D322" s="4" t="b">
        <f t="shared" si="1"/>
        <v>0</v>
      </c>
      <c r="E322" s="4" t="str">
        <f t="shared" si="2"/>
        <v>ASSOCIATION DU PERSONNEL DE L'OPERA NATIONAL DE BORDEAUX</v>
      </c>
    </row>
    <row r="323">
      <c r="A323" s="3" t="s">
        <v>33</v>
      </c>
      <c r="B323" s="4"/>
      <c r="C323" s="4"/>
      <c r="D323" s="4" t="b">
        <f t="shared" si="1"/>
        <v>1</v>
      </c>
      <c r="E323" s="4" t="str">
        <f t="shared" si="2"/>
        <v>BORDEAUX</v>
      </c>
    </row>
    <row r="324">
      <c r="A324" s="3" t="s">
        <v>401</v>
      </c>
      <c r="B324" s="3">
        <v>0.0</v>
      </c>
      <c r="C324" s="3" t="s">
        <v>32</v>
      </c>
      <c r="D324" s="4" t="b">
        <f t="shared" si="1"/>
        <v>0</v>
      </c>
      <c r="E324" s="4" t="str">
        <f t="shared" si="2"/>
        <v>ASSOCIATION DU SOUVENIR DES FUSILLES DE SOUGE</v>
      </c>
    </row>
    <row r="325">
      <c r="A325" s="3" t="s">
        <v>402</v>
      </c>
      <c r="B325" s="3">
        <v>0.0</v>
      </c>
      <c r="C325" s="3" t="s">
        <v>6</v>
      </c>
      <c r="D325" s="4" t="b">
        <f t="shared" si="1"/>
        <v>0</v>
      </c>
      <c r="E325" s="4" t="str">
        <f t="shared" si="2"/>
        <v>ASSOCIATION DU VELO TOUTES VIGNES (AVTV)</v>
      </c>
    </row>
    <row r="326">
      <c r="A326" s="3" t="s">
        <v>403</v>
      </c>
      <c r="B326" s="3">
        <v>0.0</v>
      </c>
      <c r="C326" s="3" t="s">
        <v>3</v>
      </c>
      <c r="D326" s="4" t="b">
        <f t="shared" si="1"/>
        <v>0</v>
      </c>
      <c r="E326" s="4" t="str">
        <f t="shared" si="2"/>
        <v>ASSOCIATION ECOPOLES</v>
      </c>
    </row>
    <row r="327">
      <c r="A327" s="3" t="s">
        <v>404</v>
      </c>
      <c r="B327" s="3">
        <v>0.0</v>
      </c>
      <c r="C327" s="3" t="s">
        <v>3</v>
      </c>
      <c r="D327" s="4" t="b">
        <f t="shared" si="1"/>
        <v>0</v>
      </c>
      <c r="E327" s="4" t="str">
        <f t="shared" si="2"/>
        <v>ASSOCIATION EDUCATIVE D'INSERTION SOCIALE (AEIS)</v>
      </c>
    </row>
    <row r="328">
      <c r="A328" s="3" t="s">
        <v>405</v>
      </c>
      <c r="B328" s="3">
        <v>800.0</v>
      </c>
      <c r="C328" s="4"/>
      <c r="D328" s="4" t="b">
        <f t="shared" si="1"/>
        <v>0</v>
      </c>
      <c r="E328" s="4" t="str">
        <f t="shared" si="2"/>
        <v>ASSOCIATION EKOLO[GEEK]</v>
      </c>
    </row>
    <row r="329">
      <c r="A329" s="3" t="s">
        <v>407</v>
      </c>
      <c r="B329" s="3">
        <v>10000.0</v>
      </c>
      <c r="C329" s="3" t="s">
        <v>16</v>
      </c>
      <c r="D329" s="4" t="b">
        <f t="shared" si="1"/>
        <v>0</v>
      </c>
      <c r="E329" s="4" t="str">
        <f t="shared" si="2"/>
        <v>ASSOCIATION EMMAUS AQUITAINE BORDEAUX FONDATEUR ABBE PIERRE</v>
      </c>
    </row>
    <row r="330">
      <c r="A330" s="3" t="s">
        <v>408</v>
      </c>
      <c r="B330" s="4"/>
      <c r="C330" s="4"/>
      <c r="D330" s="4" t="b">
        <f t="shared" si="1"/>
        <v>1</v>
      </c>
      <c r="E330" s="4" t="str">
        <f t="shared" si="2"/>
        <v>PIERRE</v>
      </c>
    </row>
    <row r="331">
      <c r="A331" s="3" t="s">
        <v>409</v>
      </c>
      <c r="B331" s="3">
        <v>0.0</v>
      </c>
      <c r="C331" s="3" t="s">
        <v>6</v>
      </c>
      <c r="D331" s="4" t="b">
        <f t="shared" si="1"/>
        <v>0</v>
      </c>
      <c r="E331" s="4" t="str">
        <f t="shared" si="2"/>
        <v>ASSOCIATION EMMAUS GIRONDE</v>
      </c>
    </row>
    <row r="332">
      <c r="A332" s="3" t="s">
        <v>410</v>
      </c>
      <c r="B332" s="3">
        <v>2000.0</v>
      </c>
      <c r="C332" s="4"/>
      <c r="D332" s="4" t="b">
        <f t="shared" si="1"/>
        <v>0</v>
      </c>
      <c r="E332" s="4" t="str">
        <f t="shared" si="2"/>
        <v>ASSOCIATION ESPACE 33</v>
      </c>
    </row>
    <row r="333">
      <c r="A333" s="3" t="s">
        <v>411</v>
      </c>
      <c r="B333" s="3">
        <v>0.0</v>
      </c>
      <c r="C333" s="3" t="s">
        <v>3</v>
      </c>
      <c r="D333" s="4" t="b">
        <f t="shared" si="1"/>
        <v>0</v>
      </c>
      <c r="E333" s="4" t="str">
        <f t="shared" si="2"/>
        <v>ASSOCIATION ETUDIANTE CULTURELLE BOIS DE ROSE</v>
      </c>
    </row>
    <row r="334">
      <c r="A334" s="3" t="s">
        <v>412</v>
      </c>
      <c r="B334" s="3">
        <v>0.0</v>
      </c>
      <c r="C334" s="3" t="s">
        <v>6</v>
      </c>
      <c r="D334" s="4" t="b">
        <f t="shared" si="1"/>
        <v>0</v>
      </c>
      <c r="E334" s="4" t="str">
        <f t="shared" si="2"/>
        <v>ASSOCIATION FAMILIALE CATHOLIQUE BORDEAUX SAINTE-EULALIE VICTOIRE</v>
      </c>
    </row>
    <row r="335">
      <c r="A335" s="3" t="s">
        <v>341</v>
      </c>
      <c r="B335" s="4"/>
      <c r="C335" s="4"/>
      <c r="D335" s="4" t="b">
        <f t="shared" si="1"/>
        <v>1</v>
      </c>
      <c r="E335" s="4" t="str">
        <f t="shared" si="2"/>
        <v>VICTOIRE</v>
      </c>
    </row>
    <row r="336">
      <c r="A336" s="3" t="s">
        <v>413</v>
      </c>
      <c r="B336" s="3">
        <v>27500.0</v>
      </c>
      <c r="C336" s="3" t="s">
        <v>32</v>
      </c>
      <c r="D336" s="4" t="b">
        <f t="shared" si="1"/>
        <v>0</v>
      </c>
      <c r="E336" s="4" t="str">
        <f t="shared" si="2"/>
        <v>ASSOCIATION FAMILIALE LAIQUE DE BORDEAUX NORD - AFL</v>
      </c>
    </row>
    <row r="337">
      <c r="A337" s="3" t="s">
        <v>415</v>
      </c>
      <c r="B337" s="3">
        <v>0.0</v>
      </c>
      <c r="C337" s="3" t="s">
        <v>3</v>
      </c>
      <c r="D337" s="4" t="b">
        <f t="shared" si="1"/>
        <v>0</v>
      </c>
      <c r="E337" s="4" t="str">
        <f t="shared" si="2"/>
        <v>ASSOCIATION FORMATION ET EDUCATION PERMANENTE DE TIVOLI - AFEPT</v>
      </c>
    </row>
    <row r="338">
      <c r="A338" s="3" t="s">
        <v>416</v>
      </c>
      <c r="B338" s="4"/>
      <c r="C338" s="4"/>
      <c r="D338" s="4" t="b">
        <f t="shared" si="1"/>
        <v>1</v>
      </c>
      <c r="E338" s="4" t="str">
        <f t="shared" si="2"/>
        <v>AFEPT</v>
      </c>
    </row>
    <row r="339">
      <c r="A339" s="3" t="s">
        <v>417</v>
      </c>
      <c r="B339" s="3">
        <v>0.0</v>
      </c>
      <c r="C339" s="3" t="s">
        <v>3</v>
      </c>
      <c r="D339" s="4" t="b">
        <f t="shared" si="1"/>
        <v>0</v>
      </c>
      <c r="E339" s="4" t="str">
        <f t="shared" si="2"/>
        <v>ASSOCIATION FRANCAISE DE PERSONNES SOUFFRANT DE TROUBLES OBSESSIONNELS COMPULSIFS AFTOC</v>
      </c>
    </row>
    <row r="340">
      <c r="A340" s="3" t="s">
        <v>418</v>
      </c>
      <c r="B340" s="4"/>
      <c r="C340" s="4"/>
      <c r="D340" s="4" t="b">
        <f t="shared" si="1"/>
        <v>1</v>
      </c>
      <c r="E340" s="4" t="str">
        <f t="shared" si="2"/>
        <v>TROUBLES OBSESSIONNELS COMPULSIFS AFTOC</v>
      </c>
    </row>
    <row r="341">
      <c r="A341" s="3" t="s">
        <v>419</v>
      </c>
      <c r="B341" s="3">
        <v>0.0</v>
      </c>
      <c r="C341" s="3" t="s">
        <v>3</v>
      </c>
      <c r="D341" s="4" t="b">
        <f t="shared" si="1"/>
        <v>0</v>
      </c>
      <c r="E341" s="4" t="str">
        <f t="shared" si="2"/>
        <v>ASSOCIATION FRANCAISE DES FUNDRAISERS - GROUPE AQUITAINE</v>
      </c>
    </row>
    <row r="342">
      <c r="A342" s="3" t="s">
        <v>420</v>
      </c>
      <c r="B342" s="3">
        <v>0.0</v>
      </c>
      <c r="C342" s="3" t="s">
        <v>29</v>
      </c>
      <c r="D342" s="4" t="b">
        <f t="shared" si="1"/>
        <v>0</v>
      </c>
      <c r="E342" s="4" t="str">
        <f t="shared" si="2"/>
        <v>ASSOCIATION FRANCO-BRESILIENNE POUR LA RECHERCHE DE L'EQUILIBRE - AFBRE</v>
      </c>
    </row>
    <row r="343">
      <c r="A343" s="3" t="s">
        <v>421</v>
      </c>
      <c r="B343" s="4"/>
      <c r="C343" s="4"/>
      <c r="D343" s="4" t="b">
        <f t="shared" si="1"/>
        <v>1</v>
      </c>
      <c r="E343" s="4" t="str">
        <f t="shared" si="2"/>
        <v>L'EQUILIBRE - AFBRE</v>
      </c>
    </row>
    <row r="344">
      <c r="A344" s="3" t="s">
        <v>422</v>
      </c>
      <c r="B344" s="3">
        <v>0.0</v>
      </c>
      <c r="C344" s="3" t="s">
        <v>29</v>
      </c>
      <c r="D344" s="4" t="b">
        <f t="shared" si="1"/>
        <v>0</v>
      </c>
      <c r="E344" s="4" t="str">
        <f t="shared" si="2"/>
        <v>ASSOCIATION FRANCO-KURDE</v>
      </c>
    </row>
    <row r="345">
      <c r="A345" s="3" t="s">
        <v>423</v>
      </c>
      <c r="B345" s="3">
        <v>0.0</v>
      </c>
      <c r="C345" s="3" t="s">
        <v>3</v>
      </c>
      <c r="D345" s="4" t="b">
        <f t="shared" si="1"/>
        <v>0</v>
      </c>
      <c r="E345" s="4" t="str">
        <f t="shared" si="2"/>
        <v>ASSOCIATION France - UKRAINE</v>
      </c>
    </row>
    <row r="346">
      <c r="A346" s="3" t="s">
        <v>424</v>
      </c>
      <c r="B346" s="3">
        <v>0.0</v>
      </c>
      <c r="C346" s="3" t="s">
        <v>3</v>
      </c>
      <c r="D346" s="4" t="b">
        <f t="shared" si="1"/>
        <v>0</v>
      </c>
      <c r="E346" s="4" t="str">
        <f t="shared" si="2"/>
        <v>ASSOCIATION GENERALE DES LOCATAIRES</v>
      </c>
    </row>
    <row r="347">
      <c r="A347" s="3" t="s">
        <v>425</v>
      </c>
      <c r="B347" s="3">
        <v>0.0</v>
      </c>
      <c r="C347" s="3" t="s">
        <v>3</v>
      </c>
      <c r="D347" s="4" t="b">
        <f t="shared" si="1"/>
        <v>0</v>
      </c>
      <c r="E347" s="4" t="str">
        <f t="shared" si="2"/>
        <v>ASSOCIATION GENERALE INTERVENANTS RETRAITES POUR ACTIONS BENEVOLES DE COOPERATION ET DEVELOPPEMENT</v>
      </c>
    </row>
    <row r="348">
      <c r="A348" s="3" t="s">
        <v>426</v>
      </c>
      <c r="B348" s="4"/>
      <c r="C348" s="4"/>
      <c r="D348" s="4" t="b">
        <f t="shared" si="1"/>
        <v>1</v>
      </c>
      <c r="E348" s="4" t="str">
        <f t="shared" si="2"/>
        <v>ACTIONS BENEVOLES DE COOPERATION ET DEVELOPPEMENT</v>
      </c>
    </row>
    <row r="349">
      <c r="A349" s="3" t="s">
        <v>427</v>
      </c>
      <c r="B349" s="3">
        <v>5000.0</v>
      </c>
      <c r="C349" s="3" t="s">
        <v>29</v>
      </c>
      <c r="D349" s="4" t="b">
        <f t="shared" si="1"/>
        <v>0</v>
      </c>
      <c r="E349" s="4" t="str">
        <f t="shared" si="2"/>
        <v>ASSOCIATION GENERATION DUPATY</v>
      </c>
    </row>
    <row r="350">
      <c r="A350" s="3" t="s">
        <v>428</v>
      </c>
      <c r="B350" s="3">
        <v>45400.0</v>
      </c>
      <c r="C350" s="3" t="s">
        <v>3</v>
      </c>
      <c r="D350" s="4" t="b">
        <f t="shared" si="1"/>
        <v>0</v>
      </c>
      <c r="E350" s="4" t="str">
        <f t="shared" si="2"/>
        <v>ASSOCIATION GIRONDINE D'EDUCATION SPECIALISEE ET DE PREVENTION SOCIALE - AGEP</v>
      </c>
    </row>
    <row r="351">
      <c r="A351" s="3" t="s">
        <v>430</v>
      </c>
      <c r="B351" s="4"/>
      <c r="C351" s="4"/>
      <c r="D351" s="4" t="b">
        <f t="shared" si="1"/>
        <v>1</v>
      </c>
      <c r="E351" s="4" t="str">
        <f t="shared" si="2"/>
        <v>PREVENTION SOCIALE - AGEP</v>
      </c>
    </row>
    <row r="352">
      <c r="A352" s="3" t="s">
        <v>431</v>
      </c>
      <c r="B352" s="3">
        <v>0.0</v>
      </c>
      <c r="C352" s="3" t="s">
        <v>29</v>
      </c>
      <c r="D352" s="4" t="b">
        <f t="shared" si="1"/>
        <v>0</v>
      </c>
      <c r="E352" s="4" t="str">
        <f t="shared" si="2"/>
        <v>ASSOCIATION GIRONDINE DES ACTIVITES PROTEGEES - SPORT - LOISIRS (AGAP - SPORT - LOISIRS)</v>
      </c>
    </row>
    <row r="353">
      <c r="A353" s="3" t="s">
        <v>432</v>
      </c>
      <c r="B353" s="4"/>
      <c r="C353" s="4"/>
      <c r="D353" s="4" t="b">
        <f t="shared" si="1"/>
        <v>1</v>
      </c>
      <c r="E353" s="4" t="str">
        <f t="shared" si="2"/>
        <v>LOISIRS (AGAP - SPORT - LOISIRS)</v>
      </c>
    </row>
    <row r="354">
      <c r="A354" s="3" t="s">
        <v>433</v>
      </c>
      <c r="B354" s="3">
        <v>0.0</v>
      </c>
      <c r="C354" s="3" t="s">
        <v>3</v>
      </c>
      <c r="D354" s="4" t="b">
        <f t="shared" si="1"/>
        <v>0</v>
      </c>
      <c r="E354" s="4" t="str">
        <f t="shared" si="2"/>
        <v>ASSOCIATION GOLF D'ENTREPRISES INTER-ENTREPRISES GOLF DE BORDEAUX - IEGB</v>
      </c>
    </row>
    <row r="355">
      <c r="A355" s="3" t="s">
        <v>434</v>
      </c>
      <c r="B355" s="4"/>
      <c r="C355" s="4"/>
      <c r="D355" s="4" t="b">
        <f t="shared" si="1"/>
        <v>1</v>
      </c>
      <c r="E355" s="4" t="str">
        <f t="shared" si="2"/>
        <v>BORDEAUX - IEGB</v>
      </c>
    </row>
    <row r="356">
      <c r="A356" s="3" t="s">
        <v>435</v>
      </c>
      <c r="B356" s="3">
        <v>2500.0</v>
      </c>
      <c r="C356" s="4"/>
      <c r="D356" s="4" t="b">
        <f t="shared" si="1"/>
        <v>0</v>
      </c>
      <c r="E356" s="4" t="str">
        <f t="shared" si="2"/>
        <v>ASSOCIATION HABILITEE DES JEUNES SAPEURS POMPIERS DE LA BENAUGE</v>
      </c>
    </row>
    <row r="357">
      <c r="A357" s="3" t="s">
        <v>436</v>
      </c>
      <c r="B357" s="4"/>
      <c r="C357" s="4"/>
      <c r="D357" s="4" t="b">
        <f t="shared" si="1"/>
        <v>1</v>
      </c>
      <c r="E357" s="4" t="str">
        <f t="shared" si="2"/>
        <v>BENAUGE</v>
      </c>
    </row>
    <row r="358">
      <c r="A358" s="3" t="s">
        <v>437</v>
      </c>
      <c r="B358" s="3">
        <v>0.0</v>
      </c>
      <c r="C358" s="3" t="s">
        <v>3</v>
      </c>
      <c r="D358" s="4" t="b">
        <f t="shared" si="1"/>
        <v>0</v>
      </c>
      <c r="E358" s="4" t="str">
        <f t="shared" si="2"/>
        <v>ASSOCIATION INTERNATIONALE POUR LA CULTURE, LE DEVELOPPEMENT ET LA PAIX (AICDP)</v>
      </c>
    </row>
    <row r="359">
      <c r="A359" s="3" t="s">
        <v>438</v>
      </c>
      <c r="B359" s="4"/>
      <c r="C359" s="4"/>
      <c r="D359" s="4" t="b">
        <f t="shared" si="1"/>
        <v>1</v>
      </c>
      <c r="E359" s="4" t="str">
        <f t="shared" si="2"/>
        <v>DEVELOPPEMENT ET LA PAIX (AICDP)</v>
      </c>
    </row>
    <row r="360">
      <c r="A360" s="3" t="s">
        <v>439</v>
      </c>
      <c r="B360" s="3">
        <v>0.0</v>
      </c>
      <c r="C360" s="3" t="s">
        <v>6</v>
      </c>
      <c r="D360" s="4" t="b">
        <f t="shared" si="1"/>
        <v>0</v>
      </c>
      <c r="E360" s="4" t="str">
        <f t="shared" si="2"/>
        <v>ASSOCIATION INTERPROFESSIONNELLE BIO REGIONALE (AQUITAINE/LIMOUSIN/POITOU-CHARENTES OU EQUIVALENT)</v>
      </c>
    </row>
    <row r="361">
      <c r="A361" s="3" t="s">
        <v>440</v>
      </c>
      <c r="B361" s="4"/>
      <c r="C361" s="4"/>
      <c r="D361" s="4" t="b">
        <f t="shared" si="1"/>
        <v>1</v>
      </c>
      <c r="E361" s="4" t="str">
        <f t="shared" si="2"/>
        <v>(AQUITAINE/LIMOUSIN/POITOU-CHARENTES OU EQUIVALENT)</v>
      </c>
    </row>
    <row r="362">
      <c r="A362" s="3" t="s">
        <v>441</v>
      </c>
      <c r="B362" s="3">
        <v>0.0</v>
      </c>
      <c r="C362" s="3" t="s">
        <v>29</v>
      </c>
      <c r="D362" s="4" t="b">
        <f t="shared" si="1"/>
        <v>0</v>
      </c>
      <c r="E362" s="4" t="str">
        <f t="shared" si="2"/>
        <v>ASSOCIATION JEUNESSE FUTSAL (A.J.F.)</v>
      </c>
    </row>
    <row r="363">
      <c r="A363" s="3" t="s">
        <v>442</v>
      </c>
      <c r="B363" s="3">
        <v>5900.0</v>
      </c>
      <c r="C363" s="4"/>
      <c r="D363" s="4" t="b">
        <f t="shared" si="1"/>
        <v>0</v>
      </c>
      <c r="E363" s="4" t="str">
        <f t="shared" si="2"/>
        <v>ASSOCIATION JUDAIQUE ST SEURIN</v>
      </c>
    </row>
    <row r="364">
      <c r="A364" s="3" t="s">
        <v>444</v>
      </c>
      <c r="B364" s="3">
        <v>3000.0</v>
      </c>
      <c r="C364" s="4"/>
      <c r="D364" s="4" t="b">
        <f t="shared" si="1"/>
        <v>0</v>
      </c>
      <c r="E364" s="4" t="str">
        <f t="shared" si="2"/>
        <v>ASSOCIATION L'ALTERNATIVE-KOUABO</v>
      </c>
    </row>
    <row r="365">
      <c r="A365" s="3" t="s">
        <v>445</v>
      </c>
      <c r="B365" s="3">
        <v>180000.0</v>
      </c>
      <c r="C365" s="4"/>
      <c r="D365" s="4" t="b">
        <f t="shared" si="1"/>
        <v>0</v>
      </c>
      <c r="E365" s="4" t="str">
        <f t="shared" si="2"/>
        <v>ASSOCIATION LA COCCINELLE</v>
      </c>
    </row>
    <row r="366">
      <c r="A366" s="3" t="s">
        <v>447</v>
      </c>
      <c r="B366" s="3">
        <v>55000.0</v>
      </c>
      <c r="C366" s="4"/>
      <c r="D366" s="4" t="b">
        <f t="shared" si="1"/>
        <v>0</v>
      </c>
      <c r="E366" s="4" t="str">
        <f t="shared" si="2"/>
        <v>ASSOCIATION LAIQUE LE PRADO</v>
      </c>
    </row>
    <row r="367">
      <c r="A367" s="3" t="s">
        <v>449</v>
      </c>
      <c r="B367" s="3">
        <v>0.0</v>
      </c>
      <c r="C367" s="3" t="s">
        <v>32</v>
      </c>
      <c r="D367" s="4" t="b">
        <f t="shared" si="1"/>
        <v>0</v>
      </c>
      <c r="E367" s="4" t="str">
        <f t="shared" si="2"/>
        <v>ASSOCIATION LE MERLE MOQUEUR</v>
      </c>
    </row>
    <row r="368">
      <c r="A368" s="3" t="s">
        <v>450</v>
      </c>
      <c r="B368" s="3">
        <v>800.0</v>
      </c>
      <c r="C368" s="3" t="s">
        <v>6</v>
      </c>
      <c r="D368" s="4" t="b">
        <f t="shared" si="1"/>
        <v>0</v>
      </c>
      <c r="E368" s="4" t="str">
        <f t="shared" si="2"/>
        <v>ASSOCIATION LE VILLAGE BORDEAUX SUD</v>
      </c>
    </row>
    <row r="369">
      <c r="A369" s="3" t="s">
        <v>451</v>
      </c>
      <c r="B369" s="3">
        <v>0.0</v>
      </c>
      <c r="C369" s="3" t="s">
        <v>3</v>
      </c>
      <c r="D369" s="4" t="b">
        <f t="shared" si="1"/>
        <v>0</v>
      </c>
      <c r="E369" s="4" t="str">
        <f t="shared" si="2"/>
        <v>ASSOCIATION LEA - UNIVERSITE BORDEAUX MONTAIGNE</v>
      </c>
    </row>
    <row r="370">
      <c r="A370" s="3" t="s">
        <v>452</v>
      </c>
      <c r="B370" s="3">
        <v>4000.0</v>
      </c>
      <c r="C370" s="3" t="s">
        <v>3</v>
      </c>
      <c r="D370" s="4" t="b">
        <f t="shared" si="1"/>
        <v>0</v>
      </c>
      <c r="E370" s="4" t="str">
        <f t="shared" si="2"/>
        <v>ASSOCIATION LES CREANTS</v>
      </c>
    </row>
    <row r="371">
      <c r="A371" s="3" t="s">
        <v>453</v>
      </c>
      <c r="B371" s="3">
        <v>0.0</v>
      </c>
      <c r="C371" s="3" t="s">
        <v>3</v>
      </c>
      <c r="D371" s="4" t="b">
        <f t="shared" si="1"/>
        <v>0</v>
      </c>
      <c r="E371" s="4" t="str">
        <f t="shared" si="2"/>
        <v>ASSOCIATION MALADIE CHRONIQUE SPORT BIEN ETRE</v>
      </c>
    </row>
    <row r="372">
      <c r="A372" s="3" t="s">
        <v>454</v>
      </c>
      <c r="B372" s="3">
        <v>0.0</v>
      </c>
      <c r="C372" s="3" t="s">
        <v>3</v>
      </c>
      <c r="D372" s="4" t="b">
        <f t="shared" si="1"/>
        <v>0</v>
      </c>
      <c r="E372" s="4" t="str">
        <f t="shared" si="2"/>
        <v>ASSOCIATION MALINE</v>
      </c>
    </row>
    <row r="373">
      <c r="A373" s="3" t="s">
        <v>455</v>
      </c>
      <c r="B373" s="3">
        <v>0.0</v>
      </c>
      <c r="C373" s="3" t="s">
        <v>3</v>
      </c>
      <c r="D373" s="4" t="b">
        <f t="shared" si="1"/>
        <v>0</v>
      </c>
      <c r="E373" s="4" t="str">
        <f t="shared" si="2"/>
        <v>ASSOCIATION MARIE DE LUZE</v>
      </c>
    </row>
    <row r="374">
      <c r="A374" s="3" t="s">
        <v>456</v>
      </c>
      <c r="B374" s="3">
        <v>0.0</v>
      </c>
      <c r="C374" s="3" t="s">
        <v>6</v>
      </c>
      <c r="D374" s="4" t="b">
        <f t="shared" si="1"/>
        <v>0</v>
      </c>
      <c r="E374" s="4" t="str">
        <f t="shared" si="2"/>
        <v>ASSOCIATION MUSICALARUE</v>
      </c>
    </row>
    <row r="375">
      <c r="A375" s="3" t="s">
        <v>457</v>
      </c>
      <c r="B375" s="3">
        <v>2000.0</v>
      </c>
      <c r="C375" s="3" t="s">
        <v>3</v>
      </c>
      <c r="D375" s="4" t="b">
        <f t="shared" si="1"/>
        <v>0</v>
      </c>
      <c r="E375" s="4" t="str">
        <f t="shared" si="2"/>
        <v>ASSOCIATION NATIONALE DES AMIS DE JEAN MOULIN</v>
      </c>
    </row>
    <row r="376">
      <c r="A376" s="3" t="s">
        <v>458</v>
      </c>
      <c r="B376" s="3">
        <v>0.0</v>
      </c>
      <c r="C376" s="3" t="s">
        <v>3</v>
      </c>
      <c r="D376" s="4" t="b">
        <f t="shared" si="1"/>
        <v>0</v>
      </c>
      <c r="E376" s="4" t="str">
        <f t="shared" si="2"/>
        <v>ASSOCIATION NATIONALE DES ANCIENS ET AMIS DE L'INDOCHINE ET DU SOUVENIR INDOCHINOIS</v>
      </c>
    </row>
    <row r="377">
      <c r="A377" s="3" t="s">
        <v>459</v>
      </c>
      <c r="B377" s="4"/>
      <c r="C377" s="4"/>
      <c r="D377" s="4" t="b">
        <f t="shared" si="1"/>
        <v>1</v>
      </c>
      <c r="E377" s="4" t="str">
        <f t="shared" si="2"/>
        <v>ET DU SOUVENIR INDOCHINOIS</v>
      </c>
    </row>
    <row r="378">
      <c r="A378" s="3" t="s">
        <v>460</v>
      </c>
      <c r="B378" s="3">
        <v>3000.0</v>
      </c>
      <c r="C378" s="4"/>
      <c r="D378" s="4" t="b">
        <f t="shared" si="1"/>
        <v>0</v>
      </c>
      <c r="E378" s="4" t="str">
        <f t="shared" si="2"/>
        <v>ASSOCIATION NATIONALE DES JEUNES ENTREPRENEURS D AQUITAINE</v>
      </c>
    </row>
    <row r="379">
      <c r="A379" s="3" t="s">
        <v>461</v>
      </c>
      <c r="B379" s="4"/>
      <c r="C379" s="4"/>
      <c r="D379" s="4" t="b">
        <f t="shared" si="1"/>
        <v>1</v>
      </c>
      <c r="E379" s="4" t="str">
        <f t="shared" si="2"/>
        <v>AQUITAINE</v>
      </c>
    </row>
    <row r="380">
      <c r="A380" s="3" t="s">
        <v>462</v>
      </c>
      <c r="B380" s="3">
        <v>0.0</v>
      </c>
      <c r="C380" s="3" t="s">
        <v>3</v>
      </c>
      <c r="D380" s="4" t="b">
        <f t="shared" si="1"/>
        <v>0</v>
      </c>
      <c r="E380" s="4" t="str">
        <f t="shared" si="2"/>
        <v>ASSOCIATION NATIONALE DES RETRAITES DE LA POSTE ET DE France TELECOM</v>
      </c>
    </row>
    <row r="381">
      <c r="A381" s="3" t="s">
        <v>463</v>
      </c>
      <c r="B381" s="4"/>
      <c r="C381" s="4"/>
      <c r="D381" s="4" t="b">
        <f t="shared" si="1"/>
        <v>1</v>
      </c>
      <c r="E381" s="4" t="str">
        <f t="shared" si="2"/>
        <v>France TELECOM</v>
      </c>
    </row>
    <row r="382">
      <c r="A382" s="3" t="s">
        <v>464</v>
      </c>
      <c r="B382" s="3">
        <v>0.0</v>
      </c>
      <c r="C382" s="3" t="s">
        <v>3</v>
      </c>
      <c r="D382" s="4" t="b">
        <f t="shared" si="1"/>
        <v>0</v>
      </c>
      <c r="E382" s="4" t="str">
        <f t="shared" si="2"/>
        <v>ASSOCIATION NATIONALE DES RETRAITES HOSPITALIERS</v>
      </c>
    </row>
    <row r="383">
      <c r="A383" s="3" t="s">
        <v>465</v>
      </c>
      <c r="B383" s="3">
        <v>300.0</v>
      </c>
      <c r="C383" s="3" t="s">
        <v>3</v>
      </c>
      <c r="D383" s="4" t="b">
        <f t="shared" si="1"/>
        <v>0</v>
      </c>
      <c r="E383" s="4" t="str">
        <f t="shared" si="2"/>
        <v>ASSOCIATION NATIONALE DES VISITEURS DE PRISON - ANVP</v>
      </c>
    </row>
    <row r="384">
      <c r="A384" s="3" t="s">
        <v>466</v>
      </c>
      <c r="B384" s="3">
        <v>3000.0</v>
      </c>
      <c r="C384" s="3" t="s">
        <v>3</v>
      </c>
      <c r="D384" s="4" t="b">
        <f t="shared" si="1"/>
        <v>0</v>
      </c>
      <c r="E384" s="4" t="str">
        <f t="shared" si="2"/>
        <v>ASSOCIATION NATIONALE LE REFUGE</v>
      </c>
    </row>
    <row r="385">
      <c r="A385" s="3" t="s">
        <v>467</v>
      </c>
      <c r="B385" s="3">
        <v>250.0</v>
      </c>
      <c r="C385" s="3" t="s">
        <v>3</v>
      </c>
      <c r="D385" s="4" t="b">
        <f t="shared" si="1"/>
        <v>0</v>
      </c>
      <c r="E385" s="4" t="str">
        <f t="shared" si="2"/>
        <v>ASSOCIATION NATIONALE MEMBRES DE L'ORDRE NATIONAL DU MERITE - SECTION DEPARTEMENTALE DE LA GIRONDE</v>
      </c>
    </row>
    <row r="386">
      <c r="A386" s="3" t="s">
        <v>469</v>
      </c>
      <c r="B386" s="4"/>
      <c r="C386" s="4"/>
      <c r="D386" s="4" t="b">
        <f t="shared" si="1"/>
        <v>1</v>
      </c>
      <c r="E386" s="4" t="str">
        <f t="shared" si="2"/>
        <v>MERITE - SECTION DEPARTEMENTALE DE LA GIRONDE</v>
      </c>
    </row>
    <row r="387">
      <c r="A387" s="3" t="s">
        <v>470</v>
      </c>
      <c r="B387" s="3">
        <v>0.0</v>
      </c>
      <c r="C387" s="3" t="s">
        <v>3</v>
      </c>
      <c r="D387" s="4" t="b">
        <f t="shared" si="1"/>
        <v>0</v>
      </c>
      <c r="E387" s="4" t="str">
        <f t="shared" si="2"/>
        <v>ASSOCIATION NATIONALE POUR LES ENFANTS INTELLECTUELLEMENT PRECOCES DE L'AQUITAINE - ANPEIP</v>
      </c>
    </row>
    <row r="388">
      <c r="A388" s="3" t="s">
        <v>471</v>
      </c>
      <c r="B388" s="4"/>
      <c r="C388" s="4"/>
      <c r="D388" s="4" t="b">
        <f t="shared" si="1"/>
        <v>1</v>
      </c>
      <c r="E388" s="4" t="str">
        <f t="shared" si="2"/>
        <v>INTELLECTUELLEMENT PRECOCES DE L'AQUITAINE - ANPEIP</v>
      </c>
    </row>
    <row r="389">
      <c r="A389" s="3" t="s">
        <v>472</v>
      </c>
      <c r="B389" s="3">
        <v>5000.0</v>
      </c>
      <c r="C389" s="3" t="s">
        <v>32</v>
      </c>
      <c r="D389" s="4" t="b">
        <f t="shared" si="1"/>
        <v>0</v>
      </c>
      <c r="E389" s="4" t="str">
        <f t="shared" si="2"/>
        <v>ASSOCIATION OXYGENE</v>
      </c>
    </row>
    <row r="390">
      <c r="A390" s="3" t="s">
        <v>473</v>
      </c>
      <c r="B390" s="3">
        <v>2500.0</v>
      </c>
      <c r="C390" s="3" t="s">
        <v>3</v>
      </c>
      <c r="D390" s="4" t="b">
        <f t="shared" si="1"/>
        <v>0</v>
      </c>
      <c r="E390" s="4" t="str">
        <f t="shared" si="2"/>
        <v>ASSOCIATION PALLIA PLUS</v>
      </c>
    </row>
    <row r="391">
      <c r="A391" s="3" t="s">
        <v>474</v>
      </c>
      <c r="B391" s="3">
        <v>0.0</v>
      </c>
      <c r="C391" s="3" t="s">
        <v>3</v>
      </c>
      <c r="D391" s="4" t="b">
        <f t="shared" si="1"/>
        <v>0</v>
      </c>
      <c r="E391" s="4" t="str">
        <f t="shared" si="2"/>
        <v>ASSOCIATION PAROLE BEGAIEMENT - APB - DELEGATION DEPARTEMENTALE</v>
      </c>
    </row>
    <row r="392">
      <c r="A392" s="3" t="s">
        <v>475</v>
      </c>
      <c r="B392" s="4"/>
      <c r="C392" s="4"/>
      <c r="D392" s="4" t="b">
        <f t="shared" si="1"/>
        <v>1</v>
      </c>
      <c r="E392" s="4" t="str">
        <f t="shared" si="2"/>
        <v>DEPARTEMENTALE</v>
      </c>
    </row>
    <row r="393">
      <c r="A393" s="3" t="s">
        <v>476</v>
      </c>
      <c r="B393" s="3">
        <v>1578403.0</v>
      </c>
      <c r="C393" s="3" t="s">
        <v>32</v>
      </c>
      <c r="D393" s="4" t="b">
        <f t="shared" si="1"/>
        <v>0</v>
      </c>
      <c r="E393" s="4" t="str">
        <f t="shared" si="2"/>
        <v>ASSOCIATION PETITE ENFANCE ENFANCE ET FAMILLE - APEEF</v>
      </c>
    </row>
    <row r="394">
      <c r="A394" s="3" t="s">
        <v>478</v>
      </c>
      <c r="B394" s="3">
        <v>311500.0</v>
      </c>
      <c r="C394" s="4"/>
      <c r="D394" s="4" t="b">
        <f t="shared" si="1"/>
        <v>0</v>
      </c>
      <c r="E394" s="4" t="str">
        <f t="shared" si="2"/>
        <v>ASSOCIATION PETITS BOUCHONS</v>
      </c>
    </row>
    <row r="395">
      <c r="A395" s="3" t="s">
        <v>480</v>
      </c>
      <c r="B395" s="3">
        <v>3000.0</v>
      </c>
      <c r="C395" s="4"/>
      <c r="D395" s="4" t="b">
        <f t="shared" si="1"/>
        <v>0</v>
      </c>
      <c r="E395" s="4" t="str">
        <f t="shared" si="2"/>
        <v>ASSOCIATION PETRONILLE</v>
      </c>
    </row>
    <row r="396">
      <c r="A396" s="3" t="s">
        <v>481</v>
      </c>
      <c r="B396" s="3">
        <v>1735000.0</v>
      </c>
      <c r="C396" s="3" t="s">
        <v>3</v>
      </c>
      <c r="D396" s="4" t="b">
        <f t="shared" si="1"/>
        <v>0</v>
      </c>
      <c r="E396" s="4" t="str">
        <f t="shared" si="2"/>
        <v>ASSOCIATION PITCHOUN</v>
      </c>
    </row>
    <row r="397">
      <c r="A397" s="3" t="s">
        <v>483</v>
      </c>
      <c r="B397" s="3">
        <v>1500.0</v>
      </c>
      <c r="C397" s="3" t="s">
        <v>484</v>
      </c>
      <c r="D397" s="4" t="b">
        <f t="shared" si="1"/>
        <v>0</v>
      </c>
      <c r="E397" s="4" t="str">
        <f t="shared" si="2"/>
        <v>ASSOCIATION POUR L'ANIMATION ET LES LOISIRS DES PERSONNES AGEES - APALPA</v>
      </c>
    </row>
    <row r="398">
      <c r="A398" s="3" t="s">
        <v>485</v>
      </c>
      <c r="B398" s="4"/>
      <c r="C398" s="4"/>
      <c r="D398" s="4" t="b">
        <f t="shared" si="1"/>
        <v>1</v>
      </c>
      <c r="E398" s="4" t="str">
        <f t="shared" si="2"/>
        <v>AGEES - APALPA</v>
      </c>
    </row>
    <row r="399">
      <c r="A399" s="3" t="s">
        <v>486</v>
      </c>
      <c r="B399" s="3">
        <v>0.0</v>
      </c>
      <c r="C399" s="3" t="s">
        <v>3</v>
      </c>
      <c r="D399" s="4" t="b">
        <f t="shared" si="1"/>
        <v>0</v>
      </c>
      <c r="E399" s="4" t="str">
        <f t="shared" si="2"/>
        <v>ASSOCIATION POUR L'ENTRAIDE CONTRE LA RECHUTE DE DEPRESSION - AERD</v>
      </c>
    </row>
    <row r="400">
      <c r="A400" s="3" t="s">
        <v>487</v>
      </c>
      <c r="B400" s="4"/>
      <c r="C400" s="4"/>
      <c r="D400" s="4" t="b">
        <f t="shared" si="1"/>
        <v>1</v>
      </c>
      <c r="E400" s="4" t="str">
        <f t="shared" si="2"/>
        <v>DEPRESSION - AERD</v>
      </c>
    </row>
    <row r="401">
      <c r="A401" s="3" t="s">
        <v>488</v>
      </c>
      <c r="B401" s="3">
        <v>0.0</v>
      </c>
      <c r="C401" s="3" t="s">
        <v>3</v>
      </c>
      <c r="D401" s="4" t="b">
        <f t="shared" si="1"/>
        <v>0</v>
      </c>
      <c r="E401" s="4" t="str">
        <f t="shared" si="2"/>
        <v>ASSOCIATION POUR L'ENVIRONNEMENT ET LA SECURITE EN AQUITAINE - APESA</v>
      </c>
    </row>
    <row r="402">
      <c r="A402" s="3" t="s">
        <v>489</v>
      </c>
      <c r="B402" s="4"/>
      <c r="C402" s="4"/>
      <c r="D402" s="4" t="b">
        <f t="shared" si="1"/>
        <v>1</v>
      </c>
      <c r="E402" s="4" t="str">
        <f t="shared" si="2"/>
        <v>AQUITAINE - APESA</v>
      </c>
    </row>
    <row r="403">
      <c r="A403" s="3" t="s">
        <v>490</v>
      </c>
      <c r="B403" s="3">
        <v>2500.0</v>
      </c>
      <c r="C403" s="4"/>
      <c r="D403" s="4" t="b">
        <f t="shared" si="1"/>
        <v>0</v>
      </c>
      <c r="E403" s="4" t="str">
        <f t="shared" si="2"/>
        <v>ASSOCIATION POUR L'ETUDE ET LA PREVENTION DU SUICIDE EN AQUITAINE</v>
      </c>
    </row>
    <row r="404">
      <c r="A404" s="3" t="s">
        <v>461</v>
      </c>
      <c r="B404" s="4"/>
      <c r="C404" s="4"/>
      <c r="D404" s="4" t="b">
        <f t="shared" si="1"/>
        <v>1</v>
      </c>
      <c r="E404" s="4" t="str">
        <f t="shared" si="2"/>
        <v>AQUITAINE</v>
      </c>
    </row>
    <row r="405">
      <c r="A405" s="3" t="s">
        <v>491</v>
      </c>
      <c r="B405" s="3">
        <v>300000.0</v>
      </c>
      <c r="C405" s="4"/>
      <c r="D405" s="4" t="b">
        <f t="shared" si="1"/>
        <v>0</v>
      </c>
      <c r="E405" s="4" t="str">
        <f t="shared" si="2"/>
        <v>ASSOCIATION POUR L'INNOVATION EN MATIERE D'INTEGRATION</v>
      </c>
    </row>
    <row r="406">
      <c r="A406" s="3" t="s">
        <v>493</v>
      </c>
      <c r="B406" s="3">
        <v>0.0</v>
      </c>
      <c r="C406" s="3" t="s">
        <v>3</v>
      </c>
      <c r="D406" s="4" t="b">
        <f t="shared" si="1"/>
        <v>0</v>
      </c>
      <c r="E406" s="4" t="str">
        <f t="shared" si="2"/>
        <v>ASSOCIATION POUR L'UNIFICATION DU DROIT DES AFFAIRES EN EUROPE (AUDE)</v>
      </c>
    </row>
    <row r="407">
      <c r="A407" s="3" t="s">
        <v>494</v>
      </c>
      <c r="B407" s="4"/>
      <c r="C407" s="4"/>
      <c r="D407" s="4" t="b">
        <f t="shared" si="1"/>
        <v>1</v>
      </c>
      <c r="E407" s="4" t="str">
        <f t="shared" si="2"/>
        <v>EUROPE (AUDE)</v>
      </c>
    </row>
    <row r="408">
      <c r="A408" s="3" t="s">
        <v>495</v>
      </c>
      <c r="B408" s="3">
        <v>1000.0</v>
      </c>
      <c r="C408" s="4"/>
      <c r="D408" s="4" t="b">
        <f t="shared" si="1"/>
        <v>0</v>
      </c>
      <c r="E408" s="4" t="str">
        <f t="shared" si="2"/>
        <v>ASSOCIATION POUR LA CONNAISSANCE DU MONDE VEGETAL</v>
      </c>
    </row>
    <row r="409">
      <c r="A409" s="3" t="s">
        <v>496</v>
      </c>
      <c r="B409" s="3">
        <v>0.0</v>
      </c>
      <c r="C409" s="3" t="s">
        <v>3</v>
      </c>
      <c r="D409" s="4" t="b">
        <f t="shared" si="1"/>
        <v>0</v>
      </c>
      <c r="E409" s="4" t="str">
        <f t="shared" si="2"/>
        <v>ASSOCIATION POUR LA DEFENSE DE LA FAMILLE ET DE L'INDIVIDU (ADFI)</v>
      </c>
    </row>
    <row r="410">
      <c r="A410" s="3" t="s">
        <v>497</v>
      </c>
      <c r="B410" s="4"/>
      <c r="C410" s="4"/>
      <c r="D410" s="4" t="b">
        <f t="shared" si="1"/>
        <v>1</v>
      </c>
      <c r="E410" s="4" t="str">
        <f t="shared" si="2"/>
        <v>(ADFI)</v>
      </c>
    </row>
    <row r="411">
      <c r="A411" s="3" t="s">
        <v>498</v>
      </c>
      <c r="B411" s="3">
        <v>400.0</v>
      </c>
      <c r="C411" s="3" t="s">
        <v>3</v>
      </c>
      <c r="D411" s="4" t="b">
        <f t="shared" si="1"/>
        <v>0</v>
      </c>
      <c r="E411" s="4" t="str">
        <f t="shared" si="2"/>
        <v>ASSOCIATION POUR LA JEUNESSE, LES INITIATIVES ET LE RESEAU DE L'ENGAGEMENT - AJIRE</v>
      </c>
    </row>
    <row r="412">
      <c r="A412" s="3" t="s">
        <v>499</v>
      </c>
      <c r="B412" s="4"/>
      <c r="C412" s="4"/>
      <c r="D412" s="4" t="b">
        <f t="shared" si="1"/>
        <v>1</v>
      </c>
      <c r="E412" s="4" t="str">
        <f t="shared" si="2"/>
        <v>DE L'ENGAGEMENT - AJIRE</v>
      </c>
    </row>
    <row r="413">
      <c r="A413" s="3" t="s">
        <v>500</v>
      </c>
      <c r="B413" s="3">
        <v>0.0</v>
      </c>
      <c r="C413" s="3" t="s">
        <v>6</v>
      </c>
      <c r="D413" s="4" t="b">
        <f t="shared" si="1"/>
        <v>0</v>
      </c>
      <c r="E413" s="4" t="str">
        <f t="shared" si="2"/>
        <v>ASSOCIATION POUR LA PROMOTION DES ARTISTES ET CULTURES DU MONDE APAC</v>
      </c>
    </row>
    <row r="414">
      <c r="A414" s="3" t="s">
        <v>501</v>
      </c>
      <c r="B414" s="4"/>
      <c r="C414" s="4"/>
      <c r="D414" s="4" t="b">
        <f t="shared" si="1"/>
        <v>1</v>
      </c>
      <c r="E414" s="4" t="str">
        <f t="shared" si="2"/>
        <v>DU MONDE APAC</v>
      </c>
    </row>
    <row r="415">
      <c r="A415" s="3" t="s">
        <v>502</v>
      </c>
      <c r="B415" s="3">
        <v>500.0</v>
      </c>
      <c r="C415" s="3" t="s">
        <v>26</v>
      </c>
      <c r="D415" s="4" t="b">
        <f t="shared" si="1"/>
        <v>0</v>
      </c>
      <c r="E415" s="4" t="str">
        <f t="shared" si="2"/>
        <v>ASSOCIATION POUR LA READAPTATION ET L'INTEGRATION - ARI</v>
      </c>
    </row>
    <row r="416">
      <c r="A416" s="3" t="s">
        <v>503</v>
      </c>
      <c r="B416" s="3">
        <v>0.0</v>
      </c>
      <c r="C416" s="3" t="s">
        <v>3</v>
      </c>
      <c r="D416" s="4" t="b">
        <f t="shared" si="1"/>
        <v>0</v>
      </c>
      <c r="E416" s="4" t="str">
        <f t="shared" si="2"/>
        <v>ASSOCIATION POUR LA RECHERCHE CLINIQUE DE BORDEAUX NORD - ARCBN</v>
      </c>
    </row>
    <row r="417">
      <c r="A417" s="3" t="s">
        <v>504</v>
      </c>
      <c r="B417" s="4"/>
      <c r="C417" s="4"/>
      <c r="D417" s="4" t="b">
        <f t="shared" si="1"/>
        <v>1</v>
      </c>
      <c r="E417" s="4" t="str">
        <f t="shared" si="2"/>
        <v>NORD - ARCBN</v>
      </c>
    </row>
    <row r="418">
      <c r="A418" s="3" t="s">
        <v>505</v>
      </c>
      <c r="B418" s="3">
        <v>0.0</v>
      </c>
      <c r="C418" s="3" t="s">
        <v>3</v>
      </c>
      <c r="D418" s="4" t="b">
        <f t="shared" si="1"/>
        <v>0</v>
      </c>
      <c r="E418" s="4" t="str">
        <f t="shared" si="2"/>
        <v>ASSOCIATION POUR LA SURVEILLANCE DE LA QUALITE DE L'AIR EN AQUITAINE - AIRAQ</v>
      </c>
    </row>
    <row r="419">
      <c r="A419" s="3" t="s">
        <v>506</v>
      </c>
      <c r="B419" s="4"/>
      <c r="C419" s="4"/>
      <c r="D419" s="4" t="b">
        <f t="shared" si="1"/>
        <v>1</v>
      </c>
      <c r="E419" s="4" t="str">
        <f t="shared" si="2"/>
        <v>AQUITAINE - AIRAQ</v>
      </c>
    </row>
    <row r="420">
      <c r="A420" s="3" t="s">
        <v>507</v>
      </c>
      <c r="B420" s="3">
        <v>0.0</v>
      </c>
      <c r="C420" s="3" t="s">
        <v>3</v>
      </c>
      <c r="D420" s="4" t="b">
        <f t="shared" si="1"/>
        <v>0</v>
      </c>
      <c r="E420" s="4" t="str">
        <f t="shared" si="2"/>
        <v>ASSOCIATION POUR LA VALORISATION EN RELATION AVEC LES PROFESSIONNELS REGION AQUITAINE</v>
      </c>
    </row>
    <row r="421">
      <c r="A421" s="3" t="s">
        <v>508</v>
      </c>
      <c r="B421" s="4"/>
      <c r="C421" s="4"/>
      <c r="D421" s="4" t="b">
        <f t="shared" si="1"/>
        <v>1</v>
      </c>
      <c r="E421" s="4" t="str">
        <f t="shared" si="2"/>
        <v>PROFESSIONNELS REGION AQUITAINE</v>
      </c>
    </row>
    <row r="422">
      <c r="A422" s="3" t="s">
        <v>509</v>
      </c>
      <c r="B422" s="3">
        <v>0.0</v>
      </c>
      <c r="C422" s="3" t="s">
        <v>6</v>
      </c>
      <c r="D422" s="4" t="b">
        <f t="shared" si="1"/>
        <v>0</v>
      </c>
      <c r="E422" s="4" t="str">
        <f t="shared" si="2"/>
        <v>ASSOCIATION POUR LE DEVELOPPEMENT DES ACTIVITES PHYSIQUES ADAPTEES - ADAPA</v>
      </c>
    </row>
    <row r="423">
      <c r="A423" s="3" t="s">
        <v>510</v>
      </c>
      <c r="B423" s="4"/>
      <c r="C423" s="4"/>
      <c r="D423" s="4" t="b">
        <f t="shared" si="1"/>
        <v>1</v>
      </c>
      <c r="E423" s="4" t="str">
        <f t="shared" si="2"/>
        <v>PHYSIQUES ADAPTEES - ADAPA</v>
      </c>
    </row>
    <row r="424">
      <c r="A424" s="3" t="s">
        <v>511</v>
      </c>
      <c r="B424" s="3">
        <v>0.0</v>
      </c>
      <c r="C424" s="3" t="s">
        <v>3</v>
      </c>
      <c r="D424" s="4" t="b">
        <f t="shared" si="1"/>
        <v>0</v>
      </c>
      <c r="E424" s="4" t="str">
        <f t="shared" si="2"/>
        <v>ASSOCIATION POUR LE DEVELOPPEMENT L'INSERTION ET L'ACCOMPAGNEMENT PERSONNES HANDICAPEES - ADIAPH</v>
      </c>
    </row>
    <row r="425">
      <c r="A425" s="3" t="s">
        <v>512</v>
      </c>
      <c r="B425" s="4"/>
      <c r="C425" s="4"/>
      <c r="D425" s="4" t="b">
        <f t="shared" si="1"/>
        <v>1</v>
      </c>
      <c r="E425" s="4" t="str">
        <f t="shared" si="2"/>
        <v>L'ACCOMPAGNEMENT PERSONNES HANDICAPEES - ADIAPH</v>
      </c>
    </row>
    <row r="426">
      <c r="A426" s="3" t="s">
        <v>513</v>
      </c>
      <c r="B426" s="3">
        <v>0.0</v>
      </c>
      <c r="C426" s="3" t="s">
        <v>3</v>
      </c>
      <c r="D426" s="4" t="b">
        <f t="shared" si="1"/>
        <v>0</v>
      </c>
      <c r="E426" s="4" t="str">
        <f t="shared" si="2"/>
        <v>ASSOCIATION POUR LE DON DE SANG BENEVOLE DE BORDEAUX ET ENVIRONS</v>
      </c>
    </row>
    <row r="427">
      <c r="A427" s="3" t="s">
        <v>514</v>
      </c>
      <c r="B427" s="4"/>
      <c r="C427" s="4"/>
      <c r="D427" s="4" t="b">
        <f t="shared" si="1"/>
        <v>1</v>
      </c>
      <c r="E427" s="4" t="str">
        <f t="shared" si="2"/>
        <v>ENVIRONS</v>
      </c>
    </row>
    <row r="428">
      <c r="A428" s="3" t="s">
        <v>515</v>
      </c>
      <c r="B428" s="3">
        <v>0.0</v>
      </c>
      <c r="C428" s="3" t="s">
        <v>6</v>
      </c>
      <c r="D428" s="4" t="b">
        <f t="shared" si="1"/>
        <v>0</v>
      </c>
      <c r="E428" s="4" t="str">
        <f t="shared" si="2"/>
        <v>ASSOCIATION POUR LE DROIT A L'INITIATIVE ECONOMIQUE - ADIE</v>
      </c>
    </row>
    <row r="429">
      <c r="A429" s="3" t="s">
        <v>516</v>
      </c>
      <c r="B429" s="3">
        <v>0.0</v>
      </c>
      <c r="C429" s="3" t="s">
        <v>3</v>
      </c>
      <c r="D429" s="4" t="b">
        <f t="shared" si="1"/>
        <v>0</v>
      </c>
      <c r="E429" s="4" t="str">
        <f t="shared" si="2"/>
        <v>ASSOCIATION POUR LES FOUILLES ARCHEOLOGIQUES NATIONALES - AFAN</v>
      </c>
    </row>
    <row r="430">
      <c r="A430" s="3" t="s">
        <v>517</v>
      </c>
      <c r="B430" s="4"/>
      <c r="C430" s="4"/>
      <c r="D430" s="4" t="b">
        <f t="shared" si="1"/>
        <v>1</v>
      </c>
      <c r="E430" s="4" t="str">
        <f t="shared" si="2"/>
        <v>- AFAN</v>
      </c>
    </row>
    <row r="431">
      <c r="A431" s="3" t="s">
        <v>518</v>
      </c>
      <c r="B431" s="3">
        <v>25062.0</v>
      </c>
      <c r="C431" s="4"/>
      <c r="D431" s="4" t="b">
        <f t="shared" si="1"/>
        <v>0</v>
      </c>
      <c r="E431" s="4" t="str">
        <f t="shared" si="2"/>
        <v>ASSOCIATION POUR UNE EDUCATION BUISSONNIERE</v>
      </c>
    </row>
    <row r="432">
      <c r="A432" s="3" t="s">
        <v>520</v>
      </c>
      <c r="B432" s="3">
        <v>1500.0</v>
      </c>
      <c r="C432" s="3" t="s">
        <v>6</v>
      </c>
      <c r="D432" s="4" t="b">
        <f t="shared" si="1"/>
        <v>0</v>
      </c>
      <c r="E432" s="4" t="str">
        <f t="shared" si="2"/>
        <v>ASSOCIATION PRENDRE SOIN DU LIEN - APSL</v>
      </c>
    </row>
    <row r="433">
      <c r="A433" s="3" t="s">
        <v>521</v>
      </c>
      <c r="B433" s="3">
        <v>3500.0</v>
      </c>
      <c r="C433" s="4"/>
      <c r="D433" s="4" t="b">
        <f t="shared" si="1"/>
        <v>0</v>
      </c>
      <c r="E433" s="4" t="str">
        <f t="shared" si="2"/>
        <v>ASSOCIATION PROMOTION DU GRAND SAINT-MICHEL</v>
      </c>
    </row>
    <row r="434">
      <c r="A434" s="3" t="s">
        <v>522</v>
      </c>
      <c r="B434" s="3">
        <v>37754.0</v>
      </c>
      <c r="C434" s="3" t="s">
        <v>484</v>
      </c>
      <c r="D434" s="4" t="b">
        <f t="shared" si="1"/>
        <v>0</v>
      </c>
      <c r="E434" s="4" t="str">
        <f t="shared" si="2"/>
        <v>ASSOCIATION PROMOTION INSERTION SPORT EN AQUITAINE - APIS</v>
      </c>
    </row>
    <row r="435">
      <c r="A435" s="3" t="s">
        <v>524</v>
      </c>
      <c r="B435" s="3">
        <v>0.0</v>
      </c>
      <c r="C435" s="3" t="s">
        <v>3</v>
      </c>
      <c r="D435" s="4" t="b">
        <f t="shared" si="1"/>
        <v>0</v>
      </c>
      <c r="E435" s="4" t="str">
        <f t="shared" si="2"/>
        <v>ASSOCIATION PSYCHANALYTIQUE DES THERAPEUTES FAMILIAUX D'AQUITAINE - APSYFA</v>
      </c>
    </row>
    <row r="436">
      <c r="A436" s="3" t="s">
        <v>525</v>
      </c>
      <c r="B436" s="4"/>
      <c r="C436" s="4"/>
      <c r="D436" s="4" t="b">
        <f t="shared" si="1"/>
        <v>1</v>
      </c>
      <c r="E436" s="4" t="str">
        <f t="shared" si="2"/>
        <v>D'AQUITAINE - APSYFA</v>
      </c>
    </row>
    <row r="437">
      <c r="A437" s="3" t="s">
        <v>526</v>
      </c>
      <c r="B437" s="3">
        <v>3000.0</v>
      </c>
      <c r="C437" s="4"/>
      <c r="D437" s="4" t="b">
        <f t="shared" si="1"/>
        <v>0</v>
      </c>
      <c r="E437" s="4" t="str">
        <f t="shared" si="2"/>
        <v>ASSOCIATION RAYMONDE ROUSSELLE</v>
      </c>
    </row>
    <row r="438">
      <c r="A438" s="3" t="s">
        <v>527</v>
      </c>
      <c r="B438" s="3">
        <v>1000.0</v>
      </c>
      <c r="C438" s="4"/>
      <c r="D438" s="4" t="b">
        <f t="shared" si="1"/>
        <v>0</v>
      </c>
      <c r="E438" s="4" t="str">
        <f t="shared" si="2"/>
        <v>ASSOCIATION REFEED</v>
      </c>
    </row>
    <row r="439">
      <c r="A439" s="3" t="s">
        <v>528</v>
      </c>
      <c r="B439" s="3">
        <v>250.0</v>
      </c>
      <c r="C439" s="4"/>
      <c r="D439" s="4" t="b">
        <f t="shared" si="1"/>
        <v>0</v>
      </c>
      <c r="E439" s="4" t="str">
        <f t="shared" si="2"/>
        <v>ASSOCIATION REGIONALE D'AQUITAINE DES COMBATTANTS VOLONTAIRES DE LA RESISTANCE</v>
      </c>
    </row>
    <row r="440">
      <c r="A440" s="3" t="s">
        <v>529</v>
      </c>
      <c r="B440" s="4"/>
      <c r="C440" s="4"/>
      <c r="D440" s="4" t="b">
        <f t="shared" si="1"/>
        <v>1</v>
      </c>
      <c r="E440" s="4" t="str">
        <f t="shared" si="2"/>
        <v>VOLONTAIRES DE LA RESISTANCE</v>
      </c>
    </row>
    <row r="441">
      <c r="A441" s="3" t="s">
        <v>530</v>
      </c>
      <c r="B441" s="3">
        <v>500.0</v>
      </c>
      <c r="C441" s="3" t="s">
        <v>3</v>
      </c>
      <c r="D441" s="4" t="b">
        <f t="shared" si="1"/>
        <v>0</v>
      </c>
      <c r="E441" s="4" t="str">
        <f t="shared" si="2"/>
        <v>ASSOCIATION REGIONALE DES DIPLOMES D'UNIVERSITE D'AQUITAINE - ARDUA</v>
      </c>
    </row>
    <row r="442">
      <c r="A442" s="3" t="s">
        <v>531</v>
      </c>
      <c r="B442" s="4"/>
      <c r="C442" s="4"/>
      <c r="D442" s="4" t="b">
        <f t="shared" si="1"/>
        <v>1</v>
      </c>
      <c r="E442" s="4" t="str">
        <f t="shared" si="2"/>
        <v>D'AQUITAINE - ARDUA</v>
      </c>
    </row>
    <row r="443">
      <c r="A443" s="3" t="s">
        <v>532</v>
      </c>
      <c r="B443" s="3">
        <v>7000.0</v>
      </c>
      <c r="C443" s="3" t="s">
        <v>3</v>
      </c>
      <c r="D443" s="4" t="b">
        <f t="shared" si="1"/>
        <v>0</v>
      </c>
      <c r="E443" s="4" t="str">
        <f t="shared" si="2"/>
        <v>ASSOCIATION RENAISSANCE DES CITES D'EUROPE</v>
      </c>
    </row>
    <row r="444">
      <c r="A444" s="3" t="s">
        <v>534</v>
      </c>
      <c r="B444" s="3">
        <v>0.0</v>
      </c>
      <c r="C444" s="3" t="s">
        <v>26</v>
      </c>
      <c r="D444" s="4" t="b">
        <f t="shared" si="1"/>
        <v>0</v>
      </c>
      <c r="E444" s="4" t="str">
        <f t="shared" si="2"/>
        <v>ASSOCIATION RENOVATION</v>
      </c>
    </row>
    <row r="445">
      <c r="A445" s="3" t="s">
        <v>535</v>
      </c>
      <c r="B445" s="3">
        <v>400.0</v>
      </c>
      <c r="C445" s="3" t="s">
        <v>3</v>
      </c>
      <c r="D445" s="4" t="b">
        <f t="shared" si="1"/>
        <v>0</v>
      </c>
      <c r="E445" s="4" t="str">
        <f t="shared" si="2"/>
        <v>ASSOCIATION REPUBLICAINE DES ANCIENS COMBATTANTS ET VICTIMES DE LA GUERRE - ARAC</v>
      </c>
    </row>
    <row r="446">
      <c r="A446" s="3" t="s">
        <v>536</v>
      </c>
      <c r="B446" s="4"/>
      <c r="C446" s="4"/>
      <c r="D446" s="4" t="b">
        <f t="shared" si="1"/>
        <v>1</v>
      </c>
      <c r="E446" s="4" t="str">
        <f t="shared" si="2"/>
        <v>VICTIMES DE LA GUERRE - ARAC</v>
      </c>
    </row>
    <row r="447">
      <c r="A447" s="3" t="s">
        <v>537</v>
      </c>
      <c r="B447" s="3">
        <v>750.0</v>
      </c>
      <c r="C447" s="4"/>
      <c r="D447" s="4" t="b">
        <f t="shared" si="1"/>
        <v>0</v>
      </c>
      <c r="E447" s="4" t="str">
        <f t="shared" si="2"/>
        <v>ASSOCIATION RHIN ET DANUBE ANCIENS DE LA PREMIERE ARMEE FRANCAISE DU DEPARTEMENT DE LA GIRONDE</v>
      </c>
    </row>
    <row r="448">
      <c r="A448" s="3" t="s">
        <v>538</v>
      </c>
      <c r="B448" s="4"/>
      <c r="C448" s="4"/>
      <c r="D448" s="4" t="b">
        <f t="shared" si="1"/>
        <v>1</v>
      </c>
      <c r="E448" s="4" t="str">
        <f t="shared" si="2"/>
        <v>FRANCAISE DU DEPARTEMENT DE LA GIRONDE</v>
      </c>
    </row>
    <row r="449">
      <c r="A449" s="3" t="s">
        <v>539</v>
      </c>
      <c r="B449" s="3">
        <v>0.0</v>
      </c>
      <c r="C449" s="3" t="s">
        <v>6</v>
      </c>
      <c r="D449" s="4" t="b">
        <f t="shared" si="1"/>
        <v>0</v>
      </c>
      <c r="E449" s="4" t="str">
        <f t="shared" si="2"/>
        <v>ASSOCIATION RUN FEMINA TOUR</v>
      </c>
    </row>
    <row r="450">
      <c r="A450" s="3" t="s">
        <v>540</v>
      </c>
      <c r="B450" s="3">
        <v>800.0</v>
      </c>
      <c r="C450" s="4"/>
      <c r="D450" s="4" t="b">
        <f t="shared" si="1"/>
        <v>0</v>
      </c>
      <c r="E450" s="4" t="str">
        <f t="shared" si="2"/>
        <v>ASSOCIATION SALAM ET RAHMA</v>
      </c>
    </row>
    <row r="451">
      <c r="A451" s="3" t="s">
        <v>541</v>
      </c>
      <c r="B451" s="3">
        <v>500.0</v>
      </c>
      <c r="C451" s="4"/>
      <c r="D451" s="4" t="b">
        <f t="shared" si="1"/>
        <v>0</v>
      </c>
      <c r="E451" s="4" t="str">
        <f t="shared" si="2"/>
        <v>ASSOCIATION SCOLAIRE ECOLE CONDORCET 33 (ASEC 33)</v>
      </c>
    </row>
    <row r="452">
      <c r="A452" s="3" t="s">
        <v>542</v>
      </c>
      <c r="B452" s="3">
        <v>0.0</v>
      </c>
      <c r="C452" s="3" t="s">
        <v>3</v>
      </c>
      <c r="D452" s="4" t="b">
        <f t="shared" si="1"/>
        <v>0</v>
      </c>
      <c r="E452" s="4" t="str">
        <f t="shared" si="2"/>
        <v>ASSOCIATION SOCIALE POUR L'EMPLOI - ASPE</v>
      </c>
    </row>
    <row r="453">
      <c r="A453" s="3" t="s">
        <v>543</v>
      </c>
      <c r="B453" s="3">
        <v>0.0</v>
      </c>
      <c r="C453" s="3" t="s">
        <v>3</v>
      </c>
      <c r="D453" s="4" t="b">
        <f t="shared" si="1"/>
        <v>0</v>
      </c>
      <c r="E453" s="4" t="str">
        <f t="shared" si="2"/>
        <v>ASSOCIATION SOCIO CULTURELLE DE L'ECOLE DE REEDUCATION PROFESSIONNELLE - ASCERP</v>
      </c>
    </row>
    <row r="454">
      <c r="A454" s="3" t="s">
        <v>544</v>
      </c>
      <c r="B454" s="4"/>
      <c r="C454" s="4"/>
      <c r="D454" s="4" t="b">
        <f t="shared" si="1"/>
        <v>1</v>
      </c>
      <c r="E454" s="4" t="str">
        <f t="shared" si="2"/>
        <v>PROFESSIONNELLE - ASCERP</v>
      </c>
    </row>
    <row r="455">
      <c r="A455" s="3" t="s">
        <v>545</v>
      </c>
      <c r="B455" s="3">
        <v>0.0</v>
      </c>
      <c r="C455" s="3" t="s">
        <v>3</v>
      </c>
      <c r="D455" s="4" t="b">
        <f t="shared" si="1"/>
        <v>0</v>
      </c>
      <c r="E455" s="4" t="str">
        <f t="shared" si="2"/>
        <v>ASSOCIATION SOCIO CULTURELLE LE TAYTA</v>
      </c>
    </row>
    <row r="456">
      <c r="A456" s="3" t="s">
        <v>546</v>
      </c>
      <c r="B456" s="3">
        <v>0.0</v>
      </c>
      <c r="C456" s="3" t="s">
        <v>3</v>
      </c>
      <c r="D456" s="4" t="b">
        <f t="shared" si="1"/>
        <v>0</v>
      </c>
      <c r="E456" s="4" t="str">
        <f t="shared" si="2"/>
        <v>ASSOCIATION SOLIDARTE EMPLOI (ASE) - ADELPHE</v>
      </c>
    </row>
    <row r="457">
      <c r="A457" s="3" t="s">
        <v>547</v>
      </c>
      <c r="B457" s="3">
        <v>4000.0</v>
      </c>
      <c r="C457" s="4"/>
      <c r="D457" s="4" t="b">
        <f t="shared" si="1"/>
        <v>0</v>
      </c>
      <c r="E457" s="4" t="str">
        <f t="shared" si="2"/>
        <v>ASSOCIATION SPORT EMPLOI</v>
      </c>
    </row>
    <row r="458">
      <c r="A458" s="3" t="s">
        <v>548</v>
      </c>
      <c r="B458" s="3">
        <v>0.0</v>
      </c>
      <c r="C458" s="3" t="s">
        <v>29</v>
      </c>
      <c r="D458" s="4" t="b">
        <f t="shared" si="1"/>
        <v>0</v>
      </c>
      <c r="E458" s="4" t="str">
        <f t="shared" si="2"/>
        <v>ASSOCIATION SPORTIVE BANQUE POPULAIRE DU SUD-OUEST</v>
      </c>
    </row>
    <row r="459">
      <c r="A459" s="3" t="s">
        <v>549</v>
      </c>
      <c r="B459" s="3">
        <v>27778.0</v>
      </c>
      <c r="C459" s="4"/>
      <c r="D459" s="4" t="b">
        <f t="shared" si="1"/>
        <v>0</v>
      </c>
      <c r="E459" s="4" t="str">
        <f t="shared" si="2"/>
        <v>ASSOCIATION SPORTIVE CHARLES MARTIN - USEP</v>
      </c>
    </row>
    <row r="460">
      <c r="A460" s="3" t="s">
        <v>551</v>
      </c>
      <c r="B460" s="3">
        <v>0.0</v>
      </c>
      <c r="C460" s="3" t="s">
        <v>29</v>
      </c>
      <c r="D460" s="4" t="b">
        <f t="shared" si="1"/>
        <v>0</v>
      </c>
      <c r="E460" s="4" t="str">
        <f t="shared" si="2"/>
        <v>ASSOCIATION SPORTIVE COLBERT ASC</v>
      </c>
    </row>
    <row r="461">
      <c r="A461" s="3" t="s">
        <v>552</v>
      </c>
      <c r="B461" s="3">
        <v>500.0</v>
      </c>
      <c r="C461" s="4"/>
      <c r="D461" s="4" t="b">
        <f t="shared" si="1"/>
        <v>0</v>
      </c>
      <c r="E461" s="4" t="str">
        <f t="shared" si="2"/>
        <v>ASSOCIATION SPORTIVE COLLEGE EDOUARD VAILLANT</v>
      </c>
    </row>
    <row r="462">
      <c r="A462" s="3" t="s">
        <v>553</v>
      </c>
      <c r="B462" s="3">
        <v>0.0</v>
      </c>
      <c r="C462" s="3" t="s">
        <v>29</v>
      </c>
      <c r="D462" s="4" t="b">
        <f t="shared" si="1"/>
        <v>0</v>
      </c>
      <c r="E462" s="4" t="str">
        <f t="shared" si="2"/>
        <v>ASSOCIATION SPORTIVE CULTURELLE DU GAN (ASC GAN)</v>
      </c>
    </row>
    <row r="463">
      <c r="A463" s="3" t="s">
        <v>554</v>
      </c>
      <c r="B463" s="3">
        <v>0.0</v>
      </c>
      <c r="C463" s="3" t="s">
        <v>29</v>
      </c>
      <c r="D463" s="4" t="b">
        <f t="shared" si="1"/>
        <v>0</v>
      </c>
      <c r="E463" s="4" t="str">
        <f t="shared" si="2"/>
        <v>ASSOCIATION SPORTIVE DE LA POLICE JUDICIAIRE DE BORDEAUX</v>
      </c>
    </row>
    <row r="464">
      <c r="A464" s="3" t="s">
        <v>555</v>
      </c>
      <c r="B464" s="3">
        <v>0.0</v>
      </c>
      <c r="C464" s="3" t="s">
        <v>29</v>
      </c>
      <c r="D464" s="4" t="b">
        <f t="shared" si="1"/>
        <v>0</v>
      </c>
      <c r="E464" s="4" t="str">
        <f t="shared" si="2"/>
        <v>ASSOCIATION SPORTIVE DES ANCIENS ET AMIS DE L'ECOLE NORMALE D'INSTITUTEURS (ASAAENI)</v>
      </c>
    </row>
    <row r="465">
      <c r="A465" s="3" t="s">
        <v>556</v>
      </c>
      <c r="B465" s="4"/>
      <c r="C465" s="4"/>
      <c r="D465" s="4" t="b">
        <f t="shared" si="1"/>
        <v>1</v>
      </c>
      <c r="E465" s="4" t="str">
        <f t="shared" si="2"/>
        <v>NORMALE D'INSTITUTEURS (ASAAENI)</v>
      </c>
    </row>
    <row r="466">
      <c r="A466" s="3" t="s">
        <v>557</v>
      </c>
      <c r="B466" s="3">
        <v>1500.0</v>
      </c>
      <c r="C466" s="3" t="s">
        <v>29</v>
      </c>
      <c r="D466" s="4" t="b">
        <f t="shared" si="1"/>
        <v>0</v>
      </c>
      <c r="E466" s="4" t="str">
        <f t="shared" si="2"/>
        <v>ASSOCIATION SPORTIVE DES SOURDS DE BORDEAUX - ASSB 33</v>
      </c>
    </row>
    <row r="467">
      <c r="A467" s="3" t="s">
        <v>558</v>
      </c>
      <c r="B467" s="3">
        <v>1000.0</v>
      </c>
      <c r="C467" s="3" t="s">
        <v>484</v>
      </c>
      <c r="D467" s="4" t="b">
        <f t="shared" si="1"/>
        <v>0</v>
      </c>
      <c r="E467" s="4" t="str">
        <f t="shared" si="2"/>
        <v>ASSOCIATION SPORTIVE DU BARREAU DE BORDEAUX</v>
      </c>
    </row>
    <row r="468">
      <c r="A468" s="3" t="s">
        <v>559</v>
      </c>
      <c r="B468" s="3">
        <v>4600.0</v>
      </c>
      <c r="C468" s="3" t="s">
        <v>6</v>
      </c>
      <c r="D468" s="4" t="b">
        <f t="shared" si="1"/>
        <v>0</v>
      </c>
      <c r="E468" s="4" t="str">
        <f t="shared" si="2"/>
        <v>ASSOCIATION SPORTIVE DU GOLF DE BORDEAUX LAC</v>
      </c>
    </row>
    <row r="469">
      <c r="A469" s="3" t="s">
        <v>561</v>
      </c>
      <c r="B469" s="3">
        <v>0.0</v>
      </c>
      <c r="C469" s="3" t="s">
        <v>29</v>
      </c>
      <c r="D469" s="4" t="b">
        <f t="shared" si="1"/>
        <v>0</v>
      </c>
      <c r="E469" s="4" t="str">
        <f t="shared" si="2"/>
        <v>ASSOCIATION SPORTIVE ET CULTURELLE DE MAYOTTE</v>
      </c>
    </row>
    <row r="470">
      <c r="A470" s="3" t="s">
        <v>562</v>
      </c>
      <c r="B470" s="3">
        <v>0.0</v>
      </c>
      <c r="C470" s="3" t="s">
        <v>29</v>
      </c>
      <c r="D470" s="4" t="b">
        <f t="shared" si="1"/>
        <v>0</v>
      </c>
      <c r="E470" s="4" t="str">
        <f t="shared" si="2"/>
        <v>ASSOCIATION SPORTIVE FC PORTO DE BORDEAUX</v>
      </c>
    </row>
    <row r="471">
      <c r="A471" s="3" t="s">
        <v>563</v>
      </c>
      <c r="B471" s="3">
        <v>0.0</v>
      </c>
      <c r="C471" s="3" t="s">
        <v>29</v>
      </c>
      <c r="D471" s="4" t="b">
        <f t="shared" si="1"/>
        <v>0</v>
      </c>
      <c r="E471" s="4" t="str">
        <f t="shared" si="2"/>
        <v>ASSOCIATION SPORTIVE KASHIRA AIKIDO</v>
      </c>
    </row>
    <row r="472">
      <c r="A472" s="3" t="s">
        <v>564</v>
      </c>
      <c r="B472" s="3">
        <v>0.0</v>
      </c>
      <c r="C472" s="3" t="s">
        <v>484</v>
      </c>
      <c r="D472" s="4" t="b">
        <f t="shared" si="1"/>
        <v>0</v>
      </c>
      <c r="E472" s="4" t="str">
        <f t="shared" si="2"/>
        <v>ASSOCIATION SPORTIVE KUNG-FU WUSHU DE BACALAN</v>
      </c>
    </row>
    <row r="473">
      <c r="A473" s="3" t="s">
        <v>565</v>
      </c>
      <c r="B473" s="3">
        <v>0.0</v>
      </c>
      <c r="C473" s="3" t="s">
        <v>29</v>
      </c>
      <c r="D473" s="4" t="b">
        <f t="shared" si="1"/>
        <v>0</v>
      </c>
      <c r="E473" s="4" t="str">
        <f t="shared" si="2"/>
        <v>ASSOCIATION SPORTIVE LOVENTA AUTOMATIQUE</v>
      </c>
    </row>
    <row r="474">
      <c r="A474" s="3" t="s">
        <v>566</v>
      </c>
      <c r="B474" s="3">
        <v>0.0</v>
      </c>
      <c r="C474" s="3" t="s">
        <v>29</v>
      </c>
      <c r="D474" s="4" t="b">
        <f t="shared" si="1"/>
        <v>0</v>
      </c>
      <c r="E474" s="4" t="str">
        <f t="shared" si="2"/>
        <v>ASSOCIATION SPORTIVE SALINIERES</v>
      </c>
    </row>
    <row r="475">
      <c r="A475" s="3" t="s">
        <v>567</v>
      </c>
      <c r="B475" s="3">
        <v>0.0</v>
      </c>
      <c r="C475" s="3" t="s">
        <v>3</v>
      </c>
      <c r="D475" s="4" t="b">
        <f t="shared" si="1"/>
        <v>0</v>
      </c>
      <c r="E475" s="4" t="str">
        <f t="shared" si="2"/>
        <v>ASSOCIATION TERRITOIRES ET INNOVATION SOCIALE (ATIS)</v>
      </c>
    </row>
    <row r="476">
      <c r="A476" s="3" t="s">
        <v>568</v>
      </c>
      <c r="B476" s="3">
        <v>0.0</v>
      </c>
      <c r="C476" s="3" t="s">
        <v>3</v>
      </c>
      <c r="D476" s="4" t="b">
        <f t="shared" si="1"/>
        <v>0</v>
      </c>
      <c r="E476" s="4" t="str">
        <f t="shared" si="2"/>
        <v>ASSOCIATION THEATR'ACTIF</v>
      </c>
    </row>
    <row r="477">
      <c r="A477" s="3" t="s">
        <v>569</v>
      </c>
      <c r="B477" s="3">
        <v>50000.0</v>
      </c>
      <c r="C477" s="3" t="s">
        <v>6</v>
      </c>
      <c r="D477" s="4" t="b">
        <f t="shared" si="1"/>
        <v>0</v>
      </c>
      <c r="E477" s="4" t="str">
        <f t="shared" si="2"/>
        <v>ASSOCIATION UNION BORDEAUX BEGLES</v>
      </c>
    </row>
    <row r="478">
      <c r="A478" s="3" t="s">
        <v>571</v>
      </c>
      <c r="B478" s="3">
        <v>500.0</v>
      </c>
      <c r="C478" s="3" t="s">
        <v>6</v>
      </c>
      <c r="D478" s="4" t="b">
        <f t="shared" si="1"/>
        <v>0</v>
      </c>
      <c r="E478" s="4" t="str">
        <f t="shared" si="2"/>
        <v>ASSOCIATION UNION NATIONALE DES COMBATTANTS DE BORDEAUX-CENTRE</v>
      </c>
    </row>
    <row r="479">
      <c r="A479" s="3" t="s">
        <v>572</v>
      </c>
      <c r="B479" s="4"/>
      <c r="C479" s="4"/>
      <c r="D479" s="4" t="b">
        <f t="shared" si="1"/>
        <v>1</v>
      </c>
      <c r="E479" s="4" t="str">
        <f t="shared" si="2"/>
        <v>BORDEAUX-CENTRE</v>
      </c>
    </row>
    <row r="480">
      <c r="A480" s="3" t="s">
        <v>573</v>
      </c>
      <c r="B480" s="3">
        <v>0.0</v>
      </c>
      <c r="C480" s="3" t="s">
        <v>3</v>
      </c>
      <c r="D480" s="4" t="b">
        <f t="shared" si="1"/>
        <v>0</v>
      </c>
      <c r="E480" s="4" t="str">
        <f t="shared" si="2"/>
        <v>ASSOCIATION VENEZUELA A BORDEAUX</v>
      </c>
    </row>
    <row r="481">
      <c r="A481" s="3" t="s">
        <v>574</v>
      </c>
      <c r="B481" s="3">
        <v>700.0</v>
      </c>
      <c r="C481" s="4"/>
      <c r="D481" s="4" t="b">
        <f t="shared" si="1"/>
        <v>0</v>
      </c>
      <c r="E481" s="4" t="str">
        <f t="shared" si="2"/>
        <v>ASSOCIO ASSOCIATION DES ETUDIANTS EN SOCIOLOGIE DE L'UNIVERSITE VICTOR SEGALEN</v>
      </c>
    </row>
    <row r="482">
      <c r="A482" s="3" t="s">
        <v>576</v>
      </c>
      <c r="B482" s="4"/>
      <c r="C482" s="4"/>
      <c r="D482" s="4" t="b">
        <f t="shared" si="1"/>
        <v>1</v>
      </c>
      <c r="E482" s="4" t="str">
        <f t="shared" si="2"/>
        <v>L'UNIVERSITE VICTOR SEGALEN</v>
      </c>
    </row>
    <row r="483">
      <c r="A483" s="3" t="s">
        <v>577</v>
      </c>
      <c r="B483" s="3">
        <v>0.0</v>
      </c>
      <c r="C483" s="3" t="s">
        <v>32</v>
      </c>
      <c r="D483" s="4" t="b">
        <f t="shared" si="1"/>
        <v>0</v>
      </c>
      <c r="E483" s="4" t="str">
        <f t="shared" si="2"/>
        <v>ASSOENCORE</v>
      </c>
    </row>
    <row r="484">
      <c r="A484" s="3" t="s">
        <v>578</v>
      </c>
      <c r="B484" s="3">
        <v>1700.0</v>
      </c>
      <c r="C484" s="3" t="s">
        <v>580</v>
      </c>
      <c r="D484" s="4" t="b">
        <f t="shared" si="1"/>
        <v>0</v>
      </c>
      <c r="E484" s="4" t="str">
        <f t="shared" si="2"/>
        <v>ASSOPOURQUOIPAS33 </v>
      </c>
    </row>
    <row r="485">
      <c r="A485" s="4"/>
      <c r="B485" s="4"/>
      <c r="C485" s="3" t="s">
        <v>581</v>
      </c>
      <c r="D485" s="4" t="b">
        <f t="shared" si="1"/>
        <v>1</v>
      </c>
      <c r="E485" s="4" t="str">
        <f t="shared" si="2"/>
        <v/>
      </c>
    </row>
    <row r="486">
      <c r="A486" s="3" t="s">
        <v>582</v>
      </c>
      <c r="B486" s="3">
        <v>153407.0</v>
      </c>
      <c r="C486" s="3" t="s">
        <v>32</v>
      </c>
      <c r="D486" s="4" t="b">
        <f t="shared" si="1"/>
        <v>0</v>
      </c>
      <c r="E486" s="4" t="str">
        <f t="shared" si="2"/>
        <v>ASTROLABE</v>
      </c>
    </row>
    <row r="487">
      <c r="A487" s="3" t="s">
        <v>584</v>
      </c>
      <c r="B487" s="3">
        <v>0.0</v>
      </c>
      <c r="C487" s="3" t="s">
        <v>6</v>
      </c>
      <c r="D487" s="4" t="b">
        <f t="shared" si="1"/>
        <v>0</v>
      </c>
      <c r="E487" s="4" t="str">
        <f t="shared" si="2"/>
        <v>ATELIER 14 CENTRE DE PRATIQUES ARTISTIQUES ET DE RECHERCHES CHOREGRAPHIQUES</v>
      </c>
    </row>
    <row r="488">
      <c r="A488" s="3" t="s">
        <v>585</v>
      </c>
      <c r="B488" s="4"/>
      <c r="C488" s="4"/>
      <c r="D488" s="4" t="b">
        <f t="shared" si="1"/>
        <v>1</v>
      </c>
      <c r="E488" s="4" t="str">
        <f t="shared" si="2"/>
        <v>RECHERCHES CHOREGRAPHIQUES</v>
      </c>
    </row>
    <row r="489">
      <c r="A489" s="3" t="s">
        <v>586</v>
      </c>
      <c r="B489" s="3">
        <v>4550.0</v>
      </c>
      <c r="C489" s="3" t="s">
        <v>6</v>
      </c>
      <c r="D489" s="4" t="b">
        <f t="shared" si="1"/>
        <v>0</v>
      </c>
      <c r="E489" s="4" t="str">
        <f t="shared" si="2"/>
        <v>ATELIER D'ECO SOLIDAIRE</v>
      </c>
    </row>
    <row r="490">
      <c r="A490" s="3" t="s">
        <v>588</v>
      </c>
      <c r="B490" s="3">
        <v>0.0</v>
      </c>
      <c r="C490" s="3" t="s">
        <v>3</v>
      </c>
      <c r="D490" s="4" t="b">
        <f t="shared" si="1"/>
        <v>0</v>
      </c>
      <c r="E490" s="4" t="str">
        <f t="shared" si="2"/>
        <v>ATELIER D’ASTROLOGIE D’AQUITAINE</v>
      </c>
    </row>
    <row r="491">
      <c r="A491" s="3" t="s">
        <v>589</v>
      </c>
      <c r="B491" s="3">
        <v>44200.0</v>
      </c>
      <c r="C491" s="3" t="s">
        <v>3</v>
      </c>
      <c r="D491" s="4" t="b">
        <f t="shared" si="1"/>
        <v>0</v>
      </c>
      <c r="E491" s="4" t="str">
        <f t="shared" si="2"/>
        <v>ATELIER GRAPHITE</v>
      </c>
    </row>
    <row r="492">
      <c r="A492" s="3" t="s">
        <v>591</v>
      </c>
      <c r="B492" s="3">
        <v>0.0</v>
      </c>
      <c r="C492" s="3" t="s">
        <v>3</v>
      </c>
      <c r="D492" s="4" t="b">
        <f t="shared" si="1"/>
        <v>0</v>
      </c>
      <c r="E492" s="4" t="str">
        <f t="shared" si="2"/>
        <v>ATELIER VOCAL D'AQUITAINE</v>
      </c>
    </row>
    <row r="493">
      <c r="A493" s="3" t="s">
        <v>592</v>
      </c>
      <c r="B493" s="3">
        <v>0.0</v>
      </c>
      <c r="C493" s="3" t="s">
        <v>3</v>
      </c>
      <c r="D493" s="4" t="b">
        <f t="shared" si="1"/>
        <v>0</v>
      </c>
      <c r="E493" s="4" t="str">
        <f t="shared" si="2"/>
        <v>ATELIERS LIBRES D'AQUITAINE</v>
      </c>
    </row>
    <row r="494">
      <c r="A494" s="3" t="s">
        <v>593</v>
      </c>
      <c r="B494" s="3">
        <v>0.0</v>
      </c>
      <c r="C494" s="3" t="s">
        <v>3</v>
      </c>
      <c r="D494" s="4" t="b">
        <f t="shared" si="1"/>
        <v>0</v>
      </c>
      <c r="E494" s="4" t="str">
        <f t="shared" si="2"/>
        <v>ATELIERS TLC</v>
      </c>
    </row>
    <row r="495">
      <c r="A495" s="3" t="s">
        <v>594</v>
      </c>
      <c r="B495" s="3">
        <v>0.0</v>
      </c>
      <c r="C495" s="3" t="s">
        <v>6</v>
      </c>
      <c r="D495" s="4" t="b">
        <f t="shared" si="1"/>
        <v>0</v>
      </c>
      <c r="E495" s="4" t="str">
        <f t="shared" si="2"/>
        <v>ATLANTIC OLDTIMER.COM</v>
      </c>
    </row>
    <row r="496">
      <c r="A496" s="3" t="s">
        <v>595</v>
      </c>
      <c r="B496" s="3">
        <v>0.0</v>
      </c>
      <c r="C496" s="3" t="s">
        <v>3</v>
      </c>
      <c r="D496" s="4" t="b">
        <f t="shared" si="1"/>
        <v>0</v>
      </c>
      <c r="E496" s="4" t="str">
        <f t="shared" si="2"/>
        <v>AU-DELA DES DUNES</v>
      </c>
    </row>
    <row r="497">
      <c r="A497" s="3" t="s">
        <v>596</v>
      </c>
      <c r="B497" s="3">
        <v>0.0</v>
      </c>
      <c r="C497" s="3" t="s">
        <v>3</v>
      </c>
      <c r="D497" s="4" t="b">
        <f t="shared" si="1"/>
        <v>0</v>
      </c>
      <c r="E497" s="4" t="str">
        <f t="shared" si="2"/>
        <v>AUDITION ET ECOUTE 33 - ASSOCIATION DES PERSONNES ATTEINTES DE PATHOLOGIE AUDITIVE DE LA GIRONDE</v>
      </c>
    </row>
    <row r="498">
      <c r="A498" s="3" t="s">
        <v>597</v>
      </c>
      <c r="B498" s="4"/>
      <c r="C498" s="4"/>
      <c r="D498" s="4" t="b">
        <f t="shared" si="1"/>
        <v>1</v>
      </c>
      <c r="E498" s="4" t="str">
        <f t="shared" si="2"/>
        <v>ATTEINTES DE PATHOLOGIE AUDITIVE DE LA GIRONDE</v>
      </c>
    </row>
    <row r="499">
      <c r="A499" s="3" t="s">
        <v>598</v>
      </c>
      <c r="B499" s="3">
        <v>0.0</v>
      </c>
      <c r="C499" s="3" t="s">
        <v>3</v>
      </c>
      <c r="D499" s="4" t="b">
        <f t="shared" si="1"/>
        <v>0</v>
      </c>
      <c r="E499" s="4" t="str">
        <f t="shared" si="2"/>
        <v>AUDITION SOLIDAIRE FRANCE SENEGAL</v>
      </c>
    </row>
    <row r="500">
      <c r="A500" s="3" t="s">
        <v>599</v>
      </c>
      <c r="B500" s="3">
        <v>347000.0</v>
      </c>
      <c r="C500" s="4"/>
      <c r="D500" s="4" t="b">
        <f t="shared" si="1"/>
        <v>0</v>
      </c>
      <c r="E500" s="4" t="str">
        <f t="shared" si="2"/>
        <v>AUTEUIL PETITE ENFANCE</v>
      </c>
    </row>
    <row r="501">
      <c r="A501" s="3" t="s">
        <v>601</v>
      </c>
      <c r="B501" s="3">
        <v>2000.0</v>
      </c>
      <c r="C501" s="4"/>
      <c r="D501" s="4" t="b">
        <f t="shared" si="1"/>
        <v>0</v>
      </c>
      <c r="E501" s="4" t="str">
        <f t="shared" si="2"/>
        <v>AUTISME GIRONDE</v>
      </c>
    </row>
    <row r="502">
      <c r="A502" s="3" t="s">
        <v>602</v>
      </c>
      <c r="B502" s="3">
        <v>1089439.0</v>
      </c>
      <c r="C502" s="3" t="s">
        <v>37</v>
      </c>
      <c r="D502" s="4" t="b">
        <f t="shared" si="1"/>
        <v>0</v>
      </c>
      <c r="E502" s="4" t="str">
        <f t="shared" si="2"/>
        <v>AVANT GARDE ET JEANNE D'ARC DE BORDEAUX CAUDERAN - AGJA BORDEAUX CAUDERAN</v>
      </c>
    </row>
    <row r="503">
      <c r="A503" s="3" t="s">
        <v>604</v>
      </c>
      <c r="B503" s="4"/>
      <c r="C503" s="3" t="s">
        <v>38</v>
      </c>
      <c r="D503" s="4" t="b">
        <f t="shared" si="1"/>
        <v>1</v>
      </c>
      <c r="E503" s="4" t="str">
        <f t="shared" si="2"/>
        <v>BORDEAUX CAUDERAN</v>
      </c>
    </row>
    <row r="504">
      <c r="A504" s="3" t="s">
        <v>605</v>
      </c>
      <c r="B504" s="3">
        <v>3000.0</v>
      </c>
      <c r="C504" s="3" t="s">
        <v>29</v>
      </c>
      <c r="D504" s="4" t="b">
        <f t="shared" si="1"/>
        <v>0</v>
      </c>
      <c r="E504" s="4" t="str">
        <f t="shared" si="2"/>
        <v>BACALAN TENNIS CLUB - BTC</v>
      </c>
    </row>
    <row r="505">
      <c r="A505" s="3" t="s">
        <v>606</v>
      </c>
      <c r="B505" s="3">
        <v>3000.0</v>
      </c>
      <c r="C505" s="3" t="s">
        <v>484</v>
      </c>
      <c r="D505" s="4" t="b">
        <f t="shared" si="1"/>
        <v>0</v>
      </c>
      <c r="E505" s="4" t="str">
        <f t="shared" si="2"/>
        <v>BADMINTON CLUB BARBEY</v>
      </c>
    </row>
    <row r="506">
      <c r="A506" s="3" t="s">
        <v>607</v>
      </c>
      <c r="B506" s="3">
        <v>30500.0</v>
      </c>
      <c r="C506" s="3" t="s">
        <v>32</v>
      </c>
      <c r="D506" s="4" t="b">
        <f t="shared" si="1"/>
        <v>0</v>
      </c>
      <c r="E506" s="4" t="str">
        <f t="shared" si="2"/>
        <v>BANQUE ALIMENTAIRE DE BORDEAUX ET DE LA GIRONDE</v>
      </c>
    </row>
    <row r="507">
      <c r="A507" s="3" t="s">
        <v>609</v>
      </c>
      <c r="B507" s="3">
        <v>3500.0</v>
      </c>
      <c r="C507" s="3" t="s">
        <v>29</v>
      </c>
      <c r="D507" s="4" t="b">
        <f t="shared" si="1"/>
        <v>0</v>
      </c>
      <c r="E507" s="4" t="str">
        <f t="shared" si="2"/>
        <v>BASTIDE BENAUGE FUTSAL</v>
      </c>
    </row>
    <row r="508">
      <c r="A508" s="3" t="s">
        <v>610</v>
      </c>
      <c r="B508" s="3">
        <v>0.0</v>
      </c>
      <c r="C508" s="3" t="s">
        <v>6</v>
      </c>
      <c r="D508" s="4" t="b">
        <f t="shared" si="1"/>
        <v>0</v>
      </c>
      <c r="E508" s="4" t="str">
        <f t="shared" si="2"/>
        <v>BASTIDE EN SCENES</v>
      </c>
    </row>
    <row r="509">
      <c r="A509" s="3" t="s">
        <v>611</v>
      </c>
      <c r="B509" s="3">
        <v>2500.0</v>
      </c>
      <c r="C509" s="4"/>
      <c r="D509" s="4" t="b">
        <f t="shared" si="1"/>
        <v>0</v>
      </c>
      <c r="E509" s="4" t="str">
        <f t="shared" si="2"/>
        <v>BE WELL</v>
      </c>
    </row>
    <row r="510">
      <c r="A510" s="3" t="s">
        <v>612</v>
      </c>
      <c r="B510" s="3">
        <v>0.0</v>
      </c>
      <c r="C510" s="3" t="s">
        <v>6</v>
      </c>
      <c r="D510" s="4" t="b">
        <f t="shared" si="1"/>
        <v>0</v>
      </c>
      <c r="E510" s="4" t="str">
        <f t="shared" si="2"/>
        <v>BELLIBULLE</v>
      </c>
    </row>
    <row r="511">
      <c r="A511" s="3" t="s">
        <v>613</v>
      </c>
      <c r="B511" s="3">
        <v>0.0</v>
      </c>
      <c r="C511" s="3" t="s">
        <v>3</v>
      </c>
      <c r="D511" s="4" t="b">
        <f t="shared" si="1"/>
        <v>0</v>
      </c>
      <c r="E511" s="4" t="str">
        <f t="shared" si="2"/>
        <v>BENEVOLES EN ACTION</v>
      </c>
    </row>
    <row r="512">
      <c r="A512" s="3" t="s">
        <v>614</v>
      </c>
      <c r="B512" s="3">
        <v>1500.0</v>
      </c>
      <c r="C512" s="4"/>
      <c r="D512" s="4" t="b">
        <f t="shared" si="1"/>
        <v>0</v>
      </c>
      <c r="E512" s="4" t="str">
        <f t="shared" si="2"/>
        <v>BETTY BLUES THEATRE ET MUSIQUE</v>
      </c>
    </row>
    <row r="513">
      <c r="A513" s="3" t="s">
        <v>615</v>
      </c>
      <c r="B513" s="3">
        <v>0.0</v>
      </c>
      <c r="C513" s="3" t="s">
        <v>3</v>
      </c>
      <c r="D513" s="4" t="b">
        <f t="shared" si="1"/>
        <v>0</v>
      </c>
      <c r="E513" s="4" t="str">
        <f t="shared" si="2"/>
        <v>BIBLIOTHECA</v>
      </c>
    </row>
    <row r="514">
      <c r="A514" s="3" t="s">
        <v>616</v>
      </c>
      <c r="B514" s="3">
        <v>0.0</v>
      </c>
      <c r="C514" s="3" t="s">
        <v>3</v>
      </c>
      <c r="D514" s="4" t="b">
        <f t="shared" si="1"/>
        <v>0</v>
      </c>
      <c r="E514" s="4" t="str">
        <f t="shared" si="2"/>
        <v>BIEN-ETRE &amp; BONHEUR DE VIVRE - BBV</v>
      </c>
    </row>
    <row r="515">
      <c r="A515" s="3" t="s">
        <v>617</v>
      </c>
      <c r="B515" s="3">
        <v>0.0</v>
      </c>
      <c r="C515" s="3" t="s">
        <v>3</v>
      </c>
      <c r="D515" s="4" t="b">
        <f t="shared" si="1"/>
        <v>0</v>
      </c>
      <c r="E515" s="4" t="str">
        <f t="shared" si="2"/>
        <v>BIO D'AQUITAINE</v>
      </c>
    </row>
    <row r="516">
      <c r="A516" s="3" t="s">
        <v>618</v>
      </c>
      <c r="B516" s="3">
        <v>0.0</v>
      </c>
      <c r="C516" s="3" t="s">
        <v>3</v>
      </c>
      <c r="D516" s="4" t="b">
        <f t="shared" si="1"/>
        <v>0</v>
      </c>
      <c r="E516" s="4" t="str">
        <f t="shared" si="2"/>
        <v>BIO'GUSTIN</v>
      </c>
    </row>
    <row r="517">
      <c r="A517" s="3" t="s">
        <v>619</v>
      </c>
      <c r="B517" s="3">
        <v>0.0</v>
      </c>
      <c r="C517" s="3" t="s">
        <v>3</v>
      </c>
      <c r="D517" s="4" t="b">
        <f t="shared" si="1"/>
        <v>0</v>
      </c>
      <c r="E517" s="4" t="str">
        <f t="shared" si="2"/>
        <v>BOK DIEUF</v>
      </c>
    </row>
    <row r="518">
      <c r="A518" s="3" t="s">
        <v>620</v>
      </c>
      <c r="B518" s="3">
        <v>0.0</v>
      </c>
      <c r="C518" s="3" t="s">
        <v>6</v>
      </c>
      <c r="D518" s="4" t="b">
        <f t="shared" si="1"/>
        <v>0</v>
      </c>
      <c r="E518" s="4" t="str">
        <f t="shared" si="2"/>
        <v>BORD'EAUX LOISIR PECHE</v>
      </c>
    </row>
    <row r="519">
      <c r="A519" s="3" t="s">
        <v>621</v>
      </c>
      <c r="B519" s="3">
        <v>1500.0</v>
      </c>
      <c r="C519" s="3" t="s">
        <v>32</v>
      </c>
      <c r="D519" s="4" t="b">
        <f t="shared" si="1"/>
        <v>0</v>
      </c>
      <c r="E519" s="4" t="str">
        <f t="shared" si="2"/>
        <v>BORDEAUX 5 DE COEUR</v>
      </c>
    </row>
    <row r="520">
      <c r="A520" s="3" t="s">
        <v>622</v>
      </c>
      <c r="B520" s="3">
        <v>8000.0</v>
      </c>
      <c r="C520" s="3" t="s">
        <v>32</v>
      </c>
      <c r="D520" s="4" t="b">
        <f t="shared" si="1"/>
        <v>0</v>
      </c>
      <c r="E520" s="4" t="str">
        <f t="shared" si="2"/>
        <v>BORDEAUX ACCUEILLE</v>
      </c>
    </row>
    <row r="521">
      <c r="A521" s="3" t="s">
        <v>624</v>
      </c>
      <c r="B521" s="3">
        <v>0.0</v>
      </c>
      <c r="C521" s="3" t="s">
        <v>3</v>
      </c>
      <c r="D521" s="4" t="b">
        <f t="shared" si="1"/>
        <v>0</v>
      </c>
      <c r="E521" s="4" t="str">
        <f t="shared" si="2"/>
        <v>BORDEAUX AQUITAINE AERONAUTIQUE ET SPATIAL</v>
      </c>
    </row>
    <row r="522">
      <c r="A522" s="3" t="s">
        <v>625</v>
      </c>
      <c r="B522" s="3">
        <v>13600.0</v>
      </c>
      <c r="C522" s="3" t="s">
        <v>37</v>
      </c>
      <c r="D522" s="4" t="b">
        <f t="shared" si="1"/>
        <v>0</v>
      </c>
      <c r="E522" s="4" t="str">
        <f t="shared" si="2"/>
        <v>BORDEAUX ATHLETIC CLUB </v>
      </c>
    </row>
    <row r="523">
      <c r="A523" s="4"/>
      <c r="B523" s="4"/>
      <c r="C523" s="3" t="s">
        <v>38</v>
      </c>
      <c r="D523" s="4" t="b">
        <f t="shared" si="1"/>
        <v>1</v>
      </c>
      <c r="E523" s="4" t="str">
        <f t="shared" si="2"/>
        <v/>
      </c>
    </row>
    <row r="524">
      <c r="A524" s="3" t="s">
        <v>627</v>
      </c>
      <c r="B524" s="3">
        <v>0.0</v>
      </c>
      <c r="C524" s="3" t="s">
        <v>3</v>
      </c>
      <c r="D524" s="4" t="b">
        <f t="shared" si="1"/>
        <v>0</v>
      </c>
      <c r="E524" s="4" t="str">
        <f t="shared" si="2"/>
        <v>BORDEAUX BACKGAMMON CLUB</v>
      </c>
    </row>
    <row r="525">
      <c r="A525" s="3" t="s">
        <v>628</v>
      </c>
      <c r="B525" s="3">
        <v>35895.0</v>
      </c>
      <c r="C525" s="3" t="s">
        <v>484</v>
      </c>
      <c r="D525" s="4" t="b">
        <f t="shared" si="1"/>
        <v>0</v>
      </c>
      <c r="E525" s="4" t="str">
        <f t="shared" si="2"/>
        <v>BORDEAUX BASTIDE BASKET</v>
      </c>
    </row>
    <row r="526">
      <c r="A526" s="3" t="s">
        <v>630</v>
      </c>
      <c r="B526" s="3">
        <v>2500.0</v>
      </c>
      <c r="C526" s="4"/>
      <c r="D526" s="4" t="b">
        <f t="shared" si="1"/>
        <v>0</v>
      </c>
      <c r="E526" s="4" t="str">
        <f t="shared" si="2"/>
        <v>BORDEAUX BASTIDE BOXE</v>
      </c>
    </row>
    <row r="527">
      <c r="A527" s="3" t="s">
        <v>631</v>
      </c>
      <c r="B527" s="3">
        <v>1000.0</v>
      </c>
      <c r="C527" s="4"/>
      <c r="D527" s="4" t="b">
        <f t="shared" si="1"/>
        <v>0</v>
      </c>
      <c r="E527" s="4" t="str">
        <f t="shared" si="2"/>
        <v>BORDEAUX BRIDGE CLUB ESPRIT DES LOIS</v>
      </c>
    </row>
    <row r="528">
      <c r="A528" s="3" t="s">
        <v>632</v>
      </c>
      <c r="B528" s="3">
        <v>0.0</v>
      </c>
      <c r="C528" s="3" t="s">
        <v>3</v>
      </c>
      <c r="D528" s="4" t="b">
        <f t="shared" si="1"/>
        <v>0</v>
      </c>
      <c r="E528" s="4" t="str">
        <f t="shared" si="2"/>
        <v>BORDEAUX CAUDERAN BRIDGE CLUB (BCBC)</v>
      </c>
    </row>
    <row r="529">
      <c r="A529" s="3" t="s">
        <v>633</v>
      </c>
      <c r="B529" s="3">
        <v>8500.0</v>
      </c>
      <c r="C529" s="3" t="s">
        <v>3</v>
      </c>
      <c r="D529" s="4" t="b">
        <f t="shared" si="1"/>
        <v>0</v>
      </c>
      <c r="E529" s="4" t="str">
        <f t="shared" si="2"/>
        <v>BORDEAUX CHANSON</v>
      </c>
    </row>
    <row r="530">
      <c r="A530" s="3" t="s">
        <v>635</v>
      </c>
      <c r="B530" s="3">
        <v>1000.0</v>
      </c>
      <c r="C530" s="3" t="s">
        <v>32</v>
      </c>
      <c r="D530" s="4" t="b">
        <f t="shared" si="1"/>
        <v>0</v>
      </c>
      <c r="E530" s="4" t="str">
        <f t="shared" si="2"/>
        <v>BORDEAUX CITE TANGO BCT</v>
      </c>
    </row>
    <row r="531">
      <c r="A531" s="3" t="s">
        <v>636</v>
      </c>
      <c r="B531" s="3">
        <v>2500.0</v>
      </c>
      <c r="C531" s="3" t="s">
        <v>6</v>
      </c>
      <c r="D531" s="4" t="b">
        <f t="shared" si="1"/>
        <v>0</v>
      </c>
      <c r="E531" s="4" t="str">
        <f t="shared" si="2"/>
        <v>BORDEAUX CRITERIUM CYCLISTE INTERNATIONAL - BCCI</v>
      </c>
    </row>
    <row r="532">
      <c r="A532" s="3" t="s">
        <v>637</v>
      </c>
      <c r="B532" s="3">
        <v>0.0</v>
      </c>
      <c r="C532" s="3" t="s">
        <v>37</v>
      </c>
      <c r="D532" s="4" t="b">
        <f t="shared" si="1"/>
        <v>0</v>
      </c>
      <c r="E532" s="4" t="str">
        <f t="shared" si="2"/>
        <v>BORDEAUX DANCE'IN CLUB </v>
      </c>
    </row>
    <row r="533">
      <c r="A533" s="4"/>
      <c r="B533" s="4"/>
      <c r="C533" s="3" t="s">
        <v>38</v>
      </c>
      <c r="D533" s="4" t="b">
        <f t="shared" si="1"/>
        <v>1</v>
      </c>
      <c r="E533" s="4" t="str">
        <f t="shared" si="2"/>
        <v/>
      </c>
    </row>
    <row r="534">
      <c r="A534" s="3" t="s">
        <v>638</v>
      </c>
      <c r="B534" s="3">
        <v>0.0</v>
      </c>
      <c r="C534" s="3" t="s">
        <v>3</v>
      </c>
      <c r="D534" s="4" t="b">
        <f t="shared" si="1"/>
        <v>0</v>
      </c>
      <c r="E534" s="4" t="str">
        <f t="shared" si="2"/>
        <v>BORDEAUX DEMAIN</v>
      </c>
    </row>
    <row r="535">
      <c r="A535" s="3" t="s">
        <v>639</v>
      </c>
      <c r="B535" s="3">
        <v>21600.0</v>
      </c>
      <c r="C535" s="3" t="s">
        <v>3</v>
      </c>
      <c r="D535" s="4" t="b">
        <f t="shared" si="1"/>
        <v>0</v>
      </c>
      <c r="E535" s="4" t="str">
        <f t="shared" si="2"/>
        <v>BORDEAUX ENTREPRENEURS</v>
      </c>
    </row>
    <row r="536">
      <c r="A536" s="3" t="s">
        <v>641</v>
      </c>
      <c r="B536" s="3">
        <v>223734.0</v>
      </c>
      <c r="C536" s="3" t="s">
        <v>37</v>
      </c>
      <c r="D536" s="4" t="b">
        <f t="shared" si="1"/>
        <v>0</v>
      </c>
      <c r="E536" s="4" t="str">
        <f t="shared" si="2"/>
        <v>BORDEAUX ETUDIANTS CLUB - BEC </v>
      </c>
    </row>
    <row r="537">
      <c r="A537" s="4"/>
      <c r="B537" s="4"/>
      <c r="C537" s="3" t="s">
        <v>38</v>
      </c>
      <c r="D537" s="4" t="b">
        <f t="shared" si="1"/>
        <v>1</v>
      </c>
      <c r="E537" s="4" t="str">
        <f t="shared" si="2"/>
        <v/>
      </c>
    </row>
    <row r="538">
      <c r="A538" s="3" t="s">
        <v>643</v>
      </c>
      <c r="B538" s="3">
        <v>3000.0</v>
      </c>
      <c r="C538" s="3" t="s">
        <v>29</v>
      </c>
      <c r="D538" s="4" t="b">
        <f t="shared" si="1"/>
        <v>0</v>
      </c>
      <c r="E538" s="4" t="str">
        <f t="shared" si="2"/>
        <v>BORDEAUX FOOTBALL AMERICAIN - LES LIONS DE BORDEAUX</v>
      </c>
    </row>
    <row r="539">
      <c r="A539" s="3" t="s">
        <v>644</v>
      </c>
      <c r="B539" s="3">
        <v>0.0</v>
      </c>
      <c r="C539" s="3" t="s">
        <v>3</v>
      </c>
      <c r="D539" s="4" t="b">
        <f t="shared" si="1"/>
        <v>0</v>
      </c>
      <c r="E539" s="4" t="str">
        <f t="shared" si="2"/>
        <v>BORDEAUX FUTSAL CLUB</v>
      </c>
    </row>
    <row r="540">
      <c r="A540" s="3" t="s">
        <v>645</v>
      </c>
      <c r="B540" s="3">
        <v>30000.0</v>
      </c>
      <c r="C540" s="4"/>
      <c r="D540" s="4" t="b">
        <f t="shared" si="1"/>
        <v>0</v>
      </c>
      <c r="E540" s="4" t="str">
        <f t="shared" si="2"/>
        <v>BORDEAUX GIRONDE HOCKEY SUR GLACE</v>
      </c>
    </row>
    <row r="541">
      <c r="A541" s="3" t="s">
        <v>646</v>
      </c>
      <c r="B541" s="3">
        <v>198775.0</v>
      </c>
      <c r="C541" s="3" t="s">
        <v>6</v>
      </c>
      <c r="D541" s="4" t="b">
        <f t="shared" si="1"/>
        <v>0</v>
      </c>
      <c r="E541" s="4" t="str">
        <f t="shared" si="2"/>
        <v>BORDEAUX GIRONDE INVESTISSEMENT</v>
      </c>
    </row>
    <row r="542">
      <c r="A542" s="3" t="s">
        <v>648</v>
      </c>
      <c r="B542" s="3">
        <v>339500.0</v>
      </c>
      <c r="C542" s="3" t="s">
        <v>16</v>
      </c>
      <c r="D542" s="4" t="b">
        <f t="shared" si="1"/>
        <v>0</v>
      </c>
      <c r="E542" s="4" t="str">
        <f t="shared" si="2"/>
        <v>BORDEAUX GRANDS EVENEMENTS (BGE)</v>
      </c>
    </row>
    <row r="543">
      <c r="A543" s="3" t="s">
        <v>650</v>
      </c>
      <c r="B543" s="3">
        <v>1000.0</v>
      </c>
      <c r="C543" s="4"/>
      <c r="D543" s="4" t="b">
        <f t="shared" si="1"/>
        <v>0</v>
      </c>
      <c r="E543" s="4" t="str">
        <f t="shared" si="2"/>
        <v>BORDEAUX HANDISPORT TENNIS</v>
      </c>
    </row>
    <row r="544">
      <c r="A544" s="3" t="s">
        <v>651</v>
      </c>
      <c r="B544" s="3">
        <v>0.0</v>
      </c>
      <c r="C544" s="3" t="s">
        <v>3</v>
      </c>
      <c r="D544" s="4" t="b">
        <f t="shared" si="1"/>
        <v>0</v>
      </c>
      <c r="E544" s="4" t="str">
        <f t="shared" si="2"/>
        <v>BORDEAUX INTER CHALLENGE - BIC</v>
      </c>
    </row>
    <row r="545">
      <c r="A545" s="3" t="s">
        <v>652</v>
      </c>
      <c r="B545" s="3">
        <v>3700.0</v>
      </c>
      <c r="C545" s="3" t="s">
        <v>29</v>
      </c>
      <c r="D545" s="4" t="b">
        <f t="shared" si="1"/>
        <v>0</v>
      </c>
      <c r="E545" s="4" t="str">
        <f t="shared" si="2"/>
        <v>BORDEAUX MARITIME SAUVETAGE &amp; SECOURISME - BM2S</v>
      </c>
    </row>
    <row r="546">
      <c r="A546" s="3" t="s">
        <v>654</v>
      </c>
      <c r="B546" s="3">
        <v>0.0</v>
      </c>
      <c r="C546" s="3" t="s">
        <v>29</v>
      </c>
      <c r="D546" s="4" t="b">
        <f t="shared" si="1"/>
        <v>0</v>
      </c>
      <c r="E546" s="4" t="str">
        <f t="shared" si="2"/>
        <v>BORDEAUX MAYOTTE 101</v>
      </c>
    </row>
    <row r="547">
      <c r="A547" s="3" t="s">
        <v>655</v>
      </c>
      <c r="B547" s="3">
        <v>80000.0</v>
      </c>
      <c r="C547" s="3" t="s">
        <v>29</v>
      </c>
      <c r="D547" s="4" t="b">
        <f t="shared" si="1"/>
        <v>0</v>
      </c>
      <c r="E547" s="4" t="str">
        <f t="shared" si="2"/>
        <v>BORDEAUX MERIGNAC VOLLEY</v>
      </c>
    </row>
    <row r="548">
      <c r="A548" s="3" t="s">
        <v>657</v>
      </c>
      <c r="B548" s="3">
        <v>0.0</v>
      </c>
      <c r="C548" s="3" t="s">
        <v>32</v>
      </c>
      <c r="D548" s="4" t="b">
        <f t="shared" si="1"/>
        <v>0</v>
      </c>
      <c r="E548" s="4" t="str">
        <f t="shared" si="2"/>
        <v>BORDEAUX NIHONGO HOSHU JUGYOKO (ECOLE COMPLEMENTAIRE JAPONAISE DE BORDEAUX)</v>
      </c>
    </row>
    <row r="549">
      <c r="A549" s="3" t="s">
        <v>658</v>
      </c>
      <c r="B549" s="4"/>
      <c r="C549" s="4"/>
      <c r="D549" s="4" t="b">
        <f t="shared" si="1"/>
        <v>1</v>
      </c>
      <c r="E549" s="4" t="str">
        <f t="shared" si="2"/>
        <v>JAPONAISE DE BORDEAUX)</v>
      </c>
    </row>
    <row r="550">
      <c r="A550" s="3" t="s">
        <v>659</v>
      </c>
      <c r="B550" s="3">
        <v>7000.0</v>
      </c>
      <c r="C550" s="3" t="s">
        <v>6</v>
      </c>
      <c r="D550" s="4" t="b">
        <f t="shared" si="1"/>
        <v>0</v>
      </c>
      <c r="E550" s="4" t="str">
        <f t="shared" si="2"/>
        <v>BORDEAUX OPEN AIR</v>
      </c>
    </row>
    <row r="551">
      <c r="A551" s="3" t="s">
        <v>660</v>
      </c>
      <c r="B551" s="3">
        <v>300.0</v>
      </c>
      <c r="C551" s="4"/>
      <c r="D551" s="4" t="b">
        <f t="shared" si="1"/>
        <v>0</v>
      </c>
      <c r="E551" s="4" t="str">
        <f t="shared" si="2"/>
        <v>BORDEAUX OPERETTES</v>
      </c>
    </row>
    <row r="552">
      <c r="A552" s="3" t="s">
        <v>661</v>
      </c>
      <c r="B552" s="3">
        <v>0.0</v>
      </c>
      <c r="C552" s="3" t="s">
        <v>29</v>
      </c>
      <c r="D552" s="4" t="b">
        <f t="shared" si="1"/>
        <v>0</v>
      </c>
      <c r="E552" s="4" t="str">
        <f t="shared" si="2"/>
        <v>BORDEAUX PALMES AVENTURE</v>
      </c>
    </row>
    <row r="553">
      <c r="A553" s="3" t="s">
        <v>662</v>
      </c>
      <c r="B553" s="3">
        <v>500.0</v>
      </c>
      <c r="C553" s="4"/>
      <c r="D553" s="4" t="b">
        <f t="shared" si="1"/>
        <v>0</v>
      </c>
      <c r="E553" s="4" t="str">
        <f t="shared" si="2"/>
        <v>BORDEAUX PIPE BAND</v>
      </c>
    </row>
    <row r="554">
      <c r="A554" s="3" t="s">
        <v>663</v>
      </c>
      <c r="B554" s="3">
        <v>14500.0</v>
      </c>
      <c r="C554" s="3" t="s">
        <v>176</v>
      </c>
      <c r="D554" s="4" t="b">
        <f t="shared" si="1"/>
        <v>0</v>
      </c>
      <c r="E554" s="4" t="str">
        <f t="shared" si="2"/>
        <v>BORDEAUX ROCK</v>
      </c>
    </row>
    <row r="555">
      <c r="A555" s="3" t="s">
        <v>665</v>
      </c>
      <c r="B555" s="3">
        <v>600.0</v>
      </c>
      <c r="C555" s="3" t="s">
        <v>6</v>
      </c>
      <c r="D555" s="4" t="b">
        <f t="shared" si="1"/>
        <v>0</v>
      </c>
      <c r="E555" s="4" t="str">
        <f t="shared" si="2"/>
        <v>BORDEAUX ROLLERBLADING ASSOCIATION - BRA</v>
      </c>
    </row>
    <row r="556">
      <c r="A556" s="3" t="s">
        <v>666</v>
      </c>
      <c r="B556" s="3">
        <v>21000.0</v>
      </c>
      <c r="C556" s="4"/>
      <c r="D556" s="4" t="b">
        <f t="shared" si="1"/>
        <v>0</v>
      </c>
      <c r="E556" s="4" t="str">
        <f t="shared" si="2"/>
        <v>BORDEAUX SERVICE SOLIDARITE</v>
      </c>
    </row>
    <row r="557">
      <c r="A557" s="3" t="s">
        <v>667</v>
      </c>
      <c r="B557" s="3">
        <v>0.0</v>
      </c>
      <c r="C557" s="3" t="s">
        <v>668</v>
      </c>
      <c r="D557" s="4" t="b">
        <f t="shared" si="1"/>
        <v>0</v>
      </c>
      <c r="E557" s="4" t="str">
        <f t="shared" si="2"/>
        <v>BORDEAUX SPORTS</v>
      </c>
    </row>
    <row r="558">
      <c r="A558" s="3" t="s">
        <v>669</v>
      </c>
      <c r="B558" s="3">
        <v>28000.0</v>
      </c>
      <c r="C558" s="3" t="s">
        <v>3</v>
      </c>
      <c r="D558" s="4" t="b">
        <f t="shared" si="1"/>
        <v>0</v>
      </c>
      <c r="E558" s="4" t="str">
        <f t="shared" si="2"/>
        <v>BORDEAUX SPORTS DE GLACE</v>
      </c>
    </row>
    <row r="559">
      <c r="A559" s="3" t="s">
        <v>671</v>
      </c>
      <c r="B559" s="3">
        <v>0.0</v>
      </c>
      <c r="C559" s="3" t="s">
        <v>32</v>
      </c>
      <c r="D559" s="4" t="b">
        <f t="shared" si="1"/>
        <v>0</v>
      </c>
      <c r="E559" s="4" t="str">
        <f t="shared" si="2"/>
        <v>BORDEAUX TEATRO ITALIANO BTI</v>
      </c>
    </row>
    <row r="560">
      <c r="A560" s="3" t="s">
        <v>672</v>
      </c>
      <c r="B560" s="3">
        <v>0.0</v>
      </c>
      <c r="C560" s="3" t="s">
        <v>3</v>
      </c>
      <c r="D560" s="4" t="b">
        <f t="shared" si="1"/>
        <v>0</v>
      </c>
      <c r="E560" s="4" t="str">
        <f t="shared" si="2"/>
        <v>BORDEAUX WOMEN'S CLUB</v>
      </c>
    </row>
    <row r="561">
      <c r="A561" s="3" t="s">
        <v>673</v>
      </c>
      <c r="B561" s="3">
        <v>0.0</v>
      </c>
      <c r="C561" s="3" t="s">
        <v>29</v>
      </c>
      <c r="D561" s="4" t="b">
        <f t="shared" si="1"/>
        <v>0</v>
      </c>
      <c r="E561" s="4" t="str">
        <f t="shared" si="2"/>
        <v>BORDEAUX Y NOV CAMPUS</v>
      </c>
    </row>
    <row r="562">
      <c r="A562" s="3" t="s">
        <v>674</v>
      </c>
      <c r="B562" s="3">
        <v>1000.0</v>
      </c>
      <c r="C562" s="3" t="s">
        <v>3</v>
      </c>
      <c r="D562" s="4" t="b">
        <f t="shared" si="1"/>
        <v>0</v>
      </c>
      <c r="E562" s="4" t="str">
        <f t="shared" si="2"/>
        <v>BORDEAUX YOUNG BUSINESS CLUB - BYBC</v>
      </c>
    </row>
    <row r="563">
      <c r="A563" s="3" t="s">
        <v>675</v>
      </c>
      <c r="B563" s="3">
        <v>4000.0</v>
      </c>
      <c r="C563" s="3" t="s">
        <v>484</v>
      </c>
      <c r="D563" s="4" t="b">
        <f t="shared" si="1"/>
        <v>0</v>
      </c>
      <c r="E563" s="4" t="str">
        <f t="shared" si="2"/>
        <v>BORDEAUX-BASTIDE-ESCRIME</v>
      </c>
    </row>
    <row r="564">
      <c r="A564" s="3" t="s">
        <v>676</v>
      </c>
      <c r="B564" s="3">
        <v>3200.0</v>
      </c>
      <c r="C564" s="3" t="s">
        <v>3</v>
      </c>
      <c r="D564" s="4" t="b">
        <f t="shared" si="1"/>
        <v>0</v>
      </c>
      <c r="E564" s="4" t="str">
        <f t="shared" si="2"/>
        <v>BORDEAUX-GIRONDE-QUEBEC</v>
      </c>
    </row>
    <row r="565">
      <c r="A565" s="3" t="s">
        <v>677</v>
      </c>
      <c r="B565" s="3">
        <v>0.0</v>
      </c>
      <c r="C565" s="3" t="s">
        <v>3</v>
      </c>
      <c r="D565" s="4" t="b">
        <f t="shared" si="1"/>
        <v>0</v>
      </c>
      <c r="E565" s="4" t="str">
        <f t="shared" si="2"/>
        <v>BORDELAIS ASSOCIATIFS FALUCHARDS</v>
      </c>
    </row>
    <row r="566">
      <c r="A566" s="3" t="s">
        <v>678</v>
      </c>
      <c r="B566" s="3">
        <v>0.0</v>
      </c>
      <c r="C566" s="3" t="s">
        <v>32</v>
      </c>
      <c r="D566" s="4" t="b">
        <f t="shared" si="1"/>
        <v>0</v>
      </c>
      <c r="E566" s="4" t="str">
        <f t="shared" si="2"/>
        <v>BOULEVARD DES POTES</v>
      </c>
    </row>
    <row r="567">
      <c r="A567" s="3" t="s">
        <v>679</v>
      </c>
      <c r="B567" s="3">
        <v>283000.0</v>
      </c>
      <c r="C567" s="4"/>
      <c r="D567" s="4" t="b">
        <f t="shared" si="1"/>
        <v>0</v>
      </c>
      <c r="E567" s="4" t="str">
        <f t="shared" si="2"/>
        <v>BOXERS DE BORDEAUX</v>
      </c>
    </row>
    <row r="568">
      <c r="A568" s="3" t="s">
        <v>681</v>
      </c>
      <c r="B568" s="3">
        <v>5000.0</v>
      </c>
      <c r="C568" s="4"/>
      <c r="D568" s="4" t="b">
        <f t="shared" si="1"/>
        <v>0</v>
      </c>
      <c r="E568" s="4" t="str">
        <f t="shared" si="2"/>
        <v>BOXING CLUB ALAMELE</v>
      </c>
    </row>
    <row r="569">
      <c r="A569" s="3" t="s">
        <v>682</v>
      </c>
      <c r="B569" s="3">
        <v>0.0</v>
      </c>
      <c r="C569" s="3" t="s">
        <v>26</v>
      </c>
      <c r="D569" s="4" t="b">
        <f t="shared" si="1"/>
        <v>0</v>
      </c>
      <c r="E569" s="4" t="str">
        <f t="shared" si="2"/>
        <v>BOXING CLUB BACALANAIS</v>
      </c>
    </row>
    <row r="570">
      <c r="A570" s="3" t="s">
        <v>683</v>
      </c>
      <c r="B570" s="3">
        <v>11500.0</v>
      </c>
      <c r="C570" s="3" t="s">
        <v>29</v>
      </c>
      <c r="D570" s="4" t="b">
        <f t="shared" si="1"/>
        <v>0</v>
      </c>
      <c r="E570" s="4" t="str">
        <f t="shared" si="2"/>
        <v>BOXING CLUB BORDELAIS</v>
      </c>
    </row>
    <row r="571">
      <c r="A571" s="3" t="s">
        <v>685</v>
      </c>
      <c r="B571" s="3">
        <v>0.0</v>
      </c>
      <c r="C571" s="3" t="s">
        <v>6</v>
      </c>
      <c r="D571" s="4" t="b">
        <f t="shared" si="1"/>
        <v>0</v>
      </c>
      <c r="E571" s="4" t="str">
        <f t="shared" si="2"/>
        <v>BRASS BAND BORGIAQ</v>
      </c>
    </row>
    <row r="572">
      <c r="A572" s="3" t="s">
        <v>686</v>
      </c>
      <c r="B572" s="3">
        <v>4000.0</v>
      </c>
      <c r="C572" s="3" t="s">
        <v>580</v>
      </c>
      <c r="D572" s="4" t="b">
        <f t="shared" si="1"/>
        <v>0</v>
      </c>
      <c r="E572" s="4" t="str">
        <f t="shared" si="2"/>
        <v>BREV’ART </v>
      </c>
    </row>
    <row r="573">
      <c r="A573" s="4"/>
      <c r="B573" s="4"/>
      <c r="C573" s="3" t="s">
        <v>581</v>
      </c>
      <c r="D573" s="4" t="b">
        <f t="shared" si="1"/>
        <v>1</v>
      </c>
      <c r="E573" s="4" t="str">
        <f t="shared" si="2"/>
        <v/>
      </c>
    </row>
    <row r="574">
      <c r="A574" s="3" t="s">
        <v>687</v>
      </c>
      <c r="B574" s="3">
        <v>15000.0</v>
      </c>
      <c r="C574" s="3" t="s">
        <v>6</v>
      </c>
      <c r="D574" s="4" t="b">
        <f t="shared" si="1"/>
        <v>0</v>
      </c>
      <c r="E574" s="4" t="str">
        <f t="shared" si="2"/>
        <v>BRUIT DU FRIGO</v>
      </c>
    </row>
    <row r="575">
      <c r="A575" s="3" t="s">
        <v>688</v>
      </c>
      <c r="B575" s="3">
        <v>0.0</v>
      </c>
      <c r="C575" s="3" t="s">
        <v>6</v>
      </c>
      <c r="D575" s="4" t="b">
        <f t="shared" si="1"/>
        <v>0</v>
      </c>
      <c r="E575" s="4" t="str">
        <f t="shared" si="2"/>
        <v>BURDIGALA CORPORATION</v>
      </c>
    </row>
    <row r="576">
      <c r="A576" s="3" t="s">
        <v>689</v>
      </c>
      <c r="B576" s="3">
        <v>800.0</v>
      </c>
      <c r="C576" s="3" t="s">
        <v>32</v>
      </c>
      <c r="D576" s="4" t="b">
        <f t="shared" si="1"/>
        <v>0</v>
      </c>
      <c r="E576" s="4" t="str">
        <f t="shared" si="2"/>
        <v>BURDIGALA PHOTOS CLUB</v>
      </c>
    </row>
    <row r="577">
      <c r="A577" s="3" t="s">
        <v>690</v>
      </c>
      <c r="B577" s="3">
        <v>0.0</v>
      </c>
      <c r="C577" s="3" t="s">
        <v>29</v>
      </c>
      <c r="D577" s="4" t="b">
        <f t="shared" si="1"/>
        <v>0</v>
      </c>
      <c r="E577" s="4" t="str">
        <f t="shared" si="2"/>
        <v>BURDIGALA SAVATE-CLUB</v>
      </c>
    </row>
    <row r="578">
      <c r="A578" s="3" t="s">
        <v>691</v>
      </c>
      <c r="B578" s="3">
        <v>400.0</v>
      </c>
      <c r="C578" s="3" t="s">
        <v>3</v>
      </c>
      <c r="D578" s="4" t="b">
        <f t="shared" si="1"/>
        <v>0</v>
      </c>
      <c r="E578" s="4" t="str">
        <f t="shared" si="2"/>
        <v>C'EST PAR ISIC (INSTIUT DES SCIENCES DE L'INFORMATION ET DE LA COMMUNICATION)</v>
      </c>
    </row>
    <row r="579">
      <c r="A579" s="3" t="s">
        <v>692</v>
      </c>
      <c r="B579" s="4"/>
      <c r="C579" s="4"/>
      <c r="D579" s="4" t="b">
        <f t="shared" si="1"/>
        <v>1</v>
      </c>
      <c r="E579" s="4" t="str">
        <f t="shared" si="2"/>
        <v>LA COMMUNICATION)</v>
      </c>
    </row>
    <row r="580">
      <c r="A580" s="3" t="s">
        <v>693</v>
      </c>
      <c r="B580" s="3">
        <v>0.0</v>
      </c>
      <c r="C580" s="3" t="s">
        <v>3</v>
      </c>
      <c r="D580" s="4" t="b">
        <f t="shared" si="1"/>
        <v>0</v>
      </c>
      <c r="E580" s="4" t="str">
        <f t="shared" si="2"/>
        <v>C.F.A. - CENTRE DE FORMATION ADAGE</v>
      </c>
    </row>
    <row r="581">
      <c r="A581" s="3" t="s">
        <v>694</v>
      </c>
      <c r="B581" s="3">
        <v>0.0</v>
      </c>
      <c r="C581" s="3" t="s">
        <v>6</v>
      </c>
      <c r="D581" s="4" t="b">
        <f t="shared" si="1"/>
        <v>0</v>
      </c>
      <c r="E581" s="4" t="str">
        <f t="shared" si="2"/>
        <v>C.O.D. FORMATION (FORMASUP CAMPUS)</v>
      </c>
    </row>
    <row r="582">
      <c r="A582" s="3" t="s">
        <v>695</v>
      </c>
      <c r="B582" s="3">
        <v>0.0</v>
      </c>
      <c r="C582" s="3" t="s">
        <v>3</v>
      </c>
      <c r="D582" s="4" t="b">
        <f t="shared" si="1"/>
        <v>0</v>
      </c>
      <c r="E582" s="4" t="str">
        <f t="shared" si="2"/>
        <v>CAC33</v>
      </c>
    </row>
    <row r="583">
      <c r="A583" s="3" t="s">
        <v>696</v>
      </c>
      <c r="B583" s="3">
        <v>0.0</v>
      </c>
      <c r="C583" s="3" t="s">
        <v>3</v>
      </c>
      <c r="D583" s="4" t="b">
        <f t="shared" si="1"/>
        <v>0</v>
      </c>
      <c r="E583" s="4" t="str">
        <f t="shared" si="2"/>
        <v>CAHIERS D'ARCHIVES</v>
      </c>
    </row>
    <row r="584">
      <c r="A584" s="3" t="s">
        <v>697</v>
      </c>
      <c r="B584" s="3">
        <v>115000.0</v>
      </c>
      <c r="C584" s="4"/>
      <c r="D584" s="4" t="b">
        <f t="shared" si="1"/>
        <v>0</v>
      </c>
      <c r="E584" s="4" t="str">
        <f t="shared" si="2"/>
        <v>CAISSE SOCIALE DE DEVELOPPEMENT LOCAL</v>
      </c>
    </row>
    <row r="585">
      <c r="A585" s="3" t="s">
        <v>699</v>
      </c>
      <c r="B585" s="3">
        <v>0.0</v>
      </c>
      <c r="C585" s="3" t="s">
        <v>3</v>
      </c>
      <c r="D585" s="4" t="b">
        <f t="shared" si="1"/>
        <v>0</v>
      </c>
      <c r="E585" s="4" t="str">
        <f t="shared" si="2"/>
        <v>CALICONTE</v>
      </c>
    </row>
    <row r="586">
      <c r="A586" s="3" t="s">
        <v>700</v>
      </c>
      <c r="B586" s="3">
        <v>1080.0</v>
      </c>
      <c r="C586" s="4"/>
      <c r="D586" s="4" t="b">
        <f t="shared" si="1"/>
        <v>0</v>
      </c>
      <c r="E586" s="4" t="str">
        <f t="shared" si="2"/>
        <v>CALIXTE COEUR DE BASTIDE</v>
      </c>
    </row>
    <row r="587">
      <c r="A587" s="3" t="s">
        <v>702</v>
      </c>
      <c r="B587" s="3">
        <v>7300.0</v>
      </c>
      <c r="C587" s="3" t="s">
        <v>32</v>
      </c>
      <c r="D587" s="4" t="b">
        <f t="shared" si="1"/>
        <v>0</v>
      </c>
      <c r="E587" s="4" t="str">
        <f t="shared" si="2"/>
        <v>CALK - COMITE D'ANIMATION LAFONTAINE KLEBER</v>
      </c>
    </row>
    <row r="588">
      <c r="A588" s="3" t="s">
        <v>704</v>
      </c>
      <c r="B588" s="3">
        <v>2000.0</v>
      </c>
      <c r="C588" s="4"/>
      <c r="D588" s="4" t="b">
        <f t="shared" si="1"/>
        <v>0</v>
      </c>
      <c r="E588" s="4" t="str">
        <f t="shared" si="2"/>
        <v>CAMPE</v>
      </c>
    </row>
    <row r="589">
      <c r="A589" s="3" t="s">
        <v>705</v>
      </c>
      <c r="B589" s="3">
        <v>900.0</v>
      </c>
      <c r="C589" s="4"/>
      <c r="D589" s="4" t="b">
        <f t="shared" si="1"/>
        <v>0</v>
      </c>
      <c r="E589" s="4" t="str">
        <f t="shared" si="2"/>
        <v>CAMPUS CHARTRONS</v>
      </c>
    </row>
    <row r="590">
      <c r="A590" s="3" t="s">
        <v>707</v>
      </c>
      <c r="B590" s="3">
        <v>0.0</v>
      </c>
      <c r="C590" s="3" t="s">
        <v>3</v>
      </c>
      <c r="D590" s="4" t="b">
        <f t="shared" si="1"/>
        <v>0</v>
      </c>
      <c r="E590" s="4" t="str">
        <f t="shared" si="2"/>
        <v>CANCER SUPPORT FRANCE BORDEAUX &amp; REGION (CSF BORDEAUX &amp; REGION)</v>
      </c>
    </row>
    <row r="591">
      <c r="A591" s="3" t="s">
        <v>708</v>
      </c>
      <c r="B591" s="4"/>
      <c r="C591" s="4"/>
      <c r="D591" s="4" t="b">
        <f t="shared" si="1"/>
        <v>1</v>
      </c>
      <c r="E591" s="4" t="str">
        <f t="shared" si="2"/>
        <v>&amp; REGION)</v>
      </c>
    </row>
    <row r="592">
      <c r="A592" s="3" t="s">
        <v>709</v>
      </c>
      <c r="B592" s="3">
        <v>0.0</v>
      </c>
      <c r="C592" s="3" t="s">
        <v>29</v>
      </c>
      <c r="D592" s="4" t="b">
        <f t="shared" si="1"/>
        <v>0</v>
      </c>
      <c r="E592" s="4" t="str">
        <f t="shared" si="2"/>
        <v>CAP AND CO</v>
      </c>
    </row>
    <row r="593">
      <c r="A593" s="3" t="s">
        <v>710</v>
      </c>
      <c r="B593" s="3">
        <v>0.0</v>
      </c>
      <c r="C593" s="3" t="s">
        <v>6</v>
      </c>
      <c r="D593" s="4" t="b">
        <f t="shared" si="1"/>
        <v>0</v>
      </c>
      <c r="E593" s="4" t="str">
        <f t="shared" si="2"/>
        <v>CAP CARREIRE : CULTURES, ANIMATIONS ET PARTAGES</v>
      </c>
    </row>
    <row r="594">
      <c r="A594" s="3" t="s">
        <v>711</v>
      </c>
      <c r="B594" s="3">
        <v>0.0</v>
      </c>
      <c r="C594" s="3" t="s">
        <v>3</v>
      </c>
      <c r="D594" s="4" t="b">
        <f t="shared" si="1"/>
        <v>0</v>
      </c>
      <c r="E594" s="4" t="str">
        <f t="shared" si="2"/>
        <v>CAP DE VIE</v>
      </c>
    </row>
    <row r="595">
      <c r="A595" s="3" t="s">
        <v>712</v>
      </c>
      <c r="B595" s="3">
        <v>81568.0</v>
      </c>
      <c r="C595" s="4"/>
      <c r="D595" s="4" t="b">
        <f t="shared" si="1"/>
        <v>0</v>
      </c>
      <c r="E595" s="4" t="str">
        <f t="shared" si="2"/>
        <v>CAP SCIENCES</v>
      </c>
    </row>
    <row r="596">
      <c r="A596" s="3" t="s">
        <v>714</v>
      </c>
      <c r="B596" s="3">
        <v>0.0</v>
      </c>
      <c r="C596" s="3" t="s">
        <v>6</v>
      </c>
      <c r="D596" s="4" t="b">
        <f t="shared" si="1"/>
        <v>0</v>
      </c>
      <c r="E596" s="4" t="str">
        <f t="shared" si="2"/>
        <v>CARABINS DE BORDEAUX</v>
      </c>
    </row>
    <row r="597">
      <c r="A597" s="3" t="s">
        <v>715</v>
      </c>
      <c r="B597" s="3">
        <v>15000.0</v>
      </c>
      <c r="C597" s="4"/>
      <c r="D597" s="4" t="b">
        <f t="shared" si="1"/>
        <v>0</v>
      </c>
      <c r="E597" s="4" t="str">
        <f t="shared" si="2"/>
        <v>CARTOONING FOR PEACE</v>
      </c>
    </row>
    <row r="598">
      <c r="A598" s="3" t="s">
        <v>716</v>
      </c>
      <c r="B598" s="3">
        <v>3000.0</v>
      </c>
      <c r="C598" s="3" t="s">
        <v>32</v>
      </c>
      <c r="D598" s="4" t="b">
        <f t="shared" si="1"/>
        <v>0</v>
      </c>
      <c r="E598" s="4" t="str">
        <f t="shared" si="2"/>
        <v>CATHEDRA</v>
      </c>
    </row>
    <row r="599">
      <c r="A599" s="3" t="s">
        <v>717</v>
      </c>
      <c r="B599" s="3">
        <v>5750.0</v>
      </c>
      <c r="C599" s="3" t="s">
        <v>3</v>
      </c>
      <c r="D599" s="4" t="b">
        <f t="shared" si="1"/>
        <v>0</v>
      </c>
      <c r="E599" s="4" t="str">
        <f t="shared" si="2"/>
        <v>CDANSLABOITE</v>
      </c>
    </row>
    <row r="600">
      <c r="A600" s="3" t="s">
        <v>719</v>
      </c>
      <c r="B600" s="3">
        <v>0.0</v>
      </c>
      <c r="C600" s="3" t="s">
        <v>29</v>
      </c>
      <c r="D600" s="4" t="b">
        <f t="shared" si="1"/>
        <v>0</v>
      </c>
      <c r="E600" s="4" t="str">
        <f t="shared" si="2"/>
        <v>CDISCOUNT@SPORT</v>
      </c>
    </row>
    <row r="601">
      <c r="A601" s="3" t="s">
        <v>720</v>
      </c>
      <c r="B601" s="3">
        <v>2000.0</v>
      </c>
      <c r="C601" s="4"/>
      <c r="D601" s="4" t="b">
        <f t="shared" si="1"/>
        <v>0</v>
      </c>
      <c r="E601" s="4" t="str">
        <f t="shared" si="2"/>
        <v>CENTRE ACCUEIL CONSULTATION INFORMATION SEXUALITE</v>
      </c>
    </row>
    <row r="602">
      <c r="A602" s="3" t="s">
        <v>721</v>
      </c>
      <c r="B602" s="3">
        <v>0.0</v>
      </c>
      <c r="C602" s="3" t="s">
        <v>3</v>
      </c>
      <c r="D602" s="4" t="b">
        <f t="shared" si="1"/>
        <v>0</v>
      </c>
      <c r="E602" s="4" t="str">
        <f t="shared" si="2"/>
        <v>CENTRE ATLANTIC</v>
      </c>
    </row>
    <row r="603">
      <c r="A603" s="3" t="s">
        <v>722</v>
      </c>
      <c r="B603" s="3">
        <v>11620.0</v>
      </c>
      <c r="C603" s="4"/>
      <c r="D603" s="4" t="b">
        <f t="shared" si="1"/>
        <v>0</v>
      </c>
      <c r="E603" s="4" t="str">
        <f t="shared" si="2"/>
        <v>CENTRE CULTUREL ET D'ANIMATION DES JEUNES - YAVNE</v>
      </c>
    </row>
    <row r="604">
      <c r="A604" s="3" t="s">
        <v>724</v>
      </c>
      <c r="B604" s="3">
        <v>0.0</v>
      </c>
      <c r="C604" s="3" t="s">
        <v>29</v>
      </c>
      <c r="D604" s="4" t="b">
        <f t="shared" si="1"/>
        <v>0</v>
      </c>
      <c r="E604" s="4" t="str">
        <f t="shared" si="2"/>
        <v>CENTRE CULTUREL TURC DE BORDEAUX ET SES ENVIRONS</v>
      </c>
    </row>
    <row r="605">
      <c r="A605" s="3" t="s">
        <v>725</v>
      </c>
      <c r="B605" s="3">
        <v>30000.0</v>
      </c>
      <c r="C605" s="3" t="s">
        <v>6</v>
      </c>
      <c r="D605" s="4" t="b">
        <f t="shared" si="1"/>
        <v>0</v>
      </c>
      <c r="E605" s="4" t="str">
        <f t="shared" si="2"/>
        <v>CENTRE D'ACCUEIL D'INFORMATION ET D'ORIENTATION - CAIO</v>
      </c>
    </row>
    <row r="606">
      <c r="A606" s="3" t="s">
        <v>726</v>
      </c>
      <c r="B606" s="3">
        <v>10000.0</v>
      </c>
      <c r="C606" s="3" t="s">
        <v>3</v>
      </c>
      <c r="D606" s="4" t="b">
        <f t="shared" si="1"/>
        <v>0</v>
      </c>
      <c r="E606" s="4" t="str">
        <f t="shared" si="2"/>
        <v>CENTRE D'ACTION ET DE PREVENTION CONTRE LA RADICALISATION LIEE A L'ISLAMISME (CAPRI)</v>
      </c>
    </row>
    <row r="607">
      <c r="A607" s="3" t="s">
        <v>727</v>
      </c>
      <c r="B607" s="4"/>
      <c r="C607" s="4"/>
      <c r="D607" s="4" t="b">
        <f t="shared" si="1"/>
        <v>1</v>
      </c>
      <c r="E607" s="4" t="str">
        <f t="shared" si="2"/>
        <v>LIEE A L'ISLAMISME (CAPRI)</v>
      </c>
    </row>
    <row r="608">
      <c r="A608" s="3" t="s">
        <v>728</v>
      </c>
      <c r="B608" s="3">
        <v>0.0</v>
      </c>
      <c r="C608" s="3" t="s">
        <v>3</v>
      </c>
      <c r="D608" s="4" t="b">
        <f t="shared" si="1"/>
        <v>0</v>
      </c>
      <c r="E608" s="4" t="str">
        <f t="shared" si="2"/>
        <v>CENTRE D'ETUDES DE L'AUTO CONNAISSANCE</v>
      </c>
    </row>
    <row r="609">
      <c r="A609" s="3" t="s">
        <v>729</v>
      </c>
      <c r="B609" s="3">
        <v>49000.0</v>
      </c>
      <c r="C609" s="3" t="s">
        <v>32</v>
      </c>
      <c r="D609" s="4" t="b">
        <f t="shared" si="1"/>
        <v>0</v>
      </c>
      <c r="E609" s="4" t="str">
        <f t="shared" si="2"/>
        <v>CENTRE D'INFORMATION JEUNESSE AQUITAINE - CIJA</v>
      </c>
    </row>
    <row r="610">
      <c r="A610" s="3" t="s">
        <v>731</v>
      </c>
      <c r="B610" s="3">
        <v>0.0</v>
      </c>
      <c r="C610" s="3" t="s">
        <v>3</v>
      </c>
      <c r="D610" s="4" t="b">
        <f t="shared" si="1"/>
        <v>0</v>
      </c>
      <c r="E610" s="4" t="str">
        <f t="shared" si="2"/>
        <v>CENTRE D'INFORMATION METAPSYCHIQUE - CDIM</v>
      </c>
    </row>
    <row r="611">
      <c r="A611" s="3" t="s">
        <v>732</v>
      </c>
      <c r="B611" s="3">
        <v>7000.0</v>
      </c>
      <c r="C611" s="4"/>
      <c r="D611" s="4" t="b">
        <f t="shared" si="1"/>
        <v>0</v>
      </c>
      <c r="E611" s="4" t="str">
        <f t="shared" si="2"/>
        <v>CENTRE D'INFORMATION SUR LES DROITS DES FEMMES ET DES FAMILLES DE LA GIRONDE</v>
      </c>
    </row>
    <row r="612">
      <c r="A612" s="3" t="s">
        <v>733</v>
      </c>
      <c r="B612" s="4"/>
      <c r="C612" s="4"/>
      <c r="D612" s="4" t="b">
        <f t="shared" si="1"/>
        <v>1</v>
      </c>
      <c r="E612" s="4" t="str">
        <f t="shared" si="2"/>
        <v>FAMILLES DE LA GIRONDE</v>
      </c>
    </row>
    <row r="613">
      <c r="A613" s="3" t="s">
        <v>734</v>
      </c>
      <c r="B613" s="3">
        <v>0.0</v>
      </c>
      <c r="C613" s="3" t="s">
        <v>3</v>
      </c>
      <c r="D613" s="4" t="b">
        <f t="shared" si="1"/>
        <v>0</v>
      </c>
      <c r="E613" s="4" t="str">
        <f t="shared" si="2"/>
        <v>CENTRE DE LIAISON DES EQUIPES DE RECHERCHE, CLER AMOUR ET FAMILLES</v>
      </c>
    </row>
    <row r="614">
      <c r="A614" s="3" t="s">
        <v>735</v>
      </c>
      <c r="B614" s="4"/>
      <c r="C614" s="4"/>
      <c r="D614" s="4" t="b">
        <f t="shared" si="1"/>
        <v>1</v>
      </c>
      <c r="E614" s="4" t="str">
        <f t="shared" si="2"/>
        <v>ET FAMILLES</v>
      </c>
    </row>
    <row r="615">
      <c r="A615" s="3" t="s">
        <v>736</v>
      </c>
      <c r="B615" s="3">
        <v>0.0</v>
      </c>
      <c r="C615" s="3" t="s">
        <v>3</v>
      </c>
      <c r="D615" s="4" t="b">
        <f t="shared" si="1"/>
        <v>0</v>
      </c>
      <c r="E615" s="4" t="str">
        <f t="shared" si="2"/>
        <v>CENTRE DE MUSICOTHERAPIE DE LA GIRONDE</v>
      </c>
    </row>
    <row r="616">
      <c r="A616" s="3" t="s">
        <v>737</v>
      </c>
      <c r="B616" s="3">
        <v>11500.0</v>
      </c>
      <c r="C616" s="3" t="s">
        <v>3</v>
      </c>
      <c r="D616" s="4" t="b">
        <f t="shared" si="1"/>
        <v>0</v>
      </c>
      <c r="E616" s="4" t="str">
        <f t="shared" si="2"/>
        <v>CENTRE DE PREVENTION ET DE LOISIRS DES JEUNES DE BORDEAUX - CPLJ Bordeaux</v>
      </c>
    </row>
    <row r="617">
      <c r="A617" s="3" t="s">
        <v>738</v>
      </c>
      <c r="B617" s="4"/>
      <c r="C617" s="4"/>
      <c r="D617" s="4" t="b">
        <f t="shared" si="1"/>
        <v>1</v>
      </c>
      <c r="E617" s="4" t="str">
        <f t="shared" si="2"/>
        <v>BORDEAUX - CPLJ Bordeaux</v>
      </c>
    </row>
    <row r="618">
      <c r="A618" s="3" t="s">
        <v>739</v>
      </c>
      <c r="B618" s="3">
        <v>0.0</v>
      </c>
      <c r="C618" s="3" t="s">
        <v>3</v>
      </c>
      <c r="D618" s="4" t="b">
        <f t="shared" si="1"/>
        <v>0</v>
      </c>
      <c r="E618" s="4" t="str">
        <f t="shared" si="2"/>
        <v>CENTRE DE RECHERCHE ET D'INFORMATION POUR LE DEVELOPPEMENT - CRID</v>
      </c>
    </row>
    <row r="619">
      <c r="A619" s="3" t="s">
        <v>740</v>
      </c>
      <c r="B619" s="4"/>
      <c r="C619" s="4"/>
      <c r="D619" s="4" t="b">
        <f t="shared" si="1"/>
        <v>1</v>
      </c>
      <c r="E619" s="4" t="str">
        <f t="shared" si="2"/>
        <v>DEVELOPPEMENT - CRID</v>
      </c>
    </row>
    <row r="620">
      <c r="A620" s="3" t="s">
        <v>741</v>
      </c>
      <c r="B620" s="3">
        <v>1300.0</v>
      </c>
      <c r="C620" s="3" t="s">
        <v>3</v>
      </c>
      <c r="D620" s="4" t="b">
        <f t="shared" si="1"/>
        <v>0</v>
      </c>
      <c r="E620" s="4" t="str">
        <f t="shared" si="2"/>
        <v>CENTRE DE RESSOURCES D'ECOLOGIE PEDAGOGIQUE D'AQUITAINE - CREPAQ</v>
      </c>
    </row>
    <row r="621">
      <c r="A621" s="3" t="s">
        <v>743</v>
      </c>
      <c r="B621" s="4"/>
      <c r="C621" s="4"/>
      <c r="D621" s="4" t="b">
        <f t="shared" si="1"/>
        <v>1</v>
      </c>
      <c r="E621" s="4" t="str">
        <f t="shared" si="2"/>
        <v>- CREPAQ</v>
      </c>
    </row>
    <row r="622">
      <c r="A622" s="3" t="s">
        <v>744</v>
      </c>
      <c r="B622" s="3">
        <v>0.0</v>
      </c>
      <c r="C622" s="3" t="s">
        <v>3</v>
      </c>
      <c r="D622" s="4" t="b">
        <f t="shared" si="1"/>
        <v>0</v>
      </c>
      <c r="E622" s="4" t="str">
        <f t="shared" si="2"/>
        <v>CENTRE DE SOPHROLOGIE DYNAMIQUE DE BORDEAUX</v>
      </c>
    </row>
    <row r="623">
      <c r="A623" s="3" t="s">
        <v>745</v>
      </c>
      <c r="B623" s="3">
        <v>8200.0</v>
      </c>
      <c r="C623" s="3" t="s">
        <v>3</v>
      </c>
      <c r="D623" s="4" t="b">
        <f t="shared" si="1"/>
        <v>0</v>
      </c>
      <c r="E623" s="4" t="str">
        <f t="shared" si="2"/>
        <v>CENTRE DE VOILE DE BORDEAUX-LAC</v>
      </c>
    </row>
    <row r="624">
      <c r="A624" s="3" t="s">
        <v>747</v>
      </c>
      <c r="B624" s="3">
        <v>0.0</v>
      </c>
      <c r="C624" s="3" t="s">
        <v>3</v>
      </c>
      <c r="D624" s="4" t="b">
        <f t="shared" si="1"/>
        <v>0</v>
      </c>
      <c r="E624" s="4" t="str">
        <f t="shared" si="2"/>
        <v>CENTRE DES ETUDES DE LA REPUBLIQUE DEMOCRATIQUE</v>
      </c>
    </row>
    <row r="625">
      <c r="A625" s="3" t="s">
        <v>748</v>
      </c>
      <c r="B625" s="3">
        <v>0.0</v>
      </c>
      <c r="C625" s="3" t="s">
        <v>32</v>
      </c>
      <c r="D625" s="4" t="b">
        <f t="shared" si="1"/>
        <v>0</v>
      </c>
      <c r="E625" s="4" t="str">
        <f t="shared" si="2"/>
        <v>CENTRE DES FESTIVALS FRANCE-RUSSIE</v>
      </c>
    </row>
    <row r="626">
      <c r="A626" s="3" t="s">
        <v>749</v>
      </c>
      <c r="B626" s="3">
        <v>0.0</v>
      </c>
      <c r="C626" s="3" t="s">
        <v>6</v>
      </c>
      <c r="D626" s="4" t="b">
        <f t="shared" si="1"/>
        <v>0</v>
      </c>
      <c r="E626" s="4" t="str">
        <f t="shared" si="2"/>
        <v>CENTRE ENTREPRISE COMMUNICATION AVANCEE - CECA</v>
      </c>
    </row>
    <row r="627">
      <c r="A627" s="3" t="s">
        <v>750</v>
      </c>
      <c r="B627" s="3">
        <v>1000.0</v>
      </c>
      <c r="C627" s="4"/>
      <c r="D627" s="4" t="b">
        <f t="shared" si="1"/>
        <v>0</v>
      </c>
      <c r="E627" s="4" t="str">
        <f t="shared" si="2"/>
        <v>CENTRE HA 32</v>
      </c>
    </row>
    <row r="628">
      <c r="A628" s="3" t="s">
        <v>751</v>
      </c>
      <c r="B628" s="3">
        <v>20500.0</v>
      </c>
      <c r="C628" s="3" t="s">
        <v>280</v>
      </c>
      <c r="D628" s="4" t="b">
        <f t="shared" si="1"/>
        <v>0</v>
      </c>
      <c r="E628" s="4" t="str">
        <f t="shared" si="2"/>
        <v>CENTRE JEAN VIGO EVENEMENTS</v>
      </c>
    </row>
    <row r="629">
      <c r="A629" s="3" t="s">
        <v>753</v>
      </c>
      <c r="B629" s="3">
        <v>0.0</v>
      </c>
      <c r="C629" s="3" t="s">
        <v>3</v>
      </c>
      <c r="D629" s="4" t="b">
        <f t="shared" si="1"/>
        <v>0</v>
      </c>
      <c r="E629" s="4" t="str">
        <f t="shared" si="2"/>
        <v>CENTRE REGIONAL D'AQUITAINE D'ETUDES ET D'ACTIONS SUR LES HANDICAPS ET LES INADAPTATIONS - CREAHI</v>
      </c>
    </row>
    <row r="630">
      <c r="A630" s="3" t="s">
        <v>754</v>
      </c>
      <c r="B630" s="4"/>
      <c r="C630" s="4"/>
      <c r="D630" s="4" t="b">
        <f t="shared" si="1"/>
        <v>1</v>
      </c>
      <c r="E630" s="4" t="str">
        <f t="shared" si="2"/>
        <v>HANDICAPS ET LES INADAPTATIONS - CREAHI</v>
      </c>
    </row>
    <row r="631">
      <c r="A631" s="3" t="s">
        <v>755</v>
      </c>
      <c r="B631" s="3">
        <v>7000.0</v>
      </c>
      <c r="C631" s="3" t="s">
        <v>3</v>
      </c>
      <c r="D631" s="4" t="b">
        <f t="shared" si="1"/>
        <v>0</v>
      </c>
      <c r="E631" s="4" t="str">
        <f t="shared" si="2"/>
        <v>CENTRE REGIONAL D'ECO-ENERGETIQUE D'AQUITAINE - CREAQ</v>
      </c>
    </row>
    <row r="632">
      <c r="A632" s="3" t="s">
        <v>756</v>
      </c>
      <c r="B632" s="3">
        <v>10000.0</v>
      </c>
      <c r="C632" s="4"/>
      <c r="D632" s="4" t="b">
        <f t="shared" si="1"/>
        <v>0</v>
      </c>
      <c r="E632" s="4" t="str">
        <f t="shared" si="2"/>
        <v>CENTRE RENCONTRES ACTION CULTURELLE BEGLES-CREAC</v>
      </c>
    </row>
    <row r="633">
      <c r="A633" s="3" t="s">
        <v>757</v>
      </c>
      <c r="B633" s="3">
        <v>14800.0</v>
      </c>
      <c r="C633" s="4"/>
      <c r="D633" s="4" t="b">
        <f t="shared" si="1"/>
        <v>0</v>
      </c>
      <c r="E633" s="4" t="str">
        <f t="shared" si="2"/>
        <v>CENTRE SOCIAL BAGATELLE DISPENSAIRE DE BAGATELLE</v>
      </c>
    </row>
    <row r="634">
      <c r="A634" s="3" t="s">
        <v>759</v>
      </c>
      <c r="B634" s="3">
        <v>461165.0</v>
      </c>
      <c r="C634" s="3" t="s">
        <v>37</v>
      </c>
      <c r="D634" s="4" t="b">
        <f t="shared" si="1"/>
        <v>0</v>
      </c>
      <c r="E634" s="4" t="str">
        <f t="shared" si="2"/>
        <v>CENTRE SOCIAL ET FAMILIAL BORDEAUX NORD </v>
      </c>
    </row>
    <row r="635">
      <c r="A635" s="4"/>
      <c r="B635" s="4"/>
      <c r="C635" s="3" t="s">
        <v>38</v>
      </c>
      <c r="D635" s="4" t="b">
        <f t="shared" si="1"/>
        <v>1</v>
      </c>
      <c r="E635" s="4" t="str">
        <f t="shared" si="2"/>
        <v/>
      </c>
    </row>
    <row r="636">
      <c r="A636" s="3" t="s">
        <v>761</v>
      </c>
      <c r="B636" s="3">
        <v>2500.0</v>
      </c>
      <c r="C636" s="4"/>
      <c r="D636" s="4" t="b">
        <f t="shared" si="1"/>
        <v>0</v>
      </c>
      <c r="E636" s="4" t="str">
        <f t="shared" si="2"/>
        <v>CERCLE ARTISTIQUE SAINT AUGUSTIN (CASA)</v>
      </c>
    </row>
    <row r="637">
      <c r="A637" s="3" t="s">
        <v>762</v>
      </c>
      <c r="B637" s="3">
        <v>0.0</v>
      </c>
      <c r="C637" s="3" t="s">
        <v>3</v>
      </c>
      <c r="D637" s="4" t="b">
        <f t="shared" si="1"/>
        <v>0</v>
      </c>
      <c r="E637" s="4" t="str">
        <f t="shared" si="2"/>
        <v>CERCLE BORDELAIS DE SANTE (C.B.S.)</v>
      </c>
    </row>
    <row r="638">
      <c r="A638" s="3" t="s">
        <v>763</v>
      </c>
      <c r="B638" s="3">
        <v>0.0</v>
      </c>
      <c r="C638" s="3" t="s">
        <v>3</v>
      </c>
      <c r="D638" s="4" t="b">
        <f t="shared" si="1"/>
        <v>0</v>
      </c>
      <c r="E638" s="4" t="str">
        <f t="shared" si="2"/>
        <v>CERCLE D'AIDE A LA VIE PAR LA VOIE SPIRITUELLE-FRANCE</v>
      </c>
    </row>
    <row r="639">
      <c r="A639" s="3" t="s">
        <v>764</v>
      </c>
      <c r="B639" s="3">
        <v>150.0</v>
      </c>
      <c r="C639" s="3" t="s">
        <v>3</v>
      </c>
      <c r="D639" s="4" t="b">
        <f t="shared" si="1"/>
        <v>0</v>
      </c>
      <c r="E639" s="4" t="str">
        <f t="shared" si="2"/>
        <v>CERCLE D'ETUDES ET DE CULTURE FRANÇAISES (CECF)</v>
      </c>
    </row>
    <row r="640">
      <c r="A640" s="3" t="s">
        <v>766</v>
      </c>
      <c r="B640" s="3">
        <v>0.0</v>
      </c>
      <c r="C640" s="3" t="s">
        <v>3</v>
      </c>
      <c r="D640" s="4" t="b">
        <f t="shared" si="1"/>
        <v>0</v>
      </c>
      <c r="E640" s="4" t="str">
        <f t="shared" si="2"/>
        <v>CERCLE D'ETUDES RUSSES</v>
      </c>
    </row>
    <row r="641">
      <c r="A641" s="3" t="s">
        <v>767</v>
      </c>
      <c r="B641" s="3">
        <v>0.0</v>
      </c>
      <c r="C641" s="3" t="s">
        <v>3</v>
      </c>
      <c r="D641" s="4" t="b">
        <f t="shared" si="1"/>
        <v>0</v>
      </c>
      <c r="E641" s="4" t="str">
        <f t="shared" si="2"/>
        <v>CERCLE DES COIFFEURS CREATEURS</v>
      </c>
    </row>
    <row r="642">
      <c r="A642" s="3" t="s">
        <v>768</v>
      </c>
      <c r="B642" s="3">
        <v>0.0</v>
      </c>
      <c r="C642" s="3" t="s">
        <v>3</v>
      </c>
      <c r="D642" s="4" t="b">
        <f t="shared" si="1"/>
        <v>0</v>
      </c>
      <c r="E642" s="4" t="str">
        <f t="shared" si="2"/>
        <v>CERCLE DES ESCRIMEURS BORDELAIS (CEB)</v>
      </c>
    </row>
    <row r="643">
      <c r="A643" s="3" t="s">
        <v>769</v>
      </c>
      <c r="B643" s="3">
        <v>0.0</v>
      </c>
      <c r="C643" s="3" t="s">
        <v>3</v>
      </c>
      <c r="D643" s="4" t="b">
        <f t="shared" si="1"/>
        <v>0</v>
      </c>
      <c r="E643" s="4" t="str">
        <f t="shared" si="2"/>
        <v>CERCLE JEAN BAPTISTE LYNCH</v>
      </c>
    </row>
    <row r="644">
      <c r="A644" s="3" t="s">
        <v>770</v>
      </c>
      <c r="B644" s="3">
        <v>0.0</v>
      </c>
      <c r="C644" s="3" t="s">
        <v>3</v>
      </c>
      <c r="D644" s="4" t="b">
        <f t="shared" si="1"/>
        <v>0</v>
      </c>
      <c r="E644" s="4" t="str">
        <f t="shared" si="2"/>
        <v>CERCLE OENOPHILE AQUITAIN</v>
      </c>
    </row>
    <row r="645">
      <c r="A645" s="3" t="s">
        <v>771</v>
      </c>
      <c r="B645" s="3">
        <v>0.0</v>
      </c>
      <c r="C645" s="3" t="s">
        <v>3</v>
      </c>
      <c r="D645" s="4" t="b">
        <f t="shared" si="1"/>
        <v>0</v>
      </c>
      <c r="E645" s="4" t="str">
        <f t="shared" si="2"/>
        <v>CERCLE PHILATELIQUE BORDEAUX AQUITAINE</v>
      </c>
    </row>
    <row r="646">
      <c r="A646" s="3" t="s">
        <v>772</v>
      </c>
      <c r="B646" s="3">
        <v>0.0</v>
      </c>
      <c r="C646" s="3" t="s">
        <v>3</v>
      </c>
      <c r="D646" s="4" t="b">
        <f t="shared" si="1"/>
        <v>0</v>
      </c>
      <c r="E646" s="4" t="str">
        <f t="shared" si="2"/>
        <v>CERCLE POLITEIA</v>
      </c>
    </row>
    <row r="647">
      <c r="A647" s="3" t="s">
        <v>773</v>
      </c>
      <c r="B647" s="3">
        <v>0.0</v>
      </c>
      <c r="C647" s="3" t="s">
        <v>3</v>
      </c>
      <c r="D647" s="4" t="b">
        <f t="shared" si="1"/>
        <v>0</v>
      </c>
      <c r="E647" s="4" t="str">
        <f t="shared" si="2"/>
        <v>CERCLE POLITZER</v>
      </c>
    </row>
    <row r="648">
      <c r="A648" s="3" t="s">
        <v>774</v>
      </c>
      <c r="B648" s="3">
        <v>57500.0</v>
      </c>
      <c r="C648" s="3" t="s">
        <v>280</v>
      </c>
      <c r="D648" s="4" t="b">
        <f t="shared" si="1"/>
        <v>0</v>
      </c>
      <c r="E648" s="4" t="str">
        <f t="shared" si="2"/>
        <v>CHAHUTS</v>
      </c>
    </row>
    <row r="649">
      <c r="A649" s="3" t="s">
        <v>776</v>
      </c>
      <c r="B649" s="3">
        <v>0.0</v>
      </c>
      <c r="C649" s="3" t="s">
        <v>3</v>
      </c>
      <c r="D649" s="4" t="b">
        <f t="shared" si="1"/>
        <v>0</v>
      </c>
      <c r="E649" s="4" t="str">
        <f t="shared" si="2"/>
        <v>CHAMBRE PROFESSIONNELLE DES AGENTS COMMERCIAUX DU SUD-OUEST</v>
      </c>
    </row>
    <row r="650">
      <c r="A650" s="3" t="s">
        <v>777</v>
      </c>
      <c r="B650" s="4"/>
      <c r="C650" s="4"/>
      <c r="D650" s="4" t="b">
        <f t="shared" si="1"/>
        <v>1</v>
      </c>
      <c r="E650" s="4" t="str">
        <f t="shared" si="2"/>
        <v>SUD-OUEST</v>
      </c>
    </row>
    <row r="651">
      <c r="A651" s="3" t="s">
        <v>778</v>
      </c>
      <c r="B651" s="3">
        <v>800.0</v>
      </c>
      <c r="C651" s="3" t="s">
        <v>32</v>
      </c>
      <c r="D651" s="4" t="b">
        <f t="shared" si="1"/>
        <v>0</v>
      </c>
      <c r="E651" s="4" t="str">
        <f t="shared" si="2"/>
        <v>CHANT LIBRE</v>
      </c>
    </row>
    <row r="652">
      <c r="A652" s="3" t="s">
        <v>779</v>
      </c>
      <c r="B652" s="3">
        <v>800.0</v>
      </c>
      <c r="C652" s="4"/>
      <c r="D652" s="4" t="b">
        <f t="shared" si="1"/>
        <v>0</v>
      </c>
      <c r="E652" s="4" t="str">
        <f t="shared" si="2"/>
        <v>CHANTE ECOLE</v>
      </c>
    </row>
    <row r="653">
      <c r="A653" s="3" t="s">
        <v>780</v>
      </c>
      <c r="B653" s="3">
        <v>2000.0</v>
      </c>
      <c r="C653" s="4"/>
      <c r="D653" s="4" t="b">
        <f t="shared" si="1"/>
        <v>0</v>
      </c>
      <c r="E653" s="4" t="str">
        <f t="shared" si="2"/>
        <v>CHANTIERS TRAMASSET</v>
      </c>
    </row>
    <row r="654">
      <c r="A654" s="3" t="s">
        <v>781</v>
      </c>
      <c r="B654" s="3">
        <v>0.0</v>
      </c>
      <c r="C654" s="3" t="s">
        <v>6</v>
      </c>
      <c r="D654" s="4" t="b">
        <f t="shared" si="1"/>
        <v>0</v>
      </c>
      <c r="E654" s="4" t="str">
        <f t="shared" si="2"/>
        <v>CHEMIN DES ETOILES - CDE</v>
      </c>
    </row>
    <row r="655">
      <c r="A655" s="3" t="s">
        <v>782</v>
      </c>
      <c r="B655" s="3">
        <v>0.0</v>
      </c>
      <c r="C655" s="3" t="s">
        <v>3</v>
      </c>
      <c r="D655" s="4" t="b">
        <f t="shared" si="1"/>
        <v>0</v>
      </c>
      <c r="E655" s="4" t="str">
        <f t="shared" si="2"/>
        <v>CHEMINS DE VIES</v>
      </c>
    </row>
    <row r="656">
      <c r="A656" s="3" t="s">
        <v>783</v>
      </c>
      <c r="B656" s="3">
        <v>0.0</v>
      </c>
      <c r="C656" s="3" t="s">
        <v>29</v>
      </c>
      <c r="D656" s="4" t="b">
        <f t="shared" si="1"/>
        <v>0</v>
      </c>
      <c r="E656" s="4" t="str">
        <f t="shared" si="2"/>
        <v>CHEVRE FOOTBALL CLUB - CFC</v>
      </c>
    </row>
    <row r="657">
      <c r="A657" s="3" t="s">
        <v>784</v>
      </c>
      <c r="B657" s="3">
        <v>1500.0</v>
      </c>
      <c r="C657" s="4"/>
      <c r="D657" s="4" t="b">
        <f t="shared" si="1"/>
        <v>0</v>
      </c>
      <c r="E657" s="4" t="str">
        <f t="shared" si="2"/>
        <v>CIE COIN TRANQUILLE-MANUELLA AZEVEDO</v>
      </c>
    </row>
    <row r="658">
      <c r="A658" s="3" t="s">
        <v>785</v>
      </c>
      <c r="B658" s="3">
        <v>3000.0</v>
      </c>
      <c r="C658" s="4"/>
      <c r="D658" s="4" t="b">
        <f t="shared" si="1"/>
        <v>0</v>
      </c>
      <c r="E658" s="4" t="str">
        <f t="shared" si="2"/>
        <v>CIE L'ESPECE FABULATRICE</v>
      </c>
    </row>
    <row r="659">
      <c r="A659" s="3" t="s">
        <v>786</v>
      </c>
      <c r="B659" s="3">
        <v>32500.0</v>
      </c>
      <c r="C659" s="4"/>
      <c r="D659" s="4" t="b">
        <f t="shared" si="1"/>
        <v>0</v>
      </c>
      <c r="E659" s="4" t="str">
        <f t="shared" si="2"/>
        <v>CIE LE SOLEIL BLEU</v>
      </c>
    </row>
    <row r="660">
      <c r="A660" s="3" t="s">
        <v>788</v>
      </c>
      <c r="B660" s="3">
        <v>3000.0</v>
      </c>
      <c r="C660" s="3" t="s">
        <v>3</v>
      </c>
      <c r="D660" s="4" t="b">
        <f t="shared" si="1"/>
        <v>0</v>
      </c>
      <c r="E660" s="4" t="str">
        <f t="shared" si="2"/>
        <v>CIMADE - SERVICE OECUMENIQUE D'ENTRAIDE</v>
      </c>
    </row>
    <row r="661">
      <c r="A661" s="3" t="s">
        <v>789</v>
      </c>
      <c r="B661" s="3">
        <v>0.0</v>
      </c>
      <c r="C661" s="3" t="s">
        <v>3</v>
      </c>
      <c r="D661" s="4" t="b">
        <f t="shared" si="1"/>
        <v>0</v>
      </c>
      <c r="E661" s="4" t="str">
        <f t="shared" si="2"/>
        <v>CINERESEAUX</v>
      </c>
    </row>
    <row r="662">
      <c r="A662" s="3" t="s">
        <v>790</v>
      </c>
      <c r="B662" s="3">
        <v>19000.0</v>
      </c>
      <c r="C662" s="4"/>
      <c r="D662" s="4" t="b">
        <f t="shared" si="1"/>
        <v>0</v>
      </c>
      <c r="E662" s="4" t="str">
        <f t="shared" si="2"/>
        <v>CIRQUE ECLAIR ECOLE CIRQUE D'AQUITAINE</v>
      </c>
    </row>
    <row r="663">
      <c r="A663" s="3" t="s">
        <v>791</v>
      </c>
      <c r="B663" s="3">
        <v>0.0</v>
      </c>
      <c r="C663" s="3" t="s">
        <v>3</v>
      </c>
      <c r="D663" s="4" t="b">
        <f t="shared" si="1"/>
        <v>0</v>
      </c>
      <c r="E663" s="4" t="str">
        <f t="shared" si="2"/>
        <v>CLAC</v>
      </c>
    </row>
    <row r="664">
      <c r="A664" s="3" t="s">
        <v>792</v>
      </c>
      <c r="B664" s="3">
        <v>0.0</v>
      </c>
      <c r="C664" s="3" t="s">
        <v>3</v>
      </c>
      <c r="D664" s="4" t="b">
        <f t="shared" si="1"/>
        <v>0</v>
      </c>
      <c r="E664" s="4" t="str">
        <f t="shared" si="2"/>
        <v>CLAIR-OBSCUR</v>
      </c>
    </row>
    <row r="665">
      <c r="A665" s="3" t="s">
        <v>793</v>
      </c>
      <c r="B665" s="3">
        <v>6000.0</v>
      </c>
      <c r="C665" s="4"/>
      <c r="D665" s="4" t="b">
        <f t="shared" si="1"/>
        <v>0</v>
      </c>
      <c r="E665" s="4" t="str">
        <f t="shared" si="2"/>
        <v>CLAP SUD OUEST</v>
      </c>
    </row>
    <row r="666">
      <c r="A666" s="3" t="s">
        <v>794</v>
      </c>
      <c r="B666" s="3">
        <v>0.0</v>
      </c>
      <c r="C666" s="3" t="s">
        <v>3</v>
      </c>
      <c r="D666" s="4" t="b">
        <f t="shared" si="1"/>
        <v>0</v>
      </c>
      <c r="E666" s="4" t="str">
        <f t="shared" si="2"/>
        <v>CLUB 41 FRANCAIS BORDEAUX N° 110</v>
      </c>
    </row>
    <row r="667">
      <c r="A667" s="3" t="s">
        <v>795</v>
      </c>
      <c r="B667" s="3">
        <v>0.0</v>
      </c>
      <c r="C667" s="3" t="s">
        <v>3</v>
      </c>
      <c r="D667" s="4" t="b">
        <f t="shared" si="1"/>
        <v>0</v>
      </c>
      <c r="E667" s="4" t="str">
        <f t="shared" si="2"/>
        <v>CLUB 89</v>
      </c>
    </row>
    <row r="668">
      <c r="A668" s="3" t="s">
        <v>796</v>
      </c>
      <c r="B668" s="3">
        <v>0.0</v>
      </c>
      <c r="C668" s="3" t="s">
        <v>3</v>
      </c>
      <c r="D668" s="4" t="b">
        <f t="shared" si="1"/>
        <v>0</v>
      </c>
      <c r="E668" s="4" t="str">
        <f t="shared" si="2"/>
        <v>CLUB AFRIQUE EN PERSPECTIVES</v>
      </c>
    </row>
    <row r="669">
      <c r="A669" s="3" t="s">
        <v>797</v>
      </c>
      <c r="B669" s="3">
        <v>3000.0</v>
      </c>
      <c r="C669" s="3" t="s">
        <v>32</v>
      </c>
      <c r="D669" s="4" t="b">
        <f t="shared" si="1"/>
        <v>0</v>
      </c>
      <c r="E669" s="4" t="str">
        <f t="shared" si="2"/>
        <v>CLUB ALPIN FRANCAIS DE BORDEAUX</v>
      </c>
    </row>
    <row r="670">
      <c r="A670" s="3" t="s">
        <v>798</v>
      </c>
      <c r="B670" s="3">
        <v>0.0</v>
      </c>
      <c r="C670" s="3" t="s">
        <v>29</v>
      </c>
      <c r="D670" s="4" t="b">
        <f t="shared" si="1"/>
        <v>0</v>
      </c>
      <c r="E670" s="4" t="str">
        <f t="shared" si="2"/>
        <v>CLUB AMICAL CHAUFFOUR</v>
      </c>
    </row>
    <row r="671">
      <c r="A671" s="3" t="s">
        <v>799</v>
      </c>
      <c r="B671" s="3">
        <v>0.0</v>
      </c>
      <c r="C671" s="3" t="s">
        <v>29</v>
      </c>
      <c r="D671" s="4" t="b">
        <f t="shared" si="1"/>
        <v>0</v>
      </c>
      <c r="E671" s="4" t="str">
        <f t="shared" si="2"/>
        <v>CLUB ATHLETIQUE DU PORT AUTONOME DE BORDEAUX</v>
      </c>
    </row>
    <row r="672">
      <c r="A672" s="3" t="s">
        <v>800</v>
      </c>
      <c r="B672" s="3">
        <v>243834.0</v>
      </c>
      <c r="C672" s="3" t="s">
        <v>37</v>
      </c>
      <c r="D672" s="4" t="b">
        <f t="shared" si="1"/>
        <v>0</v>
      </c>
      <c r="E672" s="4" t="str">
        <f t="shared" si="2"/>
        <v>CLUB ATHLETIQUE MUNICIPAL DE BORDEAUX - CAM </v>
      </c>
    </row>
    <row r="673">
      <c r="A673" s="4"/>
      <c r="B673" s="4"/>
      <c r="C673" s="3" t="s">
        <v>38</v>
      </c>
      <c r="D673" s="4" t="b">
        <f t="shared" si="1"/>
        <v>1</v>
      </c>
      <c r="E673" s="4" t="str">
        <f t="shared" si="2"/>
        <v/>
      </c>
    </row>
    <row r="674">
      <c r="A674" s="3" t="s">
        <v>802</v>
      </c>
      <c r="B674" s="3">
        <v>0.0</v>
      </c>
      <c r="C674" s="3" t="s">
        <v>3</v>
      </c>
      <c r="D674" s="4" t="b">
        <f t="shared" si="1"/>
        <v>0</v>
      </c>
      <c r="E674" s="4" t="str">
        <f t="shared" si="2"/>
        <v>CLUB BORDEAUX-CAMEROUN-FRANCE</v>
      </c>
    </row>
    <row r="675">
      <c r="A675" s="3" t="s">
        <v>803</v>
      </c>
      <c r="B675" s="3">
        <v>0.0</v>
      </c>
      <c r="C675" s="3" t="s">
        <v>3</v>
      </c>
      <c r="D675" s="4" t="b">
        <f t="shared" si="1"/>
        <v>0</v>
      </c>
      <c r="E675" s="4" t="str">
        <f t="shared" si="2"/>
        <v>CLUB BORDELAIS DU CHOCOLAT "CHOCO PASSION"</v>
      </c>
    </row>
    <row r="676">
      <c r="A676" s="3" t="s">
        <v>804</v>
      </c>
      <c r="B676" s="3">
        <v>0.0</v>
      </c>
      <c r="C676" s="3" t="s">
        <v>32</v>
      </c>
      <c r="D676" s="4" t="b">
        <f t="shared" si="1"/>
        <v>0</v>
      </c>
      <c r="E676" s="4" t="str">
        <f t="shared" si="2"/>
        <v>CLUB BOULISTE ALBERT 1er</v>
      </c>
    </row>
    <row r="677">
      <c r="A677" s="3" t="s">
        <v>805</v>
      </c>
      <c r="B677" s="3">
        <v>0.0</v>
      </c>
      <c r="C677" s="3" t="s">
        <v>6</v>
      </c>
      <c r="D677" s="4" t="b">
        <f t="shared" si="1"/>
        <v>0</v>
      </c>
      <c r="E677" s="4" t="str">
        <f t="shared" si="2"/>
        <v>CLUB D'ENTREPRISES BORDEAUX EURATLANTIQUE</v>
      </c>
    </row>
    <row r="678">
      <c r="A678" s="3" t="s">
        <v>806</v>
      </c>
      <c r="B678" s="3">
        <v>1500.0</v>
      </c>
      <c r="C678" s="4"/>
      <c r="D678" s="4" t="b">
        <f t="shared" si="1"/>
        <v>0</v>
      </c>
      <c r="E678" s="4" t="str">
        <f t="shared" si="2"/>
        <v>CLUB D'ENTREPRISES MERIADECK</v>
      </c>
    </row>
    <row r="679">
      <c r="A679" s="3" t="s">
        <v>807</v>
      </c>
      <c r="B679" s="3">
        <v>0.0</v>
      </c>
      <c r="C679" s="3" t="s">
        <v>484</v>
      </c>
      <c r="D679" s="4" t="b">
        <f t="shared" si="1"/>
        <v>0</v>
      </c>
      <c r="E679" s="4" t="str">
        <f t="shared" si="2"/>
        <v>CLUB D'EXPLORATION SOUS MARINE D'AQUITAINE - CESMA</v>
      </c>
    </row>
    <row r="680">
      <c r="A680" s="3" t="s">
        <v>808</v>
      </c>
      <c r="B680" s="3">
        <v>0.0</v>
      </c>
      <c r="C680" s="3" t="s">
        <v>6</v>
      </c>
      <c r="D680" s="4" t="b">
        <f t="shared" si="1"/>
        <v>0</v>
      </c>
      <c r="E680" s="4" t="str">
        <f t="shared" si="2"/>
        <v>CLUB D'ULTIMATE DE BORDEAUX - 33 TOURS</v>
      </c>
    </row>
    <row r="681">
      <c r="A681" s="3" t="s">
        <v>809</v>
      </c>
      <c r="B681" s="3">
        <v>0.0</v>
      </c>
      <c r="C681" s="3" t="s">
        <v>29</v>
      </c>
      <c r="D681" s="4" t="b">
        <f t="shared" si="1"/>
        <v>0</v>
      </c>
      <c r="E681" s="4" t="str">
        <f t="shared" si="2"/>
        <v>CLUB DE CANNE ET BATON D'AQUITAINE</v>
      </c>
    </row>
    <row r="682">
      <c r="A682" s="3" t="s">
        <v>810</v>
      </c>
      <c r="B682" s="3">
        <v>0.0</v>
      </c>
      <c r="C682" s="3" t="s">
        <v>32</v>
      </c>
      <c r="D682" s="4" t="b">
        <f t="shared" si="1"/>
        <v>0</v>
      </c>
      <c r="E682" s="4" t="str">
        <f t="shared" si="2"/>
        <v>CLUB DE LA PRESSE DE BORDEAUX</v>
      </c>
    </row>
    <row r="683">
      <c r="A683" s="3" t="s">
        <v>811</v>
      </c>
      <c r="B683" s="3">
        <v>15800.0</v>
      </c>
      <c r="C683" s="3" t="s">
        <v>6</v>
      </c>
      <c r="D683" s="4" t="b">
        <f t="shared" si="1"/>
        <v>0</v>
      </c>
      <c r="E683" s="4" t="str">
        <f t="shared" si="2"/>
        <v>CLUB DES ENTREPRISES DE BORDEAUX</v>
      </c>
    </row>
    <row r="684">
      <c r="A684" s="3" t="s">
        <v>813</v>
      </c>
      <c r="B684" s="3">
        <v>1700.0</v>
      </c>
      <c r="C684" s="4"/>
      <c r="D684" s="4" t="b">
        <f t="shared" si="1"/>
        <v>0</v>
      </c>
      <c r="E684" s="4" t="str">
        <f t="shared" si="2"/>
        <v>CLUB DES PARISIENS DE BORDEAUX</v>
      </c>
    </row>
    <row r="685">
      <c r="A685" s="3" t="s">
        <v>814</v>
      </c>
      <c r="B685" s="3">
        <v>0.0</v>
      </c>
      <c r="C685" s="3" t="s">
        <v>3</v>
      </c>
      <c r="D685" s="4" t="b">
        <f t="shared" si="1"/>
        <v>0</v>
      </c>
      <c r="E685" s="4" t="str">
        <f t="shared" si="2"/>
        <v>CLUB DES RANDONNEURS DU PYLA ET DU BASSIN D'ARCACHON</v>
      </c>
    </row>
    <row r="686">
      <c r="A686" s="3" t="s">
        <v>815</v>
      </c>
      <c r="B686" s="3">
        <v>0.0</v>
      </c>
      <c r="C686" s="3" t="s">
        <v>3</v>
      </c>
      <c r="D686" s="4" t="b">
        <f t="shared" si="1"/>
        <v>0</v>
      </c>
      <c r="E686" s="4" t="str">
        <f t="shared" si="2"/>
        <v>CLUB ERASMUS ET MUNDUS</v>
      </c>
    </row>
    <row r="687">
      <c r="A687" s="3" t="s">
        <v>816</v>
      </c>
      <c r="B687" s="3">
        <v>0.0</v>
      </c>
      <c r="C687" s="3" t="s">
        <v>3</v>
      </c>
      <c r="D687" s="4" t="b">
        <f t="shared" si="1"/>
        <v>0</v>
      </c>
      <c r="E687" s="4" t="str">
        <f t="shared" si="2"/>
        <v>CLUB INDEPENDANT BORDELAIS</v>
      </c>
    </row>
    <row r="688">
      <c r="A688" s="3" t="s">
        <v>817</v>
      </c>
      <c r="B688" s="3">
        <v>1000.0</v>
      </c>
      <c r="C688" s="3" t="s">
        <v>3</v>
      </c>
      <c r="D688" s="4" t="b">
        <f t="shared" si="1"/>
        <v>0</v>
      </c>
      <c r="E688" s="4" t="str">
        <f t="shared" si="2"/>
        <v>CLUB PETANQUE GRAND PARC</v>
      </c>
    </row>
    <row r="689">
      <c r="A689" s="3" t="s">
        <v>818</v>
      </c>
      <c r="B689" s="3">
        <v>0.0</v>
      </c>
      <c r="C689" s="3" t="s">
        <v>3</v>
      </c>
      <c r="D689" s="4" t="b">
        <f t="shared" si="1"/>
        <v>0</v>
      </c>
      <c r="E689" s="4" t="str">
        <f t="shared" si="2"/>
        <v>CLUB PHILOSOPHIQUE PENSEE ET AVENIR</v>
      </c>
    </row>
    <row r="690">
      <c r="A690" s="3" t="s">
        <v>819</v>
      </c>
      <c r="B690" s="3">
        <v>634600.0</v>
      </c>
      <c r="C690" s="3" t="s">
        <v>37</v>
      </c>
      <c r="D690" s="4" t="b">
        <f t="shared" si="1"/>
        <v>0</v>
      </c>
      <c r="E690" s="4" t="str">
        <f t="shared" si="2"/>
        <v>CLUB PYRENEES AQUITAINE, ASSOCIATION SPORTIVE, EDUCATIVE ET CULTURELLE</v>
      </c>
    </row>
    <row r="691">
      <c r="A691" s="3" t="s">
        <v>821</v>
      </c>
      <c r="B691" s="4"/>
      <c r="C691" s="3" t="s">
        <v>38</v>
      </c>
      <c r="D691" s="4" t="b">
        <f t="shared" si="1"/>
        <v>1</v>
      </c>
      <c r="E691" s="4" t="str">
        <f t="shared" si="2"/>
        <v>ET CULTURELLE</v>
      </c>
    </row>
    <row r="692">
      <c r="A692" s="3" t="s">
        <v>822</v>
      </c>
      <c r="B692" s="3">
        <v>5000.0</v>
      </c>
      <c r="C692" s="4"/>
      <c r="D692" s="4" t="b">
        <f t="shared" si="1"/>
        <v>0</v>
      </c>
      <c r="E692" s="4" t="str">
        <f t="shared" si="2"/>
        <v>CLUB REGIONAL DES ENTREPRISES POUR L'INSERTION DE GIRONDE</v>
      </c>
    </row>
    <row r="693">
      <c r="A693" s="3" t="s">
        <v>823</v>
      </c>
      <c r="B693" s="4"/>
      <c r="C693" s="4"/>
      <c r="D693" s="4" t="b">
        <f t="shared" si="1"/>
        <v>1</v>
      </c>
      <c r="E693" s="4" t="str">
        <f t="shared" si="2"/>
        <v>GIRONDE</v>
      </c>
    </row>
    <row r="694">
      <c r="A694" s="3" t="s">
        <v>824</v>
      </c>
      <c r="B694" s="3">
        <v>8800.0</v>
      </c>
      <c r="C694" s="4"/>
      <c r="D694" s="4" t="b">
        <f t="shared" si="1"/>
        <v>0</v>
      </c>
      <c r="E694" s="4" t="str">
        <f t="shared" si="2"/>
        <v>CLUB SERVICES 33</v>
      </c>
    </row>
    <row r="695">
      <c r="A695" s="3" t="s">
        <v>826</v>
      </c>
      <c r="B695" s="3">
        <v>0.0</v>
      </c>
      <c r="C695" s="3" t="s">
        <v>668</v>
      </c>
      <c r="D695" s="4" t="b">
        <f t="shared" si="1"/>
        <v>0</v>
      </c>
      <c r="E695" s="4" t="str">
        <f t="shared" si="2"/>
        <v>CLUB « BON GOUT D'AQUITAINE »</v>
      </c>
    </row>
    <row r="696">
      <c r="A696" s="3" t="s">
        <v>827</v>
      </c>
      <c r="B696" s="3">
        <v>0.0</v>
      </c>
      <c r="C696" s="3" t="s">
        <v>3</v>
      </c>
      <c r="D696" s="4" t="b">
        <f t="shared" si="1"/>
        <v>0</v>
      </c>
      <c r="E696" s="4" t="str">
        <f t="shared" si="2"/>
        <v>COJEP BORDEAUX - CONSEIL POUR LA JUSTICE, L'EGALITE ET LA PAIX</v>
      </c>
    </row>
    <row r="697">
      <c r="A697" s="3" t="s">
        <v>828</v>
      </c>
      <c r="B697" s="4"/>
      <c r="C697" s="4"/>
      <c r="D697" s="4" t="b">
        <f t="shared" si="1"/>
        <v>1</v>
      </c>
      <c r="E697" s="4" t="str">
        <f t="shared" si="2"/>
        <v>PAIX</v>
      </c>
    </row>
    <row r="698">
      <c r="A698" s="3" t="s">
        <v>829</v>
      </c>
      <c r="B698" s="3">
        <v>0.0</v>
      </c>
      <c r="C698" s="3" t="s">
        <v>3</v>
      </c>
      <c r="D698" s="4" t="b">
        <f t="shared" si="1"/>
        <v>0</v>
      </c>
      <c r="E698" s="4" t="str">
        <f t="shared" si="2"/>
        <v>COLIBRI 33</v>
      </c>
    </row>
    <row r="699">
      <c r="A699" s="3" t="s">
        <v>830</v>
      </c>
      <c r="B699" s="3">
        <v>0.0</v>
      </c>
      <c r="C699" s="3" t="s">
        <v>3</v>
      </c>
      <c r="D699" s="4" t="b">
        <f t="shared" si="1"/>
        <v>0</v>
      </c>
      <c r="E699" s="4" t="str">
        <f t="shared" si="2"/>
        <v>COLLECTIF 33 : LA SANTE UN DROIT POUR TOUS</v>
      </c>
    </row>
    <row r="700">
      <c r="A700" s="3" t="s">
        <v>831</v>
      </c>
      <c r="B700" s="3">
        <v>100.0</v>
      </c>
      <c r="C700" s="3" t="s">
        <v>3</v>
      </c>
      <c r="D700" s="4" t="b">
        <f t="shared" si="1"/>
        <v>0</v>
      </c>
      <c r="E700" s="4" t="str">
        <f t="shared" si="2"/>
        <v>COLLECTIF BORDEAUX-MARINOPOLE</v>
      </c>
    </row>
    <row r="701">
      <c r="A701" s="3" t="s">
        <v>833</v>
      </c>
      <c r="B701" s="3">
        <v>500.0</v>
      </c>
      <c r="C701" s="4"/>
      <c r="D701" s="4" t="b">
        <f t="shared" si="1"/>
        <v>0</v>
      </c>
      <c r="E701" s="4" t="str">
        <f t="shared" si="2"/>
        <v>COLLECTIF BTP</v>
      </c>
    </row>
    <row r="702">
      <c r="A702" s="3" t="s">
        <v>834</v>
      </c>
      <c r="B702" s="3">
        <v>28000.0</v>
      </c>
      <c r="C702" s="3" t="s">
        <v>6</v>
      </c>
      <c r="D702" s="4" t="b">
        <f t="shared" si="1"/>
        <v>0</v>
      </c>
      <c r="E702" s="4" t="str">
        <f t="shared" si="2"/>
        <v>COLLECTIF DE RESSOURCES BORDEAUX-NORD</v>
      </c>
    </row>
    <row r="703">
      <c r="A703" s="3" t="s">
        <v>835</v>
      </c>
      <c r="B703" s="3">
        <v>0.0</v>
      </c>
      <c r="C703" s="3" t="s">
        <v>6</v>
      </c>
      <c r="D703" s="4" t="b">
        <f t="shared" si="1"/>
        <v>0</v>
      </c>
      <c r="E703" s="4" t="str">
        <f t="shared" si="2"/>
        <v>COLLECTIF DES ASSOCIATIONS D'OUTRE-MER EN AQUITAINE DIT C.A.O.M.A.</v>
      </c>
    </row>
    <row r="704">
      <c r="A704" s="3" t="s">
        <v>836</v>
      </c>
      <c r="B704" s="4"/>
      <c r="C704" s="4"/>
      <c r="D704" s="4" t="b">
        <f t="shared" si="1"/>
        <v>1</v>
      </c>
      <c r="E704" s="4" t="str">
        <f t="shared" si="2"/>
        <v>C.A.O.M.A.</v>
      </c>
    </row>
    <row r="705">
      <c r="A705" s="3" t="s">
        <v>837</v>
      </c>
      <c r="B705" s="3">
        <v>800.0</v>
      </c>
      <c r="C705" s="3" t="s">
        <v>3</v>
      </c>
      <c r="D705" s="4" t="b">
        <f t="shared" si="1"/>
        <v>0</v>
      </c>
      <c r="E705" s="4" t="str">
        <f t="shared" si="2"/>
        <v>COLLECTIF DES ORGANISATIONS DE SOLIDARITE INTERNATIONALE ISSUES DES MIGRATIONS EN AQUITAINE (COSIM)</v>
      </c>
    </row>
    <row r="706">
      <c r="A706" s="3" t="s">
        <v>838</v>
      </c>
      <c r="B706" s="4"/>
      <c r="C706" s="4"/>
      <c r="D706" s="4" t="b">
        <f t="shared" si="1"/>
        <v>1</v>
      </c>
      <c r="E706" s="4" t="str">
        <f t="shared" si="2"/>
        <v>ISSUES DES MIGRATIONS EN AQUITAINE (COSIM)</v>
      </c>
    </row>
    <row r="707">
      <c r="A707" s="3" t="s">
        <v>839</v>
      </c>
      <c r="B707" s="3">
        <v>1000.0</v>
      </c>
      <c r="C707" s="3" t="s">
        <v>6</v>
      </c>
      <c r="D707" s="4" t="b">
        <f t="shared" si="1"/>
        <v>0</v>
      </c>
      <c r="E707" s="4" t="str">
        <f t="shared" si="2"/>
        <v>COLLECTIF FETE DU JEU DE BORDEAUX</v>
      </c>
    </row>
    <row r="708">
      <c r="A708" s="3" t="s">
        <v>840</v>
      </c>
      <c r="B708" s="3">
        <v>0.0</v>
      </c>
      <c r="C708" s="3" t="s">
        <v>3</v>
      </c>
      <c r="D708" s="4" t="b">
        <f t="shared" si="1"/>
        <v>0</v>
      </c>
      <c r="E708" s="4" t="str">
        <f t="shared" si="2"/>
        <v>COLLECTIF GIRONDIN DES ASSOCIATIONS AUTOUR DE L'AUTISME (CG3A)</v>
      </c>
    </row>
    <row r="709">
      <c r="A709" s="3" t="s">
        <v>841</v>
      </c>
      <c r="B709" s="4"/>
      <c r="C709" s="4"/>
      <c r="D709" s="4" t="b">
        <f t="shared" si="1"/>
        <v>1</v>
      </c>
      <c r="E709" s="4" t="str">
        <f t="shared" si="2"/>
        <v>(CG3A)</v>
      </c>
    </row>
    <row r="710">
      <c r="A710" s="3" t="s">
        <v>842</v>
      </c>
      <c r="B710" s="3">
        <v>2500.0</v>
      </c>
      <c r="C710" s="4"/>
      <c r="D710" s="4" t="b">
        <f t="shared" si="1"/>
        <v>0</v>
      </c>
      <c r="E710" s="4" t="str">
        <f t="shared" si="2"/>
        <v>COLLECTIF INTERASSOCIATIF SANTE AQUITAINE (CISSA)</v>
      </c>
    </row>
    <row r="711">
      <c r="A711" s="3" t="s">
        <v>843</v>
      </c>
      <c r="B711" s="3">
        <v>2300.0</v>
      </c>
      <c r="C711" s="3" t="s">
        <v>32</v>
      </c>
      <c r="D711" s="4" t="b">
        <f t="shared" si="1"/>
        <v>0</v>
      </c>
      <c r="E711" s="4" t="str">
        <f t="shared" si="2"/>
        <v>COLLECTIF MIXERATUM ERGO SUM</v>
      </c>
    </row>
    <row r="712">
      <c r="A712" s="3" t="s">
        <v>845</v>
      </c>
      <c r="B712" s="3">
        <v>11000.0</v>
      </c>
      <c r="C712" s="4"/>
      <c r="D712" s="4" t="b">
        <f t="shared" si="1"/>
        <v>0</v>
      </c>
      <c r="E712" s="4" t="str">
        <f t="shared" si="2"/>
        <v>COLLECTIF OS'O</v>
      </c>
    </row>
    <row r="713">
      <c r="A713" s="3" t="s">
        <v>846</v>
      </c>
      <c r="B713" s="3">
        <v>800.0</v>
      </c>
      <c r="C713" s="4"/>
      <c r="D713" s="4" t="b">
        <f t="shared" si="1"/>
        <v>0</v>
      </c>
      <c r="E713" s="4" t="str">
        <f t="shared" si="2"/>
        <v>COLLECTIF PARENTS INDEPENDANTS COLLEGE EMILE COMBES BORDEAUX</v>
      </c>
    </row>
    <row r="714">
      <c r="A714" s="3" t="s">
        <v>33</v>
      </c>
      <c r="B714" s="4"/>
      <c r="C714" s="4"/>
      <c r="D714" s="4" t="b">
        <f t="shared" si="1"/>
        <v>1</v>
      </c>
      <c r="E714" s="4" t="str">
        <f t="shared" si="2"/>
        <v>BORDEAUX</v>
      </c>
    </row>
    <row r="715">
      <c r="A715" s="3" t="s">
        <v>847</v>
      </c>
      <c r="B715" s="3">
        <v>2000.0</v>
      </c>
      <c r="C715" s="4"/>
      <c r="D715" s="4" t="b">
        <f t="shared" si="1"/>
        <v>0</v>
      </c>
      <c r="E715" s="4" t="str">
        <f t="shared" si="2"/>
        <v>COLLEGE JACQUES ELLUL</v>
      </c>
    </row>
    <row r="716">
      <c r="A716" s="3" t="s">
        <v>848</v>
      </c>
      <c r="B716" s="3">
        <v>0.0</v>
      </c>
      <c r="C716" s="3" t="s">
        <v>3</v>
      </c>
      <c r="D716" s="4" t="b">
        <f t="shared" si="1"/>
        <v>0</v>
      </c>
      <c r="E716" s="4" t="str">
        <f t="shared" si="2"/>
        <v>COLORS INC</v>
      </c>
    </row>
    <row r="717">
      <c r="A717" s="3" t="s">
        <v>849</v>
      </c>
      <c r="B717" s="3">
        <v>0.0</v>
      </c>
      <c r="C717" s="3" t="s">
        <v>3</v>
      </c>
      <c r="D717" s="4" t="b">
        <f t="shared" si="1"/>
        <v>0</v>
      </c>
      <c r="E717" s="4" t="str">
        <f t="shared" si="2"/>
        <v>COMENFRANCE</v>
      </c>
    </row>
    <row r="718">
      <c r="A718" s="3" t="s">
        <v>850</v>
      </c>
      <c r="B718" s="3">
        <v>0.0</v>
      </c>
      <c r="C718" s="3" t="s">
        <v>3</v>
      </c>
      <c r="D718" s="4" t="b">
        <f t="shared" si="1"/>
        <v>0</v>
      </c>
      <c r="E718" s="4" t="str">
        <f t="shared" si="2"/>
        <v>COMITE ACTION PALESTINE</v>
      </c>
    </row>
    <row r="719">
      <c r="A719" s="3" t="s">
        <v>851</v>
      </c>
      <c r="B719" s="3">
        <v>1000.0</v>
      </c>
      <c r="C719" s="4"/>
      <c r="D719" s="4" t="b">
        <f t="shared" si="1"/>
        <v>0</v>
      </c>
      <c r="E719" s="4" t="str">
        <f t="shared" si="2"/>
        <v>COMITE ANIMATION DU QUARTIER TONDU-CARREIRE</v>
      </c>
    </row>
    <row r="720">
      <c r="A720" s="3" t="s">
        <v>852</v>
      </c>
      <c r="B720" s="3">
        <v>0.0</v>
      </c>
      <c r="C720" s="3" t="s">
        <v>3</v>
      </c>
      <c r="D720" s="4" t="b">
        <f t="shared" si="1"/>
        <v>0</v>
      </c>
      <c r="E720" s="4" t="str">
        <f t="shared" si="2"/>
        <v>COMITE AQUITAIN DE L'ASSOCIATION FRANCAISE DES HEMOPHILES</v>
      </c>
    </row>
    <row r="721">
      <c r="A721" s="3" t="s">
        <v>853</v>
      </c>
      <c r="B721" s="3">
        <v>0.0</v>
      </c>
      <c r="C721" s="3" t="s">
        <v>32</v>
      </c>
      <c r="D721" s="4" t="b">
        <f t="shared" si="1"/>
        <v>0</v>
      </c>
      <c r="E721" s="4" t="str">
        <f t="shared" si="2"/>
        <v>COMITE BORDEAUX BRISTOL</v>
      </c>
    </row>
    <row r="722">
      <c r="A722" s="3" t="s">
        <v>854</v>
      </c>
      <c r="B722" s="3">
        <v>0.0</v>
      </c>
      <c r="C722" s="3" t="s">
        <v>3</v>
      </c>
      <c r="D722" s="4" t="b">
        <f t="shared" si="1"/>
        <v>0</v>
      </c>
      <c r="E722" s="4" t="str">
        <f t="shared" si="2"/>
        <v>COMITE BORDEAUX SUD</v>
      </c>
    </row>
    <row r="723">
      <c r="A723" s="3" t="s">
        <v>855</v>
      </c>
      <c r="B723" s="3">
        <v>0.0</v>
      </c>
      <c r="C723" s="3" t="s">
        <v>37</v>
      </c>
      <c r="D723" s="4" t="b">
        <f t="shared" si="1"/>
        <v>0</v>
      </c>
      <c r="E723" s="4" t="str">
        <f t="shared" si="2"/>
        <v>COMITE D'ANIMATION, DE BIENFAISANCE ET DE DEFENSE DES INTERETS DU QUARTIER NANSOUTY</v>
      </c>
    </row>
    <row r="724">
      <c r="A724" s="3" t="s">
        <v>856</v>
      </c>
      <c r="B724" s="4"/>
      <c r="C724" s="3" t="s">
        <v>38</v>
      </c>
      <c r="D724" s="4" t="b">
        <f t="shared" si="1"/>
        <v>1</v>
      </c>
      <c r="E724" s="4" t="str">
        <f t="shared" si="2"/>
        <v>INTERETS DU QUARTIER NANSOUTY</v>
      </c>
    </row>
    <row r="725">
      <c r="A725" s="3" t="s">
        <v>857</v>
      </c>
      <c r="B725" s="3">
        <v>20500.0</v>
      </c>
      <c r="C725" s="3" t="s">
        <v>37</v>
      </c>
      <c r="D725" s="4" t="b">
        <f t="shared" si="1"/>
        <v>0</v>
      </c>
      <c r="E725" s="4" t="str">
        <f t="shared" si="2"/>
        <v>COMITE D'ETUDE ET D'INFORMATION SUR DROGUE (PREV. ET TRAITEMENT TOXICOMANIES ET AUTRES ADDICTIONS)</v>
      </c>
    </row>
    <row r="726">
      <c r="A726" s="3" t="s">
        <v>858</v>
      </c>
      <c r="B726" s="4"/>
      <c r="C726" s="3" t="s">
        <v>38</v>
      </c>
      <c r="D726" s="4" t="b">
        <f t="shared" si="1"/>
        <v>1</v>
      </c>
      <c r="E726" s="4" t="str">
        <f t="shared" si="2"/>
        <v>TRAITEMENT TOXICOMANIES ET AUTRES ADDICTIONS)</v>
      </c>
    </row>
    <row r="727">
      <c r="A727" s="3" t="s">
        <v>859</v>
      </c>
      <c r="B727" s="3">
        <v>2000.0</v>
      </c>
      <c r="C727" s="3" t="s">
        <v>3</v>
      </c>
      <c r="D727" s="4" t="b">
        <f t="shared" si="1"/>
        <v>0</v>
      </c>
      <c r="E727" s="4" t="str">
        <f t="shared" si="2"/>
        <v>COMITE DE BIENFAISANCE ET DE DEFENSE DES INTERETS DU QUARTIER CAUDERAN-SUD</v>
      </c>
    </row>
    <row r="728">
      <c r="A728" s="3" t="s">
        <v>860</v>
      </c>
      <c r="B728" s="4"/>
      <c r="C728" s="4"/>
      <c r="D728" s="4" t="b">
        <f t="shared" si="1"/>
        <v>1</v>
      </c>
      <c r="E728" s="4" t="str">
        <f t="shared" si="2"/>
        <v>QUARTIER CAUDERAN-SUD</v>
      </c>
    </row>
    <row r="729">
      <c r="A729" s="3" t="s">
        <v>861</v>
      </c>
      <c r="B729" s="3">
        <v>1000.0</v>
      </c>
      <c r="C729" s="4"/>
      <c r="D729" s="4" t="b">
        <f t="shared" si="1"/>
        <v>0</v>
      </c>
      <c r="E729" s="4" t="str">
        <f t="shared" si="2"/>
        <v>COMITE DE BIENFAISANCE ET DE DEFENSE DU QUARTIER SIMIOT</v>
      </c>
    </row>
    <row r="730">
      <c r="A730" s="3" t="s">
        <v>862</v>
      </c>
      <c r="B730" s="3">
        <v>0.0</v>
      </c>
      <c r="C730" s="3" t="s">
        <v>6</v>
      </c>
      <c r="D730" s="4" t="b">
        <f t="shared" si="1"/>
        <v>0</v>
      </c>
      <c r="E730" s="4" t="str">
        <f t="shared" si="2"/>
        <v>COMITE DE DEFENSE DES INTERETS DES HABITANTS DU LOTISSEMENT JASMIN ET ANNEXES</v>
      </c>
    </row>
    <row r="731">
      <c r="A731" s="3" t="s">
        <v>863</v>
      </c>
      <c r="B731" s="4"/>
      <c r="C731" s="4"/>
      <c r="D731" s="4" t="b">
        <f t="shared" si="1"/>
        <v>1</v>
      </c>
      <c r="E731" s="4" t="str">
        <f t="shared" si="2"/>
        <v>LOTISSEMENT JASMIN ET ANNEXES</v>
      </c>
    </row>
    <row r="732">
      <c r="A732" s="3" t="s">
        <v>864</v>
      </c>
      <c r="B732" s="3">
        <v>0.0</v>
      </c>
      <c r="C732" s="3" t="s">
        <v>3</v>
      </c>
      <c r="D732" s="4" t="b">
        <f t="shared" si="1"/>
        <v>0</v>
      </c>
      <c r="E732" s="4" t="str">
        <f t="shared" si="2"/>
        <v>COMITE DE DEFENSE DES TAXIS DE LA GIRONDE</v>
      </c>
    </row>
    <row r="733">
      <c r="A733" s="3" t="s">
        <v>865</v>
      </c>
      <c r="B733" s="3">
        <v>750.0</v>
      </c>
      <c r="C733" s="3" t="s">
        <v>6</v>
      </c>
      <c r="D733" s="4" t="b">
        <f t="shared" si="1"/>
        <v>0</v>
      </c>
      <c r="E733" s="4" t="str">
        <f t="shared" si="2"/>
        <v>COMITE DE L'ACCOMPAGNEMENT DE L'URBANISME, DEFENSE ENVIRONNEMENT ET RESPECT DE LA SECURITE-CAUDERES</v>
      </c>
    </row>
    <row r="734">
      <c r="A734" s="3" t="s">
        <v>866</v>
      </c>
      <c r="B734" s="4"/>
      <c r="C734" s="4"/>
      <c r="D734" s="4" t="b">
        <f t="shared" si="1"/>
        <v>1</v>
      </c>
      <c r="E734" s="4" t="str">
        <f t="shared" si="2"/>
        <v>ENVIRONNEMENT ET RESPECT DE LA SECURITE-CAUDERES</v>
      </c>
    </row>
    <row r="735">
      <c r="A735" s="3" t="s">
        <v>867</v>
      </c>
      <c r="B735" s="3">
        <v>0.0</v>
      </c>
      <c r="C735" s="3" t="s">
        <v>3</v>
      </c>
      <c r="D735" s="4" t="b">
        <f t="shared" si="1"/>
        <v>0</v>
      </c>
      <c r="E735" s="4" t="str">
        <f t="shared" si="2"/>
        <v>COMITE DE LIAISON DES ACTEURS DE LA PROMOTION DANS LE SUD-OUEST - CLAP SUD-OUEST</v>
      </c>
    </row>
    <row r="736">
      <c r="A736" s="3" t="s">
        <v>868</v>
      </c>
      <c r="B736" s="4"/>
      <c r="C736" s="4"/>
      <c r="D736" s="4" t="b">
        <f t="shared" si="1"/>
        <v>1</v>
      </c>
      <c r="E736" s="4" t="str">
        <f t="shared" si="2"/>
        <v>SUD-OUEST - CLAP SUD-OUEST</v>
      </c>
    </row>
    <row r="737">
      <c r="A737" s="3" t="s">
        <v>869</v>
      </c>
      <c r="B737" s="3">
        <v>1600.0</v>
      </c>
      <c r="C737" s="4"/>
      <c r="D737" s="4" t="b">
        <f t="shared" si="1"/>
        <v>0</v>
      </c>
      <c r="E737" s="4" t="str">
        <f t="shared" si="2"/>
        <v>COMITE DE QUARTIER BRACH VINCENNES</v>
      </c>
    </row>
    <row r="738">
      <c r="A738" s="3" t="s">
        <v>871</v>
      </c>
      <c r="B738" s="3">
        <v>500.0</v>
      </c>
      <c r="C738" s="4"/>
      <c r="D738" s="4" t="b">
        <f t="shared" si="1"/>
        <v>0</v>
      </c>
      <c r="E738" s="4" t="str">
        <f t="shared" si="2"/>
        <v>COMITE DE QUARTIER DANGUILHEM-EMILE ZOLA-BARRIERE DE PESSAC</v>
      </c>
    </row>
    <row r="739">
      <c r="A739" s="3" t="s">
        <v>872</v>
      </c>
      <c r="B739" s="4"/>
      <c r="C739" s="4"/>
      <c r="D739" s="4" t="b">
        <f t="shared" si="1"/>
        <v>1</v>
      </c>
      <c r="E739" s="4" t="str">
        <f t="shared" si="2"/>
        <v>PESSAC</v>
      </c>
    </row>
    <row r="740">
      <c r="A740" s="3" t="s">
        <v>873</v>
      </c>
      <c r="B740" s="3">
        <v>0.0</v>
      </c>
      <c r="C740" s="3" t="s">
        <v>26</v>
      </c>
      <c r="D740" s="4" t="b">
        <f t="shared" si="1"/>
        <v>0</v>
      </c>
      <c r="E740" s="4" t="str">
        <f t="shared" si="2"/>
        <v>COMITE DE QUARTIER DE CAUDERAN - CQC</v>
      </c>
    </row>
    <row r="741">
      <c r="A741" s="3" t="s">
        <v>874</v>
      </c>
      <c r="B741" s="3">
        <v>1500.0</v>
      </c>
      <c r="C741" s="3" t="s">
        <v>3</v>
      </c>
      <c r="D741" s="4" t="b">
        <f t="shared" si="1"/>
        <v>0</v>
      </c>
      <c r="E741" s="4" t="str">
        <f t="shared" si="2"/>
        <v>COMITE DE QUARTIER MARECHAUX/POINCARE</v>
      </c>
    </row>
    <row r="742">
      <c r="A742" s="3" t="s">
        <v>875</v>
      </c>
      <c r="B742" s="3">
        <v>0.0</v>
      </c>
      <c r="C742" s="3" t="s">
        <v>6</v>
      </c>
      <c r="D742" s="4" t="b">
        <f t="shared" si="1"/>
        <v>0</v>
      </c>
      <c r="E742" s="4" t="str">
        <f t="shared" si="2"/>
        <v>COMITE DEPARTEMENTAL DE CYCLISME</v>
      </c>
    </row>
    <row r="743">
      <c r="A743" s="3" t="s">
        <v>876</v>
      </c>
      <c r="B743" s="3">
        <v>750.0</v>
      </c>
      <c r="C743" s="4"/>
      <c r="D743" s="4" t="b">
        <f t="shared" si="1"/>
        <v>0</v>
      </c>
      <c r="E743" s="4" t="str">
        <f t="shared" si="2"/>
        <v>COMITE DEPARTEMENTAL DE L'ASSOCIATION DE DEFENSE DES MALADES INVALIDES ET HANDICAPES</v>
      </c>
    </row>
    <row r="744">
      <c r="A744" s="3" t="s">
        <v>877</v>
      </c>
      <c r="B744" s="4"/>
      <c r="C744" s="4"/>
      <c r="D744" s="4" t="b">
        <f t="shared" si="1"/>
        <v>1</v>
      </c>
      <c r="E744" s="4" t="str">
        <f t="shared" si="2"/>
        <v>MALADES INVALIDES ET HANDICAPES</v>
      </c>
    </row>
    <row r="745">
      <c r="A745" s="3" t="s">
        <v>878</v>
      </c>
      <c r="B745" s="3">
        <v>0.0</v>
      </c>
      <c r="C745" s="3" t="s">
        <v>29</v>
      </c>
      <c r="D745" s="4" t="b">
        <f t="shared" si="1"/>
        <v>0</v>
      </c>
      <c r="E745" s="4" t="str">
        <f t="shared" si="2"/>
        <v>COMITE DEPARTEMENTAL DE L'UNION FRANÇAISE DES OEUVRES LAIQUES D'EDUCATION PHYSIQUE - UFOLEP</v>
      </c>
    </row>
    <row r="746">
      <c r="A746" s="3" t="s">
        <v>879</v>
      </c>
      <c r="B746" s="4"/>
      <c r="C746" s="4"/>
      <c r="D746" s="4" t="b">
        <f t="shared" si="1"/>
        <v>1</v>
      </c>
      <c r="E746" s="4" t="str">
        <f t="shared" si="2"/>
        <v>LAIQUES D'EDUCATION PHYSIQUE - UFOLEP</v>
      </c>
    </row>
    <row r="747">
      <c r="A747" s="3" t="s">
        <v>880</v>
      </c>
      <c r="B747" s="3">
        <v>0.0</v>
      </c>
      <c r="C747" s="3" t="s">
        <v>29</v>
      </c>
      <c r="D747" s="4" t="b">
        <f t="shared" si="1"/>
        <v>0</v>
      </c>
      <c r="E747" s="4" t="str">
        <f t="shared" si="2"/>
        <v>COMITE DEPARTEMENTAL DE L'UNION SPORTIVE DE L'ENSEIGNEMENT DU PREMIER DEGRE DE LA GIRONDE - USEP 33</v>
      </c>
    </row>
    <row r="748">
      <c r="A748" s="3" t="s">
        <v>881</v>
      </c>
      <c r="B748" s="4"/>
      <c r="C748" s="4"/>
      <c r="D748" s="4" t="b">
        <f t="shared" si="1"/>
        <v>1</v>
      </c>
      <c r="E748" s="4" t="str">
        <f t="shared" si="2"/>
        <v>L'ENSEIGNEMENT DU PREMIER DEGRE DE LA GIRONDE - USEP 33</v>
      </c>
    </row>
    <row r="749">
      <c r="A749" s="3" t="s">
        <v>882</v>
      </c>
      <c r="B749" s="3">
        <v>0.0</v>
      </c>
      <c r="C749" s="3" t="s">
        <v>6</v>
      </c>
      <c r="D749" s="4" t="b">
        <f t="shared" si="1"/>
        <v>0</v>
      </c>
      <c r="E749" s="4" t="str">
        <f t="shared" si="2"/>
        <v>COMITE DEPARTEMENTAL DE NATATION DE LA GIRONDE</v>
      </c>
    </row>
    <row r="750">
      <c r="A750" s="3" t="s">
        <v>883</v>
      </c>
      <c r="B750" s="3">
        <v>0.0</v>
      </c>
      <c r="C750" s="3" t="s">
        <v>29</v>
      </c>
      <c r="D750" s="4" t="b">
        <f t="shared" si="1"/>
        <v>0</v>
      </c>
      <c r="E750" s="4" t="str">
        <f t="shared" si="2"/>
        <v>COMITE DEPARTEMENTAL DU SPORT ADAPTE DE LA GIRONDE (CDSA 33)</v>
      </c>
    </row>
    <row r="751">
      <c r="A751" s="3" t="s">
        <v>884</v>
      </c>
      <c r="B751" s="4"/>
      <c r="C751" s="4"/>
      <c r="D751" s="4" t="b">
        <f t="shared" si="1"/>
        <v>1</v>
      </c>
      <c r="E751" s="4" t="str">
        <f t="shared" si="2"/>
        <v>(CDSA 33)</v>
      </c>
    </row>
    <row r="752">
      <c r="A752" s="3" t="s">
        <v>885</v>
      </c>
      <c r="B752" s="3">
        <v>1000.0</v>
      </c>
      <c r="C752" s="3" t="s">
        <v>6</v>
      </c>
      <c r="D752" s="4" t="b">
        <f t="shared" si="1"/>
        <v>0</v>
      </c>
      <c r="E752" s="4" t="str">
        <f t="shared" si="2"/>
        <v>COMITE DEPARTEMENTAL OLYMPIQUE ET SPORTIF DE LA GIRONDE</v>
      </c>
    </row>
    <row r="753">
      <c r="A753" s="3" t="s">
        <v>886</v>
      </c>
      <c r="B753" s="3">
        <v>1000.0</v>
      </c>
      <c r="C753" s="3" t="s">
        <v>32</v>
      </c>
      <c r="D753" s="4" t="b">
        <f t="shared" si="1"/>
        <v>0</v>
      </c>
      <c r="E753" s="4" t="str">
        <f t="shared" si="2"/>
        <v>COMITE DES FETES DE BACALAN, BLANQUI ET CLAVEAU</v>
      </c>
    </row>
    <row r="754">
      <c r="A754" s="3" t="s">
        <v>887</v>
      </c>
      <c r="B754" s="3">
        <v>500.0</v>
      </c>
      <c r="C754" s="4"/>
      <c r="D754" s="4" t="b">
        <f t="shared" si="1"/>
        <v>0</v>
      </c>
      <c r="E754" s="4" t="str">
        <f t="shared" si="2"/>
        <v>COMITE DES FETES DE BIENFAISANCE ET DES INTERETS DE ST-GENES TALENCE BORDEAUX</v>
      </c>
    </row>
    <row r="755">
      <c r="A755" s="3" t="s">
        <v>888</v>
      </c>
      <c r="B755" s="4"/>
      <c r="C755" s="4"/>
      <c r="D755" s="4" t="b">
        <f t="shared" si="1"/>
        <v>1</v>
      </c>
      <c r="E755" s="4" t="str">
        <f t="shared" si="2"/>
        <v>ST-GENES TALENCE BORDEAUX</v>
      </c>
    </row>
    <row r="756">
      <c r="A756" s="3" t="s">
        <v>889</v>
      </c>
      <c r="B756" s="3">
        <v>1600.0</v>
      </c>
      <c r="C756" s="4"/>
      <c r="D756" s="4" t="b">
        <f t="shared" si="1"/>
        <v>0</v>
      </c>
      <c r="E756" s="4" t="str">
        <f t="shared" si="2"/>
        <v>COMITE DES FETES ET DE BIENFAIS. DU QUARTIER NANSOUTY</v>
      </c>
    </row>
    <row r="757">
      <c r="A757" s="3" t="s">
        <v>890</v>
      </c>
      <c r="B757" s="3">
        <v>1000.0</v>
      </c>
      <c r="C757" s="3" t="s">
        <v>6</v>
      </c>
      <c r="D757" s="4" t="b">
        <f t="shared" si="1"/>
        <v>0</v>
      </c>
      <c r="E757" s="4" t="str">
        <f t="shared" si="2"/>
        <v>COMITE FEMININ GIRONDE POUR LA PREVENTION ET LE DEPISTAGE DES CANCERS</v>
      </c>
    </row>
    <row r="758">
      <c r="A758" s="3" t="s">
        <v>891</v>
      </c>
      <c r="B758" s="4"/>
      <c r="C758" s="4"/>
      <c r="D758" s="4" t="b">
        <f t="shared" si="1"/>
        <v>1</v>
      </c>
      <c r="E758" s="4" t="str">
        <f t="shared" si="2"/>
        <v>DES CANCERS</v>
      </c>
    </row>
    <row r="759">
      <c r="A759" s="3" t="s">
        <v>892</v>
      </c>
      <c r="B759" s="3">
        <v>1300.0</v>
      </c>
      <c r="C759" s="4"/>
      <c r="D759" s="4" t="b">
        <f t="shared" si="1"/>
        <v>0</v>
      </c>
      <c r="E759" s="4" t="str">
        <f t="shared" si="2"/>
        <v>COMITE GIRONDIN D'ORGANISATION DU CONCOURS UN DES MEILLEURS OUVRIERS DE FRANCE</v>
      </c>
    </row>
    <row r="760">
      <c r="A760" s="3" t="s">
        <v>893</v>
      </c>
      <c r="B760" s="4"/>
      <c r="C760" s="4"/>
      <c r="D760" s="4" t="b">
        <f t="shared" si="1"/>
        <v>1</v>
      </c>
      <c r="E760" s="4" t="str">
        <f t="shared" si="2"/>
        <v>MEILLEURS OUVRIERS DE FRANCE</v>
      </c>
    </row>
    <row r="761">
      <c r="A761" s="3" t="s">
        <v>894</v>
      </c>
      <c r="B761" s="3">
        <v>0.0</v>
      </c>
      <c r="C761" s="3" t="s">
        <v>6</v>
      </c>
      <c r="D761" s="4" t="b">
        <f t="shared" si="1"/>
        <v>0</v>
      </c>
      <c r="E761" s="4" t="str">
        <f t="shared" si="2"/>
        <v>COMITE GIRONDIN DE COURSE D'ORIENTATION</v>
      </c>
    </row>
    <row r="762">
      <c r="A762" s="3" t="s">
        <v>895</v>
      </c>
      <c r="B762" s="3">
        <v>0.0</v>
      </c>
      <c r="C762" s="3" t="s">
        <v>3</v>
      </c>
      <c r="D762" s="4" t="b">
        <f t="shared" si="1"/>
        <v>0</v>
      </c>
      <c r="E762" s="4" t="str">
        <f t="shared" si="2"/>
        <v>COMITE MIRABEAU BORDELAIS 2017</v>
      </c>
    </row>
    <row r="763">
      <c r="A763" s="3" t="s">
        <v>896</v>
      </c>
      <c r="B763" s="3">
        <v>0.0</v>
      </c>
      <c r="C763" s="3" t="s">
        <v>32</v>
      </c>
      <c r="D763" s="4" t="b">
        <f t="shared" si="1"/>
        <v>0</v>
      </c>
      <c r="E763" s="4" t="str">
        <f t="shared" si="2"/>
        <v>COMITE PALESTINE 33</v>
      </c>
    </row>
    <row r="764">
      <c r="A764" s="3" t="s">
        <v>897</v>
      </c>
      <c r="B764" s="3">
        <v>0.0</v>
      </c>
      <c r="C764" s="3" t="s">
        <v>3</v>
      </c>
      <c r="D764" s="4" t="b">
        <f t="shared" si="1"/>
        <v>0</v>
      </c>
      <c r="E764" s="4" t="str">
        <f t="shared" si="2"/>
        <v>COMITE REGIONAL DES ASSOCIATIONS DE JEUNESSE ET D'EDUCATION POPULAIRE AQUITAINE (CRAJEP AQUITAINE)</v>
      </c>
    </row>
    <row r="765">
      <c r="A765" s="3" t="s">
        <v>898</v>
      </c>
      <c r="B765" s="4"/>
      <c r="C765" s="4"/>
      <c r="D765" s="4" t="b">
        <f t="shared" si="1"/>
        <v>1</v>
      </c>
      <c r="E765" s="4" t="str">
        <f t="shared" si="2"/>
        <v>D'EDUCATION POPULAIRE AQUITAINE (CRAJEP AQUITAINE)</v>
      </c>
    </row>
    <row r="766">
      <c r="A766" s="3" t="s">
        <v>899</v>
      </c>
      <c r="B766" s="3">
        <v>0.0</v>
      </c>
      <c r="C766" s="3" t="s">
        <v>3</v>
      </c>
      <c r="D766" s="4" t="b">
        <f t="shared" si="1"/>
        <v>0</v>
      </c>
      <c r="E766" s="4" t="str">
        <f t="shared" si="2"/>
        <v>COMITE REGIONAL HANDISPORT D'AQUITAINE</v>
      </c>
    </row>
    <row r="767">
      <c r="A767" s="3" t="s">
        <v>900</v>
      </c>
      <c r="B767" s="3">
        <v>8000.0</v>
      </c>
      <c r="C767" s="4"/>
      <c r="D767" s="4" t="b">
        <f t="shared" si="1"/>
        <v>0</v>
      </c>
      <c r="E767" s="4" t="str">
        <f t="shared" si="2"/>
        <v>COMITE REGIONAL UFOLEP AQUITAINE</v>
      </c>
    </row>
    <row r="768">
      <c r="A768" s="3" t="s">
        <v>901</v>
      </c>
      <c r="B768" s="3">
        <v>0.0</v>
      </c>
      <c r="C768" s="3" t="s">
        <v>32</v>
      </c>
      <c r="D768" s="4" t="b">
        <f t="shared" si="1"/>
        <v>0</v>
      </c>
      <c r="E768" s="4" t="str">
        <f t="shared" si="2"/>
        <v>COMITE REPRESENTATIF DES IDENTITES SOURDES</v>
      </c>
    </row>
    <row r="769">
      <c r="A769" s="3" t="s">
        <v>902</v>
      </c>
      <c r="B769" s="3">
        <v>0.0</v>
      </c>
      <c r="C769" s="3" t="s">
        <v>6</v>
      </c>
      <c r="D769" s="4" t="b">
        <f t="shared" si="1"/>
        <v>0</v>
      </c>
      <c r="E769" s="4" t="str">
        <f t="shared" si="2"/>
        <v>COMMANDERIE DU BONTEMPS MEDOC ET GRAVES - SAUTERNES ET BARSAC</v>
      </c>
    </row>
    <row r="770">
      <c r="A770" s="3" t="s">
        <v>903</v>
      </c>
      <c r="B770" s="4"/>
      <c r="C770" s="4"/>
      <c r="D770" s="4" t="b">
        <f t="shared" si="1"/>
        <v>1</v>
      </c>
      <c r="E770" s="4" t="str">
        <f t="shared" si="2"/>
        <v>BARSAC</v>
      </c>
    </row>
    <row r="771">
      <c r="A771" s="3" t="s">
        <v>904</v>
      </c>
      <c r="B771" s="3">
        <v>2635.0</v>
      </c>
      <c r="C771" s="4"/>
      <c r="D771" s="4" t="b">
        <f t="shared" si="1"/>
        <v>0</v>
      </c>
      <c r="E771" s="4" t="str">
        <f t="shared" si="2"/>
        <v>COMMERCANTS DE LA RUE DU TEMPLE</v>
      </c>
    </row>
    <row r="772">
      <c r="A772" s="3" t="s">
        <v>906</v>
      </c>
      <c r="B772" s="3">
        <v>3917.0</v>
      </c>
      <c r="C772" s="4"/>
      <c r="D772" s="4" t="b">
        <f t="shared" si="1"/>
        <v>0</v>
      </c>
      <c r="E772" s="4" t="str">
        <f t="shared" si="2"/>
        <v>COMMERCANTS DU VILLAGE NANSOUTY</v>
      </c>
    </row>
    <row r="773">
      <c r="A773" s="3" t="s">
        <v>908</v>
      </c>
      <c r="B773" s="3">
        <v>1728.0</v>
      </c>
      <c r="C773" s="4"/>
      <c r="D773" s="4" t="b">
        <f t="shared" si="1"/>
        <v>0</v>
      </c>
      <c r="E773" s="4" t="str">
        <f t="shared" si="2"/>
        <v>COMMERCANTS, DES RIVERAINS ET SYMPATISANTS DU QUARTIER GAMBETTA</v>
      </c>
    </row>
    <row r="774">
      <c r="A774" s="3" t="s">
        <v>910</v>
      </c>
      <c r="B774" s="4"/>
      <c r="C774" s="4"/>
      <c r="D774" s="4" t="b">
        <f t="shared" si="1"/>
        <v>1</v>
      </c>
      <c r="E774" s="4" t="str">
        <f t="shared" si="2"/>
        <v>GAMBETTA</v>
      </c>
    </row>
    <row r="775">
      <c r="A775" s="3" t="s">
        <v>911</v>
      </c>
      <c r="B775" s="3">
        <v>0.0</v>
      </c>
      <c r="C775" s="3" t="s">
        <v>3</v>
      </c>
      <c r="D775" s="4" t="b">
        <f t="shared" si="1"/>
        <v>0</v>
      </c>
      <c r="E775" s="4" t="str">
        <f t="shared" si="2"/>
        <v>COMMUNAUTE CAMEROUNAISE DE BORDEAUX (CCB)</v>
      </c>
    </row>
    <row r="776">
      <c r="A776" s="3" t="s">
        <v>912</v>
      </c>
      <c r="B776" s="3">
        <v>0.0</v>
      </c>
      <c r="C776" s="3" t="s">
        <v>3</v>
      </c>
      <c r="D776" s="4" t="b">
        <f t="shared" si="1"/>
        <v>0</v>
      </c>
      <c r="E776" s="4" t="str">
        <f t="shared" si="2"/>
        <v>COMMUNIC'ARTE</v>
      </c>
    </row>
    <row r="777">
      <c r="A777" s="3" t="s">
        <v>913</v>
      </c>
      <c r="B777" s="3">
        <v>3000.0</v>
      </c>
      <c r="C777" s="4"/>
      <c r="D777" s="4" t="b">
        <f t="shared" si="1"/>
        <v>0</v>
      </c>
      <c r="E777" s="4" t="str">
        <f t="shared" si="2"/>
        <v>COMPAGNIE BIVOUAC</v>
      </c>
    </row>
    <row r="778">
      <c r="A778" s="3" t="s">
        <v>914</v>
      </c>
      <c r="B778" s="3">
        <v>3500.0</v>
      </c>
      <c r="C778" s="4"/>
      <c r="D778" s="4" t="b">
        <f t="shared" si="1"/>
        <v>0</v>
      </c>
      <c r="E778" s="4" t="str">
        <f t="shared" si="2"/>
        <v>COMPAGNIE DES LIMBES</v>
      </c>
    </row>
    <row r="779">
      <c r="A779" s="3" t="s">
        <v>915</v>
      </c>
      <c r="B779" s="3">
        <v>8000.0</v>
      </c>
      <c r="C779" s="4"/>
      <c r="D779" s="4" t="b">
        <f t="shared" si="1"/>
        <v>0</v>
      </c>
      <c r="E779" s="4" t="str">
        <f t="shared" si="2"/>
        <v>COMPAGNIE DES LUBIES</v>
      </c>
    </row>
    <row r="780">
      <c r="A780" s="3" t="s">
        <v>916</v>
      </c>
      <c r="B780" s="3">
        <v>41500.0</v>
      </c>
      <c r="C780" s="3" t="s">
        <v>280</v>
      </c>
      <c r="D780" s="4" t="b">
        <f t="shared" si="1"/>
        <v>0</v>
      </c>
      <c r="E780" s="4" t="str">
        <f t="shared" si="2"/>
        <v>COMPAGNIE DES MARCHES DE L'ETE</v>
      </c>
    </row>
    <row r="781">
      <c r="A781" s="3" t="s">
        <v>918</v>
      </c>
      <c r="B781" s="3">
        <v>0.0</v>
      </c>
      <c r="C781" s="3" t="s">
        <v>32</v>
      </c>
      <c r="D781" s="4" t="b">
        <f t="shared" si="1"/>
        <v>0</v>
      </c>
      <c r="E781" s="4" t="str">
        <f t="shared" si="2"/>
        <v>COMPAGNIE DONC Y CHOCS</v>
      </c>
    </row>
    <row r="782">
      <c r="A782" s="3" t="s">
        <v>919</v>
      </c>
      <c r="B782" s="3">
        <v>0.0</v>
      </c>
      <c r="C782" s="3" t="s">
        <v>3</v>
      </c>
      <c r="D782" s="4" t="b">
        <f t="shared" si="1"/>
        <v>0</v>
      </c>
      <c r="E782" s="4" t="str">
        <f t="shared" si="2"/>
        <v>COMPAGNIE ELVIRE 40</v>
      </c>
    </row>
    <row r="783">
      <c r="A783" s="3" t="s">
        <v>920</v>
      </c>
      <c r="B783" s="3">
        <v>0.0</v>
      </c>
      <c r="C783" s="3" t="s">
        <v>3</v>
      </c>
      <c r="D783" s="4" t="b">
        <f t="shared" si="1"/>
        <v>0</v>
      </c>
      <c r="E783" s="4" t="str">
        <f t="shared" si="2"/>
        <v>COMPAGNIE EN APARTE</v>
      </c>
    </row>
    <row r="784">
      <c r="A784" s="3" t="s">
        <v>921</v>
      </c>
      <c r="B784" s="3">
        <v>6000.0</v>
      </c>
      <c r="C784" s="4"/>
      <c r="D784" s="4" t="b">
        <f t="shared" si="1"/>
        <v>0</v>
      </c>
      <c r="E784" s="4" t="str">
        <f t="shared" si="2"/>
        <v>COMPAGNIE FOND VERT</v>
      </c>
    </row>
    <row r="785">
      <c r="A785" s="3" t="s">
        <v>922</v>
      </c>
      <c r="B785" s="3">
        <v>5000.0</v>
      </c>
      <c r="C785" s="4"/>
      <c r="D785" s="4" t="b">
        <f t="shared" si="1"/>
        <v>0</v>
      </c>
      <c r="E785" s="4" t="str">
        <f t="shared" si="2"/>
        <v>COMPAGNIE HORS SÉRIE</v>
      </c>
    </row>
    <row r="786">
      <c r="A786" s="3" t="s">
        <v>923</v>
      </c>
      <c r="B786" s="3">
        <v>3000.0</v>
      </c>
      <c r="C786" s="4"/>
      <c r="D786" s="4" t="b">
        <f t="shared" si="1"/>
        <v>0</v>
      </c>
      <c r="E786" s="4" t="str">
        <f t="shared" si="2"/>
        <v>COMPAGNIE ILLICITE FABIO LOPEZ</v>
      </c>
    </row>
    <row r="787">
      <c r="A787" s="3" t="s">
        <v>924</v>
      </c>
      <c r="B787" s="3">
        <v>0.0</v>
      </c>
      <c r="C787" s="3" t="s">
        <v>3</v>
      </c>
      <c r="D787" s="4" t="b">
        <f t="shared" si="1"/>
        <v>0</v>
      </c>
      <c r="E787" s="4" t="str">
        <f t="shared" si="2"/>
        <v>COMPAGNIE INDIRA</v>
      </c>
    </row>
    <row r="788">
      <c r="A788" s="3" t="s">
        <v>925</v>
      </c>
      <c r="B788" s="3">
        <v>2000.0</v>
      </c>
      <c r="C788" s="4"/>
      <c r="D788" s="4" t="b">
        <f t="shared" si="1"/>
        <v>0</v>
      </c>
      <c r="E788" s="4" t="str">
        <f t="shared" si="2"/>
        <v>COMPAGNIE JEANNE SIMONE</v>
      </c>
    </row>
    <row r="789">
      <c r="A789" s="3" t="s">
        <v>926</v>
      </c>
      <c r="B789" s="3">
        <v>0.0</v>
      </c>
      <c r="C789" s="3" t="s">
        <v>3</v>
      </c>
      <c r="D789" s="4" t="b">
        <f t="shared" si="1"/>
        <v>0</v>
      </c>
      <c r="E789" s="4" t="str">
        <f t="shared" si="2"/>
        <v>COMPAGNIE JEUNE TALENT</v>
      </c>
    </row>
    <row r="790">
      <c r="A790" s="3" t="s">
        <v>927</v>
      </c>
      <c r="B790" s="3">
        <v>6000.0</v>
      </c>
      <c r="C790" s="4"/>
      <c r="D790" s="4" t="b">
        <f t="shared" si="1"/>
        <v>0</v>
      </c>
      <c r="E790" s="4" t="str">
        <f t="shared" si="2"/>
        <v>COMPAGNIE LE GRAIN</v>
      </c>
    </row>
    <row r="791">
      <c r="A791" s="3" t="s">
        <v>928</v>
      </c>
      <c r="B791" s="3">
        <v>0.0</v>
      </c>
      <c r="C791" s="3" t="s">
        <v>32</v>
      </c>
      <c r="D791" s="4" t="b">
        <f t="shared" si="1"/>
        <v>0</v>
      </c>
      <c r="E791" s="4" t="str">
        <f t="shared" si="2"/>
        <v>COMPAGNIE LEITMOTIV</v>
      </c>
    </row>
    <row r="792">
      <c r="A792" s="3" t="s">
        <v>929</v>
      </c>
      <c r="B792" s="3">
        <v>17500.0</v>
      </c>
      <c r="C792" s="4"/>
      <c r="D792" s="4" t="b">
        <f t="shared" si="1"/>
        <v>0</v>
      </c>
      <c r="E792" s="4" t="str">
        <f t="shared" si="2"/>
        <v>COMPAGNIE PAUL LES OISEAUX</v>
      </c>
    </row>
    <row r="793">
      <c r="A793" s="3" t="s">
        <v>931</v>
      </c>
      <c r="B793" s="3">
        <v>11380.0</v>
      </c>
      <c r="C793" s="3" t="s">
        <v>3</v>
      </c>
      <c r="D793" s="4" t="b">
        <f t="shared" si="1"/>
        <v>0</v>
      </c>
      <c r="E793" s="4" t="str">
        <f t="shared" si="2"/>
        <v>COMPAGNIE PRESENCE MICHEL CAHUZAC</v>
      </c>
    </row>
    <row r="794">
      <c r="A794" s="3" t="s">
        <v>933</v>
      </c>
      <c r="B794" s="3">
        <v>3000.0</v>
      </c>
      <c r="C794" s="4"/>
      <c r="D794" s="4" t="b">
        <f t="shared" si="1"/>
        <v>0</v>
      </c>
      <c r="E794" s="4" t="str">
        <f t="shared" si="2"/>
        <v>COMPAGNIE REG'ART</v>
      </c>
    </row>
    <row r="795">
      <c r="A795" s="3" t="s">
        <v>934</v>
      </c>
      <c r="B795" s="3">
        <v>0.0</v>
      </c>
      <c r="C795" s="3" t="s">
        <v>3</v>
      </c>
      <c r="D795" s="4" t="b">
        <f t="shared" si="1"/>
        <v>0</v>
      </c>
      <c r="E795" s="4" t="str">
        <f t="shared" si="2"/>
        <v>COMPAGNIE REVOLUTION</v>
      </c>
    </row>
    <row r="796">
      <c r="A796" s="3" t="s">
        <v>935</v>
      </c>
      <c r="B796" s="3">
        <v>23000.0</v>
      </c>
      <c r="C796" s="4"/>
      <c r="D796" s="4" t="b">
        <f t="shared" si="1"/>
        <v>0</v>
      </c>
      <c r="E796" s="4" t="str">
        <f t="shared" si="2"/>
        <v>COMPAGNIE REVOLUTION DANCE</v>
      </c>
    </row>
    <row r="797">
      <c r="A797" s="3" t="s">
        <v>937</v>
      </c>
      <c r="B797" s="3">
        <v>17000.0</v>
      </c>
      <c r="C797" s="4"/>
      <c r="D797" s="4" t="b">
        <f t="shared" si="1"/>
        <v>0</v>
      </c>
      <c r="E797" s="4" t="str">
        <f t="shared" si="2"/>
        <v>COMPAGNIE THEATRE L'OEIL DE LA LUCARNE</v>
      </c>
    </row>
    <row r="798">
      <c r="A798" s="3" t="s">
        <v>939</v>
      </c>
      <c r="B798" s="3">
        <v>16000.0</v>
      </c>
      <c r="C798" s="4"/>
      <c r="D798" s="4" t="b">
        <f t="shared" si="1"/>
        <v>0</v>
      </c>
      <c r="E798" s="4" t="str">
        <f t="shared" si="2"/>
        <v>COMPAGNONS BATISSEURS AQUITAINE</v>
      </c>
    </row>
    <row r="799">
      <c r="A799" s="3" t="s">
        <v>941</v>
      </c>
      <c r="B799" s="3">
        <v>2100.0</v>
      </c>
      <c r="C799" s="4"/>
      <c r="D799" s="4" t="b">
        <f t="shared" si="1"/>
        <v>0</v>
      </c>
      <c r="E799" s="4" t="str">
        <f t="shared" si="2"/>
        <v>COMPAGNONS DU TOUR FRANCE DES DEVOIRS UNIS</v>
      </c>
    </row>
    <row r="800">
      <c r="A800" s="3" t="s">
        <v>943</v>
      </c>
      <c r="B800" s="3">
        <v>0.0</v>
      </c>
      <c r="C800" s="3" t="s">
        <v>3</v>
      </c>
      <c r="D800" s="4" t="b">
        <f t="shared" si="1"/>
        <v>0</v>
      </c>
      <c r="E800" s="4" t="str">
        <f t="shared" si="2"/>
        <v>COMPETENCES EN TEMPS PARTAGE GUYENNE - CTP GUYENNE</v>
      </c>
    </row>
    <row r="801">
      <c r="A801" s="3" t="s">
        <v>944</v>
      </c>
      <c r="B801" s="3">
        <v>0.0</v>
      </c>
      <c r="C801" s="3" t="s">
        <v>3</v>
      </c>
      <c r="D801" s="4" t="b">
        <f t="shared" si="1"/>
        <v>0</v>
      </c>
      <c r="E801" s="4" t="str">
        <f t="shared" si="2"/>
        <v>COMPTOIR DE LA CULTURE BRESILIENNE</v>
      </c>
    </row>
    <row r="802">
      <c r="A802" s="3" t="s">
        <v>945</v>
      </c>
      <c r="B802" s="3">
        <v>40000.0</v>
      </c>
      <c r="C802" s="3" t="s">
        <v>216</v>
      </c>
      <c r="D802" s="4" t="b">
        <f t="shared" si="1"/>
        <v>0</v>
      </c>
      <c r="E802" s="4" t="str">
        <f t="shared" si="2"/>
        <v>CONGRES ET EXPOSITIONS DE BORDEAUX</v>
      </c>
    </row>
    <row r="803">
      <c r="A803" s="3" t="s">
        <v>947</v>
      </c>
      <c r="B803" s="3">
        <v>0.0</v>
      </c>
      <c r="C803" s="3" t="s">
        <v>29</v>
      </c>
      <c r="D803" s="4" t="b">
        <f t="shared" si="1"/>
        <v>0</v>
      </c>
      <c r="E803" s="4" t="str">
        <f t="shared" si="2"/>
        <v>CONSEIL DEPARTEMENTAL DE LA GIRONDE</v>
      </c>
    </row>
    <row r="804">
      <c r="A804" s="3" t="s">
        <v>948</v>
      </c>
      <c r="B804" s="3">
        <v>15000.0</v>
      </c>
      <c r="C804" s="3" t="s">
        <v>3</v>
      </c>
      <c r="D804" s="4" t="b">
        <f t="shared" si="1"/>
        <v>0</v>
      </c>
      <c r="E804" s="4" t="str">
        <f t="shared" si="2"/>
        <v>CONSEIL DEPARTEMENTAL DES ASSOCIATIONS FAMILIALES LAIQUES DE LA GIRONDE - CDAFAL 33</v>
      </c>
    </row>
    <row r="805">
      <c r="A805" s="3" t="s">
        <v>949</v>
      </c>
      <c r="B805" s="4"/>
      <c r="C805" s="4"/>
      <c r="D805" s="4" t="b">
        <f t="shared" si="1"/>
        <v>1</v>
      </c>
      <c r="E805" s="4" t="str">
        <f t="shared" si="2"/>
        <v>LAIQUES DE LA GIRONDE - CDAFAL 33</v>
      </c>
    </row>
    <row r="806">
      <c r="A806" s="3" t="s">
        <v>950</v>
      </c>
      <c r="B806" s="3">
        <v>500.0</v>
      </c>
      <c r="C806" s="3" t="s">
        <v>3</v>
      </c>
      <c r="D806" s="4" t="b">
        <f t="shared" si="1"/>
        <v>0</v>
      </c>
      <c r="E806" s="4" t="str">
        <f t="shared" si="2"/>
        <v>CONSEIL DEPARTEMENTAL DES PARENTS D'ELEVES DES ECOLES PUBLIQUES DE LA GIRONDE</v>
      </c>
    </row>
    <row r="807">
      <c r="A807" s="3" t="s">
        <v>951</v>
      </c>
      <c r="B807" s="4"/>
      <c r="C807" s="4"/>
      <c r="D807" s="4" t="b">
        <f t="shared" si="1"/>
        <v>1</v>
      </c>
      <c r="E807" s="4" t="str">
        <f t="shared" si="2"/>
        <v>PUBLIQUES DE LA GIRONDE</v>
      </c>
    </row>
    <row r="808">
      <c r="A808" s="3" t="s">
        <v>952</v>
      </c>
      <c r="B808" s="3">
        <v>1000.0</v>
      </c>
      <c r="C808" s="4"/>
      <c r="D808" s="4" t="b">
        <f t="shared" si="1"/>
        <v>0</v>
      </c>
      <c r="E808" s="4" t="str">
        <f t="shared" si="2"/>
        <v>CONSERVATOIRE DE LA LANGUE RUSSE ET DE SES FETES TRADITIONNELLES</v>
      </c>
    </row>
    <row r="809">
      <c r="A809" s="3" t="s">
        <v>953</v>
      </c>
      <c r="B809" s="4"/>
      <c r="C809" s="4"/>
      <c r="D809" s="4" t="b">
        <f t="shared" si="1"/>
        <v>1</v>
      </c>
      <c r="E809" s="4" t="str">
        <f t="shared" si="2"/>
        <v>TRADITIONNELLES</v>
      </c>
    </row>
    <row r="810">
      <c r="A810" s="3" t="s">
        <v>954</v>
      </c>
      <c r="B810" s="3">
        <v>1400.0</v>
      </c>
      <c r="C810" s="4"/>
      <c r="D810" s="4" t="b">
        <f t="shared" si="1"/>
        <v>0</v>
      </c>
      <c r="E810" s="4" t="str">
        <f t="shared" si="2"/>
        <v>CONTACT AQUITAINE</v>
      </c>
    </row>
    <row r="811">
      <c r="A811" s="3" t="s">
        <v>956</v>
      </c>
      <c r="B811" s="3">
        <v>10730.0</v>
      </c>
      <c r="C811" s="4"/>
      <c r="D811" s="4" t="b">
        <f t="shared" si="1"/>
        <v>0</v>
      </c>
      <c r="E811" s="4" t="str">
        <f t="shared" si="2"/>
        <v>CONTRÔLE Z AQUITAINE</v>
      </c>
    </row>
    <row r="812">
      <c r="A812" s="3" t="s">
        <v>958</v>
      </c>
      <c r="B812" s="3">
        <v>0.0</v>
      </c>
      <c r="C812" s="3" t="s">
        <v>3</v>
      </c>
      <c r="D812" s="4" t="b">
        <f t="shared" si="1"/>
        <v>0</v>
      </c>
      <c r="E812" s="4" t="str">
        <f t="shared" si="2"/>
        <v>CONVENTION DE LA DIASPORA GABONAISE</v>
      </c>
    </row>
    <row r="813">
      <c r="A813" s="3" t="s">
        <v>959</v>
      </c>
      <c r="B813" s="3">
        <v>1500.0</v>
      </c>
      <c r="C813" s="4"/>
      <c r="D813" s="4" t="b">
        <f t="shared" si="1"/>
        <v>0</v>
      </c>
      <c r="E813" s="4" t="str">
        <f t="shared" si="2"/>
        <v>COOP ALPHA COOPERATIVE D'ACTIVITES ET D'EMPLOI 33</v>
      </c>
    </row>
    <row r="814">
      <c r="A814" s="3" t="s">
        <v>960</v>
      </c>
      <c r="B814" s="3">
        <v>0.0</v>
      </c>
      <c r="C814" s="3" t="s">
        <v>3</v>
      </c>
      <c r="D814" s="4" t="b">
        <f t="shared" si="1"/>
        <v>0</v>
      </c>
      <c r="E814" s="4" t="str">
        <f t="shared" si="2"/>
        <v>COORDINATION POUR PROMOUVOIR LES COMPETENCES ET LE VOLONTARIAT AQUITAINE - CPCV AQUITAINE</v>
      </c>
    </row>
    <row r="815">
      <c r="A815" s="3" t="s">
        <v>961</v>
      </c>
      <c r="B815" s="4"/>
      <c r="C815" s="4"/>
      <c r="D815" s="4" t="b">
        <f t="shared" si="1"/>
        <v>1</v>
      </c>
      <c r="E815" s="4" t="str">
        <f t="shared" si="2"/>
        <v>VOLONTARIAT AQUITAINE - CPCV AQUITAINE</v>
      </c>
    </row>
    <row r="816">
      <c r="A816" s="3" t="s">
        <v>962</v>
      </c>
      <c r="B816" s="3">
        <v>2000.0</v>
      </c>
      <c r="C816" s="3" t="s">
        <v>6</v>
      </c>
      <c r="D816" s="4" t="b">
        <f t="shared" si="1"/>
        <v>0</v>
      </c>
      <c r="E816" s="4" t="str">
        <f t="shared" si="2"/>
        <v>CORP'ART FRANCE</v>
      </c>
    </row>
    <row r="817">
      <c r="A817" s="3" t="s">
        <v>963</v>
      </c>
      <c r="B817" s="3">
        <v>115000.0</v>
      </c>
      <c r="C817" s="3" t="s">
        <v>6</v>
      </c>
      <c r="D817" s="4" t="b">
        <f t="shared" si="1"/>
        <v>0</v>
      </c>
      <c r="E817" s="4" t="str">
        <f t="shared" si="2"/>
        <v>COS VILLA PIA - EHPAD LES DAMES DE LA FOI</v>
      </c>
    </row>
    <row r="818">
      <c r="A818" s="3" t="s">
        <v>964</v>
      </c>
      <c r="B818" s="3">
        <v>0.0</v>
      </c>
      <c r="C818" s="3" t="s">
        <v>3</v>
      </c>
      <c r="D818" s="4" t="b">
        <f t="shared" si="1"/>
        <v>0</v>
      </c>
      <c r="E818" s="4" t="str">
        <f t="shared" si="2"/>
        <v>COULEUR COREE</v>
      </c>
    </row>
    <row r="819">
      <c r="A819" s="3" t="s">
        <v>965</v>
      </c>
      <c r="B819" s="3">
        <v>11176.0</v>
      </c>
      <c r="C819" s="4"/>
      <c r="D819" s="4" t="b">
        <f t="shared" si="1"/>
        <v>0</v>
      </c>
      <c r="E819" s="4" t="str">
        <f t="shared" si="2"/>
        <v>COULEURS GARONNE</v>
      </c>
    </row>
    <row r="820">
      <c r="A820" s="3" t="s">
        <v>967</v>
      </c>
      <c r="B820" s="3">
        <v>1500.0</v>
      </c>
      <c r="C820" s="3" t="s">
        <v>32</v>
      </c>
      <c r="D820" s="4" t="b">
        <f t="shared" si="1"/>
        <v>0</v>
      </c>
      <c r="E820" s="4" t="str">
        <f t="shared" si="2"/>
        <v>COUP DE POUCE AVENIR</v>
      </c>
    </row>
    <row r="821">
      <c r="A821" s="3" t="s">
        <v>968</v>
      </c>
      <c r="B821" s="3">
        <v>1000.0</v>
      </c>
      <c r="C821" s="4"/>
      <c r="D821" s="4" t="b">
        <f t="shared" si="1"/>
        <v>0</v>
      </c>
      <c r="E821" s="4" t="str">
        <f t="shared" si="2"/>
        <v>CREAF</v>
      </c>
    </row>
    <row r="822">
      <c r="A822" s="3" t="s">
        <v>969</v>
      </c>
      <c r="B822" s="3">
        <v>0.0</v>
      </c>
      <c r="C822" s="3" t="s">
        <v>3</v>
      </c>
      <c r="D822" s="4" t="b">
        <f t="shared" si="1"/>
        <v>0</v>
      </c>
      <c r="E822" s="4" t="str">
        <f t="shared" si="2"/>
        <v>CREASSEMBLE</v>
      </c>
    </row>
    <row r="823">
      <c r="A823" s="3" t="s">
        <v>970</v>
      </c>
      <c r="B823" s="3">
        <v>0.0</v>
      </c>
      <c r="C823" s="3" t="s">
        <v>3</v>
      </c>
      <c r="D823" s="4" t="b">
        <f t="shared" si="1"/>
        <v>0</v>
      </c>
      <c r="E823" s="4" t="str">
        <f t="shared" si="2"/>
        <v>CRESUS GIRONDE</v>
      </c>
    </row>
    <row r="824">
      <c r="A824" s="3" t="s">
        <v>971</v>
      </c>
      <c r="B824" s="3">
        <v>0.0</v>
      </c>
      <c r="C824" s="3" t="s">
        <v>3</v>
      </c>
      <c r="D824" s="4" t="b">
        <f t="shared" si="1"/>
        <v>0</v>
      </c>
      <c r="E824" s="4" t="str">
        <f t="shared" si="2"/>
        <v>CRISTINAREY</v>
      </c>
    </row>
    <row r="825">
      <c r="A825" s="3" t="s">
        <v>972</v>
      </c>
      <c r="B825" s="3">
        <v>0.0</v>
      </c>
      <c r="C825" s="3" t="s">
        <v>32</v>
      </c>
      <c r="D825" s="4" t="b">
        <f t="shared" si="1"/>
        <v>0</v>
      </c>
      <c r="E825" s="4" t="str">
        <f t="shared" si="2"/>
        <v>CROISSANT FERTILE</v>
      </c>
    </row>
    <row r="826">
      <c r="A826" s="3" t="s">
        <v>973</v>
      </c>
      <c r="B826" s="3">
        <v>400.0</v>
      </c>
      <c r="C826" s="4"/>
      <c r="D826" s="4" t="b">
        <f t="shared" si="1"/>
        <v>0</v>
      </c>
      <c r="E826" s="4" t="str">
        <f t="shared" si="2"/>
        <v>CROIX DE GUERRE ET VALEUR MILITAIRE</v>
      </c>
    </row>
    <row r="827">
      <c r="A827" s="3" t="s">
        <v>974</v>
      </c>
      <c r="B827" s="3">
        <v>0.0</v>
      </c>
      <c r="C827" s="3" t="s">
        <v>3</v>
      </c>
      <c r="D827" s="4" t="b">
        <f t="shared" si="1"/>
        <v>0</v>
      </c>
      <c r="E827" s="4" t="str">
        <f t="shared" si="2"/>
        <v>CROIX ROUGE FRANÇAISE - DELEGATION LOCALE</v>
      </c>
    </row>
    <row r="828">
      <c r="A828" s="3" t="s">
        <v>975</v>
      </c>
      <c r="B828" s="3">
        <v>5000.0</v>
      </c>
      <c r="C828" s="4"/>
      <c r="D828" s="4" t="b">
        <f t="shared" si="1"/>
        <v>0</v>
      </c>
      <c r="E828" s="4" t="str">
        <f t="shared" si="2"/>
        <v>CROUS DE BORDEAUX (CENTRE REGIONAL DES OEUVRES UNIVERSITAIRES ET SCOLAIRES)</v>
      </c>
    </row>
    <row r="829">
      <c r="A829" s="3" t="s">
        <v>976</v>
      </c>
      <c r="B829" s="4"/>
      <c r="C829" s="4"/>
      <c r="D829" s="4" t="b">
        <f t="shared" si="1"/>
        <v>1</v>
      </c>
      <c r="E829" s="4" t="str">
        <f t="shared" si="2"/>
        <v>UNIVERSITAIRES ET SCOLAIRES)</v>
      </c>
    </row>
    <row r="830">
      <c r="A830" s="3" t="s">
        <v>977</v>
      </c>
      <c r="B830" s="3">
        <v>8000.0</v>
      </c>
      <c r="C830" s="4"/>
      <c r="D830" s="4" t="b">
        <f t="shared" si="1"/>
        <v>0</v>
      </c>
      <c r="E830" s="4" t="str">
        <f t="shared" si="2"/>
        <v>CRYPSUM</v>
      </c>
    </row>
    <row r="831">
      <c r="A831" s="3" t="s">
        <v>978</v>
      </c>
      <c r="B831" s="3">
        <v>0.0</v>
      </c>
      <c r="C831" s="3" t="s">
        <v>29</v>
      </c>
      <c r="D831" s="4" t="b">
        <f t="shared" si="1"/>
        <v>0</v>
      </c>
      <c r="E831" s="4" t="str">
        <f t="shared" si="2"/>
        <v>CTE ETS SEXTANT AVIONIQUE</v>
      </c>
    </row>
    <row r="832">
      <c r="A832" s="3" t="s">
        <v>979</v>
      </c>
      <c r="B832" s="3">
        <v>700.0</v>
      </c>
      <c r="C832" s="3" t="s">
        <v>3</v>
      </c>
      <c r="D832" s="4" t="b">
        <f t="shared" si="1"/>
        <v>0</v>
      </c>
      <c r="E832" s="4" t="str">
        <f t="shared" si="2"/>
        <v>CULTIV'ACTIONS</v>
      </c>
    </row>
    <row r="833">
      <c r="A833" s="3" t="s">
        <v>980</v>
      </c>
      <c r="B833" s="3">
        <v>0.0</v>
      </c>
      <c r="C833" s="3" t="s">
        <v>3</v>
      </c>
      <c r="D833" s="4" t="b">
        <f t="shared" si="1"/>
        <v>0</v>
      </c>
      <c r="E833" s="4" t="str">
        <f t="shared" si="2"/>
        <v>CULTURE ET BIBLIOTHEQUES POUR TOUS</v>
      </c>
    </row>
    <row r="834">
      <c r="A834" s="3" t="s">
        <v>981</v>
      </c>
      <c r="B834" s="3">
        <v>1000.0</v>
      </c>
      <c r="C834" s="4"/>
      <c r="D834" s="4" t="b">
        <f t="shared" si="1"/>
        <v>0</v>
      </c>
      <c r="E834" s="4" t="str">
        <f t="shared" si="2"/>
        <v>CULTURE HORS LIMITES</v>
      </c>
    </row>
    <row r="835">
      <c r="A835" s="3" t="s">
        <v>982</v>
      </c>
      <c r="B835" s="3">
        <v>0.0</v>
      </c>
      <c r="C835" s="3" t="s">
        <v>6</v>
      </c>
      <c r="D835" s="4" t="b">
        <f t="shared" si="1"/>
        <v>0</v>
      </c>
      <c r="E835" s="4" t="str">
        <f t="shared" si="2"/>
        <v>CULTURE-S</v>
      </c>
    </row>
    <row r="836">
      <c r="A836" s="3" t="s">
        <v>983</v>
      </c>
      <c r="B836" s="3">
        <v>0.0</v>
      </c>
      <c r="C836" s="3" t="s">
        <v>3</v>
      </c>
      <c r="D836" s="4" t="b">
        <f t="shared" si="1"/>
        <v>0</v>
      </c>
      <c r="E836" s="4" t="str">
        <f t="shared" si="2"/>
        <v>CULTURES DES ARTS CREOLES ET DU MONDE 33 (CACM33)</v>
      </c>
    </row>
    <row r="837">
      <c r="A837" s="3" t="s">
        <v>984</v>
      </c>
      <c r="B837" s="3">
        <v>9600.0</v>
      </c>
      <c r="C837" s="4"/>
      <c r="D837" s="4" t="b">
        <f t="shared" si="1"/>
        <v>0</v>
      </c>
      <c r="E837" s="4" t="str">
        <f t="shared" si="2"/>
        <v>CULTURES DU COEUR GIRONDE</v>
      </c>
    </row>
    <row r="838">
      <c r="A838" s="3" t="s">
        <v>986</v>
      </c>
      <c r="B838" s="3">
        <v>3000.0</v>
      </c>
      <c r="C838" s="4"/>
      <c r="D838" s="4" t="b">
        <f t="shared" si="1"/>
        <v>0</v>
      </c>
      <c r="E838" s="4" t="str">
        <f t="shared" si="2"/>
        <v>D'ASQUES ET D'AILLEURS</v>
      </c>
    </row>
    <row r="839">
      <c r="A839" s="3" t="s">
        <v>987</v>
      </c>
      <c r="B839" s="3">
        <v>0.0</v>
      </c>
      <c r="C839" s="3" t="s">
        <v>3</v>
      </c>
      <c r="D839" s="4" t="b">
        <f t="shared" si="1"/>
        <v>0</v>
      </c>
      <c r="E839" s="4" t="str">
        <f t="shared" si="2"/>
        <v>D'SIGN</v>
      </c>
    </row>
    <row r="840">
      <c r="A840" s="3" t="s">
        <v>988</v>
      </c>
      <c r="B840" s="3">
        <v>7800.0</v>
      </c>
      <c r="C840" s="3" t="s">
        <v>280</v>
      </c>
      <c r="D840" s="4" t="b">
        <f t="shared" si="1"/>
        <v>0</v>
      </c>
      <c r="E840" s="4" t="str">
        <f t="shared" si="2"/>
        <v>DANSE AVEC NOUS</v>
      </c>
    </row>
    <row r="841">
      <c r="A841" s="3" t="s">
        <v>990</v>
      </c>
      <c r="B841" s="3">
        <v>4000.0</v>
      </c>
      <c r="C841" s="4"/>
      <c r="D841" s="4" t="b">
        <f t="shared" si="1"/>
        <v>0</v>
      </c>
      <c r="E841" s="4" t="str">
        <f t="shared" si="2"/>
        <v>DATCHA</v>
      </c>
    </row>
    <row r="842">
      <c r="A842" s="3" t="s">
        <v>991</v>
      </c>
      <c r="B842" s="3">
        <v>0.0</v>
      </c>
      <c r="C842" s="3" t="s">
        <v>3</v>
      </c>
      <c r="D842" s="4" t="b">
        <f t="shared" si="1"/>
        <v>0</v>
      </c>
      <c r="E842" s="4" t="str">
        <f t="shared" si="2"/>
        <v>DE VOLTES ET D'ASSAUTS</v>
      </c>
    </row>
    <row r="843">
      <c r="A843" s="3" t="s">
        <v>992</v>
      </c>
      <c r="B843" s="3">
        <v>0.0</v>
      </c>
      <c r="C843" s="3" t="s">
        <v>3</v>
      </c>
      <c r="D843" s="4" t="b">
        <f t="shared" si="1"/>
        <v>0</v>
      </c>
      <c r="E843" s="4" t="str">
        <f t="shared" si="2"/>
        <v>DEALERS DE SCIENCE</v>
      </c>
    </row>
    <row r="844">
      <c r="A844" s="3" t="s">
        <v>993</v>
      </c>
      <c r="B844" s="3">
        <v>0.0</v>
      </c>
      <c r="C844" s="3" t="s">
        <v>3</v>
      </c>
      <c r="D844" s="4" t="b">
        <f t="shared" si="1"/>
        <v>0</v>
      </c>
      <c r="E844" s="4" t="str">
        <f t="shared" si="2"/>
        <v>DEFENSE DE LA LANGUE FRANCAISE, ASSOCIATION DE BORDEAUX</v>
      </c>
    </row>
    <row r="845">
      <c r="A845" s="3" t="s">
        <v>994</v>
      </c>
      <c r="B845" s="3">
        <v>8000.0</v>
      </c>
      <c r="C845" s="4"/>
      <c r="D845" s="4" t="b">
        <f t="shared" si="1"/>
        <v>0</v>
      </c>
      <c r="E845" s="4" t="str">
        <f t="shared" si="2"/>
        <v>DEFI</v>
      </c>
    </row>
    <row r="846">
      <c r="A846" s="3" t="s">
        <v>995</v>
      </c>
      <c r="B846" s="3">
        <v>1200.0</v>
      </c>
      <c r="C846" s="3" t="s">
        <v>6</v>
      </c>
      <c r="D846" s="4" t="b">
        <f t="shared" si="1"/>
        <v>0</v>
      </c>
      <c r="E846" s="4" t="str">
        <f t="shared" si="2"/>
        <v>DES JARDINS, DES VOISINS</v>
      </c>
    </row>
    <row r="847">
      <c r="A847" s="3" t="s">
        <v>997</v>
      </c>
      <c r="B847" s="3">
        <v>950.0</v>
      </c>
      <c r="C847" s="4"/>
      <c r="D847" s="4" t="b">
        <f t="shared" si="1"/>
        <v>0</v>
      </c>
      <c r="E847" s="4" t="str">
        <f t="shared" si="2"/>
        <v>DES LOUPS DANS LES MURS</v>
      </c>
    </row>
    <row r="848">
      <c r="A848" s="3" t="s">
        <v>999</v>
      </c>
      <c r="B848" s="3">
        <v>0.0</v>
      </c>
      <c r="C848" s="3" t="s">
        <v>3</v>
      </c>
      <c r="D848" s="4" t="b">
        <f t="shared" si="1"/>
        <v>0</v>
      </c>
      <c r="E848" s="4" t="str">
        <f t="shared" si="2"/>
        <v>DHAGPO BORDEAUX</v>
      </c>
    </row>
    <row r="849">
      <c r="A849" s="3" t="s">
        <v>1000</v>
      </c>
      <c r="B849" s="3">
        <v>30000.0</v>
      </c>
      <c r="C849" s="3" t="s">
        <v>3</v>
      </c>
      <c r="D849" s="4" t="b">
        <f t="shared" si="1"/>
        <v>0</v>
      </c>
      <c r="E849" s="4" t="str">
        <f t="shared" si="2"/>
        <v>DIACONAT DE BORDEAUX</v>
      </c>
    </row>
    <row r="850">
      <c r="A850" s="3" t="s">
        <v>1001</v>
      </c>
      <c r="B850" s="3">
        <v>0.0</v>
      </c>
      <c r="C850" s="3" t="s">
        <v>6</v>
      </c>
      <c r="D850" s="4" t="b">
        <f t="shared" si="1"/>
        <v>0</v>
      </c>
      <c r="E850" s="4" t="str">
        <f t="shared" si="2"/>
        <v>DISCO SOUPE</v>
      </c>
    </row>
    <row r="851">
      <c r="A851" s="3" t="s">
        <v>1002</v>
      </c>
      <c r="B851" s="3">
        <v>10000.0</v>
      </c>
      <c r="C851" s="3" t="s">
        <v>3</v>
      </c>
      <c r="D851" s="4" t="b">
        <f t="shared" si="1"/>
        <v>0</v>
      </c>
      <c r="E851" s="4" t="str">
        <f t="shared" si="2"/>
        <v>DISPARATE</v>
      </c>
    </row>
    <row r="852">
      <c r="A852" s="3" t="s">
        <v>1003</v>
      </c>
      <c r="B852" s="3">
        <v>0.0</v>
      </c>
      <c r="C852" s="3" t="s">
        <v>3</v>
      </c>
      <c r="D852" s="4" t="b">
        <f t="shared" si="1"/>
        <v>0</v>
      </c>
      <c r="E852" s="4" t="str">
        <f t="shared" si="2"/>
        <v>DIVAN D'OUEST</v>
      </c>
    </row>
    <row r="853">
      <c r="A853" s="3" t="s">
        <v>1004</v>
      </c>
      <c r="B853" s="3">
        <v>0.0</v>
      </c>
      <c r="C853" s="3" t="s">
        <v>3</v>
      </c>
      <c r="D853" s="4" t="b">
        <f t="shared" si="1"/>
        <v>0</v>
      </c>
      <c r="E853" s="4" t="str">
        <f t="shared" si="2"/>
        <v>DIVERSCITES</v>
      </c>
    </row>
    <row r="854">
      <c r="A854" s="3" t="s">
        <v>1005</v>
      </c>
      <c r="B854" s="3">
        <v>500.0</v>
      </c>
      <c r="C854" s="4"/>
      <c r="D854" s="4" t="b">
        <f t="shared" si="1"/>
        <v>0</v>
      </c>
      <c r="E854" s="4" t="str">
        <f t="shared" si="2"/>
        <v>DIZGUYS</v>
      </c>
    </row>
    <row r="855">
      <c r="A855" s="3" t="s">
        <v>1006</v>
      </c>
      <c r="B855" s="3">
        <v>0.0</v>
      </c>
      <c r="C855" s="3" t="s">
        <v>3</v>
      </c>
      <c r="D855" s="4" t="b">
        <f t="shared" si="1"/>
        <v>0</v>
      </c>
      <c r="E855" s="4" t="str">
        <f t="shared" si="2"/>
        <v>DLIBERETS</v>
      </c>
    </row>
    <row r="856">
      <c r="A856" s="3" t="s">
        <v>1007</v>
      </c>
      <c r="B856" s="3">
        <v>3000.0</v>
      </c>
      <c r="C856" s="4"/>
      <c r="D856" s="4" t="b">
        <f t="shared" si="1"/>
        <v>0</v>
      </c>
      <c r="E856" s="4" t="str">
        <f t="shared" si="2"/>
        <v>DOCUMENTS D'ARTISTES</v>
      </c>
    </row>
    <row r="857">
      <c r="A857" s="3" t="s">
        <v>1008</v>
      </c>
      <c r="B857" s="3">
        <v>0.0</v>
      </c>
      <c r="C857" s="3" t="s">
        <v>484</v>
      </c>
      <c r="D857" s="4" t="b">
        <f t="shared" si="1"/>
        <v>0</v>
      </c>
      <c r="E857" s="4" t="str">
        <f t="shared" si="2"/>
        <v>DOJO</v>
      </c>
    </row>
    <row r="858">
      <c r="A858" s="3" t="s">
        <v>1009</v>
      </c>
      <c r="B858" s="3">
        <v>0.0</v>
      </c>
      <c r="C858" s="3" t="s">
        <v>3</v>
      </c>
      <c r="D858" s="4" t="b">
        <f t="shared" si="1"/>
        <v>0</v>
      </c>
      <c r="E858" s="4" t="str">
        <f t="shared" si="2"/>
        <v>DOULEURS SANS FRONTIERES - DSF</v>
      </c>
    </row>
    <row r="859">
      <c r="A859" s="3" t="s">
        <v>1010</v>
      </c>
      <c r="B859" s="3">
        <v>0.0</v>
      </c>
      <c r="C859" s="3" t="s">
        <v>6</v>
      </c>
      <c r="D859" s="4" t="b">
        <f t="shared" si="1"/>
        <v>0</v>
      </c>
      <c r="E859" s="4" t="str">
        <f t="shared" si="2"/>
        <v>DRAG RACING TEAM - DRT</v>
      </c>
    </row>
    <row r="860">
      <c r="A860" s="3" t="s">
        <v>1011</v>
      </c>
      <c r="B860" s="3">
        <v>4000.0</v>
      </c>
      <c r="C860" s="4"/>
      <c r="D860" s="4" t="b">
        <f t="shared" si="1"/>
        <v>0</v>
      </c>
      <c r="E860" s="4" t="str">
        <f t="shared" si="2"/>
        <v>DRISSE</v>
      </c>
    </row>
    <row r="861">
      <c r="A861" s="3" t="s">
        <v>1012</v>
      </c>
      <c r="B861" s="3">
        <v>2100.0</v>
      </c>
      <c r="C861" s="3" t="s">
        <v>3</v>
      </c>
      <c r="D861" s="4" t="b">
        <f t="shared" si="1"/>
        <v>0</v>
      </c>
      <c r="E861" s="4" t="str">
        <f t="shared" si="2"/>
        <v>DROLE DE SCENE</v>
      </c>
    </row>
    <row r="862">
      <c r="A862" s="3" t="s">
        <v>1013</v>
      </c>
      <c r="B862" s="3">
        <v>9500.0</v>
      </c>
      <c r="C862" s="3" t="s">
        <v>6</v>
      </c>
      <c r="D862" s="4" t="b">
        <f t="shared" si="1"/>
        <v>0</v>
      </c>
      <c r="E862" s="4" t="str">
        <f t="shared" si="2"/>
        <v>DROP DE BETON</v>
      </c>
    </row>
    <row r="863">
      <c r="A863" s="3" t="s">
        <v>1015</v>
      </c>
      <c r="B863" s="3">
        <v>0.0</v>
      </c>
      <c r="C863" s="3" t="s">
        <v>3</v>
      </c>
      <c r="D863" s="4" t="b">
        <f t="shared" si="1"/>
        <v>0</v>
      </c>
      <c r="E863" s="4" t="str">
        <f t="shared" si="2"/>
        <v>DU CHIEN DANS LES DENTS</v>
      </c>
    </row>
    <row r="864">
      <c r="A864" s="3" t="s">
        <v>1016</v>
      </c>
      <c r="B864" s="3">
        <v>0.0</v>
      </c>
      <c r="C864" s="3" t="s">
        <v>6</v>
      </c>
      <c r="D864" s="4" t="b">
        <f t="shared" si="1"/>
        <v>0</v>
      </c>
      <c r="E864" s="4" t="str">
        <f t="shared" si="2"/>
        <v>DU SOLEIL DANS LES PIEDS</v>
      </c>
    </row>
    <row r="865">
      <c r="A865" s="3" t="s">
        <v>1017</v>
      </c>
      <c r="B865" s="3">
        <v>1200.0</v>
      </c>
      <c r="C865" s="4"/>
      <c r="D865" s="4" t="b">
        <f t="shared" si="1"/>
        <v>0</v>
      </c>
      <c r="E865" s="4" t="str">
        <f t="shared" si="2"/>
        <v>DUENDE ANDALUZ</v>
      </c>
    </row>
    <row r="866">
      <c r="A866" s="3" t="s">
        <v>1018</v>
      </c>
      <c r="B866" s="3">
        <v>0.0</v>
      </c>
      <c r="C866" s="3" t="s">
        <v>32</v>
      </c>
      <c r="D866" s="4" t="b">
        <f t="shared" si="1"/>
        <v>0</v>
      </c>
      <c r="E866" s="4" t="str">
        <f t="shared" si="2"/>
        <v>DULCENE</v>
      </c>
    </row>
    <row r="867">
      <c r="A867" s="3" t="s">
        <v>1019</v>
      </c>
      <c r="B867" s="3">
        <v>0.0</v>
      </c>
      <c r="C867" s="3" t="s">
        <v>6</v>
      </c>
      <c r="D867" s="4" t="b">
        <f t="shared" si="1"/>
        <v>0</v>
      </c>
      <c r="E867" s="4" t="str">
        <f t="shared" si="2"/>
        <v>DV2G (THEATRE VICTOIRE)</v>
      </c>
    </row>
    <row r="868">
      <c r="A868" s="3" t="s">
        <v>1020</v>
      </c>
      <c r="B868" s="3">
        <v>1534.0</v>
      </c>
      <c r="C868" s="4"/>
      <c r="D868" s="4" t="b">
        <f t="shared" si="1"/>
        <v>0</v>
      </c>
      <c r="E868" s="4" t="str">
        <f t="shared" si="2"/>
        <v>ECHANGE NORD-SUD</v>
      </c>
    </row>
    <row r="869">
      <c r="A869" s="3" t="s">
        <v>1022</v>
      </c>
      <c r="B869" s="3">
        <v>0.0</v>
      </c>
      <c r="C869" s="3" t="s">
        <v>6</v>
      </c>
      <c r="D869" s="4" t="b">
        <f t="shared" si="1"/>
        <v>0</v>
      </c>
      <c r="E869" s="4" t="str">
        <f t="shared" si="2"/>
        <v>ECHIQUIER BORDELAIS</v>
      </c>
    </row>
    <row r="870">
      <c r="A870" s="3" t="s">
        <v>1023</v>
      </c>
      <c r="B870" s="3">
        <v>27000.0</v>
      </c>
      <c r="C870" s="3" t="s">
        <v>3</v>
      </c>
      <c r="D870" s="4" t="b">
        <f t="shared" si="1"/>
        <v>0</v>
      </c>
      <c r="E870" s="4" t="str">
        <f t="shared" si="2"/>
        <v>ECLATS</v>
      </c>
    </row>
    <row r="871">
      <c r="A871" s="3" t="s">
        <v>1025</v>
      </c>
      <c r="B871" s="3">
        <v>0.0</v>
      </c>
      <c r="C871" s="3" t="s">
        <v>3</v>
      </c>
      <c r="D871" s="4" t="b">
        <f t="shared" si="1"/>
        <v>0</v>
      </c>
      <c r="E871" s="4" t="str">
        <f t="shared" si="2"/>
        <v>ECOLE CHINOISE DE BORDEAUX</v>
      </c>
    </row>
    <row r="872">
      <c r="A872" s="3" t="s">
        <v>1026</v>
      </c>
      <c r="B872" s="3">
        <v>46500.0</v>
      </c>
      <c r="C872" s="3" t="s">
        <v>3</v>
      </c>
      <c r="D872" s="4" t="b">
        <f t="shared" si="1"/>
        <v>0</v>
      </c>
      <c r="E872" s="4" t="str">
        <f t="shared" si="2"/>
        <v>ECOLE DE CIRQUE DE BORDEAUX, CENTRE CULTUREL DES ARTS DU CIRQUE</v>
      </c>
    </row>
    <row r="873">
      <c r="A873" s="3" t="s">
        <v>1028</v>
      </c>
      <c r="B873" s="4"/>
      <c r="C873" s="4"/>
      <c r="D873" s="4" t="b">
        <f t="shared" si="1"/>
        <v>1</v>
      </c>
      <c r="E873" s="4" t="str">
        <f t="shared" si="2"/>
        <v>DU CIRQUE</v>
      </c>
    </row>
    <row r="874">
      <c r="A874" s="3" t="s">
        <v>1029</v>
      </c>
      <c r="B874" s="3">
        <v>0.0</v>
      </c>
      <c r="C874" s="3" t="s">
        <v>3</v>
      </c>
      <c r="D874" s="4" t="b">
        <f t="shared" si="1"/>
        <v>0</v>
      </c>
      <c r="E874" s="4" t="str">
        <f t="shared" si="2"/>
        <v>ECOLE DES GRANDS-PARENTS EUROPEENS BORDEAUX-GIRONDE - EGPE BORDEAUX-GIRONDE</v>
      </c>
    </row>
    <row r="875">
      <c r="A875" s="3" t="s">
        <v>1030</v>
      </c>
      <c r="B875" s="4"/>
      <c r="C875" s="4"/>
      <c r="D875" s="4" t="b">
        <f t="shared" si="1"/>
        <v>1</v>
      </c>
      <c r="E875" s="4" t="str">
        <f t="shared" si="2"/>
        <v>EGPE BORDEAUX-GIRONDE</v>
      </c>
    </row>
    <row r="876">
      <c r="A876" s="3" t="s">
        <v>1031</v>
      </c>
      <c r="B876" s="3">
        <v>0.0</v>
      </c>
      <c r="C876" s="3" t="s">
        <v>3</v>
      </c>
      <c r="D876" s="4" t="b">
        <f t="shared" si="1"/>
        <v>0</v>
      </c>
      <c r="E876" s="4" t="str">
        <f t="shared" si="2"/>
        <v>ECOLE ESSENTIALISTE</v>
      </c>
    </row>
    <row r="877">
      <c r="A877" s="3" t="s">
        <v>1032</v>
      </c>
      <c r="B877" s="3">
        <v>0.0</v>
      </c>
      <c r="C877" s="3" t="s">
        <v>29</v>
      </c>
      <c r="D877" s="4" t="b">
        <f t="shared" si="1"/>
        <v>0</v>
      </c>
      <c r="E877" s="4" t="str">
        <f t="shared" si="2"/>
        <v>ECOLE MUNICIPALE DE NATATION</v>
      </c>
    </row>
    <row r="878">
      <c r="A878" s="3" t="s">
        <v>1033</v>
      </c>
      <c r="B878" s="3">
        <v>109834.0</v>
      </c>
      <c r="C878" s="4"/>
      <c r="D878" s="4" t="b">
        <f t="shared" si="1"/>
        <v>0</v>
      </c>
      <c r="E878" s="4" t="str">
        <f t="shared" si="2"/>
        <v>ECOLE SUPERIEURE DE THEATRE BORDEAUX AQUITAINE - ESTBA</v>
      </c>
    </row>
    <row r="879">
      <c r="A879" s="3" t="s">
        <v>1035</v>
      </c>
      <c r="B879" s="3">
        <v>4000.0</v>
      </c>
      <c r="C879" s="4"/>
      <c r="D879" s="4" t="b">
        <f t="shared" si="1"/>
        <v>0</v>
      </c>
      <c r="E879" s="4" t="str">
        <f t="shared" si="2"/>
        <v>ECOM33</v>
      </c>
    </row>
    <row r="880">
      <c r="A880" s="3" t="s">
        <v>1036</v>
      </c>
      <c r="B880" s="3">
        <v>0.0</v>
      </c>
      <c r="C880" s="3" t="s">
        <v>3</v>
      </c>
      <c r="D880" s="4" t="b">
        <f t="shared" si="1"/>
        <v>0</v>
      </c>
      <c r="E880" s="4" t="str">
        <f t="shared" si="2"/>
        <v>ECOUTE S'IL PLEUT</v>
      </c>
    </row>
    <row r="881">
      <c r="A881" s="3" t="s">
        <v>1037</v>
      </c>
      <c r="B881" s="3">
        <v>0.0</v>
      </c>
      <c r="C881" s="3" t="s">
        <v>26</v>
      </c>
      <c r="D881" s="4" t="b">
        <f t="shared" si="1"/>
        <v>0</v>
      </c>
      <c r="E881" s="4" t="str">
        <f t="shared" si="2"/>
        <v>ECOUTER SON CORPS</v>
      </c>
    </row>
    <row r="882">
      <c r="A882" s="3" t="s">
        <v>1038</v>
      </c>
      <c r="B882" s="3">
        <v>0.0</v>
      </c>
      <c r="C882" s="3" t="s">
        <v>3</v>
      </c>
      <c r="D882" s="4" t="b">
        <f t="shared" si="1"/>
        <v>0</v>
      </c>
      <c r="E882" s="4" t="str">
        <f t="shared" si="2"/>
        <v>EINAI</v>
      </c>
    </row>
    <row r="883">
      <c r="A883" s="3" t="s">
        <v>1039</v>
      </c>
      <c r="B883" s="3">
        <v>14000.0</v>
      </c>
      <c r="C883" s="3" t="s">
        <v>3</v>
      </c>
      <c r="D883" s="4" t="b">
        <f t="shared" si="1"/>
        <v>0</v>
      </c>
      <c r="E883" s="4" t="str">
        <f t="shared" si="2"/>
        <v>EINSTEIN ON THE BEACH</v>
      </c>
    </row>
    <row r="884">
      <c r="A884" s="3" t="s">
        <v>1041</v>
      </c>
      <c r="B884" s="3">
        <v>500.0</v>
      </c>
      <c r="C884" s="4"/>
      <c r="D884" s="4" t="b">
        <f t="shared" si="1"/>
        <v>0</v>
      </c>
      <c r="E884" s="4" t="str">
        <f t="shared" si="2"/>
        <v>EKLEKTIKK</v>
      </c>
    </row>
    <row r="885">
      <c r="A885" s="3" t="s">
        <v>1042</v>
      </c>
      <c r="B885" s="3">
        <v>0.0</v>
      </c>
      <c r="C885" s="3" t="s">
        <v>3</v>
      </c>
      <c r="D885" s="4" t="b">
        <f t="shared" si="1"/>
        <v>0</v>
      </c>
      <c r="E885" s="4" t="str">
        <f t="shared" si="2"/>
        <v>ELLES CONNECT</v>
      </c>
    </row>
    <row r="886">
      <c r="A886" s="3" t="s">
        <v>1043</v>
      </c>
      <c r="B886" s="3">
        <v>4000.0</v>
      </c>
      <c r="C886" s="4"/>
      <c r="D886" s="4" t="b">
        <f t="shared" si="1"/>
        <v>0</v>
      </c>
      <c r="E886" s="4" t="str">
        <f t="shared" si="2"/>
        <v>ELLIPTIQUE DYNAMO</v>
      </c>
    </row>
    <row r="887">
      <c r="A887" s="3" t="s">
        <v>1044</v>
      </c>
      <c r="B887" s="3">
        <v>118603.0</v>
      </c>
      <c r="C887" s="3" t="s">
        <v>37</v>
      </c>
      <c r="D887" s="4" t="b">
        <f t="shared" si="1"/>
        <v>0</v>
      </c>
      <c r="E887" s="4" t="str">
        <f t="shared" si="2"/>
        <v>EMULATION NAUTIQUE DE BORDEAUX </v>
      </c>
    </row>
    <row r="888">
      <c r="A888" s="4"/>
      <c r="B888" s="4"/>
      <c r="C888" s="3" t="s">
        <v>38</v>
      </c>
      <c r="D888" s="4" t="b">
        <f t="shared" si="1"/>
        <v>1</v>
      </c>
      <c r="E888" s="4" t="str">
        <f t="shared" si="2"/>
        <v/>
      </c>
    </row>
    <row r="889">
      <c r="A889" s="3" t="s">
        <v>1046</v>
      </c>
      <c r="B889" s="3">
        <v>0.0</v>
      </c>
      <c r="C889" s="3" t="s">
        <v>3</v>
      </c>
      <c r="D889" s="4" t="b">
        <f t="shared" si="1"/>
        <v>0</v>
      </c>
      <c r="E889" s="4" t="str">
        <f t="shared" si="2"/>
        <v>EN MARCHE</v>
      </c>
    </row>
    <row r="890">
      <c r="A890" s="3" t="s">
        <v>1047</v>
      </c>
      <c r="B890" s="3">
        <v>4500.0</v>
      </c>
      <c r="C890" s="4"/>
      <c r="D890" s="4" t="b">
        <f t="shared" si="1"/>
        <v>0</v>
      </c>
      <c r="E890" s="4" t="str">
        <f t="shared" si="2"/>
        <v>EN ROUTE POUR TRAVAILLER</v>
      </c>
    </row>
    <row r="891">
      <c r="A891" s="3" t="s">
        <v>1048</v>
      </c>
      <c r="B891" s="3">
        <v>0.0</v>
      </c>
      <c r="C891" s="3" t="s">
        <v>3</v>
      </c>
      <c r="D891" s="4" t="b">
        <f t="shared" si="1"/>
        <v>0</v>
      </c>
      <c r="E891" s="4" t="str">
        <f t="shared" si="2"/>
        <v>ENDOFRANCE</v>
      </c>
    </row>
    <row r="892">
      <c r="A892" s="3" t="s">
        <v>1049</v>
      </c>
      <c r="B892" s="3">
        <v>0.0</v>
      </c>
      <c r="C892" s="3" t="s">
        <v>3</v>
      </c>
      <c r="D892" s="4" t="b">
        <f t="shared" si="1"/>
        <v>0</v>
      </c>
      <c r="E892" s="4" t="str">
        <f t="shared" si="2"/>
        <v>ENFANCE ET FAMILLES D'ADOPTION DE LA GIRONDE - ASSOCIATION DES FOYERS ADOPTIFS DE GIRONDE (EFA 33)</v>
      </c>
    </row>
    <row r="893">
      <c r="A893" s="3" t="s">
        <v>1050</v>
      </c>
      <c r="B893" s="4"/>
      <c r="C893" s="4"/>
      <c r="D893" s="4" t="b">
        <f t="shared" si="1"/>
        <v>1</v>
      </c>
      <c r="E893" s="4" t="str">
        <f t="shared" si="2"/>
        <v>DES FOYERS ADOPTIFS DE GIRONDE (EFA 33)</v>
      </c>
    </row>
    <row r="894">
      <c r="A894" s="3" t="s">
        <v>1051</v>
      </c>
      <c r="B894" s="3">
        <v>1410.0</v>
      </c>
      <c r="C894" s="4"/>
      <c r="D894" s="4" t="b">
        <f t="shared" si="1"/>
        <v>0</v>
      </c>
      <c r="E894" s="4" t="str">
        <f t="shared" si="2"/>
        <v>ENQUETE</v>
      </c>
    </row>
    <row r="895">
      <c r="A895" s="3" t="s">
        <v>1053</v>
      </c>
      <c r="B895" s="3">
        <v>1000.0</v>
      </c>
      <c r="C895" s="3" t="s">
        <v>32</v>
      </c>
      <c r="D895" s="4" t="b">
        <f t="shared" si="1"/>
        <v>0</v>
      </c>
      <c r="E895" s="4" t="str">
        <f t="shared" si="2"/>
        <v>ENSEMBLE ORCHESTRAL MOLTO ASSAI</v>
      </c>
    </row>
    <row r="896">
      <c r="A896" s="3" t="s">
        <v>1054</v>
      </c>
      <c r="B896" s="3">
        <v>0.0</v>
      </c>
      <c r="C896" s="3" t="s">
        <v>3</v>
      </c>
      <c r="D896" s="4" t="b">
        <f t="shared" si="1"/>
        <v>0</v>
      </c>
      <c r="E896" s="4" t="str">
        <f t="shared" si="2"/>
        <v>ENSEMBLE OSKAR ALBERTO</v>
      </c>
    </row>
    <row r="897">
      <c r="A897" s="3" t="s">
        <v>1055</v>
      </c>
      <c r="B897" s="3">
        <v>31000.0</v>
      </c>
      <c r="C897" s="4"/>
      <c r="D897" s="4" t="b">
        <f t="shared" si="1"/>
        <v>0</v>
      </c>
      <c r="E897" s="4" t="str">
        <f t="shared" si="2"/>
        <v>ENSEMBLE PYGMALION</v>
      </c>
    </row>
    <row r="898">
      <c r="A898" s="3" t="s">
        <v>1057</v>
      </c>
      <c r="B898" s="3">
        <v>0.0</v>
      </c>
      <c r="C898" s="3" t="s">
        <v>32</v>
      </c>
      <c r="D898" s="4" t="b">
        <f t="shared" si="1"/>
        <v>0</v>
      </c>
      <c r="E898" s="4" t="str">
        <f t="shared" si="2"/>
        <v>ENSEMBLE UN</v>
      </c>
    </row>
    <row r="899">
      <c r="A899" s="3" t="s">
        <v>1058</v>
      </c>
      <c r="B899" s="3">
        <v>1000.0</v>
      </c>
      <c r="C899" s="4"/>
      <c r="D899" s="4" t="b">
        <f t="shared" si="1"/>
        <v>0</v>
      </c>
      <c r="E899" s="4" t="str">
        <f t="shared" si="2"/>
        <v>ENSEMBLE VOCAL DE BORDEAUX</v>
      </c>
    </row>
    <row r="900">
      <c r="A900" s="3" t="s">
        <v>1059</v>
      </c>
      <c r="B900" s="3">
        <v>0.0</v>
      </c>
      <c r="C900" s="3" t="s">
        <v>3</v>
      </c>
      <c r="D900" s="4" t="b">
        <f t="shared" si="1"/>
        <v>0</v>
      </c>
      <c r="E900" s="4" t="str">
        <f t="shared" si="2"/>
        <v>ENSEMBLE VOCAL JUBILATE</v>
      </c>
    </row>
    <row r="901">
      <c r="A901" s="3" t="s">
        <v>1060</v>
      </c>
      <c r="B901" s="3">
        <v>3000.0</v>
      </c>
      <c r="C901" s="4"/>
      <c r="D901" s="4" t="b">
        <f t="shared" si="1"/>
        <v>0</v>
      </c>
      <c r="E901" s="4" t="str">
        <f t="shared" si="2"/>
        <v>ENSEMBLE VOCAL SAGITTARIUS</v>
      </c>
    </row>
    <row r="902">
      <c r="A902" s="3" t="s">
        <v>1061</v>
      </c>
      <c r="B902" s="3">
        <v>2000.0</v>
      </c>
      <c r="C902" s="3" t="s">
        <v>3</v>
      </c>
      <c r="D902" s="4" t="b">
        <f t="shared" si="1"/>
        <v>0</v>
      </c>
      <c r="E902" s="4" t="str">
        <f t="shared" si="2"/>
        <v>ENTENTE DES GENERATIONS POUR L’EMPLOI ET L’ENTREPRISE - EGEE</v>
      </c>
    </row>
    <row r="903">
      <c r="A903" s="3" t="s">
        <v>1062</v>
      </c>
      <c r="B903" s="4"/>
      <c r="C903" s="4"/>
      <c r="D903" s="4" t="b">
        <f t="shared" si="1"/>
        <v>1</v>
      </c>
      <c r="E903" s="4" t="str">
        <f t="shared" si="2"/>
        <v>EGEE</v>
      </c>
    </row>
    <row r="904">
      <c r="A904" s="3" t="s">
        <v>1063</v>
      </c>
      <c r="B904" s="3">
        <v>14800.0</v>
      </c>
      <c r="C904" s="4"/>
      <c r="D904" s="4" t="b">
        <f t="shared" si="1"/>
        <v>0</v>
      </c>
      <c r="E904" s="4" t="str">
        <f t="shared" si="2"/>
        <v>ENTR-AUTRES</v>
      </c>
    </row>
    <row r="905">
      <c r="A905" s="3" t="s">
        <v>1064</v>
      </c>
      <c r="B905" s="3">
        <v>0.0</v>
      </c>
      <c r="C905" s="3" t="s">
        <v>3</v>
      </c>
      <c r="D905" s="4" t="b">
        <f t="shared" si="1"/>
        <v>0</v>
      </c>
      <c r="E905" s="4" t="str">
        <f t="shared" si="2"/>
        <v>ENTRAIDE SCOLAIRE AMICALE (ESA)</v>
      </c>
    </row>
    <row r="906">
      <c r="A906" s="3" t="s">
        <v>1065</v>
      </c>
      <c r="B906" s="3">
        <v>15000.0</v>
      </c>
      <c r="C906" s="3" t="s">
        <v>3</v>
      </c>
      <c r="D906" s="4" t="b">
        <f t="shared" si="1"/>
        <v>0</v>
      </c>
      <c r="E906" s="4" t="str">
        <f t="shared" si="2"/>
        <v>ENTREPRISE INTERMEDIAIRE DE PRODUCTION ET DE FORMATION - EIPF</v>
      </c>
    </row>
    <row r="907">
      <c r="A907" s="3" t="s">
        <v>1066</v>
      </c>
      <c r="B907" s="4"/>
      <c r="C907" s="4"/>
      <c r="D907" s="4" t="b">
        <f t="shared" si="1"/>
        <v>1</v>
      </c>
      <c r="E907" s="4" t="str">
        <f t="shared" si="2"/>
        <v>EIPF</v>
      </c>
    </row>
    <row r="908">
      <c r="A908" s="3" t="s">
        <v>1067</v>
      </c>
      <c r="B908" s="3">
        <v>13050.0</v>
      </c>
      <c r="C908" s="3" t="s">
        <v>37</v>
      </c>
      <c r="D908" s="4" t="b">
        <f t="shared" si="1"/>
        <v>0</v>
      </c>
      <c r="E908" s="4" t="str">
        <f t="shared" si="2"/>
        <v>ENVOL D'AQUITAINE </v>
      </c>
    </row>
    <row r="909">
      <c r="A909" s="4"/>
      <c r="B909" s="4"/>
      <c r="C909" s="3" t="s">
        <v>38</v>
      </c>
      <c r="D909" s="4" t="b">
        <f t="shared" si="1"/>
        <v>1</v>
      </c>
      <c r="E909" s="4" t="str">
        <f t="shared" si="2"/>
        <v/>
      </c>
    </row>
    <row r="910">
      <c r="A910" s="3" t="s">
        <v>1069</v>
      </c>
      <c r="B910" s="3">
        <v>4000.0</v>
      </c>
      <c r="C910" s="4"/>
      <c r="D910" s="4" t="b">
        <f t="shared" si="1"/>
        <v>0</v>
      </c>
      <c r="E910" s="4" t="str">
        <f t="shared" si="2"/>
        <v>EQUIPE SAINT VINCENT BORDEAUX CENTRE</v>
      </c>
    </row>
    <row r="911">
      <c r="A911" s="3" t="s">
        <v>1070</v>
      </c>
      <c r="B911" s="3">
        <v>185000.0</v>
      </c>
      <c r="C911" s="3" t="s">
        <v>280</v>
      </c>
      <c r="D911" s="4" t="b">
        <f t="shared" si="1"/>
        <v>0</v>
      </c>
      <c r="E911" s="4" t="str">
        <f t="shared" si="2"/>
        <v>ESCALES LITTERAIRES BORDEAUX AQUITAINE</v>
      </c>
    </row>
    <row r="912">
      <c r="A912" s="3" t="s">
        <v>1072</v>
      </c>
      <c r="B912" s="3">
        <v>0.0</v>
      </c>
      <c r="C912" s="3" t="s">
        <v>3</v>
      </c>
      <c r="D912" s="4" t="b">
        <f t="shared" si="1"/>
        <v>0</v>
      </c>
      <c r="E912" s="4" t="str">
        <f t="shared" si="2"/>
        <v>ESCAPADES 33</v>
      </c>
    </row>
    <row r="913">
      <c r="A913" s="3" t="s">
        <v>1073</v>
      </c>
      <c r="B913" s="3">
        <v>0.0</v>
      </c>
      <c r="C913" s="3" t="s">
        <v>484</v>
      </c>
      <c r="D913" s="4" t="b">
        <f t="shared" si="1"/>
        <v>0</v>
      </c>
      <c r="E913" s="4" t="str">
        <f t="shared" si="2"/>
        <v>ESKUALDUNEN BILTZARRA - BORDELEKO ESKUAL ETXEA ou MAISON BASQUE DE BORDEAUX</v>
      </c>
    </row>
    <row r="914">
      <c r="A914" s="3" t="s">
        <v>1074</v>
      </c>
      <c r="B914" s="4"/>
      <c r="C914" s="4"/>
      <c r="D914" s="4" t="b">
        <f t="shared" si="1"/>
        <v>1</v>
      </c>
      <c r="E914" s="4" t="str">
        <f t="shared" si="2"/>
        <v>BASQUE DE BORDEAUX</v>
      </c>
    </row>
    <row r="915">
      <c r="A915" s="3" t="s">
        <v>1075</v>
      </c>
      <c r="B915" s="3">
        <v>0.0</v>
      </c>
      <c r="C915" s="3" t="s">
        <v>3</v>
      </c>
      <c r="D915" s="4" t="b">
        <f t="shared" si="1"/>
        <v>0</v>
      </c>
      <c r="E915" s="4" t="str">
        <f t="shared" si="2"/>
        <v>ESPACE DECOUVERTE MADAGASCAR</v>
      </c>
    </row>
    <row r="916">
      <c r="A916" s="3" t="s">
        <v>1076</v>
      </c>
      <c r="B916" s="3">
        <v>0.0</v>
      </c>
      <c r="C916" s="3" t="s">
        <v>3</v>
      </c>
      <c r="D916" s="4" t="b">
        <f t="shared" si="1"/>
        <v>0</v>
      </c>
      <c r="E916" s="4" t="str">
        <f t="shared" si="2"/>
        <v>ESPACE INTER HANDICAP EUROPEEN A HAUTEUR D'HOMME</v>
      </c>
    </row>
    <row r="917">
      <c r="A917" s="3" t="s">
        <v>1077</v>
      </c>
      <c r="B917" s="3">
        <v>0.0</v>
      </c>
      <c r="C917" s="3" t="s">
        <v>3</v>
      </c>
      <c r="D917" s="4" t="b">
        <f t="shared" si="1"/>
        <v>0</v>
      </c>
      <c r="E917" s="4" t="str">
        <f t="shared" si="2"/>
        <v>ESPACES MARX AQUITAINE BORDEAUX GIRONDE EXPLORER CONFRONTER INNOVER</v>
      </c>
    </row>
    <row r="918">
      <c r="A918" s="3" t="s">
        <v>1078</v>
      </c>
      <c r="B918" s="4"/>
      <c r="C918" s="4"/>
      <c r="D918" s="4" t="b">
        <f t="shared" si="1"/>
        <v>1</v>
      </c>
      <c r="E918" s="4" t="str">
        <f t="shared" si="2"/>
        <v>CONFRONTER INNOVER</v>
      </c>
    </row>
    <row r="919">
      <c r="A919" s="3" t="s">
        <v>1079</v>
      </c>
      <c r="B919" s="3">
        <v>0.0</v>
      </c>
      <c r="C919" s="3" t="s">
        <v>3</v>
      </c>
      <c r="D919" s="4" t="b">
        <f t="shared" si="1"/>
        <v>0</v>
      </c>
      <c r="E919" s="4" t="str">
        <f t="shared" si="2"/>
        <v>ESPOIR 33</v>
      </c>
    </row>
    <row r="920">
      <c r="A920" s="3" t="s">
        <v>1080</v>
      </c>
      <c r="B920" s="3">
        <v>3500.0</v>
      </c>
      <c r="C920" s="3" t="s">
        <v>32</v>
      </c>
      <c r="D920" s="4" t="b">
        <f t="shared" si="1"/>
        <v>0</v>
      </c>
      <c r="E920" s="4" t="str">
        <f t="shared" si="2"/>
        <v>ESPRIT DE QUARTIER</v>
      </c>
    </row>
    <row r="921">
      <c r="A921" s="3" t="s">
        <v>1081</v>
      </c>
      <c r="B921" s="3">
        <v>0.0</v>
      </c>
      <c r="C921" s="3" t="s">
        <v>6</v>
      </c>
      <c r="D921" s="4" t="b">
        <f t="shared" si="1"/>
        <v>0</v>
      </c>
      <c r="E921" s="4" t="str">
        <f t="shared" si="2"/>
        <v>ESPRIT ETUDIANT-MONTESQUIEU</v>
      </c>
    </row>
    <row r="922">
      <c r="A922" s="3" t="s">
        <v>1082</v>
      </c>
      <c r="B922" s="3">
        <v>0.0</v>
      </c>
      <c r="C922" s="3" t="s">
        <v>3</v>
      </c>
      <c r="D922" s="4" t="b">
        <f t="shared" si="1"/>
        <v>0</v>
      </c>
      <c r="E922" s="4" t="str">
        <f t="shared" si="2"/>
        <v>ESSPLICITE</v>
      </c>
    </row>
    <row r="923">
      <c r="A923" s="3" t="s">
        <v>1083</v>
      </c>
      <c r="B923" s="3">
        <v>500.0</v>
      </c>
      <c r="C923" s="3" t="s">
        <v>32</v>
      </c>
      <c r="D923" s="4" t="b">
        <f t="shared" si="1"/>
        <v>0</v>
      </c>
      <c r="E923" s="4" t="str">
        <f t="shared" si="2"/>
        <v>ETUDIANTS MAROCAINS DE BORDEAUX - EMB</v>
      </c>
    </row>
    <row r="924">
      <c r="A924" s="3" t="s">
        <v>1084</v>
      </c>
      <c r="B924" s="3">
        <v>0.0</v>
      </c>
      <c r="C924" s="3" t="s">
        <v>3</v>
      </c>
      <c r="D924" s="4" t="b">
        <f t="shared" si="1"/>
        <v>0</v>
      </c>
      <c r="E924" s="4" t="str">
        <f t="shared" si="2"/>
        <v>ETUDIANTS MUSULMANS DE FRANCE BORDEAUX - EMF BORDEAUX</v>
      </c>
    </row>
    <row r="925">
      <c r="A925" s="3" t="s">
        <v>1085</v>
      </c>
      <c r="B925" s="3">
        <v>700.0</v>
      </c>
      <c r="C925" s="4"/>
      <c r="D925" s="4" t="b">
        <f t="shared" si="1"/>
        <v>0</v>
      </c>
      <c r="E925" s="4" t="str">
        <f t="shared" si="2"/>
        <v>EUROFEEL</v>
      </c>
    </row>
    <row r="926">
      <c r="A926" s="3" t="s">
        <v>1086</v>
      </c>
      <c r="B926" s="3">
        <v>0.0</v>
      </c>
      <c r="C926" s="3" t="s">
        <v>3</v>
      </c>
      <c r="D926" s="4" t="b">
        <f t="shared" si="1"/>
        <v>0</v>
      </c>
      <c r="E926" s="4" t="str">
        <f t="shared" si="2"/>
        <v>EUROPEAN MENTORING &amp; COACHING COUNCIL, L'ASSOCIATION EUROPEENNE DE COACHING</v>
      </c>
    </row>
    <row r="927">
      <c r="A927" s="3" t="s">
        <v>1087</v>
      </c>
      <c r="B927" s="4"/>
      <c r="C927" s="4"/>
      <c r="D927" s="4" t="b">
        <f t="shared" si="1"/>
        <v>1</v>
      </c>
      <c r="E927" s="4" t="str">
        <f t="shared" si="2"/>
        <v>EUROPEENNE DE COACHING</v>
      </c>
    </row>
    <row r="928">
      <c r="A928" s="3" t="s">
        <v>1088</v>
      </c>
      <c r="B928" s="3">
        <v>3000.0</v>
      </c>
      <c r="C928" s="3" t="s">
        <v>3</v>
      </c>
      <c r="D928" s="4" t="b">
        <f t="shared" si="1"/>
        <v>0</v>
      </c>
      <c r="E928" s="4" t="str">
        <f t="shared" si="2"/>
        <v>EURROM</v>
      </c>
    </row>
    <row r="929">
      <c r="A929" s="3" t="s">
        <v>1089</v>
      </c>
      <c r="B929" s="3">
        <v>210000.0</v>
      </c>
      <c r="C929" s="4"/>
      <c r="D929" s="4" t="b">
        <f t="shared" si="1"/>
        <v>0</v>
      </c>
      <c r="E929" s="4" t="str">
        <f t="shared" si="2"/>
        <v>EVEILLEZ LES BEBES</v>
      </c>
    </row>
    <row r="930">
      <c r="A930" s="3" t="s">
        <v>1091</v>
      </c>
      <c r="B930" s="3">
        <v>0.0</v>
      </c>
      <c r="C930" s="3" t="s">
        <v>3</v>
      </c>
      <c r="D930" s="4" t="b">
        <f t="shared" si="1"/>
        <v>0</v>
      </c>
      <c r="E930" s="4" t="str">
        <f t="shared" si="2"/>
        <v>EXPLORER LE SENTIR</v>
      </c>
    </row>
    <row r="931">
      <c r="A931" s="3" t="s">
        <v>1092</v>
      </c>
      <c r="B931" s="3">
        <v>2200.0</v>
      </c>
      <c r="C931" s="4"/>
      <c r="D931" s="4" t="b">
        <f t="shared" si="1"/>
        <v>0</v>
      </c>
      <c r="E931" s="4" t="str">
        <f t="shared" si="2"/>
        <v>EXTRA</v>
      </c>
    </row>
    <row r="932">
      <c r="A932" s="3" t="s">
        <v>1094</v>
      </c>
      <c r="B932" s="3">
        <v>0.0</v>
      </c>
      <c r="C932" s="3" t="s">
        <v>3</v>
      </c>
      <c r="D932" s="4" t="b">
        <f t="shared" si="1"/>
        <v>0</v>
      </c>
      <c r="E932" s="4" t="str">
        <f t="shared" si="2"/>
        <v>FAIS UN VOEU MAKE-A -WISH ® FRANCE</v>
      </c>
    </row>
    <row r="933">
      <c r="A933" s="3" t="s">
        <v>1095</v>
      </c>
      <c r="B933" s="3">
        <v>0.0</v>
      </c>
      <c r="C933" s="3" t="s">
        <v>6</v>
      </c>
      <c r="D933" s="4" t="b">
        <f t="shared" si="1"/>
        <v>0</v>
      </c>
      <c r="E933" s="4" t="str">
        <f t="shared" si="2"/>
        <v>FAIT DE CI DE SOI</v>
      </c>
    </row>
    <row r="934">
      <c r="A934" s="3" t="s">
        <v>1096</v>
      </c>
      <c r="B934" s="3">
        <v>15500.0</v>
      </c>
      <c r="C934" s="3" t="s">
        <v>3</v>
      </c>
      <c r="D934" s="4" t="b">
        <f t="shared" si="1"/>
        <v>0</v>
      </c>
      <c r="E934" s="4" t="str">
        <f t="shared" si="2"/>
        <v>FAMILLES EN GIRONDE - FEDERATION DE LA GIRONDE</v>
      </c>
    </row>
    <row r="935">
      <c r="A935" s="3" t="s">
        <v>1097</v>
      </c>
      <c r="B935" s="3">
        <v>0.0</v>
      </c>
      <c r="C935" s="3" t="s">
        <v>29</v>
      </c>
      <c r="D935" s="4" t="b">
        <f t="shared" si="1"/>
        <v>0</v>
      </c>
      <c r="E935" s="4" t="str">
        <f t="shared" si="2"/>
        <v>FC CARTES ET SERVICES</v>
      </c>
    </row>
    <row r="936">
      <c r="A936" s="3" t="s">
        <v>1098</v>
      </c>
      <c r="B936" s="3">
        <v>500.0</v>
      </c>
      <c r="C936" s="4"/>
      <c r="D936" s="4" t="b">
        <f t="shared" si="1"/>
        <v>0</v>
      </c>
      <c r="E936" s="4" t="str">
        <f t="shared" si="2"/>
        <v>FEDE ALIENOR</v>
      </c>
    </row>
    <row r="937">
      <c r="A937" s="3" t="s">
        <v>1099</v>
      </c>
      <c r="B937" s="3">
        <v>0.0</v>
      </c>
      <c r="C937" s="3" t="s">
        <v>3</v>
      </c>
      <c r="D937" s="4" t="b">
        <f t="shared" si="1"/>
        <v>0</v>
      </c>
      <c r="E937" s="4" t="str">
        <f t="shared" si="2"/>
        <v>FEDERATION ADDICTION</v>
      </c>
    </row>
    <row r="938">
      <c r="A938" s="3" t="s">
        <v>1100</v>
      </c>
      <c r="B938" s="3">
        <v>0.0</v>
      </c>
      <c r="C938" s="3" t="s">
        <v>3</v>
      </c>
      <c r="D938" s="4" t="b">
        <f t="shared" si="1"/>
        <v>0</v>
      </c>
      <c r="E938" s="4" t="str">
        <f t="shared" si="2"/>
        <v>FEDERATION ADMR GIRONDE</v>
      </c>
    </row>
    <row r="939">
      <c r="A939" s="3" t="s">
        <v>1101</v>
      </c>
      <c r="B939" s="3">
        <v>0.0</v>
      </c>
      <c r="C939" s="3" t="s">
        <v>3</v>
      </c>
      <c r="D939" s="4" t="b">
        <f t="shared" si="1"/>
        <v>0</v>
      </c>
      <c r="E939" s="4" t="str">
        <f t="shared" si="2"/>
        <v>FEDERATION DE LA GIRONDE POUR LA PECHE ET LA PROTECTION MILIEU AQUATIQUE (FDAAPPMA DE LA GIRONDE)</v>
      </c>
    </row>
    <row r="940">
      <c r="A940" s="3" t="s">
        <v>1102</v>
      </c>
      <c r="B940" s="4"/>
      <c r="C940" s="4"/>
      <c r="D940" s="4" t="b">
        <f t="shared" si="1"/>
        <v>1</v>
      </c>
      <c r="E940" s="4" t="str">
        <f t="shared" si="2"/>
        <v>MILIEU AQUATIQUE (FDAAPPMA DE LA GIRONDE)</v>
      </c>
    </row>
    <row r="941">
      <c r="A941" s="3" t="s">
        <v>1103</v>
      </c>
      <c r="B941" s="3">
        <v>0.0</v>
      </c>
      <c r="C941" s="3" t="s">
        <v>3</v>
      </c>
      <c r="D941" s="4" t="b">
        <f t="shared" si="1"/>
        <v>0</v>
      </c>
      <c r="E941" s="4" t="str">
        <f t="shared" si="2"/>
        <v>FEDERATION DE PSYCHANALYSE CONTEMPORAINE - FPC</v>
      </c>
    </row>
    <row r="942">
      <c r="A942" s="3" t="s">
        <v>1104</v>
      </c>
      <c r="B942" s="3">
        <v>0.0</v>
      </c>
      <c r="C942" s="3" t="s">
        <v>32</v>
      </c>
      <c r="D942" s="4" t="b">
        <f t="shared" si="1"/>
        <v>0</v>
      </c>
      <c r="E942" s="4" t="str">
        <f t="shared" si="2"/>
        <v>FEDERATION DEPARTEMENTALE DU SECOURS POPULAIRE FRANCAIS</v>
      </c>
    </row>
    <row r="943">
      <c r="A943" s="3" t="s">
        <v>1105</v>
      </c>
      <c r="B943" s="4"/>
      <c r="C943" s="4"/>
      <c r="D943" s="4" t="b">
        <f t="shared" si="1"/>
        <v>1</v>
      </c>
      <c r="E943" s="4" t="str">
        <f t="shared" si="2"/>
        <v>FRANCAIS</v>
      </c>
    </row>
    <row r="944">
      <c r="A944" s="3" t="s">
        <v>1106</v>
      </c>
      <c r="B944" s="3">
        <v>750.0</v>
      </c>
      <c r="C944" s="3" t="s">
        <v>3</v>
      </c>
      <c r="D944" s="4" t="b">
        <f t="shared" si="1"/>
        <v>0</v>
      </c>
      <c r="E944" s="4" t="str">
        <f t="shared" si="2"/>
        <v>FEDERATION DES ASSOCIATIONS FAMILIALES CATHOLIQUES - AFC</v>
      </c>
    </row>
    <row r="945">
      <c r="A945" s="3" t="s">
        <v>1107</v>
      </c>
      <c r="B945" s="3">
        <v>0.0</v>
      </c>
      <c r="C945" s="3" t="s">
        <v>3</v>
      </c>
      <c r="D945" s="4" t="b">
        <f t="shared" si="1"/>
        <v>0</v>
      </c>
      <c r="E945" s="4" t="str">
        <f t="shared" si="2"/>
        <v>FEDERATION DES DESIGNERS EN AQUITAINE (FDA)</v>
      </c>
    </row>
    <row r="946">
      <c r="A946" s="3" t="s">
        <v>1108</v>
      </c>
      <c r="B946" s="3">
        <v>0.0</v>
      </c>
      <c r="C946" s="3" t="s">
        <v>3</v>
      </c>
      <c r="D946" s="4" t="b">
        <f t="shared" si="1"/>
        <v>0</v>
      </c>
      <c r="E946" s="4" t="str">
        <f t="shared" si="2"/>
        <v>FEDERATION DES MANDATAIRES JUDICIAIRES INDEPENDANTS A PROTECTION MAJEURS AQUITAINE (FMJI AQUITAINE)</v>
      </c>
    </row>
    <row r="947">
      <c r="A947" s="3" t="s">
        <v>1109</v>
      </c>
      <c r="B947" s="4"/>
      <c r="C947" s="4"/>
      <c r="D947" s="4" t="b">
        <f t="shared" si="1"/>
        <v>1</v>
      </c>
      <c r="E947" s="4" t="str">
        <f t="shared" si="2"/>
        <v>PROTECTION MAJEURS AQUITAINE (FMJI AQUITAINE)</v>
      </c>
    </row>
    <row r="948">
      <c r="A948" s="3" t="s">
        <v>1110</v>
      </c>
      <c r="B948" s="3">
        <v>1000.0</v>
      </c>
      <c r="C948" s="3" t="s">
        <v>32</v>
      </c>
      <c r="D948" s="4" t="b">
        <f t="shared" si="1"/>
        <v>0</v>
      </c>
      <c r="E948" s="4" t="str">
        <f t="shared" si="2"/>
        <v>FEDERATION DES RADIOS ASSOCIATIVES DE LA GIRONDE - FEDERA 33</v>
      </c>
    </row>
    <row r="949">
      <c r="A949" s="3">
        <v>33.0</v>
      </c>
      <c r="B949" s="4"/>
      <c r="C949" s="4"/>
      <c r="D949" s="4" t="b">
        <f t="shared" si="1"/>
        <v>1</v>
      </c>
      <c r="E949" s="4">
        <f t="shared" si="2"/>
        <v>33</v>
      </c>
    </row>
    <row r="950">
      <c r="A950" s="3" t="s">
        <v>1111</v>
      </c>
      <c r="B950" s="3">
        <v>16000.0</v>
      </c>
      <c r="C950" s="3" t="s">
        <v>6</v>
      </c>
      <c r="D950" s="4" t="b">
        <f t="shared" si="1"/>
        <v>0</v>
      </c>
      <c r="E950" s="4" t="str">
        <f t="shared" si="2"/>
        <v>FEDERATION DES SOCIETES CARNAVALESQUES DE L'AGGLOMERATION BORDELAISE</v>
      </c>
    </row>
    <row r="951">
      <c r="A951" s="3" t="s">
        <v>1112</v>
      </c>
      <c r="B951" s="4"/>
      <c r="C951" s="4"/>
      <c r="D951" s="4" t="b">
        <f t="shared" si="1"/>
        <v>1</v>
      </c>
      <c r="E951" s="4" t="str">
        <f t="shared" si="2"/>
        <v>L'AGGLOMERATION BORDELAISE</v>
      </c>
    </row>
    <row r="952">
      <c r="A952" s="3" t="s">
        <v>1113</v>
      </c>
      <c r="B952" s="3">
        <v>5000.0</v>
      </c>
      <c r="C952" s="4"/>
      <c r="D952" s="4" t="b">
        <f t="shared" si="1"/>
        <v>0</v>
      </c>
      <c r="E952" s="4" t="str">
        <f t="shared" si="2"/>
        <v>FEDERATION FRANCAISE D'ATHLETISME</v>
      </c>
    </row>
    <row r="953">
      <c r="A953" s="3" t="s">
        <v>1114</v>
      </c>
      <c r="B953" s="3">
        <v>0.0</v>
      </c>
      <c r="C953" s="3" t="s">
        <v>6</v>
      </c>
      <c r="D953" s="4" t="b">
        <f t="shared" si="1"/>
        <v>0</v>
      </c>
      <c r="E953" s="4" t="str">
        <f t="shared" si="2"/>
        <v>FEDERATION FRANCAISE DE NATATION</v>
      </c>
    </row>
    <row r="954">
      <c r="A954" s="3" t="s">
        <v>1115</v>
      </c>
      <c r="B954" s="3">
        <v>0.0</v>
      </c>
      <c r="C954" s="3" t="s">
        <v>3</v>
      </c>
      <c r="D954" s="4" t="b">
        <f t="shared" si="1"/>
        <v>0</v>
      </c>
      <c r="E954" s="4" t="str">
        <f t="shared" si="2"/>
        <v>FEDERATION FRANCAISE DES PSYCHOLOGUES ET DE PSYCHOLOGIE - FFPP</v>
      </c>
    </row>
    <row r="955">
      <c r="A955" s="3" t="s">
        <v>1116</v>
      </c>
      <c r="B955" s="4"/>
      <c r="C955" s="4"/>
      <c r="D955" s="4" t="b">
        <f t="shared" si="1"/>
        <v>1</v>
      </c>
      <c r="E955" s="4" t="str">
        <f t="shared" si="2"/>
        <v>PSYCHOLOGIE - FFPP</v>
      </c>
    </row>
    <row r="956">
      <c r="A956" s="3" t="s">
        <v>1117</v>
      </c>
      <c r="B956" s="3">
        <v>0.0</v>
      </c>
      <c r="C956" s="3" t="s">
        <v>3</v>
      </c>
      <c r="D956" s="4" t="b">
        <f t="shared" si="1"/>
        <v>0</v>
      </c>
      <c r="E956" s="4" t="str">
        <f t="shared" si="2"/>
        <v>FEDERATION GIRONDINE DE GENEALOGIE - FGG</v>
      </c>
    </row>
    <row r="957">
      <c r="A957" s="3" t="s">
        <v>1118</v>
      </c>
      <c r="B957" s="3">
        <v>0.0</v>
      </c>
      <c r="C957" s="3" t="s">
        <v>6</v>
      </c>
      <c r="D957" s="4" t="b">
        <f t="shared" si="1"/>
        <v>0</v>
      </c>
      <c r="E957" s="4" t="str">
        <f t="shared" si="2"/>
        <v>FEDERATION MUSULMANE DE LA GIRONDE</v>
      </c>
    </row>
    <row r="958">
      <c r="A958" s="3" t="s">
        <v>1119</v>
      </c>
      <c r="B958" s="3">
        <v>0.0</v>
      </c>
      <c r="C958" s="3" t="s">
        <v>3</v>
      </c>
      <c r="D958" s="4" t="b">
        <f t="shared" si="1"/>
        <v>0</v>
      </c>
      <c r="E958" s="4" t="str">
        <f t="shared" si="2"/>
        <v>FEDERATION NATIONALE D'AIDE AUX INSUFFISANTS RENAUX D'AQUITAINE - FNAIR AQUITANE</v>
      </c>
    </row>
    <row r="959">
      <c r="A959" s="3" t="s">
        <v>1120</v>
      </c>
      <c r="B959" s="4"/>
      <c r="C959" s="4"/>
      <c r="D959" s="4" t="b">
        <f t="shared" si="1"/>
        <v>1</v>
      </c>
      <c r="E959" s="4" t="str">
        <f t="shared" si="2"/>
        <v>D'AQUITAINE - FNAIR AQUITANE</v>
      </c>
    </row>
    <row r="960">
      <c r="A960" s="3" t="s">
        <v>1121</v>
      </c>
      <c r="B960" s="3">
        <v>2000.0</v>
      </c>
      <c r="C960" s="4"/>
      <c r="D960" s="4" t="b">
        <f t="shared" si="1"/>
        <v>0</v>
      </c>
      <c r="E960" s="4" t="str">
        <f t="shared" si="2"/>
        <v>FEDERATION NATIONALE DES ANCIENS DES FORCES FRANCAISES EN ALLEMAGNE ET EN AUTRICHE</v>
      </c>
    </row>
    <row r="961">
      <c r="A961" s="3" t="s">
        <v>1122</v>
      </c>
      <c r="B961" s="4"/>
      <c r="C961" s="4"/>
      <c r="D961" s="4" t="b">
        <f t="shared" si="1"/>
        <v>1</v>
      </c>
      <c r="E961" s="4" t="str">
        <f t="shared" si="2"/>
        <v>EN ALLEMAGNE ET EN AUTRICHE</v>
      </c>
    </row>
    <row r="962">
      <c r="A962" s="3" t="s">
        <v>1123</v>
      </c>
      <c r="B962" s="3">
        <v>0.0</v>
      </c>
      <c r="C962" s="3" t="s">
        <v>3</v>
      </c>
      <c r="D962" s="4" t="b">
        <f t="shared" si="1"/>
        <v>0</v>
      </c>
      <c r="E962" s="4" t="str">
        <f t="shared" si="2"/>
        <v>FEDERATION NATIONALE DES SERVICES SOCIAUX SPECIALISES DE PROTECTION DE L'ENFANCE - FN3S</v>
      </c>
    </row>
    <row r="963">
      <c r="A963" s="3" t="s">
        <v>1124</v>
      </c>
      <c r="B963" s="4"/>
      <c r="C963" s="4"/>
      <c r="D963" s="4" t="b">
        <f t="shared" si="1"/>
        <v>1</v>
      </c>
      <c r="E963" s="4" t="str">
        <f t="shared" si="2"/>
        <v>PROTECTION DE L'ENFANCE - FN3S</v>
      </c>
    </row>
    <row r="964">
      <c r="A964" s="3" t="s">
        <v>1125</v>
      </c>
      <c r="B964" s="3">
        <v>0.0</v>
      </c>
      <c r="C964" s="3" t="s">
        <v>3</v>
      </c>
      <c r="D964" s="4" t="b">
        <f t="shared" si="1"/>
        <v>0</v>
      </c>
      <c r="E964" s="4" t="str">
        <f t="shared" si="2"/>
        <v>FEDERATION POUR LA RECHERCHE SUR LE CERVEAU - CAMPAGNE DU NEURODON 2004</v>
      </c>
    </row>
    <row r="965">
      <c r="A965" s="3" t="s">
        <v>1126</v>
      </c>
      <c r="B965" s="4"/>
      <c r="C965" s="4"/>
      <c r="D965" s="4" t="b">
        <f t="shared" si="1"/>
        <v>1</v>
      </c>
      <c r="E965" s="4" t="str">
        <f t="shared" si="2"/>
        <v>DU NEURODON 2004</v>
      </c>
    </row>
    <row r="966">
      <c r="A966" s="3" t="s">
        <v>1127</v>
      </c>
      <c r="B966" s="3">
        <v>0.0</v>
      </c>
      <c r="C966" s="3" t="s">
        <v>32</v>
      </c>
      <c r="D966" s="4" t="b">
        <f t="shared" si="1"/>
        <v>0</v>
      </c>
      <c r="E966" s="4" t="str">
        <f t="shared" si="2"/>
        <v>FEDERATION REGIONALE DES DECORES DU TRAVAIL NOUVELLE-AQUITAINE (FRDT)</v>
      </c>
    </row>
    <row r="967">
      <c r="A967" s="3" t="s">
        <v>1128</v>
      </c>
      <c r="B967" s="4"/>
      <c r="C967" s="4"/>
      <c r="D967" s="4" t="b">
        <f t="shared" si="1"/>
        <v>1</v>
      </c>
      <c r="E967" s="4" t="str">
        <f t="shared" si="2"/>
        <v>NOUVELLE-AQUITAINE (FRDT)</v>
      </c>
    </row>
    <row r="968">
      <c r="A968" s="3" t="s">
        <v>1129</v>
      </c>
      <c r="B968" s="3">
        <v>800.0</v>
      </c>
      <c r="C968" s="4"/>
      <c r="D968" s="4" t="b">
        <f t="shared" si="1"/>
        <v>0</v>
      </c>
      <c r="E968" s="4" t="str">
        <f t="shared" si="2"/>
        <v>FEDERATION REGIONALE DU SUD-OUEST DES CAMARADES DE COMBAT</v>
      </c>
    </row>
    <row r="969">
      <c r="A969" s="3" t="s">
        <v>1130</v>
      </c>
      <c r="B969" s="4"/>
      <c r="C969" s="4"/>
      <c r="D969" s="4" t="b">
        <f t="shared" si="1"/>
        <v>1</v>
      </c>
      <c r="E969" s="4" t="str">
        <f t="shared" si="2"/>
        <v>COMBAT</v>
      </c>
    </row>
    <row r="970">
      <c r="A970" s="3" t="s">
        <v>1131</v>
      </c>
      <c r="B970" s="3">
        <v>2000.0</v>
      </c>
      <c r="C970" s="3" t="s">
        <v>6</v>
      </c>
      <c r="D970" s="4" t="b">
        <f t="shared" si="1"/>
        <v>0</v>
      </c>
      <c r="E970" s="4" t="str">
        <f t="shared" si="2"/>
        <v>FEDERATION SOS RACISME GIRONDE-AQUITAINE</v>
      </c>
    </row>
    <row r="971">
      <c r="A971" s="3" t="s">
        <v>1132</v>
      </c>
      <c r="B971" s="3">
        <v>0.0</v>
      </c>
      <c r="C971" s="3" t="s">
        <v>6</v>
      </c>
      <c r="D971" s="4" t="b">
        <f t="shared" si="1"/>
        <v>0</v>
      </c>
      <c r="E971" s="4" t="str">
        <f t="shared" si="2"/>
        <v>FEDERATION SYNDICALE UNITAIRE 33 - FSU 33</v>
      </c>
    </row>
    <row r="972">
      <c r="A972" s="3" t="s">
        <v>1133</v>
      </c>
      <c r="B972" s="3">
        <v>0.0</v>
      </c>
      <c r="C972" s="3" t="s">
        <v>32</v>
      </c>
      <c r="D972" s="4" t="b">
        <f t="shared" si="1"/>
        <v>0</v>
      </c>
      <c r="E972" s="4" t="str">
        <f t="shared" si="2"/>
        <v>FEMMES INTERNATIONALES MURS BRISES</v>
      </c>
    </row>
    <row r="973">
      <c r="A973" s="3" t="s">
        <v>1134</v>
      </c>
      <c r="B973" s="3">
        <v>500.0</v>
      </c>
      <c r="C973" s="4"/>
      <c r="D973" s="4" t="b">
        <f t="shared" si="1"/>
        <v>0</v>
      </c>
      <c r="E973" s="4" t="str">
        <f t="shared" si="2"/>
        <v>FEMMES SOLIDAIRES DU LAC</v>
      </c>
    </row>
    <row r="974">
      <c r="A974" s="3" t="s">
        <v>1135</v>
      </c>
      <c r="B974" s="3">
        <v>3000.0</v>
      </c>
      <c r="C974" s="3" t="s">
        <v>6</v>
      </c>
      <c r="D974" s="4" t="b">
        <f t="shared" si="1"/>
        <v>0</v>
      </c>
      <c r="E974" s="4" t="str">
        <f t="shared" si="2"/>
        <v>FENETRE SUR RUE</v>
      </c>
    </row>
    <row r="975">
      <c r="A975" s="3" t="s">
        <v>1136</v>
      </c>
      <c r="B975" s="3">
        <v>402000.0</v>
      </c>
      <c r="C975" s="3" t="s">
        <v>16</v>
      </c>
      <c r="D975" s="4" t="b">
        <f t="shared" si="1"/>
        <v>0</v>
      </c>
      <c r="E975" s="4" t="str">
        <f t="shared" si="2"/>
        <v>FESTIVAL DES ARTS DE BORDEAUX</v>
      </c>
    </row>
    <row r="976">
      <c r="A976" s="3" t="s">
        <v>1138</v>
      </c>
      <c r="B976" s="3">
        <v>0.0</v>
      </c>
      <c r="C976" s="3" t="s">
        <v>3</v>
      </c>
      <c r="D976" s="4" t="b">
        <f t="shared" si="1"/>
        <v>0</v>
      </c>
      <c r="E976" s="4" t="str">
        <f t="shared" si="2"/>
        <v>FISH AND SHOES</v>
      </c>
    </row>
    <row r="977">
      <c r="A977" s="3" t="s">
        <v>1139</v>
      </c>
      <c r="B977" s="3">
        <v>0.0</v>
      </c>
      <c r="C977" s="3" t="s">
        <v>3</v>
      </c>
      <c r="D977" s="4" t="b">
        <f t="shared" si="1"/>
        <v>0</v>
      </c>
      <c r="E977" s="4" t="str">
        <f t="shared" si="2"/>
        <v>FITNESS FREESTYLE</v>
      </c>
    </row>
    <row r="978">
      <c r="A978" s="3" t="s">
        <v>1140</v>
      </c>
      <c r="B978" s="3">
        <v>0.0</v>
      </c>
      <c r="C978" s="3" t="s">
        <v>6</v>
      </c>
      <c r="D978" s="4" t="b">
        <f t="shared" si="1"/>
        <v>0</v>
      </c>
      <c r="E978" s="4" t="str">
        <f t="shared" si="2"/>
        <v>FOIRE AUX PLAISIRS DE BORDEAUX</v>
      </c>
    </row>
    <row r="979">
      <c r="A979" s="3" t="s">
        <v>1141</v>
      </c>
      <c r="B979" s="3">
        <v>0.0</v>
      </c>
      <c r="C979" s="3" t="s">
        <v>3</v>
      </c>
      <c r="D979" s="4" t="b">
        <f t="shared" si="1"/>
        <v>0</v>
      </c>
      <c r="E979" s="4" t="str">
        <f t="shared" si="2"/>
        <v>FONDA SUD-OUEST</v>
      </c>
    </row>
    <row r="980">
      <c r="A980" s="3" t="s">
        <v>1142</v>
      </c>
      <c r="B980" s="3">
        <v>0.0</v>
      </c>
      <c r="C980" s="3" t="s">
        <v>6</v>
      </c>
      <c r="D980" s="4" t="b">
        <f t="shared" si="1"/>
        <v>0</v>
      </c>
      <c r="E980" s="4" t="str">
        <f t="shared" si="2"/>
        <v>FONDATION DU PATRIMOINE - DELEGATION AQUITAINE</v>
      </c>
    </row>
    <row r="981">
      <c r="A981" s="3" t="s">
        <v>1143</v>
      </c>
      <c r="B981" s="3">
        <v>0.0</v>
      </c>
      <c r="C981" s="3" t="s">
        <v>3</v>
      </c>
      <c r="D981" s="4" t="b">
        <f t="shared" si="1"/>
        <v>0</v>
      </c>
      <c r="E981" s="4" t="str">
        <f t="shared" si="2"/>
        <v>FONDATION MAISON DE LA GENDARMERIE</v>
      </c>
    </row>
    <row r="982">
      <c r="A982" s="3" t="s">
        <v>1144</v>
      </c>
      <c r="B982" s="3">
        <v>2000.0</v>
      </c>
      <c r="C982" s="4"/>
      <c r="D982" s="4" t="b">
        <f t="shared" si="1"/>
        <v>0</v>
      </c>
      <c r="E982" s="4" t="str">
        <f t="shared" si="2"/>
        <v>FONDAUDEGEMENT VOTRE</v>
      </c>
    </row>
    <row r="983">
      <c r="A983" s="3" t="s">
        <v>1145</v>
      </c>
      <c r="B983" s="3">
        <v>15000.0</v>
      </c>
      <c r="C983" s="3" t="s">
        <v>668</v>
      </c>
      <c r="D983" s="4" t="b">
        <f t="shared" si="1"/>
        <v>0</v>
      </c>
      <c r="E983" s="4" t="str">
        <f t="shared" si="2"/>
        <v>FONDS REGIONAL D'ART CONTEMPORAIN - COLLECTION AQUITAINE</v>
      </c>
    </row>
    <row r="984">
      <c r="A984" s="3" t="s">
        <v>1146</v>
      </c>
      <c r="B984" s="3">
        <v>4250.0</v>
      </c>
      <c r="C984" s="3" t="s">
        <v>29</v>
      </c>
      <c r="D984" s="4" t="b">
        <f t="shared" si="1"/>
        <v>0</v>
      </c>
      <c r="E984" s="4" t="str">
        <f t="shared" si="2"/>
        <v>FOOT BALL CLUB BORDEAUX AQUITAINE 33</v>
      </c>
    </row>
    <row r="985">
      <c r="A985" s="3" t="s">
        <v>1148</v>
      </c>
      <c r="B985" s="3">
        <v>0.0</v>
      </c>
      <c r="C985" s="3" t="s">
        <v>26</v>
      </c>
      <c r="D985" s="4" t="b">
        <f t="shared" si="1"/>
        <v>0</v>
      </c>
      <c r="E985" s="4" t="str">
        <f t="shared" si="2"/>
        <v>FOOT LOISIRS DOCKERS DE BORDEAUX</v>
      </c>
    </row>
    <row r="986">
      <c r="A986" s="3" t="s">
        <v>1149</v>
      </c>
      <c r="B986" s="3">
        <v>0.0</v>
      </c>
      <c r="C986" s="3" t="s">
        <v>29</v>
      </c>
      <c r="D986" s="4" t="b">
        <f t="shared" si="1"/>
        <v>0</v>
      </c>
      <c r="E986" s="4" t="str">
        <f t="shared" si="2"/>
        <v>FOOTBALL CLUB DE LA PRESSE BORDELAISE</v>
      </c>
    </row>
    <row r="987">
      <c r="A987" s="3" t="s">
        <v>1150</v>
      </c>
      <c r="B987" s="3">
        <v>100000.0</v>
      </c>
      <c r="C987" s="3" t="s">
        <v>29</v>
      </c>
      <c r="D987" s="4" t="b">
        <f t="shared" si="1"/>
        <v>0</v>
      </c>
      <c r="E987" s="4" t="str">
        <f t="shared" si="2"/>
        <v>FOOTBALL CLUB DES GIRONDINS DE BORDEAUX - FCGB</v>
      </c>
    </row>
    <row r="988">
      <c r="A988" s="3" t="s">
        <v>1152</v>
      </c>
      <c r="B988" s="3">
        <v>0.0</v>
      </c>
      <c r="C988" s="3" t="s">
        <v>29</v>
      </c>
      <c r="D988" s="4" t="b">
        <f t="shared" si="1"/>
        <v>0</v>
      </c>
      <c r="E988" s="4" t="str">
        <f t="shared" si="2"/>
        <v>FOOTBALL-CLUB BORDEAUX OCEAN</v>
      </c>
    </row>
    <row r="989">
      <c r="A989" s="3" t="s">
        <v>1153</v>
      </c>
      <c r="B989" s="3">
        <v>0.0</v>
      </c>
      <c r="C989" s="3" t="s">
        <v>29</v>
      </c>
      <c r="D989" s="4" t="b">
        <f t="shared" si="1"/>
        <v>0</v>
      </c>
      <c r="E989" s="4" t="str">
        <f t="shared" si="2"/>
        <v>FOOTBALL-CLUB ROUGE</v>
      </c>
    </row>
    <row r="990">
      <c r="A990" s="3" t="s">
        <v>1154</v>
      </c>
      <c r="B990" s="3">
        <v>0.0</v>
      </c>
      <c r="C990" s="3" t="s">
        <v>3</v>
      </c>
      <c r="D990" s="4" t="b">
        <f t="shared" si="1"/>
        <v>0</v>
      </c>
      <c r="E990" s="4" t="str">
        <f t="shared" si="2"/>
        <v>FORCE FEMMES</v>
      </c>
    </row>
    <row r="991">
      <c r="A991" s="3" t="s">
        <v>1155</v>
      </c>
      <c r="B991" s="3">
        <v>0.0</v>
      </c>
      <c r="C991" s="3" t="s">
        <v>3</v>
      </c>
      <c r="D991" s="4" t="b">
        <f t="shared" si="1"/>
        <v>0</v>
      </c>
      <c r="E991" s="4" t="str">
        <f t="shared" si="2"/>
        <v>FORRO BORDEAUX</v>
      </c>
    </row>
    <row r="992">
      <c r="A992" s="3" t="s">
        <v>1156</v>
      </c>
      <c r="B992" s="3">
        <v>33251.0</v>
      </c>
      <c r="C992" s="4"/>
      <c r="D992" s="4" t="b">
        <f t="shared" si="1"/>
        <v>0</v>
      </c>
      <c r="E992" s="4" t="str">
        <f t="shared" si="2"/>
        <v>FORUM AVIGNON</v>
      </c>
    </row>
    <row r="993">
      <c r="A993" s="3" t="s">
        <v>1158</v>
      </c>
      <c r="B993" s="3">
        <v>0.0</v>
      </c>
      <c r="C993" s="3" t="s">
        <v>3</v>
      </c>
      <c r="D993" s="4" t="b">
        <f t="shared" si="1"/>
        <v>0</v>
      </c>
      <c r="E993" s="4" t="str">
        <f t="shared" si="2"/>
        <v>FORUM DES CULTURES ET DES TRADITIONS</v>
      </c>
    </row>
    <row r="994">
      <c r="A994" s="3" t="s">
        <v>1159</v>
      </c>
      <c r="B994" s="3">
        <v>426565.0</v>
      </c>
      <c r="C994" s="3" t="s">
        <v>32</v>
      </c>
      <c r="D994" s="4" t="b">
        <f t="shared" si="1"/>
        <v>0</v>
      </c>
      <c r="E994" s="4" t="str">
        <f t="shared" si="2"/>
        <v>FOYER FRATERNEL</v>
      </c>
    </row>
    <row r="995">
      <c r="A995" s="3" t="s">
        <v>1161</v>
      </c>
      <c r="B995" s="3">
        <v>500.0</v>
      </c>
      <c r="C995" s="4"/>
      <c r="D995" s="4" t="b">
        <f t="shared" si="1"/>
        <v>0</v>
      </c>
      <c r="E995" s="4" t="str">
        <f t="shared" si="2"/>
        <v>FOYER SOCIO EDUCATIF SPORTIF COLLEGE BLANQUI</v>
      </c>
    </row>
    <row r="996">
      <c r="A996" s="3" t="s">
        <v>1162</v>
      </c>
      <c r="B996" s="3">
        <v>0.0</v>
      </c>
      <c r="C996" s="3" t="s">
        <v>3</v>
      </c>
      <c r="D996" s="4" t="b">
        <f t="shared" si="1"/>
        <v>0</v>
      </c>
      <c r="E996" s="4" t="str">
        <f t="shared" si="2"/>
        <v>FOYER SOCIO-EDUCATIF DU COLLEGE ALAIN FOURNIER</v>
      </c>
    </row>
    <row r="997">
      <c r="A997" s="3" t="s">
        <v>1163</v>
      </c>
      <c r="B997" s="3">
        <v>0.0</v>
      </c>
      <c r="C997" s="3" t="s">
        <v>3</v>
      </c>
      <c r="D997" s="4" t="b">
        <f t="shared" si="1"/>
        <v>0</v>
      </c>
      <c r="E997" s="4" t="str">
        <f t="shared" si="2"/>
        <v>FRANCE ALZHEIMER GIRONDE</v>
      </c>
    </row>
    <row r="998">
      <c r="A998" s="3" t="s">
        <v>1164</v>
      </c>
      <c r="B998" s="3">
        <v>0.0</v>
      </c>
      <c r="C998" s="3" t="s">
        <v>3</v>
      </c>
      <c r="D998" s="4" t="b">
        <f t="shared" si="1"/>
        <v>0</v>
      </c>
      <c r="E998" s="4" t="str">
        <f t="shared" si="2"/>
        <v>FRANCE AMERIQUE LATINE COMITE BORDEAUX GIRONDE</v>
      </c>
    </row>
    <row r="999">
      <c r="A999" s="3" t="s">
        <v>1165</v>
      </c>
      <c r="B999" s="3">
        <v>3000.0</v>
      </c>
      <c r="C999" s="3" t="s">
        <v>3</v>
      </c>
      <c r="D999" s="4" t="b">
        <f t="shared" si="1"/>
        <v>0</v>
      </c>
      <c r="E999" s="4" t="str">
        <f t="shared" si="2"/>
        <v>FRANCE BENEVOLAT BORDEAUX GIRONDE</v>
      </c>
    </row>
    <row r="1000">
      <c r="A1000" s="3" t="s">
        <v>1166</v>
      </c>
      <c r="B1000" s="3">
        <v>0.0</v>
      </c>
      <c r="C1000" s="3" t="s">
        <v>3</v>
      </c>
      <c r="D1000" s="4" t="b">
        <f t="shared" si="1"/>
        <v>0</v>
      </c>
      <c r="E1000" s="4" t="str">
        <f t="shared" si="2"/>
        <v>FRANCE PLUS GIRONDE</v>
      </c>
    </row>
    <row r="1001">
      <c r="A1001" s="3" t="s">
        <v>1167</v>
      </c>
      <c r="B1001" s="3">
        <v>0.0</v>
      </c>
      <c r="C1001" s="3" t="s">
        <v>3</v>
      </c>
      <c r="D1001" s="4" t="b">
        <f t="shared" si="1"/>
        <v>0</v>
      </c>
      <c r="E1001" s="4" t="str">
        <f t="shared" si="2"/>
        <v>FRANCE PSORIASIS</v>
      </c>
    </row>
    <row r="1002">
      <c r="A1002" s="3" t="s">
        <v>1168</v>
      </c>
      <c r="B1002" s="3">
        <v>0.0</v>
      </c>
      <c r="C1002" s="3" t="s">
        <v>3</v>
      </c>
      <c r="D1002" s="4" t="b">
        <f t="shared" si="1"/>
        <v>0</v>
      </c>
      <c r="E1002" s="4" t="str">
        <f t="shared" si="2"/>
        <v>France PARKINSON</v>
      </c>
    </row>
    <row r="1003">
      <c r="A1003" s="3" t="s">
        <v>1169</v>
      </c>
      <c r="B1003" s="3">
        <v>0.0</v>
      </c>
      <c r="C1003" s="3" t="s">
        <v>3</v>
      </c>
      <c r="D1003" s="4" t="b">
        <f t="shared" si="1"/>
        <v>0</v>
      </c>
      <c r="E1003" s="4" t="str">
        <f t="shared" si="2"/>
        <v>GABON, SOLIDARITE ET PAIX</v>
      </c>
    </row>
    <row r="1004">
      <c r="A1004" s="3" t="s">
        <v>1170</v>
      </c>
      <c r="B1004" s="3">
        <v>0.0</v>
      </c>
      <c r="C1004" s="3" t="s">
        <v>3</v>
      </c>
      <c r="D1004" s="4" t="b">
        <f t="shared" si="1"/>
        <v>0</v>
      </c>
      <c r="E1004" s="4" t="str">
        <f t="shared" si="2"/>
        <v>GARGANTUA</v>
      </c>
    </row>
    <row r="1005">
      <c r="A1005" s="3" t="s">
        <v>1171</v>
      </c>
      <c r="B1005" s="3">
        <v>0.0</v>
      </c>
      <c r="C1005" s="3" t="s">
        <v>3</v>
      </c>
      <c r="D1005" s="4" t="b">
        <f t="shared" si="1"/>
        <v>0</v>
      </c>
      <c r="E1005" s="4" t="str">
        <f t="shared" si="2"/>
        <v>GASP'ART</v>
      </c>
    </row>
    <row r="1006">
      <c r="A1006" s="3" t="s">
        <v>1172</v>
      </c>
      <c r="B1006" s="3">
        <v>0.0</v>
      </c>
      <c r="C1006" s="3" t="s">
        <v>6</v>
      </c>
      <c r="D1006" s="4" t="b">
        <f t="shared" si="1"/>
        <v>0</v>
      </c>
      <c r="E1006" s="4" t="str">
        <f t="shared" si="2"/>
        <v>GAZELLISSIMES</v>
      </c>
    </row>
    <row r="1007">
      <c r="A1007" s="3" t="s">
        <v>1173</v>
      </c>
      <c r="B1007" s="3">
        <v>0.0</v>
      </c>
      <c r="C1007" s="3" t="s">
        <v>3</v>
      </c>
      <c r="D1007" s="4" t="b">
        <f t="shared" si="1"/>
        <v>0</v>
      </c>
      <c r="E1007" s="4" t="str">
        <f t="shared" si="2"/>
        <v>GEAR LOCKER</v>
      </c>
    </row>
    <row r="1008">
      <c r="A1008" s="3" t="s">
        <v>1174</v>
      </c>
      <c r="B1008" s="3">
        <v>0.0</v>
      </c>
      <c r="C1008" s="3" t="s">
        <v>3</v>
      </c>
      <c r="D1008" s="4" t="b">
        <f t="shared" si="1"/>
        <v>0</v>
      </c>
      <c r="E1008" s="4" t="str">
        <f t="shared" si="2"/>
        <v>GEM "LES NEUROFESTIFS 33"</v>
      </c>
    </row>
    <row r="1009">
      <c r="A1009" s="3" t="s">
        <v>1175</v>
      </c>
      <c r="B1009" s="3">
        <v>500.0</v>
      </c>
      <c r="C1009" s="4"/>
      <c r="D1009" s="4" t="b">
        <f t="shared" si="1"/>
        <v>0</v>
      </c>
      <c r="E1009" s="4" t="str">
        <f t="shared" si="2"/>
        <v>GENEPI - GROUPEMENT ETUDIANT NATIONAL D'ENSEIGNEMENT AUX PERSONNES INCARCEREES</v>
      </c>
    </row>
    <row r="1010">
      <c r="A1010" s="3" t="s">
        <v>1176</v>
      </c>
      <c r="B1010" s="4"/>
      <c r="C1010" s="4"/>
      <c r="D1010" s="4" t="b">
        <f t="shared" si="1"/>
        <v>1</v>
      </c>
      <c r="E1010" s="4" t="str">
        <f t="shared" si="2"/>
        <v>AUX PERSONNES INCARCEREES</v>
      </c>
    </row>
    <row r="1011">
      <c r="A1011" s="3" t="s">
        <v>1177</v>
      </c>
      <c r="B1011" s="3">
        <v>2800.0</v>
      </c>
      <c r="C1011" s="3" t="s">
        <v>3</v>
      </c>
      <c r="D1011" s="4" t="b">
        <f t="shared" si="1"/>
        <v>0</v>
      </c>
      <c r="E1011" s="4" t="str">
        <f t="shared" si="2"/>
        <v>GENERATIONS TAUZIN</v>
      </c>
    </row>
    <row r="1012">
      <c r="A1012" s="3" t="s">
        <v>1178</v>
      </c>
      <c r="B1012" s="3">
        <v>1800.0</v>
      </c>
      <c r="C1012" s="4"/>
      <c r="D1012" s="4" t="b">
        <f t="shared" si="1"/>
        <v>0</v>
      </c>
      <c r="E1012" s="4" t="str">
        <f t="shared" si="2"/>
        <v>GEOCACHING ET TOURISME EN AQUITAINE</v>
      </c>
    </row>
    <row r="1013">
      <c r="A1013" s="3" t="s">
        <v>1179</v>
      </c>
      <c r="B1013" s="3">
        <v>334000.0</v>
      </c>
      <c r="C1013" s="4"/>
      <c r="D1013" s="4" t="b">
        <f t="shared" si="1"/>
        <v>0</v>
      </c>
      <c r="E1013" s="4" t="str">
        <f t="shared" si="2"/>
        <v>GESTION DU CENTRE DE LOISIRS DE LA POSTE ALEMA</v>
      </c>
    </row>
    <row r="1014">
      <c r="A1014" s="3" t="s">
        <v>1181</v>
      </c>
      <c r="B1014" s="3">
        <v>1000.0</v>
      </c>
      <c r="C1014" s="4"/>
      <c r="D1014" s="4" t="b">
        <f t="shared" si="1"/>
        <v>0</v>
      </c>
      <c r="E1014" s="4" t="str">
        <f t="shared" si="2"/>
        <v>GIP CDAD 33</v>
      </c>
    </row>
    <row r="1015">
      <c r="A1015" s="3" t="s">
        <v>1182</v>
      </c>
      <c r="B1015" s="3">
        <v>500.0</v>
      </c>
      <c r="C1015" s="4"/>
      <c r="D1015" s="4" t="b">
        <f t="shared" si="1"/>
        <v>0</v>
      </c>
      <c r="E1015" s="4" t="str">
        <f t="shared" si="2"/>
        <v>GIRONDE INFIRMES MOTEURS CEREBRAUX</v>
      </c>
    </row>
    <row r="1016">
      <c r="A1016" s="3" t="s">
        <v>1183</v>
      </c>
      <c r="B1016" s="3">
        <v>0.0</v>
      </c>
      <c r="C1016" s="3" t="s">
        <v>3</v>
      </c>
      <c r="D1016" s="4" t="b">
        <f t="shared" si="1"/>
        <v>0</v>
      </c>
      <c r="E1016" s="4" t="str">
        <f t="shared" si="2"/>
        <v>GIRONDE ROUMANIE ECHANGES ET CULTURE</v>
      </c>
    </row>
    <row r="1017">
      <c r="A1017" s="3" t="s">
        <v>1184</v>
      </c>
      <c r="B1017" s="3">
        <v>141174.0</v>
      </c>
      <c r="C1017" s="3" t="s">
        <v>37</v>
      </c>
      <c r="D1017" s="4" t="b">
        <f t="shared" si="1"/>
        <v>0</v>
      </c>
      <c r="E1017" s="4" t="str">
        <f t="shared" si="2"/>
        <v>GIRONDINS DE BORDEAUX BASTIDE HANDBALL CLUB </v>
      </c>
    </row>
    <row r="1018">
      <c r="A1018" s="4"/>
      <c r="B1018" s="4"/>
      <c r="C1018" s="3" t="s">
        <v>38</v>
      </c>
      <c r="D1018" s="4" t="b">
        <f t="shared" si="1"/>
        <v>1</v>
      </c>
      <c r="E1018" s="4" t="str">
        <f t="shared" si="2"/>
        <v/>
      </c>
    </row>
    <row r="1019">
      <c r="A1019" s="3" t="s">
        <v>1186</v>
      </c>
      <c r="B1019" s="3">
        <v>0.0</v>
      </c>
      <c r="C1019" s="3" t="s">
        <v>6</v>
      </c>
      <c r="D1019" s="4" t="b">
        <f t="shared" si="1"/>
        <v>0</v>
      </c>
      <c r="E1019" s="4" t="str">
        <f t="shared" si="2"/>
        <v>GIRONDINS DE BORDEAUX TIR</v>
      </c>
    </row>
    <row r="1020">
      <c r="A1020" s="3" t="s">
        <v>1187</v>
      </c>
      <c r="B1020" s="3">
        <v>115000.0</v>
      </c>
      <c r="C1020" s="3" t="s">
        <v>32</v>
      </c>
      <c r="D1020" s="4" t="b">
        <f t="shared" si="1"/>
        <v>0</v>
      </c>
      <c r="E1020" s="4" t="str">
        <f t="shared" si="2"/>
        <v>GLOB THEATRE</v>
      </c>
    </row>
    <row r="1021">
      <c r="A1021" s="3" t="s">
        <v>1188</v>
      </c>
      <c r="B1021" s="3">
        <v>492222.0</v>
      </c>
      <c r="C1021" s="3" t="s">
        <v>32</v>
      </c>
      <c r="D1021" s="4" t="b">
        <f t="shared" si="1"/>
        <v>0</v>
      </c>
      <c r="E1021" s="4" t="str">
        <f t="shared" si="2"/>
        <v>GP INTENCITE CENTRE SOCIAL ET CULTUREL DU GRAND PARC</v>
      </c>
    </row>
    <row r="1022">
      <c r="A1022" s="3" t="s">
        <v>1190</v>
      </c>
      <c r="B1022" s="3">
        <v>0.0</v>
      </c>
      <c r="C1022" s="3" t="s">
        <v>3</v>
      </c>
      <c r="D1022" s="4" t="b">
        <f t="shared" si="1"/>
        <v>0</v>
      </c>
      <c r="E1022" s="4" t="str">
        <f t="shared" si="2"/>
        <v>GRAIN DE SABLE</v>
      </c>
    </row>
    <row r="1023">
      <c r="A1023" s="3" t="s">
        <v>1191</v>
      </c>
      <c r="B1023" s="3">
        <v>0.0</v>
      </c>
      <c r="C1023" s="3" t="s">
        <v>6</v>
      </c>
      <c r="D1023" s="4" t="b">
        <f t="shared" si="1"/>
        <v>0</v>
      </c>
      <c r="E1023" s="4" t="str">
        <f t="shared" si="2"/>
        <v>GRAINES DE SOLIDARITE</v>
      </c>
    </row>
    <row r="1024">
      <c r="A1024" s="3" t="s">
        <v>1192</v>
      </c>
      <c r="B1024" s="3">
        <v>5500.0</v>
      </c>
      <c r="C1024" s="3" t="s">
        <v>29</v>
      </c>
      <c r="D1024" s="4" t="b">
        <f t="shared" si="1"/>
        <v>0</v>
      </c>
      <c r="E1024" s="4" t="str">
        <f t="shared" si="2"/>
        <v>GRANDIR ENSEMBLE</v>
      </c>
    </row>
    <row r="1025">
      <c r="A1025" s="3" t="s">
        <v>1193</v>
      </c>
      <c r="B1025" s="3">
        <v>4000.0</v>
      </c>
      <c r="C1025" s="4"/>
      <c r="D1025" s="4" t="b">
        <f t="shared" si="1"/>
        <v>0</v>
      </c>
      <c r="E1025" s="4" t="str">
        <f t="shared" si="2"/>
        <v>GROUPE 33</v>
      </c>
    </row>
    <row r="1026">
      <c r="A1026" s="3" t="s">
        <v>1194</v>
      </c>
      <c r="B1026" s="3">
        <v>16000.0</v>
      </c>
      <c r="C1026" s="4"/>
      <c r="D1026" s="4" t="b">
        <f t="shared" si="1"/>
        <v>0</v>
      </c>
      <c r="E1026" s="4" t="str">
        <f t="shared" si="2"/>
        <v>GROUPE ANAMORPHOSE</v>
      </c>
    </row>
    <row r="1027">
      <c r="A1027" s="3" t="s">
        <v>1195</v>
      </c>
      <c r="B1027" s="3">
        <v>0.0</v>
      </c>
      <c r="C1027" s="3" t="s">
        <v>3</v>
      </c>
      <c r="D1027" s="4" t="b">
        <f t="shared" si="1"/>
        <v>0</v>
      </c>
      <c r="E1027" s="4" t="str">
        <f t="shared" si="2"/>
        <v>GROUPE ATTAC 33</v>
      </c>
    </row>
    <row r="1028">
      <c r="A1028" s="3" t="s">
        <v>1196</v>
      </c>
      <c r="B1028" s="3">
        <v>500.0</v>
      </c>
      <c r="C1028" s="4"/>
      <c r="D1028" s="4" t="b">
        <f t="shared" si="1"/>
        <v>0</v>
      </c>
      <c r="E1028" s="4" t="str">
        <f t="shared" si="2"/>
        <v>GROUPE D'ACCOMPAGNEMENTS ET DE LOISIRS ADAPTÉS</v>
      </c>
    </row>
    <row r="1029">
      <c r="A1029" s="3" t="s">
        <v>1197</v>
      </c>
      <c r="B1029" s="3">
        <v>0.0</v>
      </c>
      <c r="C1029" s="3" t="s">
        <v>3</v>
      </c>
      <c r="D1029" s="4" t="b">
        <f t="shared" si="1"/>
        <v>0</v>
      </c>
      <c r="E1029" s="4" t="str">
        <f t="shared" si="2"/>
        <v>GROUPE D'ETUDE POUR L'INSERTION SOCIALE DES PERSONNES PORTEUSES D'UNE TRISOMIE 21 - GEIST 21</v>
      </c>
    </row>
    <row r="1030">
      <c r="A1030" s="3" t="s">
        <v>1198</v>
      </c>
      <c r="B1030" s="4"/>
      <c r="C1030" s="4"/>
      <c r="D1030" s="4" t="b">
        <f t="shared" si="1"/>
        <v>1</v>
      </c>
      <c r="E1030" s="4" t="str">
        <f t="shared" si="2"/>
        <v>PORTEUSES D'UNE TRISOMIE 21 - GEIST 21</v>
      </c>
    </row>
    <row r="1031">
      <c r="A1031" s="3" t="s">
        <v>1199</v>
      </c>
      <c r="B1031" s="3">
        <v>0.0</v>
      </c>
      <c r="C1031" s="3" t="s">
        <v>3</v>
      </c>
      <c r="D1031" s="4" t="b">
        <f t="shared" si="1"/>
        <v>0</v>
      </c>
      <c r="E1031" s="4" t="str">
        <f t="shared" si="2"/>
        <v>GROUPE LOCAL ACTION DES CHRETIENS POUR L'ABOLITION DE LA TORTURE DE BORDEAUX</v>
      </c>
    </row>
    <row r="1032">
      <c r="A1032" s="3" t="s">
        <v>1200</v>
      </c>
      <c r="B1032" s="4"/>
      <c r="C1032" s="4"/>
      <c r="D1032" s="4" t="b">
        <f t="shared" si="1"/>
        <v>1</v>
      </c>
      <c r="E1032" s="4" t="str">
        <f t="shared" si="2"/>
        <v>TORTURE DE BORDEAUX</v>
      </c>
    </row>
    <row r="1033">
      <c r="A1033" s="3" t="s">
        <v>1201</v>
      </c>
      <c r="B1033" s="3">
        <v>0.0</v>
      </c>
      <c r="C1033" s="3" t="s">
        <v>16</v>
      </c>
      <c r="D1033" s="4" t="b">
        <f t="shared" si="1"/>
        <v>0</v>
      </c>
      <c r="E1033" s="4" t="str">
        <f t="shared" si="2"/>
        <v>GROUPE PASSERELLE</v>
      </c>
    </row>
    <row r="1034">
      <c r="A1034" s="3" t="s">
        <v>1202</v>
      </c>
      <c r="B1034" s="3">
        <v>0.0</v>
      </c>
      <c r="C1034" s="3" t="s">
        <v>32</v>
      </c>
      <c r="D1034" s="4" t="b">
        <f t="shared" si="1"/>
        <v>0</v>
      </c>
      <c r="E1034" s="4" t="str">
        <f t="shared" si="2"/>
        <v>GROUPE VOCAL ARPEGE DE BORDEAUX</v>
      </c>
    </row>
    <row r="1035">
      <c r="A1035" s="3" t="s">
        <v>1203</v>
      </c>
      <c r="B1035" s="3">
        <v>190000.0</v>
      </c>
      <c r="C1035" s="4"/>
      <c r="D1035" s="4" t="b">
        <f t="shared" si="1"/>
        <v>0</v>
      </c>
      <c r="E1035" s="4" t="str">
        <f t="shared" si="2"/>
        <v>GROUPEMENT D'INTERET PUBLIC BORDEAUX MEDIATION</v>
      </c>
    </row>
    <row r="1036">
      <c r="A1036" s="3" t="s">
        <v>1205</v>
      </c>
      <c r="B1036" s="3">
        <v>35000.0</v>
      </c>
      <c r="C1036" s="4"/>
      <c r="D1036" s="4" t="b">
        <f t="shared" si="1"/>
        <v>0</v>
      </c>
      <c r="E1036" s="4" t="str">
        <f t="shared" si="2"/>
        <v>GROUPEMENT D'INTERET PUBLIC DE LA REUSSITE EDUCATIVE DE BORDEAUX</v>
      </c>
    </row>
    <row r="1037">
      <c r="A1037" s="3" t="s">
        <v>33</v>
      </c>
      <c r="B1037" s="4"/>
      <c r="C1037" s="4"/>
      <c r="D1037" s="4" t="b">
        <f t="shared" si="1"/>
        <v>1</v>
      </c>
      <c r="E1037" s="4" t="str">
        <f t="shared" si="2"/>
        <v>BORDEAUX</v>
      </c>
    </row>
    <row r="1038">
      <c r="A1038" s="3" t="s">
        <v>1207</v>
      </c>
      <c r="B1038" s="3">
        <v>1000.0</v>
      </c>
      <c r="C1038" s="4"/>
      <c r="D1038" s="4" t="b">
        <f t="shared" si="1"/>
        <v>0</v>
      </c>
      <c r="E1038" s="4" t="str">
        <f t="shared" si="2"/>
        <v>GROUPEMENT DE BORDEAUX DES ANCIENS PORTE-DRAPEAUX VOLONTAIRES REGION MILITAIRE DEFENSE AQUITAINE</v>
      </c>
    </row>
    <row r="1039">
      <c r="A1039" s="3" t="s">
        <v>1208</v>
      </c>
      <c r="B1039" s="4"/>
      <c r="C1039" s="4"/>
      <c r="D1039" s="4" t="b">
        <f t="shared" si="1"/>
        <v>1</v>
      </c>
      <c r="E1039" s="4" t="str">
        <f t="shared" si="2"/>
        <v>VOLONTAIRES REGION MILITAIRE DEFENSE AQUITAINE</v>
      </c>
    </row>
    <row r="1040">
      <c r="A1040" s="3" t="s">
        <v>1209</v>
      </c>
      <c r="B1040" s="3">
        <v>1500.0</v>
      </c>
      <c r="C1040" s="4"/>
      <c r="D1040" s="4" t="b">
        <f t="shared" si="1"/>
        <v>0</v>
      </c>
      <c r="E1040" s="4" t="str">
        <f t="shared" si="2"/>
        <v>GROUPEMENT DES INTELLECTUELS, AVEUGLES OU AMBLYOPES</v>
      </c>
    </row>
    <row r="1041">
      <c r="A1041" s="3" t="s">
        <v>1210</v>
      </c>
      <c r="B1041" s="3">
        <v>0.0</v>
      </c>
      <c r="C1041" s="3" t="s">
        <v>3</v>
      </c>
      <c r="D1041" s="4" t="b">
        <f t="shared" si="1"/>
        <v>0</v>
      </c>
      <c r="E1041" s="4" t="str">
        <f t="shared" si="2"/>
        <v>GROUPEMENT DES RETRAITES EDUCATEURS SANS FRONTIERES - GREF</v>
      </c>
    </row>
    <row r="1042">
      <c r="A1042" s="3" t="s">
        <v>1211</v>
      </c>
      <c r="B1042" s="4"/>
      <c r="C1042" s="4"/>
      <c r="D1042" s="4" t="b">
        <f t="shared" si="1"/>
        <v>1</v>
      </c>
      <c r="E1042" s="4" t="str">
        <f t="shared" si="2"/>
        <v>GREF</v>
      </c>
    </row>
    <row r="1043">
      <c r="A1043" s="3" t="s">
        <v>1212</v>
      </c>
      <c r="B1043" s="3">
        <v>2500.0</v>
      </c>
      <c r="C1043" s="3" t="s">
        <v>3</v>
      </c>
      <c r="D1043" s="4" t="b">
        <f t="shared" si="1"/>
        <v>0</v>
      </c>
      <c r="E1043" s="4" t="str">
        <f t="shared" si="2"/>
        <v>GROUPEMENT POUR L'INSERTION DES HANDICAPES PHYSIQUES D'AQUITAINE - GIHP AQUITAINE</v>
      </c>
    </row>
    <row r="1044">
      <c r="A1044" s="3" t="s">
        <v>1213</v>
      </c>
      <c r="B1044" s="4"/>
      <c r="C1044" s="4"/>
      <c r="D1044" s="4" t="b">
        <f t="shared" si="1"/>
        <v>1</v>
      </c>
      <c r="E1044" s="4" t="str">
        <f t="shared" si="2"/>
        <v>D'AQUITAINE - GIHP AQUITAINE</v>
      </c>
    </row>
    <row r="1045">
      <c r="A1045" s="3" t="s">
        <v>1214</v>
      </c>
      <c r="B1045" s="3">
        <v>5000.0</v>
      </c>
      <c r="C1045" s="3" t="s">
        <v>29</v>
      </c>
      <c r="D1045" s="4" t="b">
        <f t="shared" si="1"/>
        <v>0</v>
      </c>
      <c r="E1045" s="4" t="str">
        <f t="shared" si="2"/>
        <v>GUYENNE HANDI-NAGES</v>
      </c>
    </row>
    <row r="1046">
      <c r="A1046" s="3" t="s">
        <v>1215</v>
      </c>
      <c r="B1046" s="3">
        <v>0.0</v>
      </c>
      <c r="C1046" s="3" t="s">
        <v>29</v>
      </c>
      <c r="D1046" s="4" t="b">
        <f t="shared" si="1"/>
        <v>0</v>
      </c>
      <c r="E1046" s="4" t="str">
        <f t="shared" si="2"/>
        <v>GYMNASTIQUE VOLONTAIRE BORDEAUX BASTIDE</v>
      </c>
    </row>
    <row r="1047">
      <c r="A1047" s="3" t="s">
        <v>1216</v>
      </c>
      <c r="B1047" s="3">
        <v>0.0</v>
      </c>
      <c r="C1047" s="3" t="s">
        <v>3</v>
      </c>
      <c r="D1047" s="4" t="b">
        <f t="shared" si="1"/>
        <v>0</v>
      </c>
      <c r="E1047" s="4" t="str">
        <f t="shared" si="2"/>
        <v>GYMNASTIQUE VOLONTAIRE BORDEAUX LOUCHEUR</v>
      </c>
    </row>
    <row r="1048">
      <c r="A1048" s="3" t="s">
        <v>1217</v>
      </c>
      <c r="B1048" s="3">
        <v>0.0</v>
      </c>
      <c r="C1048" s="3" t="s">
        <v>29</v>
      </c>
      <c r="D1048" s="4" t="b">
        <f t="shared" si="1"/>
        <v>0</v>
      </c>
      <c r="E1048" s="4" t="str">
        <f t="shared" si="2"/>
        <v>GYMNASTIQUE VOLONTAIRE CHAUFFOUR</v>
      </c>
    </row>
    <row r="1049">
      <c r="A1049" s="3" t="s">
        <v>1218</v>
      </c>
      <c r="B1049" s="3">
        <v>0.0</v>
      </c>
      <c r="C1049" s="3" t="s">
        <v>29</v>
      </c>
      <c r="D1049" s="4" t="b">
        <f t="shared" si="1"/>
        <v>0</v>
      </c>
      <c r="E1049" s="4" t="str">
        <f t="shared" si="2"/>
        <v>GYMNASTIQUE VOLONTAIRE LESCURE</v>
      </c>
    </row>
    <row r="1050">
      <c r="A1050" s="3" t="s">
        <v>1219</v>
      </c>
      <c r="B1050" s="3">
        <v>0.0</v>
      </c>
      <c r="C1050" s="3" t="s">
        <v>26</v>
      </c>
      <c r="D1050" s="4" t="b">
        <f t="shared" si="1"/>
        <v>0</v>
      </c>
      <c r="E1050" s="4" t="str">
        <f t="shared" si="2"/>
        <v>GYMNASTIQUE VOLONTAIRE PERGOLA STEHELIN</v>
      </c>
    </row>
    <row r="1051">
      <c r="A1051" s="3" t="s">
        <v>1220</v>
      </c>
      <c r="B1051" s="3">
        <v>0.0</v>
      </c>
      <c r="C1051" s="3" t="s">
        <v>3</v>
      </c>
      <c r="D1051" s="4" t="b">
        <f t="shared" si="1"/>
        <v>0</v>
      </c>
      <c r="E1051" s="4" t="str">
        <f t="shared" si="2"/>
        <v>GYMNASTIQUE VOLONTAIRE QUARTIER ST NICOLAS</v>
      </c>
    </row>
    <row r="1052">
      <c r="A1052" s="3" t="s">
        <v>1221</v>
      </c>
      <c r="B1052" s="3">
        <v>0.0</v>
      </c>
      <c r="C1052" s="3" t="s">
        <v>3</v>
      </c>
      <c r="D1052" s="4" t="b">
        <f t="shared" si="1"/>
        <v>0</v>
      </c>
      <c r="E1052" s="4" t="str">
        <f t="shared" si="2"/>
        <v>H NORD ECOQUARTIER DE BORDEAUX - H NORD</v>
      </c>
    </row>
    <row r="1053">
      <c r="A1053" s="3" t="s">
        <v>1222</v>
      </c>
      <c r="B1053" s="3">
        <v>0.0</v>
      </c>
      <c r="C1053" s="3" t="s">
        <v>6</v>
      </c>
      <c r="D1053" s="4" t="b">
        <f t="shared" si="1"/>
        <v>0</v>
      </c>
      <c r="E1053" s="4" t="str">
        <f t="shared" si="2"/>
        <v>HABAD LOUBAVITCH BORDEAUX</v>
      </c>
    </row>
    <row r="1054">
      <c r="A1054" s="3" t="s">
        <v>1223</v>
      </c>
      <c r="B1054" s="3">
        <v>3000.0</v>
      </c>
      <c r="C1054" s="3" t="s">
        <v>3</v>
      </c>
      <c r="D1054" s="4" t="b">
        <f t="shared" si="1"/>
        <v>0</v>
      </c>
      <c r="E1054" s="4" t="str">
        <f t="shared" si="2"/>
        <v>HABITAT ET HUMANISME GIRONDE - HH33</v>
      </c>
    </row>
    <row r="1055">
      <c r="A1055" s="3" t="s">
        <v>1224</v>
      </c>
      <c r="B1055" s="3">
        <v>0.0</v>
      </c>
      <c r="C1055" s="3" t="s">
        <v>6</v>
      </c>
      <c r="D1055" s="4" t="b">
        <f t="shared" si="1"/>
        <v>0</v>
      </c>
      <c r="E1055" s="4" t="str">
        <f t="shared" si="2"/>
        <v>HABITATS JEUNES SIMONE NOAILLES</v>
      </c>
    </row>
    <row r="1056">
      <c r="A1056" s="3" t="s">
        <v>1225</v>
      </c>
      <c r="B1056" s="3">
        <v>0.0</v>
      </c>
      <c r="C1056" s="3" t="s">
        <v>3</v>
      </c>
      <c r="D1056" s="4" t="b">
        <f t="shared" si="1"/>
        <v>0</v>
      </c>
      <c r="E1056" s="4" t="str">
        <f t="shared" si="2"/>
        <v>HAITI EN VIE</v>
      </c>
    </row>
    <row r="1057">
      <c r="A1057" s="3" t="s">
        <v>1226</v>
      </c>
      <c r="B1057" s="3">
        <v>0.0</v>
      </c>
      <c r="C1057" s="3" t="s">
        <v>29</v>
      </c>
      <c r="D1057" s="4" t="b">
        <f t="shared" si="1"/>
        <v>0</v>
      </c>
      <c r="E1057" s="4" t="str">
        <f t="shared" si="2"/>
        <v>HALEIWA</v>
      </c>
    </row>
    <row r="1058">
      <c r="A1058" s="3" t="s">
        <v>1227</v>
      </c>
      <c r="B1058" s="3">
        <v>66000.0</v>
      </c>
      <c r="C1058" s="4"/>
      <c r="D1058" s="4" t="b">
        <f t="shared" si="1"/>
        <v>0</v>
      </c>
      <c r="E1058" s="4" t="str">
        <f t="shared" si="2"/>
        <v>HALTE 33</v>
      </c>
    </row>
    <row r="1059">
      <c r="A1059" s="3" t="s">
        <v>1229</v>
      </c>
      <c r="B1059" s="3">
        <v>0.0</v>
      </c>
      <c r="C1059" s="3" t="s">
        <v>6</v>
      </c>
      <c r="D1059" s="4" t="b">
        <f t="shared" si="1"/>
        <v>0</v>
      </c>
      <c r="E1059" s="4" t="str">
        <f t="shared" si="2"/>
        <v>HANDICAP INTERNATIONAL</v>
      </c>
    </row>
    <row r="1060">
      <c r="A1060" s="3" t="s">
        <v>1230</v>
      </c>
      <c r="B1060" s="3">
        <v>0.0</v>
      </c>
      <c r="C1060" s="3" t="s">
        <v>3</v>
      </c>
      <c r="D1060" s="4" t="b">
        <f t="shared" si="1"/>
        <v>0</v>
      </c>
      <c r="E1060" s="4" t="str">
        <f t="shared" si="2"/>
        <v>HANDISPORT 33 AMICALE SPORTIVE DES HANDICAPES PHYSIQUES D'AQUITAINE - ASHPA</v>
      </c>
    </row>
    <row r="1061">
      <c r="A1061" s="3" t="s">
        <v>1231</v>
      </c>
      <c r="B1061" s="4"/>
      <c r="C1061" s="4"/>
      <c r="D1061" s="4" t="b">
        <f t="shared" si="1"/>
        <v>1</v>
      </c>
      <c r="E1061" s="4" t="str">
        <f t="shared" si="2"/>
        <v>D'AQUITAINE - ASHPA</v>
      </c>
    </row>
    <row r="1062">
      <c r="A1062" s="3" t="s">
        <v>1232</v>
      </c>
      <c r="B1062" s="3">
        <v>0.0</v>
      </c>
      <c r="C1062" s="3" t="s">
        <v>29</v>
      </c>
      <c r="D1062" s="4" t="b">
        <f t="shared" si="1"/>
        <v>0</v>
      </c>
      <c r="E1062" s="4" t="str">
        <f t="shared" si="2"/>
        <v>HARMONIE STRETCH ET DETENTE</v>
      </c>
    </row>
    <row r="1063">
      <c r="A1063" s="3" t="s">
        <v>1233</v>
      </c>
      <c r="B1063" s="3">
        <v>0.0</v>
      </c>
      <c r="C1063" s="3" t="s">
        <v>3</v>
      </c>
      <c r="D1063" s="4" t="b">
        <f t="shared" si="1"/>
        <v>0</v>
      </c>
      <c r="E1063" s="4" t="str">
        <f t="shared" si="2"/>
        <v>HISTOIRE(S) DE LA BASTIDE</v>
      </c>
    </row>
    <row r="1064">
      <c r="A1064" s="3" t="s">
        <v>1234</v>
      </c>
      <c r="B1064" s="3">
        <v>8308.0</v>
      </c>
      <c r="C1064" s="3" t="s">
        <v>26</v>
      </c>
      <c r="D1064" s="4" t="b">
        <f t="shared" si="1"/>
        <v>0</v>
      </c>
      <c r="E1064" s="4" t="str">
        <f t="shared" si="2"/>
        <v>HOCKEY GARONNE SPORT</v>
      </c>
    </row>
    <row r="1065">
      <c r="A1065" s="3" t="s">
        <v>1236</v>
      </c>
      <c r="B1065" s="3">
        <v>0.0</v>
      </c>
      <c r="C1065" s="3" t="s">
        <v>6</v>
      </c>
      <c r="D1065" s="4" t="b">
        <f t="shared" si="1"/>
        <v>0</v>
      </c>
      <c r="E1065" s="4" t="str">
        <f t="shared" si="2"/>
        <v>HORS BORD</v>
      </c>
    </row>
    <row r="1066">
      <c r="A1066" s="3" t="s">
        <v>1237</v>
      </c>
      <c r="B1066" s="3">
        <v>0.0</v>
      </c>
      <c r="C1066" s="3" t="s">
        <v>32</v>
      </c>
      <c r="D1066" s="4" t="b">
        <f t="shared" si="1"/>
        <v>0</v>
      </c>
      <c r="E1066" s="4" t="str">
        <f t="shared" si="2"/>
        <v>ICRONOS</v>
      </c>
    </row>
    <row r="1067">
      <c r="A1067" s="3" t="s">
        <v>1238</v>
      </c>
      <c r="B1067" s="3">
        <v>1500.0</v>
      </c>
      <c r="C1067" s="4"/>
      <c r="D1067" s="4" t="b">
        <f t="shared" si="1"/>
        <v>0</v>
      </c>
      <c r="E1067" s="4" t="str">
        <f t="shared" si="2"/>
        <v>IDEE D'ENSEMBLE</v>
      </c>
    </row>
    <row r="1068">
      <c r="A1068" s="3" t="s">
        <v>1239</v>
      </c>
      <c r="B1068" s="3">
        <v>0.0</v>
      </c>
      <c r="C1068" s="3" t="s">
        <v>3</v>
      </c>
      <c r="D1068" s="4" t="b">
        <f t="shared" si="1"/>
        <v>0</v>
      </c>
      <c r="E1068" s="4" t="str">
        <f t="shared" si="2"/>
        <v>IDEH - INITIATIVES POUR LE DEVELOPPEMENT HUMAIN</v>
      </c>
    </row>
    <row r="1069">
      <c r="A1069" s="3" t="s">
        <v>1240</v>
      </c>
      <c r="B1069" s="3">
        <v>0.0</v>
      </c>
      <c r="C1069" s="3" t="s">
        <v>3</v>
      </c>
      <c r="D1069" s="4" t="b">
        <f t="shared" si="1"/>
        <v>0</v>
      </c>
      <c r="E1069" s="4" t="str">
        <f t="shared" si="2"/>
        <v>ILOT DES MOTS</v>
      </c>
    </row>
    <row r="1070">
      <c r="A1070" s="3" t="s">
        <v>1241</v>
      </c>
      <c r="B1070" s="3">
        <v>300.0</v>
      </c>
      <c r="C1070" s="4"/>
      <c r="D1070" s="4" t="b">
        <f t="shared" si="1"/>
        <v>0</v>
      </c>
      <c r="E1070" s="4" t="str">
        <f t="shared" si="2"/>
        <v>IMAD IBN ZIATEN POUR LA JEUNESSE ET LA PAIE</v>
      </c>
    </row>
    <row r="1071">
      <c r="A1071" s="3" t="s">
        <v>1242</v>
      </c>
      <c r="B1071" s="3">
        <v>4500.0</v>
      </c>
      <c r="C1071" s="3" t="s">
        <v>3</v>
      </c>
      <c r="D1071" s="4" t="b">
        <f t="shared" si="1"/>
        <v>0</v>
      </c>
      <c r="E1071" s="4" t="str">
        <f t="shared" si="2"/>
        <v>IMAGINA MUSIC</v>
      </c>
    </row>
    <row r="1072">
      <c r="A1072" s="3" t="s">
        <v>1243</v>
      </c>
      <c r="B1072" s="3">
        <v>7000.0</v>
      </c>
      <c r="C1072" s="3" t="s">
        <v>26</v>
      </c>
      <c r="D1072" s="4" t="b">
        <f t="shared" si="1"/>
        <v>0</v>
      </c>
      <c r="E1072" s="4" t="str">
        <f t="shared" si="2"/>
        <v>IMPACTS AQUITAINE</v>
      </c>
    </row>
    <row r="1073">
      <c r="A1073" s="3" t="s">
        <v>1244</v>
      </c>
      <c r="B1073" s="3">
        <v>3000.0</v>
      </c>
      <c r="C1073" s="4"/>
      <c r="D1073" s="4" t="b">
        <f t="shared" si="1"/>
        <v>0</v>
      </c>
      <c r="E1073" s="4" t="str">
        <f t="shared" si="2"/>
        <v>INCITE - BORDEAUX CUB</v>
      </c>
    </row>
    <row r="1074">
      <c r="A1074" s="3" t="s">
        <v>1245</v>
      </c>
      <c r="B1074" s="3">
        <v>500.0</v>
      </c>
      <c r="C1074" s="4"/>
      <c r="D1074" s="4" t="b">
        <f t="shared" si="1"/>
        <v>0</v>
      </c>
      <c r="E1074" s="4" t="str">
        <f t="shared" si="2"/>
        <v>INCROYABLES COMESTIBLES BORDEAUX</v>
      </c>
    </row>
    <row r="1075">
      <c r="A1075" s="3" t="s">
        <v>1246</v>
      </c>
      <c r="B1075" s="3">
        <v>21000.0</v>
      </c>
      <c r="C1075" s="4"/>
      <c r="D1075" s="4" t="b">
        <f t="shared" si="1"/>
        <v>0</v>
      </c>
      <c r="E1075" s="4" t="str">
        <f t="shared" si="2"/>
        <v>INCUBATEUR AU FEMININ BORDEAUX AQUITAINE</v>
      </c>
    </row>
    <row r="1076">
      <c r="A1076" s="3" t="s">
        <v>1247</v>
      </c>
      <c r="B1076" s="3">
        <v>3000.0</v>
      </c>
      <c r="C1076" s="4"/>
      <c r="D1076" s="4" t="b">
        <f t="shared" si="1"/>
        <v>0</v>
      </c>
      <c r="E1076" s="4" t="str">
        <f t="shared" si="2"/>
        <v>INFO SECTES AQUITAINE</v>
      </c>
    </row>
    <row r="1077">
      <c r="A1077" s="3" t="s">
        <v>1248</v>
      </c>
      <c r="B1077" s="3">
        <v>12000.0</v>
      </c>
      <c r="C1077" s="4"/>
      <c r="D1077" s="4" t="b">
        <f t="shared" si="1"/>
        <v>0</v>
      </c>
      <c r="E1077" s="4" t="str">
        <f t="shared" si="2"/>
        <v>INFODROITS</v>
      </c>
    </row>
    <row r="1078">
      <c r="A1078" s="3" t="s">
        <v>1249</v>
      </c>
      <c r="B1078" s="3">
        <v>0.0</v>
      </c>
      <c r="C1078" s="3" t="s">
        <v>3</v>
      </c>
      <c r="D1078" s="4" t="b">
        <f t="shared" si="1"/>
        <v>0</v>
      </c>
      <c r="E1078" s="4" t="str">
        <f t="shared" si="2"/>
        <v>INNER WHEEL CLUB DE BORDEAUX MEDOC</v>
      </c>
    </row>
    <row r="1079">
      <c r="A1079" s="3" t="s">
        <v>1250</v>
      </c>
      <c r="B1079" s="3">
        <v>0.0</v>
      </c>
      <c r="C1079" s="3" t="s">
        <v>3</v>
      </c>
      <c r="D1079" s="4" t="b">
        <f t="shared" si="1"/>
        <v>0</v>
      </c>
      <c r="E1079" s="4" t="str">
        <f t="shared" si="2"/>
        <v>INSTANCE REGIONALE D'EDUCATION ET DE PROMOTION SANTE NOUVELLE-AQUITAINE (IREPS NOUVELLE-AQUITAINE)</v>
      </c>
    </row>
    <row r="1080">
      <c r="A1080" s="3" t="s">
        <v>1251</v>
      </c>
      <c r="B1080" s="4"/>
      <c r="C1080" s="4"/>
      <c r="D1080" s="4" t="b">
        <f t="shared" si="1"/>
        <v>1</v>
      </c>
      <c r="E1080" s="4" t="str">
        <f t="shared" si="2"/>
        <v>NOUVELLE-AQUITAINE (IREPS NOUVELLE-AQUITAINE)</v>
      </c>
    </row>
    <row r="1081">
      <c r="A1081" s="3" t="s">
        <v>1252</v>
      </c>
      <c r="B1081" s="3">
        <v>2500.0</v>
      </c>
      <c r="C1081" s="4"/>
      <c r="D1081" s="4" t="b">
        <f t="shared" si="1"/>
        <v>0</v>
      </c>
      <c r="E1081" s="4" t="str">
        <f t="shared" si="2"/>
        <v>INSTANT LIBRE</v>
      </c>
    </row>
    <row r="1082">
      <c r="A1082" s="3" t="s">
        <v>1253</v>
      </c>
      <c r="B1082" s="3">
        <v>0.0</v>
      </c>
      <c r="C1082" s="3" t="s">
        <v>6</v>
      </c>
      <c r="D1082" s="4" t="b">
        <f t="shared" si="1"/>
        <v>0</v>
      </c>
      <c r="E1082" s="4" t="str">
        <f t="shared" si="2"/>
        <v>INSTANTS BORDELAIS</v>
      </c>
    </row>
    <row r="1083">
      <c r="A1083" s="3" t="s">
        <v>1254</v>
      </c>
      <c r="B1083" s="3">
        <v>0.0</v>
      </c>
      <c r="C1083" s="3" t="s">
        <v>484</v>
      </c>
      <c r="D1083" s="4" t="b">
        <f t="shared" si="1"/>
        <v>0</v>
      </c>
      <c r="E1083" s="4" t="str">
        <f t="shared" si="2"/>
        <v>INSTITUT BERGONIE</v>
      </c>
    </row>
    <row r="1084">
      <c r="A1084" s="3" t="s">
        <v>1255</v>
      </c>
      <c r="B1084" s="3">
        <v>0.0</v>
      </c>
      <c r="C1084" s="3" t="s">
        <v>3</v>
      </c>
      <c r="D1084" s="4" t="b">
        <f t="shared" si="1"/>
        <v>0</v>
      </c>
      <c r="E1084" s="4" t="str">
        <f t="shared" si="2"/>
        <v>INSTITUT DE FORMATION ET D'APPUI AUX INITIATIVES DE DEVELOPPEMENT - IFAID AQUITAINE</v>
      </c>
    </row>
    <row r="1085">
      <c r="A1085" s="3" t="s">
        <v>1256</v>
      </c>
      <c r="B1085" s="4"/>
      <c r="C1085" s="4"/>
      <c r="D1085" s="4" t="b">
        <f t="shared" si="1"/>
        <v>1</v>
      </c>
      <c r="E1085" s="4" t="str">
        <f t="shared" si="2"/>
        <v>DEVELOPPEMENT - IFAID AQUITAINE</v>
      </c>
    </row>
    <row r="1086">
      <c r="A1086" s="3" t="s">
        <v>1257</v>
      </c>
      <c r="B1086" s="3">
        <v>0.0</v>
      </c>
      <c r="C1086" s="3" t="s">
        <v>29</v>
      </c>
      <c r="D1086" s="4" t="b">
        <f t="shared" si="1"/>
        <v>0</v>
      </c>
      <c r="E1086" s="4" t="str">
        <f t="shared" si="2"/>
        <v>INSTITUT DE JOURNALISME BORDEAUX AQUITAINE</v>
      </c>
    </row>
    <row r="1087">
      <c r="A1087" s="3" t="s">
        <v>1258</v>
      </c>
      <c r="B1087" s="3">
        <v>1500.0</v>
      </c>
      <c r="C1087" s="4"/>
      <c r="D1087" s="4" t="b">
        <f t="shared" si="1"/>
        <v>0</v>
      </c>
      <c r="E1087" s="4" t="str">
        <f t="shared" si="2"/>
        <v>INSTITUT DES AFRIQUES</v>
      </c>
    </row>
    <row r="1088">
      <c r="A1088" s="3" t="s">
        <v>1259</v>
      </c>
      <c r="B1088" s="3">
        <v>1000.0</v>
      </c>
      <c r="C1088" s="3" t="s">
        <v>6</v>
      </c>
      <c r="D1088" s="4" t="b">
        <f t="shared" si="1"/>
        <v>0</v>
      </c>
      <c r="E1088" s="4" t="str">
        <f t="shared" si="2"/>
        <v>INSTITUT DES CONDUITES ALIMENTAIRES (ICAL)</v>
      </c>
    </row>
    <row r="1089">
      <c r="A1089" s="3" t="s">
        <v>1260</v>
      </c>
      <c r="B1089" s="3">
        <v>1550.0</v>
      </c>
      <c r="C1089" s="4"/>
      <c r="D1089" s="4" t="b">
        <f t="shared" si="1"/>
        <v>0</v>
      </c>
      <c r="E1089" s="4" t="str">
        <f t="shared" si="2"/>
        <v>INSTITUT DON BOSCO</v>
      </c>
    </row>
    <row r="1090">
      <c r="A1090" s="3" t="s">
        <v>1262</v>
      </c>
      <c r="B1090" s="3">
        <v>25000.0</v>
      </c>
      <c r="C1090" s="4"/>
      <c r="D1090" s="4" t="b">
        <f t="shared" si="1"/>
        <v>0</v>
      </c>
      <c r="E1090" s="4" t="str">
        <f t="shared" si="2"/>
        <v>INSTITUT FRANCAIS</v>
      </c>
    </row>
    <row r="1091">
      <c r="A1091" s="3" t="s">
        <v>1264</v>
      </c>
      <c r="B1091" s="3">
        <v>9000.0</v>
      </c>
      <c r="C1091" s="4"/>
      <c r="D1091" s="4" t="b">
        <f t="shared" si="1"/>
        <v>0</v>
      </c>
      <c r="E1091" s="4" t="str">
        <f t="shared" si="2"/>
        <v>INSTITUT FRANCAIS DE GEORGIE</v>
      </c>
    </row>
    <row r="1092">
      <c r="A1092" s="3" t="s">
        <v>1266</v>
      </c>
      <c r="B1092" s="3">
        <v>0.0</v>
      </c>
      <c r="C1092" s="3" t="s">
        <v>3</v>
      </c>
      <c r="D1092" s="4" t="b">
        <f t="shared" si="1"/>
        <v>0</v>
      </c>
      <c r="E1092" s="4" t="str">
        <f t="shared" si="2"/>
        <v>INSTITUT MACONNIQUE D'AQUITAINE</v>
      </c>
    </row>
    <row r="1093">
      <c r="A1093" s="3" t="s">
        <v>1267</v>
      </c>
      <c r="B1093" s="3">
        <v>0.0</v>
      </c>
      <c r="C1093" s="3" t="s">
        <v>29</v>
      </c>
      <c r="D1093" s="4" t="b">
        <f t="shared" si="1"/>
        <v>0</v>
      </c>
      <c r="E1093" s="4" t="str">
        <f t="shared" si="2"/>
        <v>INSTITUT MEDICO-PEDAGOGIQUE SAINT JOSEPH</v>
      </c>
    </row>
    <row r="1094">
      <c r="A1094" s="3" t="s">
        <v>1268</v>
      </c>
      <c r="B1094" s="3">
        <v>0.0</v>
      </c>
      <c r="C1094" s="3" t="s">
        <v>6</v>
      </c>
      <c r="D1094" s="4" t="b">
        <f t="shared" si="1"/>
        <v>0</v>
      </c>
      <c r="E1094" s="4" t="str">
        <f t="shared" si="2"/>
        <v>INSTITUT REGIONAL DES SOURDS ET DES AVEUGLES - IRSA</v>
      </c>
    </row>
    <row r="1095">
      <c r="A1095" s="3" t="s">
        <v>1269</v>
      </c>
      <c r="B1095" s="3">
        <v>800.0</v>
      </c>
      <c r="C1095" s="4"/>
      <c r="D1095" s="4" t="b">
        <f t="shared" si="1"/>
        <v>0</v>
      </c>
      <c r="E1095" s="4" t="str">
        <f t="shared" si="2"/>
        <v>INTENDANT DU LYCEE MICHEL MONTAIGNE</v>
      </c>
    </row>
    <row r="1096">
      <c r="A1096" s="3" t="s">
        <v>1270</v>
      </c>
      <c r="B1096" s="3">
        <v>478850.0</v>
      </c>
      <c r="C1096" s="3" t="s">
        <v>32</v>
      </c>
      <c r="D1096" s="4" t="b">
        <f t="shared" si="1"/>
        <v>0</v>
      </c>
      <c r="E1096" s="4" t="str">
        <f t="shared" si="2"/>
        <v>INTERLUDE</v>
      </c>
    </row>
    <row r="1097">
      <c r="A1097" s="3" t="s">
        <v>1272</v>
      </c>
      <c r="B1097" s="3">
        <v>700.0</v>
      </c>
      <c r="C1097" s="3" t="s">
        <v>3</v>
      </c>
      <c r="D1097" s="4" t="b">
        <f t="shared" si="1"/>
        <v>0</v>
      </c>
      <c r="E1097" s="4" t="str">
        <f t="shared" si="2"/>
        <v>INTERNATIONAL CLUB OF BORDEAUX (ICB)</v>
      </c>
    </row>
    <row r="1098">
      <c r="A1098" s="3" t="s">
        <v>1273</v>
      </c>
      <c r="B1098" s="3">
        <v>24500.0</v>
      </c>
      <c r="C1098" s="3" t="s">
        <v>3</v>
      </c>
      <c r="D1098" s="4" t="b">
        <f t="shared" si="1"/>
        <v>0</v>
      </c>
      <c r="E1098" s="4" t="str">
        <f t="shared" si="2"/>
        <v>IPPO (INFORMATION, PREVENTION, PROXIMITE, ORIENTATION)</v>
      </c>
    </row>
    <row r="1099">
      <c r="A1099" s="3" t="s">
        <v>1275</v>
      </c>
      <c r="B1099" s="3">
        <v>0.0</v>
      </c>
      <c r="C1099" s="3" t="s">
        <v>29</v>
      </c>
      <c r="D1099" s="4" t="b">
        <f t="shared" si="1"/>
        <v>0</v>
      </c>
      <c r="E1099" s="4" t="str">
        <f t="shared" si="2"/>
        <v>IRON SPORT BORDEAUX</v>
      </c>
    </row>
    <row r="1100">
      <c r="A1100" s="3" t="s">
        <v>1276</v>
      </c>
      <c r="B1100" s="3">
        <v>0.0</v>
      </c>
      <c r="C1100" s="3" t="s">
        <v>3</v>
      </c>
      <c r="D1100" s="4" t="b">
        <f t="shared" si="1"/>
        <v>0</v>
      </c>
      <c r="E1100" s="4" t="str">
        <f t="shared" si="2"/>
        <v>ITAL'ICI</v>
      </c>
    </row>
    <row r="1101">
      <c r="A1101" s="3" t="s">
        <v>1277</v>
      </c>
      <c r="B1101" s="3">
        <v>14000.0</v>
      </c>
      <c r="C1101" s="3" t="s">
        <v>16</v>
      </c>
      <c r="D1101" s="4" t="b">
        <f t="shared" si="1"/>
        <v>0</v>
      </c>
      <c r="E1101" s="4" t="str">
        <f t="shared" si="2"/>
        <v>ITINERAIRES DES PHOTOGRAPHES VOYAGEURS</v>
      </c>
    </row>
    <row r="1102">
      <c r="A1102" s="3" t="s">
        <v>1278</v>
      </c>
      <c r="B1102" s="3">
        <v>10000.0</v>
      </c>
      <c r="C1102" s="4"/>
      <c r="D1102" s="4" t="b">
        <f t="shared" si="1"/>
        <v>0</v>
      </c>
      <c r="E1102" s="4" t="str">
        <f t="shared" si="2"/>
        <v>IUFN</v>
      </c>
    </row>
    <row r="1103">
      <c r="A1103" s="3" t="s">
        <v>1279</v>
      </c>
      <c r="B1103" s="3">
        <v>6000.0</v>
      </c>
      <c r="C1103" s="4"/>
      <c r="D1103" s="4" t="b">
        <f t="shared" si="1"/>
        <v>0</v>
      </c>
      <c r="E1103" s="4" t="str">
        <f t="shared" si="2"/>
        <v>J'ADORE CE QUE VOUS FAITES</v>
      </c>
    </row>
    <row r="1104">
      <c r="A1104" s="3" t="s">
        <v>1280</v>
      </c>
      <c r="B1104" s="3">
        <v>0.0</v>
      </c>
      <c r="C1104" s="3" t="s">
        <v>3</v>
      </c>
      <c r="D1104" s="4" t="b">
        <f t="shared" si="1"/>
        <v>0</v>
      </c>
      <c r="E1104" s="4" t="str">
        <f t="shared" si="2"/>
        <v>JARDIN ET ECOTOURISME</v>
      </c>
    </row>
    <row r="1105">
      <c r="A1105" s="3" t="s">
        <v>1281</v>
      </c>
      <c r="B1105" s="3">
        <v>3000.0</v>
      </c>
      <c r="C1105" s="3" t="s">
        <v>3</v>
      </c>
      <c r="D1105" s="4" t="b">
        <f t="shared" si="1"/>
        <v>0</v>
      </c>
      <c r="E1105" s="4" t="str">
        <f t="shared" si="2"/>
        <v>JE CHERCHE UN JOB</v>
      </c>
    </row>
    <row r="1106">
      <c r="A1106" s="3" t="s">
        <v>1282</v>
      </c>
      <c r="B1106" s="3">
        <v>0.0</v>
      </c>
      <c r="C1106" s="3" t="s">
        <v>3</v>
      </c>
      <c r="D1106" s="4" t="b">
        <f t="shared" si="1"/>
        <v>0</v>
      </c>
      <c r="E1106" s="4" t="str">
        <f t="shared" si="2"/>
        <v>JETER L'ENCRE</v>
      </c>
    </row>
    <row r="1107">
      <c r="A1107" s="3" t="s">
        <v>1283</v>
      </c>
      <c r="B1107" s="3">
        <v>0.0</v>
      </c>
      <c r="C1107" s="3" t="s">
        <v>3</v>
      </c>
      <c r="D1107" s="4" t="b">
        <f t="shared" si="1"/>
        <v>0</v>
      </c>
      <c r="E1107" s="4" t="str">
        <f t="shared" si="2"/>
        <v>JEUNE ACADEMIE VOCALE D'AQUITAINE</v>
      </c>
    </row>
    <row r="1108">
      <c r="A1108" s="3" t="s">
        <v>1284</v>
      </c>
      <c r="B1108" s="3">
        <v>0.0</v>
      </c>
      <c r="C1108" s="3" t="s">
        <v>32</v>
      </c>
      <c r="D1108" s="4" t="b">
        <f t="shared" si="1"/>
        <v>0</v>
      </c>
      <c r="E1108" s="4" t="str">
        <f t="shared" si="2"/>
        <v>JEUNE BALLET D AQUITAINE</v>
      </c>
    </row>
    <row r="1109">
      <c r="A1109" s="3" t="s">
        <v>1285</v>
      </c>
      <c r="B1109" s="3">
        <v>3300.0</v>
      </c>
      <c r="C1109" s="4"/>
      <c r="D1109" s="4" t="b">
        <f t="shared" si="1"/>
        <v>0</v>
      </c>
      <c r="E1109" s="4" t="str">
        <f t="shared" si="2"/>
        <v>JEUNE CHAMBRE ECONOMIQUE DE BORDEAUX</v>
      </c>
    </row>
    <row r="1110">
      <c r="A1110" s="3" t="s">
        <v>1287</v>
      </c>
      <c r="B1110" s="3">
        <v>4000.0</v>
      </c>
      <c r="C1110" s="3" t="s">
        <v>3</v>
      </c>
      <c r="D1110" s="4" t="b">
        <f t="shared" si="1"/>
        <v>0</v>
      </c>
      <c r="E1110" s="4" t="str">
        <f t="shared" si="2"/>
        <v>JEUNES MUSULMANS DE LA GIRONDE - JMG</v>
      </c>
    </row>
    <row r="1111">
      <c r="A1111" s="3" t="s">
        <v>1288</v>
      </c>
      <c r="B1111" s="3">
        <v>10083.0</v>
      </c>
      <c r="C1111" s="3" t="s">
        <v>32</v>
      </c>
      <c r="D1111" s="4" t="b">
        <f t="shared" si="1"/>
        <v>0</v>
      </c>
      <c r="E1111" s="4" t="str">
        <f t="shared" si="2"/>
        <v>JEUNES SCIENCE BORDEAUX</v>
      </c>
    </row>
    <row r="1112">
      <c r="A1112" s="3" t="s">
        <v>1290</v>
      </c>
      <c r="B1112" s="3">
        <v>3000.0</v>
      </c>
      <c r="C1112" s="3" t="s">
        <v>3</v>
      </c>
      <c r="D1112" s="4" t="b">
        <f t="shared" si="1"/>
        <v>0</v>
      </c>
      <c r="E1112" s="4" t="str">
        <f t="shared" si="2"/>
        <v>JUDO CLUB BACALANAIS</v>
      </c>
    </row>
    <row r="1113">
      <c r="A1113" s="3" t="s">
        <v>1291</v>
      </c>
      <c r="B1113" s="3">
        <v>0.0</v>
      </c>
      <c r="C1113" s="3" t="s">
        <v>29</v>
      </c>
      <c r="D1113" s="4" t="b">
        <f t="shared" si="1"/>
        <v>0</v>
      </c>
      <c r="E1113" s="4" t="str">
        <f t="shared" si="2"/>
        <v>JUDO-CLUB GIRONDIN OMNISPORTS</v>
      </c>
    </row>
    <row r="1114">
      <c r="A1114" s="3" t="s">
        <v>1292</v>
      </c>
      <c r="B1114" s="3">
        <v>0.0</v>
      </c>
      <c r="C1114" s="3" t="s">
        <v>3</v>
      </c>
      <c r="D1114" s="4" t="b">
        <f t="shared" si="1"/>
        <v>0</v>
      </c>
      <c r="E1114" s="4" t="str">
        <f t="shared" si="2"/>
        <v>KALINA'GO</v>
      </c>
    </row>
    <row r="1115">
      <c r="A1115" s="3" t="s">
        <v>1293</v>
      </c>
      <c r="B1115" s="3">
        <v>7370.0</v>
      </c>
      <c r="C1115" s="3" t="s">
        <v>29</v>
      </c>
      <c r="D1115" s="4" t="b">
        <f t="shared" si="1"/>
        <v>0</v>
      </c>
      <c r="E1115" s="4" t="str">
        <f t="shared" si="2"/>
        <v>KAN-KRA TEAM</v>
      </c>
    </row>
    <row r="1116">
      <c r="A1116" s="3" t="s">
        <v>1295</v>
      </c>
      <c r="B1116" s="3">
        <v>0.0</v>
      </c>
      <c r="C1116" s="3" t="s">
        <v>3</v>
      </c>
      <c r="D1116" s="4" t="b">
        <f t="shared" si="1"/>
        <v>0</v>
      </c>
      <c r="E1116" s="4" t="str">
        <f t="shared" si="2"/>
        <v>KARAVAN BORDELAISE</v>
      </c>
    </row>
    <row r="1117">
      <c r="A1117" s="3" t="s">
        <v>1296</v>
      </c>
      <c r="B1117" s="3">
        <v>0.0</v>
      </c>
      <c r="C1117" s="3" t="s">
        <v>3</v>
      </c>
      <c r="D1117" s="4" t="b">
        <f t="shared" si="1"/>
        <v>0</v>
      </c>
      <c r="E1117" s="4" t="str">
        <f t="shared" si="2"/>
        <v>KAZ ANANDA</v>
      </c>
    </row>
    <row r="1118">
      <c r="A1118" s="3" t="s">
        <v>1297</v>
      </c>
      <c r="B1118" s="3">
        <v>0.0</v>
      </c>
      <c r="C1118" s="3" t="s">
        <v>3</v>
      </c>
      <c r="D1118" s="4" t="b">
        <f t="shared" si="1"/>
        <v>0</v>
      </c>
      <c r="E1118" s="4" t="str">
        <f t="shared" si="2"/>
        <v>KEEP A BREAST EUROPE FOUNDATION</v>
      </c>
    </row>
    <row r="1119">
      <c r="A1119" s="3" t="s">
        <v>1298</v>
      </c>
      <c r="B1119" s="3">
        <v>0.0</v>
      </c>
      <c r="C1119" s="3" t="s">
        <v>3</v>
      </c>
      <c r="D1119" s="4" t="b">
        <f t="shared" si="1"/>
        <v>0</v>
      </c>
      <c r="E1119" s="4" t="str">
        <f t="shared" si="2"/>
        <v>KI E KI</v>
      </c>
    </row>
    <row r="1120">
      <c r="A1120" s="3" t="s">
        <v>1299</v>
      </c>
      <c r="B1120" s="3">
        <v>0.0</v>
      </c>
      <c r="C1120" s="3" t="s">
        <v>3</v>
      </c>
      <c r="D1120" s="4" t="b">
        <f t="shared" si="1"/>
        <v>0</v>
      </c>
      <c r="E1120" s="4" t="str">
        <f t="shared" si="2"/>
        <v>KILOMBO KINTWADI</v>
      </c>
    </row>
    <row r="1121">
      <c r="A1121" s="3" t="s">
        <v>1300</v>
      </c>
      <c r="B1121" s="3">
        <v>2000.0</v>
      </c>
      <c r="C1121" s="3" t="s">
        <v>6</v>
      </c>
      <c r="D1121" s="4" t="b">
        <f t="shared" si="1"/>
        <v>0</v>
      </c>
      <c r="E1121" s="4" t="str">
        <f t="shared" si="2"/>
        <v>KINO SESSION</v>
      </c>
    </row>
    <row r="1122">
      <c r="A1122" s="3" t="s">
        <v>1301</v>
      </c>
      <c r="B1122" s="3">
        <v>0.0</v>
      </c>
      <c r="C1122" s="3" t="s">
        <v>3</v>
      </c>
      <c r="D1122" s="4" t="b">
        <f t="shared" si="1"/>
        <v>0</v>
      </c>
      <c r="E1122" s="4" t="str">
        <f t="shared" si="2"/>
        <v>KPOP DANCE MOVE BORDEAUX - KDM BORDEAUX</v>
      </c>
    </row>
    <row r="1123">
      <c r="A1123" s="3" t="s">
        <v>1302</v>
      </c>
      <c r="B1123" s="3">
        <v>0.0</v>
      </c>
      <c r="C1123" s="3" t="s">
        <v>29</v>
      </c>
      <c r="D1123" s="4" t="b">
        <f t="shared" si="1"/>
        <v>0</v>
      </c>
      <c r="E1123" s="4" t="str">
        <f t="shared" si="2"/>
        <v>KUNG-FU WUSHU ACADEMIE (KFWA)</v>
      </c>
    </row>
    <row r="1124">
      <c r="A1124" s="3" t="s">
        <v>1303</v>
      </c>
      <c r="B1124" s="3">
        <v>500.0</v>
      </c>
      <c r="C1124" s="3" t="s">
        <v>6</v>
      </c>
      <c r="D1124" s="4" t="b">
        <f t="shared" si="1"/>
        <v>0</v>
      </c>
      <c r="E1124" s="4" t="str">
        <f t="shared" si="2"/>
        <v>L'A COSMOPOLITAINE « COSMODANCE »</v>
      </c>
    </row>
    <row r="1125">
      <c r="A1125" s="3" t="s">
        <v>1304</v>
      </c>
      <c r="B1125" s="3">
        <v>9000.0</v>
      </c>
      <c r="C1125" s="3" t="s">
        <v>3</v>
      </c>
      <c r="D1125" s="4" t="b">
        <f t="shared" si="1"/>
        <v>0</v>
      </c>
      <c r="E1125" s="4" t="str">
        <f t="shared" si="2"/>
        <v>L'AGENCE CREATIVE</v>
      </c>
    </row>
    <row r="1126">
      <c r="A1126" s="3" t="s">
        <v>1305</v>
      </c>
      <c r="B1126" s="3">
        <v>2000.0</v>
      </c>
      <c r="C1126" s="3" t="s">
        <v>3</v>
      </c>
      <c r="D1126" s="4" t="b">
        <f t="shared" si="1"/>
        <v>0</v>
      </c>
      <c r="E1126" s="4" t="str">
        <f t="shared" si="2"/>
        <v>L'AGENCE DE GEOGRAPHIE AFFECTIVE</v>
      </c>
    </row>
    <row r="1127">
      <c r="A1127" s="3" t="s">
        <v>1306</v>
      </c>
      <c r="B1127" s="3">
        <v>1700.0</v>
      </c>
      <c r="C1127" s="4"/>
      <c r="D1127" s="4" t="b">
        <f t="shared" si="1"/>
        <v>0</v>
      </c>
      <c r="E1127" s="4" t="str">
        <f t="shared" si="2"/>
        <v>L'AIGLON CENTRE DE JEUNESSE</v>
      </c>
    </row>
    <row r="1128">
      <c r="A1128" s="3" t="s">
        <v>1307</v>
      </c>
      <c r="B1128" s="3">
        <v>0.0</v>
      </c>
      <c r="C1128" s="3" t="s">
        <v>32</v>
      </c>
      <c r="D1128" s="4" t="b">
        <f t="shared" si="1"/>
        <v>0</v>
      </c>
      <c r="E1128" s="4" t="str">
        <f t="shared" si="2"/>
        <v>L'AMICALE DES CHINOIS DU SUD-OUEST (ADCSO)</v>
      </c>
    </row>
    <row r="1129">
      <c r="A1129" s="3" t="s">
        <v>1308</v>
      </c>
      <c r="B1129" s="3">
        <v>3000.0</v>
      </c>
      <c r="C1129" s="4"/>
      <c r="D1129" s="4" t="b">
        <f t="shared" si="1"/>
        <v>0</v>
      </c>
      <c r="E1129" s="4" t="str">
        <f t="shared" si="2"/>
        <v>L'ART HACHE SCENE</v>
      </c>
    </row>
    <row r="1130">
      <c r="A1130" s="3" t="s">
        <v>1309</v>
      </c>
      <c r="B1130" s="3">
        <v>0.0</v>
      </c>
      <c r="C1130" s="3" t="s">
        <v>3</v>
      </c>
      <c r="D1130" s="4" t="b">
        <f t="shared" si="1"/>
        <v>0</v>
      </c>
      <c r="E1130" s="4" t="str">
        <f t="shared" si="2"/>
        <v>L'ASSOCIATION DES BISSAU-GUINEENS</v>
      </c>
    </row>
    <row r="1131">
      <c r="A1131" s="3" t="s">
        <v>1310</v>
      </c>
      <c r="B1131" s="3">
        <v>0.0</v>
      </c>
      <c r="C1131" s="3" t="s">
        <v>6</v>
      </c>
      <c r="D1131" s="4" t="b">
        <f t="shared" si="1"/>
        <v>0</v>
      </c>
      <c r="E1131" s="4" t="str">
        <f t="shared" si="2"/>
        <v>L'ASSOCIATION SLAVE</v>
      </c>
    </row>
    <row r="1132">
      <c r="A1132" s="3" t="s">
        <v>1311</v>
      </c>
      <c r="B1132" s="3">
        <v>0.0</v>
      </c>
      <c r="C1132" s="3" t="s">
        <v>3</v>
      </c>
      <c r="D1132" s="4" t="b">
        <f t="shared" si="1"/>
        <v>0</v>
      </c>
      <c r="E1132" s="4" t="str">
        <f t="shared" si="2"/>
        <v>L'ASSOS DIET</v>
      </c>
    </row>
    <row r="1133">
      <c r="A1133" s="3" t="s">
        <v>1312</v>
      </c>
      <c r="B1133" s="3">
        <v>500.0</v>
      </c>
      <c r="C1133" s="3" t="s">
        <v>3</v>
      </c>
      <c r="D1133" s="4" t="b">
        <f t="shared" si="1"/>
        <v>0</v>
      </c>
      <c r="E1133" s="4" t="str">
        <f t="shared" si="2"/>
        <v>L'ATELIER BUDGETAIRE</v>
      </c>
    </row>
    <row r="1134">
      <c r="A1134" s="3" t="s">
        <v>1313</v>
      </c>
      <c r="B1134" s="3">
        <v>0.0</v>
      </c>
      <c r="C1134" s="3" t="s">
        <v>3</v>
      </c>
      <c r="D1134" s="4" t="b">
        <f t="shared" si="1"/>
        <v>0</v>
      </c>
      <c r="E1134" s="4" t="str">
        <f t="shared" si="2"/>
        <v>L'ATELIER CHOREGRAPHIQUE</v>
      </c>
    </row>
    <row r="1135">
      <c r="A1135" s="3" t="s">
        <v>1314</v>
      </c>
      <c r="B1135" s="3">
        <v>4000.0</v>
      </c>
      <c r="C1135" s="4"/>
      <c r="D1135" s="4" t="b">
        <f t="shared" si="1"/>
        <v>0</v>
      </c>
      <c r="E1135" s="4" t="str">
        <f t="shared" si="2"/>
        <v>L'ATELIER DES BAINS DOUCHES</v>
      </c>
    </row>
    <row r="1136">
      <c r="A1136" s="3" t="s">
        <v>1315</v>
      </c>
      <c r="B1136" s="3">
        <v>16000.0</v>
      </c>
      <c r="C1136" s="3" t="s">
        <v>3</v>
      </c>
      <c r="D1136" s="4" t="b">
        <f t="shared" si="1"/>
        <v>0</v>
      </c>
      <c r="E1136" s="4" t="str">
        <f t="shared" si="2"/>
        <v>L'ATELIER REMUMENAGE</v>
      </c>
    </row>
    <row r="1137">
      <c r="A1137" s="3" t="s">
        <v>1316</v>
      </c>
      <c r="B1137" s="3">
        <v>0.0</v>
      </c>
      <c r="C1137" s="3" t="s">
        <v>3</v>
      </c>
      <c r="D1137" s="4" t="b">
        <f t="shared" si="1"/>
        <v>0</v>
      </c>
      <c r="E1137" s="4" t="str">
        <f t="shared" si="2"/>
        <v>L'ATELIER VIDEO PIRATE</v>
      </c>
    </row>
    <row r="1138">
      <c r="A1138" s="3" t="s">
        <v>1317</v>
      </c>
      <c r="B1138" s="3">
        <v>0.0</v>
      </c>
      <c r="C1138" s="3" t="s">
        <v>6</v>
      </c>
      <c r="D1138" s="4" t="b">
        <f t="shared" si="1"/>
        <v>0</v>
      </c>
      <c r="E1138" s="4" t="str">
        <f t="shared" si="2"/>
        <v>L'ATEUL</v>
      </c>
    </row>
    <row r="1139">
      <c r="A1139" s="3" t="s">
        <v>1318</v>
      </c>
      <c r="B1139" s="3">
        <v>2000.0</v>
      </c>
      <c r="C1139" s="4"/>
      <c r="D1139" s="4" t="b">
        <f t="shared" si="1"/>
        <v>0</v>
      </c>
      <c r="E1139" s="4" t="str">
        <f t="shared" si="2"/>
        <v>L'AUBERGE MUSICALE</v>
      </c>
    </row>
    <row r="1140">
      <c r="A1140" s="3" t="s">
        <v>1319</v>
      </c>
      <c r="B1140" s="3">
        <v>0.0</v>
      </c>
      <c r="C1140" s="3" t="s">
        <v>3</v>
      </c>
      <c r="D1140" s="4" t="b">
        <f t="shared" si="1"/>
        <v>0</v>
      </c>
      <c r="E1140" s="4" t="str">
        <f t="shared" si="2"/>
        <v>L'AUTRE - ASSOCIATION DES ETUDIANTS EN ANTHROPOLOGIE SOCIALE ET CULTURELLE</v>
      </c>
    </row>
    <row r="1141">
      <c r="A1141" s="3" t="s">
        <v>1320</v>
      </c>
      <c r="B1141" s="4"/>
      <c r="C1141" s="4"/>
      <c r="D1141" s="4" t="b">
        <f t="shared" si="1"/>
        <v>1</v>
      </c>
      <c r="E1141" s="4" t="str">
        <f t="shared" si="2"/>
        <v>SOCIALE ET CULTURELLE</v>
      </c>
    </row>
    <row r="1142">
      <c r="A1142" s="3" t="s">
        <v>1321</v>
      </c>
      <c r="B1142" s="3">
        <v>8000.0</v>
      </c>
      <c r="C1142" s="4"/>
      <c r="D1142" s="4" t="b">
        <f t="shared" si="1"/>
        <v>0</v>
      </c>
      <c r="E1142" s="4" t="str">
        <f t="shared" si="2"/>
        <v>L'ENVERS</v>
      </c>
    </row>
    <row r="1143">
      <c r="A1143" s="3" t="s">
        <v>1322</v>
      </c>
      <c r="B1143" s="3">
        <v>23000.0</v>
      </c>
      <c r="C1143" s="3" t="s">
        <v>3</v>
      </c>
      <c r="D1143" s="4" t="b">
        <f t="shared" si="1"/>
        <v>0</v>
      </c>
      <c r="E1143" s="4" t="str">
        <f t="shared" si="2"/>
        <v>L'EPICERIE</v>
      </c>
    </row>
    <row r="1144">
      <c r="A1144" s="3" t="s">
        <v>1323</v>
      </c>
      <c r="B1144" s="3">
        <v>0.0</v>
      </c>
      <c r="C1144" s="3" t="s">
        <v>3</v>
      </c>
      <c r="D1144" s="4" t="b">
        <f t="shared" si="1"/>
        <v>0</v>
      </c>
      <c r="E1144" s="4" t="str">
        <f t="shared" si="2"/>
        <v>L'ERE H</v>
      </c>
    </row>
    <row r="1145">
      <c r="A1145" s="3" t="s">
        <v>1324</v>
      </c>
      <c r="B1145" s="3">
        <v>4500.0</v>
      </c>
      <c r="C1145" s="3" t="s">
        <v>16</v>
      </c>
      <c r="D1145" s="4" t="b">
        <f t="shared" si="1"/>
        <v>0</v>
      </c>
      <c r="E1145" s="4" t="str">
        <f t="shared" si="2"/>
        <v>L'ESPRIT DU PIANO</v>
      </c>
    </row>
    <row r="1146">
      <c r="A1146" s="3" t="s">
        <v>1325</v>
      </c>
      <c r="B1146" s="3">
        <v>0.0</v>
      </c>
      <c r="C1146" s="3" t="s">
        <v>3</v>
      </c>
      <c r="D1146" s="4" t="b">
        <f t="shared" si="1"/>
        <v>0</v>
      </c>
      <c r="E1146" s="4" t="str">
        <f t="shared" si="2"/>
        <v>L'ESTEY</v>
      </c>
    </row>
    <row r="1147">
      <c r="A1147" s="3" t="s">
        <v>1326</v>
      </c>
      <c r="B1147" s="3">
        <v>3000.0</v>
      </c>
      <c r="C1147" s="4"/>
      <c r="D1147" s="4" t="b">
        <f t="shared" si="1"/>
        <v>0</v>
      </c>
      <c r="E1147" s="4" t="str">
        <f t="shared" si="2"/>
        <v>L'ILE AUX OURSONS</v>
      </c>
    </row>
    <row r="1148">
      <c r="A1148" s="3" t="s">
        <v>1327</v>
      </c>
      <c r="B1148" s="3">
        <v>0.0</v>
      </c>
      <c r="C1148" s="3" t="s">
        <v>6</v>
      </c>
      <c r="D1148" s="4" t="b">
        <f t="shared" si="1"/>
        <v>0</v>
      </c>
      <c r="E1148" s="4" t="str">
        <f t="shared" si="2"/>
        <v>L'INSTITUT BORDELAIS DE STYLISME MODELISME</v>
      </c>
    </row>
    <row r="1149">
      <c r="A1149" s="3" t="s">
        <v>1328</v>
      </c>
      <c r="B1149" s="3">
        <v>0.0</v>
      </c>
      <c r="C1149" s="3" t="s">
        <v>29</v>
      </c>
      <c r="D1149" s="4" t="b">
        <f t="shared" si="1"/>
        <v>0</v>
      </c>
      <c r="E1149" s="4" t="str">
        <f t="shared" si="2"/>
        <v>L'OLYMPIQUE-CLUB BORDELAIS - OCB</v>
      </c>
    </row>
    <row r="1150">
      <c r="A1150" s="3" t="s">
        <v>1329</v>
      </c>
      <c r="B1150" s="3">
        <v>0.0</v>
      </c>
      <c r="C1150" s="3" t="s">
        <v>6</v>
      </c>
      <c r="D1150" s="4" t="b">
        <f t="shared" si="1"/>
        <v>0</v>
      </c>
      <c r="E1150" s="4" t="str">
        <f t="shared" si="2"/>
        <v>L'ORANGEADE</v>
      </c>
    </row>
    <row r="1151">
      <c r="A1151" s="3" t="s">
        <v>1330</v>
      </c>
      <c r="B1151" s="3">
        <v>0.0</v>
      </c>
      <c r="C1151" s="3" t="s">
        <v>6</v>
      </c>
      <c r="D1151" s="4" t="b">
        <f t="shared" si="1"/>
        <v>0</v>
      </c>
      <c r="E1151" s="4" t="str">
        <f t="shared" si="2"/>
        <v>L'OSTAU OCCITAN</v>
      </c>
    </row>
    <row r="1152">
      <c r="A1152" s="3" t="s">
        <v>1331</v>
      </c>
      <c r="B1152" s="3">
        <v>10000.0</v>
      </c>
      <c r="C1152" s="3" t="s">
        <v>32</v>
      </c>
      <c r="D1152" s="4" t="b">
        <f t="shared" si="1"/>
        <v>0</v>
      </c>
      <c r="E1152" s="4" t="str">
        <f t="shared" si="2"/>
        <v>L'OUMIGMAG</v>
      </c>
    </row>
    <row r="1153">
      <c r="A1153" s="3" t="s">
        <v>1332</v>
      </c>
      <c r="B1153" s="3">
        <v>500.0</v>
      </c>
      <c r="C1153" s="4"/>
      <c r="D1153" s="4" t="b">
        <f t="shared" si="1"/>
        <v>0</v>
      </c>
      <c r="E1153" s="4" t="str">
        <f t="shared" si="2"/>
        <v>L'OUTIL EN MAIN DE LA GIRONDE</v>
      </c>
    </row>
    <row r="1154">
      <c r="A1154" s="3" t="s">
        <v>1333</v>
      </c>
      <c r="B1154" s="3">
        <v>1500.0</v>
      </c>
      <c r="C1154" s="4"/>
      <c r="D1154" s="4" t="b">
        <f t="shared" si="1"/>
        <v>0</v>
      </c>
      <c r="E1154" s="4" t="str">
        <f t="shared" si="2"/>
        <v>L'OUVRE BOITE</v>
      </c>
    </row>
    <row r="1155">
      <c r="A1155" s="3" t="s">
        <v>1334</v>
      </c>
      <c r="B1155" s="3">
        <v>1000.0</v>
      </c>
      <c r="C1155" s="4"/>
      <c r="D1155" s="4" t="b">
        <f t="shared" si="1"/>
        <v>0</v>
      </c>
      <c r="E1155" s="4" t="str">
        <f t="shared" si="2"/>
        <v>L'OVERGROUND</v>
      </c>
    </row>
    <row r="1156">
      <c r="A1156" s="3" t="s">
        <v>1335</v>
      </c>
      <c r="B1156" s="3">
        <v>1200.0</v>
      </c>
      <c r="C1156" s="3" t="s">
        <v>32</v>
      </c>
      <c r="D1156" s="4" t="b">
        <f t="shared" si="1"/>
        <v>0</v>
      </c>
      <c r="E1156" s="4" t="str">
        <f t="shared" si="2"/>
        <v>LA BELLE ESTAMPE</v>
      </c>
    </row>
    <row r="1157">
      <c r="A1157" s="3" t="s">
        <v>1336</v>
      </c>
      <c r="B1157" s="3">
        <v>22000.0</v>
      </c>
      <c r="C1157" s="4"/>
      <c r="D1157" s="4" t="b">
        <f t="shared" si="1"/>
        <v>0</v>
      </c>
      <c r="E1157" s="4" t="str">
        <f t="shared" si="2"/>
        <v>LA BOITE A JOUER</v>
      </c>
    </row>
    <row r="1158">
      <c r="A1158" s="3" t="s">
        <v>1337</v>
      </c>
      <c r="B1158" s="3">
        <v>3000.0</v>
      </c>
      <c r="C1158" s="4"/>
      <c r="D1158" s="4" t="b">
        <f t="shared" si="1"/>
        <v>0</v>
      </c>
      <c r="E1158" s="4" t="str">
        <f t="shared" si="2"/>
        <v>LA BOITE A SEL</v>
      </c>
    </row>
    <row r="1159">
      <c r="A1159" s="3" t="s">
        <v>1338</v>
      </c>
      <c r="B1159" s="3">
        <v>3200.0</v>
      </c>
      <c r="C1159" s="3" t="s">
        <v>3</v>
      </c>
      <c r="D1159" s="4" t="b">
        <f t="shared" si="1"/>
        <v>0</v>
      </c>
      <c r="E1159" s="4" t="str">
        <f t="shared" si="2"/>
        <v>LA CABANE A GRATTER</v>
      </c>
    </row>
    <row r="1160">
      <c r="A1160" s="3" t="s">
        <v>1339</v>
      </c>
      <c r="B1160" s="3">
        <v>57005.0</v>
      </c>
      <c r="C1160" s="4"/>
      <c r="D1160" s="4" t="b">
        <f t="shared" si="1"/>
        <v>0</v>
      </c>
      <c r="E1160" s="4" t="str">
        <f t="shared" si="2"/>
        <v>LA CAISSE A OUTILS</v>
      </c>
    </row>
    <row r="1161">
      <c r="A1161" s="3" t="s">
        <v>1341</v>
      </c>
      <c r="B1161" s="3">
        <v>2000.0</v>
      </c>
      <c r="C1161" s="3" t="s">
        <v>6</v>
      </c>
      <c r="D1161" s="4" t="b">
        <f t="shared" si="1"/>
        <v>0</v>
      </c>
      <c r="E1161" s="4" t="str">
        <f t="shared" si="2"/>
        <v>LA CHAMBRE BLEUE</v>
      </c>
    </row>
    <row r="1162">
      <c r="A1162" s="3" t="s">
        <v>1342</v>
      </c>
      <c r="B1162" s="3">
        <v>3500.0</v>
      </c>
      <c r="C1162" s="4"/>
      <c r="D1162" s="4" t="b">
        <f t="shared" si="1"/>
        <v>0</v>
      </c>
      <c r="E1162" s="4" t="str">
        <f t="shared" si="2"/>
        <v>LA CHEVRE NOIRE</v>
      </c>
    </row>
    <row r="1163">
      <c r="A1163" s="3" t="s">
        <v>1343</v>
      </c>
      <c r="B1163" s="3">
        <v>6000.0</v>
      </c>
      <c r="C1163" s="4"/>
      <c r="D1163" s="4" t="b">
        <f t="shared" si="1"/>
        <v>0</v>
      </c>
      <c r="E1163" s="4" t="str">
        <f t="shared" si="2"/>
        <v>LA CHIFFONE RIT</v>
      </c>
    </row>
    <row r="1164">
      <c r="A1164" s="3" t="s">
        <v>1344</v>
      </c>
      <c r="B1164" s="3">
        <v>0.0</v>
      </c>
      <c r="C1164" s="3" t="s">
        <v>3</v>
      </c>
      <c r="D1164" s="4" t="b">
        <f t="shared" si="1"/>
        <v>0</v>
      </c>
      <c r="E1164" s="4" t="str">
        <f t="shared" si="2"/>
        <v>LA CIGOGNE</v>
      </c>
    </row>
    <row r="1165">
      <c r="A1165" s="3" t="s">
        <v>1345</v>
      </c>
      <c r="B1165" s="3">
        <v>600.0</v>
      </c>
      <c r="C1165" s="4"/>
      <c r="D1165" s="4" t="b">
        <f t="shared" si="1"/>
        <v>0</v>
      </c>
      <c r="E1165" s="4" t="str">
        <f t="shared" si="2"/>
        <v>LA CIGOGNE DES CAPUS</v>
      </c>
    </row>
    <row r="1166">
      <c r="A1166" s="3" t="s">
        <v>1346</v>
      </c>
      <c r="B1166" s="3">
        <v>50000.0</v>
      </c>
      <c r="C1166" s="4"/>
      <c r="D1166" s="4" t="b">
        <f t="shared" si="1"/>
        <v>0</v>
      </c>
      <c r="E1166" s="4" t="str">
        <f t="shared" si="2"/>
        <v>LA CITE DU VIN</v>
      </c>
    </row>
    <row r="1167">
      <c r="A1167" s="3" t="s">
        <v>1347</v>
      </c>
      <c r="B1167" s="3">
        <v>0.0</v>
      </c>
      <c r="C1167" s="3" t="s">
        <v>3</v>
      </c>
      <c r="D1167" s="4" t="b">
        <f t="shared" si="1"/>
        <v>0</v>
      </c>
      <c r="E1167" s="4" t="str">
        <f t="shared" si="2"/>
        <v>LA CLE DU QUAI</v>
      </c>
    </row>
    <row r="1168">
      <c r="A1168" s="3" t="s">
        <v>1348</v>
      </c>
      <c r="B1168" s="3">
        <v>13000.0</v>
      </c>
      <c r="C1168" s="4"/>
      <c r="D1168" s="4" t="b">
        <f t="shared" si="1"/>
        <v>0</v>
      </c>
      <c r="E1168" s="4" t="str">
        <f t="shared" si="2"/>
        <v>LA COMA</v>
      </c>
    </row>
    <row r="1169">
      <c r="A1169" s="3" t="s">
        <v>1350</v>
      </c>
      <c r="B1169" s="3">
        <v>0.0</v>
      </c>
      <c r="C1169" s="3" t="s">
        <v>3</v>
      </c>
      <c r="D1169" s="4" t="b">
        <f t="shared" si="1"/>
        <v>0</v>
      </c>
      <c r="E1169" s="4" t="str">
        <f t="shared" si="2"/>
        <v>LA COMPAGNIE "LES FOUS DE LA RAMPE"</v>
      </c>
    </row>
    <row r="1170">
      <c r="A1170" s="3" t="s">
        <v>1351</v>
      </c>
      <c r="B1170" s="3">
        <v>8000.0</v>
      </c>
      <c r="C1170" s="4"/>
      <c r="D1170" s="4" t="b">
        <f t="shared" si="1"/>
        <v>0</v>
      </c>
      <c r="E1170" s="4" t="str">
        <f t="shared" si="2"/>
        <v>LA COMPAGNIE BOUGRELAS</v>
      </c>
    </row>
    <row r="1171">
      <c r="A1171" s="3" t="s">
        <v>1352</v>
      </c>
      <c r="B1171" s="3">
        <v>0.0</v>
      </c>
      <c r="C1171" s="3" t="s">
        <v>3</v>
      </c>
      <c r="D1171" s="4" t="b">
        <f t="shared" si="1"/>
        <v>0</v>
      </c>
      <c r="E1171" s="4" t="str">
        <f t="shared" si="2"/>
        <v>LA COMPAGNIE CHRONIQUE</v>
      </c>
    </row>
    <row r="1172">
      <c r="A1172" s="3" t="s">
        <v>1353</v>
      </c>
      <c r="B1172" s="3">
        <v>0.0</v>
      </c>
      <c r="C1172" s="3" t="s">
        <v>3</v>
      </c>
      <c r="D1172" s="4" t="b">
        <f t="shared" si="1"/>
        <v>0</v>
      </c>
      <c r="E1172" s="4" t="str">
        <f t="shared" si="2"/>
        <v>LA COMPAGNIE DES FIGURES</v>
      </c>
    </row>
    <row r="1173">
      <c r="A1173" s="3" t="s">
        <v>1354</v>
      </c>
      <c r="B1173" s="3">
        <v>2500.0</v>
      </c>
      <c r="C1173" s="3" t="s">
        <v>3</v>
      </c>
      <c r="D1173" s="4" t="b">
        <f t="shared" si="1"/>
        <v>0</v>
      </c>
      <c r="E1173" s="4" t="str">
        <f t="shared" si="2"/>
        <v>LA COMPAGNIE DES PETITES SECOUSSES</v>
      </c>
    </row>
    <row r="1174">
      <c r="A1174" s="3" t="s">
        <v>1355</v>
      </c>
      <c r="B1174" s="3">
        <v>0.0</v>
      </c>
      <c r="C1174" s="3" t="s">
        <v>3</v>
      </c>
      <c r="D1174" s="4" t="b">
        <f t="shared" si="1"/>
        <v>0</v>
      </c>
      <c r="E1174" s="4" t="str">
        <f t="shared" si="2"/>
        <v>LA COMPAGNIE GARONOTES</v>
      </c>
    </row>
    <row r="1175">
      <c r="A1175" s="3" t="s">
        <v>1356</v>
      </c>
      <c r="B1175" s="3">
        <v>0.0</v>
      </c>
      <c r="C1175" s="3" t="s">
        <v>3</v>
      </c>
      <c r="D1175" s="4" t="b">
        <f t="shared" si="1"/>
        <v>0</v>
      </c>
      <c r="E1175" s="4" t="str">
        <f t="shared" si="2"/>
        <v>LA COUR DES ENFANTS</v>
      </c>
    </row>
    <row r="1176">
      <c r="A1176" s="3" t="s">
        <v>1357</v>
      </c>
      <c r="B1176" s="3">
        <v>0.0</v>
      </c>
      <c r="C1176" s="3" t="s">
        <v>3</v>
      </c>
      <c r="D1176" s="4" t="b">
        <f t="shared" si="1"/>
        <v>0</v>
      </c>
      <c r="E1176" s="4" t="str">
        <f t="shared" si="2"/>
        <v>LA DAME A LA LICORNE</v>
      </c>
    </row>
    <row r="1177">
      <c r="A1177" s="3" t="s">
        <v>1358</v>
      </c>
      <c r="B1177" s="3">
        <v>15000.0</v>
      </c>
      <c r="C1177" s="3" t="s">
        <v>32</v>
      </c>
      <c r="D1177" s="4" t="b">
        <f t="shared" si="1"/>
        <v>0</v>
      </c>
      <c r="E1177" s="4" t="str">
        <f t="shared" si="2"/>
        <v>LA FABRIQUE POLA</v>
      </c>
    </row>
    <row r="1178">
      <c r="A1178" s="3" t="s">
        <v>1359</v>
      </c>
      <c r="B1178" s="3">
        <v>9000.0</v>
      </c>
      <c r="C1178" s="3" t="s">
        <v>37</v>
      </c>
      <c r="D1178" s="4" t="b">
        <f t="shared" si="1"/>
        <v>0</v>
      </c>
      <c r="E1178" s="4" t="str">
        <f t="shared" si="2"/>
        <v>LA FLECHE DE BORDEAUX </v>
      </c>
    </row>
    <row r="1179">
      <c r="A1179" s="4"/>
      <c r="B1179" s="4"/>
      <c r="C1179" s="3" t="s">
        <v>38</v>
      </c>
      <c r="D1179" s="4" t="b">
        <f t="shared" si="1"/>
        <v>1</v>
      </c>
      <c r="E1179" s="4" t="str">
        <f t="shared" si="2"/>
        <v/>
      </c>
    </row>
    <row r="1180">
      <c r="A1180" s="3" t="s">
        <v>1360</v>
      </c>
      <c r="B1180" s="3">
        <v>0.0</v>
      </c>
      <c r="C1180" s="3" t="s">
        <v>3</v>
      </c>
      <c r="D1180" s="4" t="b">
        <f t="shared" si="1"/>
        <v>0</v>
      </c>
      <c r="E1180" s="4" t="str">
        <f t="shared" si="2"/>
        <v>LA GALERIE EPHEMERE</v>
      </c>
    </row>
    <row r="1181">
      <c r="A1181" s="3" t="s">
        <v>1361</v>
      </c>
      <c r="B1181" s="3">
        <v>2000.0</v>
      </c>
      <c r="C1181" s="4"/>
      <c r="D1181" s="4" t="b">
        <f t="shared" si="1"/>
        <v>0</v>
      </c>
      <c r="E1181" s="4" t="str">
        <f t="shared" si="2"/>
        <v>LA GROSSE SITUATION</v>
      </c>
    </row>
    <row r="1182">
      <c r="A1182" s="3" t="s">
        <v>1362</v>
      </c>
      <c r="B1182" s="3">
        <v>0.0</v>
      </c>
      <c r="C1182" s="3" t="s">
        <v>29</v>
      </c>
      <c r="D1182" s="4" t="b">
        <f t="shared" si="1"/>
        <v>0</v>
      </c>
      <c r="E1182" s="4" t="str">
        <f t="shared" si="2"/>
        <v>LA GYM SUEDOISE BORDEAUX</v>
      </c>
    </row>
    <row r="1183">
      <c r="A1183" s="3" t="s">
        <v>1363</v>
      </c>
      <c r="B1183" s="3">
        <v>80000.0</v>
      </c>
      <c r="C1183" s="3" t="s">
        <v>3</v>
      </c>
      <c r="D1183" s="4" t="b">
        <f t="shared" si="1"/>
        <v>0</v>
      </c>
      <c r="E1183" s="4" t="str">
        <f t="shared" si="2"/>
        <v>LA HALLE DES DOUVES</v>
      </c>
    </row>
    <row r="1184">
      <c r="A1184" s="3" t="s">
        <v>1364</v>
      </c>
      <c r="B1184" s="3">
        <v>0.0</v>
      </c>
      <c r="C1184" s="3" t="s">
        <v>6</v>
      </c>
      <c r="D1184" s="4" t="b">
        <f t="shared" si="1"/>
        <v>0</v>
      </c>
      <c r="E1184" s="4" t="str">
        <f t="shared" si="2"/>
        <v>LA HOULETTE</v>
      </c>
    </row>
    <row r="1185">
      <c r="A1185" s="3" t="s">
        <v>1365</v>
      </c>
      <c r="B1185" s="3">
        <v>0.0</v>
      </c>
      <c r="C1185" s="3" t="s">
        <v>3</v>
      </c>
      <c r="D1185" s="4" t="b">
        <f t="shared" si="1"/>
        <v>0</v>
      </c>
      <c r="E1185" s="4" t="str">
        <f t="shared" si="2"/>
        <v>LA MAIN A L’OREILLE</v>
      </c>
    </row>
    <row r="1186">
      <c r="A1186" s="3" t="s">
        <v>1366</v>
      </c>
      <c r="B1186" s="3">
        <v>0.0</v>
      </c>
      <c r="C1186" s="3" t="s">
        <v>6</v>
      </c>
      <c r="D1186" s="4" t="b">
        <f t="shared" si="1"/>
        <v>0</v>
      </c>
      <c r="E1186" s="4" t="str">
        <f t="shared" si="2"/>
        <v>LA MAISON DE MARIE</v>
      </c>
    </row>
    <row r="1187">
      <c r="A1187" s="3" t="s">
        <v>1367</v>
      </c>
      <c r="B1187" s="3">
        <v>6000.0</v>
      </c>
      <c r="C1187" s="3" t="s">
        <v>3</v>
      </c>
      <c r="D1187" s="4" t="b">
        <f t="shared" si="1"/>
        <v>0</v>
      </c>
      <c r="E1187" s="4" t="str">
        <f t="shared" si="2"/>
        <v>LA MAISON DES FAMILLES DE BORDEAUX</v>
      </c>
    </row>
    <row r="1188">
      <c r="A1188" s="3" t="s">
        <v>1368</v>
      </c>
      <c r="B1188" s="3">
        <v>3000.0</v>
      </c>
      <c r="C1188" s="4"/>
      <c r="D1188" s="4" t="b">
        <f t="shared" si="1"/>
        <v>0</v>
      </c>
      <c r="E1188" s="4" t="str">
        <f t="shared" si="2"/>
        <v>LA MAISON DU DIABETE ET DE LA NUTRITION</v>
      </c>
    </row>
    <row r="1189">
      <c r="A1189" s="3" t="s">
        <v>1369</v>
      </c>
      <c r="B1189" s="3">
        <v>0.0</v>
      </c>
      <c r="C1189" s="3" t="s">
        <v>3</v>
      </c>
      <c r="D1189" s="4" t="b">
        <f t="shared" si="1"/>
        <v>0</v>
      </c>
      <c r="E1189" s="4" t="str">
        <f t="shared" si="2"/>
        <v>LA MANIF POUR TOUS 33</v>
      </c>
    </row>
    <row r="1190">
      <c r="A1190" s="3" t="s">
        <v>1370</v>
      </c>
      <c r="B1190" s="3">
        <v>2000.0</v>
      </c>
      <c r="C1190" s="3" t="s">
        <v>32</v>
      </c>
      <c r="D1190" s="4" t="b">
        <f t="shared" si="1"/>
        <v>0</v>
      </c>
      <c r="E1190" s="4" t="str">
        <f t="shared" si="2"/>
        <v>LA MANNE EUROPE</v>
      </c>
    </row>
    <row r="1191">
      <c r="A1191" s="3" t="s">
        <v>1371</v>
      </c>
      <c r="B1191" s="3">
        <v>198000.0</v>
      </c>
      <c r="C1191" s="3" t="s">
        <v>1373</v>
      </c>
      <c r="D1191" s="4" t="b">
        <f t="shared" si="1"/>
        <v>0</v>
      </c>
      <c r="E1191" s="4" t="str">
        <f t="shared" si="2"/>
        <v>LA MANUFACTURE ATLANTIQUE </v>
      </c>
    </row>
    <row r="1192">
      <c r="A1192" s="4"/>
      <c r="B1192" s="4"/>
      <c r="C1192" s="3" t="s">
        <v>1374</v>
      </c>
      <c r="D1192" s="4" t="b">
        <f t="shared" si="1"/>
        <v>1</v>
      </c>
      <c r="E1192" s="4" t="str">
        <f t="shared" si="2"/>
        <v/>
      </c>
    </row>
    <row r="1193">
      <c r="A1193" s="3" t="s">
        <v>1375</v>
      </c>
      <c r="B1193" s="3">
        <v>2000.0</v>
      </c>
      <c r="C1193" s="3" t="s">
        <v>32</v>
      </c>
      <c r="D1193" s="4" t="b">
        <f t="shared" si="1"/>
        <v>0</v>
      </c>
      <c r="E1193" s="4" t="str">
        <f t="shared" si="2"/>
        <v>LA MARGE ROUSSE</v>
      </c>
    </row>
    <row r="1194">
      <c r="A1194" s="3" t="s">
        <v>1376</v>
      </c>
      <c r="B1194" s="3">
        <v>0.0</v>
      </c>
      <c r="C1194" s="3" t="s">
        <v>3</v>
      </c>
      <c r="D1194" s="4" t="b">
        <f t="shared" si="1"/>
        <v>0</v>
      </c>
      <c r="E1194" s="4" t="str">
        <f t="shared" si="2"/>
        <v>LA MARMAILLE</v>
      </c>
    </row>
    <row r="1195">
      <c r="A1195" s="3" t="s">
        <v>1377</v>
      </c>
      <c r="B1195" s="3">
        <v>56105.0</v>
      </c>
      <c r="C1195" s="3" t="s">
        <v>1379</v>
      </c>
      <c r="D1195" s="4" t="b">
        <f t="shared" si="1"/>
        <v>0</v>
      </c>
      <c r="E1195" s="4" t="str">
        <f t="shared" si="2"/>
        <v>LA MEMOIRE DE BORDEAUX METROPOLE</v>
      </c>
    </row>
    <row r="1196">
      <c r="A1196" s="3" t="s">
        <v>1380</v>
      </c>
      <c r="B1196" s="3">
        <v>0.0</v>
      </c>
      <c r="C1196" s="3" t="s">
        <v>3</v>
      </c>
      <c r="D1196" s="4" t="b">
        <f t="shared" si="1"/>
        <v>0</v>
      </c>
      <c r="E1196" s="4" t="str">
        <f t="shared" si="2"/>
        <v>LA MOBYLETTE</v>
      </c>
    </row>
    <row r="1197">
      <c r="A1197" s="3" t="s">
        <v>1381</v>
      </c>
      <c r="B1197" s="3">
        <v>3000.0</v>
      </c>
      <c r="C1197" s="3" t="s">
        <v>1379</v>
      </c>
      <c r="D1197" s="4" t="b">
        <f t="shared" si="1"/>
        <v>0</v>
      </c>
      <c r="E1197" s="4" t="str">
        <f t="shared" si="2"/>
        <v>LA NUIT VENUE</v>
      </c>
    </row>
    <row r="1198">
      <c r="A1198" s="3" t="s">
        <v>1382</v>
      </c>
      <c r="B1198" s="3">
        <v>0.0</v>
      </c>
      <c r="C1198" s="3" t="s">
        <v>6</v>
      </c>
      <c r="D1198" s="4" t="b">
        <f t="shared" si="1"/>
        <v>0</v>
      </c>
      <c r="E1198" s="4" t="str">
        <f t="shared" si="2"/>
        <v>LA PARENTELE</v>
      </c>
    </row>
    <row r="1199">
      <c r="A1199" s="3" t="s">
        <v>1383</v>
      </c>
      <c r="B1199" s="3">
        <v>3000.0</v>
      </c>
      <c r="C1199" s="4"/>
      <c r="D1199" s="4" t="b">
        <f t="shared" si="1"/>
        <v>0</v>
      </c>
      <c r="E1199" s="4" t="str">
        <f t="shared" si="2"/>
        <v>LA PETITE PALUCHE</v>
      </c>
    </row>
    <row r="1200">
      <c r="A1200" s="3" t="s">
        <v>1384</v>
      </c>
      <c r="B1200" s="3">
        <v>0.0</v>
      </c>
      <c r="C1200" s="3" t="s">
        <v>3</v>
      </c>
      <c r="D1200" s="4" t="b">
        <f t="shared" si="1"/>
        <v>0</v>
      </c>
      <c r="E1200" s="4" t="str">
        <f t="shared" si="2"/>
        <v>LA PLUME ET L'OREILLE</v>
      </c>
    </row>
    <row r="1201">
      <c r="A1201" s="3" t="s">
        <v>1385</v>
      </c>
      <c r="B1201" s="3">
        <v>800.0</v>
      </c>
      <c r="C1201" s="3" t="s">
        <v>3</v>
      </c>
      <c r="D1201" s="4" t="b">
        <f t="shared" si="1"/>
        <v>0</v>
      </c>
      <c r="E1201" s="4" t="str">
        <f t="shared" si="2"/>
        <v>LA PORTE OUVERTE DE BORDEAUX</v>
      </c>
    </row>
    <row r="1202">
      <c r="A1202" s="3" t="s">
        <v>1386</v>
      </c>
      <c r="B1202" s="3">
        <v>2500.0</v>
      </c>
      <c r="C1202" s="3" t="s">
        <v>32</v>
      </c>
      <c r="D1202" s="4" t="b">
        <f t="shared" si="1"/>
        <v>0</v>
      </c>
      <c r="E1202" s="4" t="str">
        <f t="shared" si="2"/>
        <v>LA PREVENTION ROUTIERE</v>
      </c>
    </row>
    <row r="1203">
      <c r="A1203" s="3" t="s">
        <v>1387</v>
      </c>
      <c r="B1203" s="3">
        <v>2000.0</v>
      </c>
      <c r="C1203" s="4"/>
      <c r="D1203" s="4" t="b">
        <f t="shared" si="1"/>
        <v>0</v>
      </c>
      <c r="E1203" s="4" t="str">
        <f t="shared" si="2"/>
        <v>LA RESERVE</v>
      </c>
    </row>
    <row r="1204">
      <c r="A1204" s="3" t="s">
        <v>1388</v>
      </c>
      <c r="B1204" s="3">
        <v>500.0</v>
      </c>
      <c r="C1204" s="3" t="s">
        <v>32</v>
      </c>
      <c r="D1204" s="4" t="b">
        <f t="shared" si="1"/>
        <v>0</v>
      </c>
      <c r="E1204" s="4" t="str">
        <f t="shared" si="2"/>
        <v>LA REVERB'</v>
      </c>
    </row>
    <row r="1205">
      <c r="A1205" s="3" t="s">
        <v>1389</v>
      </c>
      <c r="B1205" s="3">
        <v>119100.0</v>
      </c>
      <c r="C1205" s="3" t="s">
        <v>280</v>
      </c>
      <c r="D1205" s="4" t="b">
        <f t="shared" si="1"/>
        <v>0</v>
      </c>
      <c r="E1205" s="4" t="str">
        <f t="shared" si="2"/>
        <v>LA RONDE DES QUARTIERS DE BORDEAUX</v>
      </c>
    </row>
    <row r="1206">
      <c r="A1206" s="3" t="s">
        <v>1391</v>
      </c>
      <c r="B1206" s="3">
        <v>0.0</v>
      </c>
      <c r="C1206" s="3" t="s">
        <v>29</v>
      </c>
      <c r="D1206" s="4" t="b">
        <f t="shared" si="1"/>
        <v>0</v>
      </c>
      <c r="E1206" s="4" t="str">
        <f t="shared" si="2"/>
        <v>LA ROUTE DES VINS - ECOLE DE COMMERCE EUROPEENNE</v>
      </c>
    </row>
    <row r="1207">
      <c r="A1207" s="3" t="s">
        <v>1392</v>
      </c>
      <c r="B1207" s="3">
        <v>7000.0</v>
      </c>
      <c r="C1207" s="4"/>
      <c r="D1207" s="4" t="b">
        <f t="shared" si="1"/>
        <v>0</v>
      </c>
      <c r="E1207" s="4" t="str">
        <f t="shared" si="2"/>
        <v>LA TIERCE</v>
      </c>
    </row>
    <row r="1208">
      <c r="A1208" s="3" t="s">
        <v>1393</v>
      </c>
      <c r="B1208" s="3">
        <v>4500.0</v>
      </c>
      <c r="C1208" s="3" t="s">
        <v>6</v>
      </c>
      <c r="D1208" s="4" t="b">
        <f t="shared" si="1"/>
        <v>0</v>
      </c>
      <c r="E1208" s="4" t="str">
        <f t="shared" si="2"/>
        <v>LA TRIBALE DEMARCHE</v>
      </c>
    </row>
    <row r="1209">
      <c r="A1209" s="3" t="s">
        <v>1394</v>
      </c>
      <c r="B1209" s="3">
        <v>0.0</v>
      </c>
      <c r="C1209" s="3" t="s">
        <v>6</v>
      </c>
      <c r="D1209" s="4" t="b">
        <f t="shared" si="1"/>
        <v>0</v>
      </c>
      <c r="E1209" s="4" t="str">
        <f t="shared" si="2"/>
        <v>LABE'ART</v>
      </c>
    </row>
    <row r="1210">
      <c r="A1210" s="3" t="s">
        <v>1395</v>
      </c>
      <c r="B1210" s="3">
        <v>420.0</v>
      </c>
      <c r="C1210" s="4"/>
      <c r="D1210" s="4" t="b">
        <f t="shared" si="1"/>
        <v>0</v>
      </c>
      <c r="E1210" s="4" t="str">
        <f t="shared" si="2"/>
        <v>LAC 2 SPORTS SCOLAIRES</v>
      </c>
    </row>
    <row r="1211">
      <c r="A1211" s="3" t="s">
        <v>1397</v>
      </c>
      <c r="B1211" s="3">
        <v>0.0</v>
      </c>
      <c r="C1211" s="3" t="s">
        <v>3</v>
      </c>
      <c r="D1211" s="4" t="b">
        <f t="shared" si="1"/>
        <v>0</v>
      </c>
      <c r="E1211" s="4" t="str">
        <f t="shared" si="2"/>
        <v>LACLE - LA MAISON DES PARENTS ET DES MINEURS</v>
      </c>
    </row>
    <row r="1212">
      <c r="A1212" s="3" t="s">
        <v>1398</v>
      </c>
      <c r="B1212" s="3">
        <v>0.0</v>
      </c>
      <c r="C1212" s="3" t="s">
        <v>3</v>
      </c>
      <c r="D1212" s="4" t="b">
        <f t="shared" si="1"/>
        <v>0</v>
      </c>
      <c r="E1212" s="4" t="str">
        <f t="shared" si="2"/>
        <v>LADAPT LIGUE ADAPTATION DIMINUES PHYSIQUE AU TRAVAIL</v>
      </c>
    </row>
    <row r="1213">
      <c r="A1213" s="3" t="s">
        <v>1399</v>
      </c>
      <c r="B1213" s="3">
        <v>0.0</v>
      </c>
      <c r="C1213" s="3" t="s">
        <v>3</v>
      </c>
      <c r="D1213" s="4" t="b">
        <f t="shared" si="1"/>
        <v>0</v>
      </c>
      <c r="E1213" s="4" t="str">
        <f t="shared" si="2"/>
        <v>LADIES' CIRCLE BORDEAUX 20</v>
      </c>
    </row>
    <row r="1214">
      <c r="A1214" s="3" t="s">
        <v>1400</v>
      </c>
      <c r="B1214" s="3">
        <v>0.0</v>
      </c>
      <c r="C1214" s="3" t="s">
        <v>3</v>
      </c>
      <c r="D1214" s="4" t="b">
        <f t="shared" si="1"/>
        <v>0</v>
      </c>
      <c r="E1214" s="4" t="str">
        <f t="shared" si="2"/>
        <v>LAFEDERATION 33</v>
      </c>
    </row>
    <row r="1215">
      <c r="A1215" s="3" t="s">
        <v>1401</v>
      </c>
      <c r="B1215" s="3">
        <v>8640.0</v>
      </c>
      <c r="C1215" s="4"/>
      <c r="D1215" s="4" t="b">
        <f t="shared" si="1"/>
        <v>0</v>
      </c>
      <c r="E1215" s="4" t="str">
        <f t="shared" si="2"/>
        <v>LANGUES EN SCÈNE</v>
      </c>
    </row>
    <row r="1216">
      <c r="A1216" s="3" t="s">
        <v>1403</v>
      </c>
      <c r="B1216" s="3">
        <v>0.0</v>
      </c>
      <c r="C1216" s="3" t="s">
        <v>3</v>
      </c>
      <c r="D1216" s="4" t="b">
        <f t="shared" si="1"/>
        <v>0</v>
      </c>
      <c r="E1216" s="4" t="str">
        <f t="shared" si="2"/>
        <v>LATINO MEX BORDEAUX</v>
      </c>
    </row>
    <row r="1217">
      <c r="A1217" s="3" t="s">
        <v>1404</v>
      </c>
      <c r="B1217" s="3">
        <v>0.0</v>
      </c>
      <c r="C1217" s="3" t="s">
        <v>32</v>
      </c>
      <c r="D1217" s="4" t="b">
        <f t="shared" si="1"/>
        <v>0</v>
      </c>
      <c r="E1217" s="4" t="str">
        <f t="shared" si="2"/>
        <v>LAXMI GIRONDE</v>
      </c>
    </row>
    <row r="1218">
      <c r="A1218" s="3" t="s">
        <v>1405</v>
      </c>
      <c r="B1218" s="3">
        <v>14000.0</v>
      </c>
      <c r="C1218" s="4"/>
      <c r="D1218" s="4" t="b">
        <f t="shared" si="1"/>
        <v>0</v>
      </c>
      <c r="E1218" s="4" t="str">
        <f t="shared" si="2"/>
        <v>LE 308</v>
      </c>
    </row>
    <row r="1219">
      <c r="A1219" s="3" t="s">
        <v>1406</v>
      </c>
      <c r="B1219" s="3">
        <v>11950.0</v>
      </c>
      <c r="C1219" s="3" t="s">
        <v>32</v>
      </c>
      <c r="D1219" s="4" t="b">
        <f t="shared" si="1"/>
        <v>0</v>
      </c>
      <c r="E1219" s="4" t="str">
        <f t="shared" si="2"/>
        <v>LE 4 DE BORDEAUX</v>
      </c>
    </row>
    <row r="1220">
      <c r="A1220" s="3" t="s">
        <v>1408</v>
      </c>
      <c r="B1220" s="3">
        <v>1500.0</v>
      </c>
      <c r="C1220" s="4"/>
      <c r="D1220" s="4" t="b">
        <f t="shared" si="1"/>
        <v>0</v>
      </c>
      <c r="E1220" s="4" t="str">
        <f t="shared" si="2"/>
        <v>LE CAFE HISTORIQUE</v>
      </c>
    </row>
    <row r="1221">
      <c r="A1221" s="3" t="s">
        <v>1409</v>
      </c>
      <c r="B1221" s="3">
        <v>0.0</v>
      </c>
      <c r="C1221" s="3" t="s">
        <v>6</v>
      </c>
      <c r="D1221" s="4" t="b">
        <f t="shared" si="1"/>
        <v>0</v>
      </c>
      <c r="E1221" s="4" t="str">
        <f t="shared" si="2"/>
        <v>LE CANNELE D'ADRESSES</v>
      </c>
    </row>
    <row r="1222">
      <c r="A1222" s="3" t="s">
        <v>1410</v>
      </c>
      <c r="B1222" s="3">
        <v>0.0</v>
      </c>
      <c r="C1222" s="3" t="s">
        <v>6</v>
      </c>
      <c r="D1222" s="4" t="b">
        <f t="shared" si="1"/>
        <v>0</v>
      </c>
      <c r="E1222" s="4" t="str">
        <f t="shared" si="2"/>
        <v>LE CHAINON MANQUANT</v>
      </c>
    </row>
    <row r="1223">
      <c r="A1223" s="3" t="s">
        <v>1411</v>
      </c>
      <c r="B1223" s="3">
        <v>800.0</v>
      </c>
      <c r="C1223" s="3" t="s">
        <v>3</v>
      </c>
      <c r="D1223" s="4" t="b">
        <f t="shared" si="1"/>
        <v>0</v>
      </c>
      <c r="E1223" s="4" t="str">
        <f t="shared" si="2"/>
        <v>LE CHOEUR DES ECLUSES</v>
      </c>
    </row>
    <row r="1224">
      <c r="A1224" s="3" t="s">
        <v>1412</v>
      </c>
      <c r="B1224" s="3">
        <v>800.0</v>
      </c>
      <c r="C1224" s="4"/>
      <c r="D1224" s="4" t="b">
        <f t="shared" si="1"/>
        <v>0</v>
      </c>
      <c r="E1224" s="4" t="str">
        <f t="shared" si="2"/>
        <v>LE CHOEUR MELUSINE</v>
      </c>
    </row>
    <row r="1225">
      <c r="A1225" s="3" t="s">
        <v>1413</v>
      </c>
      <c r="B1225" s="3">
        <v>0.0</v>
      </c>
      <c r="C1225" s="3" t="s">
        <v>32</v>
      </c>
      <c r="D1225" s="4" t="b">
        <f t="shared" si="1"/>
        <v>0</v>
      </c>
      <c r="E1225" s="4" t="str">
        <f t="shared" si="2"/>
        <v>LE CHOEUR VOYAGEUR</v>
      </c>
    </row>
    <row r="1226">
      <c r="A1226" s="3" t="s">
        <v>1414</v>
      </c>
      <c r="B1226" s="3">
        <v>8000.0</v>
      </c>
      <c r="C1226" s="4"/>
      <c r="D1226" s="4" t="b">
        <f t="shared" si="1"/>
        <v>0</v>
      </c>
      <c r="E1226" s="4" t="str">
        <f t="shared" si="2"/>
        <v>LE COKTAIL</v>
      </c>
    </row>
    <row r="1227">
      <c r="A1227" s="3" t="s">
        <v>1415</v>
      </c>
      <c r="B1227" s="3">
        <v>500.0</v>
      </c>
      <c r="C1227" s="4"/>
      <c r="D1227" s="4" t="b">
        <f t="shared" si="1"/>
        <v>0</v>
      </c>
      <c r="E1227" s="4" t="str">
        <f t="shared" si="2"/>
        <v>LE COURRIER DE BOVET</v>
      </c>
    </row>
    <row r="1228">
      <c r="A1228" s="3" t="s">
        <v>1416</v>
      </c>
      <c r="B1228" s="3">
        <v>1000.0</v>
      </c>
      <c r="C1228" s="4"/>
      <c r="D1228" s="4" t="b">
        <f t="shared" si="1"/>
        <v>0</v>
      </c>
      <c r="E1228" s="4" t="str">
        <f t="shared" si="2"/>
        <v>LE CRAYON PAPOTE</v>
      </c>
    </row>
    <row r="1229">
      <c r="A1229" s="3" t="s">
        <v>1417</v>
      </c>
      <c r="B1229" s="3">
        <v>5000.0</v>
      </c>
      <c r="C1229" s="4"/>
      <c r="D1229" s="4" t="b">
        <f t="shared" si="1"/>
        <v>0</v>
      </c>
      <c r="E1229" s="4" t="str">
        <f t="shared" si="2"/>
        <v>LE DESSOUS DES BALANCOIRES</v>
      </c>
    </row>
    <row r="1230">
      <c r="A1230" s="3" t="s">
        <v>1418</v>
      </c>
      <c r="B1230" s="3">
        <v>6400.0</v>
      </c>
      <c r="C1230" s="3" t="s">
        <v>580</v>
      </c>
      <c r="D1230" s="4" t="b">
        <f t="shared" si="1"/>
        <v>0</v>
      </c>
      <c r="E1230" s="4" t="str">
        <f t="shared" si="2"/>
        <v>LE FESTIN </v>
      </c>
    </row>
    <row r="1231">
      <c r="A1231" s="4"/>
      <c r="B1231" s="4"/>
      <c r="C1231" s="3" t="s">
        <v>581</v>
      </c>
      <c r="D1231" s="4" t="b">
        <f t="shared" si="1"/>
        <v>1</v>
      </c>
      <c r="E1231" s="4" t="str">
        <f t="shared" si="2"/>
        <v/>
      </c>
    </row>
    <row r="1232">
      <c r="A1232" s="3" t="s">
        <v>1420</v>
      </c>
      <c r="B1232" s="3">
        <v>7500.0</v>
      </c>
      <c r="C1232" s="3" t="s">
        <v>6</v>
      </c>
      <c r="D1232" s="4" t="b">
        <f t="shared" si="1"/>
        <v>0</v>
      </c>
      <c r="E1232" s="4" t="str">
        <f t="shared" si="2"/>
        <v>LE GIROFARD</v>
      </c>
    </row>
    <row r="1233">
      <c r="A1233" s="3" t="s">
        <v>1421</v>
      </c>
      <c r="B1233" s="3">
        <v>18800.0</v>
      </c>
      <c r="C1233" s="3" t="s">
        <v>6</v>
      </c>
      <c r="D1233" s="4" t="b">
        <f t="shared" si="1"/>
        <v>0</v>
      </c>
      <c r="E1233" s="4" t="str">
        <f t="shared" si="2"/>
        <v>LE KFE DES FAMILLES</v>
      </c>
    </row>
    <row r="1234">
      <c r="A1234" s="3" t="s">
        <v>1423</v>
      </c>
      <c r="B1234" s="3">
        <v>22500.0</v>
      </c>
      <c r="C1234" s="3" t="s">
        <v>3</v>
      </c>
      <c r="D1234" s="4" t="b">
        <f t="shared" si="1"/>
        <v>0</v>
      </c>
      <c r="E1234" s="4" t="str">
        <f t="shared" si="2"/>
        <v>LE KIOSQUE CULTURE</v>
      </c>
    </row>
    <row r="1235">
      <c r="A1235" s="3" t="s">
        <v>1425</v>
      </c>
      <c r="B1235" s="3">
        <v>0.0</v>
      </c>
      <c r="C1235" s="3" t="s">
        <v>3</v>
      </c>
      <c r="D1235" s="4" t="b">
        <f t="shared" si="1"/>
        <v>0</v>
      </c>
      <c r="E1235" s="4" t="str">
        <f t="shared" si="2"/>
        <v>LE LABO DES HISTOIRES section Sud-Atlantique</v>
      </c>
    </row>
    <row r="1236">
      <c r="A1236" s="3" t="s">
        <v>1426</v>
      </c>
      <c r="B1236" s="3">
        <v>0.0</v>
      </c>
      <c r="C1236" s="3" t="s">
        <v>3</v>
      </c>
      <c r="D1236" s="4" t="b">
        <f t="shared" si="1"/>
        <v>0</v>
      </c>
      <c r="E1236" s="4" t="str">
        <f t="shared" si="2"/>
        <v>LE LABO DES LETTRES</v>
      </c>
    </row>
    <row r="1237">
      <c r="A1237" s="3" t="s">
        <v>1427</v>
      </c>
      <c r="B1237" s="3">
        <v>4634.0</v>
      </c>
      <c r="C1237" s="3" t="s">
        <v>6</v>
      </c>
      <c r="D1237" s="4" t="b">
        <f t="shared" si="1"/>
        <v>0</v>
      </c>
      <c r="E1237" s="4" t="str">
        <f t="shared" si="2"/>
        <v>LE LABO, REVELATEUR D'IMAGES</v>
      </c>
    </row>
    <row r="1238">
      <c r="A1238" s="3" t="s">
        <v>1429</v>
      </c>
      <c r="B1238" s="3">
        <v>0.0</v>
      </c>
      <c r="C1238" s="3" t="s">
        <v>3</v>
      </c>
      <c r="D1238" s="4" t="b">
        <f t="shared" si="1"/>
        <v>0</v>
      </c>
      <c r="E1238" s="4" t="str">
        <f t="shared" si="2"/>
        <v>LE LYS ET LE LEOPARD</v>
      </c>
    </row>
    <row r="1239">
      <c r="A1239" s="3" t="s">
        <v>1430</v>
      </c>
      <c r="B1239" s="3">
        <v>0.0</v>
      </c>
      <c r="C1239" s="3" t="s">
        <v>6</v>
      </c>
      <c r="D1239" s="4" t="b">
        <f t="shared" si="1"/>
        <v>0</v>
      </c>
      <c r="E1239" s="4" t="str">
        <f t="shared" si="2"/>
        <v>LE P'TIT BOUT DE QUARTIER</v>
      </c>
    </row>
    <row r="1240">
      <c r="A1240" s="3" t="s">
        <v>1431</v>
      </c>
      <c r="B1240" s="3">
        <v>5000.0</v>
      </c>
      <c r="C1240" s="4"/>
      <c r="D1240" s="4" t="b">
        <f t="shared" si="1"/>
        <v>0</v>
      </c>
      <c r="E1240" s="4" t="str">
        <f t="shared" si="2"/>
        <v>LE PAIN DE L'AMITIE</v>
      </c>
    </row>
    <row r="1241">
      <c r="A1241" s="3" t="s">
        <v>1432</v>
      </c>
      <c r="B1241" s="3">
        <v>0.0</v>
      </c>
      <c r="C1241" s="3" t="s">
        <v>484</v>
      </c>
      <c r="D1241" s="4" t="b">
        <f t="shared" si="1"/>
        <v>0</v>
      </c>
      <c r="E1241" s="4" t="str">
        <f t="shared" si="2"/>
        <v>LE PETIT INSTITUT DE CHINE : ECOLE D'ARTS MARTIAUX ET CULTURE CHINOISE</v>
      </c>
    </row>
    <row r="1242">
      <c r="A1242" s="3" t="s">
        <v>1433</v>
      </c>
      <c r="B1242" s="4"/>
      <c r="C1242" s="4"/>
      <c r="D1242" s="4" t="b">
        <f t="shared" si="1"/>
        <v>1</v>
      </c>
      <c r="E1242" s="4" t="str">
        <f t="shared" si="2"/>
        <v>CULTURE CHINOISE</v>
      </c>
    </row>
    <row r="1243">
      <c r="A1243" s="3" t="s">
        <v>1434</v>
      </c>
      <c r="B1243" s="3">
        <v>120.0</v>
      </c>
      <c r="C1243" s="3" t="s">
        <v>32</v>
      </c>
      <c r="D1243" s="4" t="b">
        <f t="shared" si="1"/>
        <v>0</v>
      </c>
      <c r="E1243" s="4" t="str">
        <f t="shared" si="2"/>
        <v>LE POQUELIN THEATRE</v>
      </c>
    </row>
    <row r="1244">
      <c r="A1244" s="3" t="s">
        <v>1436</v>
      </c>
      <c r="B1244" s="3">
        <v>4000.0</v>
      </c>
      <c r="C1244" s="4"/>
      <c r="D1244" s="4" t="b">
        <f t="shared" si="1"/>
        <v>0</v>
      </c>
      <c r="E1244" s="4" t="str">
        <f t="shared" si="2"/>
        <v>LE QUAI AUX LIVRES</v>
      </c>
    </row>
    <row r="1245">
      <c r="A1245" s="3" t="s">
        <v>1437</v>
      </c>
      <c r="B1245" s="3">
        <v>0.0</v>
      </c>
      <c r="C1245" s="3" t="s">
        <v>6</v>
      </c>
      <c r="D1245" s="4" t="b">
        <f t="shared" si="1"/>
        <v>0</v>
      </c>
      <c r="E1245" s="4" t="str">
        <f t="shared" si="2"/>
        <v>LE RELAIS GIRONDE</v>
      </c>
    </row>
    <row r="1246">
      <c r="A1246" s="3" t="s">
        <v>1438</v>
      </c>
      <c r="B1246" s="3">
        <v>50000.0</v>
      </c>
      <c r="C1246" s="4"/>
      <c r="D1246" s="4" t="b">
        <f t="shared" si="1"/>
        <v>0</v>
      </c>
      <c r="E1246" s="4" t="str">
        <f t="shared" si="2"/>
        <v>LE SERVICE GAGNANT</v>
      </c>
    </row>
    <row r="1247">
      <c r="A1247" s="3" t="s">
        <v>1439</v>
      </c>
      <c r="B1247" s="3">
        <v>23000.0</v>
      </c>
      <c r="C1247" s="3" t="s">
        <v>37</v>
      </c>
      <c r="D1247" s="4" t="b">
        <f t="shared" si="1"/>
        <v>0</v>
      </c>
      <c r="E1247" s="4" t="str">
        <f t="shared" si="2"/>
        <v>LE SPORTING-CLUB DE LA BASTIDIENNE </v>
      </c>
    </row>
    <row r="1248">
      <c r="A1248" s="4"/>
      <c r="B1248" s="4"/>
      <c r="C1248" s="3" t="s">
        <v>38</v>
      </c>
      <c r="D1248" s="4" t="b">
        <f t="shared" si="1"/>
        <v>1</v>
      </c>
      <c r="E1248" s="4" t="str">
        <f t="shared" si="2"/>
        <v/>
      </c>
    </row>
    <row r="1249">
      <c r="A1249" s="3" t="s">
        <v>1440</v>
      </c>
      <c r="B1249" s="3">
        <v>400.0</v>
      </c>
      <c r="C1249" s="4"/>
      <c r="D1249" s="4" t="b">
        <f t="shared" si="1"/>
        <v>0</v>
      </c>
      <c r="E1249" s="4" t="str">
        <f t="shared" si="2"/>
        <v>LE TERROIR</v>
      </c>
    </row>
    <row r="1250">
      <c r="A1250" s="3" t="s">
        <v>1441</v>
      </c>
      <c r="B1250" s="3">
        <v>0.0</v>
      </c>
      <c r="C1250" s="3" t="s">
        <v>3</v>
      </c>
      <c r="D1250" s="4" t="b">
        <f t="shared" si="1"/>
        <v>0</v>
      </c>
      <c r="E1250" s="4" t="str">
        <f t="shared" si="2"/>
        <v>LE THEATRE DES EGREGORES</v>
      </c>
    </row>
    <row r="1251">
      <c r="A1251" s="3" t="s">
        <v>1442</v>
      </c>
      <c r="B1251" s="3">
        <v>0.0</v>
      </c>
      <c r="C1251" s="3" t="s">
        <v>3</v>
      </c>
      <c r="D1251" s="4" t="b">
        <f t="shared" si="1"/>
        <v>0</v>
      </c>
      <c r="E1251" s="4" t="str">
        <f t="shared" si="2"/>
        <v>LEGATO CIE</v>
      </c>
    </row>
    <row r="1252">
      <c r="A1252" s="3" t="s">
        <v>1443</v>
      </c>
      <c r="B1252" s="3">
        <v>0.0</v>
      </c>
      <c r="C1252" s="3" t="s">
        <v>3</v>
      </c>
      <c r="D1252" s="4" t="b">
        <f t="shared" si="1"/>
        <v>0</v>
      </c>
      <c r="E1252" s="4" t="str">
        <f t="shared" si="2"/>
        <v>LEO CLUB BORDEAUX INTERNATIONAL - LBI</v>
      </c>
    </row>
    <row r="1253">
      <c r="A1253" s="3" t="s">
        <v>1444</v>
      </c>
      <c r="B1253" s="3">
        <v>500.0</v>
      </c>
      <c r="C1253" s="4"/>
      <c r="D1253" s="4" t="b">
        <f t="shared" si="1"/>
        <v>0</v>
      </c>
      <c r="E1253" s="4" t="str">
        <f t="shared" si="2"/>
        <v>LES 13 LUNES</v>
      </c>
    </row>
    <row r="1254">
      <c r="A1254" s="3" t="s">
        <v>1445</v>
      </c>
      <c r="B1254" s="3">
        <v>0.0</v>
      </c>
      <c r="C1254" s="3" t="s">
        <v>3</v>
      </c>
      <c r="D1254" s="4" t="b">
        <f t="shared" si="1"/>
        <v>0</v>
      </c>
      <c r="E1254" s="4" t="str">
        <f t="shared" si="2"/>
        <v>LES AMIS AQUITAINS DES SEMAINES SOCIALES DE France</v>
      </c>
    </row>
    <row r="1255">
      <c r="A1255" s="3" t="s">
        <v>1446</v>
      </c>
      <c r="B1255" s="3">
        <v>0.0</v>
      </c>
      <c r="C1255" s="3" t="s">
        <v>3</v>
      </c>
      <c r="D1255" s="4" t="b">
        <f t="shared" si="1"/>
        <v>0</v>
      </c>
      <c r="E1255" s="4" t="str">
        <f t="shared" si="2"/>
        <v>LES AMIS DE BORDEAUX-SUD</v>
      </c>
    </row>
    <row r="1256">
      <c r="A1256" s="3" t="s">
        <v>1447</v>
      </c>
      <c r="B1256" s="3">
        <v>0.0</v>
      </c>
      <c r="C1256" s="3" t="s">
        <v>3</v>
      </c>
      <c r="D1256" s="4" t="b">
        <f t="shared" si="1"/>
        <v>0</v>
      </c>
      <c r="E1256" s="4" t="str">
        <f t="shared" si="2"/>
        <v>LES AMIS DE LA RUE KLEBER</v>
      </c>
    </row>
    <row r="1257">
      <c r="A1257" s="3" t="s">
        <v>1448</v>
      </c>
      <c r="B1257" s="3">
        <v>0.0</v>
      </c>
      <c r="C1257" s="3" t="s">
        <v>3</v>
      </c>
      <c r="D1257" s="4" t="b">
        <f t="shared" si="1"/>
        <v>0</v>
      </c>
      <c r="E1257" s="4" t="str">
        <f t="shared" si="2"/>
        <v>LES AMIS DE LA TERRE GIRONDE</v>
      </c>
    </row>
    <row r="1258">
      <c r="A1258" s="3" t="s">
        <v>1449</v>
      </c>
      <c r="B1258" s="3">
        <v>1800.0</v>
      </c>
      <c r="C1258" s="3" t="s">
        <v>6</v>
      </c>
      <c r="D1258" s="4" t="b">
        <f t="shared" si="1"/>
        <v>0</v>
      </c>
      <c r="E1258" s="4" t="str">
        <f t="shared" si="2"/>
        <v>LES AMIS DE SAINTE GENEVIEVE (ASG)</v>
      </c>
    </row>
    <row r="1259">
      <c r="A1259" s="3" t="s">
        <v>1450</v>
      </c>
      <c r="B1259" s="3">
        <v>2500.0</v>
      </c>
      <c r="C1259" s="3" t="s">
        <v>3</v>
      </c>
      <c r="D1259" s="4" t="b">
        <f t="shared" si="1"/>
        <v>0</v>
      </c>
      <c r="E1259" s="4" t="str">
        <f t="shared" si="2"/>
        <v>LES AMIS DE SUPERCOOP</v>
      </c>
    </row>
    <row r="1260">
      <c r="A1260" s="3" t="s">
        <v>1451</v>
      </c>
      <c r="B1260" s="3">
        <v>4000.0</v>
      </c>
      <c r="C1260" s="3" t="s">
        <v>32</v>
      </c>
      <c r="D1260" s="4" t="b">
        <f t="shared" si="1"/>
        <v>0</v>
      </c>
      <c r="E1260" s="4" t="str">
        <f t="shared" si="2"/>
        <v>LES AMIS DU GRAND THEATRE - OPERA DE BORDEAUX</v>
      </c>
    </row>
    <row r="1261">
      <c r="A1261" s="3" t="s">
        <v>1452</v>
      </c>
      <c r="B1261" s="3">
        <v>0.0</v>
      </c>
      <c r="C1261" s="3" t="s">
        <v>32</v>
      </c>
      <c r="D1261" s="4" t="b">
        <f t="shared" si="1"/>
        <v>0</v>
      </c>
      <c r="E1261" s="4" t="str">
        <f t="shared" si="2"/>
        <v>LES ANCIENS DE BACALAN CLAVEAU</v>
      </c>
    </row>
    <row r="1262">
      <c r="A1262" s="3" t="s">
        <v>1453</v>
      </c>
      <c r="B1262" s="3">
        <v>0.0</v>
      </c>
      <c r="C1262" s="3" t="s">
        <v>3</v>
      </c>
      <c r="D1262" s="4" t="b">
        <f t="shared" si="1"/>
        <v>0</v>
      </c>
      <c r="E1262" s="4" t="str">
        <f t="shared" si="2"/>
        <v>LES ANNALES DE L'ESPRIT</v>
      </c>
    </row>
    <row r="1263">
      <c r="A1263" s="3" t="s">
        <v>1454</v>
      </c>
      <c r="B1263" s="3">
        <v>500.0</v>
      </c>
      <c r="C1263" s="3" t="s">
        <v>484</v>
      </c>
      <c r="D1263" s="4" t="b">
        <f t="shared" si="1"/>
        <v>0</v>
      </c>
      <c r="E1263" s="4" t="str">
        <f t="shared" si="2"/>
        <v>LES ARCHERS DE GUYENNE</v>
      </c>
    </row>
    <row r="1264">
      <c r="A1264" s="3" t="s">
        <v>1455</v>
      </c>
      <c r="B1264" s="3">
        <v>500.0</v>
      </c>
      <c r="C1264" s="4"/>
      <c r="D1264" s="4" t="b">
        <f t="shared" si="1"/>
        <v>0</v>
      </c>
      <c r="E1264" s="4" t="str">
        <f t="shared" si="2"/>
        <v>LES BLESSES MULTIPLES ET IMPOTENTS DE GUERRE SECTION DE LA GIRONDE</v>
      </c>
    </row>
    <row r="1265">
      <c r="A1265" s="3" t="s">
        <v>1456</v>
      </c>
      <c r="B1265" s="4"/>
      <c r="C1265" s="4"/>
      <c r="D1265" s="4" t="b">
        <f t="shared" si="1"/>
        <v>1</v>
      </c>
      <c r="E1265" s="4" t="str">
        <f t="shared" si="2"/>
        <v>LA GIRONDE</v>
      </c>
    </row>
    <row r="1266">
      <c r="A1266" s="3" t="s">
        <v>1457</v>
      </c>
      <c r="B1266" s="3">
        <v>800.0</v>
      </c>
      <c r="C1266" s="4"/>
      <c r="D1266" s="4" t="b">
        <f t="shared" si="1"/>
        <v>0</v>
      </c>
      <c r="E1266" s="4" t="str">
        <f t="shared" si="2"/>
        <v>LES BLOUSES ROSES</v>
      </c>
    </row>
    <row r="1267">
      <c r="A1267" s="3" t="s">
        <v>1458</v>
      </c>
      <c r="B1267" s="3">
        <v>0.0</v>
      </c>
      <c r="C1267" s="3" t="s">
        <v>3</v>
      </c>
      <c r="D1267" s="4" t="b">
        <f t="shared" si="1"/>
        <v>0</v>
      </c>
      <c r="E1267" s="4" t="str">
        <f t="shared" si="2"/>
        <v>LES BORDELUCHES</v>
      </c>
    </row>
    <row r="1268">
      <c r="A1268" s="3" t="s">
        <v>1459</v>
      </c>
      <c r="B1268" s="3">
        <v>0.0</v>
      </c>
      <c r="C1268" s="3" t="s">
        <v>3</v>
      </c>
      <c r="D1268" s="4" t="b">
        <f t="shared" si="1"/>
        <v>0</v>
      </c>
      <c r="E1268" s="4" t="str">
        <f t="shared" si="2"/>
        <v>LES BRUITS DE LA RUE</v>
      </c>
    </row>
    <row r="1269">
      <c r="A1269" s="3" t="s">
        <v>1460</v>
      </c>
      <c r="B1269" s="3">
        <v>6500.0</v>
      </c>
      <c r="C1269" s="4"/>
      <c r="D1269" s="4" t="b">
        <f t="shared" si="1"/>
        <v>0</v>
      </c>
      <c r="E1269" s="4" t="str">
        <f t="shared" si="2"/>
        <v>LES CAPRICES DE MARIANNE</v>
      </c>
    </row>
    <row r="1270">
      <c r="A1270" s="3" t="s">
        <v>1461</v>
      </c>
      <c r="B1270" s="3">
        <v>1000.0</v>
      </c>
      <c r="C1270" s="3" t="s">
        <v>6</v>
      </c>
      <c r="D1270" s="4" t="b">
        <f t="shared" si="1"/>
        <v>0</v>
      </c>
      <c r="E1270" s="4" t="str">
        <f t="shared" si="2"/>
        <v>LES CLOWNS STETHOSCOPES</v>
      </c>
    </row>
    <row r="1271">
      <c r="A1271" s="3" t="s">
        <v>1462</v>
      </c>
      <c r="B1271" s="3">
        <v>1200.0</v>
      </c>
      <c r="C1271" s="3" t="s">
        <v>3</v>
      </c>
      <c r="D1271" s="4" t="b">
        <f t="shared" si="1"/>
        <v>0</v>
      </c>
      <c r="E1271" s="4" t="str">
        <f t="shared" si="2"/>
        <v>LES COLCHIQUES DE CONDORCET</v>
      </c>
    </row>
    <row r="1272">
      <c r="A1272" s="3" t="s">
        <v>1463</v>
      </c>
      <c r="B1272" s="3">
        <v>343924.0</v>
      </c>
      <c r="C1272" s="3" t="s">
        <v>484</v>
      </c>
      <c r="D1272" s="4" t="b">
        <f t="shared" si="1"/>
        <v>0</v>
      </c>
      <c r="E1272" s="4" t="str">
        <f t="shared" si="2"/>
        <v>LES COQS ROUGES</v>
      </c>
    </row>
    <row r="1273">
      <c r="A1273" s="3" t="s">
        <v>1465</v>
      </c>
      <c r="B1273" s="3">
        <v>0.0</v>
      </c>
      <c r="C1273" s="3" t="s">
        <v>3</v>
      </c>
      <c r="D1273" s="4" t="b">
        <f t="shared" si="1"/>
        <v>0</v>
      </c>
      <c r="E1273" s="4" t="str">
        <f t="shared" si="2"/>
        <v>LES COQUELICOTS</v>
      </c>
    </row>
    <row r="1274">
      <c r="A1274" s="3" t="s">
        <v>1466</v>
      </c>
      <c r="B1274" s="3">
        <v>0.0</v>
      </c>
      <c r="C1274" s="3" t="s">
        <v>3</v>
      </c>
      <c r="D1274" s="4" t="b">
        <f t="shared" si="1"/>
        <v>0</v>
      </c>
      <c r="E1274" s="4" t="str">
        <f t="shared" si="2"/>
        <v>LES COUCOUS</v>
      </c>
    </row>
    <row r="1275">
      <c r="A1275" s="3" t="s">
        <v>1467</v>
      </c>
      <c r="B1275" s="3">
        <v>900.0</v>
      </c>
      <c r="C1275" s="4"/>
      <c r="D1275" s="4" t="b">
        <f t="shared" si="1"/>
        <v>0</v>
      </c>
      <c r="E1275" s="4" t="str">
        <f t="shared" si="2"/>
        <v>LES CYRANOS</v>
      </c>
    </row>
    <row r="1276">
      <c r="A1276" s="3" t="s">
        <v>1468</v>
      </c>
      <c r="B1276" s="3">
        <v>5000.0</v>
      </c>
      <c r="C1276" s="4"/>
      <c r="D1276" s="4" t="b">
        <f t="shared" si="1"/>
        <v>0</v>
      </c>
      <c r="E1276" s="4" t="str">
        <f t="shared" si="2"/>
        <v>LES DISQUES DU FENNEC</v>
      </c>
    </row>
    <row r="1277">
      <c r="A1277" s="3" t="s">
        <v>1469</v>
      </c>
      <c r="B1277" s="3">
        <v>0.0</v>
      </c>
      <c r="C1277" s="3" t="s">
        <v>6</v>
      </c>
      <c r="D1277" s="4" t="b">
        <f t="shared" si="1"/>
        <v>0</v>
      </c>
      <c r="E1277" s="4" t="str">
        <f t="shared" si="2"/>
        <v>LES DOSSIERS D'AQUITAINE ET D'AILLEURS</v>
      </c>
    </row>
    <row r="1278">
      <c r="A1278" s="3" t="s">
        <v>1470</v>
      </c>
      <c r="B1278" s="3">
        <v>2250.0</v>
      </c>
      <c r="C1278" s="4"/>
      <c r="D1278" s="4" t="b">
        <f t="shared" si="1"/>
        <v>0</v>
      </c>
      <c r="E1278" s="4" t="str">
        <f t="shared" si="2"/>
        <v>LES ECHOS DU LAC</v>
      </c>
    </row>
    <row r="1279">
      <c r="A1279" s="3" t="s">
        <v>1472</v>
      </c>
      <c r="B1279" s="3">
        <v>240000.0</v>
      </c>
      <c r="C1279" s="4"/>
      <c r="D1279" s="4" t="b">
        <f t="shared" si="1"/>
        <v>0</v>
      </c>
      <c r="E1279" s="4" t="str">
        <f t="shared" si="2"/>
        <v>LES ENFANTS D'OSIRIS</v>
      </c>
    </row>
    <row r="1280">
      <c r="A1280" s="3" t="s">
        <v>1474</v>
      </c>
      <c r="B1280" s="3">
        <v>0.0</v>
      </c>
      <c r="C1280" s="3" t="s">
        <v>3</v>
      </c>
      <c r="D1280" s="4" t="b">
        <f t="shared" si="1"/>
        <v>0</v>
      </c>
      <c r="E1280" s="4" t="str">
        <f t="shared" si="2"/>
        <v>LES ENTREPRENEURS ET DIRIGEANTS CHRETIENS</v>
      </c>
    </row>
    <row r="1281">
      <c r="A1281" s="3" t="s">
        <v>1475</v>
      </c>
      <c r="B1281" s="3">
        <v>6000.0</v>
      </c>
      <c r="C1281" s="4"/>
      <c r="D1281" s="4" t="b">
        <f t="shared" si="1"/>
        <v>0</v>
      </c>
      <c r="E1281" s="4" t="str">
        <f t="shared" si="2"/>
        <v>LES FEES PAPILLONS</v>
      </c>
    </row>
    <row r="1282">
      <c r="A1282" s="3" t="s">
        <v>1476</v>
      </c>
      <c r="B1282" s="3">
        <v>0.0</v>
      </c>
      <c r="C1282" s="3" t="s">
        <v>3</v>
      </c>
      <c r="D1282" s="4" t="b">
        <f t="shared" si="1"/>
        <v>0</v>
      </c>
      <c r="E1282" s="4" t="str">
        <f t="shared" si="2"/>
        <v>LES FEES REIKI</v>
      </c>
    </row>
    <row r="1283">
      <c r="A1283" s="3" t="s">
        <v>1477</v>
      </c>
      <c r="B1283" s="3">
        <v>0.0</v>
      </c>
      <c r="C1283" s="3" t="s">
        <v>6</v>
      </c>
      <c r="D1283" s="4" t="b">
        <f t="shared" si="1"/>
        <v>0</v>
      </c>
      <c r="E1283" s="4" t="str">
        <f t="shared" si="2"/>
        <v>LES FEES RUE</v>
      </c>
    </row>
    <row r="1284">
      <c r="A1284" s="3" t="s">
        <v>1478</v>
      </c>
      <c r="B1284" s="3">
        <v>0.0</v>
      </c>
      <c r="C1284" s="3" t="s">
        <v>3</v>
      </c>
      <c r="D1284" s="4" t="b">
        <f t="shared" si="1"/>
        <v>0</v>
      </c>
      <c r="E1284" s="4" t="str">
        <f t="shared" si="2"/>
        <v>LES FILLES D'A COTE</v>
      </c>
    </row>
    <row r="1285">
      <c r="A1285" s="3" t="s">
        <v>1479</v>
      </c>
      <c r="B1285" s="3">
        <v>800.0</v>
      </c>
      <c r="C1285" s="4"/>
      <c r="D1285" s="4" t="b">
        <f t="shared" si="1"/>
        <v>0</v>
      </c>
      <c r="E1285" s="4" t="str">
        <f t="shared" si="2"/>
        <v>LES FILS DU TONAIRES</v>
      </c>
    </row>
    <row r="1286">
      <c r="A1286" s="3" t="s">
        <v>1480</v>
      </c>
      <c r="B1286" s="3">
        <v>3000.0</v>
      </c>
      <c r="C1286" s="4"/>
      <c r="D1286" s="4" t="b">
        <f t="shared" si="1"/>
        <v>0</v>
      </c>
      <c r="E1286" s="4" t="str">
        <f t="shared" si="2"/>
        <v>LES GINKOBILOBIENS</v>
      </c>
    </row>
    <row r="1287">
      <c r="A1287" s="3" t="s">
        <v>1481</v>
      </c>
      <c r="B1287" s="3">
        <v>132000.0</v>
      </c>
      <c r="C1287" s="3" t="s">
        <v>37</v>
      </c>
      <c r="D1287" s="4" t="b">
        <f t="shared" si="1"/>
        <v>0</v>
      </c>
      <c r="E1287" s="4" t="str">
        <f t="shared" si="2"/>
        <v>LES GIRONDINS DE BORDEAUX </v>
      </c>
    </row>
    <row r="1288">
      <c r="A1288" s="4"/>
      <c r="B1288" s="4"/>
      <c r="C1288" s="3" t="s">
        <v>38</v>
      </c>
      <c r="D1288" s="4" t="b">
        <f t="shared" si="1"/>
        <v>1</v>
      </c>
      <c r="E1288" s="4" t="str">
        <f t="shared" si="2"/>
        <v/>
      </c>
    </row>
    <row r="1289">
      <c r="A1289" s="3" t="s">
        <v>1483</v>
      </c>
      <c r="B1289" s="3">
        <v>0.0</v>
      </c>
      <c r="C1289" s="3" t="s">
        <v>3</v>
      </c>
      <c r="D1289" s="4" t="b">
        <f t="shared" si="1"/>
        <v>0</v>
      </c>
      <c r="E1289" s="4" t="str">
        <f t="shared" si="2"/>
        <v>LES GOUPILS</v>
      </c>
    </row>
    <row r="1290">
      <c r="A1290" s="3" t="s">
        <v>1484</v>
      </c>
      <c r="B1290" s="3">
        <v>0.0</v>
      </c>
      <c r="C1290" s="3" t="s">
        <v>6</v>
      </c>
      <c r="D1290" s="4" t="b">
        <f t="shared" si="1"/>
        <v>0</v>
      </c>
      <c r="E1290" s="4" t="str">
        <f t="shared" si="2"/>
        <v>LES HABITANTS ET RIVERAINS DU QUARTIER SAINT-GENES-BOURSE DU TRAVAIL - COSTEDOAT</v>
      </c>
    </row>
    <row r="1291">
      <c r="A1291" s="3" t="s">
        <v>1485</v>
      </c>
      <c r="B1291" s="4"/>
      <c r="C1291" s="4"/>
      <c r="D1291" s="4" t="b">
        <f t="shared" si="1"/>
        <v>1</v>
      </c>
      <c r="E1291" s="4" t="str">
        <f t="shared" si="2"/>
        <v>DU TRAVAIL - COSTEDOAT</v>
      </c>
    </row>
    <row r="1292">
      <c r="A1292" s="3" t="s">
        <v>1486</v>
      </c>
      <c r="B1292" s="3">
        <v>0.0</v>
      </c>
      <c r="C1292" s="3" t="s">
        <v>3</v>
      </c>
      <c r="D1292" s="4" t="b">
        <f t="shared" si="1"/>
        <v>0</v>
      </c>
      <c r="E1292" s="4" t="str">
        <f t="shared" si="2"/>
        <v>LES IMPROVISATEURS ANONYMES</v>
      </c>
    </row>
    <row r="1293">
      <c r="A1293" s="3" t="s">
        <v>1487</v>
      </c>
      <c r="B1293" s="3">
        <v>0.0</v>
      </c>
      <c r="C1293" s="3" t="s">
        <v>3</v>
      </c>
      <c r="D1293" s="4" t="b">
        <f t="shared" si="1"/>
        <v>0</v>
      </c>
      <c r="E1293" s="4" t="str">
        <f t="shared" si="2"/>
        <v>LES INDEPENDANTS PLASTICIENS DE BORDEAUX</v>
      </c>
    </row>
    <row r="1294">
      <c r="A1294" s="3" t="s">
        <v>1488</v>
      </c>
      <c r="B1294" s="3">
        <v>0.0</v>
      </c>
      <c r="C1294" s="3" t="s">
        <v>3</v>
      </c>
      <c r="D1294" s="4" t="b">
        <f t="shared" si="1"/>
        <v>0</v>
      </c>
      <c r="E1294" s="4" t="str">
        <f t="shared" si="2"/>
        <v>LES INSTRUMENTS ANCIENS DE BORDEAUX</v>
      </c>
    </row>
    <row r="1295">
      <c r="A1295" s="3" t="s">
        <v>1489</v>
      </c>
      <c r="B1295" s="3">
        <v>29750.0</v>
      </c>
      <c r="C1295" s="3" t="s">
        <v>32</v>
      </c>
      <c r="D1295" s="4" t="b">
        <f t="shared" si="1"/>
        <v>0</v>
      </c>
      <c r="E1295" s="4" t="str">
        <f t="shared" si="2"/>
        <v>LES JARDINS D'AUJOURD'HUI</v>
      </c>
    </row>
    <row r="1296">
      <c r="A1296" s="3" t="s">
        <v>1491</v>
      </c>
      <c r="B1296" s="3">
        <v>500.0</v>
      </c>
      <c r="C1296" s="4"/>
      <c r="D1296" s="4" t="b">
        <f t="shared" si="1"/>
        <v>0</v>
      </c>
      <c r="E1296" s="4" t="str">
        <f t="shared" si="2"/>
        <v>LES JARDINS DE POINCARE</v>
      </c>
    </row>
    <row r="1297">
      <c r="A1297" s="3" t="s">
        <v>1492</v>
      </c>
      <c r="B1297" s="3">
        <v>892663.0</v>
      </c>
      <c r="C1297" s="3" t="s">
        <v>37</v>
      </c>
      <c r="D1297" s="4" t="b">
        <f t="shared" si="1"/>
        <v>0</v>
      </c>
      <c r="E1297" s="4" t="str">
        <f t="shared" si="2"/>
        <v>LES JEUNES DE SAINT AUGUSTIN - JSA </v>
      </c>
    </row>
    <row r="1298">
      <c r="A1298" s="4"/>
      <c r="B1298" s="4"/>
      <c r="C1298" s="3" t="s">
        <v>38</v>
      </c>
      <c r="D1298" s="4" t="b">
        <f t="shared" si="1"/>
        <v>1</v>
      </c>
      <c r="E1298" s="4" t="str">
        <f t="shared" si="2"/>
        <v/>
      </c>
    </row>
    <row r="1299">
      <c r="A1299" s="3" t="s">
        <v>1494</v>
      </c>
      <c r="B1299" s="3">
        <v>0.0</v>
      </c>
      <c r="C1299" s="3" t="s">
        <v>3</v>
      </c>
      <c r="D1299" s="4" t="b">
        <f t="shared" si="1"/>
        <v>0</v>
      </c>
      <c r="E1299" s="4" t="str">
        <f t="shared" si="2"/>
        <v>LES JOIES HUMAINES</v>
      </c>
    </row>
    <row r="1300">
      <c r="A1300" s="3" t="s">
        <v>1495</v>
      </c>
      <c r="B1300" s="3">
        <v>1500.0</v>
      </c>
      <c r="C1300" s="4"/>
      <c r="D1300" s="4" t="b">
        <f t="shared" si="1"/>
        <v>0</v>
      </c>
      <c r="E1300" s="4" t="str">
        <f t="shared" si="2"/>
        <v>LES JOURNEES DE LA NUTRITION - JDLN</v>
      </c>
    </row>
    <row r="1301">
      <c r="A1301" s="3" t="s">
        <v>1496</v>
      </c>
      <c r="B1301" s="3">
        <v>14000.0</v>
      </c>
      <c r="C1301" s="3" t="s">
        <v>29</v>
      </c>
      <c r="D1301" s="4" t="b">
        <f t="shared" si="1"/>
        <v>0</v>
      </c>
      <c r="E1301" s="4" t="str">
        <f t="shared" si="2"/>
        <v>LES LEOPARDS DE GUYENNE</v>
      </c>
    </row>
    <row r="1302">
      <c r="A1302" s="3" t="s">
        <v>1497</v>
      </c>
      <c r="B1302" s="3">
        <v>0.0</v>
      </c>
      <c r="C1302" s="3" t="s">
        <v>3</v>
      </c>
      <c r="D1302" s="4" t="b">
        <f t="shared" si="1"/>
        <v>0</v>
      </c>
      <c r="E1302" s="4" t="str">
        <f t="shared" si="2"/>
        <v>LES MORPHOGENISTES</v>
      </c>
    </row>
    <row r="1303">
      <c r="A1303" s="3" t="s">
        <v>1498</v>
      </c>
      <c r="B1303" s="3">
        <v>0.0</v>
      </c>
      <c r="C1303" s="3" t="s">
        <v>29</v>
      </c>
      <c r="D1303" s="4" t="b">
        <f t="shared" si="1"/>
        <v>0</v>
      </c>
      <c r="E1303" s="4" t="str">
        <f t="shared" si="2"/>
        <v>LES MUSCLES BORDELAIS</v>
      </c>
    </row>
    <row r="1304">
      <c r="A1304" s="3" t="s">
        <v>1499</v>
      </c>
      <c r="B1304" s="3">
        <v>9000.0</v>
      </c>
      <c r="C1304" s="3" t="s">
        <v>32</v>
      </c>
      <c r="D1304" s="4" t="b">
        <f t="shared" si="1"/>
        <v>0</v>
      </c>
      <c r="E1304" s="4" t="str">
        <f t="shared" si="2"/>
        <v>LES P'TITS GRATTEURS</v>
      </c>
    </row>
    <row r="1305">
      <c r="A1305" s="3" t="s">
        <v>1500</v>
      </c>
      <c r="B1305" s="3">
        <v>205000.0</v>
      </c>
      <c r="C1305" s="4"/>
      <c r="D1305" s="4" t="b">
        <f t="shared" si="1"/>
        <v>0</v>
      </c>
      <c r="E1305" s="4" t="str">
        <f t="shared" si="2"/>
        <v>LES PARENTS DE CAUDERAN</v>
      </c>
    </row>
    <row r="1306">
      <c r="A1306" s="3" t="s">
        <v>1502</v>
      </c>
      <c r="B1306" s="3">
        <v>54201.0</v>
      </c>
      <c r="C1306" s="3" t="s">
        <v>6</v>
      </c>
      <c r="D1306" s="4" t="b">
        <f t="shared" si="1"/>
        <v>0</v>
      </c>
      <c r="E1306" s="4" t="str">
        <f t="shared" si="2"/>
        <v>LES PETITS DEBROUILLARDS AQUITAINE</v>
      </c>
    </row>
    <row r="1307">
      <c r="A1307" s="3" t="s">
        <v>1504</v>
      </c>
      <c r="B1307" s="3">
        <v>2800.0</v>
      </c>
      <c r="C1307" s="3" t="s">
        <v>3</v>
      </c>
      <c r="D1307" s="4" t="b">
        <f t="shared" si="1"/>
        <v>0</v>
      </c>
      <c r="E1307" s="4" t="str">
        <f t="shared" si="2"/>
        <v>LES PETITS FRERES DES PAUVRES DE BORDEAUX</v>
      </c>
    </row>
    <row r="1308">
      <c r="A1308" s="3" t="s">
        <v>1505</v>
      </c>
      <c r="B1308" s="3">
        <v>0.0</v>
      </c>
      <c r="C1308" s="3" t="s">
        <v>3</v>
      </c>
      <c r="D1308" s="4" t="b">
        <f t="shared" si="1"/>
        <v>0</v>
      </c>
      <c r="E1308" s="4" t="str">
        <f t="shared" si="2"/>
        <v>LES PETITS TRETEAUX</v>
      </c>
    </row>
    <row r="1309">
      <c r="A1309" s="3" t="s">
        <v>1506</v>
      </c>
      <c r="B1309" s="3">
        <v>0.0</v>
      </c>
      <c r="C1309" s="3" t="s">
        <v>3</v>
      </c>
      <c r="D1309" s="4" t="b">
        <f t="shared" si="1"/>
        <v>0</v>
      </c>
      <c r="E1309" s="4" t="str">
        <f t="shared" si="2"/>
        <v>LES PINSONS</v>
      </c>
    </row>
    <row r="1310">
      <c r="A1310" s="3" t="s">
        <v>1507</v>
      </c>
      <c r="B1310" s="3">
        <v>0.0</v>
      </c>
      <c r="C1310" s="3" t="s">
        <v>3</v>
      </c>
      <c r="D1310" s="4" t="b">
        <f t="shared" si="1"/>
        <v>0</v>
      </c>
      <c r="E1310" s="4" t="str">
        <f t="shared" si="2"/>
        <v>LES PRODUCTIONS DE L'ANGE</v>
      </c>
    </row>
    <row r="1311">
      <c r="A1311" s="3" t="s">
        <v>1508</v>
      </c>
      <c r="B1311" s="3">
        <v>0.0</v>
      </c>
      <c r="C1311" s="3" t="s">
        <v>3</v>
      </c>
      <c r="D1311" s="4" t="b">
        <f t="shared" si="1"/>
        <v>0</v>
      </c>
      <c r="E1311" s="4" t="str">
        <f t="shared" si="2"/>
        <v>LES RIVERAINS DU STADE PROMIS</v>
      </c>
    </row>
    <row r="1312">
      <c r="A1312" s="3" t="s">
        <v>1509</v>
      </c>
      <c r="B1312" s="3">
        <v>0.0</v>
      </c>
      <c r="C1312" s="3" t="s">
        <v>3</v>
      </c>
      <c r="D1312" s="4" t="b">
        <f t="shared" si="1"/>
        <v>0</v>
      </c>
      <c r="E1312" s="4" t="str">
        <f t="shared" si="2"/>
        <v>LES ROSES DE DAMAS</v>
      </c>
    </row>
    <row r="1313">
      <c r="A1313" s="3" t="s">
        <v>1510</v>
      </c>
      <c r="B1313" s="3">
        <v>3000.0</v>
      </c>
      <c r="C1313" s="3" t="s">
        <v>3</v>
      </c>
      <c r="D1313" s="4" t="b">
        <f t="shared" si="1"/>
        <v>0</v>
      </c>
      <c r="E1313" s="4" t="str">
        <f t="shared" si="2"/>
        <v>LES SURPRISES</v>
      </c>
    </row>
    <row r="1314">
      <c r="A1314" s="3" t="s">
        <v>1511</v>
      </c>
      <c r="B1314" s="3">
        <v>0.0</v>
      </c>
      <c r="C1314" s="3" t="s">
        <v>6</v>
      </c>
      <c r="D1314" s="4" t="b">
        <f t="shared" si="1"/>
        <v>0</v>
      </c>
      <c r="E1314" s="4" t="str">
        <f t="shared" si="2"/>
        <v>LES VAILLANTS DE SAINT SEURIN</v>
      </c>
    </row>
    <row r="1315">
      <c r="A1315" s="3" t="s">
        <v>1512</v>
      </c>
      <c r="B1315" s="3">
        <v>9500.0</v>
      </c>
      <c r="C1315" s="3" t="s">
        <v>6</v>
      </c>
      <c r="D1315" s="4" t="b">
        <f t="shared" si="1"/>
        <v>0</v>
      </c>
      <c r="E1315" s="4" t="str">
        <f t="shared" si="2"/>
        <v>LES VIVRES DE L'ART</v>
      </c>
    </row>
    <row r="1316">
      <c r="A1316" s="3" t="s">
        <v>1513</v>
      </c>
      <c r="B1316" s="3">
        <v>0.0</v>
      </c>
      <c r="C1316" s="3" t="s">
        <v>6</v>
      </c>
      <c r="D1316" s="4" t="b">
        <f t="shared" si="1"/>
        <v>0</v>
      </c>
      <c r="E1316" s="4" t="str">
        <f t="shared" si="2"/>
        <v>LES Z'ARPETES</v>
      </c>
    </row>
    <row r="1317">
      <c r="A1317" s="3" t="s">
        <v>1514</v>
      </c>
      <c r="B1317" s="3">
        <v>0.0</v>
      </c>
      <c r="C1317" s="3" t="s">
        <v>6</v>
      </c>
      <c r="D1317" s="4" t="b">
        <f t="shared" si="1"/>
        <v>0</v>
      </c>
      <c r="E1317" s="4" t="str">
        <f t="shared" si="2"/>
        <v>LESBIAN &amp; GAY PRIDE BORDEAUX DITE AUSSI LGP BORDEAUX</v>
      </c>
    </row>
    <row r="1318">
      <c r="A1318" s="3" t="s">
        <v>1515</v>
      </c>
      <c r="B1318" s="3">
        <v>11500.0</v>
      </c>
      <c r="C1318" s="3" t="s">
        <v>16</v>
      </c>
      <c r="D1318" s="4" t="b">
        <f t="shared" si="1"/>
        <v>0</v>
      </c>
      <c r="E1318" s="4" t="str">
        <f t="shared" si="2"/>
        <v>LETTRES DU MONDE</v>
      </c>
    </row>
    <row r="1319">
      <c r="A1319" s="3" t="s">
        <v>1516</v>
      </c>
      <c r="B1319" s="3">
        <v>741.0</v>
      </c>
      <c r="C1319" s="4"/>
      <c r="D1319" s="4" t="b">
        <f t="shared" si="1"/>
        <v>0</v>
      </c>
      <c r="E1319" s="4" t="str">
        <f t="shared" si="2"/>
        <v>LIBER LANGUE CULTURE CREATION</v>
      </c>
    </row>
    <row r="1320">
      <c r="A1320" s="3" t="s">
        <v>1518</v>
      </c>
      <c r="B1320" s="3">
        <v>0.0</v>
      </c>
      <c r="C1320" s="3" t="s">
        <v>3</v>
      </c>
      <c r="D1320" s="4" t="b">
        <f t="shared" si="1"/>
        <v>0</v>
      </c>
      <c r="E1320" s="4" t="str">
        <f t="shared" si="2"/>
        <v>LIBRE PENSEE</v>
      </c>
    </row>
    <row r="1321">
      <c r="A1321" s="3" t="s">
        <v>1519</v>
      </c>
      <c r="B1321" s="3">
        <v>0.0</v>
      </c>
      <c r="C1321" s="3" t="s">
        <v>3</v>
      </c>
      <c r="D1321" s="4" t="b">
        <f t="shared" si="1"/>
        <v>0</v>
      </c>
      <c r="E1321" s="4" t="str">
        <f t="shared" si="2"/>
        <v>LICHORE</v>
      </c>
    </row>
    <row r="1322">
      <c r="A1322" s="3" t="s">
        <v>1520</v>
      </c>
      <c r="B1322" s="3">
        <v>0.0</v>
      </c>
      <c r="C1322" s="3" t="s">
        <v>32</v>
      </c>
      <c r="D1322" s="4" t="b">
        <f t="shared" si="1"/>
        <v>0</v>
      </c>
      <c r="E1322" s="4" t="str">
        <f t="shared" si="2"/>
        <v>LIGUE CONTRE LE CANCER</v>
      </c>
    </row>
    <row r="1323">
      <c r="A1323" s="3" t="s">
        <v>1521</v>
      </c>
      <c r="B1323" s="3">
        <v>0.0</v>
      </c>
      <c r="C1323" s="3" t="s">
        <v>6</v>
      </c>
      <c r="D1323" s="4" t="b">
        <f t="shared" si="1"/>
        <v>0</v>
      </c>
      <c r="E1323" s="4" t="str">
        <f t="shared" si="2"/>
        <v>LIGUE D'AQUITAINE DE HANDBALL</v>
      </c>
    </row>
    <row r="1324">
      <c r="A1324" s="3" t="s">
        <v>1522</v>
      </c>
      <c r="B1324" s="3">
        <v>0.0</v>
      </c>
      <c r="C1324" s="3" t="s">
        <v>6</v>
      </c>
      <c r="D1324" s="4" t="b">
        <f t="shared" si="1"/>
        <v>0</v>
      </c>
      <c r="E1324" s="4" t="str">
        <f t="shared" si="2"/>
        <v>LIGUE D'AQUITAINE DE VOLLEY BALL</v>
      </c>
    </row>
    <row r="1325">
      <c r="A1325" s="3" t="s">
        <v>1523</v>
      </c>
      <c r="B1325" s="3">
        <v>3000.0</v>
      </c>
      <c r="C1325" s="3" t="s">
        <v>32</v>
      </c>
      <c r="D1325" s="4" t="b">
        <f t="shared" si="1"/>
        <v>0</v>
      </c>
      <c r="E1325" s="4" t="str">
        <f t="shared" si="2"/>
        <v>LIGUE DE L'ENSEIGNEMENT</v>
      </c>
    </row>
    <row r="1326">
      <c r="A1326" s="3" t="s">
        <v>1524</v>
      </c>
      <c r="B1326" s="3">
        <v>0.0</v>
      </c>
      <c r="C1326" s="3" t="s">
        <v>3</v>
      </c>
      <c r="D1326" s="4" t="b">
        <f t="shared" si="1"/>
        <v>0</v>
      </c>
      <c r="E1326" s="4" t="str">
        <f t="shared" si="2"/>
        <v>LIGUE FRANÇAISE POUR LA DEFENSE DROITS DE L'HOMME ET DU CITOYEN (LDH) ET LIGUE DROITS DE L'HOMME</v>
      </c>
    </row>
    <row r="1327">
      <c r="A1327" s="3" t="s">
        <v>1525</v>
      </c>
      <c r="B1327" s="4"/>
      <c r="C1327" s="4"/>
      <c r="D1327" s="4" t="b">
        <f t="shared" si="1"/>
        <v>1</v>
      </c>
      <c r="E1327" s="4" t="str">
        <f t="shared" si="2"/>
        <v>CITOYEN (LDH) ET LIGUE DROITS DE L'HOMME</v>
      </c>
    </row>
    <row r="1328">
      <c r="A1328" s="3" t="s">
        <v>1526</v>
      </c>
      <c r="B1328" s="3">
        <v>9000.0</v>
      </c>
      <c r="C1328" s="3" t="s">
        <v>6</v>
      </c>
      <c r="D1328" s="4" t="b">
        <f t="shared" si="1"/>
        <v>0</v>
      </c>
      <c r="E1328" s="4" t="str">
        <f t="shared" si="2"/>
        <v>LIGUE INTERNATIONALE CONTRE LE RACISME ET L'ANTISEMITISME - SECTION BORDEAUX &amp; GIRONDE - LICRA</v>
      </c>
    </row>
    <row r="1329">
      <c r="A1329" s="3" t="s">
        <v>1527</v>
      </c>
      <c r="B1329" s="4"/>
      <c r="C1329" s="4"/>
      <c r="D1329" s="4" t="b">
        <f t="shared" si="1"/>
        <v>1</v>
      </c>
      <c r="E1329" s="4" t="str">
        <f t="shared" si="2"/>
        <v>SECTION BORDEAUX &amp; GIRONDE - LICRA</v>
      </c>
    </row>
    <row r="1330">
      <c r="A1330" s="3" t="s">
        <v>1528</v>
      </c>
      <c r="B1330" s="3">
        <v>0.0</v>
      </c>
      <c r="C1330" s="3" t="s">
        <v>29</v>
      </c>
      <c r="D1330" s="4" t="b">
        <f t="shared" si="1"/>
        <v>0</v>
      </c>
      <c r="E1330" s="4" t="str">
        <f t="shared" si="2"/>
        <v>LIGUE NATIONAL DE RUGBY</v>
      </c>
    </row>
    <row r="1331">
      <c r="A1331" s="3" t="s">
        <v>1529</v>
      </c>
      <c r="B1331" s="3">
        <v>0.0</v>
      </c>
      <c r="C1331" s="3" t="s">
        <v>32</v>
      </c>
      <c r="D1331" s="4" t="b">
        <f t="shared" si="1"/>
        <v>0</v>
      </c>
      <c r="E1331" s="4" t="str">
        <f t="shared" si="2"/>
        <v>LIONS BORDEAUX SAINT AUGUSTIN</v>
      </c>
    </row>
    <row r="1332">
      <c r="A1332" s="3" t="s">
        <v>1530</v>
      </c>
      <c r="B1332" s="3">
        <v>0.0</v>
      </c>
      <c r="C1332" s="3" t="s">
        <v>32</v>
      </c>
      <c r="D1332" s="4" t="b">
        <f t="shared" si="1"/>
        <v>0</v>
      </c>
      <c r="E1332" s="4" t="str">
        <f t="shared" si="2"/>
        <v>LIONS CLUB BORDEAUX - EUROPE - DISTRICT 103 SUD-OUEST</v>
      </c>
    </row>
    <row r="1333">
      <c r="A1333" s="3" t="s">
        <v>1531</v>
      </c>
      <c r="B1333" s="3">
        <v>0.0</v>
      </c>
      <c r="C1333" s="3" t="s">
        <v>3</v>
      </c>
      <c r="D1333" s="4" t="b">
        <f t="shared" si="1"/>
        <v>0</v>
      </c>
      <c r="E1333" s="4" t="str">
        <f t="shared" si="2"/>
        <v>LIONS CLUB BORDEAUX LE BOUSCAT</v>
      </c>
    </row>
    <row r="1334">
      <c r="A1334" s="3" t="s">
        <v>1532</v>
      </c>
      <c r="B1334" s="3">
        <v>0.0</v>
      </c>
      <c r="C1334" s="3" t="s">
        <v>6</v>
      </c>
      <c r="D1334" s="4" t="b">
        <f t="shared" si="1"/>
        <v>0</v>
      </c>
      <c r="E1334" s="4" t="str">
        <f t="shared" si="2"/>
        <v>LIONS CLUB BORDEAUX RIVE-GAUCHE</v>
      </c>
    </row>
    <row r="1335">
      <c r="A1335" s="3" t="s">
        <v>1533</v>
      </c>
      <c r="B1335" s="3">
        <v>0.0</v>
      </c>
      <c r="C1335" s="3" t="s">
        <v>32</v>
      </c>
      <c r="D1335" s="4" t="b">
        <f t="shared" si="1"/>
        <v>0</v>
      </c>
      <c r="E1335" s="4" t="str">
        <f t="shared" si="2"/>
        <v>LIONS CLUB BORDEAUX TOURNY</v>
      </c>
    </row>
    <row r="1336">
      <c r="A1336" s="3" t="s">
        <v>1534</v>
      </c>
      <c r="B1336" s="3">
        <v>0.0</v>
      </c>
      <c r="C1336" s="3" t="s">
        <v>6</v>
      </c>
      <c r="D1336" s="4" t="b">
        <f t="shared" si="1"/>
        <v>0</v>
      </c>
      <c r="E1336" s="4" t="str">
        <f t="shared" si="2"/>
        <v>LIONS CLUB DE BORDEAUX LA FAYETTE</v>
      </c>
    </row>
    <row r="1337">
      <c r="A1337" s="3" t="s">
        <v>1535</v>
      </c>
      <c r="B1337" s="3">
        <v>0.0</v>
      </c>
      <c r="C1337" s="3" t="s">
        <v>6</v>
      </c>
      <c r="D1337" s="4" t="b">
        <f t="shared" si="1"/>
        <v>0</v>
      </c>
      <c r="E1337" s="4" t="str">
        <f t="shared" si="2"/>
        <v>LIONS-CLUB DE BORDEAUX CAUDERAN</v>
      </c>
    </row>
    <row r="1338">
      <c r="A1338" s="3" t="s">
        <v>1536</v>
      </c>
      <c r="B1338" s="3">
        <v>7000.0</v>
      </c>
      <c r="C1338" s="4"/>
      <c r="D1338" s="4" t="b">
        <f t="shared" si="1"/>
        <v>0</v>
      </c>
      <c r="E1338" s="4" t="str">
        <f t="shared" si="2"/>
        <v>LOGEA</v>
      </c>
    </row>
    <row r="1339">
      <c r="A1339" s="3" t="s">
        <v>1537</v>
      </c>
      <c r="B1339" s="3">
        <v>0.0</v>
      </c>
      <c r="C1339" s="3" t="s">
        <v>32</v>
      </c>
      <c r="D1339" s="4" t="b">
        <f t="shared" si="1"/>
        <v>0</v>
      </c>
      <c r="E1339" s="4" t="str">
        <f t="shared" si="2"/>
        <v>LOS TREINTA Y TRES</v>
      </c>
    </row>
    <row r="1340">
      <c r="A1340" s="3" t="s">
        <v>1538</v>
      </c>
      <c r="B1340" s="3">
        <v>0.0</v>
      </c>
      <c r="C1340" s="3" t="s">
        <v>3</v>
      </c>
      <c r="D1340" s="4" t="b">
        <f t="shared" si="1"/>
        <v>0</v>
      </c>
      <c r="E1340" s="4" t="str">
        <f t="shared" si="2"/>
        <v>LOUONS L'ETERNEL</v>
      </c>
    </row>
    <row r="1341">
      <c r="A1341" s="3" t="s">
        <v>1539</v>
      </c>
      <c r="B1341" s="3">
        <v>200000.0</v>
      </c>
      <c r="C1341" s="4"/>
      <c r="D1341" s="4" t="b">
        <f t="shared" si="1"/>
        <v>0</v>
      </c>
      <c r="E1341" s="4" t="str">
        <f t="shared" si="2"/>
        <v>LUCILANN</v>
      </c>
    </row>
    <row r="1342">
      <c r="A1342" s="3" t="s">
        <v>1541</v>
      </c>
      <c r="B1342" s="3">
        <v>4500.0</v>
      </c>
      <c r="C1342" s="3" t="s">
        <v>6</v>
      </c>
      <c r="D1342" s="4" t="b">
        <f t="shared" si="1"/>
        <v>0</v>
      </c>
      <c r="E1342" s="4" t="str">
        <f t="shared" si="2"/>
        <v>LUDOLUDIK</v>
      </c>
    </row>
    <row r="1343">
      <c r="A1343" s="3" t="s">
        <v>1542</v>
      </c>
      <c r="B1343" s="3">
        <v>0.0</v>
      </c>
      <c r="C1343" s="3" t="s">
        <v>3</v>
      </c>
      <c r="D1343" s="4" t="b">
        <f t="shared" si="1"/>
        <v>0</v>
      </c>
      <c r="E1343" s="4" t="str">
        <f t="shared" si="2"/>
        <v>LUNA D'AIGA</v>
      </c>
    </row>
    <row r="1344">
      <c r="A1344" s="3" t="s">
        <v>1543</v>
      </c>
      <c r="B1344" s="3">
        <v>0.0</v>
      </c>
      <c r="C1344" s="3" t="s">
        <v>3</v>
      </c>
      <c r="D1344" s="4" t="b">
        <f t="shared" si="1"/>
        <v>0</v>
      </c>
      <c r="E1344" s="4" t="str">
        <f t="shared" si="2"/>
        <v>LUPUS DE FRANCE</v>
      </c>
    </row>
    <row r="1345">
      <c r="A1345" s="3" t="s">
        <v>1544</v>
      </c>
      <c r="B1345" s="3">
        <v>400.0</v>
      </c>
      <c r="C1345" s="4"/>
      <c r="D1345" s="4" t="b">
        <f t="shared" si="1"/>
        <v>0</v>
      </c>
      <c r="E1345" s="4" t="str">
        <f t="shared" si="2"/>
        <v>LYSIAS-BORDEAUX</v>
      </c>
    </row>
    <row r="1346">
      <c r="A1346" s="3" t="s">
        <v>1545</v>
      </c>
      <c r="B1346" s="3">
        <v>0.0</v>
      </c>
      <c r="C1346" s="3" t="s">
        <v>3</v>
      </c>
      <c r="D1346" s="4" t="b">
        <f t="shared" si="1"/>
        <v>0</v>
      </c>
      <c r="E1346" s="4" t="str">
        <f t="shared" si="2"/>
        <v>L’ASSOCIATION POUR LE MAINTIEN DE L’AGRICULTURE PAYSANNE DITE "L’AMAP CAUDERANAISE"</v>
      </c>
    </row>
    <row r="1347">
      <c r="A1347" s="3" t="s">
        <v>1546</v>
      </c>
      <c r="B1347" s="4"/>
      <c r="C1347" s="4"/>
      <c r="D1347" s="4" t="b">
        <f t="shared" si="1"/>
        <v>1</v>
      </c>
      <c r="E1347" s="4" t="str">
        <f t="shared" si="2"/>
        <v>DITE "L’AMAP CAUDERANAISE"</v>
      </c>
    </row>
    <row r="1348">
      <c r="A1348" s="3" t="s">
        <v>1547</v>
      </c>
      <c r="B1348" s="3">
        <v>4000.0</v>
      </c>
      <c r="C1348" s="4"/>
      <c r="D1348" s="4" t="b">
        <f t="shared" si="1"/>
        <v>0</v>
      </c>
      <c r="E1348" s="4" t="str">
        <f t="shared" si="2"/>
        <v>MA PTITE MAM ECOLO</v>
      </c>
    </row>
    <row r="1349">
      <c r="A1349" s="3" t="s">
        <v>1548</v>
      </c>
      <c r="B1349" s="3">
        <v>0.0</v>
      </c>
      <c r="C1349" s="3" t="s">
        <v>484</v>
      </c>
      <c r="D1349" s="4" t="b">
        <f t="shared" si="1"/>
        <v>0</v>
      </c>
      <c r="E1349" s="4" t="str">
        <f t="shared" si="2"/>
        <v>MACCABI SPORTS DE BORDEAUX</v>
      </c>
    </row>
    <row r="1350">
      <c r="A1350" s="3" t="s">
        <v>1549</v>
      </c>
      <c r="B1350" s="3">
        <v>0.0</v>
      </c>
      <c r="C1350" s="3" t="s">
        <v>3</v>
      </c>
      <c r="D1350" s="4" t="b">
        <f t="shared" si="1"/>
        <v>0</v>
      </c>
      <c r="E1350" s="4" t="str">
        <f t="shared" si="2"/>
        <v>MADE IN MOVEMENT</v>
      </c>
    </row>
    <row r="1351">
      <c r="A1351" s="3" t="s">
        <v>1550</v>
      </c>
      <c r="B1351" s="3">
        <v>1000.0</v>
      </c>
      <c r="C1351" s="4"/>
      <c r="D1351" s="4" t="b">
        <f t="shared" si="1"/>
        <v>0</v>
      </c>
      <c r="E1351" s="4" t="str">
        <f t="shared" si="2"/>
        <v>MAGIK'HOPITAL AQUITAINE</v>
      </c>
    </row>
    <row r="1352">
      <c r="A1352" s="3" t="s">
        <v>1551</v>
      </c>
      <c r="B1352" s="3">
        <v>0.0</v>
      </c>
      <c r="C1352" s="3" t="s">
        <v>3</v>
      </c>
      <c r="D1352" s="4" t="b">
        <f t="shared" si="1"/>
        <v>0</v>
      </c>
      <c r="E1352" s="4" t="str">
        <f t="shared" si="2"/>
        <v>MAGNETOGRAMMES ASSOCIATION</v>
      </c>
    </row>
    <row r="1353">
      <c r="A1353" s="3" t="s">
        <v>1552</v>
      </c>
      <c r="B1353" s="3">
        <v>50000.0</v>
      </c>
      <c r="C1353" s="4"/>
      <c r="D1353" s="4" t="b">
        <f t="shared" si="1"/>
        <v>0</v>
      </c>
      <c r="E1353" s="4" t="str">
        <f t="shared" si="2"/>
        <v>MAIRES RESPONSABLES METROPOLES FRANCOPHONES - AIMF</v>
      </c>
    </row>
    <row r="1354">
      <c r="A1354" s="3" t="s">
        <v>1553</v>
      </c>
      <c r="B1354" s="3">
        <v>300.0</v>
      </c>
      <c r="C1354" s="4"/>
      <c r="D1354" s="4" t="b">
        <f t="shared" si="1"/>
        <v>0</v>
      </c>
      <c r="E1354" s="4" t="str">
        <f t="shared" si="2"/>
        <v>MAISON ACCUEIL ET INFORMATION 33</v>
      </c>
    </row>
    <row r="1355">
      <c r="A1355" s="3" t="s">
        <v>1554</v>
      </c>
      <c r="B1355" s="3">
        <v>1800.0</v>
      </c>
      <c r="C1355" s="4"/>
      <c r="D1355" s="4" t="b">
        <f t="shared" si="1"/>
        <v>0</v>
      </c>
      <c r="E1355" s="4" t="str">
        <f t="shared" si="2"/>
        <v>MAISON CULTURELLE COREENNE DE BORDEAUX</v>
      </c>
    </row>
    <row r="1356">
      <c r="A1356" s="3" t="s">
        <v>1555</v>
      </c>
      <c r="B1356" s="3">
        <v>0.0</v>
      </c>
      <c r="C1356" s="3" t="s">
        <v>32</v>
      </c>
      <c r="D1356" s="4" t="b">
        <f t="shared" si="1"/>
        <v>0</v>
      </c>
      <c r="E1356" s="4" t="str">
        <f t="shared" si="2"/>
        <v>MAISON D'ALGERIE EN AQUITAINE</v>
      </c>
    </row>
    <row r="1357">
      <c r="A1357" s="3" t="s">
        <v>1556</v>
      </c>
      <c r="B1357" s="3">
        <v>678000.0</v>
      </c>
      <c r="C1357" s="4"/>
      <c r="D1357" s="4" t="b">
        <f t="shared" si="1"/>
        <v>0</v>
      </c>
      <c r="E1357" s="4" t="str">
        <f t="shared" si="2"/>
        <v>MAISON DE L'EMPLOI, DE L'INSERTION ECONOMIQUE ET DE L'ENTREPRISE DE BORDEAUX</v>
      </c>
    </row>
    <row r="1358">
      <c r="A1358" s="3" t="s">
        <v>1558</v>
      </c>
      <c r="B1358" s="4"/>
      <c r="C1358" s="4"/>
      <c r="D1358" s="4" t="b">
        <f t="shared" si="1"/>
        <v>1</v>
      </c>
      <c r="E1358" s="4" t="str">
        <f t="shared" si="2"/>
        <v>L'ENTREPRISE DE BORDEAUX</v>
      </c>
    </row>
    <row r="1359">
      <c r="A1359" s="3" t="s">
        <v>1559</v>
      </c>
      <c r="B1359" s="3">
        <v>56000.0</v>
      </c>
      <c r="C1359" s="3" t="s">
        <v>3</v>
      </c>
      <c r="D1359" s="4" t="b">
        <f t="shared" si="1"/>
        <v>0</v>
      </c>
      <c r="E1359" s="4" t="str">
        <f t="shared" si="2"/>
        <v>MAISON DE L'EUROPE BORDEAUX-AQUITAINE (MEBA)</v>
      </c>
    </row>
    <row r="1360">
      <c r="A1360" s="3" t="s">
        <v>1561</v>
      </c>
      <c r="B1360" s="3">
        <v>12000.0</v>
      </c>
      <c r="C1360" s="3" t="s">
        <v>6</v>
      </c>
      <c r="D1360" s="4" t="b">
        <f t="shared" si="1"/>
        <v>0</v>
      </c>
      <c r="E1360" s="4" t="str">
        <f t="shared" si="2"/>
        <v>MAISON DE L'INITIATIVE ET DE L'ENTREPRENEURIAT - MIE</v>
      </c>
    </row>
    <row r="1361">
      <c r="A1361" s="3" t="s">
        <v>1562</v>
      </c>
      <c r="B1361" s="3">
        <v>0.0</v>
      </c>
      <c r="C1361" s="3" t="s">
        <v>3</v>
      </c>
      <c r="D1361" s="4" t="b">
        <f t="shared" si="1"/>
        <v>0</v>
      </c>
      <c r="E1361" s="4" t="str">
        <f t="shared" si="2"/>
        <v>MAISON DE LA NATURE ET DE L'ENVIRONNEMENT</v>
      </c>
    </row>
    <row r="1362">
      <c r="A1362" s="3" t="s">
        <v>1563</v>
      </c>
      <c r="B1362" s="3">
        <v>46000.0</v>
      </c>
      <c r="C1362" s="4"/>
      <c r="D1362" s="4" t="b">
        <f t="shared" si="1"/>
        <v>0</v>
      </c>
      <c r="E1362" s="4" t="str">
        <f t="shared" si="2"/>
        <v>MAISON DE NOLAN</v>
      </c>
    </row>
    <row r="1363">
      <c r="A1363" s="3" t="s">
        <v>1565</v>
      </c>
      <c r="B1363" s="3">
        <v>5000.0</v>
      </c>
      <c r="C1363" s="4"/>
      <c r="D1363" s="4" t="b">
        <f t="shared" si="1"/>
        <v>0</v>
      </c>
      <c r="E1363" s="4" t="str">
        <f t="shared" si="2"/>
        <v>MAISON DE SANTE PROTESTANTE DE BORDEAUX BAGATELLE</v>
      </c>
    </row>
    <row r="1364">
      <c r="A1364" s="3" t="s">
        <v>1566</v>
      </c>
      <c r="B1364" s="3">
        <v>14653.49</v>
      </c>
      <c r="C1364" s="3" t="s">
        <v>32</v>
      </c>
      <c r="D1364" s="4" t="b">
        <f t="shared" si="1"/>
        <v>0</v>
      </c>
      <c r="E1364" s="4" t="str">
        <f t="shared" si="2"/>
        <v>MAISON DES ADOLESCENTS DE LA GIRONDE</v>
      </c>
    </row>
    <row r="1365">
      <c r="A1365" s="3" t="s">
        <v>1568</v>
      </c>
      <c r="B1365" s="3">
        <v>6000.0</v>
      </c>
      <c r="C1365" s="3" t="s">
        <v>32</v>
      </c>
      <c r="D1365" s="4" t="b">
        <f t="shared" si="1"/>
        <v>0</v>
      </c>
      <c r="E1365" s="4" t="str">
        <f t="shared" si="2"/>
        <v>MAISON DES FEMMES DE BORDEAUX</v>
      </c>
    </row>
    <row r="1366">
      <c r="A1366" s="3" t="s">
        <v>1569</v>
      </c>
      <c r="B1366" s="3">
        <v>110350.0</v>
      </c>
      <c r="C1366" s="3" t="s">
        <v>6</v>
      </c>
      <c r="D1366" s="4" t="b">
        <f t="shared" si="1"/>
        <v>0</v>
      </c>
      <c r="E1366" s="4" t="str">
        <f t="shared" si="2"/>
        <v>MAISON DES JEUNES ET DE LA CULTURE CENTRE DE LOISIRS DES DEUX VILLES - MJC CL2V</v>
      </c>
    </row>
    <row r="1367">
      <c r="A1367" s="3" t="s">
        <v>1571</v>
      </c>
      <c r="B1367" s="4"/>
      <c r="C1367" s="4"/>
      <c r="D1367" s="4" t="b">
        <f t="shared" si="1"/>
        <v>1</v>
      </c>
      <c r="E1367" s="4" t="str">
        <f t="shared" si="2"/>
        <v>DEUX VILLES - MJC CL2V</v>
      </c>
    </row>
    <row r="1368">
      <c r="A1368" s="3" t="s">
        <v>1572</v>
      </c>
      <c r="B1368" s="3">
        <v>0.0</v>
      </c>
      <c r="C1368" s="3" t="s">
        <v>3</v>
      </c>
      <c r="D1368" s="4" t="b">
        <f t="shared" si="1"/>
        <v>0</v>
      </c>
      <c r="E1368" s="4" t="str">
        <f t="shared" si="2"/>
        <v>MAISON DES METIERS DE L'IMPRIMERIE</v>
      </c>
    </row>
    <row r="1369">
      <c r="A1369" s="3" t="s">
        <v>1573</v>
      </c>
      <c r="B1369" s="3">
        <v>0.0</v>
      </c>
      <c r="C1369" s="3" t="s">
        <v>3</v>
      </c>
      <c r="D1369" s="4" t="b">
        <f t="shared" si="1"/>
        <v>0</v>
      </c>
      <c r="E1369" s="4" t="str">
        <f t="shared" si="2"/>
        <v>MAISON DES SOURDS DE LA GIRONDE - MS 33</v>
      </c>
    </row>
    <row r="1370">
      <c r="A1370" s="3" t="s">
        <v>1574</v>
      </c>
      <c r="B1370" s="3">
        <v>1500.0</v>
      </c>
      <c r="C1370" s="3" t="s">
        <v>6</v>
      </c>
      <c r="D1370" s="4" t="b">
        <f t="shared" si="1"/>
        <v>0</v>
      </c>
      <c r="E1370" s="4" t="str">
        <f t="shared" si="2"/>
        <v>MAISON DUPEUX</v>
      </c>
    </row>
    <row r="1371">
      <c r="A1371" s="3" t="s">
        <v>1575</v>
      </c>
      <c r="B1371" s="3">
        <v>1700.0</v>
      </c>
      <c r="C1371" s="4"/>
      <c r="D1371" s="4" t="b">
        <f t="shared" si="1"/>
        <v>0</v>
      </c>
      <c r="E1371" s="4" t="str">
        <f t="shared" si="2"/>
        <v>MAITRISE DE BX PETITS CHANTEURS DE BORDEAUX</v>
      </c>
    </row>
    <row r="1372">
      <c r="A1372" s="3" t="s">
        <v>1576</v>
      </c>
      <c r="B1372" s="3">
        <v>0.0</v>
      </c>
      <c r="C1372" s="3" t="s">
        <v>3</v>
      </c>
      <c r="D1372" s="4" t="b">
        <f t="shared" si="1"/>
        <v>0</v>
      </c>
      <c r="E1372" s="4" t="str">
        <f t="shared" si="2"/>
        <v>MAJ</v>
      </c>
    </row>
    <row r="1373">
      <c r="A1373" s="3" t="s">
        <v>1577</v>
      </c>
      <c r="B1373" s="3">
        <v>4500.0</v>
      </c>
      <c r="C1373" s="4"/>
      <c r="D1373" s="4" t="b">
        <f t="shared" si="1"/>
        <v>0</v>
      </c>
      <c r="E1373" s="4" t="str">
        <f t="shared" si="2"/>
        <v>MAM LES LUCIOLES</v>
      </c>
    </row>
    <row r="1374">
      <c r="A1374" s="3" t="s">
        <v>1578</v>
      </c>
      <c r="B1374" s="3">
        <v>0.0</v>
      </c>
      <c r="C1374" s="3" t="s">
        <v>6</v>
      </c>
      <c r="D1374" s="4" t="b">
        <f t="shared" si="1"/>
        <v>0</v>
      </c>
      <c r="E1374" s="4" t="str">
        <f t="shared" si="2"/>
        <v>MAM'OURS</v>
      </c>
    </row>
    <row r="1375">
      <c r="A1375" s="3" t="s">
        <v>1579</v>
      </c>
      <c r="B1375" s="3">
        <v>35500.0</v>
      </c>
      <c r="C1375" s="3" t="s">
        <v>32</v>
      </c>
      <c r="D1375" s="4" t="b">
        <f t="shared" si="1"/>
        <v>0</v>
      </c>
      <c r="E1375" s="4" t="str">
        <f t="shared" si="2"/>
        <v>MANA</v>
      </c>
    </row>
    <row r="1376">
      <c r="A1376" s="3" t="s">
        <v>1581</v>
      </c>
      <c r="B1376" s="3">
        <v>6000.0</v>
      </c>
      <c r="C1376" s="3" t="s">
        <v>32</v>
      </c>
      <c r="D1376" s="4" t="b">
        <f t="shared" si="1"/>
        <v>0</v>
      </c>
      <c r="E1376" s="4" t="str">
        <f t="shared" si="2"/>
        <v>MANDORA</v>
      </c>
    </row>
    <row r="1377">
      <c r="A1377" s="3" t="s">
        <v>1582</v>
      </c>
      <c r="B1377" s="3">
        <v>0.0</v>
      </c>
      <c r="C1377" s="3" t="s">
        <v>29</v>
      </c>
      <c r="D1377" s="4" t="b">
        <f t="shared" si="1"/>
        <v>0</v>
      </c>
      <c r="E1377" s="4" t="str">
        <f t="shared" si="2"/>
        <v>MANTA PLONGEE</v>
      </c>
    </row>
    <row r="1378">
      <c r="A1378" s="3" t="s">
        <v>1583</v>
      </c>
      <c r="B1378" s="3">
        <v>0.0</v>
      </c>
      <c r="C1378" s="3" t="s">
        <v>6</v>
      </c>
      <c r="D1378" s="4" t="b">
        <f t="shared" si="1"/>
        <v>0</v>
      </c>
      <c r="E1378" s="4" t="str">
        <f t="shared" si="2"/>
        <v>MARATHON JOB EUROPA</v>
      </c>
    </row>
    <row r="1379">
      <c r="A1379" s="3" t="s">
        <v>1584</v>
      </c>
      <c r="B1379" s="3">
        <v>0.0</v>
      </c>
      <c r="C1379" s="3" t="s">
        <v>6</v>
      </c>
      <c r="D1379" s="4" t="b">
        <f t="shared" si="1"/>
        <v>0</v>
      </c>
      <c r="E1379" s="4" t="str">
        <f t="shared" si="2"/>
        <v>MAROC, DEVOIRS ET DROITS</v>
      </c>
    </row>
    <row r="1380">
      <c r="A1380" s="3" t="s">
        <v>1585</v>
      </c>
      <c r="B1380" s="3">
        <v>29000.0</v>
      </c>
      <c r="C1380" s="3" t="s">
        <v>32</v>
      </c>
      <c r="D1380" s="4" t="b">
        <f t="shared" si="1"/>
        <v>0</v>
      </c>
      <c r="E1380" s="4" t="str">
        <f t="shared" si="2"/>
        <v>MASCARETS</v>
      </c>
    </row>
    <row r="1381">
      <c r="A1381" s="3" t="s">
        <v>1587</v>
      </c>
      <c r="B1381" s="3">
        <v>0.0</v>
      </c>
      <c r="C1381" s="3" t="s">
        <v>3</v>
      </c>
      <c r="D1381" s="4" t="b">
        <f t="shared" si="1"/>
        <v>0</v>
      </c>
      <c r="E1381" s="4" t="str">
        <f t="shared" si="2"/>
        <v>MAWA DE GIRONDE</v>
      </c>
    </row>
    <row r="1382">
      <c r="A1382" s="3" t="s">
        <v>1588</v>
      </c>
      <c r="B1382" s="3">
        <v>0.0</v>
      </c>
      <c r="C1382" s="3" t="s">
        <v>3</v>
      </c>
      <c r="D1382" s="4" t="b">
        <f t="shared" si="1"/>
        <v>0</v>
      </c>
      <c r="E1382" s="4" t="str">
        <f t="shared" si="2"/>
        <v>MBOLO ASSOCIATION DES GABONAIS DE LA GIRONDE</v>
      </c>
    </row>
    <row r="1383">
      <c r="A1383" s="3" t="s">
        <v>1589</v>
      </c>
      <c r="B1383" s="3">
        <v>3000.0</v>
      </c>
      <c r="C1383" s="3" t="s">
        <v>32</v>
      </c>
      <c r="D1383" s="4" t="b">
        <f t="shared" si="1"/>
        <v>0</v>
      </c>
      <c r="E1383" s="4" t="str">
        <f t="shared" si="2"/>
        <v>MEDECINS DU MONDE</v>
      </c>
    </row>
    <row r="1384">
      <c r="A1384" s="3" t="s">
        <v>1590</v>
      </c>
      <c r="B1384" s="3">
        <v>2500.0</v>
      </c>
      <c r="C1384" s="4"/>
      <c r="D1384" s="4" t="b">
        <f t="shared" si="1"/>
        <v>0</v>
      </c>
      <c r="E1384" s="4" t="str">
        <f t="shared" si="2"/>
        <v>MEDIATHEQUE DES MALADES DES HOPITAUX DE BORDEAUX</v>
      </c>
    </row>
    <row r="1385">
      <c r="A1385" s="3" t="s">
        <v>1591</v>
      </c>
      <c r="B1385" s="3">
        <v>0.0</v>
      </c>
      <c r="C1385" s="3" t="s">
        <v>3</v>
      </c>
      <c r="D1385" s="4" t="b">
        <f t="shared" si="1"/>
        <v>0</v>
      </c>
      <c r="E1385" s="4" t="str">
        <f t="shared" si="2"/>
        <v>MELTING SIGNES</v>
      </c>
    </row>
    <row r="1386">
      <c r="A1386" s="3" t="s">
        <v>1592</v>
      </c>
      <c r="B1386" s="3">
        <v>2000.0</v>
      </c>
      <c r="C1386" s="4"/>
      <c r="D1386" s="4" t="b">
        <f t="shared" si="1"/>
        <v>0</v>
      </c>
      <c r="E1386" s="4" t="str">
        <f t="shared" si="2"/>
        <v>MEMOIRES ET PARTAGES</v>
      </c>
    </row>
    <row r="1387">
      <c r="A1387" s="3" t="s">
        <v>1593</v>
      </c>
      <c r="B1387" s="3">
        <v>0.0</v>
      </c>
      <c r="C1387" s="3" t="s">
        <v>3</v>
      </c>
      <c r="D1387" s="4" t="b">
        <f t="shared" si="1"/>
        <v>0</v>
      </c>
      <c r="E1387" s="4" t="str">
        <f t="shared" si="2"/>
        <v>MENSA AQUITAINE</v>
      </c>
    </row>
    <row r="1388">
      <c r="A1388" s="3" t="s">
        <v>1594</v>
      </c>
      <c r="B1388" s="3">
        <v>5500.0</v>
      </c>
      <c r="C1388" s="3" t="s">
        <v>6</v>
      </c>
      <c r="D1388" s="4" t="b">
        <f t="shared" si="1"/>
        <v>0</v>
      </c>
      <c r="E1388" s="4" t="str">
        <f t="shared" si="2"/>
        <v>MERCI GERTRUDE</v>
      </c>
    </row>
    <row r="1389">
      <c r="A1389" s="3" t="s">
        <v>1595</v>
      </c>
      <c r="B1389" s="3">
        <v>0.0</v>
      </c>
      <c r="C1389" s="3" t="s">
        <v>6</v>
      </c>
      <c r="D1389" s="4" t="b">
        <f t="shared" si="1"/>
        <v>0</v>
      </c>
      <c r="E1389" s="4" t="str">
        <f t="shared" si="2"/>
        <v>MHIGE INSEEC - MISSION INTER GRANDES ECOLES DE L'INSEEC</v>
      </c>
    </row>
    <row r="1390">
      <c r="A1390" s="3" t="s">
        <v>1596</v>
      </c>
      <c r="B1390" s="3">
        <v>37500.0</v>
      </c>
      <c r="C1390" s="3" t="s">
        <v>580</v>
      </c>
      <c r="D1390" s="4" t="b">
        <f t="shared" si="1"/>
        <v>0</v>
      </c>
      <c r="E1390" s="4" t="str">
        <f t="shared" si="2"/>
        <v>MIGRATIONS CULTURELLES AQUITAINE - AFRIQUES (MC2A) </v>
      </c>
    </row>
    <row r="1391">
      <c r="A1391" s="4"/>
      <c r="B1391" s="4"/>
      <c r="C1391" s="3" t="s">
        <v>581</v>
      </c>
      <c r="D1391" s="4" t="b">
        <f t="shared" si="1"/>
        <v>1</v>
      </c>
      <c r="E1391" s="4" t="str">
        <f t="shared" si="2"/>
        <v/>
      </c>
    </row>
    <row r="1392">
      <c r="A1392" s="3" t="s">
        <v>1598</v>
      </c>
      <c r="B1392" s="3">
        <v>0.0</v>
      </c>
      <c r="C1392" s="3" t="s">
        <v>32</v>
      </c>
      <c r="D1392" s="4" t="b">
        <f t="shared" si="1"/>
        <v>0</v>
      </c>
      <c r="E1392" s="4" t="str">
        <f t="shared" si="2"/>
        <v>MINE DE RIEN</v>
      </c>
    </row>
    <row r="1393">
      <c r="A1393" s="3" t="s">
        <v>1599</v>
      </c>
      <c r="B1393" s="3">
        <v>0.0</v>
      </c>
      <c r="C1393" s="3" t="s">
        <v>6</v>
      </c>
      <c r="D1393" s="4" t="b">
        <f t="shared" si="1"/>
        <v>0</v>
      </c>
      <c r="E1393" s="4" t="str">
        <f t="shared" si="2"/>
        <v>MIRAIL INFORMATIQUE</v>
      </c>
    </row>
    <row r="1394">
      <c r="A1394" s="3" t="s">
        <v>1600</v>
      </c>
      <c r="B1394" s="3">
        <v>494000.0</v>
      </c>
      <c r="C1394" s="3" t="s">
        <v>32</v>
      </c>
      <c r="D1394" s="4" t="b">
        <f t="shared" si="1"/>
        <v>0</v>
      </c>
      <c r="E1394" s="4" t="str">
        <f t="shared" si="2"/>
        <v>MISSION LOCALE BORDEAUX AVENIR JEUNES</v>
      </c>
    </row>
    <row r="1395">
      <c r="A1395" s="3" t="s">
        <v>1602</v>
      </c>
      <c r="B1395" s="3">
        <v>800.0</v>
      </c>
      <c r="C1395" s="4"/>
      <c r="D1395" s="4" t="b">
        <f t="shared" si="1"/>
        <v>0</v>
      </c>
      <c r="E1395" s="4" t="str">
        <f t="shared" si="2"/>
        <v>MIX COLOR UNITED - M.C.U.</v>
      </c>
    </row>
    <row r="1396">
      <c r="A1396" s="3" t="s">
        <v>1603</v>
      </c>
      <c r="B1396" s="3">
        <v>2500.0</v>
      </c>
      <c r="C1396" s="3" t="s">
        <v>3</v>
      </c>
      <c r="D1396" s="4" t="b">
        <f t="shared" si="1"/>
        <v>0</v>
      </c>
      <c r="E1396" s="4" t="str">
        <f t="shared" si="2"/>
        <v>MOI NON PLUS</v>
      </c>
    </row>
    <row r="1397">
      <c r="A1397" s="3" t="s">
        <v>1604</v>
      </c>
      <c r="B1397" s="3">
        <v>17528.0</v>
      </c>
      <c r="C1397" s="4"/>
      <c r="D1397" s="4" t="b">
        <f t="shared" si="1"/>
        <v>0</v>
      </c>
      <c r="E1397" s="4" t="str">
        <f t="shared" si="2"/>
        <v>MONOQUINI</v>
      </c>
    </row>
    <row r="1398">
      <c r="A1398" s="3" t="s">
        <v>1606</v>
      </c>
      <c r="B1398" s="3">
        <v>7800.0</v>
      </c>
      <c r="C1398" s="3" t="s">
        <v>3</v>
      </c>
      <c r="D1398" s="4" t="b">
        <f t="shared" si="1"/>
        <v>0</v>
      </c>
      <c r="E1398" s="4" t="str">
        <f t="shared" si="2"/>
        <v>MONTS ET MERVEILLES</v>
      </c>
    </row>
    <row r="1399">
      <c r="A1399" s="3" t="s">
        <v>1607</v>
      </c>
      <c r="B1399" s="3">
        <v>0.0</v>
      </c>
      <c r="C1399" s="3" t="s">
        <v>3</v>
      </c>
      <c r="D1399" s="4" t="b">
        <f t="shared" si="1"/>
        <v>0</v>
      </c>
      <c r="E1399" s="4" t="str">
        <f t="shared" si="2"/>
        <v>MOTO CLUB HEXAGON BORDEAUX</v>
      </c>
    </row>
    <row r="1400">
      <c r="A1400" s="3" t="s">
        <v>1608</v>
      </c>
      <c r="B1400" s="3">
        <v>0.0</v>
      </c>
      <c r="C1400" s="3" t="s">
        <v>3</v>
      </c>
      <c r="D1400" s="4" t="b">
        <f t="shared" si="1"/>
        <v>0</v>
      </c>
      <c r="E1400" s="4" t="str">
        <f t="shared" si="2"/>
        <v>MOTS ET MATIERES(S)</v>
      </c>
    </row>
    <row r="1401">
      <c r="A1401" s="3" t="s">
        <v>1609</v>
      </c>
      <c r="B1401" s="3">
        <v>10000.0</v>
      </c>
      <c r="C1401" s="3" t="s">
        <v>32</v>
      </c>
      <c r="D1401" s="4" t="b">
        <f t="shared" si="1"/>
        <v>0</v>
      </c>
      <c r="E1401" s="4" t="str">
        <f t="shared" si="2"/>
        <v>MOUVEMENT ATD QUART MONDE</v>
      </c>
    </row>
    <row r="1402">
      <c r="A1402" s="3" t="s">
        <v>1610</v>
      </c>
      <c r="B1402" s="3">
        <v>4000.0</v>
      </c>
      <c r="C1402" s="4"/>
      <c r="D1402" s="4" t="b">
        <f t="shared" si="1"/>
        <v>0</v>
      </c>
      <c r="E1402" s="4" t="str">
        <f t="shared" si="2"/>
        <v>MOUVEMENT AUTONOME DE DETOURNEMENT EURISTIQUE (MADE)</v>
      </c>
    </row>
    <row r="1403">
      <c r="A1403" s="3" t="s">
        <v>1611</v>
      </c>
      <c r="B1403" s="3">
        <v>4000.0</v>
      </c>
      <c r="C1403" s="4"/>
      <c r="D1403" s="4" t="b">
        <f t="shared" si="1"/>
        <v>0</v>
      </c>
      <c r="E1403" s="4" t="str">
        <f t="shared" si="2"/>
        <v>MOUVEMENT DU 8 OCTOBRE</v>
      </c>
    </row>
    <row r="1404">
      <c r="A1404" s="3" t="s">
        <v>1612</v>
      </c>
      <c r="B1404" s="3">
        <v>800.0</v>
      </c>
      <c r="C1404" s="3" t="s">
        <v>3</v>
      </c>
      <c r="D1404" s="4" t="b">
        <f t="shared" si="1"/>
        <v>0</v>
      </c>
      <c r="E1404" s="4" t="str">
        <f t="shared" si="2"/>
        <v>MOUVEMENT ETUDIANT REPUBLICAIN POUR LE DEBAT ET L'ENGAGEMENT</v>
      </c>
    </row>
    <row r="1405">
      <c r="A1405" s="3" t="s">
        <v>1613</v>
      </c>
      <c r="B1405" s="4"/>
      <c r="C1405" s="4"/>
      <c r="D1405" s="4" t="b">
        <f t="shared" si="1"/>
        <v>1</v>
      </c>
      <c r="E1405" s="4" t="str">
        <f t="shared" si="2"/>
        <v>L'ENGAGEMENT</v>
      </c>
    </row>
    <row r="1406">
      <c r="A1406" s="3" t="s">
        <v>1614</v>
      </c>
      <c r="B1406" s="3">
        <v>0.0</v>
      </c>
      <c r="C1406" s="3" t="s">
        <v>3</v>
      </c>
      <c r="D1406" s="4" t="b">
        <f t="shared" si="1"/>
        <v>0</v>
      </c>
      <c r="E1406" s="4" t="str">
        <f t="shared" si="2"/>
        <v>MOUVEMENT EUROPEEN FRANCE-GIRONDE</v>
      </c>
    </row>
    <row r="1407">
      <c r="A1407" s="3" t="s">
        <v>1615</v>
      </c>
      <c r="B1407" s="3">
        <v>2000.0</v>
      </c>
      <c r="C1407" s="3" t="s">
        <v>3</v>
      </c>
      <c r="D1407" s="4" t="b">
        <f t="shared" si="1"/>
        <v>0</v>
      </c>
      <c r="E1407" s="4" t="str">
        <f t="shared" si="2"/>
        <v>MOUVEMENT FRANCAIS POUR LE PLANNING FAMILIAL - ASSOCIATION DEPARTEMENTALE DE LA GIRONDE</v>
      </c>
    </row>
    <row r="1408">
      <c r="A1408" s="3" t="s">
        <v>1616</v>
      </c>
      <c r="B1408" s="4"/>
      <c r="C1408" s="4"/>
      <c r="D1408" s="4" t="b">
        <f t="shared" si="1"/>
        <v>1</v>
      </c>
      <c r="E1408" s="4" t="str">
        <f t="shared" si="2"/>
        <v>ASSOCIATION DEPARTEMENTALE DE LA GIRONDE</v>
      </c>
    </row>
    <row r="1409">
      <c r="A1409" s="3" t="s">
        <v>1617</v>
      </c>
      <c r="B1409" s="3">
        <v>0.0</v>
      </c>
      <c r="C1409" s="3" t="s">
        <v>3</v>
      </c>
      <c r="D1409" s="4" t="b">
        <f t="shared" si="1"/>
        <v>0</v>
      </c>
      <c r="E1409" s="4" t="str">
        <f t="shared" si="2"/>
        <v>MUSIC'S COOL</v>
      </c>
    </row>
    <row r="1410">
      <c r="A1410" s="3" t="s">
        <v>1618</v>
      </c>
      <c r="B1410" s="3">
        <v>0.0</v>
      </c>
      <c r="C1410" s="3" t="s">
        <v>3</v>
      </c>
      <c r="D1410" s="4" t="b">
        <f t="shared" si="1"/>
        <v>0</v>
      </c>
      <c r="E1410" s="4" t="str">
        <f t="shared" si="2"/>
        <v>MUSICA IN CATHEDRA</v>
      </c>
    </row>
    <row r="1411">
      <c r="A1411" s="3" t="s">
        <v>1619</v>
      </c>
      <c r="B1411" s="3">
        <v>0.0</v>
      </c>
      <c r="C1411" s="3" t="s">
        <v>29</v>
      </c>
      <c r="D1411" s="4" t="b">
        <f t="shared" si="1"/>
        <v>0</v>
      </c>
      <c r="E1411" s="4" t="str">
        <f t="shared" si="2"/>
        <v>MUSIQUE MUNICIPALE</v>
      </c>
    </row>
    <row r="1412">
      <c r="A1412" s="3" t="s">
        <v>1620</v>
      </c>
      <c r="B1412" s="3">
        <v>40700.0</v>
      </c>
      <c r="C1412" s="3" t="s">
        <v>216</v>
      </c>
      <c r="D1412" s="4" t="b">
        <f t="shared" si="1"/>
        <v>0</v>
      </c>
      <c r="E1412" s="4" t="str">
        <f t="shared" si="2"/>
        <v>MUSIQUES DE NUIT - DIFFUSION</v>
      </c>
    </row>
    <row r="1413">
      <c r="A1413" s="3" t="s">
        <v>1622</v>
      </c>
      <c r="B1413" s="3">
        <v>0.0</v>
      </c>
      <c r="C1413" s="3" t="s">
        <v>3</v>
      </c>
      <c r="D1413" s="4" t="b">
        <f t="shared" si="1"/>
        <v>0</v>
      </c>
      <c r="E1413" s="4" t="str">
        <f t="shared" si="2"/>
        <v>MUSIQUES EN ROUTE</v>
      </c>
    </row>
    <row r="1414">
      <c r="A1414" s="3" t="s">
        <v>1623</v>
      </c>
      <c r="B1414" s="3">
        <v>0.0</v>
      </c>
      <c r="C1414" s="3" t="s">
        <v>6</v>
      </c>
      <c r="D1414" s="4" t="b">
        <f t="shared" si="1"/>
        <v>0</v>
      </c>
      <c r="E1414" s="4" t="str">
        <f t="shared" si="2"/>
        <v>MY KARTEL</v>
      </c>
    </row>
    <row r="1415">
      <c r="A1415" s="3" t="s">
        <v>1624</v>
      </c>
      <c r="B1415" s="3">
        <v>17000.0</v>
      </c>
      <c r="C1415" s="4"/>
      <c r="D1415" s="4" t="b">
        <f t="shared" si="1"/>
        <v>0</v>
      </c>
      <c r="E1415" s="4" t="str">
        <f t="shared" si="2"/>
        <v>N'A QU'UN OEIL</v>
      </c>
    </row>
    <row r="1416">
      <c r="A1416" s="3" t="s">
        <v>1625</v>
      </c>
      <c r="B1416" s="3">
        <v>0.0</v>
      </c>
      <c r="C1416" s="3" t="s">
        <v>29</v>
      </c>
      <c r="D1416" s="4" t="b">
        <f t="shared" si="1"/>
        <v>0</v>
      </c>
      <c r="E1416" s="4" t="str">
        <f t="shared" si="2"/>
        <v>NACAO PALMARES CAPOEIRA DE BORDEAUX</v>
      </c>
    </row>
    <row r="1417">
      <c r="A1417" s="3" t="s">
        <v>1626</v>
      </c>
      <c r="B1417" s="3">
        <v>10000.0</v>
      </c>
      <c r="C1417" s="3" t="s">
        <v>29</v>
      </c>
      <c r="D1417" s="4" t="b">
        <f t="shared" si="1"/>
        <v>0</v>
      </c>
      <c r="E1417" s="4" t="str">
        <f t="shared" si="2"/>
        <v>NEW BASKET ATTITUDE</v>
      </c>
    </row>
    <row r="1418">
      <c r="A1418" s="3" t="s">
        <v>1627</v>
      </c>
      <c r="B1418" s="3">
        <v>0.0</v>
      </c>
      <c r="C1418" s="3" t="s">
        <v>6</v>
      </c>
      <c r="D1418" s="4" t="b">
        <f t="shared" si="1"/>
        <v>0</v>
      </c>
      <c r="E1418" s="4" t="str">
        <f t="shared" si="2"/>
        <v>NIRE LAGUNA THOMAS</v>
      </c>
    </row>
    <row r="1419">
      <c r="A1419" s="3" t="s">
        <v>1628</v>
      </c>
      <c r="B1419" s="3">
        <v>4000.0</v>
      </c>
      <c r="C1419" s="4"/>
      <c r="D1419" s="4" t="b">
        <f t="shared" si="1"/>
        <v>0</v>
      </c>
      <c r="E1419" s="4" t="str">
        <f t="shared" si="2"/>
        <v>NOS REVES PRODUCTIONS</v>
      </c>
    </row>
    <row r="1420">
      <c r="A1420" s="3" t="s">
        <v>1629</v>
      </c>
      <c r="B1420" s="3">
        <v>0.0</v>
      </c>
      <c r="C1420" s="3" t="s">
        <v>3</v>
      </c>
      <c r="D1420" s="4" t="b">
        <f t="shared" si="1"/>
        <v>0</v>
      </c>
      <c r="E1420" s="4" t="str">
        <f t="shared" si="2"/>
        <v>NOTRE DAME DE BARRAILS</v>
      </c>
    </row>
    <row r="1421">
      <c r="A1421" s="3" t="s">
        <v>1630</v>
      </c>
      <c r="B1421" s="3">
        <v>0.0</v>
      </c>
      <c r="C1421" s="3" t="s">
        <v>3</v>
      </c>
      <c r="D1421" s="4" t="b">
        <f t="shared" si="1"/>
        <v>0</v>
      </c>
      <c r="E1421" s="4" t="str">
        <f t="shared" si="2"/>
        <v>NOTRE ITALIE</v>
      </c>
    </row>
    <row r="1422">
      <c r="A1422" s="3" t="s">
        <v>1631</v>
      </c>
      <c r="B1422" s="3">
        <v>0.0</v>
      </c>
      <c r="C1422" s="3" t="s">
        <v>3</v>
      </c>
      <c r="D1422" s="4" t="b">
        <f t="shared" si="1"/>
        <v>0</v>
      </c>
      <c r="E1422" s="4" t="str">
        <f t="shared" si="2"/>
        <v>NOUS CITOYENS</v>
      </c>
    </row>
    <row r="1423">
      <c r="A1423" s="3" t="s">
        <v>1632</v>
      </c>
      <c r="B1423" s="3">
        <v>0.0</v>
      </c>
      <c r="C1423" s="3" t="s">
        <v>3</v>
      </c>
      <c r="D1423" s="4" t="b">
        <f t="shared" si="1"/>
        <v>0</v>
      </c>
      <c r="E1423" s="4" t="str">
        <f t="shared" si="2"/>
        <v>NOUS VOULONS LIRE !</v>
      </c>
    </row>
    <row r="1424">
      <c r="A1424" s="3" t="s">
        <v>1633</v>
      </c>
      <c r="B1424" s="3">
        <v>0.0</v>
      </c>
      <c r="C1424" s="3" t="s">
        <v>668</v>
      </c>
      <c r="D1424" s="4" t="b">
        <f t="shared" si="1"/>
        <v>0</v>
      </c>
      <c r="E1424" s="4" t="str">
        <f t="shared" si="2"/>
        <v>NOUVEAU COMITE FOIRE AUX PLAISIRS</v>
      </c>
    </row>
    <row r="1425">
      <c r="A1425" s="3" t="s">
        <v>1634</v>
      </c>
      <c r="B1425" s="3">
        <v>0.0</v>
      </c>
      <c r="C1425" s="3" t="s">
        <v>3</v>
      </c>
      <c r="D1425" s="4" t="b">
        <f t="shared" si="1"/>
        <v>0</v>
      </c>
      <c r="E1425" s="4" t="str">
        <f t="shared" si="2"/>
        <v>NOUVELLE DONNE</v>
      </c>
    </row>
    <row r="1426">
      <c r="A1426" s="3" t="s">
        <v>1635</v>
      </c>
      <c r="B1426" s="3">
        <v>130000.0</v>
      </c>
      <c r="C1426" s="3" t="s">
        <v>3</v>
      </c>
      <c r="D1426" s="4" t="b">
        <f t="shared" si="1"/>
        <v>0</v>
      </c>
      <c r="E1426" s="4" t="str">
        <f t="shared" si="2"/>
        <v>NUAGE BLEU</v>
      </c>
    </row>
    <row r="1427">
      <c r="A1427" s="3" t="s">
        <v>1637</v>
      </c>
      <c r="B1427" s="3">
        <v>20686.0</v>
      </c>
      <c r="C1427" s="4"/>
      <c r="D1427" s="4" t="b">
        <f t="shared" si="1"/>
        <v>0</v>
      </c>
      <c r="E1427" s="4" t="str">
        <f t="shared" si="2"/>
        <v>O SOL DE PORTUGAL</v>
      </c>
    </row>
    <row r="1428">
      <c r="A1428" s="3" t="s">
        <v>1639</v>
      </c>
      <c r="B1428" s="3">
        <v>170592.0</v>
      </c>
      <c r="C1428" s="4"/>
      <c r="D1428" s="4" t="b">
        <f t="shared" si="1"/>
        <v>0</v>
      </c>
      <c r="E1428" s="4" t="str">
        <f t="shared" si="2"/>
        <v>O'PTIMÔMES LOISIRS</v>
      </c>
    </row>
    <row r="1429">
      <c r="A1429" s="3" t="s">
        <v>1641</v>
      </c>
      <c r="B1429" s="3">
        <v>500.0</v>
      </c>
      <c r="C1429" s="4"/>
      <c r="D1429" s="4" t="b">
        <f t="shared" si="1"/>
        <v>0</v>
      </c>
      <c r="E1429" s="4" t="str">
        <f t="shared" si="2"/>
        <v>OBLIC SOLUTION</v>
      </c>
    </row>
    <row r="1430">
      <c r="A1430" s="3" t="s">
        <v>1642</v>
      </c>
      <c r="B1430" s="3">
        <v>2000.0</v>
      </c>
      <c r="C1430" s="4"/>
      <c r="D1430" s="4" t="b">
        <f t="shared" si="1"/>
        <v>0</v>
      </c>
      <c r="E1430" s="4" t="str">
        <f t="shared" si="2"/>
        <v>OBSERVATOIRE DE L'IMMOBILIER D'ENTREPRISE BX METROPOLE</v>
      </c>
    </row>
    <row r="1431">
      <c r="A1431" s="3" t="s">
        <v>1643</v>
      </c>
      <c r="B1431" s="3">
        <v>865.0</v>
      </c>
      <c r="C1431" s="4"/>
      <c r="D1431" s="4" t="b">
        <f t="shared" si="1"/>
        <v>0</v>
      </c>
      <c r="E1431" s="4" t="str">
        <f t="shared" si="2"/>
        <v>OCCE DE LA GIRONDE</v>
      </c>
    </row>
    <row r="1432">
      <c r="A1432" s="3" t="s">
        <v>1645</v>
      </c>
      <c r="B1432" s="3">
        <v>0.0</v>
      </c>
      <c r="C1432" s="3" t="s">
        <v>3</v>
      </c>
      <c r="D1432" s="4" t="b">
        <f t="shared" si="1"/>
        <v>0</v>
      </c>
      <c r="E1432" s="4" t="str">
        <f t="shared" si="2"/>
        <v>OCCS</v>
      </c>
    </row>
    <row r="1433">
      <c r="A1433" s="3" t="s">
        <v>1646</v>
      </c>
      <c r="B1433" s="3">
        <v>0.0</v>
      </c>
      <c r="C1433" s="3" t="s">
        <v>32</v>
      </c>
      <c r="D1433" s="4" t="b">
        <f t="shared" si="1"/>
        <v>0</v>
      </c>
      <c r="E1433" s="4" t="str">
        <f t="shared" si="2"/>
        <v>OCTANDRE</v>
      </c>
    </row>
    <row r="1434">
      <c r="A1434" s="3" t="s">
        <v>1647</v>
      </c>
      <c r="B1434" s="3">
        <v>200.0</v>
      </c>
      <c r="C1434" s="3" t="s">
        <v>3</v>
      </c>
      <c r="D1434" s="4" t="b">
        <f t="shared" si="1"/>
        <v>0</v>
      </c>
      <c r="E1434" s="4" t="str">
        <f t="shared" si="2"/>
        <v>OFFICE AQUITAIN DE RECHERCHES, ETUDES, INFORMATION ET LIAISON SUR PROBLEMES PERSONNES AGEES-OAREIL</v>
      </c>
    </row>
    <row r="1435">
      <c r="A1435" s="3" t="s">
        <v>1649</v>
      </c>
      <c r="B1435" s="4"/>
      <c r="C1435" s="4"/>
      <c r="D1435" s="4" t="b">
        <f t="shared" si="1"/>
        <v>1</v>
      </c>
      <c r="E1435" s="4" t="str">
        <f t="shared" si="2"/>
        <v>LIAISON SUR PROBLEMES PERSONNES AGEES-OAREIL</v>
      </c>
    </row>
    <row r="1436">
      <c r="A1436" s="3" t="s">
        <v>1650</v>
      </c>
      <c r="B1436" s="3">
        <v>0.0</v>
      </c>
      <c r="C1436" s="3" t="s">
        <v>1651</v>
      </c>
      <c r="D1436" s="4" t="b">
        <f t="shared" si="1"/>
        <v>0</v>
      </c>
      <c r="E1436" s="4" t="str">
        <f t="shared" si="2"/>
        <v>OFFICE ARTISTIQUE DE REGION AQUITAINE</v>
      </c>
    </row>
    <row r="1437">
      <c r="A1437" s="3" t="s">
        <v>1652</v>
      </c>
      <c r="B1437" s="3">
        <v>0.0</v>
      </c>
      <c r="C1437" s="3" t="s">
        <v>3</v>
      </c>
      <c r="D1437" s="4" t="b">
        <f t="shared" si="1"/>
        <v>0</v>
      </c>
      <c r="E1437" s="4" t="str">
        <f t="shared" si="2"/>
        <v>OFFICIERS DE RESERVE</v>
      </c>
    </row>
    <row r="1438">
      <c r="A1438" s="3" t="s">
        <v>1653</v>
      </c>
      <c r="B1438" s="3">
        <v>1000.0</v>
      </c>
      <c r="C1438" s="4"/>
      <c r="D1438" s="4" t="b">
        <f t="shared" si="1"/>
        <v>0</v>
      </c>
      <c r="E1438" s="4" t="str">
        <f t="shared" si="2"/>
        <v>OGEC ECOLE SPECIA ST FERDINAND</v>
      </c>
    </row>
    <row r="1439">
      <c r="A1439" s="3" t="s">
        <v>1654</v>
      </c>
      <c r="B1439" s="3">
        <v>120000.0</v>
      </c>
      <c r="C1439" s="4"/>
      <c r="D1439" s="4" t="b">
        <f t="shared" si="1"/>
        <v>0</v>
      </c>
      <c r="E1439" s="4" t="str">
        <f t="shared" si="2"/>
        <v>OGEC LYCEE BEL ORME</v>
      </c>
    </row>
    <row r="1440">
      <c r="A1440" s="3" t="s">
        <v>1656</v>
      </c>
      <c r="B1440" s="3">
        <v>1500.0</v>
      </c>
      <c r="C1440" s="4"/>
      <c r="D1440" s="4" t="b">
        <f t="shared" si="1"/>
        <v>0</v>
      </c>
      <c r="E1440" s="4" t="str">
        <f t="shared" si="2"/>
        <v>OGEC SAINTE THERESE</v>
      </c>
    </row>
    <row r="1441">
      <c r="A1441" s="3" t="s">
        <v>1657</v>
      </c>
      <c r="B1441" s="3">
        <v>0.0</v>
      </c>
      <c r="C1441" s="3" t="s">
        <v>3</v>
      </c>
      <c r="D1441" s="4" t="b">
        <f t="shared" si="1"/>
        <v>0</v>
      </c>
      <c r="E1441" s="4" t="str">
        <f t="shared" si="2"/>
        <v>OKIWI</v>
      </c>
    </row>
    <row r="1442">
      <c r="A1442" s="3" t="s">
        <v>1658</v>
      </c>
      <c r="B1442" s="3">
        <v>4000.0</v>
      </c>
      <c r="C1442" s="4"/>
      <c r="D1442" s="4" t="b">
        <f t="shared" si="1"/>
        <v>0</v>
      </c>
      <c r="E1442" s="4" t="str">
        <f t="shared" si="2"/>
        <v>OLA</v>
      </c>
    </row>
    <row r="1443">
      <c r="A1443" s="3" t="s">
        <v>1659</v>
      </c>
      <c r="B1443" s="3">
        <v>600.0</v>
      </c>
      <c r="C1443" s="4"/>
      <c r="D1443" s="4" t="b">
        <f t="shared" si="1"/>
        <v>0</v>
      </c>
      <c r="E1443" s="4" t="str">
        <f t="shared" si="2"/>
        <v>OMEGA ZELLES</v>
      </c>
    </row>
    <row r="1444">
      <c r="A1444" s="3" t="s">
        <v>1660</v>
      </c>
      <c r="B1444" s="3">
        <v>0.0</v>
      </c>
      <c r="C1444" s="3" t="s">
        <v>3</v>
      </c>
      <c r="D1444" s="4" t="b">
        <f t="shared" si="1"/>
        <v>0</v>
      </c>
      <c r="E1444" s="4" t="str">
        <f t="shared" si="2"/>
        <v>ONG QUISHUAR</v>
      </c>
    </row>
    <row r="1445">
      <c r="A1445" s="3" t="s">
        <v>1661</v>
      </c>
      <c r="B1445" s="3">
        <v>0.0</v>
      </c>
      <c r="C1445" s="3" t="s">
        <v>3</v>
      </c>
      <c r="D1445" s="4" t="b">
        <f t="shared" si="1"/>
        <v>0</v>
      </c>
      <c r="E1445" s="4" t="str">
        <f t="shared" si="2"/>
        <v>OPERA BASTIDE</v>
      </c>
    </row>
    <row r="1446">
      <c r="A1446" s="3" t="s">
        <v>1662</v>
      </c>
      <c r="B1446" s="3">
        <v>14000.0</v>
      </c>
      <c r="C1446" s="4"/>
      <c r="D1446" s="4" t="b">
        <f t="shared" si="1"/>
        <v>0</v>
      </c>
      <c r="E1446" s="4" t="str">
        <f t="shared" si="2"/>
        <v>OPERA PAGAI</v>
      </c>
    </row>
    <row r="1447">
      <c r="A1447" s="3" t="s">
        <v>1663</v>
      </c>
      <c r="B1447" s="3">
        <v>600.0</v>
      </c>
      <c r="C1447" s="4"/>
      <c r="D1447" s="4" t="b">
        <f t="shared" si="1"/>
        <v>0</v>
      </c>
      <c r="E1447" s="4" t="str">
        <f t="shared" si="2"/>
        <v>OPTIMISATION MEMOIRE</v>
      </c>
    </row>
    <row r="1448">
      <c r="A1448" s="3" t="s">
        <v>1664</v>
      </c>
      <c r="B1448" s="3">
        <v>0.0</v>
      </c>
      <c r="C1448" s="3" t="s">
        <v>3</v>
      </c>
      <c r="D1448" s="4" t="b">
        <f t="shared" si="1"/>
        <v>0</v>
      </c>
      <c r="E1448" s="4" t="str">
        <f t="shared" si="2"/>
        <v>OPUS 33</v>
      </c>
    </row>
    <row r="1449">
      <c r="A1449" s="3" t="s">
        <v>1665</v>
      </c>
      <c r="B1449" s="3">
        <v>27000.0</v>
      </c>
      <c r="C1449" s="3" t="s">
        <v>580</v>
      </c>
      <c r="D1449" s="4" t="b">
        <f t="shared" si="1"/>
        <v>0</v>
      </c>
      <c r="E1449" s="4" t="str">
        <f t="shared" si="2"/>
        <v>ORGAN PHANTOM </v>
      </c>
    </row>
    <row r="1450">
      <c r="A1450" s="4"/>
      <c r="B1450" s="4"/>
      <c r="C1450" s="3" t="s">
        <v>581</v>
      </c>
      <c r="D1450" s="4" t="b">
        <f t="shared" si="1"/>
        <v>1</v>
      </c>
      <c r="E1450" s="4" t="str">
        <f t="shared" si="2"/>
        <v/>
      </c>
    </row>
    <row r="1451">
      <c r="A1451" s="3" t="s">
        <v>1666</v>
      </c>
      <c r="B1451" s="3">
        <v>0.0</v>
      </c>
      <c r="C1451" s="3" t="s">
        <v>6</v>
      </c>
      <c r="D1451" s="4" t="b">
        <f t="shared" si="1"/>
        <v>0</v>
      </c>
      <c r="E1451" s="4" t="str">
        <f t="shared" si="2"/>
        <v>ORGANISATION SOCIO-CULTURELLE DE BORDEAUX IV OSB IV</v>
      </c>
    </row>
    <row r="1452">
      <c r="A1452" s="3" t="s">
        <v>1667</v>
      </c>
      <c r="B1452" s="3">
        <v>2500.0</v>
      </c>
      <c r="C1452" s="4"/>
      <c r="D1452" s="4" t="b">
        <f t="shared" si="1"/>
        <v>0</v>
      </c>
      <c r="E1452" s="4" t="str">
        <f t="shared" si="2"/>
        <v>ORIGAMI</v>
      </c>
    </row>
    <row r="1453">
      <c r="A1453" s="3" t="s">
        <v>1668</v>
      </c>
      <c r="B1453" s="3">
        <v>0.0</v>
      </c>
      <c r="C1453" s="3" t="s">
        <v>3</v>
      </c>
      <c r="D1453" s="4" t="b">
        <f t="shared" si="1"/>
        <v>0</v>
      </c>
      <c r="E1453" s="4" t="str">
        <f t="shared" si="2"/>
        <v>OSEZ LE FEMINISME 33 !</v>
      </c>
    </row>
    <row r="1454">
      <c r="A1454" s="3" t="s">
        <v>1669</v>
      </c>
      <c r="B1454" s="3">
        <v>1000.0</v>
      </c>
      <c r="C1454" s="3" t="s">
        <v>32</v>
      </c>
      <c r="D1454" s="4" t="b">
        <f t="shared" si="1"/>
        <v>0</v>
      </c>
      <c r="E1454" s="4" t="str">
        <f t="shared" si="2"/>
        <v>OSONS, ICI ET MAINTENANT (OIM)</v>
      </c>
    </row>
    <row r="1455">
      <c r="A1455" s="3" t="s">
        <v>1670</v>
      </c>
      <c r="B1455" s="3">
        <v>0.0</v>
      </c>
      <c r="C1455" s="3" t="s">
        <v>3</v>
      </c>
      <c r="D1455" s="4" t="b">
        <f t="shared" si="1"/>
        <v>0</v>
      </c>
      <c r="E1455" s="4" t="str">
        <f t="shared" si="2"/>
        <v>OUI A LA VIE</v>
      </c>
    </row>
    <row r="1456">
      <c r="A1456" s="3" t="s">
        <v>1671</v>
      </c>
      <c r="B1456" s="3">
        <v>22500.0</v>
      </c>
      <c r="C1456" s="4"/>
      <c r="D1456" s="4" t="b">
        <f t="shared" si="1"/>
        <v>0</v>
      </c>
      <c r="E1456" s="4" t="str">
        <f t="shared" si="2"/>
        <v>OUVRE LE CHIEN (DANS L'IMMEDIAT)</v>
      </c>
    </row>
    <row r="1457">
      <c r="A1457" s="3" t="s">
        <v>1672</v>
      </c>
      <c r="B1457" s="3">
        <v>2500.0</v>
      </c>
      <c r="C1457" s="4"/>
      <c r="D1457" s="4" t="b">
        <f t="shared" si="1"/>
        <v>0</v>
      </c>
      <c r="E1457" s="4" t="str">
        <f t="shared" si="2"/>
        <v>OZIMAGES</v>
      </c>
    </row>
    <row r="1458">
      <c r="A1458" s="3" t="s">
        <v>1673</v>
      </c>
      <c r="B1458" s="3">
        <v>567000.0</v>
      </c>
      <c r="C1458" s="3" t="s">
        <v>6</v>
      </c>
      <c r="D1458" s="4" t="b">
        <f t="shared" si="1"/>
        <v>0</v>
      </c>
      <c r="E1458" s="4" t="str">
        <f t="shared" si="2"/>
        <v>P'TIT BOUT'CHOU</v>
      </c>
    </row>
    <row r="1459">
      <c r="A1459" s="3" t="s">
        <v>1675</v>
      </c>
      <c r="B1459" s="3">
        <v>0.0</v>
      </c>
      <c r="C1459" s="3" t="s">
        <v>3</v>
      </c>
      <c r="D1459" s="4" t="b">
        <f t="shared" si="1"/>
        <v>0</v>
      </c>
      <c r="E1459" s="4" t="str">
        <f t="shared" si="2"/>
        <v>PALLIAQUITAINE</v>
      </c>
    </row>
    <row r="1460">
      <c r="A1460" s="3" t="s">
        <v>1676</v>
      </c>
      <c r="B1460" s="3">
        <v>237000.0</v>
      </c>
      <c r="C1460" s="3" t="s">
        <v>580</v>
      </c>
      <c r="D1460" s="4" t="b">
        <f t="shared" si="1"/>
        <v>0</v>
      </c>
      <c r="E1460" s="4" t="str">
        <f t="shared" si="2"/>
        <v>PARALLELES ATTITUDES DIFFUSION - ROCKSCHOOL </v>
      </c>
    </row>
    <row r="1461">
      <c r="A1461" s="4"/>
      <c r="B1461" s="4"/>
      <c r="C1461" s="3" t="s">
        <v>581</v>
      </c>
      <c r="D1461" s="4" t="b">
        <f t="shared" si="1"/>
        <v>1</v>
      </c>
      <c r="E1461" s="4" t="str">
        <f t="shared" si="2"/>
        <v/>
      </c>
    </row>
    <row r="1462">
      <c r="A1462" s="3" t="s">
        <v>1678</v>
      </c>
      <c r="B1462" s="3">
        <v>1000.0</v>
      </c>
      <c r="C1462" s="3" t="s">
        <v>32</v>
      </c>
      <c r="D1462" s="4" t="b">
        <f t="shared" si="1"/>
        <v>0</v>
      </c>
      <c r="E1462" s="4" t="str">
        <f t="shared" si="2"/>
        <v>PARRAINAGE 33</v>
      </c>
    </row>
    <row r="1463">
      <c r="A1463" s="3" t="s">
        <v>1679</v>
      </c>
      <c r="B1463" s="3">
        <v>1800.0</v>
      </c>
      <c r="C1463" s="4"/>
      <c r="D1463" s="4" t="b">
        <f t="shared" si="1"/>
        <v>0</v>
      </c>
      <c r="E1463" s="4" t="str">
        <f t="shared" si="2"/>
        <v>PART-AGE</v>
      </c>
    </row>
    <row r="1464">
      <c r="A1464" s="3" t="s">
        <v>1680</v>
      </c>
      <c r="B1464" s="3">
        <v>0.0</v>
      </c>
      <c r="C1464" s="3" t="s">
        <v>3</v>
      </c>
      <c r="D1464" s="4" t="b">
        <f t="shared" si="1"/>
        <v>0</v>
      </c>
      <c r="E1464" s="4" t="str">
        <f t="shared" si="2"/>
        <v>PARTI OUVRIER INDEPENDANT DEMOCRATIQUE DE LA GIRONDE - POID33</v>
      </c>
    </row>
    <row r="1465">
      <c r="A1465" s="3" t="s">
        <v>1681</v>
      </c>
      <c r="B1465" s="4"/>
      <c r="C1465" s="4"/>
      <c r="D1465" s="4" t="b">
        <f t="shared" si="1"/>
        <v>1</v>
      </c>
      <c r="E1465" s="4" t="str">
        <f t="shared" si="2"/>
        <v>POID33</v>
      </c>
    </row>
    <row r="1466">
      <c r="A1466" s="3" t="s">
        <v>1682</v>
      </c>
      <c r="B1466" s="3">
        <v>0.0</v>
      </c>
      <c r="C1466" s="3" t="s">
        <v>3</v>
      </c>
      <c r="D1466" s="4" t="b">
        <f t="shared" si="1"/>
        <v>0</v>
      </c>
      <c r="E1466" s="4" t="str">
        <f t="shared" si="2"/>
        <v>PASSERELLES ET COMPETENCES</v>
      </c>
    </row>
    <row r="1467">
      <c r="A1467" s="3" t="s">
        <v>1683</v>
      </c>
      <c r="B1467" s="3">
        <v>1650.0</v>
      </c>
      <c r="C1467" s="4"/>
      <c r="D1467" s="4" t="b">
        <f t="shared" si="1"/>
        <v>0</v>
      </c>
      <c r="E1467" s="4" t="str">
        <f t="shared" si="2"/>
        <v>PAUPIETTE</v>
      </c>
    </row>
    <row r="1468">
      <c r="A1468" s="3" t="s">
        <v>1685</v>
      </c>
      <c r="B1468" s="3">
        <v>0.0</v>
      </c>
      <c r="C1468" s="3" t="s">
        <v>3</v>
      </c>
      <c r="D1468" s="4" t="b">
        <f t="shared" si="1"/>
        <v>0</v>
      </c>
      <c r="E1468" s="4" t="str">
        <f t="shared" si="2"/>
        <v>PAUSE-CAFE</v>
      </c>
    </row>
    <row r="1469">
      <c r="A1469" s="3" t="s">
        <v>1686</v>
      </c>
      <c r="B1469" s="3">
        <v>0.0</v>
      </c>
      <c r="C1469" s="3" t="s">
        <v>3</v>
      </c>
      <c r="D1469" s="4" t="b">
        <f t="shared" si="1"/>
        <v>0</v>
      </c>
      <c r="E1469" s="4" t="str">
        <f t="shared" si="2"/>
        <v>PENA FLAMENCA COPAS Y COMPAS</v>
      </c>
    </row>
    <row r="1470">
      <c r="A1470" s="3" t="s">
        <v>1687</v>
      </c>
      <c r="B1470" s="3">
        <v>0.0</v>
      </c>
      <c r="C1470" s="3" t="s">
        <v>29</v>
      </c>
      <c r="D1470" s="4" t="b">
        <f t="shared" si="1"/>
        <v>0</v>
      </c>
      <c r="E1470" s="4" t="str">
        <f t="shared" si="2"/>
        <v>PENA MADRIDISTA DE BORDEAUX</v>
      </c>
    </row>
    <row r="1471">
      <c r="A1471" s="3" t="s">
        <v>1688</v>
      </c>
      <c r="B1471" s="3">
        <v>2000.0</v>
      </c>
      <c r="C1471" s="3" t="s">
        <v>3</v>
      </c>
      <c r="D1471" s="4" t="b">
        <f t="shared" si="1"/>
        <v>0</v>
      </c>
      <c r="E1471" s="4" t="str">
        <f t="shared" si="2"/>
        <v>PENSION DE FAMILLE</v>
      </c>
    </row>
    <row r="1472">
      <c r="A1472" s="3" t="s">
        <v>1689</v>
      </c>
      <c r="B1472" s="3">
        <v>700.0</v>
      </c>
      <c r="C1472" s="4"/>
      <c r="D1472" s="4" t="b">
        <f t="shared" si="1"/>
        <v>0</v>
      </c>
      <c r="E1472" s="4" t="str">
        <f t="shared" si="2"/>
        <v>PEP'S BAND</v>
      </c>
    </row>
    <row r="1473">
      <c r="A1473" s="3" t="s">
        <v>1690</v>
      </c>
      <c r="B1473" s="3">
        <v>0.0</v>
      </c>
      <c r="C1473" s="3" t="s">
        <v>29</v>
      </c>
      <c r="D1473" s="4" t="b">
        <f t="shared" si="1"/>
        <v>0</v>
      </c>
      <c r="E1473" s="4" t="str">
        <f t="shared" si="2"/>
        <v>PERCEPTA - TAI CHI CHUAN ET DEVELOPPEMENT PERSONNEL</v>
      </c>
    </row>
    <row r="1474">
      <c r="A1474" s="3" t="s">
        <v>1691</v>
      </c>
      <c r="B1474" s="3">
        <v>0.0</v>
      </c>
      <c r="C1474" s="3" t="s">
        <v>484</v>
      </c>
      <c r="D1474" s="4" t="b">
        <f t="shared" si="1"/>
        <v>0</v>
      </c>
      <c r="E1474" s="4" t="str">
        <f t="shared" si="2"/>
        <v>PERES &amp; FILS RUGBY 33</v>
      </c>
    </row>
    <row r="1475">
      <c r="A1475" s="3" t="s">
        <v>1692</v>
      </c>
      <c r="B1475" s="3">
        <v>10000.0</v>
      </c>
      <c r="C1475" s="3" t="s">
        <v>1693</v>
      </c>
      <c r="D1475" s="4" t="b">
        <f t="shared" si="1"/>
        <v>0</v>
      </c>
      <c r="E1475" s="4" t="str">
        <f t="shared" si="2"/>
        <v>PERMANENCES DE LA LITTERATURE</v>
      </c>
    </row>
    <row r="1476">
      <c r="A1476" s="3" t="s">
        <v>1694</v>
      </c>
      <c r="B1476" s="3">
        <v>0.0</v>
      </c>
      <c r="C1476" s="3" t="s">
        <v>32</v>
      </c>
      <c r="D1476" s="4" t="b">
        <f t="shared" si="1"/>
        <v>0</v>
      </c>
      <c r="E1476" s="4" t="str">
        <f t="shared" si="2"/>
        <v>PETANQUE BACALANAISE</v>
      </c>
    </row>
    <row r="1477">
      <c r="A1477" s="3" t="s">
        <v>1695</v>
      </c>
      <c r="B1477" s="3">
        <v>0.0</v>
      </c>
      <c r="C1477" s="3" t="s">
        <v>3</v>
      </c>
      <c r="D1477" s="4" t="b">
        <f t="shared" si="1"/>
        <v>0</v>
      </c>
      <c r="E1477" s="4" t="str">
        <f t="shared" si="2"/>
        <v>PETANQUE CLUB EMILE COMBES</v>
      </c>
    </row>
    <row r="1478">
      <c r="A1478" s="3" t="s">
        <v>1696</v>
      </c>
      <c r="B1478" s="3">
        <v>800.0</v>
      </c>
      <c r="C1478" s="4"/>
      <c r="D1478" s="4" t="b">
        <f t="shared" si="1"/>
        <v>0</v>
      </c>
      <c r="E1478" s="4" t="str">
        <f t="shared" si="2"/>
        <v>PETANQUE REPUBLIQUE</v>
      </c>
    </row>
    <row r="1479">
      <c r="A1479" s="3" t="s">
        <v>1697</v>
      </c>
      <c r="B1479" s="3">
        <v>500.0</v>
      </c>
      <c r="C1479" s="3" t="s">
        <v>32</v>
      </c>
      <c r="D1479" s="4" t="b">
        <f t="shared" si="1"/>
        <v>0</v>
      </c>
      <c r="E1479" s="4" t="str">
        <f t="shared" si="2"/>
        <v>PETANQUE-CLUB DES TROIS</v>
      </c>
    </row>
    <row r="1480">
      <c r="A1480" s="3" t="s">
        <v>1698</v>
      </c>
      <c r="B1480" s="3">
        <v>1500.0</v>
      </c>
      <c r="C1480" s="3" t="s">
        <v>6</v>
      </c>
      <c r="D1480" s="4" t="b">
        <f t="shared" si="1"/>
        <v>0</v>
      </c>
      <c r="E1480" s="4" t="str">
        <f t="shared" si="2"/>
        <v>PETITES SOEURS DES PAUVRES</v>
      </c>
    </row>
    <row r="1481">
      <c r="A1481" s="3" t="s">
        <v>1699</v>
      </c>
      <c r="B1481" s="3">
        <v>0.0</v>
      </c>
      <c r="C1481" s="3" t="s">
        <v>3</v>
      </c>
      <c r="D1481" s="4" t="b">
        <f t="shared" si="1"/>
        <v>0</v>
      </c>
      <c r="E1481" s="4" t="str">
        <f t="shared" si="2"/>
        <v>PEUPLES SOLIDAIRES</v>
      </c>
    </row>
    <row r="1482">
      <c r="A1482" s="3" t="s">
        <v>1700</v>
      </c>
      <c r="B1482" s="3">
        <v>0.0</v>
      </c>
      <c r="C1482" s="3" t="s">
        <v>3</v>
      </c>
      <c r="D1482" s="4" t="b">
        <f t="shared" si="1"/>
        <v>0</v>
      </c>
      <c r="E1482" s="4" t="str">
        <f t="shared" si="2"/>
        <v>PHENIX DE BELCIER</v>
      </c>
    </row>
    <row r="1483">
      <c r="A1483" s="3" t="s">
        <v>1701</v>
      </c>
      <c r="B1483" s="3">
        <v>2500.0</v>
      </c>
      <c r="C1483" s="3" t="s">
        <v>3</v>
      </c>
      <c r="D1483" s="4" t="b">
        <f t="shared" si="1"/>
        <v>0</v>
      </c>
      <c r="E1483" s="4" t="str">
        <f t="shared" si="2"/>
        <v>PHENIX ECOUTE ET PAROLES</v>
      </c>
    </row>
    <row r="1484">
      <c r="A1484" s="3" t="s">
        <v>1702</v>
      </c>
      <c r="B1484" s="3">
        <v>1000.0</v>
      </c>
      <c r="C1484" s="3" t="s">
        <v>3</v>
      </c>
      <c r="D1484" s="4" t="b">
        <f t="shared" si="1"/>
        <v>0</v>
      </c>
      <c r="E1484" s="4" t="str">
        <f t="shared" si="2"/>
        <v>PHILOSPHERES</v>
      </c>
    </row>
    <row r="1485">
      <c r="A1485" s="3" t="s">
        <v>1703</v>
      </c>
      <c r="B1485" s="3">
        <v>0.0</v>
      </c>
      <c r="C1485" s="3" t="s">
        <v>3</v>
      </c>
      <c r="D1485" s="4" t="b">
        <f t="shared" si="1"/>
        <v>0</v>
      </c>
      <c r="E1485" s="4" t="str">
        <f t="shared" si="2"/>
        <v>PHOTO CLUB DE BORDEAUX</v>
      </c>
    </row>
    <row r="1486">
      <c r="A1486" s="3" t="s">
        <v>1704</v>
      </c>
      <c r="B1486" s="3">
        <v>0.0</v>
      </c>
      <c r="C1486" s="3" t="s">
        <v>3</v>
      </c>
      <c r="D1486" s="4" t="b">
        <f t="shared" si="1"/>
        <v>0</v>
      </c>
      <c r="E1486" s="4" t="str">
        <f t="shared" si="2"/>
        <v>PICTUR'ART</v>
      </c>
    </row>
    <row r="1487">
      <c r="A1487" s="3" t="s">
        <v>1705</v>
      </c>
      <c r="B1487" s="3">
        <v>0.0</v>
      </c>
      <c r="C1487" s="3" t="s">
        <v>3</v>
      </c>
      <c r="D1487" s="4" t="b">
        <f t="shared" si="1"/>
        <v>0</v>
      </c>
      <c r="E1487" s="4" t="str">
        <f t="shared" si="2"/>
        <v>PLAN INTERNATIONAL FRANCE - PLAN FRANCE</v>
      </c>
    </row>
    <row r="1488">
      <c r="A1488" s="3" t="s">
        <v>1706</v>
      </c>
      <c r="B1488" s="3">
        <v>0.0</v>
      </c>
      <c r="C1488" s="3" t="s">
        <v>6</v>
      </c>
      <c r="D1488" s="4" t="b">
        <f t="shared" si="1"/>
        <v>0</v>
      </c>
      <c r="E1488" s="4" t="str">
        <f t="shared" si="2"/>
        <v>PLANETE BORDEAUX</v>
      </c>
    </row>
    <row r="1489">
      <c r="A1489" s="3" t="s">
        <v>1707</v>
      </c>
      <c r="B1489" s="3">
        <v>0.0</v>
      </c>
      <c r="C1489" s="3" t="s">
        <v>6</v>
      </c>
      <c r="D1489" s="4" t="b">
        <f t="shared" si="1"/>
        <v>0</v>
      </c>
      <c r="E1489" s="4" t="str">
        <f t="shared" si="2"/>
        <v>PLATEFORME AQUITAINE DE COMMERCE EQUITABLE - PLACE</v>
      </c>
    </row>
    <row r="1490">
      <c r="A1490" s="3" t="s">
        <v>1708</v>
      </c>
      <c r="B1490" s="3">
        <v>0.0</v>
      </c>
      <c r="C1490" s="3" t="s">
        <v>3</v>
      </c>
      <c r="D1490" s="4" t="b">
        <f t="shared" si="1"/>
        <v>0</v>
      </c>
      <c r="E1490" s="4" t="str">
        <f t="shared" si="2"/>
        <v>PLENI'OM</v>
      </c>
    </row>
    <row r="1491">
      <c r="A1491" s="3" t="s">
        <v>1709</v>
      </c>
      <c r="B1491" s="3">
        <v>4000.0</v>
      </c>
      <c r="C1491" s="4"/>
      <c r="D1491" s="4" t="b">
        <f t="shared" si="1"/>
        <v>0</v>
      </c>
      <c r="E1491" s="4" t="str">
        <f t="shared" si="2"/>
        <v>PLUME PALETTE</v>
      </c>
    </row>
    <row r="1492">
      <c r="A1492" s="3" t="s">
        <v>1710</v>
      </c>
      <c r="B1492" s="3">
        <v>3000.0</v>
      </c>
      <c r="C1492" s="3" t="s">
        <v>6</v>
      </c>
      <c r="D1492" s="4" t="b">
        <f t="shared" si="1"/>
        <v>0</v>
      </c>
      <c r="E1492" s="4" t="str">
        <f t="shared" si="2"/>
        <v>POINT DE FUITE</v>
      </c>
    </row>
    <row r="1493">
      <c r="A1493" s="3" t="s">
        <v>1711</v>
      </c>
      <c r="B1493" s="3">
        <v>0.0</v>
      </c>
      <c r="C1493" s="3" t="s">
        <v>3</v>
      </c>
      <c r="D1493" s="4" t="b">
        <f t="shared" si="1"/>
        <v>0</v>
      </c>
      <c r="E1493" s="4" t="str">
        <f t="shared" si="2"/>
        <v>POINT RENCONTRE DE BORDEAUX</v>
      </c>
    </row>
    <row r="1494">
      <c r="A1494" s="3" t="s">
        <v>1712</v>
      </c>
      <c r="B1494" s="3">
        <v>500.0</v>
      </c>
      <c r="C1494" s="4"/>
      <c r="D1494" s="4" t="b">
        <f t="shared" si="1"/>
        <v>0</v>
      </c>
      <c r="E1494" s="4" t="str">
        <f t="shared" si="2"/>
        <v>POKER SOURDS BORDEAUX</v>
      </c>
    </row>
    <row r="1495">
      <c r="A1495" s="3" t="s">
        <v>1713</v>
      </c>
      <c r="B1495" s="3">
        <v>1000.0</v>
      </c>
      <c r="C1495" s="3" t="s">
        <v>668</v>
      </c>
      <c r="D1495" s="4" t="b">
        <f t="shared" si="1"/>
        <v>0</v>
      </c>
      <c r="E1495" s="4" t="str">
        <f t="shared" si="2"/>
        <v>POLAR EN CABANES - LES AMIS DE CHESTER HIMES EN AQUITAINE, A ARCACHON ET SUR LE BASSIN (ACHAAB)</v>
      </c>
    </row>
    <row r="1496">
      <c r="A1496" s="3" t="s">
        <v>1714</v>
      </c>
      <c r="B1496" s="4"/>
      <c r="C1496" s="4"/>
      <c r="D1496" s="4" t="b">
        <f t="shared" si="1"/>
        <v>1</v>
      </c>
      <c r="E1496" s="4" t="str">
        <f t="shared" si="2"/>
        <v>A ARCACHON ET SUR LE BASSIN (ACHAAB)</v>
      </c>
    </row>
    <row r="1497">
      <c r="A1497" s="3" t="s">
        <v>1715</v>
      </c>
      <c r="B1497" s="3">
        <v>357672.0</v>
      </c>
      <c r="C1497" s="3" t="s">
        <v>3</v>
      </c>
      <c r="D1497" s="4" t="b">
        <f t="shared" si="1"/>
        <v>0</v>
      </c>
      <c r="E1497" s="4" t="str">
        <f t="shared" si="2"/>
        <v>POLE D'ENSEIGNEMENT SUPERIEUR DE LA MUSIQUE ET DE LA DANSE DE BORDEAUX AQUITAINE - PESMD</v>
      </c>
    </row>
    <row r="1498">
      <c r="A1498" s="3" t="s">
        <v>1717</v>
      </c>
      <c r="B1498" s="4"/>
      <c r="C1498" s="4"/>
      <c r="D1498" s="4" t="b">
        <f t="shared" si="1"/>
        <v>1</v>
      </c>
      <c r="E1498" s="4" t="str">
        <f t="shared" si="2"/>
        <v>DANSE DE BORDEAUX AQUITAINE - PESMD</v>
      </c>
    </row>
    <row r="1499">
      <c r="A1499" s="3" t="s">
        <v>1718</v>
      </c>
      <c r="B1499" s="3">
        <v>21350.0</v>
      </c>
      <c r="C1499" s="3" t="s">
        <v>32</v>
      </c>
      <c r="D1499" s="4" t="b">
        <f t="shared" si="1"/>
        <v>0</v>
      </c>
      <c r="E1499" s="4" t="str">
        <f t="shared" si="2"/>
        <v>POLE MAGNETIC</v>
      </c>
    </row>
    <row r="1500">
      <c r="A1500" s="3" t="s">
        <v>1720</v>
      </c>
      <c r="B1500" s="3">
        <v>0.0</v>
      </c>
      <c r="C1500" s="3" t="s">
        <v>3</v>
      </c>
      <c r="D1500" s="4" t="b">
        <f t="shared" si="1"/>
        <v>0</v>
      </c>
      <c r="E1500" s="4" t="str">
        <f t="shared" si="2"/>
        <v>POLIFONIA ELIANE LAVAIL</v>
      </c>
    </row>
    <row r="1501">
      <c r="A1501" s="3" t="s">
        <v>1721</v>
      </c>
      <c r="B1501" s="3">
        <v>0.0</v>
      </c>
      <c r="C1501" s="3" t="s">
        <v>3</v>
      </c>
      <c r="D1501" s="4" t="b">
        <f t="shared" si="1"/>
        <v>0</v>
      </c>
      <c r="E1501" s="4" t="str">
        <f t="shared" si="2"/>
        <v>POLSKIE BORDEAUX</v>
      </c>
    </row>
    <row r="1502">
      <c r="A1502" s="3" t="s">
        <v>1722</v>
      </c>
      <c r="B1502" s="3">
        <v>0.0</v>
      </c>
      <c r="C1502" s="3" t="s">
        <v>3</v>
      </c>
      <c r="D1502" s="4" t="b">
        <f t="shared" si="1"/>
        <v>0</v>
      </c>
      <c r="E1502" s="4" t="str">
        <f t="shared" si="2"/>
        <v>POLYCAP 33</v>
      </c>
    </row>
    <row r="1503">
      <c r="A1503" s="3" t="s">
        <v>1723</v>
      </c>
      <c r="B1503" s="3">
        <v>3800.0</v>
      </c>
      <c r="C1503" s="4"/>
      <c r="D1503" s="4" t="b">
        <f t="shared" si="1"/>
        <v>0</v>
      </c>
      <c r="E1503" s="4" t="str">
        <f t="shared" si="2"/>
        <v>POMME D'API</v>
      </c>
    </row>
    <row r="1504">
      <c r="A1504" s="3" t="s">
        <v>1725</v>
      </c>
      <c r="B1504" s="3">
        <v>150.0</v>
      </c>
      <c r="C1504" s="4"/>
      <c r="D1504" s="4" t="b">
        <f t="shared" si="1"/>
        <v>0</v>
      </c>
      <c r="E1504" s="4" t="str">
        <f t="shared" si="2"/>
        <v>POP PROJECT</v>
      </c>
    </row>
    <row r="1505">
      <c r="A1505" s="3" t="s">
        <v>1726</v>
      </c>
      <c r="B1505" s="3">
        <v>0.0</v>
      </c>
      <c r="C1505" s="3" t="s">
        <v>32</v>
      </c>
      <c r="D1505" s="4" t="b">
        <f t="shared" si="1"/>
        <v>0</v>
      </c>
      <c r="E1505" s="4" t="str">
        <f t="shared" si="2"/>
        <v>POUR UN COMMERCE ETHIQUE DE L'ART, RENCONTRES, TOURISME - PUCEART</v>
      </c>
    </row>
    <row r="1506">
      <c r="A1506" s="3" t="s">
        <v>1727</v>
      </c>
      <c r="B1506" s="4"/>
      <c r="C1506" s="4"/>
      <c r="D1506" s="4" t="b">
        <f t="shared" si="1"/>
        <v>1</v>
      </c>
      <c r="E1506" s="4" t="str">
        <f t="shared" si="2"/>
        <v>- PUCEART</v>
      </c>
    </row>
    <row r="1507">
      <c r="A1507" s="3" t="s">
        <v>1728</v>
      </c>
      <c r="B1507" s="3">
        <v>0.0</v>
      </c>
      <c r="C1507" s="3" t="s">
        <v>3</v>
      </c>
      <c r="D1507" s="4" t="b">
        <f t="shared" si="1"/>
        <v>0</v>
      </c>
      <c r="E1507" s="4" t="str">
        <f t="shared" si="2"/>
        <v>POUR UN SOURIRE D'ENFANT AQUITAINE</v>
      </c>
    </row>
    <row r="1508">
      <c r="A1508" s="3" t="s">
        <v>1729</v>
      </c>
      <c r="B1508" s="3">
        <v>0.0</v>
      </c>
      <c r="C1508" s="3" t="s">
        <v>3</v>
      </c>
      <c r="D1508" s="4" t="b">
        <f t="shared" si="1"/>
        <v>0</v>
      </c>
      <c r="E1508" s="4" t="str">
        <f t="shared" si="2"/>
        <v>PRISME</v>
      </c>
    </row>
    <row r="1509">
      <c r="A1509" s="3" t="s">
        <v>1730</v>
      </c>
      <c r="B1509" s="3">
        <v>0.0</v>
      </c>
      <c r="C1509" s="3" t="s">
        <v>29</v>
      </c>
      <c r="D1509" s="4" t="b">
        <f t="shared" si="1"/>
        <v>0</v>
      </c>
      <c r="E1509" s="4" t="str">
        <f t="shared" si="2"/>
        <v>PROF'APA</v>
      </c>
    </row>
    <row r="1510">
      <c r="A1510" s="3" t="s">
        <v>1731</v>
      </c>
      <c r="B1510" s="3">
        <v>0.0</v>
      </c>
      <c r="C1510" s="3" t="s">
        <v>6</v>
      </c>
      <c r="D1510" s="4" t="b">
        <f t="shared" si="1"/>
        <v>0</v>
      </c>
      <c r="E1510" s="4" t="str">
        <f t="shared" si="2"/>
        <v>PROJETS HORS LES MURS - PHM</v>
      </c>
    </row>
    <row r="1511">
      <c r="A1511" s="3" t="s">
        <v>1732</v>
      </c>
      <c r="B1511" s="3">
        <v>0.0</v>
      </c>
      <c r="C1511" s="3" t="s">
        <v>3</v>
      </c>
      <c r="D1511" s="4" t="b">
        <f t="shared" si="1"/>
        <v>0</v>
      </c>
      <c r="E1511" s="4" t="str">
        <f t="shared" si="2"/>
        <v>PROMETHEE</v>
      </c>
    </row>
    <row r="1512">
      <c r="A1512" s="3" t="s">
        <v>1733</v>
      </c>
      <c r="B1512" s="3">
        <v>31500.0</v>
      </c>
      <c r="C1512" s="3" t="s">
        <v>3</v>
      </c>
      <c r="D1512" s="4" t="b">
        <f t="shared" si="1"/>
        <v>0</v>
      </c>
      <c r="E1512" s="4" t="str">
        <f t="shared" si="2"/>
        <v>PROMO-FEMMES SAINT MICHEL</v>
      </c>
    </row>
    <row r="1513">
      <c r="A1513" s="3" t="s">
        <v>1735</v>
      </c>
      <c r="B1513" s="3">
        <v>10000.0</v>
      </c>
      <c r="C1513" s="4"/>
      <c r="D1513" s="4" t="b">
        <f t="shared" si="1"/>
        <v>0</v>
      </c>
      <c r="E1513" s="4" t="str">
        <f t="shared" si="2"/>
        <v>PROXIMA CENTAURI</v>
      </c>
    </row>
    <row r="1514">
      <c r="A1514" s="3" t="s">
        <v>1736</v>
      </c>
      <c r="B1514" s="3">
        <v>35000.0</v>
      </c>
      <c r="C1514" s="3" t="s">
        <v>280</v>
      </c>
      <c r="D1514" s="4" t="b">
        <f t="shared" si="1"/>
        <v>0</v>
      </c>
      <c r="E1514" s="4" t="str">
        <f t="shared" si="2"/>
        <v>QUATUORS A BORDEAUX</v>
      </c>
    </row>
    <row r="1515">
      <c r="A1515" s="3" t="s">
        <v>1737</v>
      </c>
      <c r="B1515" s="3">
        <v>0.0</v>
      </c>
      <c r="C1515" s="3" t="s">
        <v>3</v>
      </c>
      <c r="D1515" s="4" t="b">
        <f t="shared" si="1"/>
        <v>0</v>
      </c>
      <c r="E1515" s="4" t="str">
        <f t="shared" si="2"/>
        <v>QUETZALCOATL</v>
      </c>
    </row>
    <row r="1516">
      <c r="A1516" s="3" t="s">
        <v>1738</v>
      </c>
      <c r="B1516" s="3">
        <v>1500.0</v>
      </c>
      <c r="C1516" s="4"/>
      <c r="D1516" s="4" t="b">
        <f t="shared" si="1"/>
        <v>0</v>
      </c>
      <c r="E1516" s="4" t="str">
        <f t="shared" si="2"/>
        <v>R'2 JEUX (RECYCLAGE DE JEUX)</v>
      </c>
    </row>
    <row r="1517">
      <c r="A1517" s="3" t="s">
        <v>1739</v>
      </c>
      <c r="B1517" s="3">
        <v>22000.0</v>
      </c>
      <c r="C1517" s="3" t="s">
        <v>484</v>
      </c>
      <c r="D1517" s="4" t="b">
        <f t="shared" si="1"/>
        <v>0</v>
      </c>
      <c r="E1517" s="4" t="str">
        <f t="shared" si="2"/>
        <v>RACING CLUB DE BORDEAUX METROPOLE</v>
      </c>
    </row>
    <row r="1518">
      <c r="A1518" s="3" t="s">
        <v>1740</v>
      </c>
      <c r="B1518" s="3">
        <v>0.0</v>
      </c>
      <c r="C1518" s="3" t="s">
        <v>3</v>
      </c>
      <c r="D1518" s="4" t="b">
        <f t="shared" si="1"/>
        <v>0</v>
      </c>
      <c r="E1518" s="4" t="str">
        <f t="shared" si="2"/>
        <v>RADIO CHU</v>
      </c>
    </row>
    <row r="1519">
      <c r="A1519" s="3" t="s">
        <v>1741</v>
      </c>
      <c r="B1519" s="3">
        <v>0.0</v>
      </c>
      <c r="C1519" s="3" t="s">
        <v>3</v>
      </c>
      <c r="D1519" s="4" t="b">
        <f t="shared" si="1"/>
        <v>0</v>
      </c>
      <c r="E1519" s="4" t="str">
        <f t="shared" si="2"/>
        <v>RASSEMBLEMENT DU PEUPLE SOUVERAIN POUR UNE FRANCE INDEPENDANTE ET UNE REPUBLIQUE SOCIALE</v>
      </c>
    </row>
    <row r="1520">
      <c r="A1520" s="3" t="s">
        <v>1742</v>
      </c>
      <c r="B1520" s="4"/>
      <c r="C1520" s="4"/>
      <c r="D1520" s="4" t="b">
        <f t="shared" si="1"/>
        <v>1</v>
      </c>
      <c r="E1520" s="4" t="str">
        <f t="shared" si="2"/>
        <v>INDEPENDANTE ET UNE REPUBLIQUE SOCIALE</v>
      </c>
    </row>
    <row r="1521">
      <c r="A1521" s="3" t="s">
        <v>1743</v>
      </c>
      <c r="B1521" s="3">
        <v>0.0</v>
      </c>
      <c r="C1521" s="3" t="s">
        <v>3</v>
      </c>
      <c r="D1521" s="4" t="b">
        <f t="shared" si="1"/>
        <v>0</v>
      </c>
      <c r="E1521" s="4" t="str">
        <f t="shared" si="2"/>
        <v>REBATIR LA FRANCE</v>
      </c>
    </row>
    <row r="1522">
      <c r="A1522" s="3" t="s">
        <v>1744</v>
      </c>
      <c r="B1522" s="3">
        <v>9520.0</v>
      </c>
      <c r="C1522" s="4"/>
      <c r="D1522" s="4" t="b">
        <f t="shared" si="1"/>
        <v>0</v>
      </c>
      <c r="E1522" s="4" t="str">
        <f t="shared" si="2"/>
        <v>RECHERCHES ET SOLIDARITES</v>
      </c>
    </row>
    <row r="1523">
      <c r="A1523" s="3" t="s">
        <v>1746</v>
      </c>
      <c r="B1523" s="3">
        <v>900.0</v>
      </c>
      <c r="C1523" s="4"/>
      <c r="D1523" s="4" t="b">
        <f t="shared" si="1"/>
        <v>0</v>
      </c>
      <c r="E1523" s="4" t="str">
        <f t="shared" si="2"/>
        <v>RECREATION INFORMATIQUE TECHNIQUE ARTS APPLIQUES</v>
      </c>
    </row>
    <row r="1524">
      <c r="A1524" s="3" t="s">
        <v>1747</v>
      </c>
      <c r="B1524" s="3">
        <v>7100.0</v>
      </c>
      <c r="C1524" s="3" t="s">
        <v>6</v>
      </c>
      <c r="D1524" s="4" t="b">
        <f t="shared" si="1"/>
        <v>0</v>
      </c>
      <c r="E1524" s="4" t="str">
        <f t="shared" si="2"/>
        <v>RECUP'R</v>
      </c>
    </row>
    <row r="1525">
      <c r="A1525" s="3" t="s">
        <v>1749</v>
      </c>
      <c r="B1525" s="3">
        <v>0.0</v>
      </c>
      <c r="C1525" s="3" t="s">
        <v>6</v>
      </c>
      <c r="D1525" s="4" t="b">
        <f t="shared" si="1"/>
        <v>0</v>
      </c>
      <c r="E1525" s="4" t="str">
        <f t="shared" si="2"/>
        <v>REG'ARTS D'AILLEURS</v>
      </c>
    </row>
    <row r="1526">
      <c r="A1526" s="3" t="s">
        <v>1750</v>
      </c>
      <c r="B1526" s="3">
        <v>0.0</v>
      </c>
      <c r="C1526" s="3" t="s">
        <v>6</v>
      </c>
      <c r="D1526" s="4" t="b">
        <f t="shared" si="1"/>
        <v>0</v>
      </c>
      <c r="E1526" s="4" t="str">
        <f t="shared" si="2"/>
        <v>REGGAE SUN SKA</v>
      </c>
    </row>
    <row r="1527">
      <c r="A1527" s="3" t="s">
        <v>1751</v>
      </c>
      <c r="B1527" s="3">
        <v>51000.0</v>
      </c>
      <c r="C1527" s="3" t="s">
        <v>3</v>
      </c>
      <c r="D1527" s="4" t="b">
        <f t="shared" si="1"/>
        <v>0</v>
      </c>
      <c r="E1527" s="4" t="str">
        <f t="shared" si="2"/>
        <v>REGIE DE QUARTIER HABITER BACALAN</v>
      </c>
    </row>
    <row r="1528">
      <c r="A1528" s="3" t="s">
        <v>1753</v>
      </c>
      <c r="B1528" s="3">
        <v>0.0</v>
      </c>
      <c r="C1528" s="3" t="s">
        <v>32</v>
      </c>
      <c r="D1528" s="4" t="b">
        <f t="shared" si="1"/>
        <v>0</v>
      </c>
      <c r="E1528" s="4" t="str">
        <f t="shared" si="2"/>
        <v>RELAIS AMICAL MALAKOFF MEDERIC BORDEAUX AQUITAINE</v>
      </c>
    </row>
    <row r="1529">
      <c r="A1529" s="3" t="s">
        <v>1754</v>
      </c>
      <c r="B1529" s="3">
        <v>6000.0</v>
      </c>
      <c r="C1529" s="3" t="s">
        <v>32</v>
      </c>
      <c r="D1529" s="4" t="b">
        <f t="shared" si="1"/>
        <v>0</v>
      </c>
      <c r="E1529" s="4" t="str">
        <f t="shared" si="2"/>
        <v>RENAISSANCE DE L'ORGUE A BORDEAUX</v>
      </c>
    </row>
    <row r="1530">
      <c r="A1530" s="3" t="s">
        <v>1755</v>
      </c>
      <c r="B1530" s="3">
        <v>0.0</v>
      </c>
      <c r="C1530" s="3" t="s">
        <v>3</v>
      </c>
      <c r="D1530" s="4" t="b">
        <f t="shared" si="1"/>
        <v>0</v>
      </c>
      <c r="E1530" s="4" t="str">
        <f t="shared" si="2"/>
        <v>RESEAU AQUITAIN DES MUSIQUES ACTUELLES - RAMA</v>
      </c>
    </row>
    <row r="1531">
      <c r="A1531" s="3" t="s">
        <v>1756</v>
      </c>
      <c r="B1531" s="3">
        <v>29985.0</v>
      </c>
      <c r="C1531" s="4"/>
      <c r="D1531" s="4" t="b">
        <f t="shared" si="1"/>
        <v>0</v>
      </c>
      <c r="E1531" s="4" t="str">
        <f t="shared" si="2"/>
        <v>RESEAU AQUITAIN DEVELOPPEMENT SOLIDARITE INTERNATIONALE</v>
      </c>
    </row>
    <row r="1532">
      <c r="A1532" s="3" t="s">
        <v>1758</v>
      </c>
      <c r="B1532" s="3">
        <v>2000.0</v>
      </c>
      <c r="C1532" s="4"/>
      <c r="D1532" s="4" t="b">
        <f t="shared" si="1"/>
        <v>0</v>
      </c>
      <c r="E1532" s="4" t="str">
        <f t="shared" si="2"/>
        <v>RESEAU D'ECHANGES INTERCULTURELS</v>
      </c>
    </row>
    <row r="1533">
      <c r="A1533" s="3" t="s">
        <v>1759</v>
      </c>
      <c r="B1533" s="3">
        <v>10000.0</v>
      </c>
      <c r="C1533" s="3" t="s">
        <v>6</v>
      </c>
      <c r="D1533" s="4" t="b">
        <f t="shared" si="1"/>
        <v>0</v>
      </c>
      <c r="E1533" s="4" t="str">
        <f t="shared" si="2"/>
        <v>RESEAU ENTREPRENDRE AQUITAINE</v>
      </c>
    </row>
    <row r="1534">
      <c r="A1534" s="3" t="s">
        <v>1760</v>
      </c>
      <c r="B1534" s="3">
        <v>0.0</v>
      </c>
      <c r="C1534" s="3" t="s">
        <v>3</v>
      </c>
      <c r="D1534" s="4" t="b">
        <f t="shared" si="1"/>
        <v>0</v>
      </c>
      <c r="E1534" s="4" t="str">
        <f t="shared" si="2"/>
        <v>RESEAU FRANCAIS SUR L’ENTENTE DE VOIX (REV FRANCE)</v>
      </c>
    </row>
    <row r="1535">
      <c r="A1535" s="3" t="s">
        <v>1761</v>
      </c>
      <c r="B1535" s="3">
        <v>64000.0</v>
      </c>
      <c r="C1535" s="4"/>
      <c r="D1535" s="4" t="b">
        <f t="shared" si="1"/>
        <v>0</v>
      </c>
      <c r="E1535" s="4" t="str">
        <f t="shared" si="2"/>
        <v>RESEAU PAUL BERT CENTRE SOCIAL ET CULTUREL</v>
      </c>
    </row>
    <row r="1536">
      <c r="A1536" s="3" t="s">
        <v>1763</v>
      </c>
      <c r="B1536" s="3">
        <v>0.0</v>
      </c>
      <c r="C1536" s="3" t="s">
        <v>3</v>
      </c>
      <c r="D1536" s="4" t="b">
        <f t="shared" si="1"/>
        <v>0</v>
      </c>
      <c r="E1536" s="4" t="str">
        <f t="shared" si="2"/>
        <v>RESEAUX ADOS GIRONDE</v>
      </c>
    </row>
    <row r="1537">
      <c r="A1537" s="3" t="s">
        <v>1764</v>
      </c>
      <c r="B1537" s="3">
        <v>10000.0</v>
      </c>
      <c r="C1537" s="3" t="s">
        <v>3</v>
      </c>
      <c r="D1537" s="4" t="b">
        <f t="shared" si="1"/>
        <v>0</v>
      </c>
      <c r="E1537" s="4" t="str">
        <f t="shared" si="2"/>
        <v>RESTAURANTS DU COEUR - RELAIS DU COEUR DE LA GIRONDE</v>
      </c>
    </row>
    <row r="1538">
      <c r="A1538" s="3" t="s">
        <v>1765</v>
      </c>
      <c r="B1538" s="3">
        <v>600.0</v>
      </c>
      <c r="C1538" s="3" t="s">
        <v>32</v>
      </c>
      <c r="D1538" s="4" t="b">
        <f t="shared" si="1"/>
        <v>0</v>
      </c>
      <c r="E1538" s="4" t="str">
        <f t="shared" si="2"/>
        <v>RESTONS CALMES ! (DANS LA DIGNITE)</v>
      </c>
    </row>
    <row r="1539">
      <c r="A1539" s="3" t="s">
        <v>1766</v>
      </c>
      <c r="B1539" s="3">
        <v>9750.0</v>
      </c>
      <c r="C1539" s="3" t="s">
        <v>32</v>
      </c>
      <c r="D1539" s="4" t="b">
        <f t="shared" si="1"/>
        <v>0</v>
      </c>
      <c r="E1539" s="4" t="str">
        <f t="shared" si="2"/>
        <v>RICOCHET SONORE</v>
      </c>
    </row>
    <row r="1540">
      <c r="A1540" s="3" t="s">
        <v>1768</v>
      </c>
      <c r="B1540" s="3">
        <v>0.0</v>
      </c>
      <c r="C1540" s="3" t="s">
        <v>6</v>
      </c>
      <c r="D1540" s="4" t="b">
        <f t="shared" si="1"/>
        <v>0</v>
      </c>
      <c r="E1540" s="4" t="str">
        <f t="shared" si="2"/>
        <v>RIVE DROITE 2000</v>
      </c>
    </row>
    <row r="1541">
      <c r="A1541" s="3" t="s">
        <v>1769</v>
      </c>
      <c r="B1541" s="3">
        <v>0.0</v>
      </c>
      <c r="C1541" s="3" t="s">
        <v>3</v>
      </c>
      <c r="D1541" s="4" t="b">
        <f t="shared" si="1"/>
        <v>0</v>
      </c>
      <c r="E1541" s="4" t="str">
        <f t="shared" si="2"/>
        <v>ROLLER DERBY BORDEAUX CLUB</v>
      </c>
    </row>
    <row r="1542">
      <c r="A1542" s="3" t="s">
        <v>1770</v>
      </c>
      <c r="B1542" s="3">
        <v>0.0</v>
      </c>
      <c r="C1542" s="3" t="s">
        <v>29</v>
      </c>
      <c r="D1542" s="4" t="b">
        <f t="shared" si="1"/>
        <v>0</v>
      </c>
      <c r="E1542" s="4" t="str">
        <f t="shared" si="2"/>
        <v>ROSE ATTITUDE BORDEAUX</v>
      </c>
    </row>
    <row r="1543">
      <c r="A1543" s="3" t="s">
        <v>1771</v>
      </c>
      <c r="B1543" s="3">
        <v>0.0</v>
      </c>
      <c r="C1543" s="3" t="s">
        <v>3</v>
      </c>
      <c r="D1543" s="4" t="b">
        <f t="shared" si="1"/>
        <v>0</v>
      </c>
      <c r="E1543" s="4" t="str">
        <f t="shared" si="2"/>
        <v>ROTARY CLUB DE BORDEAUX-OUEST</v>
      </c>
    </row>
    <row r="1544">
      <c r="A1544" s="3" t="s">
        <v>1772</v>
      </c>
      <c r="B1544" s="3">
        <v>0.0</v>
      </c>
      <c r="C1544" s="3" t="s">
        <v>32</v>
      </c>
      <c r="D1544" s="4" t="b">
        <f t="shared" si="1"/>
        <v>0</v>
      </c>
      <c r="E1544" s="4" t="str">
        <f t="shared" si="2"/>
        <v>ROTARY-CLUB DE BORDEAUX-SUD</v>
      </c>
    </row>
    <row r="1545">
      <c r="A1545" s="3" t="s">
        <v>1773</v>
      </c>
      <c r="B1545" s="3">
        <v>6182.0</v>
      </c>
      <c r="C1545" s="4"/>
      <c r="D1545" s="4" t="b">
        <f t="shared" si="1"/>
        <v>0</v>
      </c>
      <c r="E1545" s="4" t="str">
        <f t="shared" si="2"/>
        <v>RUE BOUFFARD - ASSOCIATION DES COMMERCANTS</v>
      </c>
    </row>
    <row r="1546">
      <c r="A1546" s="3" t="s">
        <v>1775</v>
      </c>
      <c r="B1546" s="3">
        <v>2000.0</v>
      </c>
      <c r="C1546" s="3" t="s">
        <v>3</v>
      </c>
      <c r="D1546" s="4" t="b">
        <f t="shared" si="1"/>
        <v>0</v>
      </c>
      <c r="E1546" s="4" t="str">
        <f t="shared" si="2"/>
        <v>RUELLE (RELAIS URBAIN D'ECHANGES ET DE LUTTE CONTRE L'EXPLOITATION)</v>
      </c>
    </row>
    <row r="1547">
      <c r="A1547" s="3" t="s">
        <v>1776</v>
      </c>
      <c r="B1547" s="4"/>
      <c r="C1547" s="4"/>
      <c r="D1547" s="4" t="b">
        <f t="shared" si="1"/>
        <v>1</v>
      </c>
      <c r="E1547" s="4" t="str">
        <f t="shared" si="2"/>
        <v>L'EXPLOITATION)</v>
      </c>
    </row>
    <row r="1548">
      <c r="A1548" s="3" t="s">
        <v>1777</v>
      </c>
      <c r="B1548" s="3">
        <v>800.0</v>
      </c>
      <c r="C1548" s="3" t="s">
        <v>29</v>
      </c>
      <c r="D1548" s="4" t="b">
        <f t="shared" si="1"/>
        <v>0</v>
      </c>
      <c r="E1548" s="4" t="str">
        <f t="shared" si="2"/>
        <v>RUGBYTOTS</v>
      </c>
    </row>
    <row r="1549">
      <c r="A1549" s="3" t="s">
        <v>1778</v>
      </c>
      <c r="B1549" s="3">
        <v>650.0</v>
      </c>
      <c r="C1549" s="4"/>
      <c r="D1549" s="4" t="b">
        <f t="shared" si="1"/>
        <v>0</v>
      </c>
      <c r="E1549" s="4" t="str">
        <f t="shared" si="2"/>
        <v>S.A.D.I. QUARTIER BORDEAUX SAINT GENES</v>
      </c>
    </row>
    <row r="1550">
      <c r="A1550" s="3" t="s">
        <v>1780</v>
      </c>
      <c r="B1550" s="3">
        <v>0.0</v>
      </c>
      <c r="C1550" s="3" t="s">
        <v>32</v>
      </c>
      <c r="D1550" s="4" t="b">
        <f t="shared" si="1"/>
        <v>0</v>
      </c>
      <c r="E1550" s="4" t="str">
        <f t="shared" si="2"/>
        <v>SAAPERLIPOPETTE</v>
      </c>
    </row>
    <row r="1551">
      <c r="A1551" s="3" t="s">
        <v>1781</v>
      </c>
      <c r="B1551" s="3">
        <v>3000.0</v>
      </c>
      <c r="C1551" s="4"/>
      <c r="D1551" s="4" t="b">
        <f t="shared" si="1"/>
        <v>0</v>
      </c>
      <c r="E1551" s="4" t="str">
        <f t="shared" si="2"/>
        <v>SACREE MARMAILLE</v>
      </c>
    </row>
    <row r="1552">
      <c r="A1552" s="3" t="s">
        <v>1782</v>
      </c>
      <c r="B1552" s="3">
        <v>3700.0</v>
      </c>
      <c r="C1552" s="3" t="s">
        <v>32</v>
      </c>
      <c r="D1552" s="4" t="b">
        <f t="shared" si="1"/>
        <v>0</v>
      </c>
      <c r="E1552" s="4" t="str">
        <f t="shared" si="2"/>
        <v>SAINT AUGUSTIN 2015</v>
      </c>
    </row>
    <row r="1553">
      <c r="A1553" s="3" t="s">
        <v>1783</v>
      </c>
      <c r="B1553" s="3">
        <v>4400.0</v>
      </c>
      <c r="C1553" s="4"/>
      <c r="D1553" s="4" t="b">
        <f t="shared" si="1"/>
        <v>0</v>
      </c>
      <c r="E1553" s="4" t="str">
        <f t="shared" si="2"/>
        <v>SAINT CHRISTOLY GIE</v>
      </c>
    </row>
    <row r="1554">
      <c r="A1554" s="3" t="s">
        <v>1784</v>
      </c>
      <c r="B1554" s="3">
        <v>0.0</v>
      </c>
      <c r="C1554" s="3" t="s">
        <v>3</v>
      </c>
      <c r="D1554" s="4" t="b">
        <f t="shared" si="1"/>
        <v>0</v>
      </c>
      <c r="E1554" s="4" t="str">
        <f t="shared" si="2"/>
        <v>SAINT MARTIN BORDEAUX CULTURAL CONNECTIONS</v>
      </c>
    </row>
    <row r="1555">
      <c r="A1555" s="3" t="s">
        <v>1785</v>
      </c>
      <c r="B1555" s="3">
        <v>0.0</v>
      </c>
      <c r="C1555" s="3" t="s">
        <v>3</v>
      </c>
      <c r="D1555" s="4" t="b">
        <f t="shared" si="1"/>
        <v>0</v>
      </c>
      <c r="E1555" s="4" t="str">
        <f t="shared" si="2"/>
        <v>SALAM</v>
      </c>
    </row>
    <row r="1556">
      <c r="A1556" s="3" t="s">
        <v>1786</v>
      </c>
      <c r="B1556" s="3">
        <v>0.0</v>
      </c>
      <c r="C1556" s="3" t="s">
        <v>6</v>
      </c>
      <c r="D1556" s="4" t="b">
        <f t="shared" si="1"/>
        <v>0</v>
      </c>
      <c r="E1556" s="4" t="str">
        <f t="shared" si="2"/>
        <v>SASP FOOTBALL CLUB DES GIRONDINS DE BORDEAUX</v>
      </c>
    </row>
    <row r="1557">
      <c r="A1557" s="3" t="s">
        <v>1787</v>
      </c>
      <c r="B1557" s="3">
        <v>280000.0</v>
      </c>
      <c r="C1557" s="3" t="s">
        <v>6</v>
      </c>
      <c r="D1557" s="4" t="b">
        <f t="shared" si="1"/>
        <v>0</v>
      </c>
      <c r="E1557" s="4" t="str">
        <f t="shared" si="2"/>
        <v>SASP JSA BORDEAUX METROPOLE</v>
      </c>
    </row>
    <row r="1558">
      <c r="A1558" s="3" t="s">
        <v>1789</v>
      </c>
      <c r="B1558" s="3">
        <v>450000.0</v>
      </c>
      <c r="C1558" s="3" t="s">
        <v>6</v>
      </c>
      <c r="D1558" s="4" t="b">
        <f t="shared" si="1"/>
        <v>0</v>
      </c>
      <c r="E1558" s="4" t="str">
        <f t="shared" si="2"/>
        <v>SASP UNION BORDEAUX BEGLES</v>
      </c>
    </row>
    <row r="1559">
      <c r="A1559" s="3" t="s">
        <v>1791</v>
      </c>
      <c r="B1559" s="3">
        <v>2000.0</v>
      </c>
      <c r="C1559" s="3" t="s">
        <v>29</v>
      </c>
      <c r="D1559" s="4" t="b">
        <f t="shared" si="1"/>
        <v>0</v>
      </c>
      <c r="E1559" s="4" t="str">
        <f t="shared" si="2"/>
        <v>SAVATE BOXE FRANÇAISE DE BORDEAUX - SBFB</v>
      </c>
    </row>
    <row r="1560">
      <c r="A1560" s="3" t="s">
        <v>1792</v>
      </c>
      <c r="B1560" s="3">
        <v>2000.0</v>
      </c>
      <c r="C1560" s="4"/>
      <c r="D1560" s="4" t="b">
        <f t="shared" si="1"/>
        <v>0</v>
      </c>
      <c r="E1560" s="4" t="str">
        <f t="shared" si="2"/>
        <v>SCELMAA SOUTIEN, CULTURE ET LOISIRS DES MAGHREBINS, ALGERIENS EN AQUITAINE</v>
      </c>
    </row>
    <row r="1561">
      <c r="A1561" s="3" t="s">
        <v>1793</v>
      </c>
      <c r="B1561" s="4"/>
      <c r="C1561" s="4"/>
      <c r="D1561" s="4" t="b">
        <f t="shared" si="1"/>
        <v>1</v>
      </c>
      <c r="E1561" s="4" t="str">
        <f t="shared" si="2"/>
        <v>ALGERIENS EN AQUITAINE</v>
      </c>
    </row>
    <row r="1562">
      <c r="A1562" s="3" t="s">
        <v>1794</v>
      </c>
      <c r="B1562" s="3">
        <v>0.0</v>
      </c>
      <c r="C1562" s="3" t="s">
        <v>3</v>
      </c>
      <c r="D1562" s="4" t="b">
        <f t="shared" si="1"/>
        <v>0</v>
      </c>
      <c r="E1562" s="4" t="str">
        <f t="shared" si="2"/>
        <v>SCOUTS ET GUIDES DE FRANCE - Section de Tarbes</v>
      </c>
    </row>
    <row r="1563">
      <c r="A1563" s="3" t="s">
        <v>1795</v>
      </c>
      <c r="B1563" s="3">
        <v>3500.0</v>
      </c>
      <c r="C1563" s="4"/>
      <c r="D1563" s="4" t="b">
        <f t="shared" si="1"/>
        <v>0</v>
      </c>
      <c r="E1563" s="4" t="str">
        <f t="shared" si="2"/>
        <v>SCRIPT</v>
      </c>
    </row>
    <row r="1564">
      <c r="A1564" s="3" t="s">
        <v>1796</v>
      </c>
      <c r="B1564" s="3">
        <v>0.0</v>
      </c>
      <c r="C1564" s="3" t="s">
        <v>3</v>
      </c>
      <c r="D1564" s="4" t="b">
        <f t="shared" si="1"/>
        <v>0</v>
      </c>
      <c r="E1564" s="4" t="str">
        <f t="shared" si="2"/>
        <v>SE CANTO BASTIDE</v>
      </c>
    </row>
    <row r="1565">
      <c r="A1565" s="3" t="s">
        <v>1797</v>
      </c>
      <c r="B1565" s="3">
        <v>0.0</v>
      </c>
      <c r="C1565" s="3" t="s">
        <v>32</v>
      </c>
      <c r="D1565" s="4" t="b">
        <f t="shared" si="1"/>
        <v>0</v>
      </c>
      <c r="E1565" s="4" t="str">
        <f t="shared" si="2"/>
        <v>SECOURS CATHOLIQUE-CARITAS FRANCE (DELEGATION DE LA GIRONDE)</v>
      </c>
    </row>
    <row r="1566">
      <c r="A1566" s="3" t="s">
        <v>1798</v>
      </c>
      <c r="B1566" s="4"/>
      <c r="C1566" s="4"/>
      <c r="D1566" s="4" t="b">
        <f t="shared" si="1"/>
        <v>1</v>
      </c>
      <c r="E1566" s="4" t="str">
        <f t="shared" si="2"/>
        <v>GIRONDE)</v>
      </c>
    </row>
    <row r="1567">
      <c r="A1567" s="3" t="s">
        <v>1799</v>
      </c>
      <c r="B1567" s="3">
        <v>0.0</v>
      </c>
      <c r="C1567" s="3" t="s">
        <v>29</v>
      </c>
      <c r="D1567" s="4" t="b">
        <f t="shared" si="1"/>
        <v>0</v>
      </c>
      <c r="E1567" s="4" t="str">
        <f t="shared" si="2"/>
        <v>SECUCAF BORDEAUX FOOTBALL D'ENTREPRISE</v>
      </c>
    </row>
    <row r="1568">
      <c r="A1568" s="3" t="s">
        <v>1800</v>
      </c>
      <c r="B1568" s="3">
        <v>73250.0</v>
      </c>
      <c r="C1568" s="3" t="s">
        <v>1373</v>
      </c>
      <c r="D1568" s="4" t="b">
        <f t="shared" si="1"/>
        <v>0</v>
      </c>
      <c r="E1568" s="4" t="str">
        <f t="shared" si="2"/>
        <v>SEMER LE DOUTE </v>
      </c>
    </row>
    <row r="1569">
      <c r="A1569" s="4"/>
      <c r="B1569" s="4"/>
      <c r="C1569" s="3" t="s">
        <v>1374</v>
      </c>
      <c r="D1569" s="4" t="b">
        <f t="shared" si="1"/>
        <v>1</v>
      </c>
      <c r="E1569" s="4" t="str">
        <f t="shared" si="2"/>
        <v/>
      </c>
    </row>
    <row r="1570">
      <c r="A1570" s="3" t="s">
        <v>1802</v>
      </c>
      <c r="B1570" s="3">
        <v>0.0</v>
      </c>
      <c r="C1570" s="3" t="s">
        <v>6</v>
      </c>
      <c r="D1570" s="4" t="b">
        <f t="shared" si="1"/>
        <v>0</v>
      </c>
      <c r="E1570" s="4" t="str">
        <f t="shared" si="2"/>
        <v>SERVICE DEPARTEMENTAL D'INCENDIE ET DE SECOURS DE LA GIRONDE</v>
      </c>
    </row>
    <row r="1571">
      <c r="A1571" s="3" t="s">
        <v>823</v>
      </c>
      <c r="B1571" s="4"/>
      <c r="C1571" s="4"/>
      <c r="D1571" s="4" t="b">
        <f t="shared" si="1"/>
        <v>1</v>
      </c>
      <c r="E1571" s="4" t="str">
        <f t="shared" si="2"/>
        <v>GIRONDE</v>
      </c>
    </row>
    <row r="1572">
      <c r="A1572" s="3" t="s">
        <v>1803</v>
      </c>
      <c r="B1572" s="3">
        <v>0.0</v>
      </c>
      <c r="C1572" s="3" t="s">
        <v>29</v>
      </c>
      <c r="D1572" s="4" t="b">
        <f t="shared" si="1"/>
        <v>0</v>
      </c>
      <c r="E1572" s="4" t="str">
        <f t="shared" si="2"/>
        <v>SERVICE UNIVERSITAIRE DES ACTIVITES PHYSIQUES ET SPORTIVES (SUAPS)</v>
      </c>
    </row>
    <row r="1573">
      <c r="A1573" s="3" t="s">
        <v>1804</v>
      </c>
      <c r="B1573" s="4"/>
      <c r="C1573" s="4"/>
      <c r="D1573" s="4" t="b">
        <f t="shared" si="1"/>
        <v>1</v>
      </c>
      <c r="E1573" s="4" t="str">
        <f t="shared" si="2"/>
        <v>(SUAPS)</v>
      </c>
    </row>
    <row r="1574">
      <c r="A1574" s="3" t="s">
        <v>1805</v>
      </c>
      <c r="B1574" s="3">
        <v>9980.0</v>
      </c>
      <c r="C1574" s="3" t="s">
        <v>32</v>
      </c>
      <c r="D1574" s="4" t="b">
        <f t="shared" si="1"/>
        <v>0</v>
      </c>
      <c r="E1574" s="4" t="str">
        <f t="shared" si="2"/>
        <v>SEW &amp; LAINE</v>
      </c>
    </row>
    <row r="1575">
      <c r="A1575" s="3" t="s">
        <v>1807</v>
      </c>
      <c r="B1575" s="3">
        <v>0.0</v>
      </c>
      <c r="C1575" s="3" t="s">
        <v>668</v>
      </c>
      <c r="D1575" s="4" t="b">
        <f t="shared" si="1"/>
        <v>0</v>
      </c>
      <c r="E1575" s="4" t="str">
        <f t="shared" si="2"/>
        <v>SIDACTION</v>
      </c>
    </row>
    <row r="1576">
      <c r="A1576" s="3" t="s">
        <v>1808</v>
      </c>
      <c r="B1576" s="3">
        <v>4000.0</v>
      </c>
      <c r="C1576" s="4"/>
      <c r="D1576" s="4" t="b">
        <f t="shared" si="1"/>
        <v>0</v>
      </c>
      <c r="E1576" s="4" t="str">
        <f t="shared" si="2"/>
        <v>SKIN JACKIN BORDEAUX</v>
      </c>
    </row>
    <row r="1577">
      <c r="A1577" s="3" t="s">
        <v>1809</v>
      </c>
      <c r="B1577" s="3">
        <v>1000.0</v>
      </c>
      <c r="C1577" s="4"/>
      <c r="D1577" s="4" t="b">
        <f t="shared" si="1"/>
        <v>0</v>
      </c>
      <c r="E1577" s="4" t="str">
        <f t="shared" si="2"/>
        <v>SLAPZINE</v>
      </c>
    </row>
    <row r="1578">
      <c r="A1578" s="3" t="s">
        <v>1810</v>
      </c>
      <c r="B1578" s="3">
        <v>2000.0</v>
      </c>
      <c r="C1578" s="3" t="s">
        <v>3</v>
      </c>
      <c r="D1578" s="4" t="b">
        <f t="shared" si="1"/>
        <v>0</v>
      </c>
      <c r="E1578" s="4" t="str">
        <f t="shared" si="2"/>
        <v>SMART COMPAGNIE</v>
      </c>
    </row>
    <row r="1579">
      <c r="A1579" s="3" t="s">
        <v>1811</v>
      </c>
      <c r="B1579" s="3">
        <v>16770.0</v>
      </c>
      <c r="C1579" s="3" t="s">
        <v>3</v>
      </c>
      <c r="D1579" s="4" t="b">
        <f t="shared" si="1"/>
        <v>0</v>
      </c>
      <c r="E1579" s="4" t="str">
        <f t="shared" si="2"/>
        <v>SOCIETE ARCHEOLOGIQUE DE BORDEAUX</v>
      </c>
    </row>
    <row r="1580">
      <c r="A1580" s="3" t="s">
        <v>1813</v>
      </c>
      <c r="B1580" s="3">
        <v>300.0</v>
      </c>
      <c r="C1580" s="4"/>
      <c r="D1580" s="4" t="b">
        <f t="shared" si="1"/>
        <v>0</v>
      </c>
      <c r="E1580" s="4" t="str">
        <f t="shared" si="2"/>
        <v>SOCIETE ASTRONOMIQUE DE BORDEAUX</v>
      </c>
    </row>
    <row r="1581">
      <c r="A1581" s="3" t="s">
        <v>1814</v>
      </c>
      <c r="B1581" s="3">
        <v>0.0</v>
      </c>
      <c r="C1581" s="3" t="s">
        <v>3</v>
      </c>
      <c r="D1581" s="4" t="b">
        <f t="shared" si="1"/>
        <v>0</v>
      </c>
      <c r="E1581" s="4" t="str">
        <f t="shared" si="2"/>
        <v>SOCIETE BORDELAISE D'AQUARELLE</v>
      </c>
    </row>
    <row r="1582">
      <c r="A1582" s="3" t="s">
        <v>1815</v>
      </c>
      <c r="B1582" s="3">
        <v>500.0</v>
      </c>
      <c r="C1582" s="4"/>
      <c r="D1582" s="4" t="b">
        <f t="shared" si="1"/>
        <v>0</v>
      </c>
      <c r="E1582" s="4" t="str">
        <f t="shared" si="2"/>
        <v>SOCIETE D'ENTRAIDE DE LA MEDAILLE MILITAIRE 12EME SECTION DE BORDEAUX</v>
      </c>
    </row>
    <row r="1583">
      <c r="A1583" s="3" t="s">
        <v>196</v>
      </c>
      <c r="B1583" s="4"/>
      <c r="C1583" s="4"/>
      <c r="D1583" s="4" t="b">
        <f t="shared" si="1"/>
        <v>1</v>
      </c>
      <c r="E1583" s="4" t="str">
        <f t="shared" si="2"/>
        <v>DE BORDEAUX</v>
      </c>
    </row>
    <row r="1584">
      <c r="A1584" s="3" t="s">
        <v>1816</v>
      </c>
      <c r="B1584" s="3">
        <v>0.0</v>
      </c>
      <c r="C1584" s="3" t="s">
        <v>3</v>
      </c>
      <c r="D1584" s="4" t="b">
        <f t="shared" si="1"/>
        <v>0</v>
      </c>
      <c r="E1584" s="4" t="str">
        <f t="shared" si="2"/>
        <v>SOCIETE D'ENTRAIDE DES MEMBRES DE LA LEGION D'HONNEUR COMITE DE BORDEAUX SECTEUR CAUDERAN</v>
      </c>
    </row>
    <row r="1585">
      <c r="A1585" s="3" t="s">
        <v>1817</v>
      </c>
      <c r="B1585" s="4"/>
      <c r="C1585" s="4"/>
      <c r="D1585" s="4" t="b">
        <f t="shared" si="1"/>
        <v>1</v>
      </c>
      <c r="E1585" s="4" t="str">
        <f t="shared" si="2"/>
        <v>COMITE DE BORDEAUX SECTEUR CAUDERAN</v>
      </c>
    </row>
    <row r="1586">
      <c r="A1586" s="3" t="s">
        <v>1818</v>
      </c>
      <c r="B1586" s="3">
        <v>0.0</v>
      </c>
      <c r="C1586" s="3" t="s">
        <v>3</v>
      </c>
      <c r="D1586" s="4" t="b">
        <f t="shared" si="1"/>
        <v>0</v>
      </c>
      <c r="E1586" s="4" t="str">
        <f t="shared" si="2"/>
        <v>SOCIETE D'HISTOIRE DE BORDEAUX</v>
      </c>
    </row>
    <row r="1587">
      <c r="A1587" s="3" t="s">
        <v>1819</v>
      </c>
      <c r="B1587" s="3">
        <v>2500.0</v>
      </c>
      <c r="C1587" s="3" t="s">
        <v>3</v>
      </c>
      <c r="D1587" s="4" t="b">
        <f t="shared" si="1"/>
        <v>0</v>
      </c>
      <c r="E1587" s="4" t="str">
        <f t="shared" si="2"/>
        <v>SOCIETE D'HORTICULTURE, D'ARBORICULTURE ET DE VITICULTURE DE CAUDERAN</v>
      </c>
    </row>
    <row r="1588">
      <c r="A1588" s="3" t="s">
        <v>1820</v>
      </c>
      <c r="B1588" s="4"/>
      <c r="C1588" s="4"/>
      <c r="D1588" s="4" t="b">
        <f t="shared" si="1"/>
        <v>1</v>
      </c>
      <c r="E1588" s="4" t="str">
        <f t="shared" si="2"/>
        <v>DE CAUDERAN</v>
      </c>
    </row>
    <row r="1589">
      <c r="A1589" s="3" t="s">
        <v>1821</v>
      </c>
      <c r="B1589" s="3">
        <v>0.0</v>
      </c>
      <c r="C1589" s="3" t="s">
        <v>3</v>
      </c>
      <c r="D1589" s="4" t="b">
        <f t="shared" si="1"/>
        <v>0</v>
      </c>
      <c r="E1589" s="4" t="str">
        <f t="shared" si="2"/>
        <v>SOCIETE DE GEOGRAPHIE DE BORDEAUX</v>
      </c>
    </row>
    <row r="1590">
      <c r="A1590" s="3" t="s">
        <v>1822</v>
      </c>
      <c r="B1590" s="3">
        <v>300.0</v>
      </c>
      <c r="C1590" s="4"/>
      <c r="D1590" s="4" t="b">
        <f t="shared" si="1"/>
        <v>0</v>
      </c>
      <c r="E1590" s="4" t="str">
        <f t="shared" si="2"/>
        <v>SOCIETE DE PHILOSOPHIE DE BORDEAUX</v>
      </c>
    </row>
    <row r="1591">
      <c r="A1591" s="3" t="s">
        <v>1823</v>
      </c>
      <c r="B1591" s="3">
        <v>9500.0</v>
      </c>
      <c r="C1591" s="3" t="s">
        <v>3</v>
      </c>
      <c r="D1591" s="4" t="b">
        <f t="shared" si="1"/>
        <v>0</v>
      </c>
      <c r="E1591" s="4" t="str">
        <f t="shared" si="2"/>
        <v>SOCIETE DE SAINT-VINCENT-DE-PAUL - CONSEIL DEPARTEMENTAL DE LA GIRONDE</v>
      </c>
    </row>
    <row r="1592">
      <c r="A1592" s="3" t="s">
        <v>1824</v>
      </c>
      <c r="B1592" s="4"/>
      <c r="C1592" s="4"/>
      <c r="D1592" s="4" t="b">
        <f t="shared" si="1"/>
        <v>1</v>
      </c>
      <c r="E1592" s="4" t="str">
        <f t="shared" si="2"/>
        <v>DE LA GIRONDE</v>
      </c>
    </row>
    <row r="1593">
      <c r="A1593" s="3" t="s">
        <v>1825</v>
      </c>
      <c r="B1593" s="3">
        <v>0.0</v>
      </c>
      <c r="C1593" s="3" t="s">
        <v>3</v>
      </c>
      <c r="D1593" s="4" t="b">
        <f t="shared" si="1"/>
        <v>0</v>
      </c>
      <c r="E1593" s="4" t="str">
        <f t="shared" si="2"/>
        <v>SOCIETE DES AMIS DU MUSEE DES BEAUX-ARTS DE BORDEAUX</v>
      </c>
    </row>
    <row r="1594">
      <c r="A1594" s="3" t="s">
        <v>1826</v>
      </c>
      <c r="B1594" s="3">
        <v>0.0</v>
      </c>
      <c r="C1594" s="3" t="s">
        <v>3</v>
      </c>
      <c r="D1594" s="4" t="b">
        <f t="shared" si="1"/>
        <v>0</v>
      </c>
      <c r="E1594" s="4" t="str">
        <f t="shared" si="2"/>
        <v>SOCIETE DES BIBLIOPHILES DE GUYENNE</v>
      </c>
    </row>
    <row r="1595">
      <c r="A1595" s="3" t="s">
        <v>1827</v>
      </c>
      <c r="B1595" s="3">
        <v>0.0</v>
      </c>
      <c r="C1595" s="3" t="s">
        <v>3</v>
      </c>
      <c r="D1595" s="4" t="b">
        <f t="shared" si="1"/>
        <v>0</v>
      </c>
      <c r="E1595" s="4" t="str">
        <f t="shared" si="2"/>
        <v>SOCIETE DES COMPAGNONS DU TOUR DE France DU DEVOIR EGALITAIRE - CHAMBRE COMPAGNONALE DE BORDEAUX</v>
      </c>
    </row>
    <row r="1596">
      <c r="A1596" s="3" t="s">
        <v>1828</v>
      </c>
      <c r="B1596" s="4"/>
      <c r="C1596" s="4"/>
      <c r="D1596" s="4" t="b">
        <f t="shared" si="1"/>
        <v>1</v>
      </c>
      <c r="E1596" s="4" t="str">
        <f t="shared" si="2"/>
        <v>EGALITAIRE - CHAMBRE COMPAGNONALE DE BORDEAUX</v>
      </c>
    </row>
    <row r="1597">
      <c r="A1597" s="3" t="s">
        <v>1829</v>
      </c>
      <c r="B1597" s="3">
        <v>0.0</v>
      </c>
      <c r="C1597" s="3" t="s">
        <v>3</v>
      </c>
      <c r="D1597" s="4" t="b">
        <f t="shared" si="1"/>
        <v>0</v>
      </c>
      <c r="E1597" s="4" t="str">
        <f t="shared" si="2"/>
        <v>SOCIETE DES FETES CAUDERANAISES</v>
      </c>
    </row>
    <row r="1598">
      <c r="A1598" s="3" t="s">
        <v>1830</v>
      </c>
      <c r="B1598" s="3">
        <v>2100.0</v>
      </c>
      <c r="C1598" s="4"/>
      <c r="D1598" s="4" t="b">
        <f t="shared" si="1"/>
        <v>0</v>
      </c>
      <c r="E1598" s="4" t="str">
        <f t="shared" si="2"/>
        <v>SOCIETE DES MEILLEURS OUVRIERS DE FRANCE GROUPE DE LA GIRONDE</v>
      </c>
    </row>
    <row r="1599">
      <c r="A1599" s="3" t="s">
        <v>823</v>
      </c>
      <c r="B1599" s="4"/>
      <c r="C1599" s="4"/>
      <c r="D1599" s="4" t="b">
        <f t="shared" si="1"/>
        <v>1</v>
      </c>
      <c r="E1599" s="4" t="str">
        <f t="shared" si="2"/>
        <v>GIRONDE</v>
      </c>
    </row>
    <row r="1600">
      <c r="A1600" s="3" t="s">
        <v>1831</v>
      </c>
      <c r="B1600" s="3">
        <v>0.0</v>
      </c>
      <c r="C1600" s="3" t="s">
        <v>3</v>
      </c>
      <c r="D1600" s="4" t="b">
        <f t="shared" si="1"/>
        <v>0</v>
      </c>
      <c r="E1600" s="4" t="str">
        <f t="shared" si="2"/>
        <v>SOCIETE DES NEUROSCIENCES</v>
      </c>
    </row>
    <row r="1601">
      <c r="A1601" s="3" t="s">
        <v>1832</v>
      </c>
      <c r="B1601" s="3">
        <v>2000.0</v>
      </c>
      <c r="C1601" s="4"/>
      <c r="D1601" s="4" t="b">
        <f t="shared" si="1"/>
        <v>0</v>
      </c>
      <c r="E1601" s="4" t="str">
        <f t="shared" si="2"/>
        <v>SOCIETE HISTORIQUE DE BORDEAUX</v>
      </c>
    </row>
    <row r="1602">
      <c r="A1602" s="3" t="s">
        <v>1833</v>
      </c>
      <c r="B1602" s="3">
        <v>10000.0</v>
      </c>
      <c r="C1602" s="3" t="s">
        <v>3</v>
      </c>
      <c r="D1602" s="4" t="b">
        <f t="shared" si="1"/>
        <v>0</v>
      </c>
      <c r="E1602" s="4" t="str">
        <f t="shared" si="2"/>
        <v>SOCIETE PHILOMATHIQUE DE BORDEAUX</v>
      </c>
    </row>
    <row r="1603">
      <c r="A1603" s="3" t="s">
        <v>1834</v>
      </c>
      <c r="B1603" s="3">
        <v>0.0</v>
      </c>
      <c r="C1603" s="3" t="s">
        <v>29</v>
      </c>
      <c r="D1603" s="4" t="b">
        <f t="shared" si="1"/>
        <v>0</v>
      </c>
      <c r="E1603" s="4" t="str">
        <f t="shared" si="2"/>
        <v>SOCIETE SYMPHONIQUE DE BORDEAUX-CAUDERAN</v>
      </c>
    </row>
    <row r="1604">
      <c r="A1604" s="3" t="s">
        <v>1835</v>
      </c>
      <c r="B1604" s="3">
        <v>200.0</v>
      </c>
      <c r="C1604" s="3" t="s">
        <v>6</v>
      </c>
      <c r="D1604" s="4" t="b">
        <f t="shared" si="1"/>
        <v>0</v>
      </c>
      <c r="E1604" s="4" t="str">
        <f t="shared" si="2"/>
        <v>SOLIDARITE ANAIS JEROME EVENEMENTIEL - SAJE</v>
      </c>
    </row>
    <row r="1605">
      <c r="A1605" s="3" t="s">
        <v>1836</v>
      </c>
      <c r="B1605" s="3">
        <v>1500.0</v>
      </c>
      <c r="C1605" s="4"/>
      <c r="D1605" s="4" t="b">
        <f t="shared" si="1"/>
        <v>0</v>
      </c>
      <c r="E1605" s="4" t="str">
        <f t="shared" si="2"/>
        <v>SOLIDARITE BAYTI</v>
      </c>
    </row>
    <row r="1606">
      <c r="A1606" s="3" t="s">
        <v>1837</v>
      </c>
      <c r="B1606" s="3">
        <v>0.0</v>
      </c>
      <c r="C1606" s="3" t="s">
        <v>3</v>
      </c>
      <c r="D1606" s="4" t="b">
        <f t="shared" si="1"/>
        <v>0</v>
      </c>
      <c r="E1606" s="4" t="str">
        <f t="shared" si="2"/>
        <v>SOLIDARITE-LOGEMENT BORDEAUX-BOULEVARDS</v>
      </c>
    </row>
    <row r="1607">
      <c r="A1607" s="3" t="s">
        <v>1838</v>
      </c>
      <c r="B1607" s="3">
        <v>73900.0</v>
      </c>
      <c r="C1607" s="3" t="s">
        <v>3</v>
      </c>
      <c r="D1607" s="4" t="b">
        <f t="shared" si="1"/>
        <v>0</v>
      </c>
      <c r="E1607" s="4" t="str">
        <f t="shared" si="2"/>
        <v>SOLIHA, SOLIDAIRES POUR L'HABITAT, GIRONDE</v>
      </c>
    </row>
    <row r="1608">
      <c r="A1608" s="3" t="s">
        <v>1840</v>
      </c>
      <c r="B1608" s="3">
        <v>0.0</v>
      </c>
      <c r="C1608" s="3" t="s">
        <v>3</v>
      </c>
      <c r="D1608" s="4" t="b">
        <f t="shared" si="1"/>
        <v>0</v>
      </c>
      <c r="E1608" s="4" t="str">
        <f t="shared" si="2"/>
        <v>SOMATO-PSYCHO-PEDAGOGIE EN AQUITAINE</v>
      </c>
    </row>
    <row r="1609">
      <c r="A1609" s="3" t="s">
        <v>1841</v>
      </c>
      <c r="B1609" s="3">
        <v>0.0</v>
      </c>
      <c r="C1609" s="3" t="s">
        <v>29</v>
      </c>
      <c r="D1609" s="4" t="b">
        <f t="shared" si="1"/>
        <v>0</v>
      </c>
      <c r="E1609" s="4" t="str">
        <f t="shared" si="2"/>
        <v>SONG LONG BORDEAUX</v>
      </c>
    </row>
    <row r="1610">
      <c r="A1610" s="3" t="s">
        <v>1842</v>
      </c>
      <c r="B1610" s="3">
        <v>2500.0</v>
      </c>
      <c r="C1610" s="3" t="s">
        <v>3</v>
      </c>
      <c r="D1610" s="4" t="b">
        <f t="shared" si="1"/>
        <v>0</v>
      </c>
      <c r="E1610" s="4" t="str">
        <f t="shared" si="2"/>
        <v>SOS AMITIE - REGION DE BORDEAUX AQUITAINE</v>
      </c>
    </row>
    <row r="1611">
      <c r="A1611" s="3" t="s">
        <v>1843</v>
      </c>
      <c r="B1611" s="3">
        <v>0.0</v>
      </c>
      <c r="C1611" s="3" t="s">
        <v>3</v>
      </c>
      <c r="D1611" s="4" t="b">
        <f t="shared" si="1"/>
        <v>0</v>
      </c>
      <c r="E1611" s="4" t="str">
        <f t="shared" si="2"/>
        <v>SOS PLACE GAMBETTA</v>
      </c>
    </row>
    <row r="1612">
      <c r="A1612" s="3" t="s">
        <v>1844</v>
      </c>
      <c r="B1612" s="3">
        <v>0.0</v>
      </c>
      <c r="C1612" s="3" t="s">
        <v>32</v>
      </c>
      <c r="D1612" s="4" t="b">
        <f t="shared" si="1"/>
        <v>0</v>
      </c>
      <c r="E1612" s="4" t="str">
        <f t="shared" si="2"/>
        <v>SOUTIEN, CULTURE ET LOISIRS DES MAGHREBINS ET ALGERIENS EN AQUITAINE - SCELMAA</v>
      </c>
    </row>
    <row r="1613">
      <c r="A1613" s="3" t="s">
        <v>1845</v>
      </c>
      <c r="B1613" s="4"/>
      <c r="C1613" s="4"/>
      <c r="D1613" s="4" t="b">
        <f t="shared" si="1"/>
        <v>1</v>
      </c>
      <c r="E1613" s="4" t="str">
        <f t="shared" si="2"/>
        <v>EN AQUITAINE - SCELMAA</v>
      </c>
    </row>
    <row r="1614">
      <c r="A1614" s="3" t="s">
        <v>1846</v>
      </c>
      <c r="B1614" s="3">
        <v>0.0</v>
      </c>
      <c r="C1614" s="3" t="s">
        <v>6</v>
      </c>
      <c r="D1614" s="4" t="b">
        <f t="shared" si="1"/>
        <v>0</v>
      </c>
      <c r="E1614" s="4" t="str">
        <f t="shared" si="2"/>
        <v>SPECIAL OLYMPICS FRANCE (SOF)</v>
      </c>
    </row>
    <row r="1615">
      <c r="A1615" s="3" t="s">
        <v>1847</v>
      </c>
      <c r="B1615" s="3">
        <v>0.0</v>
      </c>
      <c r="C1615" s="3" t="s">
        <v>6</v>
      </c>
      <c r="D1615" s="4" t="b">
        <f t="shared" si="1"/>
        <v>0</v>
      </c>
      <c r="E1615" s="4" t="str">
        <f t="shared" si="2"/>
        <v>SPHERE CPP BORDEAUX</v>
      </c>
    </row>
    <row r="1616">
      <c r="A1616" s="3" t="s">
        <v>1848</v>
      </c>
      <c r="B1616" s="3">
        <v>1128560.0</v>
      </c>
      <c r="C1616" s="3" t="s">
        <v>37</v>
      </c>
      <c r="D1616" s="4" t="b">
        <f t="shared" si="1"/>
        <v>0</v>
      </c>
      <c r="E1616" s="4" t="str">
        <f t="shared" si="2"/>
        <v>SPORTING CHANTECLER BORDEAUX NORD LE LAC </v>
      </c>
    </row>
    <row r="1617">
      <c r="A1617" s="4"/>
      <c r="B1617" s="4"/>
      <c r="C1617" s="3" t="s">
        <v>38</v>
      </c>
      <c r="D1617" s="4" t="b">
        <f t="shared" si="1"/>
        <v>1</v>
      </c>
      <c r="E1617" s="4" t="str">
        <f t="shared" si="2"/>
        <v/>
      </c>
    </row>
    <row r="1618">
      <c r="A1618" s="3" t="s">
        <v>1850</v>
      </c>
      <c r="B1618" s="3">
        <v>10000.0</v>
      </c>
      <c r="C1618" s="3" t="s">
        <v>26</v>
      </c>
      <c r="D1618" s="4" t="b">
        <f t="shared" si="1"/>
        <v>0</v>
      </c>
      <c r="E1618" s="4" t="str">
        <f t="shared" si="2"/>
        <v>STADE BASTIDE BORDEAUX BENAUGE - S3B</v>
      </c>
    </row>
    <row r="1619">
      <c r="A1619" s="3" t="s">
        <v>1851</v>
      </c>
      <c r="B1619" s="3">
        <v>819458.0</v>
      </c>
      <c r="C1619" s="3" t="s">
        <v>37</v>
      </c>
      <c r="D1619" s="4" t="b">
        <f t="shared" si="1"/>
        <v>0</v>
      </c>
      <c r="E1619" s="4" t="str">
        <f t="shared" si="2"/>
        <v>STADE BORDELAIS ASPTT </v>
      </c>
    </row>
    <row r="1620">
      <c r="A1620" s="4"/>
      <c r="B1620" s="4"/>
      <c r="C1620" s="3" t="s">
        <v>38</v>
      </c>
      <c r="D1620" s="4" t="b">
        <f t="shared" si="1"/>
        <v>1</v>
      </c>
      <c r="E1620" s="4" t="str">
        <f t="shared" si="2"/>
        <v/>
      </c>
    </row>
    <row r="1621">
      <c r="A1621" s="3" t="s">
        <v>1853</v>
      </c>
      <c r="B1621" s="3">
        <v>1000.0</v>
      </c>
      <c r="C1621" s="4"/>
      <c r="D1621" s="4" t="b">
        <f t="shared" si="1"/>
        <v>0</v>
      </c>
      <c r="E1621" s="4" t="str">
        <f t="shared" si="2"/>
        <v>STAGIAIRES ET ETUDIANTS AFRICAINS EN FRANCE</v>
      </c>
    </row>
    <row r="1622">
      <c r="A1622" s="3" t="s">
        <v>1854</v>
      </c>
      <c r="B1622" s="3">
        <v>0.0</v>
      </c>
      <c r="C1622" s="3" t="s">
        <v>6</v>
      </c>
      <c r="D1622" s="4" t="b">
        <f t="shared" si="1"/>
        <v>0</v>
      </c>
      <c r="E1622" s="4" t="str">
        <f t="shared" si="2"/>
        <v>STELLA MONTIS</v>
      </c>
    </row>
    <row r="1623">
      <c r="A1623" s="3" t="s">
        <v>1855</v>
      </c>
      <c r="B1623" s="3">
        <v>0.0</v>
      </c>
      <c r="C1623" s="3" t="s">
        <v>29</v>
      </c>
      <c r="D1623" s="4" t="b">
        <f t="shared" si="1"/>
        <v>0</v>
      </c>
      <c r="E1623" s="4" t="str">
        <f t="shared" si="2"/>
        <v>STOP AND GO DANCE 33</v>
      </c>
    </row>
    <row r="1624">
      <c r="A1624" s="3" t="s">
        <v>1856</v>
      </c>
      <c r="B1624" s="3">
        <v>0.0</v>
      </c>
      <c r="C1624" s="3" t="s">
        <v>3</v>
      </c>
      <c r="D1624" s="4" t="b">
        <f t="shared" si="1"/>
        <v>0</v>
      </c>
      <c r="E1624" s="4" t="str">
        <f t="shared" si="2"/>
        <v>SUKHALI - AIDE AU DEVELOPPEMENT LOCAL PAR LES FEMMES AU SENEGAL</v>
      </c>
    </row>
    <row r="1625">
      <c r="A1625" s="3" t="s">
        <v>1857</v>
      </c>
      <c r="B1625" s="4"/>
      <c r="C1625" s="4"/>
      <c r="D1625" s="4" t="b">
        <f t="shared" si="1"/>
        <v>1</v>
      </c>
      <c r="E1625" s="4" t="str">
        <f t="shared" si="2"/>
        <v>SENEGAL</v>
      </c>
    </row>
    <row r="1626">
      <c r="A1626" s="3" t="s">
        <v>1858</v>
      </c>
      <c r="B1626" s="3">
        <v>4000.0</v>
      </c>
      <c r="C1626" s="4"/>
      <c r="D1626" s="4" t="b">
        <f t="shared" si="1"/>
        <v>0</v>
      </c>
      <c r="E1626" s="4" t="str">
        <f t="shared" si="2"/>
        <v>SUR MESURE</v>
      </c>
    </row>
    <row r="1627">
      <c r="A1627" s="3" t="s">
        <v>1859</v>
      </c>
      <c r="B1627" s="3">
        <v>19000.0</v>
      </c>
      <c r="C1627" s="4"/>
      <c r="D1627" s="4" t="b">
        <f t="shared" si="1"/>
        <v>0</v>
      </c>
      <c r="E1627" s="4" t="str">
        <f t="shared" si="2"/>
        <v>SURF INSERTION</v>
      </c>
    </row>
    <row r="1628">
      <c r="A1628" s="3" t="s">
        <v>1860</v>
      </c>
      <c r="B1628" s="3">
        <v>2000.0</v>
      </c>
      <c r="C1628" s="4"/>
      <c r="D1628" s="4" t="b">
        <f t="shared" si="1"/>
        <v>0</v>
      </c>
      <c r="E1628" s="4" t="str">
        <f t="shared" si="2"/>
        <v>SURFRIDER FOUNDATION EUROPE SIEGE</v>
      </c>
    </row>
    <row r="1629">
      <c r="A1629" s="3" t="s">
        <v>1861</v>
      </c>
      <c r="B1629" s="3">
        <v>0.0</v>
      </c>
      <c r="C1629" s="3" t="s">
        <v>3</v>
      </c>
      <c r="D1629" s="4" t="b">
        <f t="shared" si="1"/>
        <v>0</v>
      </c>
      <c r="E1629" s="4" t="str">
        <f t="shared" si="2"/>
        <v>SURVIE GIRONDE</v>
      </c>
    </row>
    <row r="1630">
      <c r="A1630" s="3" t="s">
        <v>1862</v>
      </c>
      <c r="B1630" s="3">
        <v>2000.0</v>
      </c>
      <c r="C1630" s="3" t="s">
        <v>32</v>
      </c>
      <c r="D1630" s="4" t="b">
        <f t="shared" si="1"/>
        <v>0</v>
      </c>
      <c r="E1630" s="4" t="str">
        <f t="shared" si="2"/>
        <v>SWINGTIME BORDEAUX</v>
      </c>
    </row>
    <row r="1631">
      <c r="A1631" s="3" t="s">
        <v>1863</v>
      </c>
      <c r="B1631" s="3">
        <v>0.0</v>
      </c>
      <c r="C1631" s="3" t="s">
        <v>6</v>
      </c>
      <c r="D1631" s="4" t="b">
        <f t="shared" si="1"/>
        <v>0</v>
      </c>
      <c r="E1631" s="4" t="str">
        <f t="shared" si="2"/>
        <v>SYNDICAT DES QUARTIERS BELCIER, CARLE VERNET</v>
      </c>
    </row>
    <row r="1632">
      <c r="A1632" s="3" t="s">
        <v>1864</v>
      </c>
      <c r="B1632" s="3">
        <v>0.0</v>
      </c>
      <c r="C1632" s="3" t="s">
        <v>6</v>
      </c>
      <c r="D1632" s="4" t="b">
        <f t="shared" si="1"/>
        <v>0</v>
      </c>
      <c r="E1632" s="4" t="str">
        <f t="shared" si="2"/>
        <v>T.E.A. TIME - TALENTUEUX EMOTIFS ANONYMES</v>
      </c>
    </row>
    <row r="1633">
      <c r="A1633" s="3" t="s">
        <v>1865</v>
      </c>
      <c r="B1633" s="3">
        <v>0.0</v>
      </c>
      <c r="C1633" s="3" t="s">
        <v>32</v>
      </c>
      <c r="D1633" s="4" t="b">
        <f t="shared" si="1"/>
        <v>0</v>
      </c>
      <c r="E1633" s="4" t="str">
        <f t="shared" si="2"/>
        <v>TANGO BORDEAUX</v>
      </c>
    </row>
    <row r="1634">
      <c r="A1634" s="3" t="s">
        <v>1866</v>
      </c>
      <c r="B1634" s="3">
        <v>0.0</v>
      </c>
      <c r="C1634" s="3" t="s">
        <v>3</v>
      </c>
      <c r="D1634" s="4" t="b">
        <f t="shared" si="1"/>
        <v>0</v>
      </c>
      <c r="E1634" s="4" t="str">
        <f t="shared" si="2"/>
        <v>TANGO HOY</v>
      </c>
    </row>
    <row r="1635">
      <c r="A1635" s="3" t="s">
        <v>1867</v>
      </c>
      <c r="B1635" s="3">
        <v>0.0</v>
      </c>
      <c r="C1635" s="3" t="s">
        <v>3</v>
      </c>
      <c r="D1635" s="4" t="b">
        <f t="shared" si="1"/>
        <v>0</v>
      </c>
      <c r="E1635" s="4" t="str">
        <f t="shared" si="2"/>
        <v>TANGO MILONGUERO BORDEAUX</v>
      </c>
    </row>
    <row r="1636">
      <c r="A1636" s="3" t="s">
        <v>1868</v>
      </c>
      <c r="B1636" s="3">
        <v>0.0</v>
      </c>
      <c r="C1636" s="3" t="s">
        <v>26</v>
      </c>
      <c r="D1636" s="4" t="b">
        <f t="shared" si="1"/>
        <v>0</v>
      </c>
      <c r="E1636" s="4" t="str">
        <f t="shared" si="2"/>
        <v>TANGO NOMADE</v>
      </c>
    </row>
    <row r="1637">
      <c r="A1637" s="3" t="s">
        <v>1869</v>
      </c>
      <c r="B1637" s="3">
        <v>0.0</v>
      </c>
      <c r="C1637" s="3" t="s">
        <v>3</v>
      </c>
      <c r="D1637" s="4" t="b">
        <f t="shared" si="1"/>
        <v>0</v>
      </c>
      <c r="E1637" s="4" t="str">
        <f t="shared" si="2"/>
        <v>TASHI DELEK BORDEAUX ASSOCIATION GIRONDINE POUR LE TIBET</v>
      </c>
    </row>
    <row r="1638">
      <c r="A1638" s="3" t="s">
        <v>1870</v>
      </c>
      <c r="B1638" s="3">
        <v>0.0</v>
      </c>
      <c r="C1638" s="3" t="s">
        <v>3</v>
      </c>
      <c r="D1638" s="4" t="b">
        <f t="shared" si="1"/>
        <v>0</v>
      </c>
      <c r="E1638" s="4" t="str">
        <f t="shared" si="2"/>
        <v>TATHATA- VRINDHAM AQUITAINE</v>
      </c>
    </row>
    <row r="1639">
      <c r="A1639" s="3" t="s">
        <v>1871</v>
      </c>
      <c r="B1639" s="3">
        <v>0.0</v>
      </c>
      <c r="C1639" s="3" t="s">
        <v>3</v>
      </c>
      <c r="D1639" s="4" t="b">
        <f t="shared" si="1"/>
        <v>0</v>
      </c>
      <c r="E1639" s="4" t="str">
        <f t="shared" si="2"/>
        <v>TCHERNOBLAYE</v>
      </c>
    </row>
    <row r="1640">
      <c r="A1640" s="3" t="s">
        <v>1872</v>
      </c>
      <c r="B1640" s="3">
        <v>0.0</v>
      </c>
      <c r="C1640" s="3" t="s">
        <v>3</v>
      </c>
      <c r="D1640" s="4" t="b">
        <f t="shared" si="1"/>
        <v>0</v>
      </c>
      <c r="E1640" s="4" t="str">
        <f t="shared" si="2"/>
        <v>TEMPS DE PAROLE ASSOCIATION SANTE ET SECURITE PROFESSIONNELLES</v>
      </c>
    </row>
    <row r="1641">
      <c r="A1641" s="3" t="s">
        <v>1873</v>
      </c>
      <c r="B1641" s="4"/>
      <c r="C1641" s="4"/>
      <c r="D1641" s="4" t="b">
        <f t="shared" si="1"/>
        <v>1</v>
      </c>
      <c r="E1641" s="4" t="str">
        <f t="shared" si="2"/>
        <v>PROFESSIONNELLES</v>
      </c>
    </row>
    <row r="1642">
      <c r="A1642" s="3" t="s">
        <v>1874</v>
      </c>
      <c r="B1642" s="3">
        <v>3000.0</v>
      </c>
      <c r="C1642" s="3" t="s">
        <v>29</v>
      </c>
      <c r="D1642" s="4" t="b">
        <f t="shared" si="1"/>
        <v>0</v>
      </c>
      <c r="E1642" s="4" t="str">
        <f t="shared" si="2"/>
        <v>TENNIS CLUB BORDEAUX BASTIDE</v>
      </c>
    </row>
    <row r="1643">
      <c r="A1643" s="3" t="s">
        <v>1875</v>
      </c>
      <c r="B1643" s="3">
        <v>0.0</v>
      </c>
      <c r="C1643" s="3" t="s">
        <v>32</v>
      </c>
      <c r="D1643" s="4" t="b">
        <f t="shared" si="1"/>
        <v>0</v>
      </c>
      <c r="E1643" s="4" t="str">
        <f t="shared" si="2"/>
        <v>TENNIS CLUB DE BORDEAUX</v>
      </c>
    </row>
    <row r="1644">
      <c r="A1644" s="3" t="s">
        <v>1876</v>
      </c>
      <c r="B1644" s="3">
        <v>0.0</v>
      </c>
      <c r="C1644" s="3" t="s">
        <v>3</v>
      </c>
      <c r="D1644" s="4" t="b">
        <f t="shared" si="1"/>
        <v>0</v>
      </c>
      <c r="E1644" s="4" t="str">
        <f t="shared" si="2"/>
        <v>TERANGA</v>
      </c>
    </row>
    <row r="1645">
      <c r="A1645" s="3" t="s">
        <v>1877</v>
      </c>
      <c r="B1645" s="3">
        <v>0.0</v>
      </c>
      <c r="C1645" s="3" t="s">
        <v>3</v>
      </c>
      <c r="D1645" s="4" t="b">
        <f t="shared" si="1"/>
        <v>0</v>
      </c>
      <c r="E1645" s="4" t="str">
        <f t="shared" si="2"/>
        <v>TERANUI TAHITI</v>
      </c>
    </row>
    <row r="1646">
      <c r="A1646" s="3" t="s">
        <v>1878</v>
      </c>
      <c r="B1646" s="3">
        <v>0.0</v>
      </c>
      <c r="C1646" s="3" t="s">
        <v>3</v>
      </c>
      <c r="D1646" s="4" t="b">
        <f t="shared" si="1"/>
        <v>0</v>
      </c>
      <c r="E1646" s="4" t="str">
        <f t="shared" si="2"/>
        <v>TERIYA</v>
      </c>
    </row>
    <row r="1647">
      <c r="A1647" s="3" t="s">
        <v>1879</v>
      </c>
      <c r="B1647" s="3">
        <v>0.0</v>
      </c>
      <c r="C1647" s="3" t="s">
        <v>6</v>
      </c>
      <c r="D1647" s="4" t="b">
        <f t="shared" si="1"/>
        <v>0</v>
      </c>
      <c r="E1647" s="4" t="str">
        <f t="shared" si="2"/>
        <v>TERRA FEES</v>
      </c>
    </row>
    <row r="1648">
      <c r="A1648" s="3" t="s">
        <v>1880</v>
      </c>
      <c r="B1648" s="3">
        <v>10000.0</v>
      </c>
      <c r="C1648" s="3" t="s">
        <v>3</v>
      </c>
      <c r="D1648" s="4" t="b">
        <f t="shared" si="1"/>
        <v>0</v>
      </c>
      <c r="E1648" s="4" t="str">
        <f t="shared" si="2"/>
        <v>TERRE ET OCEAN</v>
      </c>
    </row>
    <row r="1649">
      <c r="A1649" s="3" t="s">
        <v>1881</v>
      </c>
      <c r="B1649" s="3">
        <v>0.0</v>
      </c>
      <c r="C1649" s="3" t="s">
        <v>3</v>
      </c>
      <c r="D1649" s="4" t="b">
        <f t="shared" si="1"/>
        <v>0</v>
      </c>
      <c r="E1649" s="4" t="str">
        <f t="shared" si="2"/>
        <v>THEATR'ACTION</v>
      </c>
    </row>
    <row r="1650">
      <c r="A1650" s="3" t="s">
        <v>1882</v>
      </c>
      <c r="B1650" s="3">
        <v>0.0</v>
      </c>
      <c r="C1650" s="3" t="s">
        <v>32</v>
      </c>
      <c r="D1650" s="4" t="b">
        <f t="shared" si="1"/>
        <v>0</v>
      </c>
      <c r="E1650" s="4" t="str">
        <f t="shared" si="2"/>
        <v>THEATRE DE L'ESCALE</v>
      </c>
    </row>
    <row r="1651">
      <c r="A1651" s="3" t="s">
        <v>1883</v>
      </c>
      <c r="B1651" s="3">
        <v>0.0</v>
      </c>
      <c r="C1651" s="3" t="s">
        <v>3</v>
      </c>
      <c r="D1651" s="4" t="b">
        <f t="shared" si="1"/>
        <v>0</v>
      </c>
      <c r="E1651" s="4" t="str">
        <f t="shared" si="2"/>
        <v>THEATRE DES TAFURS</v>
      </c>
    </row>
    <row r="1652">
      <c r="A1652" s="3" t="s">
        <v>1884</v>
      </c>
      <c r="B1652" s="3">
        <v>52250.0</v>
      </c>
      <c r="C1652" s="4"/>
      <c r="D1652" s="4" t="b">
        <f t="shared" si="1"/>
        <v>0</v>
      </c>
      <c r="E1652" s="4" t="str">
        <f t="shared" si="2"/>
        <v>THEATRE DU PONT TOURNANT</v>
      </c>
    </row>
    <row r="1653">
      <c r="A1653" s="3" t="s">
        <v>1886</v>
      </c>
      <c r="B1653" s="3">
        <v>2000.0</v>
      </c>
      <c r="C1653" s="4"/>
      <c r="D1653" s="4" t="b">
        <f t="shared" si="1"/>
        <v>0</v>
      </c>
      <c r="E1653" s="4" t="str">
        <f t="shared" si="2"/>
        <v>THEATRE EN MIETTES</v>
      </c>
    </row>
    <row r="1654">
      <c r="A1654" s="3" t="s">
        <v>1887</v>
      </c>
      <c r="B1654" s="3">
        <v>0.0</v>
      </c>
      <c r="C1654" s="3" t="s">
        <v>6</v>
      </c>
      <c r="D1654" s="4" t="b">
        <f t="shared" si="1"/>
        <v>0</v>
      </c>
      <c r="E1654" s="4" t="str">
        <f t="shared" si="2"/>
        <v>THEATRE FEMINA</v>
      </c>
    </row>
    <row r="1655">
      <c r="A1655" s="3" t="s">
        <v>1888</v>
      </c>
      <c r="B1655" s="3">
        <v>1646816.0</v>
      </c>
      <c r="C1655" s="3" t="s">
        <v>16</v>
      </c>
      <c r="D1655" s="4" t="b">
        <f t="shared" si="1"/>
        <v>0</v>
      </c>
      <c r="E1655" s="4" t="str">
        <f t="shared" si="2"/>
        <v>THEATRE NATIONAL DE BORDEAUX EN AQUITAINE - TNBA</v>
      </c>
    </row>
    <row r="1656">
      <c r="A1656" s="3" t="s">
        <v>1890</v>
      </c>
      <c r="B1656" s="3">
        <v>8000.0</v>
      </c>
      <c r="C1656" s="3" t="s">
        <v>3</v>
      </c>
      <c r="D1656" s="4" t="b">
        <f t="shared" si="1"/>
        <v>0</v>
      </c>
      <c r="E1656" s="4" t="str">
        <f t="shared" si="2"/>
        <v>THEATRE POPULAIRE JOB</v>
      </c>
    </row>
    <row r="1657">
      <c r="A1657" s="3" t="s">
        <v>1891</v>
      </c>
      <c r="B1657" s="3">
        <v>0.0</v>
      </c>
      <c r="C1657" s="3" t="s">
        <v>3</v>
      </c>
      <c r="D1657" s="4" t="b">
        <f t="shared" si="1"/>
        <v>0</v>
      </c>
      <c r="E1657" s="4" t="str">
        <f t="shared" si="2"/>
        <v>THEATRE-EDUCATION-AQUITAINE</v>
      </c>
    </row>
    <row r="1658">
      <c r="A1658" s="3" t="s">
        <v>1892</v>
      </c>
      <c r="B1658" s="3">
        <v>0.0</v>
      </c>
      <c r="C1658" s="3" t="s">
        <v>3</v>
      </c>
      <c r="D1658" s="4" t="b">
        <f t="shared" si="1"/>
        <v>0</v>
      </c>
      <c r="E1658" s="4" t="str">
        <f t="shared" si="2"/>
        <v>THEATRIUM</v>
      </c>
    </row>
    <row r="1659">
      <c r="A1659" s="3" t="s">
        <v>1893</v>
      </c>
      <c r="B1659" s="3">
        <v>0.0</v>
      </c>
      <c r="C1659" s="3" t="s">
        <v>3</v>
      </c>
      <c r="D1659" s="4" t="b">
        <f t="shared" si="1"/>
        <v>0</v>
      </c>
      <c r="E1659" s="4" t="str">
        <f t="shared" si="2"/>
        <v>THIANT GUI</v>
      </c>
    </row>
    <row r="1660">
      <c r="A1660" s="3" t="s">
        <v>1894</v>
      </c>
      <c r="B1660" s="3">
        <v>0.0</v>
      </c>
      <c r="C1660" s="3" t="s">
        <v>3</v>
      </c>
      <c r="D1660" s="4" t="b">
        <f t="shared" si="1"/>
        <v>0</v>
      </c>
      <c r="E1660" s="4" t="str">
        <f t="shared" si="2"/>
        <v>THOTH CIVILISATION SANS FRONTIERES</v>
      </c>
    </row>
    <row r="1661">
      <c r="A1661" s="3" t="s">
        <v>1895</v>
      </c>
      <c r="B1661" s="3">
        <v>3000.0</v>
      </c>
      <c r="C1661" s="3" t="s">
        <v>1651</v>
      </c>
      <c r="D1661" s="4" t="b">
        <f t="shared" si="1"/>
        <v>0</v>
      </c>
      <c r="E1661" s="4" t="str">
        <f t="shared" si="2"/>
        <v>TIMELESS BALLET</v>
      </c>
    </row>
    <row r="1662">
      <c r="A1662" s="3" t="s">
        <v>1896</v>
      </c>
      <c r="B1662" s="3">
        <v>6500.0</v>
      </c>
      <c r="C1662" s="4"/>
      <c r="D1662" s="4" t="b">
        <f t="shared" si="1"/>
        <v>0</v>
      </c>
      <c r="E1662" s="4" t="str">
        <f t="shared" si="2"/>
        <v>TOMBES DU CIEL</v>
      </c>
    </row>
    <row r="1663">
      <c r="A1663" s="3" t="s">
        <v>1897</v>
      </c>
      <c r="B1663" s="3">
        <v>2200.0</v>
      </c>
      <c r="C1663" s="3" t="s">
        <v>3</v>
      </c>
      <c r="D1663" s="4" t="b">
        <f t="shared" si="1"/>
        <v>0</v>
      </c>
      <c r="E1663" s="4" t="str">
        <f t="shared" si="2"/>
        <v>TOOBORDO</v>
      </c>
    </row>
    <row r="1664">
      <c r="A1664" s="3" t="s">
        <v>1898</v>
      </c>
      <c r="B1664" s="3">
        <v>0.0</v>
      </c>
      <c r="C1664" s="3" t="s">
        <v>3</v>
      </c>
      <c r="D1664" s="4" t="b">
        <f t="shared" si="1"/>
        <v>0</v>
      </c>
      <c r="E1664" s="4" t="str">
        <f t="shared" si="2"/>
        <v>TOURING PEDESTRE BORDELAIS</v>
      </c>
    </row>
    <row r="1665">
      <c r="A1665" s="3" t="s">
        <v>1899</v>
      </c>
      <c r="B1665" s="3">
        <v>1000.0</v>
      </c>
      <c r="C1665" s="3" t="s">
        <v>3</v>
      </c>
      <c r="D1665" s="4" t="b">
        <f t="shared" si="1"/>
        <v>0</v>
      </c>
      <c r="E1665" s="4" t="str">
        <f t="shared" si="2"/>
        <v>TOUT ART FAIRE</v>
      </c>
    </row>
    <row r="1666">
      <c r="A1666" s="3" t="s">
        <v>1900</v>
      </c>
      <c r="B1666" s="3">
        <v>0.0</v>
      </c>
      <c r="C1666" s="3" t="s">
        <v>3</v>
      </c>
      <c r="D1666" s="4" t="b">
        <f t="shared" si="1"/>
        <v>0</v>
      </c>
      <c r="E1666" s="4" t="str">
        <f t="shared" si="2"/>
        <v>TRACE UNE DIAGONALE</v>
      </c>
    </row>
    <row r="1667">
      <c r="A1667" s="3" t="s">
        <v>1901</v>
      </c>
      <c r="B1667" s="3">
        <v>0.0</v>
      </c>
      <c r="C1667" s="3" t="s">
        <v>3</v>
      </c>
      <c r="D1667" s="4" t="b">
        <f t="shared" si="1"/>
        <v>0</v>
      </c>
      <c r="E1667" s="4" t="str">
        <f t="shared" si="2"/>
        <v>TRADOBORDELEAU</v>
      </c>
    </row>
    <row r="1668">
      <c r="A1668" s="3" t="s">
        <v>1902</v>
      </c>
      <c r="B1668" s="3">
        <v>25000.0</v>
      </c>
      <c r="C1668" s="4"/>
      <c r="D1668" s="4" t="b">
        <f t="shared" si="1"/>
        <v>0</v>
      </c>
      <c r="E1668" s="4" t="str">
        <f t="shared" si="2"/>
        <v>TRAFIC</v>
      </c>
    </row>
    <row r="1669">
      <c r="A1669" s="3" t="s">
        <v>1903</v>
      </c>
      <c r="B1669" s="3">
        <v>32987.75</v>
      </c>
      <c r="C1669" s="3" t="s">
        <v>280</v>
      </c>
      <c r="D1669" s="4" t="b">
        <f t="shared" si="1"/>
        <v>0</v>
      </c>
      <c r="E1669" s="4" t="str">
        <f t="shared" si="2"/>
        <v>TRANSFERT</v>
      </c>
    </row>
    <row r="1670">
      <c r="A1670" s="3" t="s">
        <v>1905</v>
      </c>
      <c r="B1670" s="3">
        <v>0.0</v>
      </c>
      <c r="C1670" s="3" t="s">
        <v>3</v>
      </c>
      <c r="D1670" s="4" t="b">
        <f t="shared" si="1"/>
        <v>0</v>
      </c>
      <c r="E1670" s="4" t="str">
        <f t="shared" si="2"/>
        <v>TRANZIT KREOL</v>
      </c>
    </row>
    <row r="1671">
      <c r="A1671" s="3" t="s">
        <v>1906</v>
      </c>
      <c r="B1671" s="3">
        <v>0.0</v>
      </c>
      <c r="C1671" s="3" t="s">
        <v>32</v>
      </c>
      <c r="D1671" s="4" t="b">
        <f t="shared" si="1"/>
        <v>0</v>
      </c>
      <c r="E1671" s="4" t="str">
        <f t="shared" si="2"/>
        <v>TRAUMATISES CRANIENS ASSISTANCE</v>
      </c>
    </row>
    <row r="1672">
      <c r="A1672" s="3" t="s">
        <v>1907</v>
      </c>
      <c r="B1672" s="3">
        <v>12000.0</v>
      </c>
      <c r="C1672" s="4"/>
      <c r="D1672" s="4" t="b">
        <f t="shared" si="1"/>
        <v>0</v>
      </c>
      <c r="E1672" s="4" t="str">
        <f t="shared" si="2"/>
        <v>TRAVAUX PUBLICS COMPAGNIE</v>
      </c>
    </row>
    <row r="1673">
      <c r="A1673" s="3" t="s">
        <v>1908</v>
      </c>
      <c r="B1673" s="3">
        <v>0.0</v>
      </c>
      <c r="C1673" s="3" t="s">
        <v>3</v>
      </c>
      <c r="D1673" s="4" t="b">
        <f t="shared" si="1"/>
        <v>0</v>
      </c>
      <c r="E1673" s="4" t="str">
        <f t="shared" si="2"/>
        <v>TREMPLIN UTC</v>
      </c>
    </row>
    <row r="1674">
      <c r="A1674" s="3" t="s">
        <v>1909</v>
      </c>
      <c r="B1674" s="3">
        <v>500.0</v>
      </c>
      <c r="C1674" s="4"/>
      <c r="D1674" s="4" t="b">
        <f t="shared" si="1"/>
        <v>0</v>
      </c>
      <c r="E1674" s="4" t="str">
        <f t="shared" si="2"/>
        <v>TRETEAUX DE GUYENNE</v>
      </c>
    </row>
    <row r="1675">
      <c r="A1675" s="3" t="s">
        <v>1910</v>
      </c>
      <c r="B1675" s="3">
        <v>500.0</v>
      </c>
      <c r="C1675" s="4"/>
      <c r="D1675" s="4" t="b">
        <f t="shared" si="1"/>
        <v>0</v>
      </c>
      <c r="E1675" s="4" t="str">
        <f t="shared" si="2"/>
        <v>TRISOMIE 21 GIRONDE</v>
      </c>
    </row>
    <row r="1676">
      <c r="A1676" s="3" t="s">
        <v>1911</v>
      </c>
      <c r="B1676" s="3">
        <v>6500.0</v>
      </c>
      <c r="C1676" s="4"/>
      <c r="D1676" s="4" t="b">
        <f t="shared" si="1"/>
        <v>0</v>
      </c>
      <c r="E1676" s="4" t="str">
        <f t="shared" si="2"/>
        <v>TUTTI</v>
      </c>
    </row>
    <row r="1677">
      <c r="A1677" s="3" t="s">
        <v>1912</v>
      </c>
      <c r="B1677" s="3">
        <v>400.0</v>
      </c>
      <c r="C1677" s="4"/>
      <c r="D1677" s="4" t="b">
        <f t="shared" si="1"/>
        <v>0</v>
      </c>
      <c r="E1677" s="4" t="str">
        <f t="shared" si="2"/>
        <v>U-TOPOS</v>
      </c>
    </row>
    <row r="1678">
      <c r="A1678" s="3" t="s">
        <v>1913</v>
      </c>
      <c r="B1678" s="3">
        <v>0.0</v>
      </c>
      <c r="C1678" s="3" t="s">
        <v>3</v>
      </c>
      <c r="D1678" s="4" t="b">
        <f t="shared" si="1"/>
        <v>0</v>
      </c>
      <c r="E1678" s="4" t="str">
        <f t="shared" si="2"/>
        <v>ULCR</v>
      </c>
    </row>
    <row r="1679">
      <c r="A1679" s="3" t="s">
        <v>1914</v>
      </c>
      <c r="B1679" s="3">
        <v>0.0</v>
      </c>
      <c r="C1679" s="3" t="s">
        <v>3</v>
      </c>
      <c r="D1679" s="4" t="b">
        <f t="shared" si="1"/>
        <v>0</v>
      </c>
      <c r="E1679" s="4" t="str">
        <f t="shared" si="2"/>
        <v>ULTRAS BB</v>
      </c>
    </row>
    <row r="1680">
      <c r="A1680" s="3" t="s">
        <v>1915</v>
      </c>
      <c r="B1680" s="3">
        <v>0.0</v>
      </c>
      <c r="C1680" s="3" t="s">
        <v>3</v>
      </c>
      <c r="D1680" s="4" t="b">
        <f t="shared" si="1"/>
        <v>0</v>
      </c>
      <c r="E1680" s="4" t="str">
        <f t="shared" si="2"/>
        <v>UNICEF</v>
      </c>
    </row>
    <row r="1681">
      <c r="A1681" s="3" t="s">
        <v>1916</v>
      </c>
      <c r="B1681" s="3">
        <v>0.0</v>
      </c>
      <c r="C1681" s="3" t="s">
        <v>3</v>
      </c>
      <c r="D1681" s="4" t="b">
        <f t="shared" si="1"/>
        <v>0</v>
      </c>
      <c r="E1681" s="4" t="str">
        <f t="shared" si="2"/>
        <v>UNION ALCOOLIQUES ANONYMES</v>
      </c>
    </row>
    <row r="1682">
      <c r="A1682" s="3" t="s">
        <v>1917</v>
      </c>
      <c r="B1682" s="3">
        <v>0.0</v>
      </c>
      <c r="C1682" s="3" t="s">
        <v>3</v>
      </c>
      <c r="D1682" s="4" t="b">
        <f t="shared" si="1"/>
        <v>0</v>
      </c>
      <c r="E1682" s="4" t="str">
        <f t="shared" si="2"/>
        <v>UNION AU DEVELOPPEMENT AFRICAIN - UDA</v>
      </c>
    </row>
    <row r="1683">
      <c r="A1683" s="3" t="s">
        <v>1918</v>
      </c>
      <c r="B1683" s="3">
        <v>83680.0</v>
      </c>
      <c r="C1683" s="3" t="s">
        <v>26</v>
      </c>
      <c r="D1683" s="4" t="b">
        <f t="shared" si="1"/>
        <v>0</v>
      </c>
      <c r="E1683" s="4" t="str">
        <f t="shared" si="2"/>
        <v>UNION BORDEAUX METROPOLE - UBM</v>
      </c>
    </row>
    <row r="1684">
      <c r="A1684" s="3" t="s">
        <v>1920</v>
      </c>
      <c r="B1684" s="3">
        <v>7800.0</v>
      </c>
      <c r="C1684" s="4"/>
      <c r="D1684" s="4" t="b">
        <f t="shared" si="1"/>
        <v>0</v>
      </c>
      <c r="E1684" s="4" t="str">
        <f t="shared" si="2"/>
        <v>UNION BORDEAUX NORD DES ASSOCIATIONS DE PREVENTION SPECIALISEE</v>
      </c>
    </row>
    <row r="1685">
      <c r="A1685" s="3" t="s">
        <v>1921</v>
      </c>
      <c r="B1685" s="4"/>
      <c r="C1685" s="4"/>
      <c r="D1685" s="4" t="b">
        <f t="shared" si="1"/>
        <v>1</v>
      </c>
      <c r="E1685" s="4" t="str">
        <f t="shared" si="2"/>
        <v>SPECIALISEE</v>
      </c>
    </row>
    <row r="1686">
      <c r="A1686" s="3" t="s">
        <v>1922</v>
      </c>
      <c r="B1686" s="3">
        <v>0.0</v>
      </c>
      <c r="C1686" s="3" t="s">
        <v>29</v>
      </c>
      <c r="D1686" s="4" t="b">
        <f t="shared" si="1"/>
        <v>0</v>
      </c>
      <c r="E1686" s="4" t="str">
        <f t="shared" si="2"/>
        <v>UNION COOP DE LA PAGE BLANCHE</v>
      </c>
    </row>
    <row r="1687">
      <c r="A1687" s="3" t="s">
        <v>1923</v>
      </c>
      <c r="B1687" s="3">
        <v>0.0</v>
      </c>
      <c r="C1687" s="3" t="s">
        <v>6</v>
      </c>
      <c r="D1687" s="4" t="b">
        <f t="shared" si="1"/>
        <v>0</v>
      </c>
      <c r="E1687" s="4" t="str">
        <f t="shared" si="2"/>
        <v>UNION DEPARTEMENTALE CFDT DE LA GIRONDE</v>
      </c>
    </row>
    <row r="1688">
      <c r="A1688" s="3" t="s">
        <v>1924</v>
      </c>
      <c r="B1688" s="3">
        <v>6800.0</v>
      </c>
      <c r="C1688" s="4"/>
      <c r="D1688" s="4" t="b">
        <f t="shared" si="1"/>
        <v>0</v>
      </c>
      <c r="E1688" s="4" t="str">
        <f t="shared" si="2"/>
        <v>UNION DEPARTEMENTALE CONSOMMATION LOGEMENT ET CADRE DE VIE</v>
      </c>
    </row>
    <row r="1689">
      <c r="A1689" s="3" t="s">
        <v>1926</v>
      </c>
      <c r="B1689" s="4"/>
      <c r="C1689" s="4"/>
      <c r="D1689" s="4" t="b">
        <f t="shared" si="1"/>
        <v>1</v>
      </c>
      <c r="E1689" s="4" t="str">
        <f t="shared" si="2"/>
        <v>DE VIE</v>
      </c>
    </row>
    <row r="1690">
      <c r="A1690" s="3" t="s">
        <v>1927</v>
      </c>
      <c r="B1690" s="3">
        <v>2500.0</v>
      </c>
      <c r="C1690" s="4"/>
      <c r="D1690" s="4" t="b">
        <f t="shared" si="1"/>
        <v>0</v>
      </c>
      <c r="E1690" s="4" t="str">
        <f t="shared" si="2"/>
        <v>UNION DEPARTEMENTALE DE LA CONFEDERATION SYNDICALE DES FAMILLES EN GIRONDE</v>
      </c>
    </row>
    <row r="1691">
      <c r="A1691" s="3" t="s">
        <v>1928</v>
      </c>
      <c r="B1691" s="4"/>
      <c r="C1691" s="4"/>
      <c r="D1691" s="4" t="b">
        <f t="shared" si="1"/>
        <v>1</v>
      </c>
      <c r="E1691" s="4" t="str">
        <f t="shared" si="2"/>
        <v>FAMILLES EN GIRONDE</v>
      </c>
    </row>
    <row r="1692">
      <c r="A1692" s="3" t="s">
        <v>1929</v>
      </c>
      <c r="B1692" s="3">
        <v>8000.0</v>
      </c>
      <c r="C1692" s="4"/>
      <c r="D1692" s="4" t="b">
        <f t="shared" si="1"/>
        <v>0</v>
      </c>
      <c r="E1692" s="4" t="str">
        <f t="shared" si="2"/>
        <v>UNION DEPARTEMENTALE DES ASSOCIATIONS DE COMBATTANTS ET VICTIMES DE GUERRE DE LA GIRONDE (UDAC)</v>
      </c>
    </row>
    <row r="1693">
      <c r="A1693" s="3" t="s">
        <v>1930</v>
      </c>
      <c r="B1693" s="4"/>
      <c r="C1693" s="4"/>
      <c r="D1693" s="4" t="b">
        <f t="shared" si="1"/>
        <v>1</v>
      </c>
      <c r="E1693" s="4" t="str">
        <f t="shared" si="2"/>
        <v>ET VICTIMES DE GUERRE DE LA GIRONDE (UDAC)</v>
      </c>
    </row>
    <row r="1694">
      <c r="A1694" s="3" t="s">
        <v>1931</v>
      </c>
      <c r="B1694" s="3">
        <v>1500.0</v>
      </c>
      <c r="C1694" s="3" t="s">
        <v>3</v>
      </c>
      <c r="D1694" s="4" t="b">
        <f t="shared" si="1"/>
        <v>0</v>
      </c>
      <c r="E1694" s="4" t="str">
        <f t="shared" si="2"/>
        <v>UNION DEPARTEMENTALE DES ASSOCIATIONS FAMILIALES - UDAF</v>
      </c>
    </row>
    <row r="1695">
      <c r="A1695" s="3" t="s">
        <v>1932</v>
      </c>
      <c r="B1695" s="3">
        <v>15000.0</v>
      </c>
      <c r="C1695" s="4"/>
      <c r="D1695" s="4" t="b">
        <f t="shared" si="1"/>
        <v>0</v>
      </c>
      <c r="E1695" s="4" t="str">
        <f t="shared" si="2"/>
        <v>UNION DEPARTEMENTALE DES CADRES DE LA GIRONDE</v>
      </c>
    </row>
    <row r="1696">
      <c r="A1696" s="3" t="s">
        <v>1933</v>
      </c>
      <c r="B1696" s="3">
        <v>400.0</v>
      </c>
      <c r="C1696" s="4"/>
      <c r="D1696" s="4" t="b">
        <f t="shared" si="1"/>
        <v>0</v>
      </c>
      <c r="E1696" s="4" t="str">
        <f t="shared" si="2"/>
        <v>UNION DEPARTEMENTALE DES SOUS-OFFICIERS EN RETRAITE DE LA GIRONDE (UDSOR)</v>
      </c>
    </row>
    <row r="1697">
      <c r="A1697" s="3" t="s">
        <v>1934</v>
      </c>
      <c r="B1697" s="4"/>
      <c r="C1697" s="4"/>
      <c r="D1697" s="4" t="b">
        <f t="shared" si="1"/>
        <v>1</v>
      </c>
      <c r="E1697" s="4" t="str">
        <f t="shared" si="2"/>
        <v>LA GIRONDE (UDSOR)</v>
      </c>
    </row>
    <row r="1698">
      <c r="A1698" s="3" t="s">
        <v>1935</v>
      </c>
      <c r="B1698" s="3">
        <v>500.0</v>
      </c>
      <c r="C1698" s="4"/>
      <c r="D1698" s="4" t="b">
        <f t="shared" si="1"/>
        <v>0</v>
      </c>
      <c r="E1698" s="4" t="str">
        <f t="shared" si="2"/>
        <v>UNION DES ASSOCIATIONS POUR UNE MAISON DES SOURDS UAMS 33</v>
      </c>
    </row>
    <row r="1699">
      <c r="A1699" s="3">
        <v>33.0</v>
      </c>
      <c r="B1699" s="4"/>
      <c r="C1699" s="4"/>
      <c r="D1699" s="4" t="b">
        <f t="shared" si="1"/>
        <v>1</v>
      </c>
      <c r="E1699" s="4">
        <f t="shared" si="2"/>
        <v>33</v>
      </c>
    </row>
    <row r="1700">
      <c r="A1700" s="3" t="s">
        <v>1936</v>
      </c>
      <c r="B1700" s="3">
        <v>0.0</v>
      </c>
      <c r="C1700" s="3" t="s">
        <v>6</v>
      </c>
      <c r="D1700" s="4" t="b">
        <f t="shared" si="1"/>
        <v>0</v>
      </c>
      <c r="E1700" s="4" t="str">
        <f t="shared" si="2"/>
        <v>UNION DES AVEUGLES ET DEFICIENTS VISUELS</v>
      </c>
    </row>
    <row r="1701">
      <c r="A1701" s="3" t="s">
        <v>1937</v>
      </c>
      <c r="B1701" s="3">
        <v>0.0</v>
      </c>
      <c r="C1701" s="3" t="s">
        <v>3</v>
      </c>
      <c r="D1701" s="4" t="b">
        <f t="shared" si="1"/>
        <v>0</v>
      </c>
      <c r="E1701" s="4" t="str">
        <f t="shared" si="2"/>
        <v>UNION DES TRAVAILLEURS IVOIRIENS DE FRANCE - UTIF</v>
      </c>
    </row>
    <row r="1702">
      <c r="A1702" s="3" t="s">
        <v>1938</v>
      </c>
      <c r="B1702" s="3">
        <v>6100.0</v>
      </c>
      <c r="C1702" s="4"/>
      <c r="D1702" s="4" t="b">
        <f t="shared" si="1"/>
        <v>0</v>
      </c>
      <c r="E1702" s="4" t="str">
        <f t="shared" si="2"/>
        <v>UNION FRANCAISE SANTE BUCCO-DENTAIRE 33</v>
      </c>
    </row>
    <row r="1703">
      <c r="A1703" s="3" t="s">
        <v>1940</v>
      </c>
      <c r="B1703" s="3">
        <v>0.0</v>
      </c>
      <c r="C1703" s="3" t="s">
        <v>6</v>
      </c>
      <c r="D1703" s="4" t="b">
        <f t="shared" si="1"/>
        <v>0</v>
      </c>
      <c r="E1703" s="4" t="str">
        <f t="shared" si="2"/>
        <v>UNION GENERALE SPORTIVE DE L'ENSEIGNEMENT LIBRE DE LA GIRONDE</v>
      </c>
    </row>
    <row r="1704">
      <c r="A1704" s="3" t="s">
        <v>823</v>
      </c>
      <c r="B1704" s="4"/>
      <c r="C1704" s="4"/>
      <c r="D1704" s="4" t="b">
        <f t="shared" si="1"/>
        <v>1</v>
      </c>
      <c r="E1704" s="4" t="str">
        <f t="shared" si="2"/>
        <v>GIRONDE</v>
      </c>
    </row>
    <row r="1705">
      <c r="A1705" s="3" t="s">
        <v>1941</v>
      </c>
      <c r="B1705" s="3">
        <v>0.0</v>
      </c>
      <c r="C1705" s="3" t="s">
        <v>3</v>
      </c>
      <c r="D1705" s="4" t="b">
        <f t="shared" si="1"/>
        <v>0</v>
      </c>
      <c r="E1705" s="4" t="str">
        <f t="shared" si="2"/>
        <v>UNION GIRONDINE DES RETRAITES MILITAIRES, ANCIENS MILITAIRES ET DE LEURS CONJOINTS (URM 33)</v>
      </c>
    </row>
    <row r="1706">
      <c r="A1706" s="3" t="s">
        <v>1942</v>
      </c>
      <c r="B1706" s="4"/>
      <c r="C1706" s="4"/>
      <c r="D1706" s="4" t="b">
        <f t="shared" si="1"/>
        <v>1</v>
      </c>
      <c r="E1706" s="4" t="str">
        <f t="shared" si="2"/>
        <v>MILITAIRES ET DE LEURS CONJOINTS (URM 33)</v>
      </c>
    </row>
    <row r="1707">
      <c r="A1707" s="3" t="s">
        <v>1943</v>
      </c>
      <c r="B1707" s="3">
        <v>2000.0</v>
      </c>
      <c r="C1707" s="4"/>
      <c r="D1707" s="4" t="b">
        <f t="shared" si="1"/>
        <v>0</v>
      </c>
      <c r="E1707" s="4" t="str">
        <f t="shared" si="2"/>
        <v>UNION LIBRE 2016</v>
      </c>
    </row>
    <row r="1708">
      <c r="A1708" s="3" t="s">
        <v>1944</v>
      </c>
      <c r="B1708" s="3">
        <v>500.0</v>
      </c>
      <c r="C1708" s="4"/>
      <c r="D1708" s="4" t="b">
        <f t="shared" si="1"/>
        <v>0</v>
      </c>
      <c r="E1708" s="4" t="str">
        <f t="shared" si="2"/>
        <v>UNION NATIONALE DE FAMILLES ET AMIS DE PERSONNES MALADES</v>
      </c>
    </row>
    <row r="1709">
      <c r="A1709" s="3" t="s">
        <v>1945</v>
      </c>
      <c r="B1709" s="3">
        <v>0.0</v>
      </c>
      <c r="C1709" s="3" t="s">
        <v>3</v>
      </c>
      <c r="D1709" s="4" t="b">
        <f t="shared" si="1"/>
        <v>0</v>
      </c>
      <c r="E1709" s="4" t="str">
        <f t="shared" si="2"/>
        <v>UNION NATIONALE DES AMIS ET FAMILLES DE MALADES PSYCHIQUES - UNAFAM</v>
      </c>
    </row>
    <row r="1710">
      <c r="A1710" s="3" t="s">
        <v>1946</v>
      </c>
      <c r="B1710" s="4"/>
      <c r="C1710" s="4"/>
      <c r="D1710" s="4" t="b">
        <f t="shared" si="1"/>
        <v>1</v>
      </c>
      <c r="E1710" s="4" t="str">
        <f t="shared" si="2"/>
        <v>PSYCHIQUES - UNAFAM</v>
      </c>
    </row>
    <row r="1711">
      <c r="A1711" s="3" t="s">
        <v>1947</v>
      </c>
      <c r="B1711" s="3">
        <v>400.0</v>
      </c>
      <c r="C1711" s="3" t="s">
        <v>6</v>
      </c>
      <c r="D1711" s="4" t="b">
        <f t="shared" si="1"/>
        <v>0</v>
      </c>
      <c r="E1711" s="4" t="str">
        <f t="shared" si="2"/>
        <v>UNION NATIONALE DES COMBATTANTS DE BORDEAUX RIVE-DROITE - UNC</v>
      </c>
    </row>
    <row r="1712">
      <c r="A1712" s="3" t="s">
        <v>1948</v>
      </c>
      <c r="B1712" s="4"/>
      <c r="C1712" s="4"/>
      <c r="D1712" s="4" t="b">
        <f t="shared" si="1"/>
        <v>1</v>
      </c>
      <c r="E1712" s="4" t="str">
        <f t="shared" si="2"/>
        <v>- UNC</v>
      </c>
    </row>
    <row r="1713">
      <c r="A1713" s="3" t="s">
        <v>1949</v>
      </c>
      <c r="B1713" s="3">
        <v>700.0</v>
      </c>
      <c r="C1713" s="3" t="s">
        <v>3</v>
      </c>
      <c r="D1713" s="4" t="b">
        <f t="shared" si="1"/>
        <v>0</v>
      </c>
      <c r="E1713" s="4" t="str">
        <f t="shared" si="2"/>
        <v>UNION NATIONALE DES COMBATTANTS DE BORDEAUX-CAUDERAN-LE BOUSCAT (UNC)</v>
      </c>
    </row>
    <row r="1714">
      <c r="A1714" s="3" t="s">
        <v>1950</v>
      </c>
      <c r="B1714" s="4"/>
      <c r="C1714" s="4"/>
      <c r="D1714" s="4" t="b">
        <f t="shared" si="1"/>
        <v>1</v>
      </c>
      <c r="E1714" s="4" t="str">
        <f t="shared" si="2"/>
        <v>BORDEAUX-CAUDERAN-LE BOUSCAT (UNC)</v>
      </c>
    </row>
    <row r="1715">
      <c r="A1715" s="3" t="s">
        <v>1951</v>
      </c>
      <c r="B1715" s="3">
        <v>0.0</v>
      </c>
      <c r="C1715" s="3" t="s">
        <v>484</v>
      </c>
      <c r="D1715" s="4" t="b">
        <f t="shared" si="1"/>
        <v>0</v>
      </c>
      <c r="E1715" s="4" t="str">
        <f t="shared" si="2"/>
        <v>UNION NATIONALE DU SPORT SCOLAIRE - DIRECTION REGIONALE</v>
      </c>
    </row>
    <row r="1716">
      <c r="A1716" s="3" t="s">
        <v>1952</v>
      </c>
      <c r="B1716" s="3">
        <v>900.0</v>
      </c>
      <c r="C1716" s="3" t="s">
        <v>3</v>
      </c>
      <c r="D1716" s="4" t="b">
        <f t="shared" si="1"/>
        <v>0</v>
      </c>
      <c r="E1716" s="4" t="str">
        <f t="shared" si="2"/>
        <v>UNION REGIONALE D'AQUITAINE DE L'UNION EUROPEENNE FEMININE SECTION FRANÇAISE</v>
      </c>
    </row>
    <row r="1717">
      <c r="A1717" s="3" t="s">
        <v>1953</v>
      </c>
      <c r="B1717" s="4"/>
      <c r="C1717" s="4"/>
      <c r="D1717" s="4" t="b">
        <f t="shared" si="1"/>
        <v>1</v>
      </c>
      <c r="E1717" s="4" t="str">
        <f t="shared" si="2"/>
        <v>FEMININE SECTION FRANÇAISE</v>
      </c>
    </row>
    <row r="1718">
      <c r="A1718" s="3" t="s">
        <v>1954</v>
      </c>
      <c r="B1718" s="3">
        <v>1500.0</v>
      </c>
      <c r="C1718" s="3" t="s">
        <v>3</v>
      </c>
      <c r="D1718" s="4" t="b">
        <f t="shared" si="1"/>
        <v>0</v>
      </c>
      <c r="E1718" s="4" t="str">
        <f t="shared" si="2"/>
        <v>UNION REGIONALE DES INGENIEURS ET DES SCIENTIFIQUES D'AQUITAINE - URISA</v>
      </c>
    </row>
    <row r="1719">
      <c r="A1719" s="3" t="s">
        <v>1955</v>
      </c>
      <c r="B1719" s="4"/>
      <c r="C1719" s="4"/>
      <c r="D1719" s="4" t="b">
        <f t="shared" si="1"/>
        <v>1</v>
      </c>
      <c r="E1719" s="4" t="str">
        <f t="shared" si="2"/>
        <v>D'AQUITAINE - URISA</v>
      </c>
    </row>
    <row r="1720">
      <c r="A1720" s="3" t="s">
        <v>1956</v>
      </c>
      <c r="B1720" s="3">
        <v>0.0</v>
      </c>
      <c r="C1720" s="3" t="s">
        <v>3</v>
      </c>
      <c r="D1720" s="4" t="b">
        <f t="shared" si="1"/>
        <v>0</v>
      </c>
      <c r="E1720" s="4" t="str">
        <f t="shared" si="2"/>
        <v>UNION REGIONALE PACT HABITAT ET DEVELOPPEMENT DE LA REGION AQUITAINE</v>
      </c>
    </row>
    <row r="1721">
      <c r="A1721" s="3" t="s">
        <v>353</v>
      </c>
      <c r="B1721" s="4"/>
      <c r="C1721" s="4"/>
      <c r="D1721" s="4" t="b">
        <f t="shared" si="1"/>
        <v>1</v>
      </c>
      <c r="E1721" s="4" t="str">
        <f t="shared" si="2"/>
        <v>REGION AQUITAINE</v>
      </c>
    </row>
    <row r="1722">
      <c r="A1722" s="3" t="s">
        <v>1957</v>
      </c>
      <c r="B1722" s="3">
        <v>879983.0</v>
      </c>
      <c r="C1722" s="3" t="s">
        <v>37</v>
      </c>
      <c r="D1722" s="4" t="b">
        <f t="shared" si="1"/>
        <v>0</v>
      </c>
      <c r="E1722" s="4" t="str">
        <f t="shared" si="2"/>
        <v>UNION SAINT JEAN - MAISON DE QUARTIER </v>
      </c>
    </row>
    <row r="1723">
      <c r="A1723" s="4"/>
      <c r="B1723" s="4"/>
      <c r="C1723" s="3" t="s">
        <v>38</v>
      </c>
      <c r="D1723" s="4" t="b">
        <f t="shared" si="1"/>
        <v>1</v>
      </c>
      <c r="E1723" s="4" t="str">
        <f t="shared" si="2"/>
        <v/>
      </c>
    </row>
    <row r="1724">
      <c r="A1724" s="3" t="s">
        <v>1959</v>
      </c>
      <c r="B1724" s="3">
        <v>1537650.0</v>
      </c>
      <c r="C1724" s="3" t="s">
        <v>37</v>
      </c>
      <c r="D1724" s="4" t="b">
        <f t="shared" si="1"/>
        <v>0</v>
      </c>
      <c r="E1724" s="4" t="str">
        <f t="shared" si="2"/>
        <v>UNION SAINT-BRUNO </v>
      </c>
    </row>
    <row r="1725">
      <c r="A1725" s="4"/>
      <c r="B1725" s="4"/>
      <c r="C1725" s="3" t="s">
        <v>38</v>
      </c>
      <c r="D1725" s="4" t="b">
        <f t="shared" si="1"/>
        <v>1</v>
      </c>
      <c r="E1725" s="4" t="str">
        <f t="shared" si="2"/>
        <v/>
      </c>
    </row>
    <row r="1726">
      <c r="A1726" s="3" t="s">
        <v>1961</v>
      </c>
      <c r="B1726" s="3">
        <v>19500.0</v>
      </c>
      <c r="C1726" s="3" t="s">
        <v>6</v>
      </c>
      <c r="D1726" s="4" t="b">
        <f t="shared" si="1"/>
        <v>0</v>
      </c>
      <c r="E1726" s="4" t="str">
        <f t="shared" si="2"/>
        <v>UNION SPORTIVE JEUNES DE SAINT-AUGUSTIN - CLUB PYRENEES-AQUITAINE (US JSA-CPA)</v>
      </c>
    </row>
    <row r="1727">
      <c r="A1727" s="3" t="s">
        <v>1963</v>
      </c>
      <c r="B1727" s="4"/>
      <c r="C1727" s="4"/>
      <c r="D1727" s="4" t="b">
        <f t="shared" si="1"/>
        <v>1</v>
      </c>
      <c r="E1727" s="4" t="str">
        <f t="shared" si="2"/>
        <v>PYRENEES-AQUITAINE (US JSA-CPA)</v>
      </c>
    </row>
    <row r="1728">
      <c r="A1728" s="3" t="s">
        <v>1964</v>
      </c>
      <c r="B1728" s="3">
        <v>896350.0</v>
      </c>
      <c r="C1728" s="3" t="s">
        <v>37</v>
      </c>
      <c r="D1728" s="4" t="b">
        <f t="shared" si="1"/>
        <v>0</v>
      </c>
      <c r="E1728" s="4" t="str">
        <f t="shared" si="2"/>
        <v>UNION SPORTIVE LES CHARTRONS </v>
      </c>
    </row>
    <row r="1729">
      <c r="A1729" s="4"/>
      <c r="B1729" s="4"/>
      <c r="C1729" s="3" t="s">
        <v>38</v>
      </c>
      <c r="D1729" s="4" t="b">
        <f t="shared" si="1"/>
        <v>1</v>
      </c>
      <c r="E1729" s="4" t="str">
        <f t="shared" si="2"/>
        <v/>
      </c>
    </row>
    <row r="1730">
      <c r="A1730" s="3" t="s">
        <v>1966</v>
      </c>
      <c r="B1730" s="3">
        <v>3500.0</v>
      </c>
      <c r="C1730" s="4"/>
      <c r="D1730" s="4" t="b">
        <f t="shared" si="1"/>
        <v>0</v>
      </c>
      <c r="E1730" s="4" t="str">
        <f t="shared" si="2"/>
        <v>UNION SPORTIVE VILLENAVAISE CYCLISME</v>
      </c>
    </row>
    <row r="1731">
      <c r="A1731" s="3" t="s">
        <v>1967</v>
      </c>
      <c r="B1731" s="3">
        <v>105000.0</v>
      </c>
      <c r="C1731" s="3" t="s">
        <v>32</v>
      </c>
      <c r="D1731" s="4" t="b">
        <f t="shared" si="1"/>
        <v>0</v>
      </c>
      <c r="E1731" s="4" t="str">
        <f t="shared" si="2"/>
        <v>UNIS CITE</v>
      </c>
    </row>
    <row r="1732">
      <c r="A1732" s="3" t="s">
        <v>1969</v>
      </c>
      <c r="B1732" s="3">
        <v>4000.0</v>
      </c>
      <c r="C1732" s="4"/>
      <c r="D1732" s="4" t="b">
        <f t="shared" si="1"/>
        <v>0</v>
      </c>
      <c r="E1732" s="4" t="str">
        <f t="shared" si="2"/>
        <v>UNISPHERES</v>
      </c>
    </row>
    <row r="1733">
      <c r="A1733" s="3" t="s">
        <v>1970</v>
      </c>
      <c r="B1733" s="3">
        <v>0.0</v>
      </c>
      <c r="C1733" s="3" t="s">
        <v>6</v>
      </c>
      <c r="D1733" s="4" t="b">
        <f t="shared" si="1"/>
        <v>0</v>
      </c>
      <c r="E1733" s="4" t="str">
        <f t="shared" si="2"/>
        <v>UNIVERSEUL</v>
      </c>
    </row>
    <row r="1734">
      <c r="A1734" s="3" t="s">
        <v>1971</v>
      </c>
      <c r="B1734" s="3">
        <v>0.0</v>
      </c>
      <c r="C1734" s="3" t="s">
        <v>6</v>
      </c>
      <c r="D1734" s="4" t="b">
        <f t="shared" si="1"/>
        <v>0</v>
      </c>
      <c r="E1734" s="4" t="str">
        <f t="shared" si="2"/>
        <v>UNIVERSITE BORDEAUX MONTAIGNE BORDEAUX III - BIBLIOTHEQUE FRANCO-ALLEMANDE (BIFA)</v>
      </c>
    </row>
    <row r="1735">
      <c r="A1735" s="3" t="s">
        <v>1972</v>
      </c>
      <c r="B1735" s="4"/>
      <c r="C1735" s="4"/>
      <c r="D1735" s="4" t="b">
        <f t="shared" si="1"/>
        <v>1</v>
      </c>
      <c r="E1735" s="4" t="str">
        <f t="shared" si="2"/>
        <v>FRANCO-ALLEMANDE (BIFA)</v>
      </c>
    </row>
    <row r="1736">
      <c r="A1736" s="3" t="s">
        <v>1973</v>
      </c>
      <c r="B1736" s="3">
        <v>3500.0</v>
      </c>
      <c r="C1736" s="3" t="s">
        <v>484</v>
      </c>
      <c r="D1736" s="4" t="b">
        <f t="shared" si="1"/>
        <v>0</v>
      </c>
      <c r="E1736" s="4" t="str">
        <f t="shared" si="2"/>
        <v>UNIVERSITE DE BORDEAUX</v>
      </c>
    </row>
    <row r="1737">
      <c r="A1737" s="3" t="s">
        <v>1974</v>
      </c>
      <c r="B1737" s="3">
        <v>0.0</v>
      </c>
      <c r="C1737" s="3" t="s">
        <v>3</v>
      </c>
      <c r="D1737" s="4" t="b">
        <f t="shared" si="1"/>
        <v>0</v>
      </c>
      <c r="E1737" s="4" t="str">
        <f t="shared" si="2"/>
        <v>UNIVERSITE POPULAIRE DE BORDEAUX - UPB</v>
      </c>
    </row>
    <row r="1738">
      <c r="A1738" s="3" t="s">
        <v>1975</v>
      </c>
      <c r="B1738" s="3">
        <v>5000.0</v>
      </c>
      <c r="C1738" s="4"/>
      <c r="D1738" s="4" t="b">
        <f t="shared" si="1"/>
        <v>0</v>
      </c>
      <c r="E1738" s="4" t="str">
        <f t="shared" si="2"/>
        <v>UNIVERSITE SCIENCES TECHNOLOGIES LILLE 1 - CUEEP</v>
      </c>
    </row>
    <row r="1739">
      <c r="A1739" s="3" t="s">
        <v>1976</v>
      </c>
      <c r="B1739" s="3">
        <v>28500.0</v>
      </c>
      <c r="C1739" s="3" t="s">
        <v>32</v>
      </c>
      <c r="D1739" s="4" t="b">
        <f t="shared" si="1"/>
        <v>0</v>
      </c>
      <c r="E1739" s="4" t="str">
        <f t="shared" si="2"/>
        <v>URBAN VIBRATIONS SCHOOL</v>
      </c>
    </row>
    <row r="1740">
      <c r="A1740" s="3" t="s">
        <v>1978</v>
      </c>
      <c r="B1740" s="3">
        <v>0.0</v>
      </c>
      <c r="C1740" s="3" t="s">
        <v>3</v>
      </c>
      <c r="D1740" s="4" t="b">
        <f t="shared" si="1"/>
        <v>0</v>
      </c>
      <c r="E1740" s="4" t="str">
        <f t="shared" si="2"/>
        <v>URPS - AQUITAINE</v>
      </c>
    </row>
    <row r="1741">
      <c r="A1741" s="3" t="s">
        <v>1979</v>
      </c>
      <c r="B1741" s="3">
        <v>1300.0</v>
      </c>
      <c r="C1741" s="4"/>
      <c r="D1741" s="4" t="b">
        <f t="shared" si="1"/>
        <v>0</v>
      </c>
      <c r="E1741" s="4" t="str">
        <f t="shared" si="2"/>
        <v>USEP ECOLE PRIMAIRE LAC 1</v>
      </c>
    </row>
    <row r="1742">
      <c r="A1742" s="3" t="s">
        <v>1980</v>
      </c>
      <c r="B1742" s="3">
        <v>2450.0</v>
      </c>
      <c r="C1742" s="4"/>
      <c r="D1742" s="4" t="b">
        <f t="shared" si="1"/>
        <v>0</v>
      </c>
      <c r="E1742" s="4" t="str">
        <f t="shared" si="2"/>
        <v>USEP ELEMENTAIRE FLORNOY</v>
      </c>
    </row>
    <row r="1743">
      <c r="A1743" s="3" t="s">
        <v>1982</v>
      </c>
      <c r="B1743" s="3">
        <v>0.0</v>
      </c>
      <c r="C1743" s="3" t="s">
        <v>3</v>
      </c>
      <c r="D1743" s="4" t="b">
        <f t="shared" si="1"/>
        <v>0</v>
      </c>
      <c r="E1743" s="4" t="str">
        <f t="shared" si="2"/>
        <v>UTOPIA</v>
      </c>
    </row>
    <row r="1744">
      <c r="A1744" s="3" t="s">
        <v>1983</v>
      </c>
      <c r="B1744" s="3">
        <v>0.0</v>
      </c>
      <c r="C1744" s="3" t="s">
        <v>6</v>
      </c>
      <c r="D1744" s="4" t="b">
        <f t="shared" si="1"/>
        <v>0</v>
      </c>
      <c r="E1744" s="4" t="str">
        <f t="shared" si="2"/>
        <v>V'INSEEC BORDEAUX, VINS ET SPIRITUEUX</v>
      </c>
    </row>
    <row r="1745">
      <c r="A1745" s="3" t="s">
        <v>1984</v>
      </c>
      <c r="B1745" s="3">
        <v>0.0</v>
      </c>
      <c r="C1745" s="3" t="s">
        <v>3</v>
      </c>
      <c r="D1745" s="4" t="b">
        <f t="shared" si="1"/>
        <v>0</v>
      </c>
      <c r="E1745" s="4" t="str">
        <f t="shared" si="2"/>
        <v>VA K BAND</v>
      </c>
    </row>
    <row r="1746">
      <c r="A1746" s="3" t="s">
        <v>1985</v>
      </c>
      <c r="B1746" s="3">
        <v>0.0</v>
      </c>
      <c r="C1746" s="3" t="s">
        <v>3</v>
      </c>
      <c r="D1746" s="4" t="b">
        <f t="shared" si="1"/>
        <v>0</v>
      </c>
      <c r="E1746" s="4" t="str">
        <f t="shared" si="2"/>
        <v>VACANCES ANIMATION LOISIRS TOURISME DE LA GIRONDE</v>
      </c>
    </row>
    <row r="1747">
      <c r="A1747" s="3" t="s">
        <v>1986</v>
      </c>
      <c r="B1747" s="3">
        <v>0.0</v>
      </c>
      <c r="C1747" s="3" t="s">
        <v>3</v>
      </c>
      <c r="D1747" s="4" t="b">
        <f t="shared" si="1"/>
        <v>0</v>
      </c>
      <c r="E1747" s="4" t="str">
        <f t="shared" si="2"/>
        <v>VACANCES TOURISME FAMILLES - VTF</v>
      </c>
    </row>
    <row r="1748">
      <c r="A1748" s="3" t="s">
        <v>1987</v>
      </c>
      <c r="B1748" s="3">
        <v>0.0</v>
      </c>
      <c r="C1748" s="3" t="s">
        <v>3</v>
      </c>
      <c r="D1748" s="4" t="b">
        <f t="shared" si="1"/>
        <v>0</v>
      </c>
      <c r="E1748" s="4" t="str">
        <f t="shared" si="2"/>
        <v>VAHINE ORA</v>
      </c>
    </row>
    <row r="1749">
      <c r="A1749" s="3" t="s">
        <v>1988</v>
      </c>
      <c r="B1749" s="3">
        <v>0.0</v>
      </c>
      <c r="C1749" s="3" t="s">
        <v>3</v>
      </c>
      <c r="D1749" s="4" t="b">
        <f t="shared" si="1"/>
        <v>0</v>
      </c>
      <c r="E1749" s="4" t="str">
        <f t="shared" si="2"/>
        <v>VARIANCE MELODIE</v>
      </c>
    </row>
    <row r="1750">
      <c r="A1750" s="3" t="s">
        <v>1989</v>
      </c>
      <c r="B1750" s="3">
        <v>5394.0</v>
      </c>
      <c r="C1750" s="3" t="s">
        <v>6</v>
      </c>
      <c r="D1750" s="4" t="b">
        <f t="shared" si="1"/>
        <v>0</v>
      </c>
      <c r="E1750" s="4" t="str">
        <f t="shared" si="2"/>
        <v>VELO CITE</v>
      </c>
    </row>
    <row r="1751">
      <c r="A1751" s="3" t="s">
        <v>1991</v>
      </c>
      <c r="B1751" s="3">
        <v>1000.0</v>
      </c>
      <c r="C1751" s="4"/>
      <c r="D1751" s="4" t="b">
        <f t="shared" si="1"/>
        <v>0</v>
      </c>
      <c r="E1751" s="4" t="str">
        <f t="shared" si="2"/>
        <v>VELOPHONIE</v>
      </c>
    </row>
    <row r="1752">
      <c r="A1752" s="3" t="s">
        <v>1992</v>
      </c>
      <c r="B1752" s="3">
        <v>21500.0</v>
      </c>
      <c r="C1752" s="4"/>
      <c r="D1752" s="4" t="b">
        <f t="shared" si="1"/>
        <v>0</v>
      </c>
      <c r="E1752" s="4" t="str">
        <f t="shared" si="2"/>
        <v>VENUS</v>
      </c>
    </row>
    <row r="1753">
      <c r="A1753" s="3" t="s">
        <v>1994</v>
      </c>
      <c r="B1753" s="3">
        <v>6500.0</v>
      </c>
      <c r="C1753" s="4"/>
      <c r="D1753" s="4" t="b">
        <f t="shared" si="1"/>
        <v>0</v>
      </c>
      <c r="E1753" s="4" t="str">
        <f t="shared" si="2"/>
        <v>VERY CHEAP PRODUCTION</v>
      </c>
    </row>
    <row r="1754">
      <c r="A1754" s="3" t="s">
        <v>1995</v>
      </c>
      <c r="B1754" s="3">
        <v>500.0</v>
      </c>
      <c r="C1754" s="3" t="s">
        <v>3</v>
      </c>
      <c r="D1754" s="4" t="b">
        <f t="shared" si="1"/>
        <v>0</v>
      </c>
      <c r="E1754" s="4" t="str">
        <f t="shared" si="2"/>
        <v>VIE ET TRAVAIL A BORDEAUX BACALAN</v>
      </c>
    </row>
    <row r="1755">
      <c r="A1755" s="3" t="s">
        <v>1996</v>
      </c>
      <c r="B1755" s="3">
        <v>500.0</v>
      </c>
      <c r="C1755" s="3" t="s">
        <v>3</v>
      </c>
      <c r="D1755" s="4" t="b">
        <f t="shared" si="1"/>
        <v>0</v>
      </c>
      <c r="E1755" s="4" t="str">
        <f t="shared" si="2"/>
        <v>VIE LIBRE</v>
      </c>
    </row>
    <row r="1756">
      <c r="A1756" s="3" t="s">
        <v>1997</v>
      </c>
      <c r="B1756" s="3">
        <v>0.0</v>
      </c>
      <c r="C1756" s="3" t="s">
        <v>6</v>
      </c>
      <c r="D1756" s="4" t="b">
        <f t="shared" si="1"/>
        <v>0</v>
      </c>
      <c r="E1756" s="4" t="str">
        <f t="shared" si="2"/>
        <v>VILLA 88</v>
      </c>
    </row>
    <row r="1757">
      <c r="A1757" s="3" t="s">
        <v>1998</v>
      </c>
      <c r="B1757" s="3">
        <v>119000.0</v>
      </c>
      <c r="C1757" s="3" t="s">
        <v>2000</v>
      </c>
      <c r="D1757" s="4" t="b">
        <f t="shared" si="1"/>
        <v>0</v>
      </c>
      <c r="E1757" s="4" t="str">
        <f t="shared" si="2"/>
        <v>VILLA PRIMROSE </v>
      </c>
    </row>
    <row r="1758">
      <c r="A1758" s="4"/>
      <c r="B1758" s="4"/>
      <c r="C1758" s="3" t="s">
        <v>38</v>
      </c>
      <c r="D1758" s="4" t="b">
        <f t="shared" si="1"/>
        <v>1</v>
      </c>
      <c r="E1758" s="4" t="str">
        <f t="shared" si="2"/>
        <v/>
      </c>
    </row>
    <row r="1759">
      <c r="A1759" s="3" t="s">
        <v>2001</v>
      </c>
      <c r="B1759" s="3">
        <v>0.0</v>
      </c>
      <c r="C1759" s="3" t="s">
        <v>6</v>
      </c>
      <c r="D1759" s="4" t="b">
        <f t="shared" si="1"/>
        <v>0</v>
      </c>
      <c r="E1759" s="4" t="str">
        <f t="shared" si="2"/>
        <v>VILLAGE D'AUDEGE</v>
      </c>
    </row>
    <row r="1760">
      <c r="A1760" s="3" t="s">
        <v>2002</v>
      </c>
      <c r="B1760" s="3">
        <v>8300.0</v>
      </c>
      <c r="C1760" s="3" t="s">
        <v>6</v>
      </c>
      <c r="D1760" s="4" t="b">
        <f t="shared" si="1"/>
        <v>0</v>
      </c>
      <c r="E1760" s="4" t="str">
        <f t="shared" si="2"/>
        <v>VILLAGE DE LA GROSSE CLOCHE</v>
      </c>
    </row>
    <row r="1761">
      <c r="A1761" s="3" t="s">
        <v>2004</v>
      </c>
      <c r="B1761" s="3">
        <v>0.0</v>
      </c>
      <c r="C1761" s="3" t="s">
        <v>3</v>
      </c>
      <c r="D1761" s="4" t="b">
        <f t="shared" si="1"/>
        <v>0</v>
      </c>
      <c r="E1761" s="4" t="str">
        <f t="shared" si="2"/>
        <v>VISIONS CROISEES</v>
      </c>
    </row>
    <row r="1762">
      <c r="A1762" s="3" t="s">
        <v>2005</v>
      </c>
      <c r="B1762" s="3">
        <v>0.0</v>
      </c>
      <c r="C1762" s="3" t="s">
        <v>3</v>
      </c>
      <c r="D1762" s="4" t="b">
        <f t="shared" si="1"/>
        <v>0</v>
      </c>
      <c r="E1762" s="4" t="str">
        <f t="shared" si="2"/>
        <v>VISIONS PARTAGEES</v>
      </c>
    </row>
    <row r="1763">
      <c r="A1763" s="3" t="s">
        <v>2006</v>
      </c>
      <c r="B1763" s="3">
        <v>0.0</v>
      </c>
      <c r="C1763" s="3" t="s">
        <v>3</v>
      </c>
      <c r="D1763" s="4" t="b">
        <f t="shared" si="1"/>
        <v>0</v>
      </c>
      <c r="E1763" s="4" t="str">
        <f t="shared" si="2"/>
        <v>VISITE DES MALADES DANS LES ETABLISSEMENTS HOSPITALIERS DU DEPARTEMENT DE LA GIRONDE - VMEH</v>
      </c>
    </row>
    <row r="1764">
      <c r="A1764" s="3" t="s">
        <v>2007</v>
      </c>
      <c r="B1764" s="4"/>
      <c r="C1764" s="4"/>
      <c r="D1764" s="4" t="b">
        <f t="shared" si="1"/>
        <v>1</v>
      </c>
      <c r="E1764" s="4" t="str">
        <f t="shared" si="2"/>
        <v>DU DEPARTEMENT DE LA GIRONDE - VMEH</v>
      </c>
    </row>
    <row r="1765">
      <c r="A1765" s="3" t="s">
        <v>2008</v>
      </c>
      <c r="B1765" s="3">
        <v>800.0</v>
      </c>
      <c r="C1765" s="3" t="s">
        <v>32</v>
      </c>
      <c r="D1765" s="4" t="b">
        <f t="shared" si="1"/>
        <v>0</v>
      </c>
      <c r="E1765" s="4" t="str">
        <f t="shared" si="2"/>
        <v>VIVONS LA BASTIDE</v>
      </c>
    </row>
    <row r="1766">
      <c r="A1766" s="3" t="s">
        <v>2009</v>
      </c>
      <c r="B1766" s="3">
        <v>6900.0</v>
      </c>
      <c r="C1766" s="3" t="s">
        <v>6</v>
      </c>
      <c r="D1766" s="4" t="b">
        <f t="shared" si="1"/>
        <v>0</v>
      </c>
      <c r="E1766" s="4" t="str">
        <f t="shared" si="2"/>
        <v>VIVRE A CAUDERAN</v>
      </c>
    </row>
    <row r="1767">
      <c r="A1767" s="3" t="s">
        <v>2011</v>
      </c>
      <c r="B1767" s="3">
        <v>3000.0</v>
      </c>
      <c r="C1767" s="3" t="s">
        <v>3</v>
      </c>
      <c r="D1767" s="4" t="b">
        <f t="shared" si="1"/>
        <v>0</v>
      </c>
      <c r="E1767" s="4" t="str">
        <f t="shared" si="2"/>
        <v>VIVRE AVEC - SOLIDARITES INTERGENERATIONNELLES</v>
      </c>
    </row>
    <row r="1768">
      <c r="A1768" s="3" t="s">
        <v>2012</v>
      </c>
      <c r="B1768" s="3">
        <v>0.0</v>
      </c>
      <c r="C1768" s="3" t="s">
        <v>3</v>
      </c>
      <c r="D1768" s="4" t="b">
        <f t="shared" si="1"/>
        <v>0</v>
      </c>
      <c r="E1768" s="4" t="str">
        <f t="shared" si="2"/>
        <v>VIVRE COMME AVANT</v>
      </c>
    </row>
    <row r="1769">
      <c r="A1769" s="3" t="s">
        <v>2013</v>
      </c>
      <c r="B1769" s="3">
        <v>0.0</v>
      </c>
      <c r="C1769" s="3" t="s">
        <v>6</v>
      </c>
      <c r="D1769" s="4" t="b">
        <f t="shared" si="1"/>
        <v>0</v>
      </c>
      <c r="E1769" s="4" t="str">
        <f t="shared" si="2"/>
        <v>VOCATION SOCIOLOGUE</v>
      </c>
    </row>
    <row r="1770">
      <c r="A1770" s="3" t="s">
        <v>2014</v>
      </c>
      <c r="B1770" s="3">
        <v>3400.0</v>
      </c>
      <c r="C1770" s="4"/>
      <c r="D1770" s="4" t="b">
        <f t="shared" si="1"/>
        <v>0</v>
      </c>
      <c r="E1770" s="4" t="str">
        <f t="shared" si="2"/>
        <v>VOLONTAIRES BORDEAUX 98</v>
      </c>
    </row>
    <row r="1771">
      <c r="A1771" s="3" t="s">
        <v>2016</v>
      </c>
      <c r="B1771" s="3">
        <v>0.0</v>
      </c>
      <c r="C1771" s="3" t="s">
        <v>29</v>
      </c>
      <c r="D1771" s="4" t="b">
        <f t="shared" si="1"/>
        <v>0</v>
      </c>
      <c r="E1771" s="4" t="str">
        <f t="shared" si="2"/>
        <v>VOVINAM VIET VO DAO-CLUB DE BORDEAUX</v>
      </c>
    </row>
    <row r="1772">
      <c r="A1772" s="3" t="s">
        <v>2017</v>
      </c>
      <c r="B1772" s="3">
        <v>0.0</v>
      </c>
      <c r="C1772" s="3" t="s">
        <v>3</v>
      </c>
      <c r="D1772" s="4" t="b">
        <f t="shared" si="1"/>
        <v>0</v>
      </c>
      <c r="E1772" s="4" t="str">
        <f t="shared" si="2"/>
        <v>WEJOB</v>
      </c>
    </row>
    <row r="1773">
      <c r="A1773" s="3" t="s">
        <v>2018</v>
      </c>
      <c r="B1773" s="3">
        <v>5000.0</v>
      </c>
      <c r="C1773" s="4"/>
      <c r="D1773" s="4" t="b">
        <f t="shared" si="1"/>
        <v>0</v>
      </c>
      <c r="E1773" s="4" t="str">
        <f t="shared" si="2"/>
        <v>WIMOOV</v>
      </c>
    </row>
    <row r="1774">
      <c r="A1774" s="3" t="s">
        <v>2019</v>
      </c>
      <c r="B1774" s="3">
        <v>0.0</v>
      </c>
      <c r="C1774" s="3" t="s">
        <v>29</v>
      </c>
      <c r="D1774" s="4" t="b">
        <f t="shared" si="1"/>
        <v>0</v>
      </c>
      <c r="E1774" s="4" t="str">
        <f t="shared" si="2"/>
        <v>WISE</v>
      </c>
    </row>
    <row r="1775">
      <c r="A1775" s="3" t="s">
        <v>2020</v>
      </c>
      <c r="B1775" s="3">
        <v>0.0</v>
      </c>
      <c r="C1775" s="3" t="s">
        <v>29</v>
      </c>
      <c r="D1775" s="4" t="b">
        <f t="shared" si="1"/>
        <v>0</v>
      </c>
      <c r="E1775" s="4" t="str">
        <f t="shared" si="2"/>
        <v>WOUXIA CLAN</v>
      </c>
    </row>
    <row r="1776">
      <c r="A1776" s="3" t="s">
        <v>2021</v>
      </c>
      <c r="B1776" s="3">
        <v>0.0</v>
      </c>
      <c r="C1776" s="3" t="s">
        <v>3</v>
      </c>
      <c r="D1776" s="4" t="b">
        <f t="shared" si="1"/>
        <v>0</v>
      </c>
      <c r="E1776" s="4" t="str">
        <f t="shared" si="2"/>
        <v>YA DLA JOIE ET DL'EMPLOI (YDLJE)</v>
      </c>
    </row>
    <row r="1777">
      <c r="A1777" s="3" t="s">
        <v>2022</v>
      </c>
      <c r="B1777" s="3">
        <v>17000.0</v>
      </c>
      <c r="C1777" s="3" t="s">
        <v>32</v>
      </c>
      <c r="D1777" s="4" t="b">
        <f t="shared" si="1"/>
        <v>0</v>
      </c>
      <c r="E1777" s="4" t="str">
        <f t="shared" si="2"/>
        <v>YAKAFAUCON</v>
      </c>
    </row>
    <row r="1778">
      <c r="A1778" s="3" t="s">
        <v>2023</v>
      </c>
      <c r="B1778" s="3">
        <v>13000.0</v>
      </c>
      <c r="C1778" s="3" t="s">
        <v>6</v>
      </c>
      <c r="D1778" s="4" t="b">
        <f t="shared" si="1"/>
        <v>0</v>
      </c>
      <c r="E1778" s="4" t="str">
        <f t="shared" si="2"/>
        <v>YAWATA ASSOCIATION DES ECHANGES DE PROCEDES ARTISTIQUES</v>
      </c>
    </row>
    <row r="1779">
      <c r="A1779" s="3" t="s">
        <v>2024</v>
      </c>
      <c r="B1779" s="4"/>
      <c r="C1779" s="4"/>
      <c r="D1779" s="4" t="b">
        <f t="shared" si="1"/>
        <v>1</v>
      </c>
      <c r="E1779" s="4" t="str">
        <f t="shared" si="2"/>
        <v>ARTISTIQUES</v>
      </c>
    </row>
    <row r="1780">
      <c r="A1780" s="3" t="s">
        <v>2025</v>
      </c>
      <c r="B1780" s="3">
        <v>0.0</v>
      </c>
      <c r="C1780" s="3" t="s">
        <v>32</v>
      </c>
      <c r="D1780" s="4" t="b">
        <f t="shared" si="1"/>
        <v>0</v>
      </c>
      <c r="E1780" s="4" t="str">
        <f t="shared" si="2"/>
        <v>YOBALEMA</v>
      </c>
    </row>
    <row r="1781">
      <c r="A1781" s="3" t="s">
        <v>2026</v>
      </c>
      <c r="B1781" s="3">
        <v>0.0</v>
      </c>
      <c r="C1781" s="3" t="s">
        <v>3</v>
      </c>
      <c r="D1781" s="4" t="b">
        <f t="shared" si="1"/>
        <v>0</v>
      </c>
      <c r="E1781" s="4" t="str">
        <f t="shared" si="2"/>
        <v>YOGA ET YOGA</v>
      </c>
    </row>
    <row r="1782">
      <c r="A1782" s="3" t="s">
        <v>2027</v>
      </c>
      <c r="B1782" s="3">
        <v>0.0</v>
      </c>
      <c r="C1782" s="3" t="s">
        <v>3</v>
      </c>
      <c r="D1782" s="4" t="b">
        <f t="shared" si="1"/>
        <v>0</v>
      </c>
      <c r="E1782" s="4" t="str">
        <f t="shared" si="2"/>
        <v>YOGALBEDO</v>
      </c>
    </row>
    <row r="1783">
      <c r="A1783" s="3" t="s">
        <v>2028</v>
      </c>
      <c r="B1783" s="3">
        <v>0.0</v>
      </c>
      <c r="C1783" s="3" t="s">
        <v>29</v>
      </c>
      <c r="D1783" s="4" t="b">
        <f t="shared" si="1"/>
        <v>0</v>
      </c>
      <c r="E1783" s="4" t="str">
        <f t="shared" si="2"/>
        <v>YOGHINY</v>
      </c>
    </row>
    <row r="1784">
      <c r="A1784" s="3" t="s">
        <v>2029</v>
      </c>
      <c r="B1784" s="3">
        <v>0.0</v>
      </c>
      <c r="C1784" s="3" t="s">
        <v>29</v>
      </c>
      <c r="D1784" s="4" t="b">
        <f t="shared" si="1"/>
        <v>0</v>
      </c>
      <c r="E1784" s="4" t="str">
        <f t="shared" si="2"/>
        <v>ZANSHIN CLUB</v>
      </c>
    </row>
    <row r="1785">
      <c r="A1785" s="3" t="s">
        <v>2030</v>
      </c>
      <c r="B1785" s="3">
        <v>23000.0</v>
      </c>
      <c r="C1785" s="3" t="s">
        <v>3</v>
      </c>
      <c r="D1785" s="4" t="b">
        <f t="shared" si="1"/>
        <v>0</v>
      </c>
      <c r="E1785" s="4" t="str">
        <f t="shared" si="2"/>
        <v>ZEBRA 3</v>
      </c>
    </row>
    <row r="1786">
      <c r="A1786" s="3" t="s">
        <v>2031</v>
      </c>
      <c r="B1786" s="3">
        <v>9000.0</v>
      </c>
      <c r="C1786" s="4"/>
      <c r="D1786" s="4" t="b">
        <f t="shared" si="1"/>
        <v>0</v>
      </c>
      <c r="E1786" s="4" t="str">
        <f t="shared" si="2"/>
        <v>ZEKI</v>
      </c>
    </row>
    <row r="1787">
      <c r="A1787" s="3" t="s">
        <v>2032</v>
      </c>
      <c r="B1787" s="3">
        <v>4300.0</v>
      </c>
      <c r="C1787" s="3" t="s">
        <v>6</v>
      </c>
      <c r="D1787" s="4" t="b">
        <f t="shared" si="1"/>
        <v>0</v>
      </c>
      <c r="E1787" s="4" t="str">
        <f t="shared" si="2"/>
        <v>Ô PLAFOND Entreprises</v>
      </c>
    </row>
    <row r="1788">
      <c r="A1788" s="3" t="s">
        <v>2034</v>
      </c>
      <c r="B1788" s="4"/>
      <c r="C1788" s="4"/>
      <c r="D1788" s="4" t="b">
        <f t="shared" si="1"/>
        <v>1</v>
      </c>
      <c r="E1788" s="4" t="str">
        <f t="shared" si="2"/>
        <v>Entreprises Personnes physiques</v>
      </c>
    </row>
    <row r="1789">
      <c r="A1789" s="3" t="s">
        <v>2035</v>
      </c>
      <c r="B1789" s="4"/>
      <c r="C1789" s="4"/>
      <c r="D1789" s="4" t="b">
        <f t="shared" si="1"/>
        <v>1</v>
      </c>
      <c r="E1789" s="4" t="str">
        <f t="shared" si="2"/>
        <v>Personnes physiques Autres</v>
      </c>
    </row>
    <row r="1790">
      <c r="A1790" s="3" t="s">
        <v>2036</v>
      </c>
      <c r="B1790" s="4"/>
      <c r="C1790" s="4"/>
      <c r="D1790" s="4" t="b">
        <f t="shared" si="1"/>
        <v>1</v>
      </c>
      <c r="E1790" s="4" t="str">
        <f t="shared" si="2"/>
        <v>Autres Personnes de droit public</v>
      </c>
    </row>
    <row r="1791">
      <c r="A1791" s="3" t="s">
        <v>2037</v>
      </c>
      <c r="B1791" s="4"/>
      <c r="C1791" s="4"/>
      <c r="D1791" s="4" t="b">
        <f t="shared" si="1"/>
        <v>1</v>
      </c>
      <c r="E1791" s="4" t="str">
        <f t="shared" si="2"/>
        <v>Personnes de droit public Etat</v>
      </c>
    </row>
    <row r="1792">
      <c r="A1792" s="3" t="s">
        <v>2038</v>
      </c>
      <c r="B1792" s="4"/>
      <c r="C1792" s="4"/>
      <c r="D1792" s="4" t="b">
        <f t="shared" si="1"/>
        <v>1</v>
      </c>
      <c r="E1792" s="4" t="str">
        <f t="shared" si="2"/>
        <v>Etat Régions</v>
      </c>
    </row>
    <row r="1793">
      <c r="A1793" s="3" t="s">
        <v>2039</v>
      </c>
      <c r="B1793" s="4"/>
      <c r="C1793" s="4"/>
      <c r="D1793" s="4" t="b">
        <f t="shared" si="1"/>
        <v>1</v>
      </c>
      <c r="E1793" s="4" t="str">
        <f t="shared" si="2"/>
        <v>Régions Départements</v>
      </c>
    </row>
    <row r="1794">
      <c r="A1794" s="3" t="s">
        <v>2040</v>
      </c>
      <c r="B1794" s="4"/>
      <c r="C1794" s="4"/>
      <c r="D1794" s="4" t="b">
        <f t="shared" si="1"/>
        <v>1</v>
      </c>
      <c r="E1794" s="4" t="str">
        <f t="shared" si="2"/>
        <v>Départements Communes</v>
      </c>
    </row>
    <row r="1795">
      <c r="A1795" s="3" t="s">
        <v>2041</v>
      </c>
      <c r="B1795" s="4"/>
      <c r="C1795" s="4"/>
      <c r="D1795" s="4" t="b">
        <f t="shared" si="1"/>
        <v>1</v>
      </c>
      <c r="E1795" s="4" t="str">
        <f t="shared" si="2"/>
        <v>Communes Etablissements publics (EPCI, EPA, EPIC,...)</v>
      </c>
    </row>
    <row r="1796">
      <c r="A1796" s="3" t="s">
        <v>2042</v>
      </c>
      <c r="B1796" s="4"/>
      <c r="C1796" s="4"/>
      <c r="D1796" s="4" t="b">
        <f t="shared" si="1"/>
        <v>1</v>
      </c>
      <c r="E1796" s="4" t="str">
        <f t="shared" si="2"/>
        <v>Etablissements publics (EPCI, EPA, EPIC,...)</v>
      </c>
    </row>
    <row r="1797">
      <c r="A1797" s="3" t="s">
        <v>283</v>
      </c>
      <c r="B1797" s="3">
        <v>5000.0</v>
      </c>
      <c r="C1797" s="4"/>
      <c r="D1797" s="4" t="b">
        <f t="shared" si="1"/>
        <v>0</v>
      </c>
      <c r="E1797" s="4" t="str">
        <f t="shared" si="2"/>
        <v>BORDEAUX METROPOLE</v>
      </c>
    </row>
    <row r="1798">
      <c r="A1798" s="3" t="s">
        <v>2043</v>
      </c>
      <c r="B1798" s="3">
        <v>3120000.0</v>
      </c>
      <c r="C1798" s="4"/>
      <c r="D1798" s="4" t="b">
        <f t="shared" si="1"/>
        <v>0</v>
      </c>
      <c r="E1798" s="4" t="str">
        <f t="shared" si="2"/>
        <v>ECOLE D'ENSEIGNEMENT SUPÉRIEUR D'ART DE BORDEAUX - ESAB</v>
      </c>
    </row>
    <row r="1799">
      <c r="A1799" s="3" t="s">
        <v>2045</v>
      </c>
      <c r="B1799" s="3">
        <v>52500.0</v>
      </c>
      <c r="C1799" s="3" t="s">
        <v>3</v>
      </c>
      <c r="D1799" s="4" t="b">
        <f t="shared" si="1"/>
        <v>0</v>
      </c>
      <c r="E1799" s="4" t="str">
        <f t="shared" si="2"/>
        <v>FONDATION D'AUTEUIL AQUITAINE</v>
      </c>
    </row>
    <row r="1800">
      <c r="A1800" s="3" t="s">
        <v>2047</v>
      </c>
      <c r="B1800" s="3">
        <v>7000.0</v>
      </c>
      <c r="C1800" s="4"/>
      <c r="D1800" s="4" t="b">
        <f t="shared" si="1"/>
        <v>0</v>
      </c>
      <c r="E1800" s="4" t="str">
        <f t="shared" si="2"/>
        <v>FOYER SOCIO-EDUCATIF HORTICOLE</v>
      </c>
    </row>
    <row r="1801">
      <c r="A1801" s="3" t="s">
        <v>2048</v>
      </c>
      <c r="B1801" s="3">
        <v>7600.0</v>
      </c>
      <c r="C1801" s="4"/>
      <c r="D1801" s="4" t="b">
        <f t="shared" si="1"/>
        <v>0</v>
      </c>
      <c r="E1801" s="4" t="str">
        <f t="shared" si="2"/>
        <v>GRAND PORT MARITIME DE BORDEAUX</v>
      </c>
    </row>
    <row r="1802">
      <c r="A1802" s="3" t="s">
        <v>2049</v>
      </c>
      <c r="B1802" s="3">
        <v>16628.76</v>
      </c>
      <c r="C1802" s="4"/>
      <c r="D1802" s="4" t="b">
        <f t="shared" si="1"/>
        <v>0</v>
      </c>
      <c r="E1802" s="4" t="str">
        <f t="shared" si="2"/>
        <v>LYCEE PROFESSIONNEL JEHAN DUPERIER</v>
      </c>
    </row>
    <row r="1803">
      <c r="A1803" s="3" t="s">
        <v>2051</v>
      </c>
      <c r="B1803" s="3">
        <v>15920.46</v>
      </c>
      <c r="C1803" s="4"/>
      <c r="D1803" s="4" t="b">
        <f t="shared" si="1"/>
        <v>0</v>
      </c>
      <c r="E1803" s="4" t="str">
        <f t="shared" si="2"/>
        <v>LYCEE VITICOLE-CFPPA CHATEAU DILLON (EPLEFPA)</v>
      </c>
    </row>
    <row r="1804">
      <c r="A1804" s="3" t="s">
        <v>2053</v>
      </c>
      <c r="B1804" s="3">
        <v>1.616767E7</v>
      </c>
      <c r="C1804" s="4"/>
      <c r="D1804" s="4" t="b">
        <f t="shared" si="1"/>
        <v>0</v>
      </c>
      <c r="E1804" s="4" t="str">
        <f t="shared" si="2"/>
        <v>OPERA NATIONAL DE BORDEAUX</v>
      </c>
    </row>
    <row r="1805">
      <c r="A1805" s="3" t="s">
        <v>2055</v>
      </c>
      <c r="B1805" s="3">
        <v>82.0</v>
      </c>
      <c r="C1805" s="4"/>
      <c r="D1805" s="4" t="b">
        <f t="shared" si="1"/>
        <v>0</v>
      </c>
      <c r="E1805" s="4" t="str">
        <f t="shared" si="2"/>
        <v>RESEAU CANOPE SITE DE POITIERS - CNDP Autres</v>
      </c>
    </row>
    <row r="1806">
      <c r="A1806" s="3" t="s">
        <v>2036</v>
      </c>
      <c r="B1806" s="4"/>
      <c r="C1806" s="4"/>
      <c r="D1806" s="4" t="b">
        <f t="shared" si="1"/>
        <v>1</v>
      </c>
      <c r="E1806" s="4" t="str">
        <f t="shared" si="2"/>
        <v>Autres</v>
      </c>
    </row>
    <row r="1807">
      <c r="A1807" s="3" t="s">
        <v>2057</v>
      </c>
      <c r="B1807" s="3">
        <v>7912204.0</v>
      </c>
      <c r="C1807" s="4"/>
      <c r="D1807" s="4" t="b">
        <f t="shared" si="1"/>
        <v>0</v>
      </c>
      <c r="E1807" s="4" t="str">
        <f t="shared" si="2"/>
        <v>CCAS DE BORDEAUX</v>
      </c>
    </row>
    <row r="1808">
      <c r="A1808" s="3" t="s">
        <v>2059</v>
      </c>
      <c r="B1808" s="3">
        <v>10536.77</v>
      </c>
      <c r="C1808" s="4"/>
      <c r="D1808" s="4" t="b">
        <f t="shared" si="1"/>
        <v>0</v>
      </c>
      <c r="E1808" s="4" t="str">
        <f t="shared" si="2"/>
        <v>CHAMBRE DES METIERS DE LA GIRONDE</v>
      </c>
    </row>
    <row r="1809">
      <c r="A1809" s="3" t="s">
        <v>2061</v>
      </c>
      <c r="B1809" s="3">
        <v>13000.0</v>
      </c>
      <c r="C1809" s="4"/>
      <c r="D1809" s="4" t="b">
        <f t="shared" si="1"/>
        <v>0</v>
      </c>
      <c r="E1809" s="4" t="str">
        <f t="shared" si="2"/>
        <v>INSTITUT D'ETUDES POLITIQUES SCIENCES PO</v>
      </c>
    </row>
    <row r="1810">
      <c r="A1810" s="4"/>
      <c r="B1810" s="4"/>
      <c r="C1810" s="4"/>
      <c r="D1810" s="4"/>
      <c r="E1810" s="4"/>
    </row>
    <row r="1811">
      <c r="A1811" s="4"/>
      <c r="B1811" s="4"/>
      <c r="C1811" s="4"/>
      <c r="D1811" s="4"/>
      <c r="E1811" s="4" t="str">
        <f>if(D1811=TRUE, CONCATENATE(A1810," ",A1811),A1810)</f>
        <v/>
      </c>
    </row>
  </sheetData>
  <mergeCells count="1">
    <mergeCell ref="A1:E1"/>
  </mergeCells>
  <conditionalFormatting sqref="D2:D1811">
    <cfRule type="cellIs" dxfId="0" priority="1" operator="equal">
      <formula>"TRUE"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9.63"/>
    <col customWidth="1" min="3" max="3" width="24.88"/>
    <col customWidth="1" min="4" max="4" width="19.13"/>
    <col customWidth="1" min="5" max="5" width="24.88"/>
  </cols>
  <sheetData>
    <row r="1" ht="82.5" customHeight="1">
      <c r="A1" s="1" t="s">
        <v>2064</v>
      </c>
    </row>
    <row r="2">
      <c r="A2" s="3"/>
      <c r="B2" s="5" t="s">
        <v>2065</v>
      </c>
      <c r="C2" s="5" t="s">
        <v>2066</v>
      </c>
      <c r="D2" s="6" t="s">
        <v>2067</v>
      </c>
      <c r="E2" s="7" t="s">
        <v>2068</v>
      </c>
    </row>
    <row r="3">
      <c r="A3" s="3" t="s">
        <v>1</v>
      </c>
      <c r="B3" s="3">
        <v>0.0</v>
      </c>
      <c r="C3" s="3" t="s">
        <v>3</v>
      </c>
      <c r="D3" s="4" t="b">
        <f t="shared" ref="D3:D1810" si="1">ISBLANK(B3)</f>
        <v>0</v>
      </c>
      <c r="E3" s="4" t="s">
        <v>2069</v>
      </c>
    </row>
    <row r="4">
      <c r="A4" s="3" t="s">
        <v>4</v>
      </c>
      <c r="B4" s="4"/>
      <c r="C4" s="4"/>
      <c r="D4" s="4" t="b">
        <f t="shared" si="1"/>
        <v>1</v>
      </c>
      <c r="E4" s="4" t="s">
        <v>4</v>
      </c>
    </row>
    <row r="5">
      <c r="A5" s="3" t="s">
        <v>5</v>
      </c>
      <c r="B5" s="3">
        <v>0.0</v>
      </c>
      <c r="C5" s="3" t="s">
        <v>6</v>
      </c>
      <c r="D5" s="4" t="b">
        <f t="shared" si="1"/>
        <v>0</v>
      </c>
      <c r="E5" s="4" t="s">
        <v>5</v>
      </c>
    </row>
    <row r="6">
      <c r="A6" s="3" t="s">
        <v>7</v>
      </c>
      <c r="B6" s="3">
        <v>0.0</v>
      </c>
      <c r="C6" s="3" t="s">
        <v>3</v>
      </c>
      <c r="D6" s="4" t="b">
        <f t="shared" si="1"/>
        <v>0</v>
      </c>
      <c r="E6" s="4" t="s">
        <v>7</v>
      </c>
    </row>
    <row r="7">
      <c r="A7" s="3" t="s">
        <v>8</v>
      </c>
      <c r="B7" s="3">
        <v>0.0</v>
      </c>
      <c r="C7" s="3" t="s">
        <v>3</v>
      </c>
      <c r="D7" s="4" t="b">
        <f t="shared" si="1"/>
        <v>0</v>
      </c>
      <c r="E7" s="4" t="s">
        <v>8</v>
      </c>
    </row>
    <row r="8">
      <c r="A8" s="3" t="s">
        <v>9</v>
      </c>
      <c r="B8" s="3">
        <v>0.0</v>
      </c>
      <c r="C8" s="3" t="s">
        <v>3</v>
      </c>
      <c r="D8" s="4" t="b">
        <f t="shared" si="1"/>
        <v>0</v>
      </c>
      <c r="E8" s="4" t="s">
        <v>9</v>
      </c>
    </row>
    <row r="9">
      <c r="A9" s="3" t="s">
        <v>10</v>
      </c>
      <c r="B9" s="3">
        <v>1000.0</v>
      </c>
      <c r="C9" s="4"/>
      <c r="D9" s="4" t="b">
        <f t="shared" si="1"/>
        <v>0</v>
      </c>
      <c r="E9" s="4" t="s">
        <v>10</v>
      </c>
    </row>
    <row r="10">
      <c r="A10" s="3" t="s">
        <v>12</v>
      </c>
      <c r="B10" s="3">
        <v>1800.0</v>
      </c>
      <c r="C10" s="4"/>
      <c r="D10" s="4" t="b">
        <f t="shared" si="1"/>
        <v>0</v>
      </c>
      <c r="E10" s="4" t="s">
        <v>12</v>
      </c>
    </row>
    <row r="11">
      <c r="A11" s="3" t="s">
        <v>14</v>
      </c>
      <c r="B11" s="3">
        <v>19000.0</v>
      </c>
      <c r="C11" s="3" t="s">
        <v>16</v>
      </c>
      <c r="D11" s="4" t="b">
        <f t="shared" si="1"/>
        <v>0</v>
      </c>
      <c r="E11" s="4" t="s">
        <v>14</v>
      </c>
    </row>
    <row r="12">
      <c r="A12" s="3" t="s">
        <v>17</v>
      </c>
      <c r="B12" s="3">
        <v>500.0</v>
      </c>
      <c r="C12" s="4"/>
      <c r="D12" s="4" t="b">
        <f t="shared" si="1"/>
        <v>0</v>
      </c>
      <c r="E12" s="4" t="s">
        <v>17</v>
      </c>
    </row>
    <row r="13">
      <c r="A13" s="3" t="s">
        <v>19</v>
      </c>
      <c r="B13" s="3">
        <v>2000.0</v>
      </c>
      <c r="C13" s="4"/>
      <c r="D13" s="4" t="b">
        <f t="shared" si="1"/>
        <v>0</v>
      </c>
      <c r="E13" s="4" t="s">
        <v>19</v>
      </c>
    </row>
    <row r="14">
      <c r="A14" s="3" t="s">
        <v>21</v>
      </c>
      <c r="B14" s="3">
        <v>3000.0</v>
      </c>
      <c r="C14" s="4"/>
      <c r="D14" s="4" t="b">
        <f t="shared" si="1"/>
        <v>0</v>
      </c>
      <c r="E14" s="4" t="s">
        <v>21</v>
      </c>
    </row>
    <row r="15">
      <c r="A15" s="3" t="s">
        <v>23</v>
      </c>
      <c r="B15" s="3">
        <v>0.0</v>
      </c>
      <c r="C15" s="3" t="s">
        <v>3</v>
      </c>
      <c r="D15" s="4" t="b">
        <f t="shared" si="1"/>
        <v>0</v>
      </c>
      <c r="E15" s="4" t="s">
        <v>23</v>
      </c>
    </row>
    <row r="16">
      <c r="A16" s="3" t="s">
        <v>24</v>
      </c>
      <c r="B16" s="3">
        <v>0.0</v>
      </c>
      <c r="C16" s="3" t="s">
        <v>3</v>
      </c>
      <c r="D16" s="4" t="b">
        <f t="shared" si="1"/>
        <v>0</v>
      </c>
      <c r="E16" s="4" t="s">
        <v>24</v>
      </c>
    </row>
    <row r="17">
      <c r="A17" s="3" t="s">
        <v>25</v>
      </c>
      <c r="B17" s="3">
        <v>0.0</v>
      </c>
      <c r="C17" s="3" t="s">
        <v>26</v>
      </c>
      <c r="D17" s="4" t="b">
        <f t="shared" si="1"/>
        <v>0</v>
      </c>
      <c r="E17" s="4" t="s">
        <v>25</v>
      </c>
    </row>
    <row r="18">
      <c r="A18" s="3" t="s">
        <v>27</v>
      </c>
      <c r="B18" s="3">
        <v>0.0</v>
      </c>
      <c r="C18" s="3" t="s">
        <v>3</v>
      </c>
      <c r="D18" s="4" t="b">
        <f t="shared" si="1"/>
        <v>0</v>
      </c>
      <c r="E18" s="4" t="s">
        <v>27</v>
      </c>
    </row>
    <row r="19">
      <c r="A19" s="3" t="s">
        <v>28</v>
      </c>
      <c r="B19" s="3">
        <v>0.0</v>
      </c>
      <c r="C19" s="3" t="s">
        <v>29</v>
      </c>
      <c r="D19" s="4" t="b">
        <f t="shared" si="1"/>
        <v>0</v>
      </c>
      <c r="E19" s="4" t="s">
        <v>28</v>
      </c>
    </row>
    <row r="20">
      <c r="A20" s="3" t="s">
        <v>30</v>
      </c>
      <c r="B20" s="3">
        <v>7600.0</v>
      </c>
      <c r="C20" s="3" t="s">
        <v>32</v>
      </c>
      <c r="D20" s="4" t="b">
        <f t="shared" si="1"/>
        <v>0</v>
      </c>
      <c r="E20" s="4" t="s">
        <v>2070</v>
      </c>
    </row>
    <row r="21">
      <c r="A21" s="3" t="s">
        <v>33</v>
      </c>
      <c r="B21" s="4"/>
      <c r="C21" s="4"/>
      <c r="D21" s="4" t="b">
        <f t="shared" si="1"/>
        <v>1</v>
      </c>
      <c r="E21" s="4" t="s">
        <v>33</v>
      </c>
    </row>
    <row r="22">
      <c r="A22" s="3" t="s">
        <v>34</v>
      </c>
      <c r="B22" s="3">
        <v>0.0</v>
      </c>
      <c r="C22" s="3" t="s">
        <v>3</v>
      </c>
      <c r="D22" s="4" t="b">
        <f t="shared" si="1"/>
        <v>0</v>
      </c>
      <c r="E22" s="4" t="s">
        <v>34</v>
      </c>
    </row>
    <row r="23">
      <c r="A23" s="3" t="s">
        <v>35</v>
      </c>
      <c r="B23" s="3">
        <v>22000.0</v>
      </c>
      <c r="C23" s="3" t="s">
        <v>37</v>
      </c>
      <c r="D23" s="4" t="b">
        <f t="shared" si="1"/>
        <v>0</v>
      </c>
      <c r="E23" s="4" t="s">
        <v>2071</v>
      </c>
    </row>
    <row r="24">
      <c r="A24" s="4"/>
      <c r="B24" s="4"/>
      <c r="C24" s="3" t="s">
        <v>38</v>
      </c>
      <c r="D24" s="4" t="b">
        <f t="shared" si="1"/>
        <v>1</v>
      </c>
      <c r="E24" s="4"/>
    </row>
    <row r="25">
      <c r="A25" s="3" t="s">
        <v>39</v>
      </c>
      <c r="B25" s="3">
        <v>0.0</v>
      </c>
      <c r="C25" s="3" t="s">
        <v>3</v>
      </c>
      <c r="D25" s="4" t="b">
        <f t="shared" si="1"/>
        <v>0</v>
      </c>
      <c r="E25" s="4" t="s">
        <v>2072</v>
      </c>
    </row>
    <row r="26">
      <c r="A26" s="3" t="s">
        <v>40</v>
      </c>
      <c r="B26" s="4"/>
      <c r="C26" s="4"/>
      <c r="D26" s="4" t="b">
        <f t="shared" si="1"/>
        <v>1</v>
      </c>
      <c r="E26" s="4" t="s">
        <v>40</v>
      </c>
    </row>
    <row r="27">
      <c r="A27" s="3" t="s">
        <v>41</v>
      </c>
      <c r="B27" s="3">
        <v>5000.0</v>
      </c>
      <c r="C27" s="4"/>
      <c r="D27" s="4" t="b">
        <f t="shared" si="1"/>
        <v>0</v>
      </c>
      <c r="E27" s="4" t="s">
        <v>2073</v>
      </c>
    </row>
    <row r="28">
      <c r="A28" s="3" t="s">
        <v>43</v>
      </c>
      <c r="B28" s="4"/>
      <c r="C28" s="4"/>
      <c r="D28" s="4" t="b">
        <f t="shared" si="1"/>
        <v>1</v>
      </c>
      <c r="E28" s="4" t="s">
        <v>43</v>
      </c>
    </row>
    <row r="29">
      <c r="A29" s="3" t="s">
        <v>44</v>
      </c>
      <c r="B29" s="3">
        <v>300.0</v>
      </c>
      <c r="C29" s="3" t="s">
        <v>3</v>
      </c>
      <c r="D29" s="4" t="b">
        <f t="shared" si="1"/>
        <v>0</v>
      </c>
      <c r="E29" s="4" t="s">
        <v>44</v>
      </c>
    </row>
    <row r="30">
      <c r="A30" s="3" t="s">
        <v>46</v>
      </c>
      <c r="B30" s="3">
        <v>4500.0</v>
      </c>
      <c r="C30" s="3" t="s">
        <v>3</v>
      </c>
      <c r="D30" s="4" t="b">
        <f t="shared" si="1"/>
        <v>0</v>
      </c>
      <c r="E30" s="4" t="s">
        <v>46</v>
      </c>
    </row>
    <row r="31">
      <c r="A31" s="3" t="s">
        <v>48</v>
      </c>
      <c r="B31" s="3">
        <v>0.0</v>
      </c>
      <c r="C31" s="3" t="s">
        <v>3</v>
      </c>
      <c r="D31" s="4" t="b">
        <f t="shared" si="1"/>
        <v>0</v>
      </c>
      <c r="E31" s="4" t="s">
        <v>2074</v>
      </c>
    </row>
    <row r="32">
      <c r="A32" s="3" t="s">
        <v>49</v>
      </c>
      <c r="B32" s="4"/>
      <c r="C32" s="4"/>
      <c r="D32" s="4" t="b">
        <f t="shared" si="1"/>
        <v>1</v>
      </c>
      <c r="E32" s="4" t="s">
        <v>49</v>
      </c>
    </row>
    <row r="33">
      <c r="A33" s="3" t="s">
        <v>50</v>
      </c>
      <c r="B33" s="3">
        <v>10000.0</v>
      </c>
      <c r="C33" s="3" t="s">
        <v>3</v>
      </c>
      <c r="D33" s="4" t="b">
        <f t="shared" si="1"/>
        <v>0</v>
      </c>
      <c r="E33" s="4" t="s">
        <v>2075</v>
      </c>
    </row>
    <row r="34">
      <c r="A34" s="3" t="s">
        <v>52</v>
      </c>
      <c r="B34" s="4"/>
      <c r="C34" s="4"/>
      <c r="D34" s="4" t="b">
        <f t="shared" si="1"/>
        <v>1</v>
      </c>
      <c r="E34" s="4" t="s">
        <v>52</v>
      </c>
    </row>
    <row r="35">
      <c r="A35" s="3" t="s">
        <v>53</v>
      </c>
      <c r="B35" s="3">
        <v>22000.0</v>
      </c>
      <c r="C35" s="4"/>
      <c r="D35" s="4" t="b">
        <f t="shared" si="1"/>
        <v>0</v>
      </c>
      <c r="E35" s="4" t="s">
        <v>53</v>
      </c>
    </row>
    <row r="36">
      <c r="A36" s="3" t="s">
        <v>54</v>
      </c>
      <c r="B36" s="3">
        <v>0.0</v>
      </c>
      <c r="C36" s="3" t="s">
        <v>3</v>
      </c>
      <c r="D36" s="4" t="b">
        <f t="shared" si="1"/>
        <v>0</v>
      </c>
      <c r="E36" s="4" t="s">
        <v>54</v>
      </c>
    </row>
    <row r="37">
      <c r="A37" s="3" t="s">
        <v>55</v>
      </c>
      <c r="B37" s="3">
        <v>2400.0</v>
      </c>
      <c r="C37" s="4"/>
      <c r="D37" s="4" t="b">
        <f t="shared" si="1"/>
        <v>0</v>
      </c>
      <c r="E37" s="4" t="s">
        <v>55</v>
      </c>
    </row>
    <row r="38">
      <c r="A38" s="3" t="s">
        <v>57</v>
      </c>
      <c r="B38" s="3">
        <v>6500.0</v>
      </c>
      <c r="C38" s="4"/>
      <c r="D38" s="4" t="b">
        <f t="shared" si="1"/>
        <v>0</v>
      </c>
      <c r="E38" s="4" t="s">
        <v>57</v>
      </c>
    </row>
    <row r="39">
      <c r="A39" s="3" t="s">
        <v>59</v>
      </c>
      <c r="B39" s="3">
        <v>0.0</v>
      </c>
      <c r="C39" s="3" t="s">
        <v>3</v>
      </c>
      <c r="D39" s="4" t="b">
        <f t="shared" si="1"/>
        <v>0</v>
      </c>
      <c r="E39" s="4" t="s">
        <v>59</v>
      </c>
    </row>
    <row r="40">
      <c r="A40" s="3" t="s">
        <v>60</v>
      </c>
      <c r="B40" s="3">
        <v>0.0</v>
      </c>
      <c r="C40" s="3" t="s">
        <v>3</v>
      </c>
      <c r="D40" s="4" t="b">
        <f t="shared" si="1"/>
        <v>0</v>
      </c>
      <c r="E40" s="4" t="s">
        <v>60</v>
      </c>
    </row>
    <row r="41">
      <c r="A41" s="3" t="s">
        <v>61</v>
      </c>
      <c r="B41" s="3">
        <v>0.0</v>
      </c>
      <c r="C41" s="3" t="s">
        <v>3</v>
      </c>
      <c r="D41" s="4" t="b">
        <f t="shared" si="1"/>
        <v>0</v>
      </c>
      <c r="E41" s="4" t="s">
        <v>61</v>
      </c>
    </row>
    <row r="42">
      <c r="A42" s="3" t="s">
        <v>62</v>
      </c>
      <c r="B42" s="3">
        <v>500.0</v>
      </c>
      <c r="C42" s="4"/>
      <c r="D42" s="4" t="b">
        <f t="shared" si="1"/>
        <v>0</v>
      </c>
      <c r="E42" s="4" t="s">
        <v>62</v>
      </c>
    </row>
    <row r="43">
      <c r="A43" s="3" t="s">
        <v>63</v>
      </c>
      <c r="B43" s="3">
        <v>5000.0</v>
      </c>
      <c r="C43" s="3" t="s">
        <v>3</v>
      </c>
      <c r="D43" s="4" t="b">
        <f t="shared" si="1"/>
        <v>0</v>
      </c>
      <c r="E43" s="4" t="s">
        <v>63</v>
      </c>
    </row>
    <row r="44">
      <c r="A44" s="3" t="s">
        <v>64</v>
      </c>
      <c r="B44" s="3">
        <v>1500.0</v>
      </c>
      <c r="C44" s="4"/>
      <c r="D44" s="4" t="b">
        <f t="shared" si="1"/>
        <v>0</v>
      </c>
      <c r="E44" s="4" t="s">
        <v>64</v>
      </c>
    </row>
    <row r="45">
      <c r="A45" s="3" t="s">
        <v>66</v>
      </c>
      <c r="B45" s="3">
        <v>0.0</v>
      </c>
      <c r="C45" s="3" t="s">
        <v>6</v>
      </c>
      <c r="D45" s="4" t="b">
        <f t="shared" si="1"/>
        <v>0</v>
      </c>
      <c r="E45" s="4" t="s">
        <v>66</v>
      </c>
    </row>
    <row r="46">
      <c r="A46" s="3" t="s">
        <v>67</v>
      </c>
      <c r="B46" s="3">
        <v>1500.0</v>
      </c>
      <c r="C46" s="4"/>
      <c r="D46" s="4" t="b">
        <f t="shared" si="1"/>
        <v>0</v>
      </c>
      <c r="E46" s="4" t="s">
        <v>67</v>
      </c>
    </row>
    <row r="47">
      <c r="A47" s="3" t="s">
        <v>68</v>
      </c>
      <c r="B47" s="3">
        <v>60000.0</v>
      </c>
      <c r="C47" s="4"/>
      <c r="D47" s="4" t="b">
        <f t="shared" si="1"/>
        <v>0</v>
      </c>
      <c r="E47" s="4" t="s">
        <v>2076</v>
      </c>
    </row>
    <row r="48">
      <c r="A48" s="3" t="s">
        <v>70</v>
      </c>
      <c r="B48" s="4"/>
      <c r="C48" s="4"/>
      <c r="D48" s="4" t="b">
        <f t="shared" si="1"/>
        <v>1</v>
      </c>
      <c r="E48" s="4" t="s">
        <v>70</v>
      </c>
    </row>
    <row r="49">
      <c r="A49" s="3" t="s">
        <v>71</v>
      </c>
      <c r="B49" s="3">
        <v>6000.0</v>
      </c>
      <c r="C49" s="3" t="s">
        <v>3</v>
      </c>
      <c r="D49" s="4" t="b">
        <f t="shared" si="1"/>
        <v>0</v>
      </c>
      <c r="E49" s="4" t="s">
        <v>71</v>
      </c>
    </row>
    <row r="50">
      <c r="A50" s="3" t="s">
        <v>73</v>
      </c>
      <c r="B50" s="3">
        <v>0.0</v>
      </c>
      <c r="C50" s="3" t="s">
        <v>6</v>
      </c>
      <c r="D50" s="4" t="b">
        <f t="shared" si="1"/>
        <v>0</v>
      </c>
      <c r="E50" s="4" t="s">
        <v>73</v>
      </c>
    </row>
    <row r="51">
      <c r="A51" s="3" t="s">
        <v>74</v>
      </c>
      <c r="B51" s="3">
        <v>500.0</v>
      </c>
      <c r="C51" s="4"/>
      <c r="D51" s="4" t="b">
        <f t="shared" si="1"/>
        <v>0</v>
      </c>
      <c r="E51" s="4" t="s">
        <v>2077</v>
      </c>
    </row>
    <row r="52">
      <c r="A52" s="3" t="s">
        <v>75</v>
      </c>
      <c r="B52" s="4"/>
      <c r="C52" s="4"/>
      <c r="D52" s="4" t="b">
        <f t="shared" si="1"/>
        <v>1</v>
      </c>
      <c r="E52" s="4" t="s">
        <v>75</v>
      </c>
    </row>
    <row r="53">
      <c r="A53" s="3" t="s">
        <v>76</v>
      </c>
      <c r="B53" s="3">
        <v>5000.0</v>
      </c>
      <c r="C53" s="3" t="s">
        <v>6</v>
      </c>
      <c r="D53" s="4" t="b">
        <f t="shared" si="1"/>
        <v>0</v>
      </c>
      <c r="E53" s="4" t="s">
        <v>76</v>
      </c>
    </row>
    <row r="54">
      <c r="A54" s="3" t="s">
        <v>77</v>
      </c>
      <c r="B54" s="3">
        <v>2000.0</v>
      </c>
      <c r="C54" s="4"/>
      <c r="D54" s="4" t="b">
        <f t="shared" si="1"/>
        <v>0</v>
      </c>
      <c r="E54" s="4" t="s">
        <v>77</v>
      </c>
    </row>
    <row r="55">
      <c r="A55" s="3" t="s">
        <v>78</v>
      </c>
      <c r="B55" s="3">
        <v>5500.0</v>
      </c>
      <c r="C55" s="4"/>
      <c r="D55" s="4" t="b">
        <f t="shared" si="1"/>
        <v>0</v>
      </c>
      <c r="E55" s="4" t="s">
        <v>78</v>
      </c>
    </row>
    <row r="56">
      <c r="A56" s="3" t="s">
        <v>80</v>
      </c>
      <c r="B56" s="3">
        <v>0.0</v>
      </c>
      <c r="C56" s="3" t="s">
        <v>3</v>
      </c>
      <c r="D56" s="4" t="b">
        <f t="shared" si="1"/>
        <v>0</v>
      </c>
      <c r="E56" s="4" t="s">
        <v>80</v>
      </c>
    </row>
    <row r="57">
      <c r="A57" s="3" t="s">
        <v>81</v>
      </c>
      <c r="B57" s="3">
        <v>2000.0</v>
      </c>
      <c r="C57" s="3" t="s">
        <v>29</v>
      </c>
      <c r="D57" s="4" t="b">
        <f t="shared" si="1"/>
        <v>0</v>
      </c>
      <c r="E57" s="4" t="s">
        <v>81</v>
      </c>
    </row>
    <row r="58">
      <c r="A58" s="3" t="s">
        <v>82</v>
      </c>
      <c r="B58" s="3">
        <v>20060.0</v>
      </c>
      <c r="C58" s="4"/>
      <c r="D58" s="4" t="b">
        <f t="shared" si="1"/>
        <v>0</v>
      </c>
      <c r="E58" s="4" t="s">
        <v>82</v>
      </c>
    </row>
    <row r="59">
      <c r="A59" s="3" t="s">
        <v>84</v>
      </c>
      <c r="B59" s="3">
        <v>11000.0</v>
      </c>
      <c r="C59" s="3" t="s">
        <v>26</v>
      </c>
      <c r="D59" s="4" t="b">
        <f t="shared" si="1"/>
        <v>0</v>
      </c>
      <c r="E59" s="4" t="s">
        <v>84</v>
      </c>
    </row>
    <row r="60">
      <c r="A60" s="3" t="s">
        <v>86</v>
      </c>
      <c r="B60" s="3">
        <v>0.0</v>
      </c>
      <c r="C60" s="3" t="s">
        <v>32</v>
      </c>
      <c r="D60" s="4" t="b">
        <f t="shared" si="1"/>
        <v>0</v>
      </c>
      <c r="E60" s="4" t="s">
        <v>86</v>
      </c>
    </row>
    <row r="61">
      <c r="A61" s="3" t="s">
        <v>87</v>
      </c>
      <c r="B61" s="3">
        <v>0.0</v>
      </c>
      <c r="C61" s="3" t="s">
        <v>3</v>
      </c>
      <c r="D61" s="4" t="b">
        <f t="shared" si="1"/>
        <v>0</v>
      </c>
      <c r="E61" s="4" t="s">
        <v>87</v>
      </c>
    </row>
    <row r="62">
      <c r="A62" s="3" t="s">
        <v>88</v>
      </c>
      <c r="B62" s="3">
        <v>4500.0</v>
      </c>
      <c r="C62" s="3" t="s">
        <v>3</v>
      </c>
      <c r="D62" s="4" t="b">
        <f t="shared" si="1"/>
        <v>0</v>
      </c>
      <c r="E62" s="4" t="s">
        <v>2078</v>
      </c>
    </row>
    <row r="63">
      <c r="A63" s="3" t="s">
        <v>89</v>
      </c>
      <c r="B63" s="4"/>
      <c r="C63" s="4"/>
      <c r="D63" s="4" t="b">
        <f t="shared" si="1"/>
        <v>1</v>
      </c>
      <c r="E63" s="4" t="s">
        <v>89</v>
      </c>
    </row>
    <row r="64">
      <c r="A64" s="3" t="s">
        <v>90</v>
      </c>
      <c r="B64" s="3">
        <v>0.0</v>
      </c>
      <c r="C64" s="3" t="s">
        <v>3</v>
      </c>
      <c r="D64" s="4" t="b">
        <f t="shared" si="1"/>
        <v>0</v>
      </c>
      <c r="E64" s="4" t="s">
        <v>90</v>
      </c>
    </row>
    <row r="65">
      <c r="A65" s="3" t="s">
        <v>91</v>
      </c>
      <c r="B65" s="3">
        <v>0.0</v>
      </c>
      <c r="C65" s="3" t="s">
        <v>3</v>
      </c>
      <c r="D65" s="4" t="b">
        <f t="shared" si="1"/>
        <v>0</v>
      </c>
      <c r="E65" s="4" t="s">
        <v>91</v>
      </c>
    </row>
    <row r="66">
      <c r="A66" s="3" t="s">
        <v>92</v>
      </c>
      <c r="B66" s="3">
        <v>0.0</v>
      </c>
      <c r="C66" s="3" t="s">
        <v>6</v>
      </c>
      <c r="D66" s="4" t="b">
        <f t="shared" si="1"/>
        <v>0</v>
      </c>
      <c r="E66" s="4" t="s">
        <v>92</v>
      </c>
    </row>
    <row r="67">
      <c r="A67" s="3" t="s">
        <v>93</v>
      </c>
      <c r="B67" s="3">
        <v>1000.0</v>
      </c>
      <c r="C67" s="4"/>
      <c r="D67" s="4" t="b">
        <f t="shared" si="1"/>
        <v>0</v>
      </c>
      <c r="E67" s="4" t="s">
        <v>93</v>
      </c>
    </row>
    <row r="68">
      <c r="A68" s="3" t="s">
        <v>94</v>
      </c>
      <c r="B68" s="3">
        <v>500.0</v>
      </c>
      <c r="C68" s="4"/>
      <c r="D68" s="4" t="b">
        <f t="shared" si="1"/>
        <v>0</v>
      </c>
      <c r="E68" s="4" t="s">
        <v>2079</v>
      </c>
    </row>
    <row r="69">
      <c r="A69" s="3" t="s">
        <v>95</v>
      </c>
      <c r="B69" s="4"/>
      <c r="C69" s="4"/>
      <c r="D69" s="4" t="b">
        <f t="shared" si="1"/>
        <v>1</v>
      </c>
      <c r="E69" s="4" t="s">
        <v>95</v>
      </c>
    </row>
    <row r="70">
      <c r="A70" s="3" t="s">
        <v>96</v>
      </c>
      <c r="B70" s="3">
        <v>571.0</v>
      </c>
      <c r="C70" s="4"/>
      <c r="D70" s="4" t="b">
        <f t="shared" si="1"/>
        <v>0</v>
      </c>
      <c r="E70" s="4" t="s">
        <v>2080</v>
      </c>
    </row>
    <row r="71">
      <c r="A71" s="3" t="s">
        <v>98</v>
      </c>
      <c r="B71" s="4"/>
      <c r="C71" s="4"/>
      <c r="D71" s="4" t="b">
        <f t="shared" si="1"/>
        <v>1</v>
      </c>
      <c r="E71" s="4" t="s">
        <v>98</v>
      </c>
    </row>
    <row r="72">
      <c r="A72" s="3" t="s">
        <v>99</v>
      </c>
      <c r="B72" s="3">
        <v>0.0</v>
      </c>
      <c r="C72" s="3" t="s">
        <v>3</v>
      </c>
      <c r="D72" s="4" t="b">
        <f t="shared" si="1"/>
        <v>0</v>
      </c>
      <c r="E72" s="4" t="s">
        <v>99</v>
      </c>
    </row>
    <row r="73">
      <c r="A73" s="3" t="s">
        <v>100</v>
      </c>
      <c r="B73" s="3">
        <v>0.0</v>
      </c>
      <c r="C73" s="3" t="s">
        <v>3</v>
      </c>
      <c r="D73" s="4" t="b">
        <f t="shared" si="1"/>
        <v>0</v>
      </c>
      <c r="E73" s="4" t="s">
        <v>100</v>
      </c>
    </row>
    <row r="74">
      <c r="A74" s="3" t="s">
        <v>101</v>
      </c>
      <c r="B74" s="3">
        <v>0.0</v>
      </c>
      <c r="C74" s="3" t="s">
        <v>3</v>
      </c>
      <c r="D74" s="4" t="b">
        <f t="shared" si="1"/>
        <v>0</v>
      </c>
      <c r="E74" s="4" t="s">
        <v>101</v>
      </c>
    </row>
    <row r="75">
      <c r="A75" s="3" t="s">
        <v>102</v>
      </c>
      <c r="B75" s="3">
        <v>0.0</v>
      </c>
      <c r="C75" s="3" t="s">
        <v>3</v>
      </c>
      <c r="D75" s="4" t="b">
        <f t="shared" si="1"/>
        <v>0</v>
      </c>
      <c r="E75" s="4" t="s">
        <v>102</v>
      </c>
    </row>
    <row r="76">
      <c r="A76" s="3" t="s">
        <v>103</v>
      </c>
      <c r="B76" s="3">
        <v>1000.0</v>
      </c>
      <c r="C76" s="4"/>
      <c r="D76" s="4" t="b">
        <f t="shared" si="1"/>
        <v>0</v>
      </c>
      <c r="E76" s="4" t="s">
        <v>103</v>
      </c>
    </row>
    <row r="77">
      <c r="A77" s="3" t="s">
        <v>104</v>
      </c>
      <c r="B77" s="3">
        <v>0.0</v>
      </c>
      <c r="C77" s="3" t="s">
        <v>3</v>
      </c>
      <c r="D77" s="4" t="b">
        <f t="shared" si="1"/>
        <v>0</v>
      </c>
      <c r="E77" s="4" t="s">
        <v>104</v>
      </c>
    </row>
    <row r="78">
      <c r="A78" s="3" t="s">
        <v>105</v>
      </c>
      <c r="B78" s="3">
        <v>0.0</v>
      </c>
      <c r="C78" s="3" t="s">
        <v>3</v>
      </c>
      <c r="D78" s="4" t="b">
        <f t="shared" si="1"/>
        <v>0</v>
      </c>
      <c r="E78" s="4" t="s">
        <v>105</v>
      </c>
    </row>
    <row r="79">
      <c r="A79" s="3" t="s">
        <v>106</v>
      </c>
      <c r="B79" s="3">
        <v>500.0</v>
      </c>
      <c r="C79" s="4"/>
      <c r="D79" s="4" t="b">
        <f t="shared" si="1"/>
        <v>0</v>
      </c>
      <c r="E79" s="4" t="s">
        <v>2081</v>
      </c>
    </row>
    <row r="80">
      <c r="A80" s="3" t="s">
        <v>107</v>
      </c>
      <c r="B80" s="4"/>
      <c r="C80" s="4"/>
      <c r="D80" s="4" t="b">
        <f t="shared" si="1"/>
        <v>1</v>
      </c>
      <c r="E80" s="4" t="s">
        <v>107</v>
      </c>
    </row>
    <row r="81">
      <c r="A81" s="3" t="s">
        <v>108</v>
      </c>
      <c r="B81" s="3">
        <v>0.0</v>
      </c>
      <c r="C81" s="3" t="s">
        <v>3</v>
      </c>
      <c r="D81" s="4" t="b">
        <f t="shared" si="1"/>
        <v>0</v>
      </c>
      <c r="E81" s="4" t="s">
        <v>2082</v>
      </c>
    </row>
    <row r="82">
      <c r="A82" s="3" t="s">
        <v>109</v>
      </c>
      <c r="B82" s="4"/>
      <c r="C82" s="4"/>
      <c r="D82" s="4" t="b">
        <f t="shared" si="1"/>
        <v>1</v>
      </c>
      <c r="E82" s="4" t="s">
        <v>109</v>
      </c>
    </row>
    <row r="83">
      <c r="A83" s="3" t="s">
        <v>110</v>
      </c>
      <c r="B83" s="3">
        <v>0.0</v>
      </c>
      <c r="C83" s="3" t="s">
        <v>3</v>
      </c>
      <c r="D83" s="4" t="b">
        <f t="shared" si="1"/>
        <v>0</v>
      </c>
      <c r="E83" s="4" t="s">
        <v>110</v>
      </c>
    </row>
    <row r="84">
      <c r="A84" s="3" t="s">
        <v>111</v>
      </c>
      <c r="B84" s="3">
        <v>82238.0</v>
      </c>
      <c r="C84" s="3" t="s">
        <v>37</v>
      </c>
      <c r="D84" s="4" t="b">
        <f t="shared" si="1"/>
        <v>0</v>
      </c>
      <c r="E84" s="4" t="s">
        <v>2083</v>
      </c>
    </row>
    <row r="85">
      <c r="A85" s="3" t="s">
        <v>113</v>
      </c>
      <c r="B85" s="4"/>
      <c r="C85" s="3" t="s">
        <v>38</v>
      </c>
      <c r="D85" s="4" t="b">
        <f t="shared" si="1"/>
        <v>1</v>
      </c>
      <c r="E85" s="4" t="s">
        <v>113</v>
      </c>
    </row>
    <row r="86">
      <c r="A86" s="3" t="s">
        <v>114</v>
      </c>
      <c r="B86" s="3">
        <v>4000.0</v>
      </c>
      <c r="C86" s="4"/>
      <c r="D86" s="4" t="b">
        <f t="shared" si="1"/>
        <v>0</v>
      </c>
      <c r="E86" s="4" t="s">
        <v>114</v>
      </c>
    </row>
    <row r="87">
      <c r="A87" s="3" t="s">
        <v>116</v>
      </c>
      <c r="B87" s="3">
        <v>300.0</v>
      </c>
      <c r="C87" s="4"/>
      <c r="D87" s="4" t="b">
        <f t="shared" si="1"/>
        <v>0</v>
      </c>
      <c r="E87" s="4" t="s">
        <v>116</v>
      </c>
    </row>
    <row r="88">
      <c r="A88" s="3" t="s">
        <v>117</v>
      </c>
      <c r="B88" s="3">
        <v>8605.0</v>
      </c>
      <c r="C88" s="4"/>
      <c r="D88" s="4" t="b">
        <f t="shared" si="1"/>
        <v>0</v>
      </c>
      <c r="E88" s="4" t="s">
        <v>117</v>
      </c>
    </row>
    <row r="89">
      <c r="A89" s="3" t="s">
        <v>119</v>
      </c>
      <c r="B89" s="3">
        <v>0.0</v>
      </c>
      <c r="C89" s="3" t="s">
        <v>3</v>
      </c>
      <c r="D89" s="4" t="b">
        <f t="shared" si="1"/>
        <v>0</v>
      </c>
      <c r="E89" s="4" t="s">
        <v>2084</v>
      </c>
    </row>
    <row r="90">
      <c r="A90" s="3" t="s">
        <v>120</v>
      </c>
      <c r="B90" s="4"/>
      <c r="C90" s="4"/>
      <c r="D90" s="4" t="b">
        <f t="shared" si="1"/>
        <v>1</v>
      </c>
      <c r="E90" s="4" t="s">
        <v>120</v>
      </c>
    </row>
    <row r="91">
      <c r="A91" s="3" t="s">
        <v>121</v>
      </c>
      <c r="B91" s="3">
        <v>0.0</v>
      </c>
      <c r="C91" s="3" t="s">
        <v>3</v>
      </c>
      <c r="D91" s="4" t="b">
        <f t="shared" si="1"/>
        <v>0</v>
      </c>
      <c r="E91" s="4" t="s">
        <v>121</v>
      </c>
    </row>
    <row r="92">
      <c r="A92" s="3" t="s">
        <v>122</v>
      </c>
      <c r="B92" s="3">
        <v>1000.0</v>
      </c>
      <c r="C92" s="3" t="s">
        <v>6</v>
      </c>
      <c r="D92" s="4" t="b">
        <f t="shared" si="1"/>
        <v>0</v>
      </c>
      <c r="E92" s="4" t="s">
        <v>2085</v>
      </c>
    </row>
    <row r="93">
      <c r="A93" s="3" t="s">
        <v>123</v>
      </c>
      <c r="B93" s="4"/>
      <c r="C93" s="4"/>
      <c r="D93" s="4" t="b">
        <f t="shared" si="1"/>
        <v>1</v>
      </c>
      <c r="E93" s="4" t="s">
        <v>123</v>
      </c>
    </row>
    <row r="94">
      <c r="A94" s="3" t="s">
        <v>124</v>
      </c>
      <c r="B94" s="3">
        <v>2500.0</v>
      </c>
      <c r="C94" s="3" t="s">
        <v>26</v>
      </c>
      <c r="D94" s="4" t="b">
        <f t="shared" si="1"/>
        <v>0</v>
      </c>
      <c r="E94" s="4" t="s">
        <v>124</v>
      </c>
    </row>
    <row r="95">
      <c r="A95" s="3" t="s">
        <v>126</v>
      </c>
      <c r="B95" s="3">
        <v>450195.0</v>
      </c>
      <c r="C95" s="3" t="s">
        <v>29</v>
      </c>
      <c r="D95" s="4" t="b">
        <f t="shared" si="1"/>
        <v>0</v>
      </c>
      <c r="E95" s="4" t="s">
        <v>2086</v>
      </c>
    </row>
    <row r="96">
      <c r="A96" s="3" t="s">
        <v>128</v>
      </c>
      <c r="B96" s="4"/>
      <c r="C96" s="4"/>
      <c r="D96" s="4" t="b">
        <f t="shared" si="1"/>
        <v>1</v>
      </c>
      <c r="E96" s="4" t="s">
        <v>128</v>
      </c>
    </row>
    <row r="97">
      <c r="A97" s="3" t="s">
        <v>129</v>
      </c>
      <c r="B97" s="3">
        <v>0.0</v>
      </c>
      <c r="C97" s="3" t="s">
        <v>29</v>
      </c>
      <c r="D97" s="4" t="b">
        <f t="shared" si="1"/>
        <v>0</v>
      </c>
      <c r="E97" s="4" t="s">
        <v>2087</v>
      </c>
    </row>
    <row r="98">
      <c r="A98" s="3" t="s">
        <v>130</v>
      </c>
      <c r="B98" s="4"/>
      <c r="C98" s="4"/>
      <c r="D98" s="4" t="b">
        <f t="shared" si="1"/>
        <v>1</v>
      </c>
      <c r="E98" s="4" t="s">
        <v>130</v>
      </c>
    </row>
    <row r="99">
      <c r="A99" s="3" t="s">
        <v>131</v>
      </c>
      <c r="B99" s="3">
        <v>0.0</v>
      </c>
      <c r="C99" s="3" t="s">
        <v>3</v>
      </c>
      <c r="D99" s="4" t="b">
        <f t="shared" si="1"/>
        <v>0</v>
      </c>
      <c r="E99" s="4" t="s">
        <v>131</v>
      </c>
    </row>
    <row r="100">
      <c r="A100" s="3" t="s">
        <v>132</v>
      </c>
      <c r="B100" s="3">
        <v>0.0</v>
      </c>
      <c r="C100" s="3" t="s">
        <v>3</v>
      </c>
      <c r="D100" s="4" t="b">
        <f t="shared" si="1"/>
        <v>0</v>
      </c>
      <c r="E100" s="4" t="s">
        <v>132</v>
      </c>
    </row>
    <row r="101">
      <c r="A101" s="3" t="s">
        <v>133</v>
      </c>
      <c r="B101" s="3">
        <v>2000.0</v>
      </c>
      <c r="C101" s="3" t="s">
        <v>3</v>
      </c>
      <c r="D101" s="4" t="b">
        <f t="shared" si="1"/>
        <v>0</v>
      </c>
      <c r="E101" s="4" t="s">
        <v>133</v>
      </c>
    </row>
    <row r="102">
      <c r="A102" s="3" t="s">
        <v>134</v>
      </c>
      <c r="B102" s="3">
        <v>750.0</v>
      </c>
      <c r="C102" s="3" t="s">
        <v>3</v>
      </c>
      <c r="D102" s="4" t="b">
        <f t="shared" si="1"/>
        <v>0</v>
      </c>
      <c r="E102" s="4" t="s">
        <v>134</v>
      </c>
    </row>
    <row r="103">
      <c r="A103" s="3" t="s">
        <v>136</v>
      </c>
      <c r="B103" s="3">
        <v>3109.0</v>
      </c>
      <c r="C103" s="4"/>
      <c r="D103" s="4" t="b">
        <f t="shared" si="1"/>
        <v>0</v>
      </c>
      <c r="E103" s="4" t="s">
        <v>136</v>
      </c>
    </row>
    <row r="104">
      <c r="A104" s="3" t="s">
        <v>138</v>
      </c>
      <c r="B104" s="3">
        <v>11011.0</v>
      </c>
      <c r="C104" s="4"/>
      <c r="D104" s="4" t="b">
        <f t="shared" si="1"/>
        <v>0</v>
      </c>
      <c r="E104" s="4" t="s">
        <v>138</v>
      </c>
    </row>
    <row r="105">
      <c r="A105" s="3" t="s">
        <v>140</v>
      </c>
      <c r="B105" s="3">
        <v>0.0</v>
      </c>
      <c r="C105" s="3" t="s">
        <v>6</v>
      </c>
      <c r="D105" s="4" t="b">
        <f t="shared" si="1"/>
        <v>0</v>
      </c>
      <c r="E105" s="4" t="s">
        <v>140</v>
      </c>
    </row>
    <row r="106">
      <c r="A106" s="3" t="s">
        <v>141</v>
      </c>
      <c r="B106" s="3">
        <v>0.0</v>
      </c>
      <c r="C106" s="3" t="s">
        <v>3</v>
      </c>
      <c r="D106" s="4" t="b">
        <f t="shared" si="1"/>
        <v>0</v>
      </c>
      <c r="E106" s="4" t="s">
        <v>141</v>
      </c>
    </row>
    <row r="107">
      <c r="A107" s="3" t="s">
        <v>142</v>
      </c>
      <c r="B107" s="3">
        <v>0.0</v>
      </c>
      <c r="C107" s="3" t="s">
        <v>3</v>
      </c>
      <c r="D107" s="4" t="b">
        <f t="shared" si="1"/>
        <v>0</v>
      </c>
      <c r="E107" s="4" t="s">
        <v>142</v>
      </c>
    </row>
    <row r="108">
      <c r="A108" s="3" t="s">
        <v>143</v>
      </c>
      <c r="B108" s="3">
        <v>0.0</v>
      </c>
      <c r="C108" s="3" t="s">
        <v>32</v>
      </c>
      <c r="D108" s="4" t="b">
        <f t="shared" si="1"/>
        <v>0</v>
      </c>
      <c r="E108" s="4" t="s">
        <v>143</v>
      </c>
    </row>
    <row r="109">
      <c r="A109" s="3" t="s">
        <v>144</v>
      </c>
      <c r="B109" s="3">
        <v>0.0</v>
      </c>
      <c r="C109" s="3" t="s">
        <v>3</v>
      </c>
      <c r="D109" s="4" t="b">
        <f t="shared" si="1"/>
        <v>0</v>
      </c>
      <c r="E109" s="4" t="s">
        <v>144</v>
      </c>
    </row>
    <row r="110">
      <c r="A110" s="3" t="s">
        <v>145</v>
      </c>
      <c r="B110" s="3">
        <v>15000.0</v>
      </c>
      <c r="C110" s="4"/>
      <c r="D110" s="4" t="b">
        <f t="shared" si="1"/>
        <v>0</v>
      </c>
      <c r="E110" s="4" t="s">
        <v>145</v>
      </c>
    </row>
    <row r="111">
      <c r="A111" s="3" t="s">
        <v>147</v>
      </c>
      <c r="B111" s="3">
        <v>0.0</v>
      </c>
      <c r="C111" s="3" t="s">
        <v>3</v>
      </c>
      <c r="D111" s="4" t="b">
        <f t="shared" si="1"/>
        <v>0</v>
      </c>
      <c r="E111" s="4" t="s">
        <v>147</v>
      </c>
    </row>
    <row r="112">
      <c r="A112" s="3" t="s">
        <v>148</v>
      </c>
      <c r="B112" s="3">
        <v>0.0</v>
      </c>
      <c r="C112" s="3" t="s">
        <v>6</v>
      </c>
      <c r="D112" s="4" t="b">
        <f t="shared" si="1"/>
        <v>0</v>
      </c>
      <c r="E112" s="4" t="s">
        <v>148</v>
      </c>
    </row>
    <row r="113">
      <c r="A113" s="3" t="s">
        <v>149</v>
      </c>
      <c r="B113" s="3">
        <v>30000.0</v>
      </c>
      <c r="C113" s="3" t="s">
        <v>3</v>
      </c>
      <c r="D113" s="4" t="b">
        <f t="shared" si="1"/>
        <v>0</v>
      </c>
      <c r="E113" s="4" t="s">
        <v>2088</v>
      </c>
    </row>
    <row r="114">
      <c r="A114" s="3" t="s">
        <v>151</v>
      </c>
      <c r="B114" s="4"/>
      <c r="C114" s="4"/>
      <c r="D114" s="4" t="b">
        <f t="shared" si="1"/>
        <v>1</v>
      </c>
      <c r="E114" s="4" t="s">
        <v>151</v>
      </c>
    </row>
    <row r="115">
      <c r="A115" s="3" t="s">
        <v>152</v>
      </c>
      <c r="B115" s="3">
        <v>1500.0</v>
      </c>
      <c r="C115" s="4"/>
      <c r="D115" s="4" t="b">
        <f t="shared" si="1"/>
        <v>0</v>
      </c>
      <c r="E115" s="4" t="s">
        <v>152</v>
      </c>
    </row>
    <row r="116">
      <c r="A116" s="3" t="s">
        <v>153</v>
      </c>
      <c r="B116" s="3">
        <v>0.0</v>
      </c>
      <c r="C116" s="3" t="s">
        <v>29</v>
      </c>
      <c r="D116" s="4" t="b">
        <f t="shared" si="1"/>
        <v>0</v>
      </c>
      <c r="E116" s="4" t="s">
        <v>153</v>
      </c>
    </row>
    <row r="117">
      <c r="A117" s="3" t="s">
        <v>154</v>
      </c>
      <c r="B117" s="3">
        <v>0.0</v>
      </c>
      <c r="C117" s="3" t="s">
        <v>32</v>
      </c>
      <c r="D117" s="4" t="b">
        <f t="shared" si="1"/>
        <v>0</v>
      </c>
      <c r="E117" s="4" t="s">
        <v>154</v>
      </c>
    </row>
    <row r="118">
      <c r="A118" s="3" t="s">
        <v>155</v>
      </c>
      <c r="B118" s="3">
        <v>0.0</v>
      </c>
      <c r="C118" s="3" t="s">
        <v>3</v>
      </c>
      <c r="D118" s="4" t="b">
        <f t="shared" si="1"/>
        <v>0</v>
      </c>
      <c r="E118" s="4" t="s">
        <v>155</v>
      </c>
    </row>
    <row r="119">
      <c r="A119" s="3" t="s">
        <v>156</v>
      </c>
      <c r="B119" s="3">
        <v>0.0</v>
      </c>
      <c r="C119" s="3" t="s">
        <v>6</v>
      </c>
      <c r="D119" s="4" t="b">
        <f t="shared" si="1"/>
        <v>0</v>
      </c>
      <c r="E119" s="4" t="s">
        <v>156</v>
      </c>
    </row>
    <row r="120">
      <c r="A120" s="3" t="s">
        <v>157</v>
      </c>
      <c r="B120" s="3">
        <v>3000.0</v>
      </c>
      <c r="C120" s="4"/>
      <c r="D120" s="4" t="b">
        <f t="shared" si="1"/>
        <v>0</v>
      </c>
      <c r="E120" s="4" t="s">
        <v>157</v>
      </c>
    </row>
    <row r="121">
      <c r="A121" s="3" t="s">
        <v>158</v>
      </c>
      <c r="B121" s="3">
        <v>7932.0</v>
      </c>
      <c r="C121" s="4"/>
      <c r="D121" s="4" t="b">
        <f t="shared" si="1"/>
        <v>0</v>
      </c>
      <c r="E121" s="4" t="s">
        <v>158</v>
      </c>
    </row>
    <row r="122">
      <c r="A122" s="3" t="s">
        <v>160</v>
      </c>
      <c r="B122" s="3">
        <v>0.0</v>
      </c>
      <c r="C122" s="3" t="s">
        <v>26</v>
      </c>
      <c r="D122" s="4" t="b">
        <f t="shared" si="1"/>
        <v>0</v>
      </c>
      <c r="E122" s="4" t="s">
        <v>160</v>
      </c>
    </row>
    <row r="123">
      <c r="A123" s="3" t="s">
        <v>161</v>
      </c>
      <c r="B123" s="3">
        <v>21000.0</v>
      </c>
      <c r="C123" s="3" t="s">
        <v>32</v>
      </c>
      <c r="D123" s="4" t="b">
        <f t="shared" si="1"/>
        <v>0</v>
      </c>
      <c r="E123" s="4" t="s">
        <v>2089</v>
      </c>
    </row>
    <row r="124">
      <c r="A124" s="3" t="s">
        <v>163</v>
      </c>
      <c r="B124" s="4"/>
      <c r="C124" s="4"/>
      <c r="D124" s="4" t="b">
        <f t="shared" si="1"/>
        <v>1</v>
      </c>
      <c r="E124" s="4" t="s">
        <v>163</v>
      </c>
    </row>
    <row r="125">
      <c r="A125" s="3" t="s">
        <v>164</v>
      </c>
      <c r="B125" s="3">
        <v>7500.0</v>
      </c>
      <c r="C125" s="4"/>
      <c r="D125" s="4" t="b">
        <f t="shared" si="1"/>
        <v>0</v>
      </c>
      <c r="E125" s="4" t="s">
        <v>164</v>
      </c>
    </row>
    <row r="126">
      <c r="A126" s="3" t="s">
        <v>166</v>
      </c>
      <c r="B126" s="3">
        <v>2700.0</v>
      </c>
      <c r="C126" s="4"/>
      <c r="D126" s="4" t="b">
        <f t="shared" si="1"/>
        <v>0</v>
      </c>
      <c r="E126" s="4" t="s">
        <v>166</v>
      </c>
    </row>
    <row r="127">
      <c r="A127" s="3" t="s">
        <v>168</v>
      </c>
      <c r="B127" s="3">
        <v>2500.0</v>
      </c>
      <c r="C127" s="4"/>
      <c r="D127" s="4" t="b">
        <f t="shared" si="1"/>
        <v>0</v>
      </c>
      <c r="E127" s="4" t="s">
        <v>168</v>
      </c>
    </row>
    <row r="128">
      <c r="A128" s="3" t="s">
        <v>169</v>
      </c>
      <c r="B128" s="3">
        <v>0.0</v>
      </c>
      <c r="C128" s="3" t="s">
        <v>29</v>
      </c>
      <c r="D128" s="4" t="b">
        <f t="shared" si="1"/>
        <v>0</v>
      </c>
      <c r="E128" s="4" t="s">
        <v>169</v>
      </c>
    </row>
    <row r="129">
      <c r="A129" s="3" t="s">
        <v>170</v>
      </c>
      <c r="B129" s="3">
        <v>0.0</v>
      </c>
      <c r="C129" s="3" t="s">
        <v>3</v>
      </c>
      <c r="D129" s="4" t="b">
        <f t="shared" si="1"/>
        <v>0</v>
      </c>
      <c r="E129" s="4" t="s">
        <v>170</v>
      </c>
    </row>
    <row r="130">
      <c r="A130" s="3" t="s">
        <v>171</v>
      </c>
      <c r="B130" s="3">
        <v>12000.0</v>
      </c>
      <c r="C130" s="3" t="s">
        <v>6</v>
      </c>
      <c r="D130" s="4" t="b">
        <f t="shared" si="1"/>
        <v>0</v>
      </c>
      <c r="E130" s="4" t="s">
        <v>171</v>
      </c>
    </row>
    <row r="131">
      <c r="A131" s="3" t="s">
        <v>173</v>
      </c>
      <c r="B131" s="3">
        <v>4000.0</v>
      </c>
      <c r="C131" s="4"/>
      <c r="D131" s="4" t="b">
        <f t="shared" si="1"/>
        <v>0</v>
      </c>
      <c r="E131" s="4" t="s">
        <v>173</v>
      </c>
    </row>
    <row r="132">
      <c r="A132" s="3" t="s">
        <v>174</v>
      </c>
      <c r="B132" s="3">
        <v>752250.0</v>
      </c>
      <c r="C132" s="3" t="s">
        <v>176</v>
      </c>
      <c r="D132" s="4" t="b">
        <f t="shared" si="1"/>
        <v>0</v>
      </c>
      <c r="E132" s="4" t="s">
        <v>174</v>
      </c>
    </row>
    <row r="133">
      <c r="A133" s="3" t="s">
        <v>177</v>
      </c>
      <c r="B133" s="3">
        <v>0.0</v>
      </c>
      <c r="C133" s="3" t="s">
        <v>3</v>
      </c>
      <c r="D133" s="4" t="b">
        <f t="shared" si="1"/>
        <v>0</v>
      </c>
      <c r="E133" s="4" t="s">
        <v>177</v>
      </c>
    </row>
    <row r="134">
      <c r="A134" s="3" t="s">
        <v>178</v>
      </c>
      <c r="B134" s="3">
        <v>0.0</v>
      </c>
      <c r="C134" s="3" t="s">
        <v>6</v>
      </c>
      <c r="D134" s="4" t="b">
        <f t="shared" si="1"/>
        <v>0</v>
      </c>
      <c r="E134" s="4" t="s">
        <v>178</v>
      </c>
    </row>
    <row r="135">
      <c r="A135" s="3" t="s">
        <v>179</v>
      </c>
      <c r="B135" s="3">
        <v>0.0</v>
      </c>
      <c r="C135" s="3" t="s">
        <v>3</v>
      </c>
      <c r="D135" s="4" t="b">
        <f t="shared" si="1"/>
        <v>0</v>
      </c>
      <c r="E135" s="4" t="s">
        <v>179</v>
      </c>
    </row>
    <row r="136">
      <c r="A136" s="3" t="s">
        <v>180</v>
      </c>
      <c r="B136" s="3">
        <v>9880.0</v>
      </c>
      <c r="C136" s="4"/>
      <c r="D136" s="4" t="b">
        <f t="shared" si="1"/>
        <v>0</v>
      </c>
      <c r="E136" s="4" t="s">
        <v>180</v>
      </c>
    </row>
    <row r="137">
      <c r="A137" s="3" t="s">
        <v>182</v>
      </c>
      <c r="B137" s="3">
        <v>0.0</v>
      </c>
      <c r="C137" s="3" t="s">
        <v>3</v>
      </c>
      <c r="D137" s="4" t="b">
        <f t="shared" si="1"/>
        <v>0</v>
      </c>
      <c r="E137" s="4" t="s">
        <v>182</v>
      </c>
    </row>
    <row r="138">
      <c r="A138" s="3" t="s">
        <v>183</v>
      </c>
      <c r="B138" s="3">
        <v>0.0</v>
      </c>
      <c r="C138" s="3" t="s">
        <v>3</v>
      </c>
      <c r="D138" s="4" t="b">
        <f t="shared" si="1"/>
        <v>0</v>
      </c>
      <c r="E138" s="4" t="s">
        <v>183</v>
      </c>
    </row>
    <row r="139">
      <c r="A139" s="3" t="s">
        <v>184</v>
      </c>
      <c r="B139" s="3">
        <v>0.0</v>
      </c>
      <c r="C139" s="3" t="s">
        <v>3</v>
      </c>
      <c r="D139" s="4" t="b">
        <f t="shared" si="1"/>
        <v>0</v>
      </c>
      <c r="E139" s="4" t="s">
        <v>184</v>
      </c>
    </row>
    <row r="140">
      <c r="A140" s="3" t="s">
        <v>185</v>
      </c>
      <c r="B140" s="3">
        <v>0.0</v>
      </c>
      <c r="C140" s="3" t="s">
        <v>6</v>
      </c>
      <c r="D140" s="4" t="b">
        <f t="shared" si="1"/>
        <v>0</v>
      </c>
      <c r="E140" s="4" t="s">
        <v>185</v>
      </c>
    </row>
    <row r="141">
      <c r="A141" s="3" t="s">
        <v>186</v>
      </c>
      <c r="B141" s="3">
        <v>0.0</v>
      </c>
      <c r="C141" s="3" t="s">
        <v>6</v>
      </c>
      <c r="D141" s="4" t="b">
        <f t="shared" si="1"/>
        <v>0</v>
      </c>
      <c r="E141" s="4" t="s">
        <v>186</v>
      </c>
    </row>
    <row r="142">
      <c r="A142" s="3" t="s">
        <v>187</v>
      </c>
      <c r="B142" s="3">
        <v>0.0</v>
      </c>
      <c r="C142" s="3" t="s">
        <v>3</v>
      </c>
      <c r="D142" s="4" t="b">
        <f t="shared" si="1"/>
        <v>0</v>
      </c>
      <c r="E142" s="4" t="s">
        <v>187</v>
      </c>
    </row>
    <row r="143">
      <c r="A143" s="3" t="s">
        <v>188</v>
      </c>
      <c r="B143" s="3">
        <v>0.0</v>
      </c>
      <c r="C143" s="3" t="s">
        <v>32</v>
      </c>
      <c r="D143" s="4" t="b">
        <f t="shared" si="1"/>
        <v>0</v>
      </c>
      <c r="E143" s="4" t="s">
        <v>188</v>
      </c>
    </row>
    <row r="144">
      <c r="A144" s="3" t="s">
        <v>189</v>
      </c>
      <c r="B144" s="3">
        <v>0.0</v>
      </c>
      <c r="C144" s="3" t="s">
        <v>3</v>
      </c>
      <c r="D144" s="4" t="b">
        <f t="shared" si="1"/>
        <v>0</v>
      </c>
      <c r="E144" s="4" t="s">
        <v>2090</v>
      </c>
    </row>
    <row r="145">
      <c r="A145" s="3" t="s">
        <v>190</v>
      </c>
      <c r="B145" s="4"/>
      <c r="C145" s="4"/>
      <c r="D145" s="4" t="b">
        <f t="shared" si="1"/>
        <v>1</v>
      </c>
      <c r="E145" s="4" t="s">
        <v>190</v>
      </c>
    </row>
    <row r="146">
      <c r="A146" s="3" t="s">
        <v>191</v>
      </c>
      <c r="B146" s="3">
        <v>0.0</v>
      </c>
      <c r="C146" s="3" t="s">
        <v>3</v>
      </c>
      <c r="D146" s="4" t="b">
        <f t="shared" si="1"/>
        <v>0</v>
      </c>
      <c r="E146" s="4" t="s">
        <v>191</v>
      </c>
    </row>
    <row r="147">
      <c r="A147" s="3" t="s">
        <v>192</v>
      </c>
      <c r="B147" s="3">
        <v>0.0</v>
      </c>
      <c r="C147" s="3" t="s">
        <v>26</v>
      </c>
      <c r="D147" s="4" t="b">
        <f t="shared" si="1"/>
        <v>0</v>
      </c>
      <c r="E147" s="4" t="s">
        <v>192</v>
      </c>
    </row>
    <row r="148">
      <c r="A148" s="3" t="s">
        <v>193</v>
      </c>
      <c r="B148" s="3">
        <v>1000.0</v>
      </c>
      <c r="C148" s="3" t="s">
        <v>29</v>
      </c>
      <c r="D148" s="4" t="b">
        <f t="shared" si="1"/>
        <v>0</v>
      </c>
      <c r="E148" s="4" t="s">
        <v>193</v>
      </c>
    </row>
    <row r="149">
      <c r="A149" s="3" t="s">
        <v>194</v>
      </c>
      <c r="B149" s="3">
        <v>0.0</v>
      </c>
      <c r="C149" s="3" t="s">
        <v>29</v>
      </c>
      <c r="D149" s="4" t="b">
        <f t="shared" si="1"/>
        <v>0</v>
      </c>
      <c r="E149" s="4" t="s">
        <v>194</v>
      </c>
    </row>
    <row r="150">
      <c r="A150" s="3" t="s">
        <v>195</v>
      </c>
      <c r="B150" s="3">
        <v>0.0</v>
      </c>
      <c r="C150" s="3" t="s">
        <v>3</v>
      </c>
      <c r="D150" s="4" t="b">
        <f t="shared" si="1"/>
        <v>0</v>
      </c>
      <c r="E150" s="4" t="s">
        <v>2091</v>
      </c>
    </row>
    <row r="151">
      <c r="A151" s="3" t="s">
        <v>196</v>
      </c>
      <c r="B151" s="4"/>
      <c r="C151" s="4"/>
      <c r="D151" s="4" t="b">
        <f t="shared" si="1"/>
        <v>1</v>
      </c>
      <c r="E151" s="4" t="s">
        <v>196</v>
      </c>
    </row>
    <row r="152">
      <c r="A152" s="3" t="s">
        <v>197</v>
      </c>
      <c r="B152" s="3">
        <v>0.0</v>
      </c>
      <c r="C152" s="3" t="s">
        <v>29</v>
      </c>
      <c r="D152" s="4" t="b">
        <f t="shared" si="1"/>
        <v>0</v>
      </c>
      <c r="E152" s="4" t="s">
        <v>197</v>
      </c>
    </row>
    <row r="153">
      <c r="A153" s="3" t="s">
        <v>198</v>
      </c>
      <c r="B153" s="3">
        <v>0.0</v>
      </c>
      <c r="C153" s="3" t="s">
        <v>3</v>
      </c>
      <c r="D153" s="4" t="b">
        <f t="shared" si="1"/>
        <v>0</v>
      </c>
      <c r="E153" s="4" t="s">
        <v>198</v>
      </c>
    </row>
    <row r="154">
      <c r="A154" s="3" t="s">
        <v>199</v>
      </c>
      <c r="B154" s="3">
        <v>4850.0</v>
      </c>
      <c r="C154" s="4"/>
      <c r="D154" s="4" t="b">
        <f t="shared" si="1"/>
        <v>0</v>
      </c>
      <c r="E154" s="4" t="s">
        <v>199</v>
      </c>
    </row>
    <row r="155">
      <c r="A155" s="3" t="s">
        <v>201</v>
      </c>
      <c r="B155" s="3">
        <v>0.0</v>
      </c>
      <c r="C155" s="3" t="s">
        <v>32</v>
      </c>
      <c r="D155" s="4" t="b">
        <f t="shared" si="1"/>
        <v>0</v>
      </c>
      <c r="E155" s="4" t="s">
        <v>201</v>
      </c>
    </row>
    <row r="156">
      <c r="A156" s="3" t="s">
        <v>202</v>
      </c>
      <c r="B156" s="3">
        <v>0.0</v>
      </c>
      <c r="C156" s="3" t="s">
        <v>3</v>
      </c>
      <c r="D156" s="4" t="b">
        <f t="shared" si="1"/>
        <v>0</v>
      </c>
      <c r="E156" s="4" t="s">
        <v>202</v>
      </c>
    </row>
    <row r="157">
      <c r="A157" s="3" t="s">
        <v>203</v>
      </c>
      <c r="B157" s="3">
        <v>15280.0</v>
      </c>
      <c r="C157" s="4"/>
      <c r="D157" s="4" t="b">
        <f t="shared" si="1"/>
        <v>0</v>
      </c>
      <c r="E157" s="4" t="s">
        <v>203</v>
      </c>
    </row>
    <row r="158">
      <c r="A158" s="3" t="s">
        <v>205</v>
      </c>
      <c r="B158" s="3">
        <v>0.0</v>
      </c>
      <c r="C158" s="3" t="s">
        <v>3</v>
      </c>
      <c r="D158" s="4" t="b">
        <f t="shared" si="1"/>
        <v>0</v>
      </c>
      <c r="E158" s="4" t="s">
        <v>205</v>
      </c>
    </row>
    <row r="159">
      <c r="A159" s="3" t="s">
        <v>206</v>
      </c>
      <c r="B159" s="3">
        <v>0.0</v>
      </c>
      <c r="C159" s="3" t="s">
        <v>3</v>
      </c>
      <c r="D159" s="4" t="b">
        <f t="shared" si="1"/>
        <v>0</v>
      </c>
      <c r="E159" s="4" t="s">
        <v>206</v>
      </c>
    </row>
    <row r="160">
      <c r="A160" s="3" t="s">
        <v>207</v>
      </c>
      <c r="B160" s="3">
        <v>0.0</v>
      </c>
      <c r="C160" s="3" t="s">
        <v>3</v>
      </c>
      <c r="D160" s="4" t="b">
        <f t="shared" si="1"/>
        <v>0</v>
      </c>
      <c r="E160" s="4" t="s">
        <v>207</v>
      </c>
    </row>
    <row r="161">
      <c r="A161" s="3" t="s">
        <v>208</v>
      </c>
      <c r="B161" s="3">
        <v>0.0</v>
      </c>
      <c r="C161" s="3" t="s">
        <v>3</v>
      </c>
      <c r="D161" s="4" t="b">
        <f t="shared" si="1"/>
        <v>0</v>
      </c>
      <c r="E161" s="4" t="s">
        <v>2092</v>
      </c>
    </row>
    <row r="162">
      <c r="A162" s="3" t="s">
        <v>209</v>
      </c>
      <c r="B162" s="4"/>
      <c r="C162" s="4"/>
      <c r="D162" s="4" t="b">
        <f t="shared" si="1"/>
        <v>1</v>
      </c>
      <c r="E162" s="4" t="s">
        <v>209</v>
      </c>
    </row>
    <row r="163">
      <c r="A163" s="3" t="s">
        <v>210</v>
      </c>
      <c r="B163" s="3">
        <v>0.0</v>
      </c>
      <c r="C163" s="3" t="s">
        <v>3</v>
      </c>
      <c r="D163" s="4" t="b">
        <f t="shared" si="1"/>
        <v>0</v>
      </c>
      <c r="E163" s="4" t="s">
        <v>210</v>
      </c>
    </row>
    <row r="164">
      <c r="A164" s="3" t="s">
        <v>211</v>
      </c>
      <c r="B164" s="3">
        <v>0.0</v>
      </c>
      <c r="C164" s="3" t="s">
        <v>6</v>
      </c>
      <c r="D164" s="4" t="b">
        <f t="shared" si="1"/>
        <v>0</v>
      </c>
      <c r="E164" s="4" t="s">
        <v>211</v>
      </c>
    </row>
    <row r="165">
      <c r="A165" s="3" t="s">
        <v>212</v>
      </c>
      <c r="B165" s="3">
        <v>0.0</v>
      </c>
      <c r="C165" s="3" t="s">
        <v>29</v>
      </c>
      <c r="D165" s="4" t="b">
        <f t="shared" si="1"/>
        <v>0</v>
      </c>
      <c r="E165" s="4" t="s">
        <v>212</v>
      </c>
    </row>
    <row r="166">
      <c r="A166" s="3" t="s">
        <v>213</v>
      </c>
      <c r="B166" s="3">
        <v>3220.0</v>
      </c>
      <c r="C166" s="4"/>
      <c r="D166" s="4" t="b">
        <f t="shared" si="1"/>
        <v>0</v>
      </c>
      <c r="E166" s="4" t="s">
        <v>213</v>
      </c>
    </row>
    <row r="167">
      <c r="A167" s="3" t="s">
        <v>215</v>
      </c>
      <c r="B167" s="3">
        <v>0.0</v>
      </c>
      <c r="C167" s="3" t="s">
        <v>216</v>
      </c>
      <c r="D167" s="4" t="b">
        <f t="shared" si="1"/>
        <v>0</v>
      </c>
      <c r="E167" s="4" t="s">
        <v>215</v>
      </c>
    </row>
    <row r="168">
      <c r="A168" s="3" t="s">
        <v>217</v>
      </c>
      <c r="B168" s="3">
        <v>3500.0</v>
      </c>
      <c r="C168" s="3" t="s">
        <v>3</v>
      </c>
      <c r="D168" s="4" t="b">
        <f t="shared" si="1"/>
        <v>0</v>
      </c>
      <c r="E168" s="4" t="s">
        <v>2093</v>
      </c>
    </row>
    <row r="169">
      <c r="A169" s="3" t="s">
        <v>219</v>
      </c>
      <c r="B169" s="4"/>
      <c r="C169" s="4"/>
      <c r="D169" s="4" t="b">
        <f t="shared" si="1"/>
        <v>1</v>
      </c>
      <c r="E169" s="4" t="s">
        <v>219</v>
      </c>
    </row>
    <row r="170">
      <c r="A170" s="3" t="s">
        <v>220</v>
      </c>
      <c r="B170" s="3">
        <v>0.0</v>
      </c>
      <c r="C170" s="3" t="s">
        <v>6</v>
      </c>
      <c r="D170" s="4" t="b">
        <f t="shared" si="1"/>
        <v>0</v>
      </c>
      <c r="E170" s="4" t="s">
        <v>220</v>
      </c>
    </row>
    <row r="171">
      <c r="A171" s="3" t="s">
        <v>221</v>
      </c>
      <c r="B171" s="3">
        <v>0.0</v>
      </c>
      <c r="C171" s="3" t="s">
        <v>29</v>
      </c>
      <c r="D171" s="4" t="b">
        <f t="shared" si="1"/>
        <v>0</v>
      </c>
      <c r="E171" s="4" t="s">
        <v>2094</v>
      </c>
    </row>
    <row r="172">
      <c r="A172" s="3" t="s">
        <v>222</v>
      </c>
      <c r="B172" s="4"/>
      <c r="C172" s="4"/>
      <c r="D172" s="4" t="b">
        <f t="shared" si="1"/>
        <v>1</v>
      </c>
      <c r="E172" s="4" t="s">
        <v>222</v>
      </c>
    </row>
    <row r="173">
      <c r="A173" s="3" t="s">
        <v>223</v>
      </c>
      <c r="B173" s="3">
        <v>532800.0</v>
      </c>
      <c r="C173" s="4"/>
      <c r="D173" s="4" t="b">
        <f t="shared" si="1"/>
        <v>0</v>
      </c>
      <c r="E173" s="4" t="s">
        <v>223</v>
      </c>
    </row>
    <row r="174">
      <c r="A174" s="3" t="s">
        <v>225</v>
      </c>
      <c r="B174" s="3">
        <v>0.0</v>
      </c>
      <c r="C174" s="3" t="s">
        <v>3</v>
      </c>
      <c r="D174" s="4" t="b">
        <f t="shared" si="1"/>
        <v>0</v>
      </c>
      <c r="E174" s="4" t="s">
        <v>225</v>
      </c>
    </row>
    <row r="175">
      <c r="A175" s="3" t="s">
        <v>226</v>
      </c>
      <c r="B175" s="3">
        <v>2000.0</v>
      </c>
      <c r="C175" s="3" t="s">
        <v>3</v>
      </c>
      <c r="D175" s="4" t="b">
        <f t="shared" si="1"/>
        <v>0</v>
      </c>
      <c r="E175" s="4" t="s">
        <v>226</v>
      </c>
    </row>
    <row r="176">
      <c r="A176" s="3" t="s">
        <v>227</v>
      </c>
      <c r="B176" s="3">
        <v>0.0</v>
      </c>
      <c r="C176" s="3" t="s">
        <v>3</v>
      </c>
      <c r="D176" s="4" t="b">
        <f t="shared" si="1"/>
        <v>0</v>
      </c>
      <c r="E176" s="4" t="s">
        <v>227</v>
      </c>
    </row>
    <row r="177">
      <c r="A177" s="3" t="s">
        <v>228</v>
      </c>
      <c r="B177" s="3">
        <v>0.0</v>
      </c>
      <c r="C177" s="3" t="s">
        <v>32</v>
      </c>
      <c r="D177" s="4" t="b">
        <f t="shared" si="1"/>
        <v>0</v>
      </c>
      <c r="E177" s="4" t="s">
        <v>2095</v>
      </c>
    </row>
    <row r="178">
      <c r="A178" s="3" t="s">
        <v>229</v>
      </c>
      <c r="B178" s="4"/>
      <c r="C178" s="4"/>
      <c r="D178" s="4" t="b">
        <f t="shared" si="1"/>
        <v>1</v>
      </c>
      <c r="E178" s="4" t="s">
        <v>229</v>
      </c>
    </row>
    <row r="179">
      <c r="A179" s="3" t="s">
        <v>230</v>
      </c>
      <c r="B179" s="3">
        <v>0.0</v>
      </c>
      <c r="C179" s="3" t="s">
        <v>3</v>
      </c>
      <c r="D179" s="4" t="b">
        <f t="shared" si="1"/>
        <v>0</v>
      </c>
      <c r="E179" s="4" t="s">
        <v>2096</v>
      </c>
    </row>
    <row r="180">
      <c r="A180" s="3" t="s">
        <v>231</v>
      </c>
      <c r="B180" s="4"/>
      <c r="C180" s="4"/>
      <c r="D180" s="4" t="b">
        <f t="shared" si="1"/>
        <v>1</v>
      </c>
      <c r="E180" s="4" t="s">
        <v>231</v>
      </c>
    </row>
    <row r="181">
      <c r="A181" s="3" t="s">
        <v>232</v>
      </c>
      <c r="B181" s="3">
        <v>0.0</v>
      </c>
      <c r="C181" s="3" t="s">
        <v>6</v>
      </c>
      <c r="D181" s="4" t="b">
        <f t="shared" si="1"/>
        <v>0</v>
      </c>
      <c r="E181" s="4" t="s">
        <v>232</v>
      </c>
    </row>
    <row r="182">
      <c r="A182" s="3" t="s">
        <v>233</v>
      </c>
      <c r="B182" s="3">
        <v>0.0</v>
      </c>
      <c r="C182" s="3" t="s">
        <v>6</v>
      </c>
      <c r="D182" s="4" t="b">
        <f t="shared" si="1"/>
        <v>0</v>
      </c>
      <c r="E182" s="4" t="s">
        <v>233</v>
      </c>
    </row>
    <row r="183">
      <c r="A183" s="3" t="s">
        <v>234</v>
      </c>
      <c r="B183" s="3">
        <v>0.0</v>
      </c>
      <c r="C183" s="3" t="s">
        <v>3</v>
      </c>
      <c r="D183" s="4" t="b">
        <f t="shared" si="1"/>
        <v>0</v>
      </c>
      <c r="E183" s="4" t="s">
        <v>234</v>
      </c>
    </row>
    <row r="184">
      <c r="A184" s="3" t="s">
        <v>235</v>
      </c>
      <c r="B184" s="3">
        <v>0.0</v>
      </c>
      <c r="C184" s="3" t="s">
        <v>3</v>
      </c>
      <c r="D184" s="4" t="b">
        <f t="shared" si="1"/>
        <v>0</v>
      </c>
      <c r="E184" s="4" t="s">
        <v>2097</v>
      </c>
    </row>
    <row r="185">
      <c r="A185" s="3" t="s">
        <v>236</v>
      </c>
      <c r="B185" s="4"/>
      <c r="C185" s="4"/>
      <c r="D185" s="4" t="b">
        <f t="shared" si="1"/>
        <v>1</v>
      </c>
      <c r="E185" s="4" t="s">
        <v>236</v>
      </c>
    </row>
    <row r="186">
      <c r="A186" s="3" t="s">
        <v>237</v>
      </c>
      <c r="B186" s="3">
        <v>0.0</v>
      </c>
      <c r="C186" s="3" t="s">
        <v>3</v>
      </c>
      <c r="D186" s="4" t="b">
        <f t="shared" si="1"/>
        <v>0</v>
      </c>
      <c r="E186" s="4" t="s">
        <v>237</v>
      </c>
    </row>
    <row r="187">
      <c r="A187" s="3" t="s">
        <v>238</v>
      </c>
      <c r="B187" s="3">
        <v>5500.0</v>
      </c>
      <c r="C187" s="3" t="s">
        <v>3</v>
      </c>
      <c r="D187" s="4" t="b">
        <f t="shared" si="1"/>
        <v>0</v>
      </c>
      <c r="E187" s="4" t="s">
        <v>238</v>
      </c>
    </row>
    <row r="188">
      <c r="A188" s="3" t="s">
        <v>239</v>
      </c>
      <c r="B188" s="3">
        <v>0.0</v>
      </c>
      <c r="C188" s="3" t="s">
        <v>3</v>
      </c>
      <c r="D188" s="4" t="b">
        <f t="shared" si="1"/>
        <v>0</v>
      </c>
      <c r="E188" s="4" t="s">
        <v>239</v>
      </c>
    </row>
    <row r="189">
      <c r="A189" s="3" t="s">
        <v>240</v>
      </c>
      <c r="B189" s="3">
        <v>0.0</v>
      </c>
      <c r="C189" s="3" t="s">
        <v>3</v>
      </c>
      <c r="D189" s="4" t="b">
        <f t="shared" si="1"/>
        <v>0</v>
      </c>
      <c r="E189" s="4" t="s">
        <v>240</v>
      </c>
    </row>
    <row r="190">
      <c r="A190" s="3" t="s">
        <v>241</v>
      </c>
      <c r="B190" s="3">
        <v>0.0</v>
      </c>
      <c r="C190" s="3" t="s">
        <v>6</v>
      </c>
      <c r="D190" s="4" t="b">
        <f t="shared" si="1"/>
        <v>0</v>
      </c>
      <c r="E190" s="4" t="s">
        <v>241</v>
      </c>
    </row>
    <row r="191">
      <c r="A191" s="3" t="s">
        <v>242</v>
      </c>
      <c r="B191" s="3">
        <v>300.0</v>
      </c>
      <c r="C191" s="3" t="s">
        <v>3</v>
      </c>
      <c r="D191" s="4" t="b">
        <f t="shared" si="1"/>
        <v>0</v>
      </c>
      <c r="E191" s="4" t="s">
        <v>2098</v>
      </c>
    </row>
    <row r="192">
      <c r="A192" s="3" t="s">
        <v>243</v>
      </c>
      <c r="B192" s="4"/>
      <c r="C192" s="4"/>
      <c r="D192" s="4" t="b">
        <f t="shared" si="1"/>
        <v>1</v>
      </c>
      <c r="E192" s="4" t="s">
        <v>243</v>
      </c>
    </row>
    <row r="193">
      <c r="A193" s="3" t="s">
        <v>244</v>
      </c>
      <c r="B193" s="3">
        <v>50580.0</v>
      </c>
      <c r="C193" s="3" t="s">
        <v>216</v>
      </c>
      <c r="D193" s="4" t="b">
        <f t="shared" si="1"/>
        <v>0</v>
      </c>
      <c r="E193" s="4" t="s">
        <v>2099</v>
      </c>
    </row>
    <row r="194">
      <c r="A194" s="3" t="s">
        <v>246</v>
      </c>
      <c r="B194" s="4"/>
      <c r="C194" s="4"/>
      <c r="D194" s="4" t="b">
        <f t="shared" si="1"/>
        <v>1</v>
      </c>
      <c r="E194" s="4" t="s">
        <v>246</v>
      </c>
    </row>
    <row r="195">
      <c r="A195" s="3" t="s">
        <v>247</v>
      </c>
      <c r="B195" s="3">
        <v>0.0</v>
      </c>
      <c r="C195" s="3" t="s">
        <v>3</v>
      </c>
      <c r="D195" s="4" t="b">
        <f t="shared" si="1"/>
        <v>0</v>
      </c>
      <c r="E195" s="4" t="s">
        <v>2100</v>
      </c>
    </row>
    <row r="196">
      <c r="A196" s="3" t="s">
        <v>248</v>
      </c>
      <c r="B196" s="4"/>
      <c r="C196" s="4"/>
      <c r="D196" s="4" t="b">
        <f t="shared" si="1"/>
        <v>1</v>
      </c>
      <c r="E196" s="4" t="s">
        <v>248</v>
      </c>
    </row>
    <row r="197">
      <c r="A197" s="3" t="s">
        <v>249</v>
      </c>
      <c r="B197" s="3">
        <v>0.0</v>
      </c>
      <c r="C197" s="3" t="s">
        <v>3</v>
      </c>
      <c r="D197" s="4" t="b">
        <f t="shared" si="1"/>
        <v>0</v>
      </c>
      <c r="E197" s="4" t="s">
        <v>249</v>
      </c>
    </row>
    <row r="198">
      <c r="A198" s="3" t="s">
        <v>250</v>
      </c>
      <c r="B198" s="3">
        <v>0.0</v>
      </c>
      <c r="C198" s="3" t="s">
        <v>32</v>
      </c>
      <c r="D198" s="4" t="b">
        <f t="shared" si="1"/>
        <v>0</v>
      </c>
      <c r="E198" s="4" t="s">
        <v>2101</v>
      </c>
    </row>
    <row r="199">
      <c r="A199" s="3" t="s">
        <v>251</v>
      </c>
      <c r="B199" s="4"/>
      <c r="C199" s="4"/>
      <c r="D199" s="4" t="b">
        <f t="shared" si="1"/>
        <v>1</v>
      </c>
      <c r="E199" s="4" t="s">
        <v>251</v>
      </c>
    </row>
    <row r="200">
      <c r="A200" s="3" t="s">
        <v>252</v>
      </c>
      <c r="B200" s="3">
        <v>4000.0</v>
      </c>
      <c r="C200" s="3" t="s">
        <v>3</v>
      </c>
      <c r="D200" s="4" t="b">
        <f t="shared" si="1"/>
        <v>0</v>
      </c>
      <c r="E200" s="4" t="s">
        <v>2102</v>
      </c>
    </row>
    <row r="201">
      <c r="A201" s="3" t="s">
        <v>253</v>
      </c>
      <c r="B201" s="4"/>
      <c r="C201" s="4"/>
      <c r="D201" s="4" t="b">
        <f t="shared" si="1"/>
        <v>1</v>
      </c>
      <c r="E201" s="4" t="s">
        <v>253</v>
      </c>
    </row>
    <row r="202">
      <c r="A202" s="3" t="s">
        <v>254</v>
      </c>
      <c r="B202" s="3">
        <v>512833.33</v>
      </c>
      <c r="C202" s="4"/>
      <c r="D202" s="4" t="b">
        <f t="shared" si="1"/>
        <v>0</v>
      </c>
      <c r="E202" s="4" t="s">
        <v>2103</v>
      </c>
    </row>
    <row r="203">
      <c r="A203" s="3" t="s">
        <v>256</v>
      </c>
      <c r="B203" s="4"/>
      <c r="C203" s="4"/>
      <c r="D203" s="4" t="b">
        <f t="shared" si="1"/>
        <v>1</v>
      </c>
      <c r="E203" s="4" t="s">
        <v>256</v>
      </c>
    </row>
    <row r="204">
      <c r="A204" s="3" t="s">
        <v>257</v>
      </c>
      <c r="B204" s="3">
        <v>0.0</v>
      </c>
      <c r="C204" s="3" t="s">
        <v>3</v>
      </c>
      <c r="D204" s="4" t="b">
        <f t="shared" si="1"/>
        <v>0</v>
      </c>
      <c r="E204" s="4" t="s">
        <v>257</v>
      </c>
    </row>
    <row r="205">
      <c r="A205" s="3" t="s">
        <v>258</v>
      </c>
      <c r="B205" s="3">
        <v>0.0</v>
      </c>
      <c r="C205" s="3" t="s">
        <v>3</v>
      </c>
      <c r="D205" s="4" t="b">
        <f t="shared" si="1"/>
        <v>0</v>
      </c>
      <c r="E205" s="4" t="s">
        <v>258</v>
      </c>
    </row>
    <row r="206">
      <c r="A206" s="3" t="s">
        <v>259</v>
      </c>
      <c r="B206" s="3">
        <v>0.0</v>
      </c>
      <c r="C206" s="3" t="s">
        <v>3</v>
      </c>
      <c r="D206" s="4" t="b">
        <f t="shared" si="1"/>
        <v>0</v>
      </c>
      <c r="E206" s="4" t="s">
        <v>259</v>
      </c>
    </row>
    <row r="207">
      <c r="A207" s="3" t="s">
        <v>260</v>
      </c>
      <c r="B207" s="3">
        <v>2064.0</v>
      </c>
      <c r="C207" s="3" t="s">
        <v>32</v>
      </c>
      <c r="D207" s="4" t="b">
        <f t="shared" si="1"/>
        <v>0</v>
      </c>
      <c r="E207" s="4" t="s">
        <v>260</v>
      </c>
    </row>
    <row r="208">
      <c r="A208" s="3" t="s">
        <v>262</v>
      </c>
      <c r="B208" s="3">
        <v>0.0</v>
      </c>
      <c r="C208" s="3" t="s">
        <v>3</v>
      </c>
      <c r="D208" s="4" t="b">
        <f t="shared" si="1"/>
        <v>0</v>
      </c>
      <c r="E208" s="4" t="s">
        <v>262</v>
      </c>
    </row>
    <row r="209">
      <c r="A209" s="3" t="s">
        <v>263</v>
      </c>
      <c r="B209" s="3">
        <v>0.0</v>
      </c>
      <c r="C209" s="3" t="s">
        <v>3</v>
      </c>
      <c r="D209" s="4" t="b">
        <f t="shared" si="1"/>
        <v>0</v>
      </c>
      <c r="E209" s="4" t="s">
        <v>2104</v>
      </c>
    </row>
    <row r="210">
      <c r="A210" s="3" t="s">
        <v>264</v>
      </c>
      <c r="B210" s="4"/>
      <c r="C210" s="4"/>
      <c r="D210" s="4" t="b">
        <f t="shared" si="1"/>
        <v>1</v>
      </c>
      <c r="E210" s="4" t="s">
        <v>264</v>
      </c>
    </row>
    <row r="211">
      <c r="A211" s="3" t="s">
        <v>265</v>
      </c>
      <c r="B211" s="3">
        <v>0.0</v>
      </c>
      <c r="C211" s="3" t="s">
        <v>3</v>
      </c>
      <c r="D211" s="4" t="b">
        <f t="shared" si="1"/>
        <v>0</v>
      </c>
      <c r="E211" s="4" t="s">
        <v>2105</v>
      </c>
    </row>
    <row r="212">
      <c r="A212" s="3" t="s">
        <v>266</v>
      </c>
      <c r="B212" s="4"/>
      <c r="C212" s="4"/>
      <c r="D212" s="4" t="b">
        <f t="shared" si="1"/>
        <v>1</v>
      </c>
      <c r="E212" s="4" t="s">
        <v>266</v>
      </c>
    </row>
    <row r="213">
      <c r="A213" s="3" t="s">
        <v>267</v>
      </c>
      <c r="B213" s="3">
        <v>0.0</v>
      </c>
      <c r="C213" s="3" t="s">
        <v>3</v>
      </c>
      <c r="D213" s="4" t="b">
        <f t="shared" si="1"/>
        <v>0</v>
      </c>
      <c r="E213" s="4" t="s">
        <v>2106</v>
      </c>
    </row>
    <row r="214">
      <c r="A214" s="3" t="s">
        <v>268</v>
      </c>
      <c r="B214" s="4"/>
      <c r="C214" s="4"/>
      <c r="D214" s="4" t="b">
        <f t="shared" si="1"/>
        <v>1</v>
      </c>
      <c r="E214" s="4" t="s">
        <v>268</v>
      </c>
    </row>
    <row r="215">
      <c r="A215" s="3" t="s">
        <v>269</v>
      </c>
      <c r="B215" s="3">
        <v>0.0</v>
      </c>
      <c r="C215" s="3" t="s">
        <v>3</v>
      </c>
      <c r="D215" s="4" t="b">
        <f t="shared" si="1"/>
        <v>0</v>
      </c>
      <c r="E215" s="4" t="s">
        <v>2107</v>
      </c>
    </row>
    <row r="216">
      <c r="A216" s="3" t="s">
        <v>270</v>
      </c>
      <c r="B216" s="4"/>
      <c r="C216" s="4"/>
      <c r="D216" s="4" t="b">
        <f t="shared" si="1"/>
        <v>1</v>
      </c>
      <c r="E216" s="4" t="s">
        <v>270</v>
      </c>
    </row>
    <row r="217">
      <c r="A217" s="3" t="s">
        <v>271</v>
      </c>
      <c r="B217" s="3">
        <v>0.0</v>
      </c>
      <c r="C217" s="3" t="s">
        <v>3</v>
      </c>
      <c r="D217" s="4" t="b">
        <f t="shared" si="1"/>
        <v>0</v>
      </c>
      <c r="E217" s="4" t="s">
        <v>2108</v>
      </c>
    </row>
    <row r="218">
      <c r="A218" s="3" t="s">
        <v>272</v>
      </c>
      <c r="B218" s="4"/>
      <c r="C218" s="4"/>
      <c r="D218" s="4" t="b">
        <f t="shared" si="1"/>
        <v>1</v>
      </c>
      <c r="E218" s="4" t="s">
        <v>272</v>
      </c>
    </row>
    <row r="219">
      <c r="A219" s="3" t="s">
        <v>273</v>
      </c>
      <c r="B219" s="3">
        <v>0.0</v>
      </c>
      <c r="C219" s="3" t="s">
        <v>3</v>
      </c>
      <c r="D219" s="4" t="b">
        <f t="shared" si="1"/>
        <v>0</v>
      </c>
      <c r="E219" s="4" t="s">
        <v>273</v>
      </c>
    </row>
    <row r="220">
      <c r="A220" s="3" t="s">
        <v>274</v>
      </c>
      <c r="B220" s="3">
        <v>4000.0</v>
      </c>
      <c r="C220" s="3" t="s">
        <v>3</v>
      </c>
      <c r="D220" s="4" t="b">
        <f t="shared" si="1"/>
        <v>0</v>
      </c>
      <c r="E220" s="4" t="s">
        <v>2109</v>
      </c>
    </row>
    <row r="221">
      <c r="A221" s="3" t="s">
        <v>275</v>
      </c>
      <c r="B221" s="4"/>
      <c r="C221" s="4"/>
      <c r="D221" s="4" t="b">
        <f t="shared" si="1"/>
        <v>1</v>
      </c>
      <c r="E221" s="4" t="s">
        <v>275</v>
      </c>
    </row>
    <row r="222">
      <c r="A222" s="3" t="s">
        <v>276</v>
      </c>
      <c r="B222" s="3">
        <v>0.0</v>
      </c>
      <c r="C222" s="3" t="s">
        <v>3</v>
      </c>
      <c r="D222" s="4" t="b">
        <f t="shared" si="1"/>
        <v>0</v>
      </c>
      <c r="E222" s="4" t="s">
        <v>276</v>
      </c>
    </row>
    <row r="223">
      <c r="A223" s="3" t="s">
        <v>277</v>
      </c>
      <c r="B223" s="3">
        <v>0.0</v>
      </c>
      <c r="C223" s="3" t="s">
        <v>3</v>
      </c>
      <c r="D223" s="4" t="b">
        <f t="shared" si="1"/>
        <v>0</v>
      </c>
      <c r="E223" s="4" t="s">
        <v>277</v>
      </c>
    </row>
    <row r="224">
      <c r="A224" s="3" t="s">
        <v>278</v>
      </c>
      <c r="B224" s="3">
        <v>15500.0</v>
      </c>
      <c r="C224" s="3" t="s">
        <v>280</v>
      </c>
      <c r="D224" s="4" t="b">
        <f t="shared" si="1"/>
        <v>0</v>
      </c>
      <c r="E224" s="4" t="s">
        <v>278</v>
      </c>
    </row>
    <row r="225">
      <c r="A225" s="3" t="s">
        <v>281</v>
      </c>
      <c r="B225" s="3">
        <v>600.0</v>
      </c>
      <c r="C225" s="4"/>
      <c r="D225" s="4" t="b">
        <f t="shared" si="1"/>
        <v>0</v>
      </c>
      <c r="E225" s="4" t="s">
        <v>2110</v>
      </c>
    </row>
    <row r="226">
      <c r="A226" s="3" t="s">
        <v>283</v>
      </c>
      <c r="B226" s="4"/>
      <c r="C226" s="4"/>
      <c r="D226" s="4" t="b">
        <f t="shared" si="1"/>
        <v>1</v>
      </c>
      <c r="E226" s="4" t="s">
        <v>283</v>
      </c>
    </row>
    <row r="227">
      <c r="A227" s="3" t="s">
        <v>284</v>
      </c>
      <c r="B227" s="3">
        <v>0.0</v>
      </c>
      <c r="C227" s="3" t="s">
        <v>6</v>
      </c>
      <c r="D227" s="4" t="b">
        <f t="shared" si="1"/>
        <v>0</v>
      </c>
      <c r="E227" s="4" t="s">
        <v>2111</v>
      </c>
    </row>
    <row r="228">
      <c r="A228" s="3" t="s">
        <v>285</v>
      </c>
      <c r="B228" s="4"/>
      <c r="C228" s="4"/>
      <c r="D228" s="4" t="b">
        <f t="shared" si="1"/>
        <v>1</v>
      </c>
      <c r="E228" s="4" t="s">
        <v>285</v>
      </c>
    </row>
    <row r="229">
      <c r="A229" s="3" t="s">
        <v>286</v>
      </c>
      <c r="B229" s="3">
        <v>0.0</v>
      </c>
      <c r="C229" s="3" t="s">
        <v>3</v>
      </c>
      <c r="D229" s="4" t="b">
        <f t="shared" si="1"/>
        <v>0</v>
      </c>
      <c r="E229" s="4" t="s">
        <v>286</v>
      </c>
    </row>
    <row r="230">
      <c r="A230" s="3" t="s">
        <v>287</v>
      </c>
      <c r="B230" s="3">
        <v>0.0</v>
      </c>
      <c r="C230" s="3" t="s">
        <v>3</v>
      </c>
      <c r="D230" s="4" t="b">
        <f t="shared" si="1"/>
        <v>0</v>
      </c>
      <c r="E230" s="4" t="s">
        <v>2112</v>
      </c>
    </row>
    <row r="231">
      <c r="A231" s="3" t="s">
        <v>288</v>
      </c>
      <c r="B231" s="4"/>
      <c r="C231" s="4"/>
      <c r="D231" s="4" t="b">
        <f t="shared" si="1"/>
        <v>1</v>
      </c>
      <c r="E231" s="4" t="s">
        <v>288</v>
      </c>
    </row>
    <row r="232">
      <c r="A232" s="3" t="s">
        <v>289</v>
      </c>
      <c r="B232" s="3">
        <v>0.0</v>
      </c>
      <c r="C232" s="3" t="s">
        <v>3</v>
      </c>
      <c r="D232" s="4" t="b">
        <f t="shared" si="1"/>
        <v>0</v>
      </c>
      <c r="E232" s="4" t="s">
        <v>2113</v>
      </c>
    </row>
    <row r="233">
      <c r="A233" s="3" t="s">
        <v>290</v>
      </c>
      <c r="B233" s="4"/>
      <c r="C233" s="4"/>
      <c r="D233" s="4" t="b">
        <f t="shared" si="1"/>
        <v>1</v>
      </c>
      <c r="E233" s="4" t="s">
        <v>290</v>
      </c>
    </row>
    <row r="234">
      <c r="A234" s="3" t="s">
        <v>291</v>
      </c>
      <c r="B234" s="3">
        <v>0.0</v>
      </c>
      <c r="C234" s="3" t="s">
        <v>3</v>
      </c>
      <c r="D234" s="4" t="b">
        <f t="shared" si="1"/>
        <v>0</v>
      </c>
      <c r="E234" s="4" t="s">
        <v>2114</v>
      </c>
    </row>
    <row r="235">
      <c r="A235" s="3" t="s">
        <v>292</v>
      </c>
      <c r="B235" s="4"/>
      <c r="C235" s="4"/>
      <c r="D235" s="4" t="b">
        <f t="shared" si="1"/>
        <v>1</v>
      </c>
      <c r="E235" s="4" t="s">
        <v>292</v>
      </c>
    </row>
    <row r="236">
      <c r="A236" s="3" t="s">
        <v>293</v>
      </c>
      <c r="B236" s="3">
        <v>3030.0</v>
      </c>
      <c r="C236" s="4"/>
      <c r="D236" s="4" t="b">
        <f t="shared" si="1"/>
        <v>0</v>
      </c>
      <c r="E236" s="4" t="s">
        <v>2115</v>
      </c>
    </row>
    <row r="237">
      <c r="A237" s="3" t="s">
        <v>295</v>
      </c>
      <c r="B237" s="4"/>
      <c r="C237" s="4"/>
      <c r="D237" s="4" t="b">
        <f t="shared" si="1"/>
        <v>1</v>
      </c>
      <c r="E237" s="4" t="s">
        <v>295</v>
      </c>
    </row>
    <row r="238">
      <c r="A238" s="3" t="s">
        <v>296</v>
      </c>
      <c r="B238" s="3">
        <v>0.0</v>
      </c>
      <c r="C238" s="3" t="s">
        <v>3</v>
      </c>
      <c r="D238" s="4" t="b">
        <f t="shared" si="1"/>
        <v>0</v>
      </c>
      <c r="E238" s="4" t="s">
        <v>296</v>
      </c>
    </row>
    <row r="239">
      <c r="A239" s="3" t="s">
        <v>297</v>
      </c>
      <c r="B239" s="3">
        <v>1000.0</v>
      </c>
      <c r="C239" s="3" t="s">
        <v>3</v>
      </c>
      <c r="D239" s="4" t="b">
        <f t="shared" si="1"/>
        <v>0</v>
      </c>
      <c r="E239" s="4" t="s">
        <v>2116</v>
      </c>
    </row>
    <row r="240">
      <c r="A240" s="3" t="s">
        <v>298</v>
      </c>
      <c r="B240" s="4"/>
      <c r="C240" s="4"/>
      <c r="D240" s="4" t="b">
        <f t="shared" si="1"/>
        <v>1</v>
      </c>
      <c r="E240" s="4" t="s">
        <v>298</v>
      </c>
    </row>
    <row r="241">
      <c r="A241" s="3" t="s">
        <v>299</v>
      </c>
      <c r="B241" s="3">
        <v>8907.0</v>
      </c>
      <c r="C241" s="3" t="s">
        <v>6</v>
      </c>
      <c r="D241" s="4" t="b">
        <f t="shared" si="1"/>
        <v>0</v>
      </c>
      <c r="E241" s="4" t="s">
        <v>299</v>
      </c>
    </row>
    <row r="242">
      <c r="A242" s="3" t="s">
        <v>301</v>
      </c>
      <c r="B242" s="3">
        <v>8060927.5</v>
      </c>
      <c r="C242" s="3" t="s">
        <v>303</v>
      </c>
      <c r="D242" s="4" t="b">
        <f t="shared" si="1"/>
        <v>0</v>
      </c>
      <c r="E242" s="4" t="s">
        <v>2117</v>
      </c>
    </row>
    <row r="243">
      <c r="A243" s="3" t="s">
        <v>304</v>
      </c>
      <c r="B243" s="4"/>
      <c r="C243" s="3" t="s">
        <v>305</v>
      </c>
      <c r="D243" s="4" t="b">
        <f t="shared" si="1"/>
        <v>1</v>
      </c>
      <c r="E243" s="4" t="s">
        <v>304</v>
      </c>
    </row>
    <row r="244">
      <c r="A244" s="3" t="s">
        <v>306</v>
      </c>
      <c r="B244" s="3">
        <v>0.0</v>
      </c>
      <c r="C244" s="3" t="s">
        <v>3</v>
      </c>
      <c r="D244" s="4" t="b">
        <f t="shared" si="1"/>
        <v>0</v>
      </c>
      <c r="E244" s="4" t="s">
        <v>2118</v>
      </c>
    </row>
    <row r="245">
      <c r="A245" s="3" t="s">
        <v>33</v>
      </c>
      <c r="B245" s="4"/>
      <c r="C245" s="4"/>
      <c r="D245" s="4" t="b">
        <f t="shared" si="1"/>
        <v>1</v>
      </c>
      <c r="E245" s="4" t="s">
        <v>33</v>
      </c>
    </row>
    <row r="246">
      <c r="A246" s="3" t="s">
        <v>307</v>
      </c>
      <c r="B246" s="3">
        <v>8400.0</v>
      </c>
      <c r="C246" s="4"/>
      <c r="D246" s="4" t="b">
        <f t="shared" si="1"/>
        <v>0</v>
      </c>
      <c r="E246" s="4" t="s">
        <v>2119</v>
      </c>
    </row>
    <row r="247">
      <c r="A247" s="3" t="s">
        <v>309</v>
      </c>
      <c r="B247" s="4"/>
      <c r="C247" s="4"/>
      <c r="D247" s="4" t="b">
        <f t="shared" si="1"/>
        <v>1</v>
      </c>
      <c r="E247" s="4" t="s">
        <v>309</v>
      </c>
    </row>
    <row r="248">
      <c r="A248" s="3" t="s">
        <v>310</v>
      </c>
      <c r="B248" s="3">
        <v>0.0</v>
      </c>
      <c r="C248" s="3" t="s">
        <v>3</v>
      </c>
      <c r="D248" s="4" t="b">
        <f t="shared" si="1"/>
        <v>0</v>
      </c>
      <c r="E248" s="4" t="s">
        <v>310</v>
      </c>
    </row>
    <row r="249">
      <c r="A249" s="3" t="s">
        <v>311</v>
      </c>
      <c r="B249" s="3">
        <v>0.0</v>
      </c>
      <c r="C249" s="3" t="s">
        <v>6</v>
      </c>
      <c r="D249" s="4" t="b">
        <f t="shared" si="1"/>
        <v>0</v>
      </c>
      <c r="E249" s="4" t="s">
        <v>311</v>
      </c>
    </row>
    <row r="250">
      <c r="A250" s="3" t="s">
        <v>312</v>
      </c>
      <c r="B250" s="3">
        <v>9400.0</v>
      </c>
      <c r="C250" s="4"/>
      <c r="D250" s="4" t="b">
        <f t="shared" si="1"/>
        <v>0</v>
      </c>
      <c r="E250" s="4" t="s">
        <v>312</v>
      </c>
    </row>
    <row r="251">
      <c r="A251" s="3" t="s">
        <v>314</v>
      </c>
      <c r="B251" s="3">
        <v>4880.0</v>
      </c>
      <c r="C251" s="3" t="s">
        <v>6</v>
      </c>
      <c r="D251" s="4" t="b">
        <f t="shared" si="1"/>
        <v>0</v>
      </c>
      <c r="E251" s="4" t="s">
        <v>314</v>
      </c>
    </row>
    <row r="252">
      <c r="A252" s="3" t="s">
        <v>316</v>
      </c>
      <c r="B252" s="3">
        <v>4420.0</v>
      </c>
      <c r="C252" s="4"/>
      <c r="D252" s="4" t="b">
        <f t="shared" si="1"/>
        <v>0</v>
      </c>
      <c r="E252" s="4" t="s">
        <v>316</v>
      </c>
    </row>
    <row r="253">
      <c r="A253" s="3" t="s">
        <v>318</v>
      </c>
      <c r="B253" s="3">
        <v>2055.0</v>
      </c>
      <c r="C253" s="4"/>
      <c r="D253" s="4" t="b">
        <f t="shared" si="1"/>
        <v>0</v>
      </c>
      <c r="E253" s="4" t="s">
        <v>318</v>
      </c>
    </row>
    <row r="254">
      <c r="A254" s="3" t="s">
        <v>320</v>
      </c>
      <c r="B254" s="3">
        <v>2150.0</v>
      </c>
      <c r="C254" s="3" t="s">
        <v>6</v>
      </c>
      <c r="D254" s="4" t="b">
        <f t="shared" si="1"/>
        <v>0</v>
      </c>
      <c r="E254" s="4" t="s">
        <v>320</v>
      </c>
    </row>
    <row r="255">
      <c r="A255" s="3" t="s">
        <v>322</v>
      </c>
      <c r="B255" s="3">
        <v>7475.0</v>
      </c>
      <c r="C255" s="3" t="s">
        <v>32</v>
      </c>
      <c r="D255" s="4" t="b">
        <f t="shared" si="1"/>
        <v>0</v>
      </c>
      <c r="E255" s="4" t="s">
        <v>322</v>
      </c>
    </row>
    <row r="256">
      <c r="A256" s="3" t="s">
        <v>324</v>
      </c>
      <c r="B256" s="3">
        <v>920.0</v>
      </c>
      <c r="C256" s="4"/>
      <c r="D256" s="4" t="b">
        <f t="shared" si="1"/>
        <v>0</v>
      </c>
      <c r="E256" s="4" t="s">
        <v>2120</v>
      </c>
    </row>
    <row r="257">
      <c r="A257" s="3" t="s">
        <v>326</v>
      </c>
      <c r="B257" s="4"/>
      <c r="C257" s="4"/>
      <c r="D257" s="4" t="b">
        <f t="shared" si="1"/>
        <v>1</v>
      </c>
      <c r="E257" s="4" t="s">
        <v>326</v>
      </c>
    </row>
    <row r="258">
      <c r="A258" s="3" t="s">
        <v>327</v>
      </c>
      <c r="B258" s="3">
        <v>4700.0</v>
      </c>
      <c r="C258" s="4"/>
      <c r="D258" s="4" t="b">
        <f t="shared" si="1"/>
        <v>0</v>
      </c>
      <c r="E258" s="4" t="s">
        <v>2121</v>
      </c>
    </row>
    <row r="259">
      <c r="A259" s="3" t="s">
        <v>329</v>
      </c>
      <c r="B259" s="4"/>
      <c r="C259" s="4"/>
      <c r="D259" s="4" t="b">
        <f t="shared" si="1"/>
        <v>1</v>
      </c>
      <c r="E259" s="4" t="s">
        <v>329</v>
      </c>
    </row>
    <row r="260">
      <c r="A260" s="3" t="s">
        <v>330</v>
      </c>
      <c r="B260" s="3">
        <v>5688.0</v>
      </c>
      <c r="C260" s="3" t="s">
        <v>6</v>
      </c>
      <c r="D260" s="4" t="b">
        <f t="shared" si="1"/>
        <v>0</v>
      </c>
      <c r="E260" s="4" t="s">
        <v>330</v>
      </c>
    </row>
    <row r="261">
      <c r="A261" s="3" t="s">
        <v>332</v>
      </c>
      <c r="B261" s="3">
        <v>1500.0</v>
      </c>
      <c r="C261" s="4"/>
      <c r="D261" s="4" t="b">
        <f t="shared" si="1"/>
        <v>0</v>
      </c>
      <c r="E261" s="4" t="s">
        <v>2122</v>
      </c>
    </row>
    <row r="262">
      <c r="A262" s="3" t="s">
        <v>333</v>
      </c>
      <c r="B262" s="4"/>
      <c r="C262" s="4"/>
      <c r="D262" s="4" t="b">
        <f t="shared" si="1"/>
        <v>1</v>
      </c>
      <c r="E262" s="4" t="s">
        <v>333</v>
      </c>
    </row>
    <row r="263">
      <c r="A263" s="3" t="s">
        <v>332</v>
      </c>
      <c r="B263" s="3">
        <v>0.0</v>
      </c>
      <c r="C263" s="3" t="s">
        <v>32</v>
      </c>
      <c r="D263" s="4" t="b">
        <f t="shared" si="1"/>
        <v>0</v>
      </c>
      <c r="E263" s="4" t="s">
        <v>2123</v>
      </c>
    </row>
    <row r="264">
      <c r="A264" s="3" t="s">
        <v>334</v>
      </c>
      <c r="B264" s="4"/>
      <c r="C264" s="4"/>
      <c r="D264" s="4" t="b">
        <f t="shared" si="1"/>
        <v>1</v>
      </c>
      <c r="E264" s="4" t="s">
        <v>334</v>
      </c>
    </row>
    <row r="265">
      <c r="A265" s="3" t="s">
        <v>332</v>
      </c>
      <c r="B265" s="3">
        <v>0.0</v>
      </c>
      <c r="C265" s="3" t="s">
        <v>6</v>
      </c>
      <c r="D265" s="4" t="b">
        <f t="shared" si="1"/>
        <v>0</v>
      </c>
      <c r="E265" s="4" t="s">
        <v>2124</v>
      </c>
    </row>
    <row r="266">
      <c r="A266" s="3" t="s">
        <v>335</v>
      </c>
      <c r="B266" s="4"/>
      <c r="C266" s="4"/>
      <c r="D266" s="4" t="b">
        <f t="shared" si="1"/>
        <v>1</v>
      </c>
      <c r="E266" s="4" t="s">
        <v>335</v>
      </c>
    </row>
    <row r="267">
      <c r="A267" s="3" t="s">
        <v>336</v>
      </c>
      <c r="B267" s="3">
        <v>3000.0</v>
      </c>
      <c r="C267" s="3" t="s">
        <v>6</v>
      </c>
      <c r="D267" s="4" t="b">
        <f t="shared" si="1"/>
        <v>0</v>
      </c>
      <c r="E267" s="4" t="s">
        <v>2125</v>
      </c>
    </row>
    <row r="268">
      <c r="A268" s="3" t="s">
        <v>337</v>
      </c>
      <c r="B268" s="4"/>
      <c r="C268" s="4"/>
      <c r="D268" s="4" t="b">
        <f t="shared" si="1"/>
        <v>1</v>
      </c>
      <c r="E268" s="4" t="s">
        <v>337</v>
      </c>
    </row>
    <row r="269">
      <c r="A269" s="3" t="s">
        <v>338</v>
      </c>
      <c r="B269" s="3">
        <v>0.0</v>
      </c>
      <c r="C269" s="3" t="s">
        <v>6</v>
      </c>
      <c r="D269" s="4" t="b">
        <f t="shared" si="1"/>
        <v>0</v>
      </c>
      <c r="E269" s="4" t="s">
        <v>2126</v>
      </c>
    </row>
    <row r="270">
      <c r="A270" s="3" t="s">
        <v>339</v>
      </c>
      <c r="B270" s="4"/>
      <c r="C270" s="4"/>
      <c r="D270" s="4" t="b">
        <f t="shared" si="1"/>
        <v>1</v>
      </c>
      <c r="E270" s="4" t="s">
        <v>339</v>
      </c>
    </row>
    <row r="271">
      <c r="A271" s="3" t="s">
        <v>340</v>
      </c>
      <c r="B271" s="3">
        <v>11000.0</v>
      </c>
      <c r="C271" s="3" t="s">
        <v>6</v>
      </c>
      <c r="D271" s="4" t="b">
        <f t="shared" si="1"/>
        <v>0</v>
      </c>
      <c r="E271" s="4" t="s">
        <v>2127</v>
      </c>
    </row>
    <row r="272">
      <c r="A272" s="3" t="s">
        <v>341</v>
      </c>
      <c r="B272" s="4"/>
      <c r="C272" s="4"/>
      <c r="D272" s="4" t="b">
        <f t="shared" si="1"/>
        <v>1</v>
      </c>
      <c r="E272" s="4" t="s">
        <v>341</v>
      </c>
    </row>
    <row r="273">
      <c r="A273" s="3" t="s">
        <v>342</v>
      </c>
      <c r="B273" s="3">
        <v>1500.0</v>
      </c>
      <c r="C273" s="3" t="s">
        <v>6</v>
      </c>
      <c r="D273" s="4" t="b">
        <f t="shared" si="1"/>
        <v>0</v>
      </c>
      <c r="E273" s="4" t="s">
        <v>342</v>
      </c>
    </row>
    <row r="274">
      <c r="A274" s="3" t="s">
        <v>343</v>
      </c>
      <c r="B274" s="3">
        <v>2670.0</v>
      </c>
      <c r="C274" s="4"/>
      <c r="D274" s="4" t="b">
        <f t="shared" si="1"/>
        <v>0</v>
      </c>
      <c r="E274" s="4" t="s">
        <v>343</v>
      </c>
    </row>
    <row r="275">
      <c r="A275" s="3" t="s">
        <v>345</v>
      </c>
      <c r="B275" s="3">
        <v>4000.0</v>
      </c>
      <c r="C275" s="4"/>
      <c r="D275" s="4" t="b">
        <f t="shared" si="1"/>
        <v>0</v>
      </c>
      <c r="E275" s="4" t="s">
        <v>2128</v>
      </c>
    </row>
    <row r="276">
      <c r="A276" s="3" t="s">
        <v>346</v>
      </c>
      <c r="B276" s="4"/>
      <c r="C276" s="4"/>
      <c r="D276" s="4" t="b">
        <f t="shared" si="1"/>
        <v>1</v>
      </c>
      <c r="E276" s="4" t="s">
        <v>346</v>
      </c>
    </row>
    <row r="277">
      <c r="A277" s="3" t="s">
        <v>347</v>
      </c>
      <c r="B277" s="3">
        <v>0.0</v>
      </c>
      <c r="C277" s="3" t="s">
        <v>32</v>
      </c>
      <c r="D277" s="4" t="b">
        <f t="shared" si="1"/>
        <v>0</v>
      </c>
      <c r="E277" s="4" t="s">
        <v>347</v>
      </c>
    </row>
    <row r="278">
      <c r="A278" s="3" t="s">
        <v>348</v>
      </c>
      <c r="B278" s="3">
        <v>0.0</v>
      </c>
      <c r="C278" s="3" t="s">
        <v>3</v>
      </c>
      <c r="D278" s="4" t="b">
        <f t="shared" si="1"/>
        <v>0</v>
      </c>
      <c r="E278" s="4" t="s">
        <v>2129</v>
      </c>
    </row>
    <row r="279">
      <c r="A279" s="3" t="s">
        <v>349</v>
      </c>
      <c r="B279" s="4"/>
      <c r="C279" s="4"/>
      <c r="D279" s="4" t="b">
        <f t="shared" si="1"/>
        <v>1</v>
      </c>
      <c r="E279" s="4" t="s">
        <v>349</v>
      </c>
    </row>
    <row r="280">
      <c r="A280" s="3" t="s">
        <v>350</v>
      </c>
      <c r="B280" s="3">
        <v>0.0</v>
      </c>
      <c r="C280" s="3" t="s">
        <v>3</v>
      </c>
      <c r="D280" s="4" t="b">
        <f t="shared" si="1"/>
        <v>0</v>
      </c>
      <c r="E280" s="4" t="s">
        <v>350</v>
      </c>
    </row>
    <row r="281">
      <c r="A281" s="3" t="s">
        <v>351</v>
      </c>
      <c r="B281" s="3">
        <v>4072.0</v>
      </c>
      <c r="C281" s="3" t="s">
        <v>6</v>
      </c>
      <c r="D281" s="4" t="b">
        <f t="shared" si="1"/>
        <v>0</v>
      </c>
      <c r="E281" s="4" t="s">
        <v>2130</v>
      </c>
    </row>
    <row r="282">
      <c r="A282" s="3" t="s">
        <v>353</v>
      </c>
      <c r="B282" s="4"/>
      <c r="C282" s="4"/>
      <c r="D282" s="4" t="b">
        <f t="shared" si="1"/>
        <v>1</v>
      </c>
      <c r="E282" s="4" t="s">
        <v>353</v>
      </c>
    </row>
    <row r="283">
      <c r="A283" s="3" t="s">
        <v>354</v>
      </c>
      <c r="B283" s="3">
        <v>0.0</v>
      </c>
      <c r="C283" s="3" t="s">
        <v>3</v>
      </c>
      <c r="D283" s="4" t="b">
        <f t="shared" si="1"/>
        <v>0</v>
      </c>
      <c r="E283" s="4" t="s">
        <v>354</v>
      </c>
    </row>
    <row r="284">
      <c r="A284" s="3" t="s">
        <v>355</v>
      </c>
      <c r="B284" s="3">
        <v>0.0</v>
      </c>
      <c r="C284" s="3" t="s">
        <v>6</v>
      </c>
      <c r="D284" s="4" t="b">
        <f t="shared" si="1"/>
        <v>0</v>
      </c>
      <c r="E284" s="4" t="s">
        <v>2131</v>
      </c>
    </row>
    <row r="285">
      <c r="A285" s="3" t="s">
        <v>356</v>
      </c>
      <c r="B285" s="4"/>
      <c r="C285" s="4"/>
      <c r="D285" s="4" t="b">
        <f t="shared" si="1"/>
        <v>1</v>
      </c>
      <c r="E285" s="4" t="s">
        <v>356</v>
      </c>
    </row>
    <row r="286">
      <c r="A286" s="3" t="s">
        <v>357</v>
      </c>
      <c r="B286" s="3">
        <v>0.0</v>
      </c>
      <c r="C286" s="3" t="s">
        <v>3</v>
      </c>
      <c r="D286" s="4" t="b">
        <f t="shared" si="1"/>
        <v>0</v>
      </c>
      <c r="E286" s="4" t="s">
        <v>357</v>
      </c>
    </row>
    <row r="287">
      <c r="A287" s="3" t="s">
        <v>358</v>
      </c>
      <c r="B287" s="3">
        <v>0.0</v>
      </c>
      <c r="C287" s="3" t="s">
        <v>3</v>
      </c>
      <c r="D287" s="4" t="b">
        <f t="shared" si="1"/>
        <v>0</v>
      </c>
      <c r="E287" s="4" t="s">
        <v>2132</v>
      </c>
    </row>
    <row r="288">
      <c r="A288" s="3" t="s">
        <v>359</v>
      </c>
      <c r="B288" s="4"/>
      <c r="C288" s="4"/>
      <c r="D288" s="4" t="b">
        <f t="shared" si="1"/>
        <v>1</v>
      </c>
      <c r="E288" s="4" t="s">
        <v>359</v>
      </c>
    </row>
    <row r="289">
      <c r="A289" s="3" t="s">
        <v>360</v>
      </c>
      <c r="B289" s="3">
        <v>0.0</v>
      </c>
      <c r="C289" s="3" t="s">
        <v>3</v>
      </c>
      <c r="D289" s="4" t="b">
        <f t="shared" si="1"/>
        <v>0</v>
      </c>
      <c r="E289" s="4" t="s">
        <v>360</v>
      </c>
    </row>
    <row r="290">
      <c r="A290" s="3" t="s">
        <v>361</v>
      </c>
      <c r="B290" s="3">
        <v>4400.0</v>
      </c>
      <c r="C290" s="4"/>
      <c r="D290" s="4" t="b">
        <f t="shared" si="1"/>
        <v>0</v>
      </c>
      <c r="E290" s="4" t="s">
        <v>2133</v>
      </c>
    </row>
    <row r="291">
      <c r="A291" s="3" t="s">
        <v>363</v>
      </c>
      <c r="B291" s="4"/>
      <c r="C291" s="4"/>
      <c r="D291" s="4" t="b">
        <f t="shared" si="1"/>
        <v>1</v>
      </c>
      <c r="E291" s="4" t="s">
        <v>363</v>
      </c>
    </row>
    <row r="292">
      <c r="A292" s="3" t="s">
        <v>364</v>
      </c>
      <c r="B292" s="3">
        <v>0.0</v>
      </c>
      <c r="C292" s="3" t="s">
        <v>3</v>
      </c>
      <c r="D292" s="4" t="b">
        <f t="shared" si="1"/>
        <v>0</v>
      </c>
      <c r="E292" s="4" t="s">
        <v>2134</v>
      </c>
    </row>
    <row r="293">
      <c r="A293" s="3" t="s">
        <v>365</v>
      </c>
      <c r="B293" s="4"/>
      <c r="C293" s="4"/>
      <c r="D293" s="4" t="b">
        <f t="shared" si="1"/>
        <v>1</v>
      </c>
      <c r="E293" s="4" t="s">
        <v>365</v>
      </c>
    </row>
    <row r="294">
      <c r="A294" s="3" t="s">
        <v>366</v>
      </c>
      <c r="B294" s="3">
        <v>0.0</v>
      </c>
      <c r="C294" s="3" t="s">
        <v>3</v>
      </c>
      <c r="D294" s="4" t="b">
        <f t="shared" si="1"/>
        <v>0</v>
      </c>
      <c r="E294" s="4" t="s">
        <v>2135</v>
      </c>
    </row>
    <row r="295">
      <c r="A295" s="3" t="s">
        <v>367</v>
      </c>
      <c r="B295" s="4"/>
      <c r="C295" s="4"/>
      <c r="D295" s="4" t="b">
        <f t="shared" si="1"/>
        <v>1</v>
      </c>
      <c r="E295" s="4" t="s">
        <v>367</v>
      </c>
    </row>
    <row r="296">
      <c r="A296" s="3" t="s">
        <v>368</v>
      </c>
      <c r="B296" s="3">
        <v>0.0</v>
      </c>
      <c r="C296" s="3" t="s">
        <v>3</v>
      </c>
      <c r="D296" s="4" t="b">
        <f t="shared" si="1"/>
        <v>0</v>
      </c>
      <c r="E296" s="4" t="s">
        <v>2136</v>
      </c>
    </row>
    <row r="297">
      <c r="A297" s="3" t="s">
        <v>369</v>
      </c>
      <c r="B297" s="4"/>
      <c r="C297" s="4"/>
      <c r="D297" s="4" t="b">
        <f t="shared" si="1"/>
        <v>1</v>
      </c>
      <c r="E297" s="4" t="s">
        <v>369</v>
      </c>
    </row>
    <row r="298">
      <c r="A298" s="3" t="s">
        <v>370</v>
      </c>
      <c r="B298" s="3">
        <v>0.0</v>
      </c>
      <c r="C298" s="3" t="s">
        <v>6</v>
      </c>
      <c r="D298" s="4" t="b">
        <f t="shared" si="1"/>
        <v>0</v>
      </c>
      <c r="E298" s="4" t="s">
        <v>370</v>
      </c>
    </row>
    <row r="299">
      <c r="A299" s="3" t="s">
        <v>371</v>
      </c>
      <c r="B299" s="3">
        <v>500.0</v>
      </c>
      <c r="C299" s="4"/>
      <c r="D299" s="4" t="b">
        <f t="shared" si="1"/>
        <v>0</v>
      </c>
      <c r="E299" s="4" t="s">
        <v>2137</v>
      </c>
    </row>
    <row r="300">
      <c r="A300" s="3" t="s">
        <v>372</v>
      </c>
      <c r="B300" s="4"/>
      <c r="C300" s="4"/>
      <c r="D300" s="4" t="b">
        <f t="shared" si="1"/>
        <v>1</v>
      </c>
      <c r="E300" s="4" t="s">
        <v>372</v>
      </c>
    </row>
    <row r="301">
      <c r="A301" s="3" t="s">
        <v>373</v>
      </c>
      <c r="B301" s="3">
        <v>0.0</v>
      </c>
      <c r="C301" s="3" t="s">
        <v>6</v>
      </c>
      <c r="D301" s="4" t="b">
        <f t="shared" si="1"/>
        <v>0</v>
      </c>
      <c r="E301" s="4" t="s">
        <v>373</v>
      </c>
    </row>
    <row r="302">
      <c r="A302" s="3" t="s">
        <v>374</v>
      </c>
      <c r="B302" s="3">
        <v>0.0</v>
      </c>
      <c r="C302" s="3" t="s">
        <v>3</v>
      </c>
      <c r="D302" s="4" t="b">
        <f t="shared" si="1"/>
        <v>0</v>
      </c>
      <c r="E302" s="4" t="s">
        <v>374</v>
      </c>
    </row>
    <row r="303">
      <c r="A303" s="3" t="s">
        <v>375</v>
      </c>
      <c r="B303" s="3">
        <v>3200.0</v>
      </c>
      <c r="C303" s="3" t="s">
        <v>6</v>
      </c>
      <c r="D303" s="4" t="b">
        <f t="shared" si="1"/>
        <v>0</v>
      </c>
      <c r="E303" s="4" t="s">
        <v>375</v>
      </c>
    </row>
    <row r="304">
      <c r="A304" s="3" t="s">
        <v>377</v>
      </c>
      <c r="B304" s="3">
        <v>0.0</v>
      </c>
      <c r="C304" s="3" t="s">
        <v>3</v>
      </c>
      <c r="D304" s="4" t="b">
        <f t="shared" si="1"/>
        <v>0</v>
      </c>
      <c r="E304" s="4" t="s">
        <v>2138</v>
      </c>
    </row>
    <row r="305">
      <c r="A305" s="3" t="s">
        <v>378</v>
      </c>
      <c r="B305" s="4"/>
      <c r="C305" s="4"/>
      <c r="D305" s="4" t="b">
        <f t="shared" si="1"/>
        <v>1</v>
      </c>
      <c r="E305" s="4" t="s">
        <v>378</v>
      </c>
    </row>
    <row r="306">
      <c r="A306" s="3" t="s">
        <v>379</v>
      </c>
      <c r="B306" s="3">
        <v>0.0</v>
      </c>
      <c r="C306" s="3" t="s">
        <v>3</v>
      </c>
      <c r="D306" s="4" t="b">
        <f t="shared" si="1"/>
        <v>0</v>
      </c>
      <c r="E306" s="4" t="s">
        <v>2139</v>
      </c>
    </row>
    <row r="307">
      <c r="A307" s="3" t="s">
        <v>380</v>
      </c>
      <c r="B307" s="4"/>
      <c r="C307" s="4"/>
      <c r="D307" s="4" t="b">
        <f t="shared" si="1"/>
        <v>1</v>
      </c>
      <c r="E307" s="4" t="s">
        <v>380</v>
      </c>
    </row>
    <row r="308">
      <c r="A308" s="3" t="s">
        <v>381</v>
      </c>
      <c r="B308" s="3">
        <v>400.0</v>
      </c>
      <c r="C308" s="3" t="s">
        <v>6</v>
      </c>
      <c r="D308" s="4" t="b">
        <f t="shared" si="1"/>
        <v>0</v>
      </c>
      <c r="E308" s="4" t="s">
        <v>381</v>
      </c>
    </row>
    <row r="309">
      <c r="A309" s="3" t="s">
        <v>383</v>
      </c>
      <c r="B309" s="3">
        <v>0.0</v>
      </c>
      <c r="C309" s="3" t="s">
        <v>3</v>
      </c>
      <c r="D309" s="4" t="b">
        <f t="shared" si="1"/>
        <v>0</v>
      </c>
      <c r="E309" s="4" t="s">
        <v>383</v>
      </c>
    </row>
    <row r="310">
      <c r="A310" s="3" t="s">
        <v>384</v>
      </c>
      <c r="B310" s="3">
        <v>0.0</v>
      </c>
      <c r="C310" s="3" t="s">
        <v>3</v>
      </c>
      <c r="D310" s="4" t="b">
        <f t="shared" si="1"/>
        <v>0</v>
      </c>
      <c r="E310" s="4" t="s">
        <v>384</v>
      </c>
    </row>
    <row r="311">
      <c r="A311" s="3" t="s">
        <v>385</v>
      </c>
      <c r="B311" s="3">
        <v>0.0</v>
      </c>
      <c r="C311" s="3" t="s">
        <v>32</v>
      </c>
      <c r="D311" s="4" t="b">
        <f t="shared" si="1"/>
        <v>0</v>
      </c>
      <c r="E311" s="4" t="s">
        <v>385</v>
      </c>
    </row>
    <row r="312">
      <c r="A312" s="3" t="s">
        <v>386</v>
      </c>
      <c r="B312" s="3">
        <v>0.0</v>
      </c>
      <c r="C312" s="3" t="s">
        <v>6</v>
      </c>
      <c r="D312" s="4" t="b">
        <f t="shared" si="1"/>
        <v>0</v>
      </c>
      <c r="E312" s="4" t="s">
        <v>386</v>
      </c>
    </row>
    <row r="313">
      <c r="A313" s="3" t="s">
        <v>387</v>
      </c>
      <c r="B313" s="3">
        <v>0.0</v>
      </c>
      <c r="C313" s="3" t="s">
        <v>6</v>
      </c>
      <c r="D313" s="4" t="b">
        <f t="shared" si="1"/>
        <v>0</v>
      </c>
      <c r="E313" s="4" t="s">
        <v>387</v>
      </c>
    </row>
    <row r="314">
      <c r="A314" s="3" t="s">
        <v>388</v>
      </c>
      <c r="B314" s="3">
        <v>0.0</v>
      </c>
      <c r="C314" s="3" t="s">
        <v>3</v>
      </c>
      <c r="D314" s="4" t="b">
        <f t="shared" si="1"/>
        <v>0</v>
      </c>
      <c r="E314" s="4" t="s">
        <v>2140</v>
      </c>
    </row>
    <row r="315">
      <c r="A315" s="3" t="s">
        <v>389</v>
      </c>
      <c r="B315" s="4"/>
      <c r="C315" s="4"/>
      <c r="D315" s="4" t="b">
        <f t="shared" si="1"/>
        <v>1</v>
      </c>
      <c r="E315" s="4" t="s">
        <v>389</v>
      </c>
    </row>
    <row r="316">
      <c r="A316" s="3" t="s">
        <v>390</v>
      </c>
      <c r="B316" s="3">
        <v>0.0</v>
      </c>
      <c r="C316" s="3" t="s">
        <v>3</v>
      </c>
      <c r="D316" s="4" t="b">
        <f t="shared" si="1"/>
        <v>0</v>
      </c>
      <c r="E316" s="4" t="s">
        <v>2141</v>
      </c>
    </row>
    <row r="317">
      <c r="A317" s="3" t="s">
        <v>391</v>
      </c>
      <c r="B317" s="4"/>
      <c r="C317" s="4"/>
      <c r="D317" s="4" t="b">
        <f t="shared" si="1"/>
        <v>1</v>
      </c>
      <c r="E317" s="4" t="s">
        <v>391</v>
      </c>
    </row>
    <row r="318">
      <c r="A318" s="3" t="s">
        <v>392</v>
      </c>
      <c r="B318" s="3">
        <v>380000.0</v>
      </c>
      <c r="C318" s="3" t="s">
        <v>6</v>
      </c>
      <c r="D318" s="4" t="b">
        <f t="shared" si="1"/>
        <v>0</v>
      </c>
      <c r="E318" s="4" t="s">
        <v>2142</v>
      </c>
    </row>
    <row r="319">
      <c r="A319" s="3" t="s">
        <v>394</v>
      </c>
      <c r="B319" s="4"/>
      <c r="C319" s="4"/>
      <c r="D319" s="4" t="b">
        <f t="shared" si="1"/>
        <v>1</v>
      </c>
      <c r="E319" s="4" t="s">
        <v>394</v>
      </c>
    </row>
    <row r="320">
      <c r="A320" s="3" t="s">
        <v>395</v>
      </c>
      <c r="B320" s="3">
        <v>37000.0</v>
      </c>
      <c r="C320" s="3" t="s">
        <v>32</v>
      </c>
      <c r="D320" s="4" t="b">
        <f t="shared" si="1"/>
        <v>0</v>
      </c>
      <c r="E320" s="4" t="s">
        <v>395</v>
      </c>
    </row>
    <row r="321">
      <c r="A321" s="3" t="s">
        <v>397</v>
      </c>
      <c r="B321" s="3">
        <v>2800.0</v>
      </c>
      <c r="C321" s="4"/>
      <c r="D321" s="4" t="b">
        <f t="shared" si="1"/>
        <v>0</v>
      </c>
      <c r="E321" s="4" t="s">
        <v>397</v>
      </c>
    </row>
    <row r="322">
      <c r="A322" s="3" t="s">
        <v>399</v>
      </c>
      <c r="B322" s="3">
        <v>5000.0</v>
      </c>
      <c r="C322" s="4"/>
      <c r="D322" s="4" t="b">
        <f t="shared" si="1"/>
        <v>0</v>
      </c>
      <c r="E322" s="4" t="s">
        <v>399</v>
      </c>
    </row>
    <row r="323">
      <c r="A323" s="3" t="s">
        <v>400</v>
      </c>
      <c r="B323" s="3">
        <v>0.0</v>
      </c>
      <c r="C323" s="3" t="s">
        <v>26</v>
      </c>
      <c r="D323" s="4" t="b">
        <f t="shared" si="1"/>
        <v>0</v>
      </c>
      <c r="E323" s="4" t="s">
        <v>2143</v>
      </c>
    </row>
    <row r="324">
      <c r="A324" s="3" t="s">
        <v>33</v>
      </c>
      <c r="B324" s="4"/>
      <c r="C324" s="4"/>
      <c r="D324" s="4" t="b">
        <f t="shared" si="1"/>
        <v>1</v>
      </c>
      <c r="E324" s="4" t="s">
        <v>33</v>
      </c>
    </row>
    <row r="325">
      <c r="A325" s="3" t="s">
        <v>401</v>
      </c>
      <c r="B325" s="3">
        <v>0.0</v>
      </c>
      <c r="C325" s="3" t="s">
        <v>32</v>
      </c>
      <c r="D325" s="4" t="b">
        <f t="shared" si="1"/>
        <v>0</v>
      </c>
      <c r="E325" s="4" t="s">
        <v>401</v>
      </c>
    </row>
    <row r="326">
      <c r="A326" s="3" t="s">
        <v>402</v>
      </c>
      <c r="B326" s="3">
        <v>0.0</v>
      </c>
      <c r="C326" s="3" t="s">
        <v>6</v>
      </c>
      <c r="D326" s="4" t="b">
        <f t="shared" si="1"/>
        <v>0</v>
      </c>
      <c r="E326" s="4" t="s">
        <v>402</v>
      </c>
    </row>
    <row r="327">
      <c r="A327" s="3" t="s">
        <v>403</v>
      </c>
      <c r="B327" s="3">
        <v>0.0</v>
      </c>
      <c r="C327" s="3" t="s">
        <v>3</v>
      </c>
      <c r="D327" s="4" t="b">
        <f t="shared" si="1"/>
        <v>0</v>
      </c>
      <c r="E327" s="4" t="s">
        <v>403</v>
      </c>
    </row>
    <row r="328">
      <c r="A328" s="3" t="s">
        <v>404</v>
      </c>
      <c r="B328" s="3">
        <v>0.0</v>
      </c>
      <c r="C328" s="3" t="s">
        <v>3</v>
      </c>
      <c r="D328" s="4" t="b">
        <f t="shared" si="1"/>
        <v>0</v>
      </c>
      <c r="E328" s="4" t="s">
        <v>404</v>
      </c>
    </row>
    <row r="329">
      <c r="A329" s="3" t="s">
        <v>405</v>
      </c>
      <c r="B329" s="3">
        <v>800.0</v>
      </c>
      <c r="C329" s="4"/>
      <c r="D329" s="4" t="b">
        <f t="shared" si="1"/>
        <v>0</v>
      </c>
      <c r="E329" s="4" t="s">
        <v>405</v>
      </c>
    </row>
    <row r="330">
      <c r="A330" s="3" t="s">
        <v>407</v>
      </c>
      <c r="B330" s="3">
        <v>10000.0</v>
      </c>
      <c r="C330" s="3" t="s">
        <v>16</v>
      </c>
      <c r="D330" s="4" t="b">
        <f t="shared" si="1"/>
        <v>0</v>
      </c>
      <c r="E330" s="4" t="s">
        <v>2144</v>
      </c>
    </row>
    <row r="331">
      <c r="A331" s="3" t="s">
        <v>408</v>
      </c>
      <c r="B331" s="4"/>
      <c r="C331" s="4"/>
      <c r="D331" s="4" t="b">
        <f t="shared" si="1"/>
        <v>1</v>
      </c>
      <c r="E331" s="4" t="s">
        <v>408</v>
      </c>
    </row>
    <row r="332">
      <c r="A332" s="3" t="s">
        <v>409</v>
      </c>
      <c r="B332" s="3">
        <v>0.0</v>
      </c>
      <c r="C332" s="3" t="s">
        <v>6</v>
      </c>
      <c r="D332" s="4" t="b">
        <f t="shared" si="1"/>
        <v>0</v>
      </c>
      <c r="E332" s="4" t="s">
        <v>409</v>
      </c>
    </row>
    <row r="333">
      <c r="A333" s="3" t="s">
        <v>410</v>
      </c>
      <c r="B333" s="3">
        <v>2000.0</v>
      </c>
      <c r="C333" s="4"/>
      <c r="D333" s="4" t="b">
        <f t="shared" si="1"/>
        <v>0</v>
      </c>
      <c r="E333" s="4" t="s">
        <v>410</v>
      </c>
    </row>
    <row r="334">
      <c r="A334" s="3" t="s">
        <v>411</v>
      </c>
      <c r="B334" s="3">
        <v>0.0</v>
      </c>
      <c r="C334" s="3" t="s">
        <v>3</v>
      </c>
      <c r="D334" s="4" t="b">
        <f t="shared" si="1"/>
        <v>0</v>
      </c>
      <c r="E334" s="4" t="s">
        <v>411</v>
      </c>
    </row>
    <row r="335">
      <c r="A335" s="3" t="s">
        <v>412</v>
      </c>
      <c r="B335" s="3">
        <v>0.0</v>
      </c>
      <c r="C335" s="3" t="s">
        <v>6</v>
      </c>
      <c r="D335" s="4" t="b">
        <f t="shared" si="1"/>
        <v>0</v>
      </c>
      <c r="E335" s="4" t="s">
        <v>2145</v>
      </c>
    </row>
    <row r="336">
      <c r="A336" s="3" t="s">
        <v>341</v>
      </c>
      <c r="B336" s="4"/>
      <c r="C336" s="4"/>
      <c r="D336" s="4" t="b">
        <f t="shared" si="1"/>
        <v>1</v>
      </c>
      <c r="E336" s="4" t="s">
        <v>341</v>
      </c>
    </row>
    <row r="337">
      <c r="A337" s="3" t="s">
        <v>413</v>
      </c>
      <c r="B337" s="3">
        <v>27500.0</v>
      </c>
      <c r="C337" s="3" t="s">
        <v>32</v>
      </c>
      <c r="D337" s="4" t="b">
        <f t="shared" si="1"/>
        <v>0</v>
      </c>
      <c r="E337" s="4" t="s">
        <v>413</v>
      </c>
    </row>
    <row r="338">
      <c r="A338" s="3" t="s">
        <v>415</v>
      </c>
      <c r="B338" s="3">
        <v>0.0</v>
      </c>
      <c r="C338" s="3" t="s">
        <v>3</v>
      </c>
      <c r="D338" s="4" t="b">
        <f t="shared" si="1"/>
        <v>0</v>
      </c>
      <c r="E338" s="4" t="s">
        <v>2146</v>
      </c>
    </row>
    <row r="339">
      <c r="A339" s="3" t="s">
        <v>416</v>
      </c>
      <c r="B339" s="4"/>
      <c r="C339" s="4"/>
      <c r="D339" s="4" t="b">
        <f t="shared" si="1"/>
        <v>1</v>
      </c>
      <c r="E339" s="4" t="s">
        <v>416</v>
      </c>
    </row>
    <row r="340">
      <c r="A340" s="3" t="s">
        <v>417</v>
      </c>
      <c r="B340" s="3">
        <v>0.0</v>
      </c>
      <c r="C340" s="3" t="s">
        <v>3</v>
      </c>
      <c r="D340" s="4" t="b">
        <f t="shared" si="1"/>
        <v>0</v>
      </c>
      <c r="E340" s="4" t="s">
        <v>2147</v>
      </c>
    </row>
    <row r="341">
      <c r="A341" s="3" t="s">
        <v>418</v>
      </c>
      <c r="B341" s="4"/>
      <c r="C341" s="4"/>
      <c r="D341" s="4" t="b">
        <f t="shared" si="1"/>
        <v>1</v>
      </c>
      <c r="E341" s="4" t="s">
        <v>418</v>
      </c>
    </row>
    <row r="342">
      <c r="A342" s="3" t="s">
        <v>419</v>
      </c>
      <c r="B342" s="3">
        <v>0.0</v>
      </c>
      <c r="C342" s="3" t="s">
        <v>3</v>
      </c>
      <c r="D342" s="4" t="b">
        <f t="shared" si="1"/>
        <v>0</v>
      </c>
      <c r="E342" s="4" t="s">
        <v>419</v>
      </c>
    </row>
    <row r="343">
      <c r="A343" s="3" t="s">
        <v>420</v>
      </c>
      <c r="B343" s="3">
        <v>0.0</v>
      </c>
      <c r="C343" s="3" t="s">
        <v>29</v>
      </c>
      <c r="D343" s="4" t="b">
        <f t="shared" si="1"/>
        <v>0</v>
      </c>
      <c r="E343" s="4" t="s">
        <v>2148</v>
      </c>
    </row>
    <row r="344">
      <c r="A344" s="3" t="s">
        <v>421</v>
      </c>
      <c r="B344" s="4"/>
      <c r="C344" s="4"/>
      <c r="D344" s="4" t="b">
        <f t="shared" si="1"/>
        <v>1</v>
      </c>
      <c r="E344" s="4" t="s">
        <v>421</v>
      </c>
    </row>
    <row r="345">
      <c r="A345" s="3" t="s">
        <v>422</v>
      </c>
      <c r="B345" s="3">
        <v>0.0</v>
      </c>
      <c r="C345" s="3" t="s">
        <v>29</v>
      </c>
      <c r="D345" s="4" t="b">
        <f t="shared" si="1"/>
        <v>0</v>
      </c>
      <c r="E345" s="4" t="s">
        <v>422</v>
      </c>
    </row>
    <row r="346">
      <c r="A346" s="3" t="s">
        <v>423</v>
      </c>
      <c r="B346" s="3">
        <v>0.0</v>
      </c>
      <c r="C346" s="3" t="s">
        <v>3</v>
      </c>
      <c r="D346" s="4" t="b">
        <f t="shared" si="1"/>
        <v>0</v>
      </c>
      <c r="E346" s="4" t="s">
        <v>423</v>
      </c>
    </row>
    <row r="347">
      <c r="A347" s="3" t="s">
        <v>424</v>
      </c>
      <c r="B347" s="3">
        <v>0.0</v>
      </c>
      <c r="C347" s="3" t="s">
        <v>3</v>
      </c>
      <c r="D347" s="4" t="b">
        <f t="shared" si="1"/>
        <v>0</v>
      </c>
      <c r="E347" s="4" t="s">
        <v>424</v>
      </c>
    </row>
    <row r="348">
      <c r="A348" s="3" t="s">
        <v>425</v>
      </c>
      <c r="B348" s="3">
        <v>0.0</v>
      </c>
      <c r="C348" s="3" t="s">
        <v>3</v>
      </c>
      <c r="D348" s="4" t="b">
        <f t="shared" si="1"/>
        <v>0</v>
      </c>
      <c r="E348" s="4" t="s">
        <v>2149</v>
      </c>
    </row>
    <row r="349">
      <c r="A349" s="3" t="s">
        <v>426</v>
      </c>
      <c r="B349" s="4"/>
      <c r="C349" s="4"/>
      <c r="D349" s="4" t="b">
        <f t="shared" si="1"/>
        <v>1</v>
      </c>
      <c r="E349" s="4" t="s">
        <v>426</v>
      </c>
    </row>
    <row r="350">
      <c r="A350" s="3" t="s">
        <v>427</v>
      </c>
      <c r="B350" s="3">
        <v>5000.0</v>
      </c>
      <c r="C350" s="3" t="s">
        <v>29</v>
      </c>
      <c r="D350" s="4" t="b">
        <f t="shared" si="1"/>
        <v>0</v>
      </c>
      <c r="E350" s="4" t="s">
        <v>427</v>
      </c>
    </row>
    <row r="351">
      <c r="A351" s="3" t="s">
        <v>428</v>
      </c>
      <c r="B351" s="3">
        <v>45400.0</v>
      </c>
      <c r="C351" s="3" t="s">
        <v>3</v>
      </c>
      <c r="D351" s="4" t="b">
        <f t="shared" si="1"/>
        <v>0</v>
      </c>
      <c r="E351" s="4" t="s">
        <v>2150</v>
      </c>
    </row>
    <row r="352">
      <c r="A352" s="3" t="s">
        <v>430</v>
      </c>
      <c r="B352" s="4"/>
      <c r="C352" s="4"/>
      <c r="D352" s="4" t="b">
        <f t="shared" si="1"/>
        <v>1</v>
      </c>
      <c r="E352" s="4" t="s">
        <v>430</v>
      </c>
    </row>
    <row r="353">
      <c r="A353" s="3" t="s">
        <v>431</v>
      </c>
      <c r="B353" s="3">
        <v>0.0</v>
      </c>
      <c r="C353" s="3" t="s">
        <v>29</v>
      </c>
      <c r="D353" s="4" t="b">
        <f t="shared" si="1"/>
        <v>0</v>
      </c>
      <c r="E353" s="4" t="s">
        <v>2151</v>
      </c>
    </row>
    <row r="354">
      <c r="A354" s="3" t="s">
        <v>432</v>
      </c>
      <c r="B354" s="4"/>
      <c r="C354" s="4"/>
      <c r="D354" s="4" t="b">
        <f t="shared" si="1"/>
        <v>1</v>
      </c>
      <c r="E354" s="4" t="s">
        <v>432</v>
      </c>
    </row>
    <row r="355">
      <c r="A355" s="3" t="s">
        <v>433</v>
      </c>
      <c r="B355" s="3">
        <v>0.0</v>
      </c>
      <c r="C355" s="3" t="s">
        <v>3</v>
      </c>
      <c r="D355" s="4" t="b">
        <f t="shared" si="1"/>
        <v>0</v>
      </c>
      <c r="E355" s="4" t="s">
        <v>2152</v>
      </c>
    </row>
    <row r="356">
      <c r="A356" s="3" t="s">
        <v>434</v>
      </c>
      <c r="B356" s="4"/>
      <c r="C356" s="4"/>
      <c r="D356" s="4" t="b">
        <f t="shared" si="1"/>
        <v>1</v>
      </c>
      <c r="E356" s="4" t="s">
        <v>434</v>
      </c>
    </row>
    <row r="357">
      <c r="A357" s="3" t="s">
        <v>435</v>
      </c>
      <c r="B357" s="3">
        <v>2500.0</v>
      </c>
      <c r="C357" s="4"/>
      <c r="D357" s="4" t="b">
        <f t="shared" si="1"/>
        <v>0</v>
      </c>
      <c r="E357" s="4" t="s">
        <v>2153</v>
      </c>
    </row>
    <row r="358">
      <c r="A358" s="3" t="s">
        <v>436</v>
      </c>
      <c r="B358" s="4"/>
      <c r="C358" s="4"/>
      <c r="D358" s="4" t="b">
        <f t="shared" si="1"/>
        <v>1</v>
      </c>
      <c r="E358" s="4" t="s">
        <v>436</v>
      </c>
    </row>
    <row r="359">
      <c r="A359" s="3" t="s">
        <v>437</v>
      </c>
      <c r="B359" s="3">
        <v>0.0</v>
      </c>
      <c r="C359" s="3" t="s">
        <v>3</v>
      </c>
      <c r="D359" s="4" t="b">
        <f t="shared" si="1"/>
        <v>0</v>
      </c>
      <c r="E359" s="4" t="s">
        <v>2154</v>
      </c>
    </row>
    <row r="360">
      <c r="A360" s="3" t="s">
        <v>438</v>
      </c>
      <c r="B360" s="4"/>
      <c r="C360" s="4"/>
      <c r="D360" s="4" t="b">
        <f t="shared" si="1"/>
        <v>1</v>
      </c>
      <c r="E360" s="4" t="s">
        <v>438</v>
      </c>
    </row>
    <row r="361">
      <c r="A361" s="3" t="s">
        <v>439</v>
      </c>
      <c r="B361" s="3">
        <v>0.0</v>
      </c>
      <c r="C361" s="3" t="s">
        <v>6</v>
      </c>
      <c r="D361" s="4" t="b">
        <f t="shared" si="1"/>
        <v>0</v>
      </c>
      <c r="E361" s="4" t="s">
        <v>2155</v>
      </c>
    </row>
    <row r="362">
      <c r="A362" s="3" t="s">
        <v>440</v>
      </c>
      <c r="B362" s="4"/>
      <c r="C362" s="4"/>
      <c r="D362" s="4" t="b">
        <f t="shared" si="1"/>
        <v>1</v>
      </c>
      <c r="E362" s="4" t="s">
        <v>440</v>
      </c>
    </row>
    <row r="363">
      <c r="A363" s="3" t="s">
        <v>441</v>
      </c>
      <c r="B363" s="3">
        <v>0.0</v>
      </c>
      <c r="C363" s="3" t="s">
        <v>29</v>
      </c>
      <c r="D363" s="4" t="b">
        <f t="shared" si="1"/>
        <v>0</v>
      </c>
      <c r="E363" s="4" t="s">
        <v>441</v>
      </c>
    </row>
    <row r="364">
      <c r="A364" s="3" t="s">
        <v>442</v>
      </c>
      <c r="B364" s="3">
        <v>5900.0</v>
      </c>
      <c r="C364" s="4"/>
      <c r="D364" s="4" t="b">
        <f t="shared" si="1"/>
        <v>0</v>
      </c>
      <c r="E364" s="4" t="s">
        <v>442</v>
      </c>
    </row>
    <row r="365">
      <c r="A365" s="3" t="s">
        <v>444</v>
      </c>
      <c r="B365" s="3">
        <v>3000.0</v>
      </c>
      <c r="C365" s="4"/>
      <c r="D365" s="4" t="b">
        <f t="shared" si="1"/>
        <v>0</v>
      </c>
      <c r="E365" s="4" t="s">
        <v>444</v>
      </c>
    </row>
    <row r="366">
      <c r="A366" s="3" t="s">
        <v>445</v>
      </c>
      <c r="B366" s="3">
        <v>180000.0</v>
      </c>
      <c r="C366" s="4"/>
      <c r="D366" s="4" t="b">
        <f t="shared" si="1"/>
        <v>0</v>
      </c>
      <c r="E366" s="4" t="s">
        <v>445</v>
      </c>
    </row>
    <row r="367">
      <c r="A367" s="3" t="s">
        <v>447</v>
      </c>
      <c r="B367" s="3">
        <v>55000.0</v>
      </c>
      <c r="C367" s="4"/>
      <c r="D367" s="4" t="b">
        <f t="shared" si="1"/>
        <v>0</v>
      </c>
      <c r="E367" s="4" t="s">
        <v>447</v>
      </c>
    </row>
    <row r="368">
      <c r="A368" s="3" t="s">
        <v>449</v>
      </c>
      <c r="B368" s="3">
        <v>0.0</v>
      </c>
      <c r="C368" s="3" t="s">
        <v>32</v>
      </c>
      <c r="D368" s="4" t="b">
        <f t="shared" si="1"/>
        <v>0</v>
      </c>
      <c r="E368" s="4" t="s">
        <v>449</v>
      </c>
    </row>
    <row r="369">
      <c r="A369" s="3" t="s">
        <v>450</v>
      </c>
      <c r="B369" s="3">
        <v>800.0</v>
      </c>
      <c r="C369" s="3" t="s">
        <v>6</v>
      </c>
      <c r="D369" s="4" t="b">
        <f t="shared" si="1"/>
        <v>0</v>
      </c>
      <c r="E369" s="4" t="s">
        <v>450</v>
      </c>
    </row>
    <row r="370">
      <c r="A370" s="3" t="s">
        <v>451</v>
      </c>
      <c r="B370" s="3">
        <v>0.0</v>
      </c>
      <c r="C370" s="3" t="s">
        <v>3</v>
      </c>
      <c r="D370" s="4" t="b">
        <f t="shared" si="1"/>
        <v>0</v>
      </c>
      <c r="E370" s="4" t="s">
        <v>451</v>
      </c>
    </row>
    <row r="371">
      <c r="A371" s="3" t="s">
        <v>452</v>
      </c>
      <c r="B371" s="3">
        <v>4000.0</v>
      </c>
      <c r="C371" s="3" t="s">
        <v>3</v>
      </c>
      <c r="D371" s="4" t="b">
        <f t="shared" si="1"/>
        <v>0</v>
      </c>
      <c r="E371" s="4" t="s">
        <v>452</v>
      </c>
    </row>
    <row r="372">
      <c r="A372" s="3" t="s">
        <v>453</v>
      </c>
      <c r="B372" s="3">
        <v>0.0</v>
      </c>
      <c r="C372" s="3" t="s">
        <v>3</v>
      </c>
      <c r="D372" s="4" t="b">
        <f t="shared" si="1"/>
        <v>0</v>
      </c>
      <c r="E372" s="4" t="s">
        <v>453</v>
      </c>
    </row>
    <row r="373">
      <c r="A373" s="3" t="s">
        <v>454</v>
      </c>
      <c r="B373" s="3">
        <v>0.0</v>
      </c>
      <c r="C373" s="3" t="s">
        <v>3</v>
      </c>
      <c r="D373" s="4" t="b">
        <f t="shared" si="1"/>
        <v>0</v>
      </c>
      <c r="E373" s="4" t="s">
        <v>454</v>
      </c>
    </row>
    <row r="374">
      <c r="A374" s="3" t="s">
        <v>455</v>
      </c>
      <c r="B374" s="3">
        <v>0.0</v>
      </c>
      <c r="C374" s="3" t="s">
        <v>3</v>
      </c>
      <c r="D374" s="4" t="b">
        <f t="shared" si="1"/>
        <v>0</v>
      </c>
      <c r="E374" s="4" t="s">
        <v>455</v>
      </c>
    </row>
    <row r="375">
      <c r="A375" s="3" t="s">
        <v>456</v>
      </c>
      <c r="B375" s="3">
        <v>0.0</v>
      </c>
      <c r="C375" s="3" t="s">
        <v>6</v>
      </c>
      <c r="D375" s="4" t="b">
        <f t="shared" si="1"/>
        <v>0</v>
      </c>
      <c r="E375" s="4" t="s">
        <v>456</v>
      </c>
    </row>
    <row r="376">
      <c r="A376" s="3" t="s">
        <v>457</v>
      </c>
      <c r="B376" s="3">
        <v>2000.0</v>
      </c>
      <c r="C376" s="3" t="s">
        <v>3</v>
      </c>
      <c r="D376" s="4" t="b">
        <f t="shared" si="1"/>
        <v>0</v>
      </c>
      <c r="E376" s="4" t="s">
        <v>457</v>
      </c>
    </row>
    <row r="377">
      <c r="A377" s="3" t="s">
        <v>458</v>
      </c>
      <c r="B377" s="3">
        <v>0.0</v>
      </c>
      <c r="C377" s="3" t="s">
        <v>3</v>
      </c>
      <c r="D377" s="4" t="b">
        <f t="shared" si="1"/>
        <v>0</v>
      </c>
      <c r="E377" s="4" t="s">
        <v>2156</v>
      </c>
    </row>
    <row r="378">
      <c r="A378" s="3" t="s">
        <v>459</v>
      </c>
      <c r="B378" s="4"/>
      <c r="C378" s="4"/>
      <c r="D378" s="4" t="b">
        <f t="shared" si="1"/>
        <v>1</v>
      </c>
      <c r="E378" s="4" t="s">
        <v>459</v>
      </c>
    </row>
    <row r="379">
      <c r="A379" s="3" t="s">
        <v>460</v>
      </c>
      <c r="B379" s="3">
        <v>3000.0</v>
      </c>
      <c r="C379" s="4"/>
      <c r="D379" s="4" t="b">
        <f t="shared" si="1"/>
        <v>0</v>
      </c>
      <c r="E379" s="4" t="s">
        <v>2157</v>
      </c>
    </row>
    <row r="380">
      <c r="A380" s="3" t="s">
        <v>461</v>
      </c>
      <c r="B380" s="4"/>
      <c r="C380" s="4"/>
      <c r="D380" s="4" t="b">
        <f t="shared" si="1"/>
        <v>1</v>
      </c>
      <c r="E380" s="4" t="s">
        <v>461</v>
      </c>
    </row>
    <row r="381">
      <c r="A381" s="3" t="s">
        <v>462</v>
      </c>
      <c r="B381" s="3">
        <v>0.0</v>
      </c>
      <c r="C381" s="3" t="s">
        <v>3</v>
      </c>
      <c r="D381" s="4" t="b">
        <f t="shared" si="1"/>
        <v>0</v>
      </c>
      <c r="E381" s="4" t="s">
        <v>2158</v>
      </c>
    </row>
    <row r="382">
      <c r="A382" s="3" t="s">
        <v>463</v>
      </c>
      <c r="B382" s="4"/>
      <c r="C382" s="4"/>
      <c r="D382" s="4" t="b">
        <f t="shared" si="1"/>
        <v>1</v>
      </c>
      <c r="E382" s="4" t="s">
        <v>463</v>
      </c>
    </row>
    <row r="383">
      <c r="A383" s="3" t="s">
        <v>464</v>
      </c>
      <c r="B383" s="3">
        <v>0.0</v>
      </c>
      <c r="C383" s="3" t="s">
        <v>3</v>
      </c>
      <c r="D383" s="4" t="b">
        <f t="shared" si="1"/>
        <v>0</v>
      </c>
      <c r="E383" s="4" t="s">
        <v>464</v>
      </c>
    </row>
    <row r="384">
      <c r="A384" s="3" t="s">
        <v>465</v>
      </c>
      <c r="B384" s="3">
        <v>300.0</v>
      </c>
      <c r="C384" s="3" t="s">
        <v>3</v>
      </c>
      <c r="D384" s="4" t="b">
        <f t="shared" si="1"/>
        <v>0</v>
      </c>
      <c r="E384" s="4" t="s">
        <v>465</v>
      </c>
    </row>
    <row r="385">
      <c r="A385" s="3" t="s">
        <v>466</v>
      </c>
      <c r="B385" s="3">
        <v>3000.0</v>
      </c>
      <c r="C385" s="3" t="s">
        <v>3</v>
      </c>
      <c r="D385" s="4" t="b">
        <f t="shared" si="1"/>
        <v>0</v>
      </c>
      <c r="E385" s="4" t="s">
        <v>466</v>
      </c>
    </row>
    <row r="386">
      <c r="A386" s="3" t="s">
        <v>467</v>
      </c>
      <c r="B386" s="3">
        <v>250.0</v>
      </c>
      <c r="C386" s="3" t="s">
        <v>3</v>
      </c>
      <c r="D386" s="4" t="b">
        <f t="shared" si="1"/>
        <v>0</v>
      </c>
      <c r="E386" s="4" t="s">
        <v>2159</v>
      </c>
    </row>
    <row r="387">
      <c r="A387" s="3" t="s">
        <v>469</v>
      </c>
      <c r="B387" s="4"/>
      <c r="C387" s="4"/>
      <c r="D387" s="4" t="b">
        <f t="shared" si="1"/>
        <v>1</v>
      </c>
      <c r="E387" s="4" t="s">
        <v>469</v>
      </c>
    </row>
    <row r="388">
      <c r="A388" s="3" t="s">
        <v>470</v>
      </c>
      <c r="B388" s="3">
        <v>0.0</v>
      </c>
      <c r="C388" s="3" t="s">
        <v>3</v>
      </c>
      <c r="D388" s="4" t="b">
        <f t="shared" si="1"/>
        <v>0</v>
      </c>
      <c r="E388" s="4" t="s">
        <v>2160</v>
      </c>
    </row>
    <row r="389">
      <c r="A389" s="3" t="s">
        <v>471</v>
      </c>
      <c r="B389" s="4"/>
      <c r="C389" s="4"/>
      <c r="D389" s="4" t="b">
        <f t="shared" si="1"/>
        <v>1</v>
      </c>
      <c r="E389" s="4" t="s">
        <v>471</v>
      </c>
    </row>
    <row r="390">
      <c r="A390" s="3" t="s">
        <v>472</v>
      </c>
      <c r="B390" s="3">
        <v>5000.0</v>
      </c>
      <c r="C390" s="3" t="s">
        <v>32</v>
      </c>
      <c r="D390" s="4" t="b">
        <f t="shared" si="1"/>
        <v>0</v>
      </c>
      <c r="E390" s="4" t="s">
        <v>472</v>
      </c>
    </row>
    <row r="391">
      <c r="A391" s="3" t="s">
        <v>473</v>
      </c>
      <c r="B391" s="3">
        <v>2500.0</v>
      </c>
      <c r="C391" s="3" t="s">
        <v>3</v>
      </c>
      <c r="D391" s="4" t="b">
        <f t="shared" si="1"/>
        <v>0</v>
      </c>
      <c r="E391" s="4" t="s">
        <v>473</v>
      </c>
    </row>
    <row r="392">
      <c r="A392" s="3" t="s">
        <v>474</v>
      </c>
      <c r="B392" s="3">
        <v>0.0</v>
      </c>
      <c r="C392" s="3" t="s">
        <v>3</v>
      </c>
      <c r="D392" s="4" t="b">
        <f t="shared" si="1"/>
        <v>0</v>
      </c>
      <c r="E392" s="4" t="s">
        <v>2161</v>
      </c>
    </row>
    <row r="393">
      <c r="A393" s="3" t="s">
        <v>475</v>
      </c>
      <c r="B393" s="4"/>
      <c r="C393" s="4"/>
      <c r="D393" s="4" t="b">
        <f t="shared" si="1"/>
        <v>1</v>
      </c>
      <c r="E393" s="4" t="s">
        <v>475</v>
      </c>
    </row>
    <row r="394">
      <c r="A394" s="3" t="s">
        <v>476</v>
      </c>
      <c r="B394" s="3">
        <v>1578403.0</v>
      </c>
      <c r="C394" s="3" t="s">
        <v>32</v>
      </c>
      <c r="D394" s="4" t="b">
        <f t="shared" si="1"/>
        <v>0</v>
      </c>
      <c r="E394" s="4" t="s">
        <v>476</v>
      </c>
    </row>
    <row r="395">
      <c r="A395" s="3" t="s">
        <v>478</v>
      </c>
      <c r="B395" s="3">
        <v>311500.0</v>
      </c>
      <c r="C395" s="4"/>
      <c r="D395" s="4" t="b">
        <f t="shared" si="1"/>
        <v>0</v>
      </c>
      <c r="E395" s="4" t="s">
        <v>478</v>
      </c>
    </row>
    <row r="396">
      <c r="A396" s="3" t="s">
        <v>480</v>
      </c>
      <c r="B396" s="3">
        <v>3000.0</v>
      </c>
      <c r="C396" s="4"/>
      <c r="D396" s="4" t="b">
        <f t="shared" si="1"/>
        <v>0</v>
      </c>
      <c r="E396" s="4" t="s">
        <v>480</v>
      </c>
    </row>
    <row r="397">
      <c r="A397" s="3" t="s">
        <v>481</v>
      </c>
      <c r="B397" s="3">
        <v>1735000.0</v>
      </c>
      <c r="C397" s="3" t="s">
        <v>3</v>
      </c>
      <c r="D397" s="4" t="b">
        <f t="shared" si="1"/>
        <v>0</v>
      </c>
      <c r="E397" s="4" t="s">
        <v>481</v>
      </c>
    </row>
    <row r="398">
      <c r="A398" s="3" t="s">
        <v>483</v>
      </c>
      <c r="B398" s="3">
        <v>1500.0</v>
      </c>
      <c r="C398" s="3" t="s">
        <v>484</v>
      </c>
      <c r="D398" s="4" t="b">
        <f t="shared" si="1"/>
        <v>0</v>
      </c>
      <c r="E398" s="4" t="s">
        <v>2162</v>
      </c>
    </row>
    <row r="399">
      <c r="A399" s="3" t="s">
        <v>485</v>
      </c>
      <c r="B399" s="4"/>
      <c r="C399" s="4"/>
      <c r="D399" s="4" t="b">
        <f t="shared" si="1"/>
        <v>1</v>
      </c>
      <c r="E399" s="4" t="s">
        <v>485</v>
      </c>
    </row>
    <row r="400">
      <c r="A400" s="3" t="s">
        <v>486</v>
      </c>
      <c r="B400" s="3">
        <v>0.0</v>
      </c>
      <c r="C400" s="3" t="s">
        <v>3</v>
      </c>
      <c r="D400" s="4" t="b">
        <f t="shared" si="1"/>
        <v>0</v>
      </c>
      <c r="E400" s="4" t="s">
        <v>2163</v>
      </c>
    </row>
    <row r="401">
      <c r="A401" s="3" t="s">
        <v>487</v>
      </c>
      <c r="B401" s="4"/>
      <c r="C401" s="4"/>
      <c r="D401" s="4" t="b">
        <f t="shared" si="1"/>
        <v>1</v>
      </c>
      <c r="E401" s="4" t="s">
        <v>487</v>
      </c>
    </row>
    <row r="402">
      <c r="A402" s="3" t="s">
        <v>488</v>
      </c>
      <c r="B402" s="3">
        <v>0.0</v>
      </c>
      <c r="C402" s="3" t="s">
        <v>3</v>
      </c>
      <c r="D402" s="4" t="b">
        <f t="shared" si="1"/>
        <v>0</v>
      </c>
      <c r="E402" s="4" t="s">
        <v>2164</v>
      </c>
    </row>
    <row r="403">
      <c r="A403" s="3" t="s">
        <v>489</v>
      </c>
      <c r="B403" s="4"/>
      <c r="C403" s="4"/>
      <c r="D403" s="4" t="b">
        <f t="shared" si="1"/>
        <v>1</v>
      </c>
      <c r="E403" s="4" t="s">
        <v>489</v>
      </c>
    </row>
    <row r="404">
      <c r="A404" s="3" t="s">
        <v>490</v>
      </c>
      <c r="B404" s="3">
        <v>2500.0</v>
      </c>
      <c r="C404" s="4"/>
      <c r="D404" s="4" t="b">
        <f t="shared" si="1"/>
        <v>0</v>
      </c>
      <c r="E404" s="4" t="s">
        <v>2165</v>
      </c>
    </row>
    <row r="405">
      <c r="A405" s="3" t="s">
        <v>461</v>
      </c>
      <c r="B405" s="4"/>
      <c r="C405" s="4"/>
      <c r="D405" s="4" t="b">
        <f t="shared" si="1"/>
        <v>1</v>
      </c>
      <c r="E405" s="4" t="s">
        <v>461</v>
      </c>
    </row>
    <row r="406">
      <c r="A406" s="3" t="s">
        <v>491</v>
      </c>
      <c r="B406" s="3">
        <v>300000.0</v>
      </c>
      <c r="C406" s="4"/>
      <c r="D406" s="4" t="b">
        <f t="shared" si="1"/>
        <v>0</v>
      </c>
      <c r="E406" s="4" t="s">
        <v>491</v>
      </c>
    </row>
    <row r="407">
      <c r="A407" s="3" t="s">
        <v>493</v>
      </c>
      <c r="B407" s="3">
        <v>0.0</v>
      </c>
      <c r="C407" s="3" t="s">
        <v>3</v>
      </c>
      <c r="D407" s="4" t="b">
        <f t="shared" si="1"/>
        <v>0</v>
      </c>
      <c r="E407" s="4" t="s">
        <v>2166</v>
      </c>
    </row>
    <row r="408">
      <c r="A408" s="3" t="s">
        <v>494</v>
      </c>
      <c r="B408" s="4"/>
      <c r="C408" s="4"/>
      <c r="D408" s="4" t="b">
        <f t="shared" si="1"/>
        <v>1</v>
      </c>
      <c r="E408" s="4" t="s">
        <v>494</v>
      </c>
    </row>
    <row r="409">
      <c r="A409" s="3" t="s">
        <v>495</v>
      </c>
      <c r="B409" s="3">
        <v>1000.0</v>
      </c>
      <c r="C409" s="4"/>
      <c r="D409" s="4" t="b">
        <f t="shared" si="1"/>
        <v>0</v>
      </c>
      <c r="E409" s="4" t="s">
        <v>495</v>
      </c>
    </row>
    <row r="410">
      <c r="A410" s="3" t="s">
        <v>496</v>
      </c>
      <c r="B410" s="3">
        <v>0.0</v>
      </c>
      <c r="C410" s="3" t="s">
        <v>3</v>
      </c>
      <c r="D410" s="4" t="b">
        <f t="shared" si="1"/>
        <v>0</v>
      </c>
      <c r="E410" s="4" t="s">
        <v>2167</v>
      </c>
    </row>
    <row r="411">
      <c r="A411" s="3" t="s">
        <v>497</v>
      </c>
      <c r="B411" s="4"/>
      <c r="C411" s="4"/>
      <c r="D411" s="4" t="b">
        <f t="shared" si="1"/>
        <v>1</v>
      </c>
      <c r="E411" s="4" t="s">
        <v>497</v>
      </c>
    </row>
    <row r="412">
      <c r="A412" s="3" t="s">
        <v>498</v>
      </c>
      <c r="B412" s="3">
        <v>400.0</v>
      </c>
      <c r="C412" s="3" t="s">
        <v>3</v>
      </c>
      <c r="D412" s="4" t="b">
        <f t="shared" si="1"/>
        <v>0</v>
      </c>
      <c r="E412" s="4" t="s">
        <v>2168</v>
      </c>
    </row>
    <row r="413">
      <c r="A413" s="3" t="s">
        <v>499</v>
      </c>
      <c r="B413" s="4"/>
      <c r="C413" s="4"/>
      <c r="D413" s="4" t="b">
        <f t="shared" si="1"/>
        <v>1</v>
      </c>
      <c r="E413" s="4" t="s">
        <v>499</v>
      </c>
    </row>
    <row r="414">
      <c r="A414" s="3" t="s">
        <v>500</v>
      </c>
      <c r="B414" s="3">
        <v>0.0</v>
      </c>
      <c r="C414" s="3" t="s">
        <v>6</v>
      </c>
      <c r="D414" s="4" t="b">
        <f t="shared" si="1"/>
        <v>0</v>
      </c>
      <c r="E414" s="4" t="s">
        <v>2169</v>
      </c>
    </row>
    <row r="415">
      <c r="A415" s="3" t="s">
        <v>501</v>
      </c>
      <c r="B415" s="4"/>
      <c r="C415" s="4"/>
      <c r="D415" s="4" t="b">
        <f t="shared" si="1"/>
        <v>1</v>
      </c>
      <c r="E415" s="4" t="s">
        <v>501</v>
      </c>
    </row>
    <row r="416">
      <c r="A416" s="3" t="s">
        <v>502</v>
      </c>
      <c r="B416" s="3">
        <v>500.0</v>
      </c>
      <c r="C416" s="3" t="s">
        <v>26</v>
      </c>
      <c r="D416" s="4" t="b">
        <f t="shared" si="1"/>
        <v>0</v>
      </c>
      <c r="E416" s="4" t="s">
        <v>502</v>
      </c>
    </row>
    <row r="417">
      <c r="A417" s="3" t="s">
        <v>503</v>
      </c>
      <c r="B417" s="3">
        <v>0.0</v>
      </c>
      <c r="C417" s="3" t="s">
        <v>3</v>
      </c>
      <c r="D417" s="4" t="b">
        <f t="shared" si="1"/>
        <v>0</v>
      </c>
      <c r="E417" s="4" t="s">
        <v>2170</v>
      </c>
    </row>
    <row r="418">
      <c r="A418" s="3" t="s">
        <v>504</v>
      </c>
      <c r="B418" s="4"/>
      <c r="C418" s="4"/>
      <c r="D418" s="4" t="b">
        <f t="shared" si="1"/>
        <v>1</v>
      </c>
      <c r="E418" s="4" t="s">
        <v>504</v>
      </c>
    </row>
    <row r="419">
      <c r="A419" s="3" t="s">
        <v>505</v>
      </c>
      <c r="B419" s="3">
        <v>0.0</v>
      </c>
      <c r="C419" s="3" t="s">
        <v>3</v>
      </c>
      <c r="D419" s="4" t="b">
        <f t="shared" si="1"/>
        <v>0</v>
      </c>
      <c r="E419" s="4" t="s">
        <v>2171</v>
      </c>
    </row>
    <row r="420">
      <c r="A420" s="3" t="s">
        <v>506</v>
      </c>
      <c r="B420" s="4"/>
      <c r="C420" s="4"/>
      <c r="D420" s="4" t="b">
        <f t="shared" si="1"/>
        <v>1</v>
      </c>
      <c r="E420" s="4" t="s">
        <v>506</v>
      </c>
    </row>
    <row r="421">
      <c r="A421" s="3" t="s">
        <v>507</v>
      </c>
      <c r="B421" s="3">
        <v>0.0</v>
      </c>
      <c r="C421" s="3" t="s">
        <v>3</v>
      </c>
      <c r="D421" s="4" t="b">
        <f t="shared" si="1"/>
        <v>0</v>
      </c>
      <c r="E421" s="4" t="s">
        <v>2172</v>
      </c>
    </row>
    <row r="422">
      <c r="A422" s="3" t="s">
        <v>508</v>
      </c>
      <c r="B422" s="4"/>
      <c r="C422" s="4"/>
      <c r="D422" s="4" t="b">
        <f t="shared" si="1"/>
        <v>1</v>
      </c>
      <c r="E422" s="4" t="s">
        <v>508</v>
      </c>
    </row>
    <row r="423">
      <c r="A423" s="3" t="s">
        <v>509</v>
      </c>
      <c r="B423" s="3">
        <v>0.0</v>
      </c>
      <c r="C423" s="3" t="s">
        <v>6</v>
      </c>
      <c r="D423" s="4" t="b">
        <f t="shared" si="1"/>
        <v>0</v>
      </c>
      <c r="E423" s="4" t="s">
        <v>2173</v>
      </c>
    </row>
    <row r="424">
      <c r="A424" s="3" t="s">
        <v>510</v>
      </c>
      <c r="B424" s="4"/>
      <c r="C424" s="4"/>
      <c r="D424" s="4" t="b">
        <f t="shared" si="1"/>
        <v>1</v>
      </c>
      <c r="E424" s="4" t="s">
        <v>510</v>
      </c>
    </row>
    <row r="425">
      <c r="A425" s="3" t="s">
        <v>511</v>
      </c>
      <c r="B425" s="3">
        <v>0.0</v>
      </c>
      <c r="C425" s="3" t="s">
        <v>3</v>
      </c>
      <c r="D425" s="4" t="b">
        <f t="shared" si="1"/>
        <v>0</v>
      </c>
      <c r="E425" s="4" t="s">
        <v>2174</v>
      </c>
    </row>
    <row r="426">
      <c r="A426" s="3" t="s">
        <v>512</v>
      </c>
      <c r="B426" s="4"/>
      <c r="C426" s="4"/>
      <c r="D426" s="4" t="b">
        <f t="shared" si="1"/>
        <v>1</v>
      </c>
      <c r="E426" s="4" t="s">
        <v>512</v>
      </c>
    </row>
    <row r="427">
      <c r="A427" s="3" t="s">
        <v>513</v>
      </c>
      <c r="B427" s="3">
        <v>0.0</v>
      </c>
      <c r="C427" s="3" t="s">
        <v>3</v>
      </c>
      <c r="D427" s="4" t="b">
        <f t="shared" si="1"/>
        <v>0</v>
      </c>
      <c r="E427" s="4" t="s">
        <v>2175</v>
      </c>
    </row>
    <row r="428">
      <c r="A428" s="3" t="s">
        <v>514</v>
      </c>
      <c r="B428" s="4"/>
      <c r="C428" s="4"/>
      <c r="D428" s="4" t="b">
        <f t="shared" si="1"/>
        <v>1</v>
      </c>
      <c r="E428" s="4" t="s">
        <v>514</v>
      </c>
    </row>
    <row r="429">
      <c r="A429" s="3" t="s">
        <v>515</v>
      </c>
      <c r="B429" s="3">
        <v>0.0</v>
      </c>
      <c r="C429" s="3" t="s">
        <v>6</v>
      </c>
      <c r="D429" s="4" t="b">
        <f t="shared" si="1"/>
        <v>0</v>
      </c>
      <c r="E429" s="4" t="s">
        <v>515</v>
      </c>
    </row>
    <row r="430">
      <c r="A430" s="3" t="s">
        <v>516</v>
      </c>
      <c r="B430" s="3">
        <v>0.0</v>
      </c>
      <c r="C430" s="3" t="s">
        <v>3</v>
      </c>
      <c r="D430" s="4" t="b">
        <f t="shared" si="1"/>
        <v>0</v>
      </c>
      <c r="E430" s="4" t="s">
        <v>2176</v>
      </c>
    </row>
    <row r="431">
      <c r="A431" s="3" t="s">
        <v>517</v>
      </c>
      <c r="B431" s="4"/>
      <c r="C431" s="4"/>
      <c r="D431" s="4" t="b">
        <f t="shared" si="1"/>
        <v>1</v>
      </c>
      <c r="E431" s="4" t="s">
        <v>517</v>
      </c>
    </row>
    <row r="432">
      <c r="A432" s="3" t="s">
        <v>518</v>
      </c>
      <c r="B432" s="3">
        <v>25062.0</v>
      </c>
      <c r="C432" s="4"/>
      <c r="D432" s="4" t="b">
        <f t="shared" si="1"/>
        <v>0</v>
      </c>
      <c r="E432" s="4" t="s">
        <v>518</v>
      </c>
    </row>
    <row r="433">
      <c r="A433" s="3" t="s">
        <v>520</v>
      </c>
      <c r="B433" s="3">
        <v>1500.0</v>
      </c>
      <c r="C433" s="3" t="s">
        <v>6</v>
      </c>
      <c r="D433" s="4" t="b">
        <f t="shared" si="1"/>
        <v>0</v>
      </c>
      <c r="E433" s="4" t="s">
        <v>520</v>
      </c>
    </row>
    <row r="434">
      <c r="A434" s="3" t="s">
        <v>521</v>
      </c>
      <c r="B434" s="3">
        <v>3500.0</v>
      </c>
      <c r="C434" s="4"/>
      <c r="D434" s="4" t="b">
        <f t="shared" si="1"/>
        <v>0</v>
      </c>
      <c r="E434" s="4" t="s">
        <v>521</v>
      </c>
    </row>
    <row r="435">
      <c r="A435" s="3" t="s">
        <v>522</v>
      </c>
      <c r="B435" s="3">
        <v>37754.0</v>
      </c>
      <c r="C435" s="3" t="s">
        <v>484</v>
      </c>
      <c r="D435" s="4" t="b">
        <f t="shared" si="1"/>
        <v>0</v>
      </c>
      <c r="E435" s="4" t="s">
        <v>522</v>
      </c>
    </row>
    <row r="436">
      <c r="A436" s="3" t="s">
        <v>524</v>
      </c>
      <c r="B436" s="3">
        <v>0.0</v>
      </c>
      <c r="C436" s="3" t="s">
        <v>3</v>
      </c>
      <c r="D436" s="4" t="b">
        <f t="shared" si="1"/>
        <v>0</v>
      </c>
      <c r="E436" s="4" t="s">
        <v>2177</v>
      </c>
    </row>
    <row r="437">
      <c r="A437" s="3" t="s">
        <v>525</v>
      </c>
      <c r="B437" s="4"/>
      <c r="C437" s="4"/>
      <c r="D437" s="4" t="b">
        <f t="shared" si="1"/>
        <v>1</v>
      </c>
      <c r="E437" s="4" t="s">
        <v>525</v>
      </c>
    </row>
    <row r="438">
      <c r="A438" s="3" t="s">
        <v>526</v>
      </c>
      <c r="B438" s="3">
        <v>3000.0</v>
      </c>
      <c r="C438" s="4"/>
      <c r="D438" s="4" t="b">
        <f t="shared" si="1"/>
        <v>0</v>
      </c>
      <c r="E438" s="4" t="s">
        <v>526</v>
      </c>
    </row>
    <row r="439">
      <c r="A439" s="3" t="s">
        <v>527</v>
      </c>
      <c r="B439" s="3">
        <v>1000.0</v>
      </c>
      <c r="C439" s="4"/>
      <c r="D439" s="4" t="b">
        <f t="shared" si="1"/>
        <v>0</v>
      </c>
      <c r="E439" s="4" t="s">
        <v>527</v>
      </c>
    </row>
    <row r="440">
      <c r="A440" s="3" t="s">
        <v>528</v>
      </c>
      <c r="B440" s="3">
        <v>250.0</v>
      </c>
      <c r="C440" s="4"/>
      <c r="D440" s="4" t="b">
        <f t="shared" si="1"/>
        <v>0</v>
      </c>
      <c r="E440" s="4" t="s">
        <v>2178</v>
      </c>
    </row>
    <row r="441">
      <c r="A441" s="3" t="s">
        <v>529</v>
      </c>
      <c r="B441" s="4"/>
      <c r="C441" s="4"/>
      <c r="D441" s="4" t="b">
        <f t="shared" si="1"/>
        <v>1</v>
      </c>
      <c r="E441" s="4" t="s">
        <v>529</v>
      </c>
    </row>
    <row r="442">
      <c r="A442" s="3" t="s">
        <v>530</v>
      </c>
      <c r="B442" s="3">
        <v>500.0</v>
      </c>
      <c r="C442" s="3" t="s">
        <v>3</v>
      </c>
      <c r="D442" s="4" t="b">
        <f t="shared" si="1"/>
        <v>0</v>
      </c>
      <c r="E442" s="4" t="s">
        <v>2179</v>
      </c>
    </row>
    <row r="443">
      <c r="A443" s="3" t="s">
        <v>531</v>
      </c>
      <c r="B443" s="4"/>
      <c r="C443" s="4"/>
      <c r="D443" s="4" t="b">
        <f t="shared" si="1"/>
        <v>1</v>
      </c>
      <c r="E443" s="4" t="s">
        <v>531</v>
      </c>
    </row>
    <row r="444">
      <c r="A444" s="3" t="s">
        <v>532</v>
      </c>
      <c r="B444" s="3">
        <v>7000.0</v>
      </c>
      <c r="C444" s="3" t="s">
        <v>3</v>
      </c>
      <c r="D444" s="4" t="b">
        <f t="shared" si="1"/>
        <v>0</v>
      </c>
      <c r="E444" s="4" t="s">
        <v>532</v>
      </c>
    </row>
    <row r="445">
      <c r="A445" s="3" t="s">
        <v>534</v>
      </c>
      <c r="B445" s="3">
        <v>0.0</v>
      </c>
      <c r="C445" s="3" t="s">
        <v>26</v>
      </c>
      <c r="D445" s="4" t="b">
        <f t="shared" si="1"/>
        <v>0</v>
      </c>
      <c r="E445" s="4" t="s">
        <v>534</v>
      </c>
    </row>
    <row r="446">
      <c r="A446" s="3" t="s">
        <v>535</v>
      </c>
      <c r="B446" s="3">
        <v>400.0</v>
      </c>
      <c r="C446" s="3" t="s">
        <v>3</v>
      </c>
      <c r="D446" s="4" t="b">
        <f t="shared" si="1"/>
        <v>0</v>
      </c>
      <c r="E446" s="4" t="s">
        <v>2180</v>
      </c>
    </row>
    <row r="447">
      <c r="A447" s="3" t="s">
        <v>536</v>
      </c>
      <c r="B447" s="4"/>
      <c r="C447" s="4"/>
      <c r="D447" s="4" t="b">
        <f t="shared" si="1"/>
        <v>1</v>
      </c>
      <c r="E447" s="4" t="s">
        <v>536</v>
      </c>
    </row>
    <row r="448">
      <c r="A448" s="3" t="s">
        <v>537</v>
      </c>
      <c r="B448" s="3">
        <v>750.0</v>
      </c>
      <c r="C448" s="4"/>
      <c r="D448" s="4" t="b">
        <f t="shared" si="1"/>
        <v>0</v>
      </c>
      <c r="E448" s="4" t="s">
        <v>2181</v>
      </c>
    </row>
    <row r="449">
      <c r="A449" s="3" t="s">
        <v>538</v>
      </c>
      <c r="B449" s="4"/>
      <c r="C449" s="4"/>
      <c r="D449" s="4" t="b">
        <f t="shared" si="1"/>
        <v>1</v>
      </c>
      <c r="E449" s="4" t="s">
        <v>538</v>
      </c>
    </row>
    <row r="450">
      <c r="A450" s="3" t="s">
        <v>539</v>
      </c>
      <c r="B450" s="3">
        <v>0.0</v>
      </c>
      <c r="C450" s="3" t="s">
        <v>6</v>
      </c>
      <c r="D450" s="4" t="b">
        <f t="shared" si="1"/>
        <v>0</v>
      </c>
      <c r="E450" s="4" t="s">
        <v>539</v>
      </c>
    </row>
    <row r="451">
      <c r="A451" s="3" t="s">
        <v>540</v>
      </c>
      <c r="B451" s="3">
        <v>800.0</v>
      </c>
      <c r="C451" s="4"/>
      <c r="D451" s="4" t="b">
        <f t="shared" si="1"/>
        <v>0</v>
      </c>
      <c r="E451" s="4" t="s">
        <v>540</v>
      </c>
    </row>
    <row r="452">
      <c r="A452" s="3" t="s">
        <v>541</v>
      </c>
      <c r="B452" s="3">
        <v>500.0</v>
      </c>
      <c r="C452" s="4"/>
      <c r="D452" s="4" t="b">
        <f t="shared" si="1"/>
        <v>0</v>
      </c>
      <c r="E452" s="4" t="s">
        <v>541</v>
      </c>
    </row>
    <row r="453">
      <c r="A453" s="3" t="s">
        <v>542</v>
      </c>
      <c r="B453" s="3">
        <v>0.0</v>
      </c>
      <c r="C453" s="3" t="s">
        <v>3</v>
      </c>
      <c r="D453" s="4" t="b">
        <f t="shared" si="1"/>
        <v>0</v>
      </c>
      <c r="E453" s="4" t="s">
        <v>542</v>
      </c>
    </row>
    <row r="454">
      <c r="A454" s="3" t="s">
        <v>543</v>
      </c>
      <c r="B454" s="3">
        <v>0.0</v>
      </c>
      <c r="C454" s="3" t="s">
        <v>3</v>
      </c>
      <c r="D454" s="4" t="b">
        <f t="shared" si="1"/>
        <v>0</v>
      </c>
      <c r="E454" s="4" t="s">
        <v>2182</v>
      </c>
    </row>
    <row r="455">
      <c r="A455" s="3" t="s">
        <v>544</v>
      </c>
      <c r="B455" s="4"/>
      <c r="C455" s="4"/>
      <c r="D455" s="4" t="b">
        <f t="shared" si="1"/>
        <v>1</v>
      </c>
      <c r="E455" s="4" t="s">
        <v>544</v>
      </c>
    </row>
    <row r="456">
      <c r="A456" s="3" t="s">
        <v>545</v>
      </c>
      <c r="B456" s="3">
        <v>0.0</v>
      </c>
      <c r="C456" s="3" t="s">
        <v>3</v>
      </c>
      <c r="D456" s="4" t="b">
        <f t="shared" si="1"/>
        <v>0</v>
      </c>
      <c r="E456" s="4" t="s">
        <v>545</v>
      </c>
    </row>
    <row r="457">
      <c r="A457" s="3" t="s">
        <v>546</v>
      </c>
      <c r="B457" s="3">
        <v>0.0</v>
      </c>
      <c r="C457" s="3" t="s">
        <v>3</v>
      </c>
      <c r="D457" s="4" t="b">
        <f t="shared" si="1"/>
        <v>0</v>
      </c>
      <c r="E457" s="4" t="s">
        <v>546</v>
      </c>
    </row>
    <row r="458">
      <c r="A458" s="3" t="s">
        <v>547</v>
      </c>
      <c r="B458" s="3">
        <v>4000.0</v>
      </c>
      <c r="C458" s="4"/>
      <c r="D458" s="4" t="b">
        <f t="shared" si="1"/>
        <v>0</v>
      </c>
      <c r="E458" s="4" t="s">
        <v>547</v>
      </c>
    </row>
    <row r="459">
      <c r="A459" s="3" t="s">
        <v>548</v>
      </c>
      <c r="B459" s="3">
        <v>0.0</v>
      </c>
      <c r="C459" s="3" t="s">
        <v>29</v>
      </c>
      <c r="D459" s="4" t="b">
        <f t="shared" si="1"/>
        <v>0</v>
      </c>
      <c r="E459" s="4" t="s">
        <v>548</v>
      </c>
    </row>
    <row r="460">
      <c r="A460" s="3" t="s">
        <v>549</v>
      </c>
      <c r="B460" s="3">
        <v>27778.0</v>
      </c>
      <c r="C460" s="4"/>
      <c r="D460" s="4" t="b">
        <f t="shared" si="1"/>
        <v>0</v>
      </c>
      <c r="E460" s="4" t="s">
        <v>549</v>
      </c>
    </row>
    <row r="461">
      <c r="A461" s="3" t="s">
        <v>551</v>
      </c>
      <c r="B461" s="3">
        <v>0.0</v>
      </c>
      <c r="C461" s="3" t="s">
        <v>29</v>
      </c>
      <c r="D461" s="4" t="b">
        <f t="shared" si="1"/>
        <v>0</v>
      </c>
      <c r="E461" s="4" t="s">
        <v>551</v>
      </c>
    </row>
    <row r="462">
      <c r="A462" s="3" t="s">
        <v>552</v>
      </c>
      <c r="B462" s="3">
        <v>500.0</v>
      </c>
      <c r="C462" s="4"/>
      <c r="D462" s="4" t="b">
        <f t="shared" si="1"/>
        <v>0</v>
      </c>
      <c r="E462" s="4" t="s">
        <v>552</v>
      </c>
    </row>
    <row r="463">
      <c r="A463" s="3" t="s">
        <v>553</v>
      </c>
      <c r="B463" s="3">
        <v>0.0</v>
      </c>
      <c r="C463" s="3" t="s">
        <v>29</v>
      </c>
      <c r="D463" s="4" t="b">
        <f t="shared" si="1"/>
        <v>0</v>
      </c>
      <c r="E463" s="4" t="s">
        <v>553</v>
      </c>
    </row>
    <row r="464">
      <c r="A464" s="3" t="s">
        <v>554</v>
      </c>
      <c r="B464" s="3">
        <v>0.0</v>
      </c>
      <c r="C464" s="3" t="s">
        <v>29</v>
      </c>
      <c r="D464" s="4" t="b">
        <f t="shared" si="1"/>
        <v>0</v>
      </c>
      <c r="E464" s="4" t="s">
        <v>554</v>
      </c>
    </row>
    <row r="465">
      <c r="A465" s="3" t="s">
        <v>555</v>
      </c>
      <c r="B465" s="3">
        <v>0.0</v>
      </c>
      <c r="C465" s="3" t="s">
        <v>29</v>
      </c>
      <c r="D465" s="4" t="b">
        <f t="shared" si="1"/>
        <v>0</v>
      </c>
      <c r="E465" s="4" t="s">
        <v>2183</v>
      </c>
    </row>
    <row r="466">
      <c r="A466" s="3" t="s">
        <v>556</v>
      </c>
      <c r="B466" s="4"/>
      <c r="C466" s="4"/>
      <c r="D466" s="4" t="b">
        <f t="shared" si="1"/>
        <v>1</v>
      </c>
      <c r="E466" s="4" t="s">
        <v>556</v>
      </c>
    </row>
    <row r="467">
      <c r="A467" s="3" t="s">
        <v>557</v>
      </c>
      <c r="B467" s="3">
        <v>1500.0</v>
      </c>
      <c r="C467" s="3" t="s">
        <v>29</v>
      </c>
      <c r="D467" s="4" t="b">
        <f t="shared" si="1"/>
        <v>0</v>
      </c>
      <c r="E467" s="4" t="s">
        <v>557</v>
      </c>
    </row>
    <row r="468">
      <c r="A468" s="3" t="s">
        <v>558</v>
      </c>
      <c r="B468" s="3">
        <v>1000.0</v>
      </c>
      <c r="C468" s="3" t="s">
        <v>484</v>
      </c>
      <c r="D468" s="4" t="b">
        <f t="shared" si="1"/>
        <v>0</v>
      </c>
      <c r="E468" s="4" t="s">
        <v>558</v>
      </c>
    </row>
    <row r="469">
      <c r="A469" s="3" t="s">
        <v>559</v>
      </c>
      <c r="B469" s="3">
        <v>4600.0</v>
      </c>
      <c r="C469" s="3" t="s">
        <v>6</v>
      </c>
      <c r="D469" s="4" t="b">
        <f t="shared" si="1"/>
        <v>0</v>
      </c>
      <c r="E469" s="4" t="s">
        <v>559</v>
      </c>
    </row>
    <row r="470">
      <c r="A470" s="3" t="s">
        <v>561</v>
      </c>
      <c r="B470" s="3">
        <v>0.0</v>
      </c>
      <c r="C470" s="3" t="s">
        <v>29</v>
      </c>
      <c r="D470" s="4" t="b">
        <f t="shared" si="1"/>
        <v>0</v>
      </c>
      <c r="E470" s="4" t="s">
        <v>561</v>
      </c>
    </row>
    <row r="471">
      <c r="A471" s="3" t="s">
        <v>562</v>
      </c>
      <c r="B471" s="3">
        <v>0.0</v>
      </c>
      <c r="C471" s="3" t="s">
        <v>29</v>
      </c>
      <c r="D471" s="4" t="b">
        <f t="shared" si="1"/>
        <v>0</v>
      </c>
      <c r="E471" s="4" t="s">
        <v>562</v>
      </c>
    </row>
    <row r="472">
      <c r="A472" s="3" t="s">
        <v>563</v>
      </c>
      <c r="B472" s="3">
        <v>0.0</v>
      </c>
      <c r="C472" s="3" t="s">
        <v>29</v>
      </c>
      <c r="D472" s="4" t="b">
        <f t="shared" si="1"/>
        <v>0</v>
      </c>
      <c r="E472" s="4" t="s">
        <v>563</v>
      </c>
    </row>
    <row r="473">
      <c r="A473" s="3" t="s">
        <v>564</v>
      </c>
      <c r="B473" s="3">
        <v>0.0</v>
      </c>
      <c r="C473" s="3" t="s">
        <v>484</v>
      </c>
      <c r="D473" s="4" t="b">
        <f t="shared" si="1"/>
        <v>0</v>
      </c>
      <c r="E473" s="4" t="s">
        <v>564</v>
      </c>
    </row>
    <row r="474">
      <c r="A474" s="3" t="s">
        <v>565</v>
      </c>
      <c r="B474" s="3">
        <v>0.0</v>
      </c>
      <c r="C474" s="3" t="s">
        <v>29</v>
      </c>
      <c r="D474" s="4" t="b">
        <f t="shared" si="1"/>
        <v>0</v>
      </c>
      <c r="E474" s="4" t="s">
        <v>565</v>
      </c>
    </row>
    <row r="475">
      <c r="A475" s="3" t="s">
        <v>566</v>
      </c>
      <c r="B475" s="3">
        <v>0.0</v>
      </c>
      <c r="C475" s="3" t="s">
        <v>29</v>
      </c>
      <c r="D475" s="4" t="b">
        <f t="shared" si="1"/>
        <v>0</v>
      </c>
      <c r="E475" s="4" t="s">
        <v>566</v>
      </c>
    </row>
    <row r="476">
      <c r="A476" s="3" t="s">
        <v>567</v>
      </c>
      <c r="B476" s="3">
        <v>0.0</v>
      </c>
      <c r="C476" s="3" t="s">
        <v>3</v>
      </c>
      <c r="D476" s="4" t="b">
        <f t="shared" si="1"/>
        <v>0</v>
      </c>
      <c r="E476" s="4" t="s">
        <v>567</v>
      </c>
    </row>
    <row r="477">
      <c r="A477" s="3" t="s">
        <v>568</v>
      </c>
      <c r="B477" s="3">
        <v>0.0</v>
      </c>
      <c r="C477" s="3" t="s">
        <v>3</v>
      </c>
      <c r="D477" s="4" t="b">
        <f t="shared" si="1"/>
        <v>0</v>
      </c>
      <c r="E477" s="4" t="s">
        <v>568</v>
      </c>
    </row>
    <row r="478">
      <c r="A478" s="3" t="s">
        <v>569</v>
      </c>
      <c r="B478" s="3">
        <v>50000.0</v>
      </c>
      <c r="C478" s="3" t="s">
        <v>6</v>
      </c>
      <c r="D478" s="4" t="b">
        <f t="shared" si="1"/>
        <v>0</v>
      </c>
      <c r="E478" s="4" t="s">
        <v>569</v>
      </c>
    </row>
    <row r="479">
      <c r="A479" s="3" t="s">
        <v>571</v>
      </c>
      <c r="B479" s="3">
        <v>500.0</v>
      </c>
      <c r="C479" s="3" t="s">
        <v>6</v>
      </c>
      <c r="D479" s="4" t="b">
        <f t="shared" si="1"/>
        <v>0</v>
      </c>
      <c r="E479" s="4" t="s">
        <v>2184</v>
      </c>
    </row>
    <row r="480">
      <c r="A480" s="3" t="s">
        <v>572</v>
      </c>
      <c r="B480" s="4"/>
      <c r="C480" s="4"/>
      <c r="D480" s="4" t="b">
        <f t="shared" si="1"/>
        <v>1</v>
      </c>
      <c r="E480" s="4" t="s">
        <v>572</v>
      </c>
    </row>
    <row r="481">
      <c r="A481" s="3" t="s">
        <v>573</v>
      </c>
      <c r="B481" s="3">
        <v>0.0</v>
      </c>
      <c r="C481" s="3" t="s">
        <v>3</v>
      </c>
      <c r="D481" s="4" t="b">
        <f t="shared" si="1"/>
        <v>0</v>
      </c>
      <c r="E481" s="4" t="s">
        <v>573</v>
      </c>
    </row>
    <row r="482">
      <c r="A482" s="3" t="s">
        <v>574</v>
      </c>
      <c r="B482" s="3">
        <v>700.0</v>
      </c>
      <c r="C482" s="4"/>
      <c r="D482" s="4" t="b">
        <f t="shared" si="1"/>
        <v>0</v>
      </c>
      <c r="E482" s="4" t="s">
        <v>2185</v>
      </c>
    </row>
    <row r="483">
      <c r="A483" s="3" t="s">
        <v>576</v>
      </c>
      <c r="B483" s="4"/>
      <c r="C483" s="4"/>
      <c r="D483" s="4" t="b">
        <f t="shared" si="1"/>
        <v>1</v>
      </c>
      <c r="E483" s="4" t="s">
        <v>576</v>
      </c>
    </row>
    <row r="484">
      <c r="A484" s="3" t="s">
        <v>577</v>
      </c>
      <c r="B484" s="3">
        <v>0.0</v>
      </c>
      <c r="C484" s="3" t="s">
        <v>32</v>
      </c>
      <c r="D484" s="4" t="b">
        <f t="shared" si="1"/>
        <v>0</v>
      </c>
      <c r="E484" s="4" t="s">
        <v>577</v>
      </c>
    </row>
    <row r="485">
      <c r="A485" s="3" t="s">
        <v>578</v>
      </c>
      <c r="B485" s="3">
        <v>1700.0</v>
      </c>
      <c r="C485" s="3" t="s">
        <v>580</v>
      </c>
      <c r="D485" s="4" t="b">
        <f t="shared" si="1"/>
        <v>0</v>
      </c>
      <c r="E485" s="4" t="s">
        <v>2186</v>
      </c>
    </row>
    <row r="486">
      <c r="A486" s="4"/>
      <c r="B486" s="4"/>
      <c r="C486" s="3" t="s">
        <v>581</v>
      </c>
      <c r="D486" s="4" t="b">
        <f t="shared" si="1"/>
        <v>1</v>
      </c>
      <c r="E486" s="4"/>
    </row>
    <row r="487">
      <c r="A487" s="3" t="s">
        <v>582</v>
      </c>
      <c r="B487" s="3">
        <v>153407.0</v>
      </c>
      <c r="C487" s="3" t="s">
        <v>32</v>
      </c>
      <c r="D487" s="4" t="b">
        <f t="shared" si="1"/>
        <v>0</v>
      </c>
      <c r="E487" s="4" t="s">
        <v>582</v>
      </c>
    </row>
    <row r="488">
      <c r="A488" s="3" t="s">
        <v>584</v>
      </c>
      <c r="B488" s="3">
        <v>0.0</v>
      </c>
      <c r="C488" s="3" t="s">
        <v>6</v>
      </c>
      <c r="D488" s="4" t="b">
        <f t="shared" si="1"/>
        <v>0</v>
      </c>
      <c r="E488" s="4" t="s">
        <v>2187</v>
      </c>
    </row>
    <row r="489">
      <c r="A489" s="3" t="s">
        <v>585</v>
      </c>
      <c r="B489" s="4"/>
      <c r="C489" s="4"/>
      <c r="D489" s="4" t="b">
        <f t="shared" si="1"/>
        <v>1</v>
      </c>
      <c r="E489" s="4" t="s">
        <v>585</v>
      </c>
    </row>
    <row r="490">
      <c r="A490" s="3" t="s">
        <v>586</v>
      </c>
      <c r="B490" s="3">
        <v>4550.0</v>
      </c>
      <c r="C490" s="3" t="s">
        <v>6</v>
      </c>
      <c r="D490" s="4" t="b">
        <f t="shared" si="1"/>
        <v>0</v>
      </c>
      <c r="E490" s="4" t="s">
        <v>586</v>
      </c>
    </row>
    <row r="491">
      <c r="A491" s="3" t="s">
        <v>588</v>
      </c>
      <c r="B491" s="3">
        <v>0.0</v>
      </c>
      <c r="C491" s="3" t="s">
        <v>3</v>
      </c>
      <c r="D491" s="4" t="b">
        <f t="shared" si="1"/>
        <v>0</v>
      </c>
      <c r="E491" s="4" t="s">
        <v>588</v>
      </c>
    </row>
    <row r="492">
      <c r="A492" s="3" t="s">
        <v>589</v>
      </c>
      <c r="B492" s="3">
        <v>44200.0</v>
      </c>
      <c r="C492" s="3" t="s">
        <v>3</v>
      </c>
      <c r="D492" s="4" t="b">
        <f t="shared" si="1"/>
        <v>0</v>
      </c>
      <c r="E492" s="4" t="s">
        <v>589</v>
      </c>
    </row>
    <row r="493">
      <c r="A493" s="3" t="s">
        <v>591</v>
      </c>
      <c r="B493" s="3">
        <v>0.0</v>
      </c>
      <c r="C493" s="3" t="s">
        <v>3</v>
      </c>
      <c r="D493" s="4" t="b">
        <f t="shared" si="1"/>
        <v>0</v>
      </c>
      <c r="E493" s="4" t="s">
        <v>591</v>
      </c>
    </row>
    <row r="494">
      <c r="A494" s="3" t="s">
        <v>592</v>
      </c>
      <c r="B494" s="3">
        <v>0.0</v>
      </c>
      <c r="C494" s="3" t="s">
        <v>3</v>
      </c>
      <c r="D494" s="4" t="b">
        <f t="shared" si="1"/>
        <v>0</v>
      </c>
      <c r="E494" s="4" t="s">
        <v>592</v>
      </c>
    </row>
    <row r="495">
      <c r="A495" s="3" t="s">
        <v>593</v>
      </c>
      <c r="B495" s="3">
        <v>0.0</v>
      </c>
      <c r="C495" s="3" t="s">
        <v>3</v>
      </c>
      <c r="D495" s="4" t="b">
        <f t="shared" si="1"/>
        <v>0</v>
      </c>
      <c r="E495" s="4" t="s">
        <v>593</v>
      </c>
    </row>
    <row r="496">
      <c r="A496" s="3" t="s">
        <v>594</v>
      </c>
      <c r="B496" s="3">
        <v>0.0</v>
      </c>
      <c r="C496" s="3" t="s">
        <v>6</v>
      </c>
      <c r="D496" s="4" t="b">
        <f t="shared" si="1"/>
        <v>0</v>
      </c>
      <c r="E496" s="4" t="s">
        <v>594</v>
      </c>
    </row>
    <row r="497">
      <c r="A497" s="3" t="s">
        <v>595</v>
      </c>
      <c r="B497" s="3">
        <v>0.0</v>
      </c>
      <c r="C497" s="3" t="s">
        <v>3</v>
      </c>
      <c r="D497" s="4" t="b">
        <f t="shared" si="1"/>
        <v>0</v>
      </c>
      <c r="E497" s="4" t="s">
        <v>595</v>
      </c>
    </row>
    <row r="498">
      <c r="A498" s="3" t="s">
        <v>596</v>
      </c>
      <c r="B498" s="3">
        <v>0.0</v>
      </c>
      <c r="C498" s="3" t="s">
        <v>3</v>
      </c>
      <c r="D498" s="4" t="b">
        <f t="shared" si="1"/>
        <v>0</v>
      </c>
      <c r="E498" s="4" t="s">
        <v>2188</v>
      </c>
    </row>
    <row r="499">
      <c r="A499" s="3" t="s">
        <v>597</v>
      </c>
      <c r="B499" s="4"/>
      <c r="C499" s="4"/>
      <c r="D499" s="4" t="b">
        <f t="shared" si="1"/>
        <v>1</v>
      </c>
      <c r="E499" s="4" t="s">
        <v>597</v>
      </c>
    </row>
    <row r="500">
      <c r="A500" s="3" t="s">
        <v>598</v>
      </c>
      <c r="B500" s="3">
        <v>0.0</v>
      </c>
      <c r="C500" s="3" t="s">
        <v>3</v>
      </c>
      <c r="D500" s="4" t="b">
        <f t="shared" si="1"/>
        <v>0</v>
      </c>
      <c r="E500" s="4" t="s">
        <v>598</v>
      </c>
    </row>
    <row r="501">
      <c r="A501" s="3" t="s">
        <v>599</v>
      </c>
      <c r="B501" s="3">
        <v>347000.0</v>
      </c>
      <c r="C501" s="4"/>
      <c r="D501" s="4" t="b">
        <f t="shared" si="1"/>
        <v>0</v>
      </c>
      <c r="E501" s="4" t="s">
        <v>599</v>
      </c>
    </row>
    <row r="502">
      <c r="A502" s="3" t="s">
        <v>601</v>
      </c>
      <c r="B502" s="3">
        <v>2000.0</v>
      </c>
      <c r="C502" s="4"/>
      <c r="D502" s="4" t="b">
        <f t="shared" si="1"/>
        <v>0</v>
      </c>
      <c r="E502" s="4" t="s">
        <v>601</v>
      </c>
    </row>
    <row r="503">
      <c r="A503" s="3" t="s">
        <v>602</v>
      </c>
      <c r="B503" s="3">
        <v>1089439.0</v>
      </c>
      <c r="C503" s="3" t="s">
        <v>37</v>
      </c>
      <c r="D503" s="4" t="b">
        <f t="shared" si="1"/>
        <v>0</v>
      </c>
      <c r="E503" s="4" t="s">
        <v>2189</v>
      </c>
    </row>
    <row r="504">
      <c r="A504" s="3" t="s">
        <v>604</v>
      </c>
      <c r="B504" s="4"/>
      <c r="C504" s="3" t="s">
        <v>38</v>
      </c>
      <c r="D504" s="4" t="b">
        <f t="shared" si="1"/>
        <v>1</v>
      </c>
      <c r="E504" s="4" t="s">
        <v>604</v>
      </c>
    </row>
    <row r="505">
      <c r="A505" s="3" t="s">
        <v>605</v>
      </c>
      <c r="B505" s="3">
        <v>3000.0</v>
      </c>
      <c r="C505" s="3" t="s">
        <v>29</v>
      </c>
      <c r="D505" s="4" t="b">
        <f t="shared" si="1"/>
        <v>0</v>
      </c>
      <c r="E505" s="4" t="s">
        <v>605</v>
      </c>
    </row>
    <row r="506">
      <c r="A506" s="3" t="s">
        <v>606</v>
      </c>
      <c r="B506" s="3">
        <v>3000.0</v>
      </c>
      <c r="C506" s="3" t="s">
        <v>484</v>
      </c>
      <c r="D506" s="4" t="b">
        <f t="shared" si="1"/>
        <v>0</v>
      </c>
      <c r="E506" s="4" t="s">
        <v>606</v>
      </c>
    </row>
    <row r="507">
      <c r="A507" s="3" t="s">
        <v>607</v>
      </c>
      <c r="B507" s="3">
        <v>30500.0</v>
      </c>
      <c r="C507" s="3" t="s">
        <v>32</v>
      </c>
      <c r="D507" s="4" t="b">
        <f t="shared" si="1"/>
        <v>0</v>
      </c>
      <c r="E507" s="4" t="s">
        <v>607</v>
      </c>
    </row>
    <row r="508">
      <c r="A508" s="3" t="s">
        <v>609</v>
      </c>
      <c r="B508" s="3">
        <v>3500.0</v>
      </c>
      <c r="C508" s="3" t="s">
        <v>29</v>
      </c>
      <c r="D508" s="4" t="b">
        <f t="shared" si="1"/>
        <v>0</v>
      </c>
      <c r="E508" s="4" t="s">
        <v>609</v>
      </c>
    </row>
    <row r="509">
      <c r="A509" s="3" t="s">
        <v>610</v>
      </c>
      <c r="B509" s="3">
        <v>0.0</v>
      </c>
      <c r="C509" s="3" t="s">
        <v>6</v>
      </c>
      <c r="D509" s="4" t="b">
        <f t="shared" si="1"/>
        <v>0</v>
      </c>
      <c r="E509" s="4" t="s">
        <v>610</v>
      </c>
    </row>
    <row r="510">
      <c r="A510" s="3" t="s">
        <v>611</v>
      </c>
      <c r="B510" s="3">
        <v>2500.0</v>
      </c>
      <c r="C510" s="4"/>
      <c r="D510" s="4" t="b">
        <f t="shared" si="1"/>
        <v>0</v>
      </c>
      <c r="E510" s="4" t="s">
        <v>611</v>
      </c>
    </row>
    <row r="511">
      <c r="A511" s="3" t="s">
        <v>612</v>
      </c>
      <c r="B511" s="3">
        <v>0.0</v>
      </c>
      <c r="C511" s="3" t="s">
        <v>6</v>
      </c>
      <c r="D511" s="4" t="b">
        <f t="shared" si="1"/>
        <v>0</v>
      </c>
      <c r="E511" s="4" t="s">
        <v>612</v>
      </c>
    </row>
    <row r="512">
      <c r="A512" s="3" t="s">
        <v>613</v>
      </c>
      <c r="B512" s="3">
        <v>0.0</v>
      </c>
      <c r="C512" s="3" t="s">
        <v>3</v>
      </c>
      <c r="D512" s="4" t="b">
        <f t="shared" si="1"/>
        <v>0</v>
      </c>
      <c r="E512" s="4" t="s">
        <v>613</v>
      </c>
    </row>
    <row r="513">
      <c r="A513" s="3" t="s">
        <v>614</v>
      </c>
      <c r="B513" s="3">
        <v>1500.0</v>
      </c>
      <c r="C513" s="4"/>
      <c r="D513" s="4" t="b">
        <f t="shared" si="1"/>
        <v>0</v>
      </c>
      <c r="E513" s="4" t="s">
        <v>614</v>
      </c>
    </row>
    <row r="514">
      <c r="A514" s="3" t="s">
        <v>615</v>
      </c>
      <c r="B514" s="3">
        <v>0.0</v>
      </c>
      <c r="C514" s="3" t="s">
        <v>3</v>
      </c>
      <c r="D514" s="4" t="b">
        <f t="shared" si="1"/>
        <v>0</v>
      </c>
      <c r="E514" s="4" t="s">
        <v>615</v>
      </c>
    </row>
    <row r="515">
      <c r="A515" s="3" t="s">
        <v>616</v>
      </c>
      <c r="B515" s="3">
        <v>0.0</v>
      </c>
      <c r="C515" s="3" t="s">
        <v>3</v>
      </c>
      <c r="D515" s="4" t="b">
        <f t="shared" si="1"/>
        <v>0</v>
      </c>
      <c r="E515" s="4" t="s">
        <v>616</v>
      </c>
    </row>
    <row r="516">
      <c r="A516" s="3" t="s">
        <v>617</v>
      </c>
      <c r="B516" s="3">
        <v>0.0</v>
      </c>
      <c r="C516" s="3" t="s">
        <v>3</v>
      </c>
      <c r="D516" s="4" t="b">
        <f t="shared" si="1"/>
        <v>0</v>
      </c>
      <c r="E516" s="4" t="s">
        <v>617</v>
      </c>
    </row>
    <row r="517">
      <c r="A517" s="3" t="s">
        <v>618</v>
      </c>
      <c r="B517" s="3">
        <v>0.0</v>
      </c>
      <c r="C517" s="3" t="s">
        <v>3</v>
      </c>
      <c r="D517" s="4" t="b">
        <f t="shared" si="1"/>
        <v>0</v>
      </c>
      <c r="E517" s="4" t="s">
        <v>618</v>
      </c>
    </row>
    <row r="518">
      <c r="A518" s="3" t="s">
        <v>619</v>
      </c>
      <c r="B518" s="3">
        <v>0.0</v>
      </c>
      <c r="C518" s="3" t="s">
        <v>3</v>
      </c>
      <c r="D518" s="4" t="b">
        <f t="shared" si="1"/>
        <v>0</v>
      </c>
      <c r="E518" s="4" t="s">
        <v>619</v>
      </c>
    </row>
    <row r="519">
      <c r="A519" s="3" t="s">
        <v>620</v>
      </c>
      <c r="B519" s="3">
        <v>0.0</v>
      </c>
      <c r="C519" s="3" t="s">
        <v>6</v>
      </c>
      <c r="D519" s="4" t="b">
        <f t="shared" si="1"/>
        <v>0</v>
      </c>
      <c r="E519" s="4" t="s">
        <v>620</v>
      </c>
    </row>
    <row r="520">
      <c r="A520" s="3" t="s">
        <v>621</v>
      </c>
      <c r="B520" s="3">
        <v>1500.0</v>
      </c>
      <c r="C520" s="3" t="s">
        <v>32</v>
      </c>
      <c r="D520" s="4" t="b">
        <f t="shared" si="1"/>
        <v>0</v>
      </c>
      <c r="E520" s="4" t="s">
        <v>621</v>
      </c>
    </row>
    <row r="521">
      <c r="A521" s="3" t="s">
        <v>622</v>
      </c>
      <c r="B521" s="3">
        <v>8000.0</v>
      </c>
      <c r="C521" s="3" t="s">
        <v>32</v>
      </c>
      <c r="D521" s="4" t="b">
        <f t="shared" si="1"/>
        <v>0</v>
      </c>
      <c r="E521" s="4" t="s">
        <v>622</v>
      </c>
    </row>
    <row r="522">
      <c r="A522" s="3" t="s">
        <v>624</v>
      </c>
      <c r="B522" s="3">
        <v>0.0</v>
      </c>
      <c r="C522" s="3" t="s">
        <v>3</v>
      </c>
      <c r="D522" s="4" t="b">
        <f t="shared" si="1"/>
        <v>0</v>
      </c>
      <c r="E522" s="4" t="s">
        <v>624</v>
      </c>
    </row>
    <row r="523">
      <c r="A523" s="3" t="s">
        <v>625</v>
      </c>
      <c r="B523" s="3">
        <v>13600.0</v>
      </c>
      <c r="C523" s="3" t="s">
        <v>37</v>
      </c>
      <c r="D523" s="4" t="b">
        <f t="shared" si="1"/>
        <v>0</v>
      </c>
      <c r="E523" s="4" t="s">
        <v>2190</v>
      </c>
    </row>
    <row r="524">
      <c r="A524" s="4"/>
      <c r="B524" s="4"/>
      <c r="C524" s="3" t="s">
        <v>38</v>
      </c>
      <c r="D524" s="4" t="b">
        <f t="shared" si="1"/>
        <v>1</v>
      </c>
      <c r="E524" s="4"/>
    </row>
    <row r="525">
      <c r="A525" s="3" t="s">
        <v>627</v>
      </c>
      <c r="B525" s="3">
        <v>0.0</v>
      </c>
      <c r="C525" s="3" t="s">
        <v>3</v>
      </c>
      <c r="D525" s="4" t="b">
        <f t="shared" si="1"/>
        <v>0</v>
      </c>
      <c r="E525" s="4" t="s">
        <v>627</v>
      </c>
    </row>
    <row r="526">
      <c r="A526" s="3" t="s">
        <v>628</v>
      </c>
      <c r="B526" s="3">
        <v>35895.0</v>
      </c>
      <c r="C526" s="3" t="s">
        <v>484</v>
      </c>
      <c r="D526" s="4" t="b">
        <f t="shared" si="1"/>
        <v>0</v>
      </c>
      <c r="E526" s="4" t="s">
        <v>628</v>
      </c>
    </row>
    <row r="527">
      <c r="A527" s="3" t="s">
        <v>630</v>
      </c>
      <c r="B527" s="3">
        <v>2500.0</v>
      </c>
      <c r="C527" s="4"/>
      <c r="D527" s="4" t="b">
        <f t="shared" si="1"/>
        <v>0</v>
      </c>
      <c r="E527" s="4" t="s">
        <v>630</v>
      </c>
    </row>
    <row r="528">
      <c r="A528" s="3" t="s">
        <v>631</v>
      </c>
      <c r="B528" s="3">
        <v>1000.0</v>
      </c>
      <c r="C528" s="4"/>
      <c r="D528" s="4" t="b">
        <f t="shared" si="1"/>
        <v>0</v>
      </c>
      <c r="E528" s="4" t="s">
        <v>631</v>
      </c>
    </row>
    <row r="529">
      <c r="A529" s="3" t="s">
        <v>632</v>
      </c>
      <c r="B529" s="3">
        <v>0.0</v>
      </c>
      <c r="C529" s="3" t="s">
        <v>3</v>
      </c>
      <c r="D529" s="4" t="b">
        <f t="shared" si="1"/>
        <v>0</v>
      </c>
      <c r="E529" s="4" t="s">
        <v>632</v>
      </c>
    </row>
    <row r="530">
      <c r="A530" s="3" t="s">
        <v>633</v>
      </c>
      <c r="B530" s="3">
        <v>8500.0</v>
      </c>
      <c r="C530" s="3" t="s">
        <v>3</v>
      </c>
      <c r="D530" s="4" t="b">
        <f t="shared" si="1"/>
        <v>0</v>
      </c>
      <c r="E530" s="4" t="s">
        <v>633</v>
      </c>
    </row>
    <row r="531">
      <c r="A531" s="3" t="s">
        <v>635</v>
      </c>
      <c r="B531" s="3">
        <v>1000.0</v>
      </c>
      <c r="C531" s="3" t="s">
        <v>32</v>
      </c>
      <c r="D531" s="4" t="b">
        <f t="shared" si="1"/>
        <v>0</v>
      </c>
      <c r="E531" s="4" t="s">
        <v>635</v>
      </c>
    </row>
    <row r="532">
      <c r="A532" s="3" t="s">
        <v>636</v>
      </c>
      <c r="B532" s="3">
        <v>2500.0</v>
      </c>
      <c r="C532" s="3" t="s">
        <v>6</v>
      </c>
      <c r="D532" s="4" t="b">
        <f t="shared" si="1"/>
        <v>0</v>
      </c>
      <c r="E532" s="4" t="s">
        <v>636</v>
      </c>
    </row>
    <row r="533">
      <c r="A533" s="3" t="s">
        <v>637</v>
      </c>
      <c r="B533" s="3">
        <v>0.0</v>
      </c>
      <c r="C533" s="3" t="s">
        <v>37</v>
      </c>
      <c r="D533" s="4" t="b">
        <f t="shared" si="1"/>
        <v>0</v>
      </c>
      <c r="E533" s="4" t="s">
        <v>2191</v>
      </c>
    </row>
    <row r="534">
      <c r="A534" s="4"/>
      <c r="B534" s="4"/>
      <c r="C534" s="3" t="s">
        <v>38</v>
      </c>
      <c r="D534" s="4" t="b">
        <f t="shared" si="1"/>
        <v>1</v>
      </c>
      <c r="E534" s="4"/>
    </row>
    <row r="535">
      <c r="A535" s="3" t="s">
        <v>638</v>
      </c>
      <c r="B535" s="3">
        <v>0.0</v>
      </c>
      <c r="C535" s="3" t="s">
        <v>3</v>
      </c>
      <c r="D535" s="4" t="b">
        <f t="shared" si="1"/>
        <v>0</v>
      </c>
      <c r="E535" s="4" t="s">
        <v>638</v>
      </c>
    </row>
    <row r="536">
      <c r="A536" s="3" t="s">
        <v>639</v>
      </c>
      <c r="B536" s="3">
        <v>21600.0</v>
      </c>
      <c r="C536" s="3" t="s">
        <v>3</v>
      </c>
      <c r="D536" s="4" t="b">
        <f t="shared" si="1"/>
        <v>0</v>
      </c>
      <c r="E536" s="4" t="s">
        <v>639</v>
      </c>
    </row>
    <row r="537">
      <c r="A537" s="3" t="s">
        <v>641</v>
      </c>
      <c r="B537" s="3">
        <v>223734.0</v>
      </c>
      <c r="C537" s="3" t="s">
        <v>37</v>
      </c>
      <c r="D537" s="4" t="b">
        <f t="shared" si="1"/>
        <v>0</v>
      </c>
      <c r="E537" s="4" t="s">
        <v>2192</v>
      </c>
    </row>
    <row r="538">
      <c r="A538" s="4"/>
      <c r="B538" s="4"/>
      <c r="C538" s="3" t="s">
        <v>38</v>
      </c>
      <c r="D538" s="4" t="b">
        <f t="shared" si="1"/>
        <v>1</v>
      </c>
      <c r="E538" s="4"/>
    </row>
    <row r="539">
      <c r="A539" s="3" t="s">
        <v>643</v>
      </c>
      <c r="B539" s="3">
        <v>3000.0</v>
      </c>
      <c r="C539" s="3" t="s">
        <v>29</v>
      </c>
      <c r="D539" s="4" t="b">
        <f t="shared" si="1"/>
        <v>0</v>
      </c>
      <c r="E539" s="4" t="s">
        <v>643</v>
      </c>
    </row>
    <row r="540">
      <c r="A540" s="3" t="s">
        <v>644</v>
      </c>
      <c r="B540" s="3">
        <v>0.0</v>
      </c>
      <c r="C540" s="3" t="s">
        <v>3</v>
      </c>
      <c r="D540" s="4" t="b">
        <f t="shared" si="1"/>
        <v>0</v>
      </c>
      <c r="E540" s="4" t="s">
        <v>644</v>
      </c>
    </row>
    <row r="541">
      <c r="A541" s="3" t="s">
        <v>645</v>
      </c>
      <c r="B541" s="3">
        <v>30000.0</v>
      </c>
      <c r="C541" s="4"/>
      <c r="D541" s="4" t="b">
        <f t="shared" si="1"/>
        <v>0</v>
      </c>
      <c r="E541" s="4" t="s">
        <v>645</v>
      </c>
    </row>
    <row r="542">
      <c r="A542" s="3" t="s">
        <v>646</v>
      </c>
      <c r="B542" s="3">
        <v>198775.0</v>
      </c>
      <c r="C542" s="3" t="s">
        <v>6</v>
      </c>
      <c r="D542" s="4" t="b">
        <f t="shared" si="1"/>
        <v>0</v>
      </c>
      <c r="E542" s="4" t="s">
        <v>646</v>
      </c>
    </row>
    <row r="543">
      <c r="A543" s="3" t="s">
        <v>648</v>
      </c>
      <c r="B543" s="3">
        <v>339500.0</v>
      </c>
      <c r="C543" s="3" t="s">
        <v>16</v>
      </c>
      <c r="D543" s="4" t="b">
        <f t="shared" si="1"/>
        <v>0</v>
      </c>
      <c r="E543" s="4" t="s">
        <v>648</v>
      </c>
    </row>
    <row r="544">
      <c r="A544" s="3" t="s">
        <v>650</v>
      </c>
      <c r="B544" s="3">
        <v>1000.0</v>
      </c>
      <c r="C544" s="4"/>
      <c r="D544" s="4" t="b">
        <f t="shared" si="1"/>
        <v>0</v>
      </c>
      <c r="E544" s="4" t="s">
        <v>650</v>
      </c>
    </row>
    <row r="545">
      <c r="A545" s="3" t="s">
        <v>651</v>
      </c>
      <c r="B545" s="3">
        <v>0.0</v>
      </c>
      <c r="C545" s="3" t="s">
        <v>3</v>
      </c>
      <c r="D545" s="4" t="b">
        <f t="shared" si="1"/>
        <v>0</v>
      </c>
      <c r="E545" s="4" t="s">
        <v>651</v>
      </c>
    </row>
    <row r="546">
      <c r="A546" s="3" t="s">
        <v>652</v>
      </c>
      <c r="B546" s="3">
        <v>3700.0</v>
      </c>
      <c r="C546" s="3" t="s">
        <v>29</v>
      </c>
      <c r="D546" s="4" t="b">
        <f t="shared" si="1"/>
        <v>0</v>
      </c>
      <c r="E546" s="4" t="s">
        <v>652</v>
      </c>
    </row>
    <row r="547">
      <c r="A547" s="3" t="s">
        <v>654</v>
      </c>
      <c r="B547" s="3">
        <v>0.0</v>
      </c>
      <c r="C547" s="3" t="s">
        <v>29</v>
      </c>
      <c r="D547" s="4" t="b">
        <f t="shared" si="1"/>
        <v>0</v>
      </c>
      <c r="E547" s="4" t="s">
        <v>654</v>
      </c>
    </row>
    <row r="548">
      <c r="A548" s="3" t="s">
        <v>655</v>
      </c>
      <c r="B548" s="3">
        <v>80000.0</v>
      </c>
      <c r="C548" s="3" t="s">
        <v>29</v>
      </c>
      <c r="D548" s="4" t="b">
        <f t="shared" si="1"/>
        <v>0</v>
      </c>
      <c r="E548" s="4" t="s">
        <v>655</v>
      </c>
    </row>
    <row r="549">
      <c r="A549" s="3" t="s">
        <v>657</v>
      </c>
      <c r="B549" s="3">
        <v>0.0</v>
      </c>
      <c r="C549" s="3" t="s">
        <v>32</v>
      </c>
      <c r="D549" s="4" t="b">
        <f t="shared" si="1"/>
        <v>0</v>
      </c>
      <c r="E549" s="4" t="s">
        <v>2193</v>
      </c>
    </row>
    <row r="550">
      <c r="A550" s="3" t="s">
        <v>658</v>
      </c>
      <c r="B550" s="4"/>
      <c r="C550" s="4"/>
      <c r="D550" s="4" t="b">
        <f t="shared" si="1"/>
        <v>1</v>
      </c>
      <c r="E550" s="4" t="s">
        <v>658</v>
      </c>
    </row>
    <row r="551">
      <c r="A551" s="3" t="s">
        <v>659</v>
      </c>
      <c r="B551" s="3">
        <v>7000.0</v>
      </c>
      <c r="C551" s="3" t="s">
        <v>6</v>
      </c>
      <c r="D551" s="4" t="b">
        <f t="shared" si="1"/>
        <v>0</v>
      </c>
      <c r="E551" s="4" t="s">
        <v>659</v>
      </c>
    </row>
    <row r="552">
      <c r="A552" s="3" t="s">
        <v>660</v>
      </c>
      <c r="B552" s="3">
        <v>300.0</v>
      </c>
      <c r="C552" s="4"/>
      <c r="D552" s="4" t="b">
        <f t="shared" si="1"/>
        <v>0</v>
      </c>
      <c r="E552" s="4" t="s">
        <v>660</v>
      </c>
    </row>
    <row r="553">
      <c r="A553" s="3" t="s">
        <v>661</v>
      </c>
      <c r="B553" s="3">
        <v>0.0</v>
      </c>
      <c r="C553" s="3" t="s">
        <v>29</v>
      </c>
      <c r="D553" s="4" t="b">
        <f t="shared" si="1"/>
        <v>0</v>
      </c>
      <c r="E553" s="4" t="s">
        <v>661</v>
      </c>
    </row>
    <row r="554">
      <c r="A554" s="3" t="s">
        <v>662</v>
      </c>
      <c r="B554" s="3">
        <v>500.0</v>
      </c>
      <c r="C554" s="4"/>
      <c r="D554" s="4" t="b">
        <f t="shared" si="1"/>
        <v>0</v>
      </c>
      <c r="E554" s="4" t="s">
        <v>662</v>
      </c>
    </row>
    <row r="555">
      <c r="A555" s="3" t="s">
        <v>663</v>
      </c>
      <c r="B555" s="3">
        <v>14500.0</v>
      </c>
      <c r="C555" s="3" t="s">
        <v>176</v>
      </c>
      <c r="D555" s="4" t="b">
        <f t="shared" si="1"/>
        <v>0</v>
      </c>
      <c r="E555" s="4" t="s">
        <v>663</v>
      </c>
    </row>
    <row r="556">
      <c r="A556" s="3" t="s">
        <v>665</v>
      </c>
      <c r="B556" s="3">
        <v>600.0</v>
      </c>
      <c r="C556" s="3" t="s">
        <v>6</v>
      </c>
      <c r="D556" s="4" t="b">
        <f t="shared" si="1"/>
        <v>0</v>
      </c>
      <c r="E556" s="4" t="s">
        <v>665</v>
      </c>
    </row>
    <row r="557">
      <c r="A557" s="3" t="s">
        <v>666</v>
      </c>
      <c r="B557" s="3">
        <v>21000.0</v>
      </c>
      <c r="C557" s="4"/>
      <c r="D557" s="4" t="b">
        <f t="shared" si="1"/>
        <v>0</v>
      </c>
      <c r="E557" s="4" t="s">
        <v>666</v>
      </c>
    </row>
    <row r="558">
      <c r="A558" s="3" t="s">
        <v>667</v>
      </c>
      <c r="B558" s="3">
        <v>0.0</v>
      </c>
      <c r="C558" s="3" t="s">
        <v>668</v>
      </c>
      <c r="D558" s="4" t="b">
        <f t="shared" si="1"/>
        <v>0</v>
      </c>
      <c r="E558" s="4" t="s">
        <v>667</v>
      </c>
    </row>
    <row r="559">
      <c r="A559" s="3" t="s">
        <v>669</v>
      </c>
      <c r="B559" s="3">
        <v>28000.0</v>
      </c>
      <c r="C559" s="3" t="s">
        <v>3</v>
      </c>
      <c r="D559" s="4" t="b">
        <f t="shared" si="1"/>
        <v>0</v>
      </c>
      <c r="E559" s="4" t="s">
        <v>669</v>
      </c>
    </row>
    <row r="560">
      <c r="A560" s="3" t="s">
        <v>671</v>
      </c>
      <c r="B560" s="3">
        <v>0.0</v>
      </c>
      <c r="C560" s="3" t="s">
        <v>32</v>
      </c>
      <c r="D560" s="4" t="b">
        <f t="shared" si="1"/>
        <v>0</v>
      </c>
      <c r="E560" s="4" t="s">
        <v>671</v>
      </c>
    </row>
    <row r="561">
      <c r="A561" s="3" t="s">
        <v>672</v>
      </c>
      <c r="B561" s="3">
        <v>0.0</v>
      </c>
      <c r="C561" s="3" t="s">
        <v>3</v>
      </c>
      <c r="D561" s="4" t="b">
        <f t="shared" si="1"/>
        <v>0</v>
      </c>
      <c r="E561" s="4" t="s">
        <v>672</v>
      </c>
    </row>
    <row r="562">
      <c r="A562" s="3" t="s">
        <v>673</v>
      </c>
      <c r="B562" s="3">
        <v>0.0</v>
      </c>
      <c r="C562" s="3" t="s">
        <v>29</v>
      </c>
      <c r="D562" s="4" t="b">
        <f t="shared" si="1"/>
        <v>0</v>
      </c>
      <c r="E562" s="4" t="s">
        <v>673</v>
      </c>
    </row>
    <row r="563">
      <c r="A563" s="3" t="s">
        <v>674</v>
      </c>
      <c r="B563" s="3">
        <v>1000.0</v>
      </c>
      <c r="C563" s="3" t="s">
        <v>3</v>
      </c>
      <c r="D563" s="4" t="b">
        <f t="shared" si="1"/>
        <v>0</v>
      </c>
      <c r="E563" s="4" t="s">
        <v>674</v>
      </c>
    </row>
    <row r="564">
      <c r="A564" s="3" t="s">
        <v>675</v>
      </c>
      <c r="B564" s="3">
        <v>4000.0</v>
      </c>
      <c r="C564" s="3" t="s">
        <v>484</v>
      </c>
      <c r="D564" s="4" t="b">
        <f t="shared" si="1"/>
        <v>0</v>
      </c>
      <c r="E564" s="4" t="s">
        <v>675</v>
      </c>
    </row>
    <row r="565">
      <c r="A565" s="3" t="s">
        <v>676</v>
      </c>
      <c r="B565" s="3">
        <v>3200.0</v>
      </c>
      <c r="C565" s="3" t="s">
        <v>3</v>
      </c>
      <c r="D565" s="4" t="b">
        <f t="shared" si="1"/>
        <v>0</v>
      </c>
      <c r="E565" s="4" t="s">
        <v>676</v>
      </c>
    </row>
    <row r="566">
      <c r="A566" s="3" t="s">
        <v>677</v>
      </c>
      <c r="B566" s="3">
        <v>0.0</v>
      </c>
      <c r="C566" s="3" t="s">
        <v>3</v>
      </c>
      <c r="D566" s="4" t="b">
        <f t="shared" si="1"/>
        <v>0</v>
      </c>
      <c r="E566" s="4" t="s">
        <v>677</v>
      </c>
    </row>
    <row r="567">
      <c r="A567" s="3" t="s">
        <v>678</v>
      </c>
      <c r="B567" s="3">
        <v>0.0</v>
      </c>
      <c r="C567" s="3" t="s">
        <v>32</v>
      </c>
      <c r="D567" s="4" t="b">
        <f t="shared" si="1"/>
        <v>0</v>
      </c>
      <c r="E567" s="4" t="s">
        <v>678</v>
      </c>
    </row>
    <row r="568">
      <c r="A568" s="3" t="s">
        <v>679</v>
      </c>
      <c r="B568" s="3">
        <v>283000.0</v>
      </c>
      <c r="C568" s="4"/>
      <c r="D568" s="4" t="b">
        <f t="shared" si="1"/>
        <v>0</v>
      </c>
      <c r="E568" s="4" t="s">
        <v>679</v>
      </c>
    </row>
    <row r="569">
      <c r="A569" s="3" t="s">
        <v>681</v>
      </c>
      <c r="B569" s="3">
        <v>5000.0</v>
      </c>
      <c r="C569" s="4"/>
      <c r="D569" s="4" t="b">
        <f t="shared" si="1"/>
        <v>0</v>
      </c>
      <c r="E569" s="4" t="s">
        <v>681</v>
      </c>
    </row>
    <row r="570">
      <c r="A570" s="3" t="s">
        <v>682</v>
      </c>
      <c r="B570" s="3">
        <v>0.0</v>
      </c>
      <c r="C570" s="3" t="s">
        <v>26</v>
      </c>
      <c r="D570" s="4" t="b">
        <f t="shared" si="1"/>
        <v>0</v>
      </c>
      <c r="E570" s="4" t="s">
        <v>682</v>
      </c>
    </row>
    <row r="571">
      <c r="A571" s="3" t="s">
        <v>683</v>
      </c>
      <c r="B571" s="3">
        <v>11500.0</v>
      </c>
      <c r="C571" s="3" t="s">
        <v>29</v>
      </c>
      <c r="D571" s="4" t="b">
        <f t="shared" si="1"/>
        <v>0</v>
      </c>
      <c r="E571" s="4" t="s">
        <v>683</v>
      </c>
    </row>
    <row r="572">
      <c r="A572" s="3" t="s">
        <v>685</v>
      </c>
      <c r="B572" s="3">
        <v>0.0</v>
      </c>
      <c r="C572" s="3" t="s">
        <v>6</v>
      </c>
      <c r="D572" s="4" t="b">
        <f t="shared" si="1"/>
        <v>0</v>
      </c>
      <c r="E572" s="4" t="s">
        <v>685</v>
      </c>
    </row>
    <row r="573">
      <c r="A573" s="3" t="s">
        <v>686</v>
      </c>
      <c r="B573" s="3">
        <v>4000.0</v>
      </c>
      <c r="C573" s="3" t="s">
        <v>580</v>
      </c>
      <c r="D573" s="4" t="b">
        <f t="shared" si="1"/>
        <v>0</v>
      </c>
      <c r="E573" s="4" t="s">
        <v>2194</v>
      </c>
    </row>
    <row r="574">
      <c r="A574" s="4"/>
      <c r="B574" s="4"/>
      <c r="C574" s="3" t="s">
        <v>581</v>
      </c>
      <c r="D574" s="4" t="b">
        <f t="shared" si="1"/>
        <v>1</v>
      </c>
      <c r="E574" s="4"/>
    </row>
    <row r="575">
      <c r="A575" s="3" t="s">
        <v>687</v>
      </c>
      <c r="B575" s="3">
        <v>15000.0</v>
      </c>
      <c r="C575" s="3" t="s">
        <v>6</v>
      </c>
      <c r="D575" s="4" t="b">
        <f t="shared" si="1"/>
        <v>0</v>
      </c>
      <c r="E575" s="4" t="s">
        <v>687</v>
      </c>
    </row>
    <row r="576">
      <c r="A576" s="3" t="s">
        <v>688</v>
      </c>
      <c r="B576" s="3">
        <v>0.0</v>
      </c>
      <c r="C576" s="3" t="s">
        <v>6</v>
      </c>
      <c r="D576" s="4" t="b">
        <f t="shared" si="1"/>
        <v>0</v>
      </c>
      <c r="E576" s="4" t="s">
        <v>688</v>
      </c>
    </row>
    <row r="577">
      <c r="A577" s="3" t="s">
        <v>689</v>
      </c>
      <c r="B577" s="3">
        <v>800.0</v>
      </c>
      <c r="C577" s="3" t="s">
        <v>32</v>
      </c>
      <c r="D577" s="4" t="b">
        <f t="shared" si="1"/>
        <v>0</v>
      </c>
      <c r="E577" s="4" t="s">
        <v>689</v>
      </c>
    </row>
    <row r="578">
      <c r="A578" s="3" t="s">
        <v>690</v>
      </c>
      <c r="B578" s="3">
        <v>0.0</v>
      </c>
      <c r="C578" s="3" t="s">
        <v>29</v>
      </c>
      <c r="D578" s="4" t="b">
        <f t="shared" si="1"/>
        <v>0</v>
      </c>
      <c r="E578" s="4" t="s">
        <v>690</v>
      </c>
    </row>
    <row r="579">
      <c r="A579" s="3" t="s">
        <v>691</v>
      </c>
      <c r="B579" s="3">
        <v>400.0</v>
      </c>
      <c r="C579" s="3" t="s">
        <v>3</v>
      </c>
      <c r="D579" s="4" t="b">
        <f t="shared" si="1"/>
        <v>0</v>
      </c>
      <c r="E579" s="4" t="s">
        <v>2195</v>
      </c>
    </row>
    <row r="580">
      <c r="A580" s="3" t="s">
        <v>692</v>
      </c>
      <c r="B580" s="4"/>
      <c r="C580" s="4"/>
      <c r="D580" s="4" t="b">
        <f t="shared" si="1"/>
        <v>1</v>
      </c>
      <c r="E580" s="4" t="s">
        <v>692</v>
      </c>
    </row>
    <row r="581">
      <c r="A581" s="3" t="s">
        <v>693</v>
      </c>
      <c r="B581" s="3">
        <v>0.0</v>
      </c>
      <c r="C581" s="3" t="s">
        <v>3</v>
      </c>
      <c r="D581" s="4" t="b">
        <f t="shared" si="1"/>
        <v>0</v>
      </c>
      <c r="E581" s="4" t="s">
        <v>693</v>
      </c>
    </row>
    <row r="582">
      <c r="A582" s="3" t="s">
        <v>694</v>
      </c>
      <c r="B582" s="3">
        <v>0.0</v>
      </c>
      <c r="C582" s="3" t="s">
        <v>6</v>
      </c>
      <c r="D582" s="4" t="b">
        <f t="shared" si="1"/>
        <v>0</v>
      </c>
      <c r="E582" s="4" t="s">
        <v>694</v>
      </c>
    </row>
    <row r="583">
      <c r="A583" s="3" t="s">
        <v>695</v>
      </c>
      <c r="B583" s="3">
        <v>0.0</v>
      </c>
      <c r="C583" s="3" t="s">
        <v>3</v>
      </c>
      <c r="D583" s="4" t="b">
        <f t="shared" si="1"/>
        <v>0</v>
      </c>
      <c r="E583" s="4" t="s">
        <v>695</v>
      </c>
    </row>
    <row r="584">
      <c r="A584" s="3" t="s">
        <v>696</v>
      </c>
      <c r="B584" s="3">
        <v>0.0</v>
      </c>
      <c r="C584" s="3" t="s">
        <v>3</v>
      </c>
      <c r="D584" s="4" t="b">
        <f t="shared" si="1"/>
        <v>0</v>
      </c>
      <c r="E584" s="4" t="s">
        <v>696</v>
      </c>
    </row>
    <row r="585">
      <c r="A585" s="3" t="s">
        <v>697</v>
      </c>
      <c r="B585" s="3">
        <v>115000.0</v>
      </c>
      <c r="C585" s="4"/>
      <c r="D585" s="4" t="b">
        <f t="shared" si="1"/>
        <v>0</v>
      </c>
      <c r="E585" s="4" t="s">
        <v>697</v>
      </c>
    </row>
    <row r="586">
      <c r="A586" s="3" t="s">
        <v>699</v>
      </c>
      <c r="B586" s="3">
        <v>0.0</v>
      </c>
      <c r="C586" s="3" t="s">
        <v>3</v>
      </c>
      <c r="D586" s="4" t="b">
        <f t="shared" si="1"/>
        <v>0</v>
      </c>
      <c r="E586" s="4" t="s">
        <v>699</v>
      </c>
    </row>
    <row r="587">
      <c r="A587" s="3" t="s">
        <v>700</v>
      </c>
      <c r="B587" s="3">
        <v>1080.0</v>
      </c>
      <c r="C587" s="4"/>
      <c r="D587" s="4" t="b">
        <f t="shared" si="1"/>
        <v>0</v>
      </c>
      <c r="E587" s="4" t="s">
        <v>700</v>
      </c>
    </row>
    <row r="588">
      <c r="A588" s="3" t="s">
        <v>702</v>
      </c>
      <c r="B588" s="3">
        <v>7300.0</v>
      </c>
      <c r="C588" s="3" t="s">
        <v>32</v>
      </c>
      <c r="D588" s="4" t="b">
        <f t="shared" si="1"/>
        <v>0</v>
      </c>
      <c r="E588" s="4" t="s">
        <v>702</v>
      </c>
    </row>
    <row r="589">
      <c r="A589" s="3" t="s">
        <v>704</v>
      </c>
      <c r="B589" s="3">
        <v>2000.0</v>
      </c>
      <c r="C589" s="4"/>
      <c r="D589" s="4" t="b">
        <f t="shared" si="1"/>
        <v>0</v>
      </c>
      <c r="E589" s="4" t="s">
        <v>704</v>
      </c>
    </row>
    <row r="590">
      <c r="A590" s="3" t="s">
        <v>705</v>
      </c>
      <c r="B590" s="3">
        <v>900.0</v>
      </c>
      <c r="C590" s="4"/>
      <c r="D590" s="4" t="b">
        <f t="shared" si="1"/>
        <v>0</v>
      </c>
      <c r="E590" s="4" t="s">
        <v>705</v>
      </c>
    </row>
    <row r="591">
      <c r="A591" s="3" t="s">
        <v>707</v>
      </c>
      <c r="B591" s="3">
        <v>0.0</v>
      </c>
      <c r="C591" s="3" t="s">
        <v>3</v>
      </c>
      <c r="D591" s="4" t="b">
        <f t="shared" si="1"/>
        <v>0</v>
      </c>
      <c r="E591" s="4" t="s">
        <v>2196</v>
      </c>
    </row>
    <row r="592">
      <c r="A592" s="3" t="s">
        <v>708</v>
      </c>
      <c r="B592" s="4"/>
      <c r="C592" s="4"/>
      <c r="D592" s="4" t="b">
        <f t="shared" si="1"/>
        <v>1</v>
      </c>
      <c r="E592" s="4" t="s">
        <v>708</v>
      </c>
    </row>
    <row r="593">
      <c r="A593" s="3" t="s">
        <v>709</v>
      </c>
      <c r="B593" s="3">
        <v>0.0</v>
      </c>
      <c r="C593" s="3" t="s">
        <v>29</v>
      </c>
      <c r="D593" s="4" t="b">
        <f t="shared" si="1"/>
        <v>0</v>
      </c>
      <c r="E593" s="4" t="s">
        <v>709</v>
      </c>
    </row>
    <row r="594">
      <c r="A594" s="3" t="s">
        <v>710</v>
      </c>
      <c r="B594" s="3">
        <v>0.0</v>
      </c>
      <c r="C594" s="3" t="s">
        <v>6</v>
      </c>
      <c r="D594" s="4" t="b">
        <f t="shared" si="1"/>
        <v>0</v>
      </c>
      <c r="E594" s="4" t="s">
        <v>710</v>
      </c>
    </row>
    <row r="595">
      <c r="A595" s="3" t="s">
        <v>711</v>
      </c>
      <c r="B595" s="3">
        <v>0.0</v>
      </c>
      <c r="C595" s="3" t="s">
        <v>3</v>
      </c>
      <c r="D595" s="4" t="b">
        <f t="shared" si="1"/>
        <v>0</v>
      </c>
      <c r="E595" s="4" t="s">
        <v>711</v>
      </c>
    </row>
    <row r="596">
      <c r="A596" s="3" t="s">
        <v>712</v>
      </c>
      <c r="B596" s="3">
        <v>81568.0</v>
      </c>
      <c r="C596" s="4"/>
      <c r="D596" s="4" t="b">
        <f t="shared" si="1"/>
        <v>0</v>
      </c>
      <c r="E596" s="4" t="s">
        <v>712</v>
      </c>
    </row>
    <row r="597">
      <c r="A597" s="3" t="s">
        <v>714</v>
      </c>
      <c r="B597" s="3">
        <v>0.0</v>
      </c>
      <c r="C597" s="3" t="s">
        <v>6</v>
      </c>
      <c r="D597" s="4" t="b">
        <f t="shared" si="1"/>
        <v>0</v>
      </c>
      <c r="E597" s="4" t="s">
        <v>714</v>
      </c>
    </row>
    <row r="598">
      <c r="A598" s="3" t="s">
        <v>715</v>
      </c>
      <c r="B598" s="3">
        <v>15000.0</v>
      </c>
      <c r="C598" s="4"/>
      <c r="D598" s="4" t="b">
        <f t="shared" si="1"/>
        <v>0</v>
      </c>
      <c r="E598" s="4" t="s">
        <v>715</v>
      </c>
    </row>
    <row r="599">
      <c r="A599" s="3" t="s">
        <v>716</v>
      </c>
      <c r="B599" s="3">
        <v>3000.0</v>
      </c>
      <c r="C599" s="3" t="s">
        <v>32</v>
      </c>
      <c r="D599" s="4" t="b">
        <f t="shared" si="1"/>
        <v>0</v>
      </c>
      <c r="E599" s="4" t="s">
        <v>716</v>
      </c>
    </row>
    <row r="600">
      <c r="A600" s="3" t="s">
        <v>717</v>
      </c>
      <c r="B600" s="3">
        <v>5750.0</v>
      </c>
      <c r="C600" s="3" t="s">
        <v>3</v>
      </c>
      <c r="D600" s="4" t="b">
        <f t="shared" si="1"/>
        <v>0</v>
      </c>
      <c r="E600" s="4" t="s">
        <v>717</v>
      </c>
    </row>
    <row r="601">
      <c r="A601" s="3" t="s">
        <v>719</v>
      </c>
      <c r="B601" s="3">
        <v>0.0</v>
      </c>
      <c r="C601" s="3" t="s">
        <v>29</v>
      </c>
      <c r="D601" s="4" t="b">
        <f t="shared" si="1"/>
        <v>0</v>
      </c>
      <c r="E601" s="4" t="s">
        <v>719</v>
      </c>
    </row>
    <row r="602">
      <c r="A602" s="3" t="s">
        <v>720</v>
      </c>
      <c r="B602" s="3">
        <v>2000.0</v>
      </c>
      <c r="C602" s="4"/>
      <c r="D602" s="4" t="b">
        <f t="shared" si="1"/>
        <v>0</v>
      </c>
      <c r="E602" s="4" t="s">
        <v>720</v>
      </c>
    </row>
    <row r="603">
      <c r="A603" s="3" t="s">
        <v>721</v>
      </c>
      <c r="B603" s="3">
        <v>0.0</v>
      </c>
      <c r="C603" s="3" t="s">
        <v>3</v>
      </c>
      <c r="D603" s="4" t="b">
        <f t="shared" si="1"/>
        <v>0</v>
      </c>
      <c r="E603" s="4" t="s">
        <v>721</v>
      </c>
    </row>
    <row r="604">
      <c r="A604" s="3" t="s">
        <v>722</v>
      </c>
      <c r="B604" s="3">
        <v>11620.0</v>
      </c>
      <c r="C604" s="4"/>
      <c r="D604" s="4" t="b">
        <f t="shared" si="1"/>
        <v>0</v>
      </c>
      <c r="E604" s="4" t="s">
        <v>722</v>
      </c>
    </row>
    <row r="605">
      <c r="A605" s="3" t="s">
        <v>724</v>
      </c>
      <c r="B605" s="3">
        <v>0.0</v>
      </c>
      <c r="C605" s="3" t="s">
        <v>29</v>
      </c>
      <c r="D605" s="4" t="b">
        <f t="shared" si="1"/>
        <v>0</v>
      </c>
      <c r="E605" s="4" t="s">
        <v>724</v>
      </c>
    </row>
    <row r="606">
      <c r="A606" s="3" t="s">
        <v>725</v>
      </c>
      <c r="B606" s="3">
        <v>30000.0</v>
      </c>
      <c r="C606" s="3" t="s">
        <v>6</v>
      </c>
      <c r="D606" s="4" t="b">
        <f t="shared" si="1"/>
        <v>0</v>
      </c>
      <c r="E606" s="4" t="s">
        <v>725</v>
      </c>
    </row>
    <row r="607">
      <c r="A607" s="3" t="s">
        <v>726</v>
      </c>
      <c r="B607" s="3">
        <v>10000.0</v>
      </c>
      <c r="C607" s="3" t="s">
        <v>3</v>
      </c>
      <c r="D607" s="4" t="b">
        <f t="shared" si="1"/>
        <v>0</v>
      </c>
      <c r="E607" s="4" t="s">
        <v>2197</v>
      </c>
    </row>
    <row r="608">
      <c r="A608" s="3" t="s">
        <v>727</v>
      </c>
      <c r="B608" s="4"/>
      <c r="C608" s="4"/>
      <c r="D608" s="4" t="b">
        <f t="shared" si="1"/>
        <v>1</v>
      </c>
      <c r="E608" s="4" t="s">
        <v>727</v>
      </c>
    </row>
    <row r="609">
      <c r="A609" s="3" t="s">
        <v>728</v>
      </c>
      <c r="B609" s="3">
        <v>0.0</v>
      </c>
      <c r="C609" s="3" t="s">
        <v>3</v>
      </c>
      <c r="D609" s="4" t="b">
        <f t="shared" si="1"/>
        <v>0</v>
      </c>
      <c r="E609" s="4" t="s">
        <v>728</v>
      </c>
    </row>
    <row r="610">
      <c r="A610" s="3" t="s">
        <v>729</v>
      </c>
      <c r="B610" s="3">
        <v>49000.0</v>
      </c>
      <c r="C610" s="3" t="s">
        <v>32</v>
      </c>
      <c r="D610" s="4" t="b">
        <f t="shared" si="1"/>
        <v>0</v>
      </c>
      <c r="E610" s="4" t="s">
        <v>729</v>
      </c>
    </row>
    <row r="611">
      <c r="A611" s="3" t="s">
        <v>731</v>
      </c>
      <c r="B611" s="3">
        <v>0.0</v>
      </c>
      <c r="C611" s="3" t="s">
        <v>3</v>
      </c>
      <c r="D611" s="4" t="b">
        <f t="shared" si="1"/>
        <v>0</v>
      </c>
      <c r="E611" s="4" t="s">
        <v>731</v>
      </c>
    </row>
    <row r="612">
      <c r="A612" s="3" t="s">
        <v>732</v>
      </c>
      <c r="B612" s="3">
        <v>7000.0</v>
      </c>
      <c r="C612" s="4"/>
      <c r="D612" s="4" t="b">
        <f t="shared" si="1"/>
        <v>0</v>
      </c>
      <c r="E612" s="4" t="s">
        <v>2198</v>
      </c>
    </row>
    <row r="613">
      <c r="A613" s="3" t="s">
        <v>733</v>
      </c>
      <c r="B613" s="4"/>
      <c r="C613" s="4"/>
      <c r="D613" s="4" t="b">
        <f t="shared" si="1"/>
        <v>1</v>
      </c>
      <c r="E613" s="4" t="s">
        <v>733</v>
      </c>
    </row>
    <row r="614">
      <c r="A614" s="3" t="s">
        <v>734</v>
      </c>
      <c r="B614" s="3">
        <v>0.0</v>
      </c>
      <c r="C614" s="3" t="s">
        <v>3</v>
      </c>
      <c r="D614" s="4" t="b">
        <f t="shared" si="1"/>
        <v>0</v>
      </c>
      <c r="E614" s="4" t="s">
        <v>2199</v>
      </c>
    </row>
    <row r="615">
      <c r="A615" s="3" t="s">
        <v>735</v>
      </c>
      <c r="B615" s="4"/>
      <c r="C615" s="4"/>
      <c r="D615" s="4" t="b">
        <f t="shared" si="1"/>
        <v>1</v>
      </c>
      <c r="E615" s="4" t="s">
        <v>735</v>
      </c>
    </row>
    <row r="616">
      <c r="A616" s="3" t="s">
        <v>736</v>
      </c>
      <c r="B616" s="3">
        <v>0.0</v>
      </c>
      <c r="C616" s="3" t="s">
        <v>3</v>
      </c>
      <c r="D616" s="4" t="b">
        <f t="shared" si="1"/>
        <v>0</v>
      </c>
      <c r="E616" s="4" t="s">
        <v>736</v>
      </c>
    </row>
    <row r="617">
      <c r="A617" s="3" t="s">
        <v>737</v>
      </c>
      <c r="B617" s="3">
        <v>11500.0</v>
      </c>
      <c r="C617" s="3" t="s">
        <v>3</v>
      </c>
      <c r="D617" s="4" t="b">
        <f t="shared" si="1"/>
        <v>0</v>
      </c>
      <c r="E617" s="4" t="s">
        <v>2200</v>
      </c>
    </row>
    <row r="618">
      <c r="A618" s="3" t="s">
        <v>738</v>
      </c>
      <c r="B618" s="4"/>
      <c r="C618" s="4"/>
      <c r="D618" s="4" t="b">
        <f t="shared" si="1"/>
        <v>1</v>
      </c>
      <c r="E618" s="4" t="s">
        <v>738</v>
      </c>
    </row>
    <row r="619">
      <c r="A619" s="3" t="s">
        <v>739</v>
      </c>
      <c r="B619" s="3">
        <v>0.0</v>
      </c>
      <c r="C619" s="3" t="s">
        <v>3</v>
      </c>
      <c r="D619" s="4" t="b">
        <f t="shared" si="1"/>
        <v>0</v>
      </c>
      <c r="E619" s="4" t="s">
        <v>2201</v>
      </c>
    </row>
    <row r="620">
      <c r="A620" s="3" t="s">
        <v>740</v>
      </c>
      <c r="B620" s="4"/>
      <c r="C620" s="4"/>
      <c r="D620" s="4" t="b">
        <f t="shared" si="1"/>
        <v>1</v>
      </c>
      <c r="E620" s="4" t="s">
        <v>740</v>
      </c>
    </row>
    <row r="621">
      <c r="A621" s="3" t="s">
        <v>741</v>
      </c>
      <c r="B621" s="3">
        <v>1300.0</v>
      </c>
      <c r="C621" s="3" t="s">
        <v>3</v>
      </c>
      <c r="D621" s="4" t="b">
        <f t="shared" si="1"/>
        <v>0</v>
      </c>
      <c r="E621" s="4" t="s">
        <v>2202</v>
      </c>
    </row>
    <row r="622">
      <c r="A622" s="3" t="s">
        <v>743</v>
      </c>
      <c r="B622" s="4"/>
      <c r="C622" s="4"/>
      <c r="D622" s="4" t="b">
        <f t="shared" si="1"/>
        <v>1</v>
      </c>
      <c r="E622" s="4" t="s">
        <v>743</v>
      </c>
    </row>
    <row r="623">
      <c r="A623" s="3" t="s">
        <v>744</v>
      </c>
      <c r="B623" s="3">
        <v>0.0</v>
      </c>
      <c r="C623" s="3" t="s">
        <v>3</v>
      </c>
      <c r="D623" s="4" t="b">
        <f t="shared" si="1"/>
        <v>0</v>
      </c>
      <c r="E623" s="4" t="s">
        <v>744</v>
      </c>
    </row>
    <row r="624">
      <c r="A624" s="3" t="s">
        <v>745</v>
      </c>
      <c r="B624" s="3">
        <v>8200.0</v>
      </c>
      <c r="C624" s="3" t="s">
        <v>3</v>
      </c>
      <c r="D624" s="4" t="b">
        <f t="shared" si="1"/>
        <v>0</v>
      </c>
      <c r="E624" s="4" t="s">
        <v>745</v>
      </c>
    </row>
    <row r="625">
      <c r="A625" s="3" t="s">
        <v>747</v>
      </c>
      <c r="B625" s="3">
        <v>0.0</v>
      </c>
      <c r="C625" s="3" t="s">
        <v>3</v>
      </c>
      <c r="D625" s="4" t="b">
        <f t="shared" si="1"/>
        <v>0</v>
      </c>
      <c r="E625" s="4" t="s">
        <v>747</v>
      </c>
    </row>
    <row r="626">
      <c r="A626" s="3" t="s">
        <v>748</v>
      </c>
      <c r="B626" s="3">
        <v>0.0</v>
      </c>
      <c r="C626" s="3" t="s">
        <v>32</v>
      </c>
      <c r="D626" s="4" t="b">
        <f t="shared" si="1"/>
        <v>0</v>
      </c>
      <c r="E626" s="4" t="s">
        <v>748</v>
      </c>
    </row>
    <row r="627">
      <c r="A627" s="3" t="s">
        <v>749</v>
      </c>
      <c r="B627" s="3">
        <v>0.0</v>
      </c>
      <c r="C627" s="3" t="s">
        <v>6</v>
      </c>
      <c r="D627" s="4" t="b">
        <f t="shared" si="1"/>
        <v>0</v>
      </c>
      <c r="E627" s="4" t="s">
        <v>749</v>
      </c>
    </row>
    <row r="628">
      <c r="A628" s="3" t="s">
        <v>750</v>
      </c>
      <c r="B628" s="3">
        <v>1000.0</v>
      </c>
      <c r="C628" s="4"/>
      <c r="D628" s="4" t="b">
        <f t="shared" si="1"/>
        <v>0</v>
      </c>
      <c r="E628" s="4" t="s">
        <v>750</v>
      </c>
    </row>
    <row r="629">
      <c r="A629" s="3" t="s">
        <v>751</v>
      </c>
      <c r="B629" s="3">
        <v>20500.0</v>
      </c>
      <c r="C629" s="3" t="s">
        <v>280</v>
      </c>
      <c r="D629" s="4" t="b">
        <f t="shared" si="1"/>
        <v>0</v>
      </c>
      <c r="E629" s="4" t="s">
        <v>751</v>
      </c>
    </row>
    <row r="630">
      <c r="A630" s="3" t="s">
        <v>753</v>
      </c>
      <c r="B630" s="3">
        <v>0.0</v>
      </c>
      <c r="C630" s="3" t="s">
        <v>3</v>
      </c>
      <c r="D630" s="4" t="b">
        <f t="shared" si="1"/>
        <v>0</v>
      </c>
      <c r="E630" s="4" t="s">
        <v>2203</v>
      </c>
    </row>
    <row r="631">
      <c r="A631" s="3" t="s">
        <v>754</v>
      </c>
      <c r="B631" s="4"/>
      <c r="C631" s="4"/>
      <c r="D631" s="4" t="b">
        <f t="shared" si="1"/>
        <v>1</v>
      </c>
      <c r="E631" s="4" t="s">
        <v>754</v>
      </c>
    </row>
    <row r="632">
      <c r="A632" s="3" t="s">
        <v>755</v>
      </c>
      <c r="B632" s="3">
        <v>7000.0</v>
      </c>
      <c r="C632" s="3" t="s">
        <v>3</v>
      </c>
      <c r="D632" s="4" t="b">
        <f t="shared" si="1"/>
        <v>0</v>
      </c>
      <c r="E632" s="4" t="s">
        <v>755</v>
      </c>
    </row>
    <row r="633">
      <c r="A633" s="3" t="s">
        <v>756</v>
      </c>
      <c r="B633" s="3">
        <v>10000.0</v>
      </c>
      <c r="C633" s="4"/>
      <c r="D633" s="4" t="b">
        <f t="shared" si="1"/>
        <v>0</v>
      </c>
      <c r="E633" s="4" t="s">
        <v>756</v>
      </c>
    </row>
    <row r="634">
      <c r="A634" s="3" t="s">
        <v>757</v>
      </c>
      <c r="B634" s="3">
        <v>14800.0</v>
      </c>
      <c r="C634" s="4"/>
      <c r="D634" s="4" t="b">
        <f t="shared" si="1"/>
        <v>0</v>
      </c>
      <c r="E634" s="4" t="s">
        <v>757</v>
      </c>
    </row>
    <row r="635">
      <c r="A635" s="3" t="s">
        <v>759</v>
      </c>
      <c r="B635" s="3">
        <v>461165.0</v>
      </c>
      <c r="C635" s="3" t="s">
        <v>37</v>
      </c>
      <c r="D635" s="4" t="b">
        <f t="shared" si="1"/>
        <v>0</v>
      </c>
      <c r="E635" s="4" t="s">
        <v>2204</v>
      </c>
    </row>
    <row r="636">
      <c r="A636" s="4"/>
      <c r="B636" s="4"/>
      <c r="C636" s="3" t="s">
        <v>38</v>
      </c>
      <c r="D636" s="4" t="b">
        <f t="shared" si="1"/>
        <v>1</v>
      </c>
      <c r="E636" s="4"/>
    </row>
    <row r="637">
      <c r="A637" s="3" t="s">
        <v>761</v>
      </c>
      <c r="B637" s="3">
        <v>2500.0</v>
      </c>
      <c r="C637" s="4"/>
      <c r="D637" s="4" t="b">
        <f t="shared" si="1"/>
        <v>0</v>
      </c>
      <c r="E637" s="4" t="s">
        <v>761</v>
      </c>
    </row>
    <row r="638">
      <c r="A638" s="3" t="s">
        <v>762</v>
      </c>
      <c r="B638" s="3">
        <v>0.0</v>
      </c>
      <c r="C638" s="3" t="s">
        <v>3</v>
      </c>
      <c r="D638" s="4" t="b">
        <f t="shared" si="1"/>
        <v>0</v>
      </c>
      <c r="E638" s="4" t="s">
        <v>762</v>
      </c>
    </row>
    <row r="639">
      <c r="A639" s="3" t="s">
        <v>763</v>
      </c>
      <c r="B639" s="3">
        <v>0.0</v>
      </c>
      <c r="C639" s="3" t="s">
        <v>3</v>
      </c>
      <c r="D639" s="4" t="b">
        <f t="shared" si="1"/>
        <v>0</v>
      </c>
      <c r="E639" s="4" t="s">
        <v>763</v>
      </c>
    </row>
    <row r="640">
      <c r="A640" s="3" t="s">
        <v>764</v>
      </c>
      <c r="B640" s="3">
        <v>150.0</v>
      </c>
      <c r="C640" s="3" t="s">
        <v>3</v>
      </c>
      <c r="D640" s="4" t="b">
        <f t="shared" si="1"/>
        <v>0</v>
      </c>
      <c r="E640" s="4" t="s">
        <v>764</v>
      </c>
    </row>
    <row r="641">
      <c r="A641" s="3" t="s">
        <v>766</v>
      </c>
      <c r="B641" s="3">
        <v>0.0</v>
      </c>
      <c r="C641" s="3" t="s">
        <v>3</v>
      </c>
      <c r="D641" s="4" t="b">
        <f t="shared" si="1"/>
        <v>0</v>
      </c>
      <c r="E641" s="4" t="s">
        <v>766</v>
      </c>
    </row>
    <row r="642">
      <c r="A642" s="3" t="s">
        <v>767</v>
      </c>
      <c r="B642" s="3">
        <v>0.0</v>
      </c>
      <c r="C642" s="3" t="s">
        <v>3</v>
      </c>
      <c r="D642" s="4" t="b">
        <f t="shared" si="1"/>
        <v>0</v>
      </c>
      <c r="E642" s="4" t="s">
        <v>767</v>
      </c>
    </row>
    <row r="643">
      <c r="A643" s="3" t="s">
        <v>768</v>
      </c>
      <c r="B643" s="3">
        <v>0.0</v>
      </c>
      <c r="C643" s="3" t="s">
        <v>3</v>
      </c>
      <c r="D643" s="4" t="b">
        <f t="shared" si="1"/>
        <v>0</v>
      </c>
      <c r="E643" s="4" t="s">
        <v>768</v>
      </c>
    </row>
    <row r="644">
      <c r="A644" s="3" t="s">
        <v>769</v>
      </c>
      <c r="B644" s="3">
        <v>0.0</v>
      </c>
      <c r="C644" s="3" t="s">
        <v>3</v>
      </c>
      <c r="D644" s="4" t="b">
        <f t="shared" si="1"/>
        <v>0</v>
      </c>
      <c r="E644" s="4" t="s">
        <v>769</v>
      </c>
    </row>
    <row r="645">
      <c r="A645" s="3" t="s">
        <v>770</v>
      </c>
      <c r="B645" s="3">
        <v>0.0</v>
      </c>
      <c r="C645" s="3" t="s">
        <v>3</v>
      </c>
      <c r="D645" s="4" t="b">
        <f t="shared" si="1"/>
        <v>0</v>
      </c>
      <c r="E645" s="4" t="s">
        <v>770</v>
      </c>
    </row>
    <row r="646">
      <c r="A646" s="3" t="s">
        <v>771</v>
      </c>
      <c r="B646" s="3">
        <v>0.0</v>
      </c>
      <c r="C646" s="3" t="s">
        <v>3</v>
      </c>
      <c r="D646" s="4" t="b">
        <f t="shared" si="1"/>
        <v>0</v>
      </c>
      <c r="E646" s="4" t="s">
        <v>771</v>
      </c>
    </row>
    <row r="647">
      <c r="A647" s="3" t="s">
        <v>772</v>
      </c>
      <c r="B647" s="3">
        <v>0.0</v>
      </c>
      <c r="C647" s="3" t="s">
        <v>3</v>
      </c>
      <c r="D647" s="4" t="b">
        <f t="shared" si="1"/>
        <v>0</v>
      </c>
      <c r="E647" s="4" t="s">
        <v>772</v>
      </c>
    </row>
    <row r="648">
      <c r="A648" s="3" t="s">
        <v>773</v>
      </c>
      <c r="B648" s="3">
        <v>0.0</v>
      </c>
      <c r="C648" s="3" t="s">
        <v>3</v>
      </c>
      <c r="D648" s="4" t="b">
        <f t="shared" si="1"/>
        <v>0</v>
      </c>
      <c r="E648" s="4" t="s">
        <v>773</v>
      </c>
    </row>
    <row r="649">
      <c r="A649" s="3" t="s">
        <v>774</v>
      </c>
      <c r="B649" s="3">
        <v>57500.0</v>
      </c>
      <c r="C649" s="3" t="s">
        <v>280</v>
      </c>
      <c r="D649" s="4" t="b">
        <f t="shared" si="1"/>
        <v>0</v>
      </c>
      <c r="E649" s="4" t="s">
        <v>774</v>
      </c>
    </row>
    <row r="650">
      <c r="A650" s="3" t="s">
        <v>776</v>
      </c>
      <c r="B650" s="3">
        <v>0.0</v>
      </c>
      <c r="C650" s="3" t="s">
        <v>3</v>
      </c>
      <c r="D650" s="4" t="b">
        <f t="shared" si="1"/>
        <v>0</v>
      </c>
      <c r="E650" s="4" t="s">
        <v>2205</v>
      </c>
    </row>
    <row r="651">
      <c r="A651" s="3" t="s">
        <v>777</v>
      </c>
      <c r="B651" s="4"/>
      <c r="C651" s="4"/>
      <c r="D651" s="4" t="b">
        <f t="shared" si="1"/>
        <v>1</v>
      </c>
      <c r="E651" s="4" t="s">
        <v>777</v>
      </c>
    </row>
    <row r="652">
      <c r="A652" s="3" t="s">
        <v>778</v>
      </c>
      <c r="B652" s="3">
        <v>800.0</v>
      </c>
      <c r="C652" s="3" t="s">
        <v>32</v>
      </c>
      <c r="D652" s="4" t="b">
        <f t="shared" si="1"/>
        <v>0</v>
      </c>
      <c r="E652" s="4" t="s">
        <v>778</v>
      </c>
    </row>
    <row r="653">
      <c r="A653" s="3" t="s">
        <v>779</v>
      </c>
      <c r="B653" s="3">
        <v>800.0</v>
      </c>
      <c r="C653" s="4"/>
      <c r="D653" s="4" t="b">
        <f t="shared" si="1"/>
        <v>0</v>
      </c>
      <c r="E653" s="4" t="s">
        <v>779</v>
      </c>
    </row>
    <row r="654">
      <c r="A654" s="3" t="s">
        <v>780</v>
      </c>
      <c r="B654" s="3">
        <v>2000.0</v>
      </c>
      <c r="C654" s="4"/>
      <c r="D654" s="4" t="b">
        <f t="shared" si="1"/>
        <v>0</v>
      </c>
      <c r="E654" s="4" t="s">
        <v>780</v>
      </c>
    </row>
    <row r="655">
      <c r="A655" s="3" t="s">
        <v>781</v>
      </c>
      <c r="B655" s="3">
        <v>0.0</v>
      </c>
      <c r="C655" s="3" t="s">
        <v>6</v>
      </c>
      <c r="D655" s="4" t="b">
        <f t="shared" si="1"/>
        <v>0</v>
      </c>
      <c r="E655" s="4" t="s">
        <v>781</v>
      </c>
    </row>
    <row r="656">
      <c r="A656" s="3" t="s">
        <v>782</v>
      </c>
      <c r="B656" s="3">
        <v>0.0</v>
      </c>
      <c r="C656" s="3" t="s">
        <v>3</v>
      </c>
      <c r="D656" s="4" t="b">
        <f t="shared" si="1"/>
        <v>0</v>
      </c>
      <c r="E656" s="4" t="s">
        <v>782</v>
      </c>
    </row>
    <row r="657">
      <c r="A657" s="3" t="s">
        <v>783</v>
      </c>
      <c r="B657" s="3">
        <v>0.0</v>
      </c>
      <c r="C657" s="3" t="s">
        <v>29</v>
      </c>
      <c r="D657" s="4" t="b">
        <f t="shared" si="1"/>
        <v>0</v>
      </c>
      <c r="E657" s="4" t="s">
        <v>783</v>
      </c>
    </row>
    <row r="658">
      <c r="A658" s="3" t="s">
        <v>784</v>
      </c>
      <c r="B658" s="3">
        <v>1500.0</v>
      </c>
      <c r="C658" s="4"/>
      <c r="D658" s="4" t="b">
        <f t="shared" si="1"/>
        <v>0</v>
      </c>
      <c r="E658" s="4" t="s">
        <v>784</v>
      </c>
    </row>
    <row r="659">
      <c r="A659" s="3" t="s">
        <v>785</v>
      </c>
      <c r="B659" s="3">
        <v>3000.0</v>
      </c>
      <c r="C659" s="4"/>
      <c r="D659" s="4" t="b">
        <f t="shared" si="1"/>
        <v>0</v>
      </c>
      <c r="E659" s="4" t="s">
        <v>785</v>
      </c>
    </row>
    <row r="660">
      <c r="A660" s="3" t="s">
        <v>786</v>
      </c>
      <c r="B660" s="3">
        <v>32500.0</v>
      </c>
      <c r="C660" s="4"/>
      <c r="D660" s="4" t="b">
        <f t="shared" si="1"/>
        <v>0</v>
      </c>
      <c r="E660" s="4" t="s">
        <v>786</v>
      </c>
    </row>
    <row r="661">
      <c r="A661" s="3" t="s">
        <v>788</v>
      </c>
      <c r="B661" s="3">
        <v>3000.0</v>
      </c>
      <c r="C661" s="3" t="s">
        <v>3</v>
      </c>
      <c r="D661" s="4" t="b">
        <f t="shared" si="1"/>
        <v>0</v>
      </c>
      <c r="E661" s="4" t="s">
        <v>788</v>
      </c>
    </row>
    <row r="662">
      <c r="A662" s="3" t="s">
        <v>789</v>
      </c>
      <c r="B662" s="3">
        <v>0.0</v>
      </c>
      <c r="C662" s="3" t="s">
        <v>3</v>
      </c>
      <c r="D662" s="4" t="b">
        <f t="shared" si="1"/>
        <v>0</v>
      </c>
      <c r="E662" s="4" t="s">
        <v>789</v>
      </c>
    </row>
    <row r="663">
      <c r="A663" s="3" t="s">
        <v>790</v>
      </c>
      <c r="B663" s="3">
        <v>19000.0</v>
      </c>
      <c r="C663" s="4"/>
      <c r="D663" s="4" t="b">
        <f t="shared" si="1"/>
        <v>0</v>
      </c>
      <c r="E663" s="4" t="s">
        <v>790</v>
      </c>
    </row>
    <row r="664">
      <c r="A664" s="3" t="s">
        <v>791</v>
      </c>
      <c r="B664" s="3">
        <v>0.0</v>
      </c>
      <c r="C664" s="3" t="s">
        <v>3</v>
      </c>
      <c r="D664" s="4" t="b">
        <f t="shared" si="1"/>
        <v>0</v>
      </c>
      <c r="E664" s="4" t="s">
        <v>791</v>
      </c>
    </row>
    <row r="665">
      <c r="A665" s="3" t="s">
        <v>792</v>
      </c>
      <c r="B665" s="3">
        <v>0.0</v>
      </c>
      <c r="C665" s="3" t="s">
        <v>3</v>
      </c>
      <c r="D665" s="4" t="b">
        <f t="shared" si="1"/>
        <v>0</v>
      </c>
      <c r="E665" s="4" t="s">
        <v>792</v>
      </c>
    </row>
    <row r="666">
      <c r="A666" s="3" t="s">
        <v>793</v>
      </c>
      <c r="B666" s="3">
        <v>6000.0</v>
      </c>
      <c r="C666" s="4"/>
      <c r="D666" s="4" t="b">
        <f t="shared" si="1"/>
        <v>0</v>
      </c>
      <c r="E666" s="4" t="s">
        <v>793</v>
      </c>
    </row>
    <row r="667">
      <c r="A667" s="3" t="s">
        <v>794</v>
      </c>
      <c r="B667" s="3">
        <v>0.0</v>
      </c>
      <c r="C667" s="3" t="s">
        <v>3</v>
      </c>
      <c r="D667" s="4" t="b">
        <f t="shared" si="1"/>
        <v>0</v>
      </c>
      <c r="E667" s="4" t="s">
        <v>794</v>
      </c>
    </row>
    <row r="668">
      <c r="A668" s="3" t="s">
        <v>795</v>
      </c>
      <c r="B668" s="3">
        <v>0.0</v>
      </c>
      <c r="C668" s="3" t="s">
        <v>3</v>
      </c>
      <c r="D668" s="4" t="b">
        <f t="shared" si="1"/>
        <v>0</v>
      </c>
      <c r="E668" s="4" t="s">
        <v>795</v>
      </c>
    </row>
    <row r="669">
      <c r="A669" s="3" t="s">
        <v>796</v>
      </c>
      <c r="B669" s="3">
        <v>0.0</v>
      </c>
      <c r="C669" s="3" t="s">
        <v>3</v>
      </c>
      <c r="D669" s="4" t="b">
        <f t="shared" si="1"/>
        <v>0</v>
      </c>
      <c r="E669" s="4" t="s">
        <v>796</v>
      </c>
    </row>
    <row r="670">
      <c r="A670" s="3" t="s">
        <v>797</v>
      </c>
      <c r="B670" s="3">
        <v>3000.0</v>
      </c>
      <c r="C670" s="3" t="s">
        <v>32</v>
      </c>
      <c r="D670" s="4" t="b">
        <f t="shared" si="1"/>
        <v>0</v>
      </c>
      <c r="E670" s="4" t="s">
        <v>797</v>
      </c>
    </row>
    <row r="671">
      <c r="A671" s="3" t="s">
        <v>798</v>
      </c>
      <c r="B671" s="3">
        <v>0.0</v>
      </c>
      <c r="C671" s="3" t="s">
        <v>29</v>
      </c>
      <c r="D671" s="4" t="b">
        <f t="shared" si="1"/>
        <v>0</v>
      </c>
      <c r="E671" s="4" t="s">
        <v>798</v>
      </c>
    </row>
    <row r="672">
      <c r="A672" s="3" t="s">
        <v>799</v>
      </c>
      <c r="B672" s="3">
        <v>0.0</v>
      </c>
      <c r="C672" s="3" t="s">
        <v>29</v>
      </c>
      <c r="D672" s="4" t="b">
        <f t="shared" si="1"/>
        <v>0</v>
      </c>
      <c r="E672" s="4" t="s">
        <v>799</v>
      </c>
    </row>
    <row r="673">
      <c r="A673" s="3" t="s">
        <v>800</v>
      </c>
      <c r="B673" s="3">
        <v>243834.0</v>
      </c>
      <c r="C673" s="3" t="s">
        <v>37</v>
      </c>
      <c r="D673" s="4" t="b">
        <f t="shared" si="1"/>
        <v>0</v>
      </c>
      <c r="E673" s="4" t="s">
        <v>2206</v>
      </c>
    </row>
    <row r="674">
      <c r="A674" s="4"/>
      <c r="B674" s="4"/>
      <c r="C674" s="3" t="s">
        <v>38</v>
      </c>
      <c r="D674" s="4" t="b">
        <f t="shared" si="1"/>
        <v>1</v>
      </c>
      <c r="E674" s="4"/>
    </row>
    <row r="675">
      <c r="A675" s="3" t="s">
        <v>802</v>
      </c>
      <c r="B675" s="3">
        <v>0.0</v>
      </c>
      <c r="C675" s="3" t="s">
        <v>3</v>
      </c>
      <c r="D675" s="4" t="b">
        <f t="shared" si="1"/>
        <v>0</v>
      </c>
      <c r="E675" s="4" t="s">
        <v>802</v>
      </c>
    </row>
    <row r="676">
      <c r="A676" s="3" t="s">
        <v>803</v>
      </c>
      <c r="B676" s="3">
        <v>0.0</v>
      </c>
      <c r="C676" s="3" t="s">
        <v>3</v>
      </c>
      <c r="D676" s="4" t="b">
        <f t="shared" si="1"/>
        <v>0</v>
      </c>
      <c r="E676" s="4" t="s">
        <v>803</v>
      </c>
    </row>
    <row r="677">
      <c r="A677" s="3" t="s">
        <v>804</v>
      </c>
      <c r="B677" s="3">
        <v>0.0</v>
      </c>
      <c r="C677" s="3" t="s">
        <v>32</v>
      </c>
      <c r="D677" s="4" t="b">
        <f t="shared" si="1"/>
        <v>0</v>
      </c>
      <c r="E677" s="4" t="s">
        <v>804</v>
      </c>
    </row>
    <row r="678">
      <c r="A678" s="3" t="s">
        <v>805</v>
      </c>
      <c r="B678" s="3">
        <v>0.0</v>
      </c>
      <c r="C678" s="3" t="s">
        <v>6</v>
      </c>
      <c r="D678" s="4" t="b">
        <f t="shared" si="1"/>
        <v>0</v>
      </c>
      <c r="E678" s="4" t="s">
        <v>805</v>
      </c>
    </row>
    <row r="679">
      <c r="A679" s="3" t="s">
        <v>806</v>
      </c>
      <c r="B679" s="3">
        <v>1500.0</v>
      </c>
      <c r="C679" s="4"/>
      <c r="D679" s="4" t="b">
        <f t="shared" si="1"/>
        <v>0</v>
      </c>
      <c r="E679" s="4" t="s">
        <v>806</v>
      </c>
    </row>
    <row r="680">
      <c r="A680" s="3" t="s">
        <v>807</v>
      </c>
      <c r="B680" s="3">
        <v>0.0</v>
      </c>
      <c r="C680" s="3" t="s">
        <v>484</v>
      </c>
      <c r="D680" s="4" t="b">
        <f t="shared" si="1"/>
        <v>0</v>
      </c>
      <c r="E680" s="4" t="s">
        <v>807</v>
      </c>
    </row>
    <row r="681">
      <c r="A681" s="3" t="s">
        <v>808</v>
      </c>
      <c r="B681" s="3">
        <v>0.0</v>
      </c>
      <c r="C681" s="3" t="s">
        <v>6</v>
      </c>
      <c r="D681" s="4" t="b">
        <f t="shared" si="1"/>
        <v>0</v>
      </c>
      <c r="E681" s="4" t="s">
        <v>808</v>
      </c>
    </row>
    <row r="682">
      <c r="A682" s="3" t="s">
        <v>809</v>
      </c>
      <c r="B682" s="3">
        <v>0.0</v>
      </c>
      <c r="C682" s="3" t="s">
        <v>29</v>
      </c>
      <c r="D682" s="4" t="b">
        <f t="shared" si="1"/>
        <v>0</v>
      </c>
      <c r="E682" s="4" t="s">
        <v>809</v>
      </c>
    </row>
    <row r="683">
      <c r="A683" s="3" t="s">
        <v>810</v>
      </c>
      <c r="B683" s="3">
        <v>0.0</v>
      </c>
      <c r="C683" s="3" t="s">
        <v>32</v>
      </c>
      <c r="D683" s="4" t="b">
        <f t="shared" si="1"/>
        <v>0</v>
      </c>
      <c r="E683" s="4" t="s">
        <v>810</v>
      </c>
    </row>
    <row r="684">
      <c r="A684" s="3" t="s">
        <v>811</v>
      </c>
      <c r="B684" s="3">
        <v>15800.0</v>
      </c>
      <c r="C684" s="3" t="s">
        <v>6</v>
      </c>
      <c r="D684" s="4" t="b">
        <f t="shared" si="1"/>
        <v>0</v>
      </c>
      <c r="E684" s="4" t="s">
        <v>811</v>
      </c>
    </row>
    <row r="685">
      <c r="A685" s="3" t="s">
        <v>813</v>
      </c>
      <c r="B685" s="3">
        <v>1700.0</v>
      </c>
      <c r="C685" s="4"/>
      <c r="D685" s="4" t="b">
        <f t="shared" si="1"/>
        <v>0</v>
      </c>
      <c r="E685" s="4" t="s">
        <v>813</v>
      </c>
    </row>
    <row r="686">
      <c r="A686" s="3" t="s">
        <v>814</v>
      </c>
      <c r="B686" s="3">
        <v>0.0</v>
      </c>
      <c r="C686" s="3" t="s">
        <v>3</v>
      </c>
      <c r="D686" s="4" t="b">
        <f t="shared" si="1"/>
        <v>0</v>
      </c>
      <c r="E686" s="4" t="s">
        <v>814</v>
      </c>
    </row>
    <row r="687">
      <c r="A687" s="3" t="s">
        <v>815</v>
      </c>
      <c r="B687" s="3">
        <v>0.0</v>
      </c>
      <c r="C687" s="3" t="s">
        <v>3</v>
      </c>
      <c r="D687" s="4" t="b">
        <f t="shared" si="1"/>
        <v>0</v>
      </c>
      <c r="E687" s="4" t="s">
        <v>815</v>
      </c>
    </row>
    <row r="688">
      <c r="A688" s="3" t="s">
        <v>816</v>
      </c>
      <c r="B688" s="3">
        <v>0.0</v>
      </c>
      <c r="C688" s="3" t="s">
        <v>3</v>
      </c>
      <c r="D688" s="4" t="b">
        <f t="shared" si="1"/>
        <v>0</v>
      </c>
      <c r="E688" s="4" t="s">
        <v>816</v>
      </c>
    </row>
    <row r="689">
      <c r="A689" s="3" t="s">
        <v>817</v>
      </c>
      <c r="B689" s="3">
        <v>1000.0</v>
      </c>
      <c r="C689" s="3" t="s">
        <v>3</v>
      </c>
      <c r="D689" s="4" t="b">
        <f t="shared" si="1"/>
        <v>0</v>
      </c>
      <c r="E689" s="4" t="s">
        <v>817</v>
      </c>
    </row>
    <row r="690">
      <c r="A690" s="3" t="s">
        <v>818</v>
      </c>
      <c r="B690" s="3">
        <v>0.0</v>
      </c>
      <c r="C690" s="3" t="s">
        <v>3</v>
      </c>
      <c r="D690" s="4" t="b">
        <f t="shared" si="1"/>
        <v>0</v>
      </c>
      <c r="E690" s="4" t="s">
        <v>818</v>
      </c>
    </row>
    <row r="691">
      <c r="A691" s="3" t="s">
        <v>819</v>
      </c>
      <c r="B691" s="3">
        <v>634600.0</v>
      </c>
      <c r="C691" s="3" t="s">
        <v>37</v>
      </c>
      <c r="D691" s="4" t="b">
        <f t="shared" si="1"/>
        <v>0</v>
      </c>
      <c r="E691" s="4" t="s">
        <v>2207</v>
      </c>
    </row>
    <row r="692">
      <c r="A692" s="3" t="s">
        <v>821</v>
      </c>
      <c r="B692" s="4"/>
      <c r="C692" s="3" t="s">
        <v>38</v>
      </c>
      <c r="D692" s="4" t="b">
        <f t="shared" si="1"/>
        <v>1</v>
      </c>
      <c r="E692" s="4" t="s">
        <v>821</v>
      </c>
    </row>
    <row r="693">
      <c r="A693" s="3" t="s">
        <v>822</v>
      </c>
      <c r="B693" s="3">
        <v>5000.0</v>
      </c>
      <c r="C693" s="4"/>
      <c r="D693" s="4" t="b">
        <f t="shared" si="1"/>
        <v>0</v>
      </c>
      <c r="E693" s="4" t="s">
        <v>2208</v>
      </c>
    </row>
    <row r="694">
      <c r="A694" s="3" t="s">
        <v>823</v>
      </c>
      <c r="B694" s="4"/>
      <c r="C694" s="4"/>
      <c r="D694" s="4" t="b">
        <f t="shared" si="1"/>
        <v>1</v>
      </c>
      <c r="E694" s="4" t="s">
        <v>823</v>
      </c>
    </row>
    <row r="695">
      <c r="A695" s="3" t="s">
        <v>824</v>
      </c>
      <c r="B695" s="3">
        <v>8800.0</v>
      </c>
      <c r="C695" s="4"/>
      <c r="D695" s="4" t="b">
        <f t="shared" si="1"/>
        <v>0</v>
      </c>
      <c r="E695" s="4" t="s">
        <v>824</v>
      </c>
    </row>
    <row r="696">
      <c r="A696" s="3" t="s">
        <v>826</v>
      </c>
      <c r="B696" s="3">
        <v>0.0</v>
      </c>
      <c r="C696" s="3" t="s">
        <v>668</v>
      </c>
      <c r="D696" s="4" t="b">
        <f t="shared" si="1"/>
        <v>0</v>
      </c>
      <c r="E696" s="4" t="s">
        <v>826</v>
      </c>
    </row>
    <row r="697">
      <c r="A697" s="3" t="s">
        <v>827</v>
      </c>
      <c r="B697" s="3">
        <v>0.0</v>
      </c>
      <c r="C697" s="3" t="s">
        <v>3</v>
      </c>
      <c r="D697" s="4" t="b">
        <f t="shared" si="1"/>
        <v>0</v>
      </c>
      <c r="E697" s="4" t="s">
        <v>2209</v>
      </c>
    </row>
    <row r="698">
      <c r="A698" s="3" t="s">
        <v>828</v>
      </c>
      <c r="B698" s="4"/>
      <c r="C698" s="4"/>
      <c r="D698" s="4" t="b">
        <f t="shared" si="1"/>
        <v>1</v>
      </c>
      <c r="E698" s="4" t="s">
        <v>828</v>
      </c>
    </row>
    <row r="699">
      <c r="A699" s="3" t="s">
        <v>829</v>
      </c>
      <c r="B699" s="3">
        <v>0.0</v>
      </c>
      <c r="C699" s="3" t="s">
        <v>3</v>
      </c>
      <c r="D699" s="4" t="b">
        <f t="shared" si="1"/>
        <v>0</v>
      </c>
      <c r="E699" s="4" t="s">
        <v>829</v>
      </c>
    </row>
    <row r="700">
      <c r="A700" s="3" t="s">
        <v>830</v>
      </c>
      <c r="B700" s="3">
        <v>0.0</v>
      </c>
      <c r="C700" s="3" t="s">
        <v>3</v>
      </c>
      <c r="D700" s="4" t="b">
        <f t="shared" si="1"/>
        <v>0</v>
      </c>
      <c r="E700" s="4" t="s">
        <v>830</v>
      </c>
    </row>
    <row r="701">
      <c r="A701" s="3" t="s">
        <v>831</v>
      </c>
      <c r="B701" s="3">
        <v>100.0</v>
      </c>
      <c r="C701" s="3" t="s">
        <v>3</v>
      </c>
      <c r="D701" s="4" t="b">
        <f t="shared" si="1"/>
        <v>0</v>
      </c>
      <c r="E701" s="4" t="s">
        <v>831</v>
      </c>
    </row>
    <row r="702">
      <c r="A702" s="3" t="s">
        <v>833</v>
      </c>
      <c r="B702" s="3">
        <v>500.0</v>
      </c>
      <c r="C702" s="4"/>
      <c r="D702" s="4" t="b">
        <f t="shared" si="1"/>
        <v>0</v>
      </c>
      <c r="E702" s="4" t="s">
        <v>833</v>
      </c>
    </row>
    <row r="703">
      <c r="A703" s="3" t="s">
        <v>834</v>
      </c>
      <c r="B703" s="3">
        <v>28000.0</v>
      </c>
      <c r="C703" s="3" t="s">
        <v>6</v>
      </c>
      <c r="D703" s="4" t="b">
        <f t="shared" si="1"/>
        <v>0</v>
      </c>
      <c r="E703" s="4" t="s">
        <v>834</v>
      </c>
    </row>
    <row r="704">
      <c r="A704" s="3" t="s">
        <v>835</v>
      </c>
      <c r="B704" s="3">
        <v>0.0</v>
      </c>
      <c r="C704" s="3" t="s">
        <v>6</v>
      </c>
      <c r="D704" s="4" t="b">
        <f t="shared" si="1"/>
        <v>0</v>
      </c>
      <c r="E704" s="4" t="s">
        <v>2210</v>
      </c>
    </row>
    <row r="705">
      <c r="A705" s="3" t="s">
        <v>836</v>
      </c>
      <c r="B705" s="4"/>
      <c r="C705" s="4"/>
      <c r="D705" s="4" t="b">
        <f t="shared" si="1"/>
        <v>1</v>
      </c>
      <c r="E705" s="4" t="s">
        <v>836</v>
      </c>
    </row>
    <row r="706">
      <c r="A706" s="3" t="s">
        <v>837</v>
      </c>
      <c r="B706" s="3">
        <v>800.0</v>
      </c>
      <c r="C706" s="3" t="s">
        <v>3</v>
      </c>
      <c r="D706" s="4" t="b">
        <f t="shared" si="1"/>
        <v>0</v>
      </c>
      <c r="E706" s="4" t="s">
        <v>2211</v>
      </c>
    </row>
    <row r="707">
      <c r="A707" s="3" t="s">
        <v>838</v>
      </c>
      <c r="B707" s="4"/>
      <c r="C707" s="4"/>
      <c r="D707" s="4" t="b">
        <f t="shared" si="1"/>
        <v>1</v>
      </c>
      <c r="E707" s="4" t="s">
        <v>838</v>
      </c>
    </row>
    <row r="708">
      <c r="A708" s="3" t="s">
        <v>839</v>
      </c>
      <c r="B708" s="3">
        <v>1000.0</v>
      </c>
      <c r="C708" s="3" t="s">
        <v>6</v>
      </c>
      <c r="D708" s="4" t="b">
        <f t="shared" si="1"/>
        <v>0</v>
      </c>
      <c r="E708" s="4" t="s">
        <v>839</v>
      </c>
    </row>
    <row r="709">
      <c r="A709" s="3" t="s">
        <v>840</v>
      </c>
      <c r="B709" s="3">
        <v>0.0</v>
      </c>
      <c r="C709" s="3" t="s">
        <v>3</v>
      </c>
      <c r="D709" s="4" t="b">
        <f t="shared" si="1"/>
        <v>0</v>
      </c>
      <c r="E709" s="4" t="s">
        <v>2212</v>
      </c>
    </row>
    <row r="710">
      <c r="A710" s="3" t="s">
        <v>841</v>
      </c>
      <c r="B710" s="4"/>
      <c r="C710" s="4"/>
      <c r="D710" s="4" t="b">
        <f t="shared" si="1"/>
        <v>1</v>
      </c>
      <c r="E710" s="4" t="s">
        <v>841</v>
      </c>
    </row>
    <row r="711">
      <c r="A711" s="3" t="s">
        <v>842</v>
      </c>
      <c r="B711" s="3">
        <v>2500.0</v>
      </c>
      <c r="C711" s="4"/>
      <c r="D711" s="4" t="b">
        <f t="shared" si="1"/>
        <v>0</v>
      </c>
      <c r="E711" s="4" t="s">
        <v>842</v>
      </c>
    </row>
    <row r="712">
      <c r="A712" s="3" t="s">
        <v>843</v>
      </c>
      <c r="B712" s="3">
        <v>2300.0</v>
      </c>
      <c r="C712" s="3" t="s">
        <v>32</v>
      </c>
      <c r="D712" s="4" t="b">
        <f t="shared" si="1"/>
        <v>0</v>
      </c>
      <c r="E712" s="4" t="s">
        <v>843</v>
      </c>
    </row>
    <row r="713">
      <c r="A713" s="3" t="s">
        <v>845</v>
      </c>
      <c r="B713" s="3">
        <v>11000.0</v>
      </c>
      <c r="C713" s="4"/>
      <c r="D713" s="4" t="b">
        <f t="shared" si="1"/>
        <v>0</v>
      </c>
      <c r="E713" s="4" t="s">
        <v>845</v>
      </c>
    </row>
    <row r="714">
      <c r="A714" s="3" t="s">
        <v>846</v>
      </c>
      <c r="B714" s="3">
        <v>800.0</v>
      </c>
      <c r="C714" s="4"/>
      <c r="D714" s="4" t="b">
        <f t="shared" si="1"/>
        <v>0</v>
      </c>
      <c r="E714" s="4" t="s">
        <v>2213</v>
      </c>
    </row>
    <row r="715">
      <c r="A715" s="3" t="s">
        <v>33</v>
      </c>
      <c r="B715" s="4"/>
      <c r="C715" s="4"/>
      <c r="D715" s="4" t="b">
        <f t="shared" si="1"/>
        <v>1</v>
      </c>
      <c r="E715" s="4" t="s">
        <v>33</v>
      </c>
    </row>
    <row r="716">
      <c r="A716" s="3" t="s">
        <v>847</v>
      </c>
      <c r="B716" s="3">
        <v>2000.0</v>
      </c>
      <c r="C716" s="4"/>
      <c r="D716" s="4" t="b">
        <f t="shared" si="1"/>
        <v>0</v>
      </c>
      <c r="E716" s="4" t="s">
        <v>847</v>
      </c>
    </row>
    <row r="717">
      <c r="A717" s="3" t="s">
        <v>848</v>
      </c>
      <c r="B717" s="3">
        <v>0.0</v>
      </c>
      <c r="C717" s="3" t="s">
        <v>3</v>
      </c>
      <c r="D717" s="4" t="b">
        <f t="shared" si="1"/>
        <v>0</v>
      </c>
      <c r="E717" s="4" t="s">
        <v>848</v>
      </c>
    </row>
    <row r="718">
      <c r="A718" s="3" t="s">
        <v>849</v>
      </c>
      <c r="B718" s="3">
        <v>0.0</v>
      </c>
      <c r="C718" s="3" t="s">
        <v>3</v>
      </c>
      <c r="D718" s="4" t="b">
        <f t="shared" si="1"/>
        <v>0</v>
      </c>
      <c r="E718" s="4" t="s">
        <v>849</v>
      </c>
    </row>
    <row r="719">
      <c r="A719" s="3" t="s">
        <v>850</v>
      </c>
      <c r="B719" s="3">
        <v>0.0</v>
      </c>
      <c r="C719" s="3" t="s">
        <v>3</v>
      </c>
      <c r="D719" s="4" t="b">
        <f t="shared" si="1"/>
        <v>0</v>
      </c>
      <c r="E719" s="4" t="s">
        <v>850</v>
      </c>
    </row>
    <row r="720">
      <c r="A720" s="3" t="s">
        <v>851</v>
      </c>
      <c r="B720" s="3">
        <v>1000.0</v>
      </c>
      <c r="C720" s="4"/>
      <c r="D720" s="4" t="b">
        <f t="shared" si="1"/>
        <v>0</v>
      </c>
      <c r="E720" s="4" t="s">
        <v>851</v>
      </c>
    </row>
    <row r="721">
      <c r="A721" s="3" t="s">
        <v>852</v>
      </c>
      <c r="B721" s="3">
        <v>0.0</v>
      </c>
      <c r="C721" s="3" t="s">
        <v>3</v>
      </c>
      <c r="D721" s="4" t="b">
        <f t="shared" si="1"/>
        <v>0</v>
      </c>
      <c r="E721" s="4" t="s">
        <v>852</v>
      </c>
    </row>
    <row r="722">
      <c r="A722" s="3" t="s">
        <v>853</v>
      </c>
      <c r="B722" s="3">
        <v>0.0</v>
      </c>
      <c r="C722" s="3" t="s">
        <v>32</v>
      </c>
      <c r="D722" s="4" t="b">
        <f t="shared" si="1"/>
        <v>0</v>
      </c>
      <c r="E722" s="4" t="s">
        <v>853</v>
      </c>
    </row>
    <row r="723">
      <c r="A723" s="3" t="s">
        <v>854</v>
      </c>
      <c r="B723" s="3">
        <v>0.0</v>
      </c>
      <c r="C723" s="3" t="s">
        <v>3</v>
      </c>
      <c r="D723" s="4" t="b">
        <f t="shared" si="1"/>
        <v>0</v>
      </c>
      <c r="E723" s="4" t="s">
        <v>854</v>
      </c>
    </row>
    <row r="724">
      <c r="A724" s="3" t="s">
        <v>855</v>
      </c>
      <c r="B724" s="3">
        <v>0.0</v>
      </c>
      <c r="C724" s="3" t="s">
        <v>37</v>
      </c>
      <c r="D724" s="4" t="b">
        <f t="shared" si="1"/>
        <v>0</v>
      </c>
      <c r="E724" s="4" t="s">
        <v>2214</v>
      </c>
    </row>
    <row r="725">
      <c r="A725" s="3" t="s">
        <v>856</v>
      </c>
      <c r="B725" s="4"/>
      <c r="C725" s="3" t="s">
        <v>38</v>
      </c>
      <c r="D725" s="4" t="b">
        <f t="shared" si="1"/>
        <v>1</v>
      </c>
      <c r="E725" s="4" t="s">
        <v>856</v>
      </c>
    </row>
    <row r="726">
      <c r="A726" s="3" t="s">
        <v>857</v>
      </c>
      <c r="B726" s="3">
        <v>20500.0</v>
      </c>
      <c r="C726" s="3" t="s">
        <v>37</v>
      </c>
      <c r="D726" s="4" t="b">
        <f t="shared" si="1"/>
        <v>0</v>
      </c>
      <c r="E726" s="4" t="s">
        <v>2215</v>
      </c>
    </row>
    <row r="727">
      <c r="A727" s="3" t="s">
        <v>858</v>
      </c>
      <c r="B727" s="4"/>
      <c r="C727" s="3" t="s">
        <v>38</v>
      </c>
      <c r="D727" s="4" t="b">
        <f t="shared" si="1"/>
        <v>1</v>
      </c>
      <c r="E727" s="4" t="s">
        <v>858</v>
      </c>
    </row>
    <row r="728">
      <c r="A728" s="3" t="s">
        <v>859</v>
      </c>
      <c r="B728" s="3">
        <v>2000.0</v>
      </c>
      <c r="C728" s="3" t="s">
        <v>3</v>
      </c>
      <c r="D728" s="4" t="b">
        <f t="shared" si="1"/>
        <v>0</v>
      </c>
      <c r="E728" s="4" t="s">
        <v>2216</v>
      </c>
    </row>
    <row r="729">
      <c r="A729" s="3" t="s">
        <v>860</v>
      </c>
      <c r="B729" s="4"/>
      <c r="C729" s="4"/>
      <c r="D729" s="4" t="b">
        <f t="shared" si="1"/>
        <v>1</v>
      </c>
      <c r="E729" s="4" t="s">
        <v>860</v>
      </c>
    </row>
    <row r="730">
      <c r="A730" s="3" t="s">
        <v>861</v>
      </c>
      <c r="B730" s="3">
        <v>1000.0</v>
      </c>
      <c r="C730" s="4"/>
      <c r="D730" s="4" t="b">
        <f t="shared" si="1"/>
        <v>0</v>
      </c>
      <c r="E730" s="4" t="s">
        <v>861</v>
      </c>
    </row>
    <row r="731">
      <c r="A731" s="3" t="s">
        <v>862</v>
      </c>
      <c r="B731" s="3">
        <v>0.0</v>
      </c>
      <c r="C731" s="3" t="s">
        <v>6</v>
      </c>
      <c r="D731" s="4" t="b">
        <f t="shared" si="1"/>
        <v>0</v>
      </c>
      <c r="E731" s="4" t="s">
        <v>2217</v>
      </c>
    </row>
    <row r="732">
      <c r="A732" s="3" t="s">
        <v>863</v>
      </c>
      <c r="B732" s="4"/>
      <c r="C732" s="4"/>
      <c r="D732" s="4" t="b">
        <f t="shared" si="1"/>
        <v>1</v>
      </c>
      <c r="E732" s="4" t="s">
        <v>863</v>
      </c>
    </row>
    <row r="733">
      <c r="A733" s="3" t="s">
        <v>864</v>
      </c>
      <c r="B733" s="3">
        <v>0.0</v>
      </c>
      <c r="C733" s="3" t="s">
        <v>3</v>
      </c>
      <c r="D733" s="4" t="b">
        <f t="shared" si="1"/>
        <v>0</v>
      </c>
      <c r="E733" s="4" t="s">
        <v>864</v>
      </c>
    </row>
    <row r="734">
      <c r="A734" s="3" t="s">
        <v>865</v>
      </c>
      <c r="B734" s="3">
        <v>750.0</v>
      </c>
      <c r="C734" s="3" t="s">
        <v>6</v>
      </c>
      <c r="D734" s="4" t="b">
        <f t="shared" si="1"/>
        <v>0</v>
      </c>
      <c r="E734" s="4" t="s">
        <v>2218</v>
      </c>
    </row>
    <row r="735">
      <c r="A735" s="3" t="s">
        <v>866</v>
      </c>
      <c r="B735" s="4"/>
      <c r="C735" s="4"/>
      <c r="D735" s="4" t="b">
        <f t="shared" si="1"/>
        <v>1</v>
      </c>
      <c r="E735" s="4" t="s">
        <v>866</v>
      </c>
    </row>
    <row r="736">
      <c r="A736" s="3" t="s">
        <v>867</v>
      </c>
      <c r="B736" s="3">
        <v>0.0</v>
      </c>
      <c r="C736" s="3" t="s">
        <v>3</v>
      </c>
      <c r="D736" s="4" t="b">
        <f t="shared" si="1"/>
        <v>0</v>
      </c>
      <c r="E736" s="4" t="s">
        <v>2219</v>
      </c>
    </row>
    <row r="737">
      <c r="A737" s="3" t="s">
        <v>868</v>
      </c>
      <c r="B737" s="4"/>
      <c r="C737" s="4"/>
      <c r="D737" s="4" t="b">
        <f t="shared" si="1"/>
        <v>1</v>
      </c>
      <c r="E737" s="4" t="s">
        <v>868</v>
      </c>
    </row>
    <row r="738">
      <c r="A738" s="3" t="s">
        <v>869</v>
      </c>
      <c r="B738" s="3">
        <v>1600.0</v>
      </c>
      <c r="C738" s="4"/>
      <c r="D738" s="4" t="b">
        <f t="shared" si="1"/>
        <v>0</v>
      </c>
      <c r="E738" s="4" t="s">
        <v>869</v>
      </c>
    </row>
    <row r="739">
      <c r="A739" s="3" t="s">
        <v>871</v>
      </c>
      <c r="B739" s="3">
        <v>500.0</v>
      </c>
      <c r="C739" s="4"/>
      <c r="D739" s="4" t="b">
        <f t="shared" si="1"/>
        <v>0</v>
      </c>
      <c r="E739" s="4" t="s">
        <v>2220</v>
      </c>
    </row>
    <row r="740">
      <c r="A740" s="3" t="s">
        <v>872</v>
      </c>
      <c r="B740" s="4"/>
      <c r="C740" s="4"/>
      <c r="D740" s="4" t="b">
        <f t="shared" si="1"/>
        <v>1</v>
      </c>
      <c r="E740" s="4" t="s">
        <v>872</v>
      </c>
    </row>
    <row r="741">
      <c r="A741" s="3" t="s">
        <v>873</v>
      </c>
      <c r="B741" s="3">
        <v>0.0</v>
      </c>
      <c r="C741" s="3" t="s">
        <v>26</v>
      </c>
      <c r="D741" s="4" t="b">
        <f t="shared" si="1"/>
        <v>0</v>
      </c>
      <c r="E741" s="4" t="s">
        <v>873</v>
      </c>
    </row>
    <row r="742">
      <c r="A742" s="3" t="s">
        <v>874</v>
      </c>
      <c r="B742" s="3">
        <v>1500.0</v>
      </c>
      <c r="C742" s="3" t="s">
        <v>3</v>
      </c>
      <c r="D742" s="4" t="b">
        <f t="shared" si="1"/>
        <v>0</v>
      </c>
      <c r="E742" s="4" t="s">
        <v>874</v>
      </c>
    </row>
    <row r="743">
      <c r="A743" s="3" t="s">
        <v>875</v>
      </c>
      <c r="B743" s="3">
        <v>0.0</v>
      </c>
      <c r="C743" s="3" t="s">
        <v>6</v>
      </c>
      <c r="D743" s="4" t="b">
        <f t="shared" si="1"/>
        <v>0</v>
      </c>
      <c r="E743" s="4" t="s">
        <v>875</v>
      </c>
    </row>
    <row r="744">
      <c r="A744" s="3" t="s">
        <v>876</v>
      </c>
      <c r="B744" s="3">
        <v>750.0</v>
      </c>
      <c r="C744" s="4"/>
      <c r="D744" s="4" t="b">
        <f t="shared" si="1"/>
        <v>0</v>
      </c>
      <c r="E744" s="4" t="s">
        <v>2221</v>
      </c>
    </row>
    <row r="745">
      <c r="A745" s="3" t="s">
        <v>877</v>
      </c>
      <c r="B745" s="4"/>
      <c r="C745" s="4"/>
      <c r="D745" s="4" t="b">
        <f t="shared" si="1"/>
        <v>1</v>
      </c>
      <c r="E745" s="4" t="s">
        <v>877</v>
      </c>
    </row>
    <row r="746">
      <c r="A746" s="3" t="s">
        <v>878</v>
      </c>
      <c r="B746" s="3">
        <v>0.0</v>
      </c>
      <c r="C746" s="3" t="s">
        <v>29</v>
      </c>
      <c r="D746" s="4" t="b">
        <f t="shared" si="1"/>
        <v>0</v>
      </c>
      <c r="E746" s="4" t="s">
        <v>2222</v>
      </c>
    </row>
    <row r="747">
      <c r="A747" s="3" t="s">
        <v>879</v>
      </c>
      <c r="B747" s="4"/>
      <c r="C747" s="4"/>
      <c r="D747" s="4" t="b">
        <f t="shared" si="1"/>
        <v>1</v>
      </c>
      <c r="E747" s="4" t="s">
        <v>879</v>
      </c>
    </row>
    <row r="748">
      <c r="A748" s="3" t="s">
        <v>880</v>
      </c>
      <c r="B748" s="3">
        <v>0.0</v>
      </c>
      <c r="C748" s="3" t="s">
        <v>29</v>
      </c>
      <c r="D748" s="4" t="b">
        <f t="shared" si="1"/>
        <v>0</v>
      </c>
      <c r="E748" s="4" t="s">
        <v>2223</v>
      </c>
    </row>
    <row r="749">
      <c r="A749" s="3" t="s">
        <v>881</v>
      </c>
      <c r="B749" s="4"/>
      <c r="C749" s="4"/>
      <c r="D749" s="4" t="b">
        <f t="shared" si="1"/>
        <v>1</v>
      </c>
      <c r="E749" s="4" t="s">
        <v>881</v>
      </c>
    </row>
    <row r="750">
      <c r="A750" s="3" t="s">
        <v>882</v>
      </c>
      <c r="B750" s="3">
        <v>0.0</v>
      </c>
      <c r="C750" s="3" t="s">
        <v>6</v>
      </c>
      <c r="D750" s="4" t="b">
        <f t="shared" si="1"/>
        <v>0</v>
      </c>
      <c r="E750" s="4" t="s">
        <v>882</v>
      </c>
    </row>
    <row r="751">
      <c r="A751" s="3" t="s">
        <v>883</v>
      </c>
      <c r="B751" s="3">
        <v>0.0</v>
      </c>
      <c r="C751" s="3" t="s">
        <v>29</v>
      </c>
      <c r="D751" s="4" t="b">
        <f t="shared" si="1"/>
        <v>0</v>
      </c>
      <c r="E751" s="4" t="s">
        <v>2224</v>
      </c>
    </row>
    <row r="752">
      <c r="A752" s="3" t="s">
        <v>884</v>
      </c>
      <c r="B752" s="4"/>
      <c r="C752" s="4"/>
      <c r="D752" s="4" t="b">
        <f t="shared" si="1"/>
        <v>1</v>
      </c>
      <c r="E752" s="4" t="s">
        <v>884</v>
      </c>
    </row>
    <row r="753">
      <c r="A753" s="3" t="s">
        <v>885</v>
      </c>
      <c r="B753" s="3">
        <v>1000.0</v>
      </c>
      <c r="C753" s="3" t="s">
        <v>6</v>
      </c>
      <c r="D753" s="4" t="b">
        <f t="shared" si="1"/>
        <v>0</v>
      </c>
      <c r="E753" s="4" t="s">
        <v>885</v>
      </c>
    </row>
    <row r="754">
      <c r="A754" s="3" t="s">
        <v>886</v>
      </c>
      <c r="B754" s="3">
        <v>1000.0</v>
      </c>
      <c r="C754" s="3" t="s">
        <v>32</v>
      </c>
      <c r="D754" s="4" t="b">
        <f t="shared" si="1"/>
        <v>0</v>
      </c>
      <c r="E754" s="4" t="s">
        <v>886</v>
      </c>
    </row>
    <row r="755">
      <c r="A755" s="3" t="s">
        <v>887</v>
      </c>
      <c r="B755" s="3">
        <v>500.0</v>
      </c>
      <c r="C755" s="4"/>
      <c r="D755" s="4" t="b">
        <f t="shared" si="1"/>
        <v>0</v>
      </c>
      <c r="E755" s="4" t="s">
        <v>2225</v>
      </c>
    </row>
    <row r="756">
      <c r="A756" s="3" t="s">
        <v>888</v>
      </c>
      <c r="B756" s="4"/>
      <c r="C756" s="4"/>
      <c r="D756" s="4" t="b">
        <f t="shared" si="1"/>
        <v>1</v>
      </c>
      <c r="E756" s="4" t="s">
        <v>888</v>
      </c>
    </row>
    <row r="757">
      <c r="A757" s="3" t="s">
        <v>889</v>
      </c>
      <c r="B757" s="3">
        <v>1600.0</v>
      </c>
      <c r="C757" s="4"/>
      <c r="D757" s="4" t="b">
        <f t="shared" si="1"/>
        <v>0</v>
      </c>
      <c r="E757" s="4" t="s">
        <v>889</v>
      </c>
    </row>
    <row r="758">
      <c r="A758" s="3" t="s">
        <v>890</v>
      </c>
      <c r="B758" s="3">
        <v>1000.0</v>
      </c>
      <c r="C758" s="3" t="s">
        <v>6</v>
      </c>
      <c r="D758" s="4" t="b">
        <f t="shared" si="1"/>
        <v>0</v>
      </c>
      <c r="E758" s="4" t="s">
        <v>2226</v>
      </c>
    </row>
    <row r="759">
      <c r="A759" s="3" t="s">
        <v>891</v>
      </c>
      <c r="B759" s="4"/>
      <c r="C759" s="4"/>
      <c r="D759" s="4" t="b">
        <f t="shared" si="1"/>
        <v>1</v>
      </c>
      <c r="E759" s="4" t="s">
        <v>891</v>
      </c>
    </row>
    <row r="760">
      <c r="A760" s="3" t="s">
        <v>892</v>
      </c>
      <c r="B760" s="3">
        <v>1300.0</v>
      </c>
      <c r="C760" s="4"/>
      <c r="D760" s="4" t="b">
        <f t="shared" si="1"/>
        <v>0</v>
      </c>
      <c r="E760" s="4" t="s">
        <v>2227</v>
      </c>
    </row>
    <row r="761">
      <c r="A761" s="3" t="s">
        <v>893</v>
      </c>
      <c r="B761" s="4"/>
      <c r="C761" s="4"/>
      <c r="D761" s="4" t="b">
        <f t="shared" si="1"/>
        <v>1</v>
      </c>
      <c r="E761" s="4" t="s">
        <v>893</v>
      </c>
    </row>
    <row r="762">
      <c r="A762" s="3" t="s">
        <v>894</v>
      </c>
      <c r="B762" s="3">
        <v>0.0</v>
      </c>
      <c r="C762" s="3" t="s">
        <v>6</v>
      </c>
      <c r="D762" s="4" t="b">
        <f t="shared" si="1"/>
        <v>0</v>
      </c>
      <c r="E762" s="4" t="s">
        <v>894</v>
      </c>
    </row>
    <row r="763">
      <c r="A763" s="3" t="s">
        <v>895</v>
      </c>
      <c r="B763" s="3">
        <v>0.0</v>
      </c>
      <c r="C763" s="3" t="s">
        <v>3</v>
      </c>
      <c r="D763" s="4" t="b">
        <f t="shared" si="1"/>
        <v>0</v>
      </c>
      <c r="E763" s="4" t="s">
        <v>895</v>
      </c>
    </row>
    <row r="764">
      <c r="A764" s="3" t="s">
        <v>896</v>
      </c>
      <c r="B764" s="3">
        <v>0.0</v>
      </c>
      <c r="C764" s="3" t="s">
        <v>32</v>
      </c>
      <c r="D764" s="4" t="b">
        <f t="shared" si="1"/>
        <v>0</v>
      </c>
      <c r="E764" s="4" t="s">
        <v>896</v>
      </c>
    </row>
    <row r="765">
      <c r="A765" s="3" t="s">
        <v>897</v>
      </c>
      <c r="B765" s="3">
        <v>0.0</v>
      </c>
      <c r="C765" s="3" t="s">
        <v>3</v>
      </c>
      <c r="D765" s="4" t="b">
        <f t="shared" si="1"/>
        <v>0</v>
      </c>
      <c r="E765" s="4" t="s">
        <v>2228</v>
      </c>
    </row>
    <row r="766">
      <c r="A766" s="3" t="s">
        <v>898</v>
      </c>
      <c r="B766" s="4"/>
      <c r="C766" s="4"/>
      <c r="D766" s="4" t="b">
        <f t="shared" si="1"/>
        <v>1</v>
      </c>
      <c r="E766" s="4" t="s">
        <v>898</v>
      </c>
    </row>
    <row r="767">
      <c r="A767" s="3" t="s">
        <v>899</v>
      </c>
      <c r="B767" s="3">
        <v>0.0</v>
      </c>
      <c r="C767" s="3" t="s">
        <v>3</v>
      </c>
      <c r="D767" s="4" t="b">
        <f t="shared" si="1"/>
        <v>0</v>
      </c>
      <c r="E767" s="4" t="s">
        <v>899</v>
      </c>
    </row>
    <row r="768">
      <c r="A768" s="3" t="s">
        <v>900</v>
      </c>
      <c r="B768" s="3">
        <v>8000.0</v>
      </c>
      <c r="C768" s="4"/>
      <c r="D768" s="4" t="b">
        <f t="shared" si="1"/>
        <v>0</v>
      </c>
      <c r="E768" s="4" t="s">
        <v>900</v>
      </c>
    </row>
    <row r="769">
      <c r="A769" s="3" t="s">
        <v>901</v>
      </c>
      <c r="B769" s="3">
        <v>0.0</v>
      </c>
      <c r="C769" s="3" t="s">
        <v>32</v>
      </c>
      <c r="D769" s="4" t="b">
        <f t="shared" si="1"/>
        <v>0</v>
      </c>
      <c r="E769" s="4" t="s">
        <v>901</v>
      </c>
    </row>
    <row r="770">
      <c r="A770" s="3" t="s">
        <v>902</v>
      </c>
      <c r="B770" s="3">
        <v>0.0</v>
      </c>
      <c r="C770" s="3" t="s">
        <v>6</v>
      </c>
      <c r="D770" s="4" t="b">
        <f t="shared" si="1"/>
        <v>0</v>
      </c>
      <c r="E770" s="4" t="s">
        <v>2229</v>
      </c>
    </row>
    <row r="771">
      <c r="A771" s="3" t="s">
        <v>903</v>
      </c>
      <c r="B771" s="4"/>
      <c r="C771" s="4"/>
      <c r="D771" s="4" t="b">
        <f t="shared" si="1"/>
        <v>1</v>
      </c>
      <c r="E771" s="4" t="s">
        <v>903</v>
      </c>
    </row>
    <row r="772">
      <c r="A772" s="3" t="s">
        <v>904</v>
      </c>
      <c r="B772" s="3">
        <v>2635.0</v>
      </c>
      <c r="C772" s="4"/>
      <c r="D772" s="4" t="b">
        <f t="shared" si="1"/>
        <v>0</v>
      </c>
      <c r="E772" s="4" t="s">
        <v>904</v>
      </c>
    </row>
    <row r="773">
      <c r="A773" s="3" t="s">
        <v>906</v>
      </c>
      <c r="B773" s="3">
        <v>3917.0</v>
      </c>
      <c r="C773" s="4"/>
      <c r="D773" s="4" t="b">
        <f t="shared" si="1"/>
        <v>0</v>
      </c>
      <c r="E773" s="4" t="s">
        <v>906</v>
      </c>
    </row>
    <row r="774">
      <c r="A774" s="3" t="s">
        <v>908</v>
      </c>
      <c r="B774" s="3">
        <v>1728.0</v>
      </c>
      <c r="C774" s="4"/>
      <c r="D774" s="4" t="b">
        <f t="shared" si="1"/>
        <v>0</v>
      </c>
      <c r="E774" s="4" t="s">
        <v>2230</v>
      </c>
    </row>
    <row r="775">
      <c r="A775" s="3" t="s">
        <v>910</v>
      </c>
      <c r="B775" s="4"/>
      <c r="C775" s="4"/>
      <c r="D775" s="4" t="b">
        <f t="shared" si="1"/>
        <v>1</v>
      </c>
      <c r="E775" s="4" t="s">
        <v>910</v>
      </c>
    </row>
    <row r="776">
      <c r="A776" s="3" t="s">
        <v>911</v>
      </c>
      <c r="B776" s="3">
        <v>0.0</v>
      </c>
      <c r="C776" s="3" t="s">
        <v>3</v>
      </c>
      <c r="D776" s="4" t="b">
        <f t="shared" si="1"/>
        <v>0</v>
      </c>
      <c r="E776" s="4" t="s">
        <v>911</v>
      </c>
    </row>
    <row r="777">
      <c r="A777" s="3" t="s">
        <v>912</v>
      </c>
      <c r="B777" s="3">
        <v>0.0</v>
      </c>
      <c r="C777" s="3" t="s">
        <v>3</v>
      </c>
      <c r="D777" s="4" t="b">
        <f t="shared" si="1"/>
        <v>0</v>
      </c>
      <c r="E777" s="4" t="s">
        <v>912</v>
      </c>
    </row>
    <row r="778">
      <c r="A778" s="3" t="s">
        <v>913</v>
      </c>
      <c r="B778" s="3">
        <v>3000.0</v>
      </c>
      <c r="C778" s="4"/>
      <c r="D778" s="4" t="b">
        <f t="shared" si="1"/>
        <v>0</v>
      </c>
      <c r="E778" s="4" t="s">
        <v>913</v>
      </c>
    </row>
    <row r="779">
      <c r="A779" s="3" t="s">
        <v>914</v>
      </c>
      <c r="B779" s="3">
        <v>3500.0</v>
      </c>
      <c r="C779" s="4"/>
      <c r="D779" s="4" t="b">
        <f t="shared" si="1"/>
        <v>0</v>
      </c>
      <c r="E779" s="4" t="s">
        <v>914</v>
      </c>
    </row>
    <row r="780">
      <c r="A780" s="3" t="s">
        <v>915</v>
      </c>
      <c r="B780" s="3">
        <v>8000.0</v>
      </c>
      <c r="C780" s="4"/>
      <c r="D780" s="4" t="b">
        <f t="shared" si="1"/>
        <v>0</v>
      </c>
      <c r="E780" s="4" t="s">
        <v>915</v>
      </c>
    </row>
    <row r="781">
      <c r="A781" s="3" t="s">
        <v>916</v>
      </c>
      <c r="B781" s="3">
        <v>41500.0</v>
      </c>
      <c r="C781" s="3" t="s">
        <v>280</v>
      </c>
      <c r="D781" s="4" t="b">
        <f t="shared" si="1"/>
        <v>0</v>
      </c>
      <c r="E781" s="4" t="s">
        <v>916</v>
      </c>
    </row>
    <row r="782">
      <c r="A782" s="3" t="s">
        <v>918</v>
      </c>
      <c r="B782" s="3">
        <v>0.0</v>
      </c>
      <c r="C782" s="3" t="s">
        <v>32</v>
      </c>
      <c r="D782" s="4" t="b">
        <f t="shared" si="1"/>
        <v>0</v>
      </c>
      <c r="E782" s="4" t="s">
        <v>918</v>
      </c>
    </row>
    <row r="783">
      <c r="A783" s="3" t="s">
        <v>919</v>
      </c>
      <c r="B783" s="3">
        <v>0.0</v>
      </c>
      <c r="C783" s="3" t="s">
        <v>3</v>
      </c>
      <c r="D783" s="4" t="b">
        <f t="shared" si="1"/>
        <v>0</v>
      </c>
      <c r="E783" s="4" t="s">
        <v>919</v>
      </c>
    </row>
    <row r="784">
      <c r="A784" s="3" t="s">
        <v>920</v>
      </c>
      <c r="B784" s="3">
        <v>0.0</v>
      </c>
      <c r="C784" s="3" t="s">
        <v>3</v>
      </c>
      <c r="D784" s="4" t="b">
        <f t="shared" si="1"/>
        <v>0</v>
      </c>
      <c r="E784" s="4" t="s">
        <v>920</v>
      </c>
    </row>
    <row r="785">
      <c r="A785" s="3" t="s">
        <v>921</v>
      </c>
      <c r="B785" s="3">
        <v>6000.0</v>
      </c>
      <c r="C785" s="4"/>
      <c r="D785" s="4" t="b">
        <f t="shared" si="1"/>
        <v>0</v>
      </c>
      <c r="E785" s="4" t="s">
        <v>921</v>
      </c>
    </row>
    <row r="786">
      <c r="A786" s="3" t="s">
        <v>922</v>
      </c>
      <c r="B786" s="3">
        <v>5000.0</v>
      </c>
      <c r="C786" s="4"/>
      <c r="D786" s="4" t="b">
        <f t="shared" si="1"/>
        <v>0</v>
      </c>
      <c r="E786" s="4" t="s">
        <v>922</v>
      </c>
    </row>
    <row r="787">
      <c r="A787" s="3" t="s">
        <v>923</v>
      </c>
      <c r="B787" s="3">
        <v>3000.0</v>
      </c>
      <c r="C787" s="4"/>
      <c r="D787" s="4" t="b">
        <f t="shared" si="1"/>
        <v>0</v>
      </c>
      <c r="E787" s="4" t="s">
        <v>923</v>
      </c>
    </row>
    <row r="788">
      <c r="A788" s="3" t="s">
        <v>924</v>
      </c>
      <c r="B788" s="3">
        <v>0.0</v>
      </c>
      <c r="C788" s="3" t="s">
        <v>3</v>
      </c>
      <c r="D788" s="4" t="b">
        <f t="shared" si="1"/>
        <v>0</v>
      </c>
      <c r="E788" s="4" t="s">
        <v>924</v>
      </c>
    </row>
    <row r="789">
      <c r="A789" s="3" t="s">
        <v>925</v>
      </c>
      <c r="B789" s="3">
        <v>2000.0</v>
      </c>
      <c r="C789" s="4"/>
      <c r="D789" s="4" t="b">
        <f t="shared" si="1"/>
        <v>0</v>
      </c>
      <c r="E789" s="4" t="s">
        <v>925</v>
      </c>
    </row>
    <row r="790">
      <c r="A790" s="3" t="s">
        <v>926</v>
      </c>
      <c r="B790" s="3">
        <v>0.0</v>
      </c>
      <c r="C790" s="3" t="s">
        <v>3</v>
      </c>
      <c r="D790" s="4" t="b">
        <f t="shared" si="1"/>
        <v>0</v>
      </c>
      <c r="E790" s="4" t="s">
        <v>926</v>
      </c>
    </row>
    <row r="791">
      <c r="A791" s="3" t="s">
        <v>927</v>
      </c>
      <c r="B791" s="3">
        <v>6000.0</v>
      </c>
      <c r="C791" s="4"/>
      <c r="D791" s="4" t="b">
        <f t="shared" si="1"/>
        <v>0</v>
      </c>
      <c r="E791" s="4" t="s">
        <v>927</v>
      </c>
    </row>
    <row r="792">
      <c r="A792" s="3" t="s">
        <v>928</v>
      </c>
      <c r="B792" s="3">
        <v>0.0</v>
      </c>
      <c r="C792" s="3" t="s">
        <v>32</v>
      </c>
      <c r="D792" s="4" t="b">
        <f t="shared" si="1"/>
        <v>0</v>
      </c>
      <c r="E792" s="4" t="s">
        <v>928</v>
      </c>
    </row>
    <row r="793">
      <c r="A793" s="3" t="s">
        <v>929</v>
      </c>
      <c r="B793" s="3">
        <v>17500.0</v>
      </c>
      <c r="C793" s="4"/>
      <c r="D793" s="4" t="b">
        <f t="shared" si="1"/>
        <v>0</v>
      </c>
      <c r="E793" s="4" t="s">
        <v>929</v>
      </c>
    </row>
    <row r="794">
      <c r="A794" s="3" t="s">
        <v>931</v>
      </c>
      <c r="B794" s="3">
        <v>11380.0</v>
      </c>
      <c r="C794" s="3" t="s">
        <v>3</v>
      </c>
      <c r="D794" s="4" t="b">
        <f t="shared" si="1"/>
        <v>0</v>
      </c>
      <c r="E794" s="4" t="s">
        <v>931</v>
      </c>
    </row>
    <row r="795">
      <c r="A795" s="3" t="s">
        <v>933</v>
      </c>
      <c r="B795" s="3">
        <v>3000.0</v>
      </c>
      <c r="C795" s="4"/>
      <c r="D795" s="4" t="b">
        <f t="shared" si="1"/>
        <v>0</v>
      </c>
      <c r="E795" s="4" t="s">
        <v>933</v>
      </c>
    </row>
    <row r="796">
      <c r="A796" s="3" t="s">
        <v>934</v>
      </c>
      <c r="B796" s="3">
        <v>0.0</v>
      </c>
      <c r="C796" s="3" t="s">
        <v>3</v>
      </c>
      <c r="D796" s="4" t="b">
        <f t="shared" si="1"/>
        <v>0</v>
      </c>
      <c r="E796" s="4" t="s">
        <v>934</v>
      </c>
    </row>
    <row r="797">
      <c r="A797" s="3" t="s">
        <v>935</v>
      </c>
      <c r="B797" s="3">
        <v>23000.0</v>
      </c>
      <c r="C797" s="4"/>
      <c r="D797" s="4" t="b">
        <f t="shared" si="1"/>
        <v>0</v>
      </c>
      <c r="E797" s="4" t="s">
        <v>935</v>
      </c>
    </row>
    <row r="798">
      <c r="A798" s="3" t="s">
        <v>937</v>
      </c>
      <c r="B798" s="3">
        <v>17000.0</v>
      </c>
      <c r="C798" s="4"/>
      <c r="D798" s="4" t="b">
        <f t="shared" si="1"/>
        <v>0</v>
      </c>
      <c r="E798" s="4" t="s">
        <v>937</v>
      </c>
    </row>
    <row r="799">
      <c r="A799" s="3" t="s">
        <v>939</v>
      </c>
      <c r="B799" s="3">
        <v>16000.0</v>
      </c>
      <c r="C799" s="4"/>
      <c r="D799" s="4" t="b">
        <f t="shared" si="1"/>
        <v>0</v>
      </c>
      <c r="E799" s="4" t="s">
        <v>939</v>
      </c>
    </row>
    <row r="800">
      <c r="A800" s="3" t="s">
        <v>941</v>
      </c>
      <c r="B800" s="3">
        <v>2100.0</v>
      </c>
      <c r="C800" s="4"/>
      <c r="D800" s="4" t="b">
        <f t="shared" si="1"/>
        <v>0</v>
      </c>
      <c r="E800" s="4" t="s">
        <v>941</v>
      </c>
    </row>
    <row r="801">
      <c r="A801" s="3" t="s">
        <v>943</v>
      </c>
      <c r="B801" s="3">
        <v>0.0</v>
      </c>
      <c r="C801" s="3" t="s">
        <v>3</v>
      </c>
      <c r="D801" s="4" t="b">
        <f t="shared" si="1"/>
        <v>0</v>
      </c>
      <c r="E801" s="4" t="s">
        <v>943</v>
      </c>
    </row>
    <row r="802">
      <c r="A802" s="3" t="s">
        <v>944</v>
      </c>
      <c r="B802" s="3">
        <v>0.0</v>
      </c>
      <c r="C802" s="3" t="s">
        <v>3</v>
      </c>
      <c r="D802" s="4" t="b">
        <f t="shared" si="1"/>
        <v>0</v>
      </c>
      <c r="E802" s="4" t="s">
        <v>944</v>
      </c>
    </row>
    <row r="803">
      <c r="A803" s="3" t="s">
        <v>945</v>
      </c>
      <c r="B803" s="3">
        <v>40000.0</v>
      </c>
      <c r="C803" s="3" t="s">
        <v>216</v>
      </c>
      <c r="D803" s="4" t="b">
        <f t="shared" si="1"/>
        <v>0</v>
      </c>
      <c r="E803" s="4" t="s">
        <v>945</v>
      </c>
    </row>
    <row r="804">
      <c r="A804" s="3" t="s">
        <v>947</v>
      </c>
      <c r="B804" s="3">
        <v>0.0</v>
      </c>
      <c r="C804" s="3" t="s">
        <v>29</v>
      </c>
      <c r="D804" s="4" t="b">
        <f t="shared" si="1"/>
        <v>0</v>
      </c>
      <c r="E804" s="4" t="s">
        <v>947</v>
      </c>
    </row>
    <row r="805">
      <c r="A805" s="3" t="s">
        <v>948</v>
      </c>
      <c r="B805" s="3">
        <v>15000.0</v>
      </c>
      <c r="C805" s="3" t="s">
        <v>3</v>
      </c>
      <c r="D805" s="4" t="b">
        <f t="shared" si="1"/>
        <v>0</v>
      </c>
      <c r="E805" s="4" t="s">
        <v>2231</v>
      </c>
    </row>
    <row r="806">
      <c r="A806" s="3" t="s">
        <v>949</v>
      </c>
      <c r="B806" s="4"/>
      <c r="C806" s="4"/>
      <c r="D806" s="4" t="b">
        <f t="shared" si="1"/>
        <v>1</v>
      </c>
      <c r="E806" s="4" t="s">
        <v>949</v>
      </c>
    </row>
    <row r="807">
      <c r="A807" s="3" t="s">
        <v>950</v>
      </c>
      <c r="B807" s="3">
        <v>500.0</v>
      </c>
      <c r="C807" s="3" t="s">
        <v>3</v>
      </c>
      <c r="D807" s="4" t="b">
        <f t="shared" si="1"/>
        <v>0</v>
      </c>
      <c r="E807" s="4" t="s">
        <v>2232</v>
      </c>
    </row>
    <row r="808">
      <c r="A808" s="3" t="s">
        <v>951</v>
      </c>
      <c r="B808" s="4"/>
      <c r="C808" s="4"/>
      <c r="D808" s="4" t="b">
        <f t="shared" si="1"/>
        <v>1</v>
      </c>
      <c r="E808" s="4" t="s">
        <v>951</v>
      </c>
    </row>
    <row r="809">
      <c r="A809" s="3" t="s">
        <v>952</v>
      </c>
      <c r="B809" s="3">
        <v>1000.0</v>
      </c>
      <c r="C809" s="4"/>
      <c r="D809" s="4" t="b">
        <f t="shared" si="1"/>
        <v>0</v>
      </c>
      <c r="E809" s="4" t="s">
        <v>2233</v>
      </c>
    </row>
    <row r="810">
      <c r="A810" s="3" t="s">
        <v>953</v>
      </c>
      <c r="B810" s="4"/>
      <c r="C810" s="4"/>
      <c r="D810" s="4" t="b">
        <f t="shared" si="1"/>
        <v>1</v>
      </c>
      <c r="E810" s="4" t="s">
        <v>953</v>
      </c>
    </row>
    <row r="811">
      <c r="A811" s="3" t="s">
        <v>954</v>
      </c>
      <c r="B811" s="3">
        <v>1400.0</v>
      </c>
      <c r="C811" s="4"/>
      <c r="D811" s="4" t="b">
        <f t="shared" si="1"/>
        <v>0</v>
      </c>
      <c r="E811" s="4" t="s">
        <v>954</v>
      </c>
    </row>
    <row r="812">
      <c r="A812" s="3" t="s">
        <v>956</v>
      </c>
      <c r="B812" s="3">
        <v>10730.0</v>
      </c>
      <c r="C812" s="4"/>
      <c r="D812" s="4" t="b">
        <f t="shared" si="1"/>
        <v>0</v>
      </c>
      <c r="E812" s="4" t="s">
        <v>956</v>
      </c>
    </row>
    <row r="813">
      <c r="A813" s="3" t="s">
        <v>958</v>
      </c>
      <c r="B813" s="3">
        <v>0.0</v>
      </c>
      <c r="C813" s="3" t="s">
        <v>3</v>
      </c>
      <c r="D813" s="4" t="b">
        <f t="shared" si="1"/>
        <v>0</v>
      </c>
      <c r="E813" s="4" t="s">
        <v>958</v>
      </c>
    </row>
    <row r="814">
      <c r="A814" s="3" t="s">
        <v>959</v>
      </c>
      <c r="B814" s="3">
        <v>1500.0</v>
      </c>
      <c r="C814" s="4"/>
      <c r="D814" s="4" t="b">
        <f t="shared" si="1"/>
        <v>0</v>
      </c>
      <c r="E814" s="4" t="s">
        <v>959</v>
      </c>
    </row>
    <row r="815">
      <c r="A815" s="3" t="s">
        <v>960</v>
      </c>
      <c r="B815" s="3">
        <v>0.0</v>
      </c>
      <c r="C815" s="3" t="s">
        <v>3</v>
      </c>
      <c r="D815" s="4" t="b">
        <f t="shared" si="1"/>
        <v>0</v>
      </c>
      <c r="E815" s="4" t="s">
        <v>2234</v>
      </c>
    </row>
    <row r="816">
      <c r="A816" s="3" t="s">
        <v>961</v>
      </c>
      <c r="B816" s="4"/>
      <c r="C816" s="4"/>
      <c r="D816" s="4" t="b">
        <f t="shared" si="1"/>
        <v>1</v>
      </c>
      <c r="E816" s="4" t="s">
        <v>961</v>
      </c>
    </row>
    <row r="817">
      <c r="A817" s="3" t="s">
        <v>962</v>
      </c>
      <c r="B817" s="3">
        <v>2000.0</v>
      </c>
      <c r="C817" s="3" t="s">
        <v>6</v>
      </c>
      <c r="D817" s="4" t="b">
        <f t="shared" si="1"/>
        <v>0</v>
      </c>
      <c r="E817" s="4" t="s">
        <v>962</v>
      </c>
    </row>
    <row r="818">
      <c r="A818" s="3" t="s">
        <v>963</v>
      </c>
      <c r="B818" s="3">
        <v>115000.0</v>
      </c>
      <c r="C818" s="3" t="s">
        <v>6</v>
      </c>
      <c r="D818" s="4" t="b">
        <f t="shared" si="1"/>
        <v>0</v>
      </c>
      <c r="E818" s="4" t="s">
        <v>963</v>
      </c>
    </row>
    <row r="819">
      <c r="A819" s="3" t="s">
        <v>964</v>
      </c>
      <c r="B819" s="3">
        <v>0.0</v>
      </c>
      <c r="C819" s="3" t="s">
        <v>3</v>
      </c>
      <c r="D819" s="4" t="b">
        <f t="shared" si="1"/>
        <v>0</v>
      </c>
      <c r="E819" s="4" t="s">
        <v>964</v>
      </c>
    </row>
    <row r="820">
      <c r="A820" s="3" t="s">
        <v>965</v>
      </c>
      <c r="B820" s="3">
        <v>11176.0</v>
      </c>
      <c r="C820" s="4"/>
      <c r="D820" s="4" t="b">
        <f t="shared" si="1"/>
        <v>0</v>
      </c>
      <c r="E820" s="4" t="s">
        <v>965</v>
      </c>
    </row>
    <row r="821">
      <c r="A821" s="3" t="s">
        <v>967</v>
      </c>
      <c r="B821" s="3">
        <v>1500.0</v>
      </c>
      <c r="C821" s="3" t="s">
        <v>32</v>
      </c>
      <c r="D821" s="4" t="b">
        <f t="shared" si="1"/>
        <v>0</v>
      </c>
      <c r="E821" s="4" t="s">
        <v>967</v>
      </c>
    </row>
    <row r="822">
      <c r="A822" s="3" t="s">
        <v>968</v>
      </c>
      <c r="B822" s="3">
        <v>1000.0</v>
      </c>
      <c r="C822" s="4"/>
      <c r="D822" s="4" t="b">
        <f t="shared" si="1"/>
        <v>0</v>
      </c>
      <c r="E822" s="4" t="s">
        <v>968</v>
      </c>
    </row>
    <row r="823">
      <c r="A823" s="3" t="s">
        <v>969</v>
      </c>
      <c r="B823" s="3">
        <v>0.0</v>
      </c>
      <c r="C823" s="3" t="s">
        <v>3</v>
      </c>
      <c r="D823" s="4" t="b">
        <f t="shared" si="1"/>
        <v>0</v>
      </c>
      <c r="E823" s="4" t="s">
        <v>969</v>
      </c>
    </row>
    <row r="824">
      <c r="A824" s="3" t="s">
        <v>970</v>
      </c>
      <c r="B824" s="3">
        <v>0.0</v>
      </c>
      <c r="C824" s="3" t="s">
        <v>3</v>
      </c>
      <c r="D824" s="4" t="b">
        <f t="shared" si="1"/>
        <v>0</v>
      </c>
      <c r="E824" s="4" t="s">
        <v>970</v>
      </c>
    </row>
    <row r="825">
      <c r="A825" s="3" t="s">
        <v>971</v>
      </c>
      <c r="B825" s="3">
        <v>0.0</v>
      </c>
      <c r="C825" s="3" t="s">
        <v>3</v>
      </c>
      <c r="D825" s="4" t="b">
        <f t="shared" si="1"/>
        <v>0</v>
      </c>
      <c r="E825" s="4" t="s">
        <v>971</v>
      </c>
    </row>
    <row r="826">
      <c r="A826" s="3" t="s">
        <v>972</v>
      </c>
      <c r="B826" s="3">
        <v>0.0</v>
      </c>
      <c r="C826" s="3" t="s">
        <v>32</v>
      </c>
      <c r="D826" s="4" t="b">
        <f t="shared" si="1"/>
        <v>0</v>
      </c>
      <c r="E826" s="4" t="s">
        <v>972</v>
      </c>
    </row>
    <row r="827">
      <c r="A827" s="3" t="s">
        <v>973</v>
      </c>
      <c r="B827" s="3">
        <v>400.0</v>
      </c>
      <c r="C827" s="4"/>
      <c r="D827" s="4" t="b">
        <f t="shared" si="1"/>
        <v>0</v>
      </c>
      <c r="E827" s="4" t="s">
        <v>973</v>
      </c>
    </row>
    <row r="828">
      <c r="A828" s="3" t="s">
        <v>974</v>
      </c>
      <c r="B828" s="3">
        <v>0.0</v>
      </c>
      <c r="C828" s="3" t="s">
        <v>3</v>
      </c>
      <c r="D828" s="4" t="b">
        <f t="shared" si="1"/>
        <v>0</v>
      </c>
      <c r="E828" s="4" t="s">
        <v>974</v>
      </c>
    </row>
    <row r="829">
      <c r="A829" s="3" t="s">
        <v>975</v>
      </c>
      <c r="B829" s="3">
        <v>5000.0</v>
      </c>
      <c r="C829" s="4"/>
      <c r="D829" s="4" t="b">
        <f t="shared" si="1"/>
        <v>0</v>
      </c>
      <c r="E829" s="4" t="s">
        <v>2235</v>
      </c>
    </row>
    <row r="830">
      <c r="A830" s="3" t="s">
        <v>976</v>
      </c>
      <c r="B830" s="4"/>
      <c r="C830" s="4"/>
      <c r="D830" s="4" t="b">
        <f t="shared" si="1"/>
        <v>1</v>
      </c>
      <c r="E830" s="4" t="s">
        <v>976</v>
      </c>
    </row>
    <row r="831">
      <c r="A831" s="3" t="s">
        <v>977</v>
      </c>
      <c r="B831" s="3">
        <v>8000.0</v>
      </c>
      <c r="C831" s="4"/>
      <c r="D831" s="4" t="b">
        <f t="shared" si="1"/>
        <v>0</v>
      </c>
      <c r="E831" s="4" t="s">
        <v>977</v>
      </c>
    </row>
    <row r="832">
      <c r="A832" s="3" t="s">
        <v>978</v>
      </c>
      <c r="B832" s="3">
        <v>0.0</v>
      </c>
      <c r="C832" s="3" t="s">
        <v>29</v>
      </c>
      <c r="D832" s="4" t="b">
        <f t="shared" si="1"/>
        <v>0</v>
      </c>
      <c r="E832" s="4" t="s">
        <v>978</v>
      </c>
    </row>
    <row r="833">
      <c r="A833" s="3" t="s">
        <v>979</v>
      </c>
      <c r="B833" s="3">
        <v>700.0</v>
      </c>
      <c r="C833" s="3" t="s">
        <v>3</v>
      </c>
      <c r="D833" s="4" t="b">
        <f t="shared" si="1"/>
        <v>0</v>
      </c>
      <c r="E833" s="4" t="s">
        <v>979</v>
      </c>
    </row>
    <row r="834">
      <c r="A834" s="3" t="s">
        <v>980</v>
      </c>
      <c r="B834" s="3">
        <v>0.0</v>
      </c>
      <c r="C834" s="3" t="s">
        <v>3</v>
      </c>
      <c r="D834" s="4" t="b">
        <f t="shared" si="1"/>
        <v>0</v>
      </c>
      <c r="E834" s="4" t="s">
        <v>980</v>
      </c>
    </row>
    <row r="835">
      <c r="A835" s="3" t="s">
        <v>981</v>
      </c>
      <c r="B835" s="3">
        <v>1000.0</v>
      </c>
      <c r="C835" s="4"/>
      <c r="D835" s="4" t="b">
        <f t="shared" si="1"/>
        <v>0</v>
      </c>
      <c r="E835" s="4" t="s">
        <v>981</v>
      </c>
    </row>
    <row r="836">
      <c r="A836" s="3" t="s">
        <v>982</v>
      </c>
      <c r="B836" s="3">
        <v>0.0</v>
      </c>
      <c r="C836" s="3" t="s">
        <v>6</v>
      </c>
      <c r="D836" s="4" t="b">
        <f t="shared" si="1"/>
        <v>0</v>
      </c>
      <c r="E836" s="4" t="s">
        <v>982</v>
      </c>
    </row>
    <row r="837">
      <c r="A837" s="3" t="s">
        <v>983</v>
      </c>
      <c r="B837" s="3">
        <v>0.0</v>
      </c>
      <c r="C837" s="3" t="s">
        <v>3</v>
      </c>
      <c r="D837" s="4" t="b">
        <f t="shared" si="1"/>
        <v>0</v>
      </c>
      <c r="E837" s="4" t="s">
        <v>983</v>
      </c>
    </row>
    <row r="838">
      <c r="A838" s="3" t="s">
        <v>984</v>
      </c>
      <c r="B838" s="3">
        <v>9600.0</v>
      </c>
      <c r="C838" s="4"/>
      <c r="D838" s="4" t="b">
        <f t="shared" si="1"/>
        <v>0</v>
      </c>
      <c r="E838" s="4" t="s">
        <v>984</v>
      </c>
    </row>
    <row r="839">
      <c r="A839" s="3" t="s">
        <v>986</v>
      </c>
      <c r="B839" s="3">
        <v>3000.0</v>
      </c>
      <c r="C839" s="4"/>
      <c r="D839" s="4" t="b">
        <f t="shared" si="1"/>
        <v>0</v>
      </c>
      <c r="E839" s="4" t="s">
        <v>986</v>
      </c>
    </row>
    <row r="840">
      <c r="A840" s="3" t="s">
        <v>987</v>
      </c>
      <c r="B840" s="3">
        <v>0.0</v>
      </c>
      <c r="C840" s="3" t="s">
        <v>3</v>
      </c>
      <c r="D840" s="4" t="b">
        <f t="shared" si="1"/>
        <v>0</v>
      </c>
      <c r="E840" s="4" t="s">
        <v>987</v>
      </c>
    </row>
    <row r="841">
      <c r="A841" s="3" t="s">
        <v>988</v>
      </c>
      <c r="B841" s="3">
        <v>7800.0</v>
      </c>
      <c r="C841" s="3" t="s">
        <v>280</v>
      </c>
      <c r="D841" s="4" t="b">
        <f t="shared" si="1"/>
        <v>0</v>
      </c>
      <c r="E841" s="4" t="s">
        <v>988</v>
      </c>
    </row>
    <row r="842">
      <c r="A842" s="3" t="s">
        <v>990</v>
      </c>
      <c r="B842" s="3">
        <v>4000.0</v>
      </c>
      <c r="C842" s="4"/>
      <c r="D842" s="4" t="b">
        <f t="shared" si="1"/>
        <v>0</v>
      </c>
      <c r="E842" s="4" t="s">
        <v>990</v>
      </c>
    </row>
    <row r="843">
      <c r="A843" s="3" t="s">
        <v>991</v>
      </c>
      <c r="B843" s="3">
        <v>0.0</v>
      </c>
      <c r="C843" s="3" t="s">
        <v>3</v>
      </c>
      <c r="D843" s="4" t="b">
        <f t="shared" si="1"/>
        <v>0</v>
      </c>
      <c r="E843" s="4" t="s">
        <v>991</v>
      </c>
    </row>
    <row r="844">
      <c r="A844" s="3" t="s">
        <v>992</v>
      </c>
      <c r="B844" s="3">
        <v>0.0</v>
      </c>
      <c r="C844" s="3" t="s">
        <v>3</v>
      </c>
      <c r="D844" s="4" t="b">
        <f t="shared" si="1"/>
        <v>0</v>
      </c>
      <c r="E844" s="4" t="s">
        <v>992</v>
      </c>
    </row>
    <row r="845">
      <c r="A845" s="3" t="s">
        <v>993</v>
      </c>
      <c r="B845" s="3">
        <v>0.0</v>
      </c>
      <c r="C845" s="3" t="s">
        <v>3</v>
      </c>
      <c r="D845" s="4" t="b">
        <f t="shared" si="1"/>
        <v>0</v>
      </c>
      <c r="E845" s="4" t="s">
        <v>993</v>
      </c>
    </row>
    <row r="846">
      <c r="A846" s="3" t="s">
        <v>994</v>
      </c>
      <c r="B846" s="3">
        <v>8000.0</v>
      </c>
      <c r="C846" s="4"/>
      <c r="D846" s="4" t="b">
        <f t="shared" si="1"/>
        <v>0</v>
      </c>
      <c r="E846" s="4" t="s">
        <v>994</v>
      </c>
    </row>
    <row r="847">
      <c r="A847" s="3" t="s">
        <v>995</v>
      </c>
      <c r="B847" s="3">
        <v>1200.0</v>
      </c>
      <c r="C847" s="3" t="s">
        <v>6</v>
      </c>
      <c r="D847" s="4" t="b">
        <f t="shared" si="1"/>
        <v>0</v>
      </c>
      <c r="E847" s="4" t="s">
        <v>995</v>
      </c>
    </row>
    <row r="848">
      <c r="A848" s="3" t="s">
        <v>997</v>
      </c>
      <c r="B848" s="3">
        <v>950.0</v>
      </c>
      <c r="C848" s="4"/>
      <c r="D848" s="4" t="b">
        <f t="shared" si="1"/>
        <v>0</v>
      </c>
      <c r="E848" s="4" t="s">
        <v>997</v>
      </c>
    </row>
    <row r="849">
      <c r="A849" s="3" t="s">
        <v>999</v>
      </c>
      <c r="B849" s="3">
        <v>0.0</v>
      </c>
      <c r="C849" s="3" t="s">
        <v>3</v>
      </c>
      <c r="D849" s="4" t="b">
        <f t="shared" si="1"/>
        <v>0</v>
      </c>
      <c r="E849" s="4" t="s">
        <v>999</v>
      </c>
    </row>
    <row r="850">
      <c r="A850" s="3" t="s">
        <v>1000</v>
      </c>
      <c r="B850" s="3">
        <v>30000.0</v>
      </c>
      <c r="C850" s="3" t="s">
        <v>3</v>
      </c>
      <c r="D850" s="4" t="b">
        <f t="shared" si="1"/>
        <v>0</v>
      </c>
      <c r="E850" s="4" t="s">
        <v>1000</v>
      </c>
    </row>
    <row r="851">
      <c r="A851" s="3" t="s">
        <v>1001</v>
      </c>
      <c r="B851" s="3">
        <v>0.0</v>
      </c>
      <c r="C851" s="3" t="s">
        <v>6</v>
      </c>
      <c r="D851" s="4" t="b">
        <f t="shared" si="1"/>
        <v>0</v>
      </c>
      <c r="E851" s="4" t="s">
        <v>1001</v>
      </c>
    </row>
    <row r="852">
      <c r="A852" s="3" t="s">
        <v>1002</v>
      </c>
      <c r="B852" s="3">
        <v>10000.0</v>
      </c>
      <c r="C852" s="3" t="s">
        <v>3</v>
      </c>
      <c r="D852" s="4" t="b">
        <f t="shared" si="1"/>
        <v>0</v>
      </c>
      <c r="E852" s="4" t="s">
        <v>1002</v>
      </c>
    </row>
    <row r="853">
      <c r="A853" s="3" t="s">
        <v>1003</v>
      </c>
      <c r="B853" s="3">
        <v>0.0</v>
      </c>
      <c r="C853" s="3" t="s">
        <v>3</v>
      </c>
      <c r="D853" s="4" t="b">
        <f t="shared" si="1"/>
        <v>0</v>
      </c>
      <c r="E853" s="4" t="s">
        <v>1003</v>
      </c>
    </row>
    <row r="854">
      <c r="A854" s="3" t="s">
        <v>1004</v>
      </c>
      <c r="B854" s="3">
        <v>0.0</v>
      </c>
      <c r="C854" s="3" t="s">
        <v>3</v>
      </c>
      <c r="D854" s="4" t="b">
        <f t="shared" si="1"/>
        <v>0</v>
      </c>
      <c r="E854" s="4" t="s">
        <v>1004</v>
      </c>
    </row>
    <row r="855">
      <c r="A855" s="3" t="s">
        <v>1005</v>
      </c>
      <c r="B855" s="3">
        <v>500.0</v>
      </c>
      <c r="C855" s="4"/>
      <c r="D855" s="4" t="b">
        <f t="shared" si="1"/>
        <v>0</v>
      </c>
      <c r="E855" s="4" t="s">
        <v>1005</v>
      </c>
    </row>
    <row r="856">
      <c r="A856" s="3" t="s">
        <v>1006</v>
      </c>
      <c r="B856" s="3">
        <v>0.0</v>
      </c>
      <c r="C856" s="3" t="s">
        <v>3</v>
      </c>
      <c r="D856" s="4" t="b">
        <f t="shared" si="1"/>
        <v>0</v>
      </c>
      <c r="E856" s="4" t="s">
        <v>1006</v>
      </c>
    </row>
    <row r="857">
      <c r="A857" s="3" t="s">
        <v>1007</v>
      </c>
      <c r="B857" s="3">
        <v>3000.0</v>
      </c>
      <c r="C857" s="4"/>
      <c r="D857" s="4" t="b">
        <f t="shared" si="1"/>
        <v>0</v>
      </c>
      <c r="E857" s="4" t="s">
        <v>1007</v>
      </c>
    </row>
    <row r="858">
      <c r="A858" s="3" t="s">
        <v>1008</v>
      </c>
      <c r="B858" s="3">
        <v>0.0</v>
      </c>
      <c r="C858" s="3" t="s">
        <v>484</v>
      </c>
      <c r="D858" s="4" t="b">
        <f t="shared" si="1"/>
        <v>0</v>
      </c>
      <c r="E858" s="4" t="s">
        <v>1008</v>
      </c>
    </row>
    <row r="859">
      <c r="A859" s="3" t="s">
        <v>1009</v>
      </c>
      <c r="B859" s="3">
        <v>0.0</v>
      </c>
      <c r="C859" s="3" t="s">
        <v>3</v>
      </c>
      <c r="D859" s="4" t="b">
        <f t="shared" si="1"/>
        <v>0</v>
      </c>
      <c r="E859" s="4" t="s">
        <v>1009</v>
      </c>
    </row>
    <row r="860">
      <c r="A860" s="3" t="s">
        <v>1010</v>
      </c>
      <c r="B860" s="3">
        <v>0.0</v>
      </c>
      <c r="C860" s="3" t="s">
        <v>6</v>
      </c>
      <c r="D860" s="4" t="b">
        <f t="shared" si="1"/>
        <v>0</v>
      </c>
      <c r="E860" s="4" t="s">
        <v>1010</v>
      </c>
    </row>
    <row r="861">
      <c r="A861" s="3" t="s">
        <v>1011</v>
      </c>
      <c r="B861" s="3">
        <v>4000.0</v>
      </c>
      <c r="C861" s="4"/>
      <c r="D861" s="4" t="b">
        <f t="shared" si="1"/>
        <v>0</v>
      </c>
      <c r="E861" s="4" t="s">
        <v>1011</v>
      </c>
    </row>
    <row r="862">
      <c r="A862" s="3" t="s">
        <v>1012</v>
      </c>
      <c r="B862" s="3">
        <v>2100.0</v>
      </c>
      <c r="C862" s="3" t="s">
        <v>3</v>
      </c>
      <c r="D862" s="4" t="b">
        <f t="shared" si="1"/>
        <v>0</v>
      </c>
      <c r="E862" s="4" t="s">
        <v>1012</v>
      </c>
    </row>
    <row r="863">
      <c r="A863" s="3" t="s">
        <v>1013</v>
      </c>
      <c r="B863" s="3">
        <v>9500.0</v>
      </c>
      <c r="C863" s="3" t="s">
        <v>6</v>
      </c>
      <c r="D863" s="4" t="b">
        <f t="shared" si="1"/>
        <v>0</v>
      </c>
      <c r="E863" s="4" t="s">
        <v>1013</v>
      </c>
    </row>
    <row r="864">
      <c r="A864" s="3" t="s">
        <v>1015</v>
      </c>
      <c r="B864" s="3">
        <v>0.0</v>
      </c>
      <c r="C864" s="3" t="s">
        <v>3</v>
      </c>
      <c r="D864" s="4" t="b">
        <f t="shared" si="1"/>
        <v>0</v>
      </c>
      <c r="E864" s="4" t="s">
        <v>1015</v>
      </c>
    </row>
    <row r="865">
      <c r="A865" s="3" t="s">
        <v>1016</v>
      </c>
      <c r="B865" s="3">
        <v>0.0</v>
      </c>
      <c r="C865" s="3" t="s">
        <v>6</v>
      </c>
      <c r="D865" s="4" t="b">
        <f t="shared" si="1"/>
        <v>0</v>
      </c>
      <c r="E865" s="4" t="s">
        <v>1016</v>
      </c>
    </row>
    <row r="866">
      <c r="A866" s="3" t="s">
        <v>1017</v>
      </c>
      <c r="B866" s="3">
        <v>1200.0</v>
      </c>
      <c r="C866" s="4"/>
      <c r="D866" s="4" t="b">
        <f t="shared" si="1"/>
        <v>0</v>
      </c>
      <c r="E866" s="4" t="s">
        <v>1017</v>
      </c>
    </row>
    <row r="867">
      <c r="A867" s="3" t="s">
        <v>1018</v>
      </c>
      <c r="B867" s="3">
        <v>0.0</v>
      </c>
      <c r="C867" s="3" t="s">
        <v>32</v>
      </c>
      <c r="D867" s="4" t="b">
        <f t="shared" si="1"/>
        <v>0</v>
      </c>
      <c r="E867" s="4" t="s">
        <v>1018</v>
      </c>
    </row>
    <row r="868">
      <c r="A868" s="3" t="s">
        <v>1019</v>
      </c>
      <c r="B868" s="3">
        <v>0.0</v>
      </c>
      <c r="C868" s="3" t="s">
        <v>6</v>
      </c>
      <c r="D868" s="4" t="b">
        <f t="shared" si="1"/>
        <v>0</v>
      </c>
      <c r="E868" s="4" t="s">
        <v>1019</v>
      </c>
    </row>
    <row r="869">
      <c r="A869" s="3" t="s">
        <v>1020</v>
      </c>
      <c r="B869" s="3">
        <v>1534.0</v>
      </c>
      <c r="C869" s="4"/>
      <c r="D869" s="4" t="b">
        <f t="shared" si="1"/>
        <v>0</v>
      </c>
      <c r="E869" s="4" t="s">
        <v>1020</v>
      </c>
    </row>
    <row r="870">
      <c r="A870" s="3" t="s">
        <v>1022</v>
      </c>
      <c r="B870" s="3">
        <v>0.0</v>
      </c>
      <c r="C870" s="3" t="s">
        <v>6</v>
      </c>
      <c r="D870" s="4" t="b">
        <f t="shared" si="1"/>
        <v>0</v>
      </c>
      <c r="E870" s="4" t="s">
        <v>1022</v>
      </c>
    </row>
    <row r="871">
      <c r="A871" s="3" t="s">
        <v>1023</v>
      </c>
      <c r="B871" s="3">
        <v>27000.0</v>
      </c>
      <c r="C871" s="3" t="s">
        <v>3</v>
      </c>
      <c r="D871" s="4" t="b">
        <f t="shared" si="1"/>
        <v>0</v>
      </c>
      <c r="E871" s="4" t="s">
        <v>1023</v>
      </c>
    </row>
    <row r="872">
      <c r="A872" s="3" t="s">
        <v>1025</v>
      </c>
      <c r="B872" s="3">
        <v>0.0</v>
      </c>
      <c r="C872" s="3" t="s">
        <v>3</v>
      </c>
      <c r="D872" s="4" t="b">
        <f t="shared" si="1"/>
        <v>0</v>
      </c>
      <c r="E872" s="4" t="s">
        <v>1025</v>
      </c>
    </row>
    <row r="873">
      <c r="A873" s="3" t="s">
        <v>1026</v>
      </c>
      <c r="B873" s="3">
        <v>46500.0</v>
      </c>
      <c r="C873" s="3" t="s">
        <v>3</v>
      </c>
      <c r="D873" s="4" t="b">
        <f t="shared" si="1"/>
        <v>0</v>
      </c>
      <c r="E873" s="4" t="s">
        <v>2236</v>
      </c>
    </row>
    <row r="874">
      <c r="A874" s="3" t="s">
        <v>1028</v>
      </c>
      <c r="B874" s="4"/>
      <c r="C874" s="4"/>
      <c r="D874" s="4" t="b">
        <f t="shared" si="1"/>
        <v>1</v>
      </c>
      <c r="E874" s="4" t="s">
        <v>1028</v>
      </c>
    </row>
    <row r="875">
      <c r="A875" s="3" t="s">
        <v>1029</v>
      </c>
      <c r="B875" s="3">
        <v>0.0</v>
      </c>
      <c r="C875" s="3" t="s">
        <v>3</v>
      </c>
      <c r="D875" s="4" t="b">
        <f t="shared" si="1"/>
        <v>0</v>
      </c>
      <c r="E875" s="4" t="s">
        <v>2237</v>
      </c>
    </row>
    <row r="876">
      <c r="A876" s="3" t="s">
        <v>1030</v>
      </c>
      <c r="B876" s="4"/>
      <c r="C876" s="4"/>
      <c r="D876" s="4" t="b">
        <f t="shared" si="1"/>
        <v>1</v>
      </c>
      <c r="E876" s="4" t="s">
        <v>1030</v>
      </c>
    </row>
    <row r="877">
      <c r="A877" s="3" t="s">
        <v>1031</v>
      </c>
      <c r="B877" s="3">
        <v>0.0</v>
      </c>
      <c r="C877" s="3" t="s">
        <v>3</v>
      </c>
      <c r="D877" s="4" t="b">
        <f t="shared" si="1"/>
        <v>0</v>
      </c>
      <c r="E877" s="4" t="s">
        <v>1031</v>
      </c>
    </row>
    <row r="878">
      <c r="A878" s="3" t="s">
        <v>1032</v>
      </c>
      <c r="B878" s="3">
        <v>0.0</v>
      </c>
      <c r="C878" s="3" t="s">
        <v>29</v>
      </c>
      <c r="D878" s="4" t="b">
        <f t="shared" si="1"/>
        <v>0</v>
      </c>
      <c r="E878" s="4" t="s">
        <v>1032</v>
      </c>
    </row>
    <row r="879">
      <c r="A879" s="3" t="s">
        <v>1033</v>
      </c>
      <c r="B879" s="3">
        <v>109834.0</v>
      </c>
      <c r="C879" s="4"/>
      <c r="D879" s="4" t="b">
        <f t="shared" si="1"/>
        <v>0</v>
      </c>
      <c r="E879" s="4" t="s">
        <v>1033</v>
      </c>
    </row>
    <row r="880">
      <c r="A880" s="3" t="s">
        <v>1035</v>
      </c>
      <c r="B880" s="3">
        <v>4000.0</v>
      </c>
      <c r="C880" s="4"/>
      <c r="D880" s="4" t="b">
        <f t="shared" si="1"/>
        <v>0</v>
      </c>
      <c r="E880" s="4" t="s">
        <v>1035</v>
      </c>
    </row>
    <row r="881">
      <c r="A881" s="3" t="s">
        <v>1036</v>
      </c>
      <c r="B881" s="3">
        <v>0.0</v>
      </c>
      <c r="C881" s="3" t="s">
        <v>3</v>
      </c>
      <c r="D881" s="4" t="b">
        <f t="shared" si="1"/>
        <v>0</v>
      </c>
      <c r="E881" s="4" t="s">
        <v>1036</v>
      </c>
    </row>
    <row r="882">
      <c r="A882" s="3" t="s">
        <v>1037</v>
      </c>
      <c r="B882" s="3">
        <v>0.0</v>
      </c>
      <c r="C882" s="3" t="s">
        <v>26</v>
      </c>
      <c r="D882" s="4" t="b">
        <f t="shared" si="1"/>
        <v>0</v>
      </c>
      <c r="E882" s="4" t="s">
        <v>1037</v>
      </c>
    </row>
    <row r="883">
      <c r="A883" s="3" t="s">
        <v>1038</v>
      </c>
      <c r="B883" s="3">
        <v>0.0</v>
      </c>
      <c r="C883" s="3" t="s">
        <v>3</v>
      </c>
      <c r="D883" s="4" t="b">
        <f t="shared" si="1"/>
        <v>0</v>
      </c>
      <c r="E883" s="4" t="s">
        <v>1038</v>
      </c>
    </row>
    <row r="884">
      <c r="A884" s="3" t="s">
        <v>1039</v>
      </c>
      <c r="B884" s="3">
        <v>14000.0</v>
      </c>
      <c r="C884" s="3" t="s">
        <v>3</v>
      </c>
      <c r="D884" s="4" t="b">
        <f t="shared" si="1"/>
        <v>0</v>
      </c>
      <c r="E884" s="4" t="s">
        <v>1039</v>
      </c>
    </row>
    <row r="885">
      <c r="A885" s="3" t="s">
        <v>1041</v>
      </c>
      <c r="B885" s="3">
        <v>500.0</v>
      </c>
      <c r="C885" s="4"/>
      <c r="D885" s="4" t="b">
        <f t="shared" si="1"/>
        <v>0</v>
      </c>
      <c r="E885" s="4" t="s">
        <v>1041</v>
      </c>
    </row>
    <row r="886">
      <c r="A886" s="3" t="s">
        <v>1042</v>
      </c>
      <c r="B886" s="3">
        <v>0.0</v>
      </c>
      <c r="C886" s="3" t="s">
        <v>3</v>
      </c>
      <c r="D886" s="4" t="b">
        <f t="shared" si="1"/>
        <v>0</v>
      </c>
      <c r="E886" s="4" t="s">
        <v>1042</v>
      </c>
    </row>
    <row r="887">
      <c r="A887" s="3" t="s">
        <v>1043</v>
      </c>
      <c r="B887" s="3">
        <v>4000.0</v>
      </c>
      <c r="C887" s="4"/>
      <c r="D887" s="4" t="b">
        <f t="shared" si="1"/>
        <v>0</v>
      </c>
      <c r="E887" s="4" t="s">
        <v>1043</v>
      </c>
    </row>
    <row r="888">
      <c r="A888" s="3" t="s">
        <v>1044</v>
      </c>
      <c r="B888" s="3">
        <v>118603.0</v>
      </c>
      <c r="C888" s="3" t="s">
        <v>37</v>
      </c>
      <c r="D888" s="4" t="b">
        <f t="shared" si="1"/>
        <v>0</v>
      </c>
      <c r="E888" s="4" t="s">
        <v>2238</v>
      </c>
    </row>
    <row r="889">
      <c r="A889" s="4"/>
      <c r="B889" s="4"/>
      <c r="C889" s="3" t="s">
        <v>38</v>
      </c>
      <c r="D889" s="4" t="b">
        <f t="shared" si="1"/>
        <v>1</v>
      </c>
      <c r="E889" s="4"/>
    </row>
    <row r="890">
      <c r="A890" s="3" t="s">
        <v>1046</v>
      </c>
      <c r="B890" s="3">
        <v>0.0</v>
      </c>
      <c r="C890" s="3" t="s">
        <v>3</v>
      </c>
      <c r="D890" s="4" t="b">
        <f t="shared" si="1"/>
        <v>0</v>
      </c>
      <c r="E890" s="4" t="s">
        <v>1046</v>
      </c>
    </row>
    <row r="891">
      <c r="A891" s="3" t="s">
        <v>1047</v>
      </c>
      <c r="B891" s="3">
        <v>4500.0</v>
      </c>
      <c r="C891" s="4"/>
      <c r="D891" s="4" t="b">
        <f t="shared" si="1"/>
        <v>0</v>
      </c>
      <c r="E891" s="4" t="s">
        <v>1047</v>
      </c>
    </row>
    <row r="892">
      <c r="A892" s="3" t="s">
        <v>1048</v>
      </c>
      <c r="B892" s="3">
        <v>0.0</v>
      </c>
      <c r="C892" s="3" t="s">
        <v>3</v>
      </c>
      <c r="D892" s="4" t="b">
        <f t="shared" si="1"/>
        <v>0</v>
      </c>
      <c r="E892" s="4" t="s">
        <v>1048</v>
      </c>
    </row>
    <row r="893">
      <c r="A893" s="3" t="s">
        <v>1049</v>
      </c>
      <c r="B893" s="3">
        <v>0.0</v>
      </c>
      <c r="C893" s="3" t="s">
        <v>3</v>
      </c>
      <c r="D893" s="4" t="b">
        <f t="shared" si="1"/>
        <v>0</v>
      </c>
      <c r="E893" s="4" t="s">
        <v>2239</v>
      </c>
    </row>
    <row r="894">
      <c r="A894" s="3" t="s">
        <v>1050</v>
      </c>
      <c r="B894" s="4"/>
      <c r="C894" s="4"/>
      <c r="D894" s="4" t="b">
        <f t="shared" si="1"/>
        <v>1</v>
      </c>
      <c r="E894" s="4" t="s">
        <v>1050</v>
      </c>
    </row>
    <row r="895">
      <c r="A895" s="3" t="s">
        <v>1051</v>
      </c>
      <c r="B895" s="3">
        <v>1410.0</v>
      </c>
      <c r="C895" s="4"/>
      <c r="D895" s="4" t="b">
        <f t="shared" si="1"/>
        <v>0</v>
      </c>
      <c r="E895" s="4" t="s">
        <v>1051</v>
      </c>
    </row>
    <row r="896">
      <c r="A896" s="3" t="s">
        <v>1053</v>
      </c>
      <c r="B896" s="3">
        <v>1000.0</v>
      </c>
      <c r="C896" s="3" t="s">
        <v>32</v>
      </c>
      <c r="D896" s="4" t="b">
        <f t="shared" si="1"/>
        <v>0</v>
      </c>
      <c r="E896" s="4" t="s">
        <v>1053</v>
      </c>
    </row>
    <row r="897">
      <c r="A897" s="3" t="s">
        <v>1054</v>
      </c>
      <c r="B897" s="3">
        <v>0.0</v>
      </c>
      <c r="C897" s="3" t="s">
        <v>3</v>
      </c>
      <c r="D897" s="4" t="b">
        <f t="shared" si="1"/>
        <v>0</v>
      </c>
      <c r="E897" s="4" t="s">
        <v>1054</v>
      </c>
    </row>
    <row r="898">
      <c r="A898" s="3" t="s">
        <v>1055</v>
      </c>
      <c r="B898" s="3">
        <v>31000.0</v>
      </c>
      <c r="C898" s="4"/>
      <c r="D898" s="4" t="b">
        <f t="shared" si="1"/>
        <v>0</v>
      </c>
      <c r="E898" s="4" t="s">
        <v>1055</v>
      </c>
    </row>
    <row r="899">
      <c r="A899" s="3" t="s">
        <v>1057</v>
      </c>
      <c r="B899" s="3">
        <v>0.0</v>
      </c>
      <c r="C899" s="3" t="s">
        <v>32</v>
      </c>
      <c r="D899" s="4" t="b">
        <f t="shared" si="1"/>
        <v>0</v>
      </c>
      <c r="E899" s="4" t="s">
        <v>1057</v>
      </c>
    </row>
    <row r="900">
      <c r="A900" s="3" t="s">
        <v>1058</v>
      </c>
      <c r="B900" s="3">
        <v>1000.0</v>
      </c>
      <c r="C900" s="4"/>
      <c r="D900" s="4" t="b">
        <f t="shared" si="1"/>
        <v>0</v>
      </c>
      <c r="E900" s="4" t="s">
        <v>1058</v>
      </c>
    </row>
    <row r="901">
      <c r="A901" s="3" t="s">
        <v>1059</v>
      </c>
      <c r="B901" s="3">
        <v>0.0</v>
      </c>
      <c r="C901" s="3" t="s">
        <v>3</v>
      </c>
      <c r="D901" s="4" t="b">
        <f t="shared" si="1"/>
        <v>0</v>
      </c>
      <c r="E901" s="4" t="s">
        <v>1059</v>
      </c>
    </row>
    <row r="902">
      <c r="A902" s="3" t="s">
        <v>1060</v>
      </c>
      <c r="B902" s="3">
        <v>3000.0</v>
      </c>
      <c r="C902" s="4"/>
      <c r="D902" s="4" t="b">
        <f t="shared" si="1"/>
        <v>0</v>
      </c>
      <c r="E902" s="4" t="s">
        <v>1060</v>
      </c>
    </row>
    <row r="903">
      <c r="A903" s="3" t="s">
        <v>1061</v>
      </c>
      <c r="B903" s="3">
        <v>2000.0</v>
      </c>
      <c r="C903" s="3" t="s">
        <v>3</v>
      </c>
      <c r="D903" s="4" t="b">
        <f t="shared" si="1"/>
        <v>0</v>
      </c>
      <c r="E903" s="4" t="s">
        <v>2240</v>
      </c>
    </row>
    <row r="904">
      <c r="A904" s="3" t="s">
        <v>1062</v>
      </c>
      <c r="B904" s="4"/>
      <c r="C904" s="4"/>
      <c r="D904" s="4" t="b">
        <f t="shared" si="1"/>
        <v>1</v>
      </c>
      <c r="E904" s="4" t="s">
        <v>1062</v>
      </c>
    </row>
    <row r="905">
      <c r="A905" s="3" t="s">
        <v>1063</v>
      </c>
      <c r="B905" s="3">
        <v>14800.0</v>
      </c>
      <c r="C905" s="4"/>
      <c r="D905" s="4" t="b">
        <f t="shared" si="1"/>
        <v>0</v>
      </c>
      <c r="E905" s="4" t="s">
        <v>1063</v>
      </c>
    </row>
    <row r="906">
      <c r="A906" s="3" t="s">
        <v>1064</v>
      </c>
      <c r="B906" s="3">
        <v>0.0</v>
      </c>
      <c r="C906" s="3" t="s">
        <v>3</v>
      </c>
      <c r="D906" s="4" t="b">
        <f t="shared" si="1"/>
        <v>0</v>
      </c>
      <c r="E906" s="4" t="s">
        <v>1064</v>
      </c>
    </row>
    <row r="907">
      <c r="A907" s="3" t="s">
        <v>1065</v>
      </c>
      <c r="B907" s="3">
        <v>15000.0</v>
      </c>
      <c r="C907" s="3" t="s">
        <v>3</v>
      </c>
      <c r="D907" s="4" t="b">
        <f t="shared" si="1"/>
        <v>0</v>
      </c>
      <c r="E907" s="4" t="s">
        <v>2241</v>
      </c>
    </row>
    <row r="908">
      <c r="A908" s="3" t="s">
        <v>1066</v>
      </c>
      <c r="B908" s="4"/>
      <c r="C908" s="4"/>
      <c r="D908" s="4" t="b">
        <f t="shared" si="1"/>
        <v>1</v>
      </c>
      <c r="E908" s="4" t="s">
        <v>1066</v>
      </c>
    </row>
    <row r="909">
      <c r="A909" s="3" t="s">
        <v>1067</v>
      </c>
      <c r="B909" s="3">
        <v>13050.0</v>
      </c>
      <c r="C909" s="3" t="s">
        <v>37</v>
      </c>
      <c r="D909" s="4" t="b">
        <f t="shared" si="1"/>
        <v>0</v>
      </c>
      <c r="E909" s="4" t="s">
        <v>2242</v>
      </c>
    </row>
    <row r="910">
      <c r="A910" s="4"/>
      <c r="B910" s="4"/>
      <c r="C910" s="3" t="s">
        <v>38</v>
      </c>
      <c r="D910" s="4" t="b">
        <f t="shared" si="1"/>
        <v>1</v>
      </c>
      <c r="E910" s="4"/>
    </row>
    <row r="911">
      <c r="A911" s="3" t="s">
        <v>1069</v>
      </c>
      <c r="B911" s="3">
        <v>4000.0</v>
      </c>
      <c r="C911" s="4"/>
      <c r="D911" s="4" t="b">
        <f t="shared" si="1"/>
        <v>0</v>
      </c>
      <c r="E911" s="4" t="s">
        <v>1069</v>
      </c>
    </row>
    <row r="912">
      <c r="A912" s="3" t="s">
        <v>1070</v>
      </c>
      <c r="B912" s="3">
        <v>185000.0</v>
      </c>
      <c r="C912" s="3" t="s">
        <v>280</v>
      </c>
      <c r="D912" s="4" t="b">
        <f t="shared" si="1"/>
        <v>0</v>
      </c>
      <c r="E912" s="4" t="s">
        <v>1070</v>
      </c>
    </row>
    <row r="913">
      <c r="A913" s="3" t="s">
        <v>1072</v>
      </c>
      <c r="B913" s="3">
        <v>0.0</v>
      </c>
      <c r="C913" s="3" t="s">
        <v>3</v>
      </c>
      <c r="D913" s="4" t="b">
        <f t="shared" si="1"/>
        <v>0</v>
      </c>
      <c r="E913" s="4" t="s">
        <v>1072</v>
      </c>
    </row>
    <row r="914">
      <c r="A914" s="3" t="s">
        <v>1073</v>
      </c>
      <c r="B914" s="3">
        <v>0.0</v>
      </c>
      <c r="C914" s="3" t="s">
        <v>484</v>
      </c>
      <c r="D914" s="4" t="b">
        <f t="shared" si="1"/>
        <v>0</v>
      </c>
      <c r="E914" s="4" t="s">
        <v>2243</v>
      </c>
    </row>
    <row r="915">
      <c r="A915" s="3" t="s">
        <v>1074</v>
      </c>
      <c r="B915" s="4"/>
      <c r="C915" s="4"/>
      <c r="D915" s="4" t="b">
        <f t="shared" si="1"/>
        <v>1</v>
      </c>
      <c r="E915" s="4" t="s">
        <v>1074</v>
      </c>
    </row>
    <row r="916">
      <c r="A916" s="3" t="s">
        <v>1075</v>
      </c>
      <c r="B916" s="3">
        <v>0.0</v>
      </c>
      <c r="C916" s="3" t="s">
        <v>3</v>
      </c>
      <c r="D916" s="4" t="b">
        <f t="shared" si="1"/>
        <v>0</v>
      </c>
      <c r="E916" s="4" t="s">
        <v>1075</v>
      </c>
    </row>
    <row r="917">
      <c r="A917" s="3" t="s">
        <v>1076</v>
      </c>
      <c r="B917" s="3">
        <v>0.0</v>
      </c>
      <c r="C917" s="3" t="s">
        <v>3</v>
      </c>
      <c r="D917" s="4" t="b">
        <f t="shared" si="1"/>
        <v>0</v>
      </c>
      <c r="E917" s="4" t="s">
        <v>1076</v>
      </c>
    </row>
    <row r="918">
      <c r="A918" s="3" t="s">
        <v>1077</v>
      </c>
      <c r="B918" s="3">
        <v>0.0</v>
      </c>
      <c r="C918" s="3" t="s">
        <v>3</v>
      </c>
      <c r="D918" s="4" t="b">
        <f t="shared" si="1"/>
        <v>0</v>
      </c>
      <c r="E918" s="4" t="s">
        <v>2244</v>
      </c>
    </row>
    <row r="919">
      <c r="A919" s="3" t="s">
        <v>1078</v>
      </c>
      <c r="B919" s="4"/>
      <c r="C919" s="4"/>
      <c r="D919" s="4" t="b">
        <f t="shared" si="1"/>
        <v>1</v>
      </c>
      <c r="E919" s="4" t="s">
        <v>1078</v>
      </c>
    </row>
    <row r="920">
      <c r="A920" s="3" t="s">
        <v>1079</v>
      </c>
      <c r="B920" s="3">
        <v>0.0</v>
      </c>
      <c r="C920" s="3" t="s">
        <v>3</v>
      </c>
      <c r="D920" s="4" t="b">
        <f t="shared" si="1"/>
        <v>0</v>
      </c>
      <c r="E920" s="4" t="s">
        <v>1079</v>
      </c>
    </row>
    <row r="921">
      <c r="A921" s="3" t="s">
        <v>1080</v>
      </c>
      <c r="B921" s="3">
        <v>3500.0</v>
      </c>
      <c r="C921" s="3" t="s">
        <v>32</v>
      </c>
      <c r="D921" s="4" t="b">
        <f t="shared" si="1"/>
        <v>0</v>
      </c>
      <c r="E921" s="4" t="s">
        <v>1080</v>
      </c>
    </row>
    <row r="922">
      <c r="A922" s="3" t="s">
        <v>1081</v>
      </c>
      <c r="B922" s="3">
        <v>0.0</v>
      </c>
      <c r="C922" s="3" t="s">
        <v>6</v>
      </c>
      <c r="D922" s="4" t="b">
        <f t="shared" si="1"/>
        <v>0</v>
      </c>
      <c r="E922" s="4" t="s">
        <v>1081</v>
      </c>
    </row>
    <row r="923">
      <c r="A923" s="3" t="s">
        <v>1082</v>
      </c>
      <c r="B923" s="3">
        <v>0.0</v>
      </c>
      <c r="C923" s="3" t="s">
        <v>3</v>
      </c>
      <c r="D923" s="4" t="b">
        <f t="shared" si="1"/>
        <v>0</v>
      </c>
      <c r="E923" s="4" t="s">
        <v>1082</v>
      </c>
    </row>
    <row r="924">
      <c r="A924" s="3" t="s">
        <v>1083</v>
      </c>
      <c r="B924" s="3">
        <v>500.0</v>
      </c>
      <c r="C924" s="3" t="s">
        <v>32</v>
      </c>
      <c r="D924" s="4" t="b">
        <f t="shared" si="1"/>
        <v>0</v>
      </c>
      <c r="E924" s="4" t="s">
        <v>1083</v>
      </c>
    </row>
    <row r="925">
      <c r="A925" s="3" t="s">
        <v>1084</v>
      </c>
      <c r="B925" s="3">
        <v>0.0</v>
      </c>
      <c r="C925" s="3" t="s">
        <v>3</v>
      </c>
      <c r="D925" s="4" t="b">
        <f t="shared" si="1"/>
        <v>0</v>
      </c>
      <c r="E925" s="4" t="s">
        <v>1084</v>
      </c>
    </row>
    <row r="926">
      <c r="A926" s="3" t="s">
        <v>1085</v>
      </c>
      <c r="B926" s="3">
        <v>700.0</v>
      </c>
      <c r="C926" s="4"/>
      <c r="D926" s="4" t="b">
        <f t="shared" si="1"/>
        <v>0</v>
      </c>
      <c r="E926" s="4" t="s">
        <v>1085</v>
      </c>
    </row>
    <row r="927">
      <c r="A927" s="3" t="s">
        <v>1086</v>
      </c>
      <c r="B927" s="3">
        <v>0.0</v>
      </c>
      <c r="C927" s="3" t="s">
        <v>3</v>
      </c>
      <c r="D927" s="4" t="b">
        <f t="shared" si="1"/>
        <v>0</v>
      </c>
      <c r="E927" s="4" t="s">
        <v>2245</v>
      </c>
    </row>
    <row r="928">
      <c r="A928" s="3" t="s">
        <v>1087</v>
      </c>
      <c r="B928" s="4"/>
      <c r="C928" s="4"/>
      <c r="D928" s="4" t="b">
        <f t="shared" si="1"/>
        <v>1</v>
      </c>
      <c r="E928" s="4" t="s">
        <v>1087</v>
      </c>
    </row>
    <row r="929">
      <c r="A929" s="3" t="s">
        <v>1088</v>
      </c>
      <c r="B929" s="3">
        <v>3000.0</v>
      </c>
      <c r="C929" s="3" t="s">
        <v>3</v>
      </c>
      <c r="D929" s="4" t="b">
        <f t="shared" si="1"/>
        <v>0</v>
      </c>
      <c r="E929" s="4" t="s">
        <v>1088</v>
      </c>
    </row>
    <row r="930">
      <c r="A930" s="3" t="s">
        <v>1089</v>
      </c>
      <c r="B930" s="3">
        <v>210000.0</v>
      </c>
      <c r="C930" s="4"/>
      <c r="D930" s="4" t="b">
        <f t="shared" si="1"/>
        <v>0</v>
      </c>
      <c r="E930" s="4" t="s">
        <v>1089</v>
      </c>
    </row>
    <row r="931">
      <c r="A931" s="3" t="s">
        <v>1091</v>
      </c>
      <c r="B931" s="3">
        <v>0.0</v>
      </c>
      <c r="C931" s="3" t="s">
        <v>3</v>
      </c>
      <c r="D931" s="4" t="b">
        <f t="shared" si="1"/>
        <v>0</v>
      </c>
      <c r="E931" s="4" t="s">
        <v>1091</v>
      </c>
    </row>
    <row r="932">
      <c r="A932" s="3" t="s">
        <v>1092</v>
      </c>
      <c r="B932" s="3">
        <v>2200.0</v>
      </c>
      <c r="C932" s="4"/>
      <c r="D932" s="4" t="b">
        <f t="shared" si="1"/>
        <v>0</v>
      </c>
      <c r="E932" s="4" t="s">
        <v>1092</v>
      </c>
    </row>
    <row r="933">
      <c r="A933" s="3" t="s">
        <v>1094</v>
      </c>
      <c r="B933" s="3">
        <v>0.0</v>
      </c>
      <c r="C933" s="3" t="s">
        <v>3</v>
      </c>
      <c r="D933" s="4" t="b">
        <f t="shared" si="1"/>
        <v>0</v>
      </c>
      <c r="E933" s="4" t="s">
        <v>1094</v>
      </c>
    </row>
    <row r="934">
      <c r="A934" s="3" t="s">
        <v>1095</v>
      </c>
      <c r="B934" s="3">
        <v>0.0</v>
      </c>
      <c r="C934" s="3" t="s">
        <v>6</v>
      </c>
      <c r="D934" s="4" t="b">
        <f t="shared" si="1"/>
        <v>0</v>
      </c>
      <c r="E934" s="4" t="s">
        <v>1095</v>
      </c>
    </row>
    <row r="935">
      <c r="A935" s="3" t="s">
        <v>1096</v>
      </c>
      <c r="B935" s="3">
        <v>15500.0</v>
      </c>
      <c r="C935" s="3" t="s">
        <v>3</v>
      </c>
      <c r="D935" s="4" t="b">
        <f t="shared" si="1"/>
        <v>0</v>
      </c>
      <c r="E935" s="4" t="s">
        <v>1096</v>
      </c>
    </row>
    <row r="936">
      <c r="A936" s="3" t="s">
        <v>1097</v>
      </c>
      <c r="B936" s="3">
        <v>0.0</v>
      </c>
      <c r="C936" s="3" t="s">
        <v>29</v>
      </c>
      <c r="D936" s="4" t="b">
        <f t="shared" si="1"/>
        <v>0</v>
      </c>
      <c r="E936" s="4" t="s">
        <v>1097</v>
      </c>
    </row>
    <row r="937">
      <c r="A937" s="3" t="s">
        <v>1098</v>
      </c>
      <c r="B937" s="3">
        <v>500.0</v>
      </c>
      <c r="C937" s="4"/>
      <c r="D937" s="4" t="b">
        <f t="shared" si="1"/>
        <v>0</v>
      </c>
      <c r="E937" s="4" t="s">
        <v>1098</v>
      </c>
    </row>
    <row r="938">
      <c r="A938" s="3" t="s">
        <v>1099</v>
      </c>
      <c r="B938" s="3">
        <v>0.0</v>
      </c>
      <c r="C938" s="3" t="s">
        <v>3</v>
      </c>
      <c r="D938" s="4" t="b">
        <f t="shared" si="1"/>
        <v>0</v>
      </c>
      <c r="E938" s="4" t="s">
        <v>1099</v>
      </c>
    </row>
    <row r="939">
      <c r="A939" s="3" t="s">
        <v>1100</v>
      </c>
      <c r="B939" s="3">
        <v>0.0</v>
      </c>
      <c r="C939" s="3" t="s">
        <v>3</v>
      </c>
      <c r="D939" s="4" t="b">
        <f t="shared" si="1"/>
        <v>0</v>
      </c>
      <c r="E939" s="4" t="s">
        <v>1100</v>
      </c>
    </row>
    <row r="940">
      <c r="A940" s="3" t="s">
        <v>1101</v>
      </c>
      <c r="B940" s="3">
        <v>0.0</v>
      </c>
      <c r="C940" s="3" t="s">
        <v>3</v>
      </c>
      <c r="D940" s="4" t="b">
        <f t="shared" si="1"/>
        <v>0</v>
      </c>
      <c r="E940" s="4" t="s">
        <v>2246</v>
      </c>
    </row>
    <row r="941">
      <c r="A941" s="3" t="s">
        <v>1102</v>
      </c>
      <c r="B941" s="4"/>
      <c r="C941" s="4"/>
      <c r="D941" s="4" t="b">
        <f t="shared" si="1"/>
        <v>1</v>
      </c>
      <c r="E941" s="4" t="s">
        <v>1102</v>
      </c>
    </row>
    <row r="942">
      <c r="A942" s="3" t="s">
        <v>1103</v>
      </c>
      <c r="B942" s="3">
        <v>0.0</v>
      </c>
      <c r="C942" s="3" t="s">
        <v>3</v>
      </c>
      <c r="D942" s="4" t="b">
        <f t="shared" si="1"/>
        <v>0</v>
      </c>
      <c r="E942" s="4" t="s">
        <v>1103</v>
      </c>
    </row>
    <row r="943">
      <c r="A943" s="3" t="s">
        <v>1104</v>
      </c>
      <c r="B943" s="3">
        <v>0.0</v>
      </c>
      <c r="C943" s="3" t="s">
        <v>32</v>
      </c>
      <c r="D943" s="4" t="b">
        <f t="shared" si="1"/>
        <v>0</v>
      </c>
      <c r="E943" s="4" t="s">
        <v>2247</v>
      </c>
    </row>
    <row r="944">
      <c r="A944" s="3" t="s">
        <v>1105</v>
      </c>
      <c r="B944" s="4"/>
      <c r="C944" s="4"/>
      <c r="D944" s="4" t="b">
        <f t="shared" si="1"/>
        <v>1</v>
      </c>
      <c r="E944" s="4" t="s">
        <v>1105</v>
      </c>
    </row>
    <row r="945">
      <c r="A945" s="3" t="s">
        <v>1106</v>
      </c>
      <c r="B945" s="3">
        <v>750.0</v>
      </c>
      <c r="C945" s="3" t="s">
        <v>3</v>
      </c>
      <c r="D945" s="4" t="b">
        <f t="shared" si="1"/>
        <v>0</v>
      </c>
      <c r="E945" s="4" t="s">
        <v>1106</v>
      </c>
    </row>
    <row r="946">
      <c r="A946" s="3" t="s">
        <v>1107</v>
      </c>
      <c r="B946" s="3">
        <v>0.0</v>
      </c>
      <c r="C946" s="3" t="s">
        <v>3</v>
      </c>
      <c r="D946" s="4" t="b">
        <f t="shared" si="1"/>
        <v>0</v>
      </c>
      <c r="E946" s="4" t="s">
        <v>1107</v>
      </c>
    </row>
    <row r="947">
      <c r="A947" s="3" t="s">
        <v>1108</v>
      </c>
      <c r="B947" s="3">
        <v>0.0</v>
      </c>
      <c r="C947" s="3" t="s">
        <v>3</v>
      </c>
      <c r="D947" s="4" t="b">
        <f t="shared" si="1"/>
        <v>0</v>
      </c>
      <c r="E947" s="4" t="s">
        <v>2248</v>
      </c>
    </row>
    <row r="948">
      <c r="A948" s="3" t="s">
        <v>1109</v>
      </c>
      <c r="B948" s="4"/>
      <c r="C948" s="4"/>
      <c r="D948" s="4" t="b">
        <f t="shared" si="1"/>
        <v>1</v>
      </c>
      <c r="E948" s="4" t="s">
        <v>1109</v>
      </c>
    </row>
    <row r="949">
      <c r="A949" s="3" t="s">
        <v>1110</v>
      </c>
      <c r="B949" s="3">
        <v>1000.0</v>
      </c>
      <c r="C949" s="3" t="s">
        <v>32</v>
      </c>
      <c r="D949" s="4" t="b">
        <f t="shared" si="1"/>
        <v>0</v>
      </c>
      <c r="E949" s="4" t="s">
        <v>2249</v>
      </c>
    </row>
    <row r="950">
      <c r="A950" s="3">
        <v>33.0</v>
      </c>
      <c r="B950" s="4"/>
      <c r="C950" s="4"/>
      <c r="D950" s="4" t="b">
        <f t="shared" si="1"/>
        <v>1</v>
      </c>
      <c r="E950" s="4">
        <v>33.0</v>
      </c>
    </row>
    <row r="951">
      <c r="A951" s="3" t="s">
        <v>1111</v>
      </c>
      <c r="B951" s="3">
        <v>16000.0</v>
      </c>
      <c r="C951" s="3" t="s">
        <v>6</v>
      </c>
      <c r="D951" s="4" t="b">
        <f t="shared" si="1"/>
        <v>0</v>
      </c>
      <c r="E951" s="4" t="s">
        <v>2250</v>
      </c>
    </row>
    <row r="952">
      <c r="A952" s="3" t="s">
        <v>1112</v>
      </c>
      <c r="B952" s="4"/>
      <c r="C952" s="4"/>
      <c r="D952" s="4" t="b">
        <f t="shared" si="1"/>
        <v>1</v>
      </c>
      <c r="E952" s="4" t="s">
        <v>1112</v>
      </c>
    </row>
    <row r="953">
      <c r="A953" s="3" t="s">
        <v>1113</v>
      </c>
      <c r="B953" s="3">
        <v>5000.0</v>
      </c>
      <c r="C953" s="4"/>
      <c r="D953" s="4" t="b">
        <f t="shared" si="1"/>
        <v>0</v>
      </c>
      <c r="E953" s="4" t="s">
        <v>1113</v>
      </c>
    </row>
    <row r="954">
      <c r="A954" s="3" t="s">
        <v>1114</v>
      </c>
      <c r="B954" s="3">
        <v>0.0</v>
      </c>
      <c r="C954" s="3" t="s">
        <v>6</v>
      </c>
      <c r="D954" s="4" t="b">
        <f t="shared" si="1"/>
        <v>0</v>
      </c>
      <c r="E954" s="4" t="s">
        <v>1114</v>
      </c>
    </row>
    <row r="955">
      <c r="A955" s="3" t="s">
        <v>1115</v>
      </c>
      <c r="B955" s="3">
        <v>0.0</v>
      </c>
      <c r="C955" s="3" t="s">
        <v>3</v>
      </c>
      <c r="D955" s="4" t="b">
        <f t="shared" si="1"/>
        <v>0</v>
      </c>
      <c r="E955" s="4" t="s">
        <v>2251</v>
      </c>
    </row>
    <row r="956">
      <c r="A956" s="3" t="s">
        <v>1116</v>
      </c>
      <c r="B956" s="4"/>
      <c r="C956" s="4"/>
      <c r="D956" s="4" t="b">
        <f t="shared" si="1"/>
        <v>1</v>
      </c>
      <c r="E956" s="4" t="s">
        <v>1116</v>
      </c>
    </row>
    <row r="957">
      <c r="A957" s="3" t="s">
        <v>1117</v>
      </c>
      <c r="B957" s="3">
        <v>0.0</v>
      </c>
      <c r="C957" s="3" t="s">
        <v>3</v>
      </c>
      <c r="D957" s="4" t="b">
        <f t="shared" si="1"/>
        <v>0</v>
      </c>
      <c r="E957" s="4" t="s">
        <v>1117</v>
      </c>
    </row>
    <row r="958">
      <c r="A958" s="3" t="s">
        <v>1118</v>
      </c>
      <c r="B958" s="3">
        <v>0.0</v>
      </c>
      <c r="C958" s="3" t="s">
        <v>6</v>
      </c>
      <c r="D958" s="4" t="b">
        <f t="shared" si="1"/>
        <v>0</v>
      </c>
      <c r="E958" s="4" t="s">
        <v>1118</v>
      </c>
    </row>
    <row r="959">
      <c r="A959" s="3" t="s">
        <v>1119</v>
      </c>
      <c r="B959" s="3">
        <v>0.0</v>
      </c>
      <c r="C959" s="3" t="s">
        <v>3</v>
      </c>
      <c r="D959" s="4" t="b">
        <f t="shared" si="1"/>
        <v>0</v>
      </c>
      <c r="E959" s="4" t="s">
        <v>2252</v>
      </c>
    </row>
    <row r="960">
      <c r="A960" s="3" t="s">
        <v>1120</v>
      </c>
      <c r="B960" s="4"/>
      <c r="C960" s="4"/>
      <c r="D960" s="4" t="b">
        <f t="shared" si="1"/>
        <v>1</v>
      </c>
      <c r="E960" s="4" t="s">
        <v>1120</v>
      </c>
    </row>
    <row r="961">
      <c r="A961" s="3" t="s">
        <v>1121</v>
      </c>
      <c r="B961" s="3">
        <v>2000.0</v>
      </c>
      <c r="C961" s="4"/>
      <c r="D961" s="4" t="b">
        <f t="shared" si="1"/>
        <v>0</v>
      </c>
      <c r="E961" s="4" t="s">
        <v>2253</v>
      </c>
    </row>
    <row r="962">
      <c r="A962" s="3" t="s">
        <v>1122</v>
      </c>
      <c r="B962" s="4"/>
      <c r="C962" s="4"/>
      <c r="D962" s="4" t="b">
        <f t="shared" si="1"/>
        <v>1</v>
      </c>
      <c r="E962" s="4" t="s">
        <v>1122</v>
      </c>
    </row>
    <row r="963">
      <c r="A963" s="3" t="s">
        <v>1123</v>
      </c>
      <c r="B963" s="3">
        <v>0.0</v>
      </c>
      <c r="C963" s="3" t="s">
        <v>3</v>
      </c>
      <c r="D963" s="4" t="b">
        <f t="shared" si="1"/>
        <v>0</v>
      </c>
      <c r="E963" s="4" t="s">
        <v>2254</v>
      </c>
    </row>
    <row r="964">
      <c r="A964" s="3" t="s">
        <v>1124</v>
      </c>
      <c r="B964" s="4"/>
      <c r="C964" s="4"/>
      <c r="D964" s="4" t="b">
        <f t="shared" si="1"/>
        <v>1</v>
      </c>
      <c r="E964" s="4" t="s">
        <v>1124</v>
      </c>
    </row>
    <row r="965">
      <c r="A965" s="3" t="s">
        <v>1125</v>
      </c>
      <c r="B965" s="3">
        <v>0.0</v>
      </c>
      <c r="C965" s="3" t="s">
        <v>3</v>
      </c>
      <c r="D965" s="4" t="b">
        <f t="shared" si="1"/>
        <v>0</v>
      </c>
      <c r="E965" s="4" t="s">
        <v>2255</v>
      </c>
    </row>
    <row r="966">
      <c r="A966" s="3" t="s">
        <v>1126</v>
      </c>
      <c r="B966" s="4"/>
      <c r="C966" s="4"/>
      <c r="D966" s="4" t="b">
        <f t="shared" si="1"/>
        <v>1</v>
      </c>
      <c r="E966" s="4" t="s">
        <v>1126</v>
      </c>
    </row>
    <row r="967">
      <c r="A967" s="3" t="s">
        <v>1127</v>
      </c>
      <c r="B967" s="3">
        <v>0.0</v>
      </c>
      <c r="C967" s="3" t="s">
        <v>32</v>
      </c>
      <c r="D967" s="4" t="b">
        <f t="shared" si="1"/>
        <v>0</v>
      </c>
      <c r="E967" s="4" t="s">
        <v>2256</v>
      </c>
    </row>
    <row r="968">
      <c r="A968" s="3" t="s">
        <v>1128</v>
      </c>
      <c r="B968" s="4"/>
      <c r="C968" s="4"/>
      <c r="D968" s="4" t="b">
        <f t="shared" si="1"/>
        <v>1</v>
      </c>
      <c r="E968" s="4" t="s">
        <v>1128</v>
      </c>
    </row>
    <row r="969">
      <c r="A969" s="3" t="s">
        <v>1129</v>
      </c>
      <c r="B969" s="3">
        <v>800.0</v>
      </c>
      <c r="C969" s="4"/>
      <c r="D969" s="4" t="b">
        <f t="shared" si="1"/>
        <v>0</v>
      </c>
      <c r="E969" s="4" t="s">
        <v>2257</v>
      </c>
    </row>
    <row r="970">
      <c r="A970" s="3" t="s">
        <v>1130</v>
      </c>
      <c r="B970" s="4"/>
      <c r="C970" s="4"/>
      <c r="D970" s="4" t="b">
        <f t="shared" si="1"/>
        <v>1</v>
      </c>
      <c r="E970" s="4" t="s">
        <v>1130</v>
      </c>
    </row>
    <row r="971">
      <c r="A971" s="3" t="s">
        <v>1131</v>
      </c>
      <c r="B971" s="3">
        <v>2000.0</v>
      </c>
      <c r="C971" s="3" t="s">
        <v>6</v>
      </c>
      <c r="D971" s="4" t="b">
        <f t="shared" si="1"/>
        <v>0</v>
      </c>
      <c r="E971" s="4" t="s">
        <v>1131</v>
      </c>
    </row>
    <row r="972">
      <c r="A972" s="3" t="s">
        <v>1132</v>
      </c>
      <c r="B972" s="3">
        <v>0.0</v>
      </c>
      <c r="C972" s="3" t="s">
        <v>6</v>
      </c>
      <c r="D972" s="4" t="b">
        <f t="shared" si="1"/>
        <v>0</v>
      </c>
      <c r="E972" s="4" t="s">
        <v>1132</v>
      </c>
    </row>
    <row r="973">
      <c r="A973" s="3" t="s">
        <v>1133</v>
      </c>
      <c r="B973" s="3">
        <v>0.0</v>
      </c>
      <c r="C973" s="3" t="s">
        <v>32</v>
      </c>
      <c r="D973" s="4" t="b">
        <f t="shared" si="1"/>
        <v>0</v>
      </c>
      <c r="E973" s="4" t="s">
        <v>1133</v>
      </c>
    </row>
    <row r="974">
      <c r="A974" s="3" t="s">
        <v>1134</v>
      </c>
      <c r="B974" s="3">
        <v>500.0</v>
      </c>
      <c r="C974" s="4"/>
      <c r="D974" s="4" t="b">
        <f t="shared" si="1"/>
        <v>0</v>
      </c>
      <c r="E974" s="4" t="s">
        <v>1134</v>
      </c>
    </row>
    <row r="975">
      <c r="A975" s="3" t="s">
        <v>1135</v>
      </c>
      <c r="B975" s="3">
        <v>3000.0</v>
      </c>
      <c r="C975" s="3" t="s">
        <v>6</v>
      </c>
      <c r="D975" s="4" t="b">
        <f t="shared" si="1"/>
        <v>0</v>
      </c>
      <c r="E975" s="4" t="s">
        <v>1135</v>
      </c>
    </row>
    <row r="976">
      <c r="A976" s="3" t="s">
        <v>1136</v>
      </c>
      <c r="B976" s="3">
        <v>402000.0</v>
      </c>
      <c r="C976" s="3" t="s">
        <v>16</v>
      </c>
      <c r="D976" s="4" t="b">
        <f t="shared" si="1"/>
        <v>0</v>
      </c>
      <c r="E976" s="4" t="s">
        <v>1136</v>
      </c>
    </row>
    <row r="977">
      <c r="A977" s="3" t="s">
        <v>1138</v>
      </c>
      <c r="B977" s="3">
        <v>0.0</v>
      </c>
      <c r="C977" s="3" t="s">
        <v>3</v>
      </c>
      <c r="D977" s="4" t="b">
        <f t="shared" si="1"/>
        <v>0</v>
      </c>
      <c r="E977" s="4" t="s">
        <v>1138</v>
      </c>
    </row>
    <row r="978">
      <c r="A978" s="3" t="s">
        <v>1139</v>
      </c>
      <c r="B978" s="3">
        <v>0.0</v>
      </c>
      <c r="C978" s="3" t="s">
        <v>3</v>
      </c>
      <c r="D978" s="4" t="b">
        <f t="shared" si="1"/>
        <v>0</v>
      </c>
      <c r="E978" s="4" t="s">
        <v>1139</v>
      </c>
    </row>
    <row r="979">
      <c r="A979" s="3" t="s">
        <v>1140</v>
      </c>
      <c r="B979" s="3">
        <v>0.0</v>
      </c>
      <c r="C979" s="3" t="s">
        <v>6</v>
      </c>
      <c r="D979" s="4" t="b">
        <f t="shared" si="1"/>
        <v>0</v>
      </c>
      <c r="E979" s="4" t="s">
        <v>1140</v>
      </c>
    </row>
    <row r="980">
      <c r="A980" s="3" t="s">
        <v>1141</v>
      </c>
      <c r="B980" s="3">
        <v>0.0</v>
      </c>
      <c r="C980" s="3" t="s">
        <v>3</v>
      </c>
      <c r="D980" s="4" t="b">
        <f t="shared" si="1"/>
        <v>0</v>
      </c>
      <c r="E980" s="4" t="s">
        <v>1141</v>
      </c>
    </row>
    <row r="981">
      <c r="A981" s="3" t="s">
        <v>1142</v>
      </c>
      <c r="B981" s="3">
        <v>0.0</v>
      </c>
      <c r="C981" s="3" t="s">
        <v>6</v>
      </c>
      <c r="D981" s="4" t="b">
        <f t="shared" si="1"/>
        <v>0</v>
      </c>
      <c r="E981" s="4" t="s">
        <v>1142</v>
      </c>
    </row>
    <row r="982">
      <c r="A982" s="3" t="s">
        <v>1143</v>
      </c>
      <c r="B982" s="3">
        <v>0.0</v>
      </c>
      <c r="C982" s="3" t="s">
        <v>3</v>
      </c>
      <c r="D982" s="4" t="b">
        <f t="shared" si="1"/>
        <v>0</v>
      </c>
      <c r="E982" s="4" t="s">
        <v>1143</v>
      </c>
    </row>
    <row r="983">
      <c r="A983" s="3" t="s">
        <v>1144</v>
      </c>
      <c r="B983" s="3">
        <v>2000.0</v>
      </c>
      <c r="C983" s="4"/>
      <c r="D983" s="4" t="b">
        <f t="shared" si="1"/>
        <v>0</v>
      </c>
      <c r="E983" s="4" t="s">
        <v>1144</v>
      </c>
    </row>
    <row r="984">
      <c r="A984" s="3" t="s">
        <v>1145</v>
      </c>
      <c r="B984" s="3">
        <v>15000.0</v>
      </c>
      <c r="C984" s="3" t="s">
        <v>668</v>
      </c>
      <c r="D984" s="4" t="b">
        <f t="shared" si="1"/>
        <v>0</v>
      </c>
      <c r="E984" s="4" t="s">
        <v>1145</v>
      </c>
    </row>
    <row r="985">
      <c r="A985" s="3" t="s">
        <v>1146</v>
      </c>
      <c r="B985" s="3">
        <v>4250.0</v>
      </c>
      <c r="C985" s="3" t="s">
        <v>29</v>
      </c>
      <c r="D985" s="4" t="b">
        <f t="shared" si="1"/>
        <v>0</v>
      </c>
      <c r="E985" s="4" t="s">
        <v>1146</v>
      </c>
    </row>
    <row r="986">
      <c r="A986" s="3" t="s">
        <v>1148</v>
      </c>
      <c r="B986" s="3">
        <v>0.0</v>
      </c>
      <c r="C986" s="3" t="s">
        <v>26</v>
      </c>
      <c r="D986" s="4" t="b">
        <f t="shared" si="1"/>
        <v>0</v>
      </c>
      <c r="E986" s="4" t="s">
        <v>1148</v>
      </c>
    </row>
    <row r="987">
      <c r="A987" s="3" t="s">
        <v>1149</v>
      </c>
      <c r="B987" s="3">
        <v>0.0</v>
      </c>
      <c r="C987" s="3" t="s">
        <v>29</v>
      </c>
      <c r="D987" s="4" t="b">
        <f t="shared" si="1"/>
        <v>0</v>
      </c>
      <c r="E987" s="4" t="s">
        <v>1149</v>
      </c>
    </row>
    <row r="988">
      <c r="A988" s="3" t="s">
        <v>1150</v>
      </c>
      <c r="B988" s="3">
        <v>100000.0</v>
      </c>
      <c r="C988" s="3" t="s">
        <v>29</v>
      </c>
      <c r="D988" s="4" t="b">
        <f t="shared" si="1"/>
        <v>0</v>
      </c>
      <c r="E988" s="4" t="s">
        <v>1150</v>
      </c>
    </row>
    <row r="989">
      <c r="A989" s="3" t="s">
        <v>1152</v>
      </c>
      <c r="B989" s="3">
        <v>0.0</v>
      </c>
      <c r="C989" s="3" t="s">
        <v>29</v>
      </c>
      <c r="D989" s="4" t="b">
        <f t="shared" si="1"/>
        <v>0</v>
      </c>
      <c r="E989" s="4" t="s">
        <v>1152</v>
      </c>
    </row>
    <row r="990">
      <c r="A990" s="3" t="s">
        <v>1153</v>
      </c>
      <c r="B990" s="3">
        <v>0.0</v>
      </c>
      <c r="C990" s="3" t="s">
        <v>29</v>
      </c>
      <c r="D990" s="4" t="b">
        <f t="shared" si="1"/>
        <v>0</v>
      </c>
      <c r="E990" s="4" t="s">
        <v>1153</v>
      </c>
    </row>
    <row r="991">
      <c r="A991" s="3" t="s">
        <v>1154</v>
      </c>
      <c r="B991" s="3">
        <v>0.0</v>
      </c>
      <c r="C991" s="3" t="s">
        <v>3</v>
      </c>
      <c r="D991" s="4" t="b">
        <f t="shared" si="1"/>
        <v>0</v>
      </c>
      <c r="E991" s="4" t="s">
        <v>1154</v>
      </c>
    </row>
    <row r="992">
      <c r="A992" s="3" t="s">
        <v>1155</v>
      </c>
      <c r="B992" s="3">
        <v>0.0</v>
      </c>
      <c r="C992" s="3" t="s">
        <v>3</v>
      </c>
      <c r="D992" s="4" t="b">
        <f t="shared" si="1"/>
        <v>0</v>
      </c>
      <c r="E992" s="4" t="s">
        <v>1155</v>
      </c>
    </row>
    <row r="993">
      <c r="A993" s="3" t="s">
        <v>1156</v>
      </c>
      <c r="B993" s="3">
        <v>33251.0</v>
      </c>
      <c r="C993" s="4"/>
      <c r="D993" s="4" t="b">
        <f t="shared" si="1"/>
        <v>0</v>
      </c>
      <c r="E993" s="4" t="s">
        <v>1156</v>
      </c>
    </row>
    <row r="994">
      <c r="A994" s="3" t="s">
        <v>1158</v>
      </c>
      <c r="B994" s="3">
        <v>0.0</v>
      </c>
      <c r="C994" s="3" t="s">
        <v>3</v>
      </c>
      <c r="D994" s="4" t="b">
        <f t="shared" si="1"/>
        <v>0</v>
      </c>
      <c r="E994" s="4" t="s">
        <v>1158</v>
      </c>
    </row>
    <row r="995">
      <c r="A995" s="3" t="s">
        <v>1159</v>
      </c>
      <c r="B995" s="3">
        <v>426565.0</v>
      </c>
      <c r="C995" s="3" t="s">
        <v>32</v>
      </c>
      <c r="D995" s="4" t="b">
        <f t="shared" si="1"/>
        <v>0</v>
      </c>
      <c r="E995" s="4" t="s">
        <v>1159</v>
      </c>
    </row>
    <row r="996">
      <c r="A996" s="3" t="s">
        <v>1161</v>
      </c>
      <c r="B996" s="3">
        <v>500.0</v>
      </c>
      <c r="C996" s="4"/>
      <c r="D996" s="4" t="b">
        <f t="shared" si="1"/>
        <v>0</v>
      </c>
      <c r="E996" s="4" t="s">
        <v>1161</v>
      </c>
    </row>
    <row r="997">
      <c r="A997" s="3" t="s">
        <v>1162</v>
      </c>
      <c r="B997" s="3">
        <v>0.0</v>
      </c>
      <c r="C997" s="3" t="s">
        <v>3</v>
      </c>
      <c r="D997" s="4" t="b">
        <f t="shared" si="1"/>
        <v>0</v>
      </c>
      <c r="E997" s="4" t="s">
        <v>1162</v>
      </c>
    </row>
    <row r="998">
      <c r="A998" s="3" t="s">
        <v>1163</v>
      </c>
      <c r="B998" s="3">
        <v>0.0</v>
      </c>
      <c r="C998" s="3" t="s">
        <v>3</v>
      </c>
      <c r="D998" s="4" t="b">
        <f t="shared" si="1"/>
        <v>0</v>
      </c>
      <c r="E998" s="4" t="s">
        <v>1163</v>
      </c>
    </row>
    <row r="999">
      <c r="A999" s="3" t="s">
        <v>1164</v>
      </c>
      <c r="B999" s="3">
        <v>0.0</v>
      </c>
      <c r="C999" s="3" t="s">
        <v>3</v>
      </c>
      <c r="D999" s="4" t="b">
        <f t="shared" si="1"/>
        <v>0</v>
      </c>
      <c r="E999" s="4" t="s">
        <v>1164</v>
      </c>
    </row>
    <row r="1000">
      <c r="A1000" s="3" t="s">
        <v>1165</v>
      </c>
      <c r="B1000" s="3">
        <v>3000.0</v>
      </c>
      <c r="C1000" s="3" t="s">
        <v>3</v>
      </c>
      <c r="D1000" s="4" t="b">
        <f t="shared" si="1"/>
        <v>0</v>
      </c>
      <c r="E1000" s="4" t="s">
        <v>1165</v>
      </c>
    </row>
    <row r="1001">
      <c r="A1001" s="3" t="s">
        <v>1166</v>
      </c>
      <c r="B1001" s="3">
        <v>0.0</v>
      </c>
      <c r="C1001" s="3" t="s">
        <v>3</v>
      </c>
      <c r="D1001" s="4" t="b">
        <f t="shared" si="1"/>
        <v>0</v>
      </c>
      <c r="E1001" s="4" t="s">
        <v>1166</v>
      </c>
    </row>
    <row r="1002">
      <c r="A1002" s="3" t="s">
        <v>1167</v>
      </c>
      <c r="B1002" s="3">
        <v>0.0</v>
      </c>
      <c r="C1002" s="3" t="s">
        <v>3</v>
      </c>
      <c r="D1002" s="4" t="b">
        <f t="shared" si="1"/>
        <v>0</v>
      </c>
      <c r="E1002" s="4" t="s">
        <v>1167</v>
      </c>
    </row>
    <row r="1003">
      <c r="A1003" s="3" t="s">
        <v>1168</v>
      </c>
      <c r="B1003" s="3">
        <v>0.0</v>
      </c>
      <c r="C1003" s="3" t="s">
        <v>3</v>
      </c>
      <c r="D1003" s="4" t="b">
        <f t="shared" si="1"/>
        <v>0</v>
      </c>
      <c r="E1003" s="4" t="s">
        <v>1168</v>
      </c>
    </row>
    <row r="1004">
      <c r="A1004" s="3" t="s">
        <v>1169</v>
      </c>
      <c r="B1004" s="3">
        <v>0.0</v>
      </c>
      <c r="C1004" s="3" t="s">
        <v>3</v>
      </c>
      <c r="D1004" s="4" t="b">
        <f t="shared" si="1"/>
        <v>0</v>
      </c>
      <c r="E1004" s="4" t="s">
        <v>1169</v>
      </c>
    </row>
    <row r="1005">
      <c r="A1005" s="3" t="s">
        <v>1170</v>
      </c>
      <c r="B1005" s="3">
        <v>0.0</v>
      </c>
      <c r="C1005" s="3" t="s">
        <v>3</v>
      </c>
      <c r="D1005" s="4" t="b">
        <f t="shared" si="1"/>
        <v>0</v>
      </c>
      <c r="E1005" s="4" t="s">
        <v>1170</v>
      </c>
    </row>
    <row r="1006">
      <c r="A1006" s="3" t="s">
        <v>1171</v>
      </c>
      <c r="B1006" s="3">
        <v>0.0</v>
      </c>
      <c r="C1006" s="3" t="s">
        <v>3</v>
      </c>
      <c r="D1006" s="4" t="b">
        <f t="shared" si="1"/>
        <v>0</v>
      </c>
      <c r="E1006" s="4" t="s">
        <v>1171</v>
      </c>
    </row>
    <row r="1007">
      <c r="A1007" s="3" t="s">
        <v>1172</v>
      </c>
      <c r="B1007" s="3">
        <v>0.0</v>
      </c>
      <c r="C1007" s="3" t="s">
        <v>6</v>
      </c>
      <c r="D1007" s="4" t="b">
        <f t="shared" si="1"/>
        <v>0</v>
      </c>
      <c r="E1007" s="4" t="s">
        <v>1172</v>
      </c>
    </row>
    <row r="1008">
      <c r="A1008" s="3" t="s">
        <v>1173</v>
      </c>
      <c r="B1008" s="3">
        <v>0.0</v>
      </c>
      <c r="C1008" s="3" t="s">
        <v>3</v>
      </c>
      <c r="D1008" s="4" t="b">
        <f t="shared" si="1"/>
        <v>0</v>
      </c>
      <c r="E1008" s="4" t="s">
        <v>1173</v>
      </c>
    </row>
    <row r="1009">
      <c r="A1009" s="3" t="s">
        <v>1174</v>
      </c>
      <c r="B1009" s="3">
        <v>0.0</v>
      </c>
      <c r="C1009" s="3" t="s">
        <v>3</v>
      </c>
      <c r="D1009" s="4" t="b">
        <f t="shared" si="1"/>
        <v>0</v>
      </c>
      <c r="E1009" s="4" t="s">
        <v>1174</v>
      </c>
    </row>
    <row r="1010">
      <c r="A1010" s="3" t="s">
        <v>1175</v>
      </c>
      <c r="B1010" s="3">
        <v>500.0</v>
      </c>
      <c r="C1010" s="4"/>
      <c r="D1010" s="4" t="b">
        <f t="shared" si="1"/>
        <v>0</v>
      </c>
      <c r="E1010" s="4" t="s">
        <v>2258</v>
      </c>
    </row>
    <row r="1011">
      <c r="A1011" s="3" t="s">
        <v>1176</v>
      </c>
      <c r="B1011" s="4"/>
      <c r="C1011" s="4"/>
      <c r="D1011" s="4" t="b">
        <f t="shared" si="1"/>
        <v>1</v>
      </c>
      <c r="E1011" s="4" t="s">
        <v>1176</v>
      </c>
    </row>
    <row r="1012">
      <c r="A1012" s="3" t="s">
        <v>1177</v>
      </c>
      <c r="B1012" s="3">
        <v>2800.0</v>
      </c>
      <c r="C1012" s="3" t="s">
        <v>3</v>
      </c>
      <c r="D1012" s="4" t="b">
        <f t="shared" si="1"/>
        <v>0</v>
      </c>
      <c r="E1012" s="4" t="s">
        <v>1177</v>
      </c>
    </row>
    <row r="1013">
      <c r="A1013" s="3" t="s">
        <v>1178</v>
      </c>
      <c r="B1013" s="3">
        <v>1800.0</v>
      </c>
      <c r="C1013" s="4"/>
      <c r="D1013" s="4" t="b">
        <f t="shared" si="1"/>
        <v>0</v>
      </c>
      <c r="E1013" s="4" t="s">
        <v>1178</v>
      </c>
    </row>
    <row r="1014">
      <c r="A1014" s="3" t="s">
        <v>1179</v>
      </c>
      <c r="B1014" s="3">
        <v>334000.0</v>
      </c>
      <c r="C1014" s="4"/>
      <c r="D1014" s="4" t="b">
        <f t="shared" si="1"/>
        <v>0</v>
      </c>
      <c r="E1014" s="4" t="s">
        <v>1179</v>
      </c>
    </row>
    <row r="1015">
      <c r="A1015" s="3" t="s">
        <v>1181</v>
      </c>
      <c r="B1015" s="3">
        <v>1000.0</v>
      </c>
      <c r="C1015" s="4"/>
      <c r="D1015" s="4" t="b">
        <f t="shared" si="1"/>
        <v>0</v>
      </c>
      <c r="E1015" s="4" t="s">
        <v>1181</v>
      </c>
    </row>
    <row r="1016">
      <c r="A1016" s="3" t="s">
        <v>1182</v>
      </c>
      <c r="B1016" s="3">
        <v>500.0</v>
      </c>
      <c r="C1016" s="4"/>
      <c r="D1016" s="4" t="b">
        <f t="shared" si="1"/>
        <v>0</v>
      </c>
      <c r="E1016" s="4" t="s">
        <v>1182</v>
      </c>
    </row>
    <row r="1017">
      <c r="A1017" s="3" t="s">
        <v>1183</v>
      </c>
      <c r="B1017" s="3">
        <v>0.0</v>
      </c>
      <c r="C1017" s="3" t="s">
        <v>3</v>
      </c>
      <c r="D1017" s="4" t="b">
        <f t="shared" si="1"/>
        <v>0</v>
      </c>
      <c r="E1017" s="4" t="s">
        <v>1183</v>
      </c>
    </row>
    <row r="1018">
      <c r="A1018" s="3" t="s">
        <v>1184</v>
      </c>
      <c r="B1018" s="3">
        <v>141174.0</v>
      </c>
      <c r="C1018" s="3" t="s">
        <v>37</v>
      </c>
      <c r="D1018" s="4" t="b">
        <f t="shared" si="1"/>
        <v>0</v>
      </c>
      <c r="E1018" s="4" t="s">
        <v>2259</v>
      </c>
    </row>
    <row r="1019">
      <c r="A1019" s="4"/>
      <c r="B1019" s="4"/>
      <c r="C1019" s="3" t="s">
        <v>38</v>
      </c>
      <c r="D1019" s="4" t="b">
        <f t="shared" si="1"/>
        <v>1</v>
      </c>
      <c r="E1019" s="4"/>
    </row>
    <row r="1020">
      <c r="A1020" s="3" t="s">
        <v>1186</v>
      </c>
      <c r="B1020" s="3">
        <v>0.0</v>
      </c>
      <c r="C1020" s="3" t="s">
        <v>6</v>
      </c>
      <c r="D1020" s="4" t="b">
        <f t="shared" si="1"/>
        <v>0</v>
      </c>
      <c r="E1020" s="4" t="s">
        <v>1186</v>
      </c>
    </row>
    <row r="1021">
      <c r="A1021" s="3" t="s">
        <v>1187</v>
      </c>
      <c r="B1021" s="3">
        <v>115000.0</v>
      </c>
      <c r="C1021" s="3" t="s">
        <v>32</v>
      </c>
      <c r="D1021" s="4" t="b">
        <f t="shared" si="1"/>
        <v>0</v>
      </c>
      <c r="E1021" s="4" t="s">
        <v>1187</v>
      </c>
    </row>
    <row r="1022">
      <c r="A1022" s="3" t="s">
        <v>1188</v>
      </c>
      <c r="B1022" s="3">
        <v>492222.0</v>
      </c>
      <c r="C1022" s="3" t="s">
        <v>32</v>
      </c>
      <c r="D1022" s="4" t="b">
        <f t="shared" si="1"/>
        <v>0</v>
      </c>
      <c r="E1022" s="4" t="s">
        <v>1188</v>
      </c>
    </row>
    <row r="1023">
      <c r="A1023" s="3" t="s">
        <v>1190</v>
      </c>
      <c r="B1023" s="3">
        <v>0.0</v>
      </c>
      <c r="C1023" s="3" t="s">
        <v>3</v>
      </c>
      <c r="D1023" s="4" t="b">
        <f t="shared" si="1"/>
        <v>0</v>
      </c>
      <c r="E1023" s="4" t="s">
        <v>1190</v>
      </c>
    </row>
    <row r="1024">
      <c r="A1024" s="3" t="s">
        <v>1191</v>
      </c>
      <c r="B1024" s="3">
        <v>0.0</v>
      </c>
      <c r="C1024" s="3" t="s">
        <v>6</v>
      </c>
      <c r="D1024" s="4" t="b">
        <f t="shared" si="1"/>
        <v>0</v>
      </c>
      <c r="E1024" s="4" t="s">
        <v>1191</v>
      </c>
    </row>
    <row r="1025">
      <c r="A1025" s="3" t="s">
        <v>1192</v>
      </c>
      <c r="B1025" s="3">
        <v>5500.0</v>
      </c>
      <c r="C1025" s="3" t="s">
        <v>29</v>
      </c>
      <c r="D1025" s="4" t="b">
        <f t="shared" si="1"/>
        <v>0</v>
      </c>
      <c r="E1025" s="4" t="s">
        <v>1192</v>
      </c>
    </row>
    <row r="1026">
      <c r="A1026" s="3" t="s">
        <v>1193</v>
      </c>
      <c r="B1026" s="3">
        <v>4000.0</v>
      </c>
      <c r="C1026" s="4"/>
      <c r="D1026" s="4" t="b">
        <f t="shared" si="1"/>
        <v>0</v>
      </c>
      <c r="E1026" s="4" t="s">
        <v>1193</v>
      </c>
    </row>
    <row r="1027">
      <c r="A1027" s="3" t="s">
        <v>1194</v>
      </c>
      <c r="B1027" s="3">
        <v>16000.0</v>
      </c>
      <c r="C1027" s="4"/>
      <c r="D1027" s="4" t="b">
        <f t="shared" si="1"/>
        <v>0</v>
      </c>
      <c r="E1027" s="4" t="s">
        <v>1194</v>
      </c>
    </row>
    <row r="1028">
      <c r="A1028" s="3" t="s">
        <v>1195</v>
      </c>
      <c r="B1028" s="3">
        <v>0.0</v>
      </c>
      <c r="C1028" s="3" t="s">
        <v>3</v>
      </c>
      <c r="D1028" s="4" t="b">
        <f t="shared" si="1"/>
        <v>0</v>
      </c>
      <c r="E1028" s="4" t="s">
        <v>1195</v>
      </c>
    </row>
    <row r="1029">
      <c r="A1029" s="3" t="s">
        <v>1196</v>
      </c>
      <c r="B1029" s="3">
        <v>500.0</v>
      </c>
      <c r="C1029" s="4"/>
      <c r="D1029" s="4" t="b">
        <f t="shared" si="1"/>
        <v>0</v>
      </c>
      <c r="E1029" s="4" t="s">
        <v>1196</v>
      </c>
    </row>
    <row r="1030">
      <c r="A1030" s="3" t="s">
        <v>1197</v>
      </c>
      <c r="B1030" s="3">
        <v>0.0</v>
      </c>
      <c r="C1030" s="3" t="s">
        <v>3</v>
      </c>
      <c r="D1030" s="4" t="b">
        <f t="shared" si="1"/>
        <v>0</v>
      </c>
      <c r="E1030" s="4" t="s">
        <v>2260</v>
      </c>
    </row>
    <row r="1031">
      <c r="A1031" s="3" t="s">
        <v>1198</v>
      </c>
      <c r="B1031" s="4"/>
      <c r="C1031" s="4"/>
      <c r="D1031" s="4" t="b">
        <f t="shared" si="1"/>
        <v>1</v>
      </c>
      <c r="E1031" s="4" t="s">
        <v>1198</v>
      </c>
    </row>
    <row r="1032">
      <c r="A1032" s="3" t="s">
        <v>1199</v>
      </c>
      <c r="B1032" s="3">
        <v>0.0</v>
      </c>
      <c r="C1032" s="3" t="s">
        <v>3</v>
      </c>
      <c r="D1032" s="4" t="b">
        <f t="shared" si="1"/>
        <v>0</v>
      </c>
      <c r="E1032" s="4" t="s">
        <v>2261</v>
      </c>
    </row>
    <row r="1033">
      <c r="A1033" s="3" t="s">
        <v>1200</v>
      </c>
      <c r="B1033" s="4"/>
      <c r="C1033" s="4"/>
      <c r="D1033" s="4" t="b">
        <f t="shared" si="1"/>
        <v>1</v>
      </c>
      <c r="E1033" s="4" t="s">
        <v>1200</v>
      </c>
    </row>
    <row r="1034">
      <c r="A1034" s="3" t="s">
        <v>1201</v>
      </c>
      <c r="B1034" s="3">
        <v>0.0</v>
      </c>
      <c r="C1034" s="3" t="s">
        <v>16</v>
      </c>
      <c r="D1034" s="4" t="b">
        <f t="shared" si="1"/>
        <v>0</v>
      </c>
      <c r="E1034" s="4" t="s">
        <v>1201</v>
      </c>
    </row>
    <row r="1035">
      <c r="A1035" s="3" t="s">
        <v>1202</v>
      </c>
      <c r="B1035" s="3">
        <v>0.0</v>
      </c>
      <c r="C1035" s="3" t="s">
        <v>32</v>
      </c>
      <c r="D1035" s="4" t="b">
        <f t="shared" si="1"/>
        <v>0</v>
      </c>
      <c r="E1035" s="4" t="s">
        <v>1202</v>
      </c>
    </row>
    <row r="1036">
      <c r="A1036" s="3" t="s">
        <v>1203</v>
      </c>
      <c r="B1036" s="3">
        <v>190000.0</v>
      </c>
      <c r="C1036" s="4"/>
      <c r="D1036" s="4" t="b">
        <f t="shared" si="1"/>
        <v>0</v>
      </c>
      <c r="E1036" s="4" t="s">
        <v>1203</v>
      </c>
    </row>
    <row r="1037">
      <c r="A1037" s="3" t="s">
        <v>1205</v>
      </c>
      <c r="B1037" s="3">
        <v>35000.0</v>
      </c>
      <c r="C1037" s="4"/>
      <c r="D1037" s="4" t="b">
        <f t="shared" si="1"/>
        <v>0</v>
      </c>
      <c r="E1037" s="4" t="s">
        <v>2262</v>
      </c>
    </row>
    <row r="1038">
      <c r="A1038" s="3" t="s">
        <v>33</v>
      </c>
      <c r="B1038" s="4"/>
      <c r="C1038" s="4"/>
      <c r="D1038" s="4" t="b">
        <f t="shared" si="1"/>
        <v>1</v>
      </c>
      <c r="E1038" s="4" t="s">
        <v>33</v>
      </c>
    </row>
    <row r="1039">
      <c r="A1039" s="3" t="s">
        <v>1207</v>
      </c>
      <c r="B1039" s="3">
        <v>1000.0</v>
      </c>
      <c r="C1039" s="4"/>
      <c r="D1039" s="4" t="b">
        <f t="shared" si="1"/>
        <v>0</v>
      </c>
      <c r="E1039" s="4" t="s">
        <v>2263</v>
      </c>
    </row>
    <row r="1040">
      <c r="A1040" s="3" t="s">
        <v>1208</v>
      </c>
      <c r="B1040" s="4"/>
      <c r="C1040" s="4"/>
      <c r="D1040" s="4" t="b">
        <f t="shared" si="1"/>
        <v>1</v>
      </c>
      <c r="E1040" s="4" t="s">
        <v>1208</v>
      </c>
    </row>
    <row r="1041">
      <c r="A1041" s="3" t="s">
        <v>1209</v>
      </c>
      <c r="B1041" s="3">
        <v>1500.0</v>
      </c>
      <c r="C1041" s="4"/>
      <c r="D1041" s="4" t="b">
        <f t="shared" si="1"/>
        <v>0</v>
      </c>
      <c r="E1041" s="4" t="s">
        <v>1209</v>
      </c>
    </row>
    <row r="1042">
      <c r="A1042" s="3" t="s">
        <v>1210</v>
      </c>
      <c r="B1042" s="3">
        <v>0.0</v>
      </c>
      <c r="C1042" s="3" t="s">
        <v>3</v>
      </c>
      <c r="D1042" s="4" t="b">
        <f t="shared" si="1"/>
        <v>0</v>
      </c>
      <c r="E1042" s="4" t="s">
        <v>2264</v>
      </c>
    </row>
    <row r="1043">
      <c r="A1043" s="3" t="s">
        <v>1211</v>
      </c>
      <c r="B1043" s="4"/>
      <c r="C1043" s="4"/>
      <c r="D1043" s="4" t="b">
        <f t="shared" si="1"/>
        <v>1</v>
      </c>
      <c r="E1043" s="4" t="s">
        <v>1211</v>
      </c>
    </row>
    <row r="1044">
      <c r="A1044" s="3" t="s">
        <v>1212</v>
      </c>
      <c r="B1044" s="3">
        <v>2500.0</v>
      </c>
      <c r="C1044" s="3" t="s">
        <v>3</v>
      </c>
      <c r="D1044" s="4" t="b">
        <f t="shared" si="1"/>
        <v>0</v>
      </c>
      <c r="E1044" s="4" t="s">
        <v>2265</v>
      </c>
    </row>
    <row r="1045">
      <c r="A1045" s="3" t="s">
        <v>1213</v>
      </c>
      <c r="B1045" s="4"/>
      <c r="C1045" s="4"/>
      <c r="D1045" s="4" t="b">
        <f t="shared" si="1"/>
        <v>1</v>
      </c>
      <c r="E1045" s="4" t="s">
        <v>1213</v>
      </c>
    </row>
    <row r="1046">
      <c r="A1046" s="3" t="s">
        <v>1214</v>
      </c>
      <c r="B1046" s="3">
        <v>5000.0</v>
      </c>
      <c r="C1046" s="3" t="s">
        <v>29</v>
      </c>
      <c r="D1046" s="4" t="b">
        <f t="shared" si="1"/>
        <v>0</v>
      </c>
      <c r="E1046" s="4" t="s">
        <v>1214</v>
      </c>
    </row>
    <row r="1047">
      <c r="A1047" s="3" t="s">
        <v>1215</v>
      </c>
      <c r="B1047" s="3">
        <v>0.0</v>
      </c>
      <c r="C1047" s="3" t="s">
        <v>29</v>
      </c>
      <c r="D1047" s="4" t="b">
        <f t="shared" si="1"/>
        <v>0</v>
      </c>
      <c r="E1047" s="4" t="s">
        <v>1215</v>
      </c>
    </row>
    <row r="1048">
      <c r="A1048" s="3" t="s">
        <v>1216</v>
      </c>
      <c r="B1048" s="3">
        <v>0.0</v>
      </c>
      <c r="C1048" s="3" t="s">
        <v>3</v>
      </c>
      <c r="D1048" s="4" t="b">
        <f t="shared" si="1"/>
        <v>0</v>
      </c>
      <c r="E1048" s="4" t="s">
        <v>1216</v>
      </c>
    </row>
    <row r="1049">
      <c r="A1049" s="3" t="s">
        <v>1217</v>
      </c>
      <c r="B1049" s="3">
        <v>0.0</v>
      </c>
      <c r="C1049" s="3" t="s">
        <v>29</v>
      </c>
      <c r="D1049" s="4" t="b">
        <f t="shared" si="1"/>
        <v>0</v>
      </c>
      <c r="E1049" s="4" t="s">
        <v>1217</v>
      </c>
    </row>
    <row r="1050">
      <c r="A1050" s="3" t="s">
        <v>1218</v>
      </c>
      <c r="B1050" s="3">
        <v>0.0</v>
      </c>
      <c r="C1050" s="3" t="s">
        <v>29</v>
      </c>
      <c r="D1050" s="4" t="b">
        <f t="shared" si="1"/>
        <v>0</v>
      </c>
      <c r="E1050" s="4" t="s">
        <v>1218</v>
      </c>
    </row>
    <row r="1051">
      <c r="A1051" s="3" t="s">
        <v>1219</v>
      </c>
      <c r="B1051" s="3">
        <v>0.0</v>
      </c>
      <c r="C1051" s="3" t="s">
        <v>26</v>
      </c>
      <c r="D1051" s="4" t="b">
        <f t="shared" si="1"/>
        <v>0</v>
      </c>
      <c r="E1051" s="4" t="s">
        <v>1219</v>
      </c>
    </row>
    <row r="1052">
      <c r="A1052" s="3" t="s">
        <v>1220</v>
      </c>
      <c r="B1052" s="3">
        <v>0.0</v>
      </c>
      <c r="C1052" s="3" t="s">
        <v>3</v>
      </c>
      <c r="D1052" s="4" t="b">
        <f t="shared" si="1"/>
        <v>0</v>
      </c>
      <c r="E1052" s="4" t="s">
        <v>1220</v>
      </c>
    </row>
    <row r="1053">
      <c r="A1053" s="3" t="s">
        <v>1221</v>
      </c>
      <c r="B1053" s="3">
        <v>0.0</v>
      </c>
      <c r="C1053" s="3" t="s">
        <v>3</v>
      </c>
      <c r="D1053" s="4" t="b">
        <f t="shared" si="1"/>
        <v>0</v>
      </c>
      <c r="E1053" s="4" t="s">
        <v>1221</v>
      </c>
    </row>
    <row r="1054">
      <c r="A1054" s="3" t="s">
        <v>1222</v>
      </c>
      <c r="B1054" s="3">
        <v>0.0</v>
      </c>
      <c r="C1054" s="3" t="s">
        <v>6</v>
      </c>
      <c r="D1054" s="4" t="b">
        <f t="shared" si="1"/>
        <v>0</v>
      </c>
      <c r="E1054" s="4" t="s">
        <v>1222</v>
      </c>
    </row>
    <row r="1055">
      <c r="A1055" s="3" t="s">
        <v>1223</v>
      </c>
      <c r="B1055" s="3">
        <v>3000.0</v>
      </c>
      <c r="C1055" s="3" t="s">
        <v>3</v>
      </c>
      <c r="D1055" s="4" t="b">
        <f t="shared" si="1"/>
        <v>0</v>
      </c>
      <c r="E1055" s="4" t="s">
        <v>1223</v>
      </c>
    </row>
    <row r="1056">
      <c r="A1056" s="3" t="s">
        <v>1224</v>
      </c>
      <c r="B1056" s="3">
        <v>0.0</v>
      </c>
      <c r="C1056" s="3" t="s">
        <v>6</v>
      </c>
      <c r="D1056" s="4" t="b">
        <f t="shared" si="1"/>
        <v>0</v>
      </c>
      <c r="E1056" s="4" t="s">
        <v>1224</v>
      </c>
    </row>
    <row r="1057">
      <c r="A1057" s="3" t="s">
        <v>1225</v>
      </c>
      <c r="B1057" s="3">
        <v>0.0</v>
      </c>
      <c r="C1057" s="3" t="s">
        <v>3</v>
      </c>
      <c r="D1057" s="4" t="b">
        <f t="shared" si="1"/>
        <v>0</v>
      </c>
      <c r="E1057" s="4" t="s">
        <v>1225</v>
      </c>
    </row>
    <row r="1058">
      <c r="A1058" s="3" t="s">
        <v>1226</v>
      </c>
      <c r="B1058" s="3">
        <v>0.0</v>
      </c>
      <c r="C1058" s="3" t="s">
        <v>29</v>
      </c>
      <c r="D1058" s="4" t="b">
        <f t="shared" si="1"/>
        <v>0</v>
      </c>
      <c r="E1058" s="4" t="s">
        <v>1226</v>
      </c>
    </row>
    <row r="1059">
      <c r="A1059" s="3" t="s">
        <v>1227</v>
      </c>
      <c r="B1059" s="3">
        <v>66000.0</v>
      </c>
      <c r="C1059" s="4"/>
      <c r="D1059" s="4" t="b">
        <f t="shared" si="1"/>
        <v>0</v>
      </c>
      <c r="E1059" s="4" t="s">
        <v>1227</v>
      </c>
    </row>
    <row r="1060">
      <c r="A1060" s="3" t="s">
        <v>1229</v>
      </c>
      <c r="B1060" s="3">
        <v>0.0</v>
      </c>
      <c r="C1060" s="3" t="s">
        <v>6</v>
      </c>
      <c r="D1060" s="4" t="b">
        <f t="shared" si="1"/>
        <v>0</v>
      </c>
      <c r="E1060" s="4" t="s">
        <v>1229</v>
      </c>
    </row>
    <row r="1061">
      <c r="A1061" s="3" t="s">
        <v>1230</v>
      </c>
      <c r="B1061" s="3">
        <v>0.0</v>
      </c>
      <c r="C1061" s="3" t="s">
        <v>3</v>
      </c>
      <c r="D1061" s="4" t="b">
        <f t="shared" si="1"/>
        <v>0</v>
      </c>
      <c r="E1061" s="4" t="s">
        <v>2266</v>
      </c>
    </row>
    <row r="1062">
      <c r="A1062" s="3" t="s">
        <v>1231</v>
      </c>
      <c r="B1062" s="4"/>
      <c r="C1062" s="4"/>
      <c r="D1062" s="4" t="b">
        <f t="shared" si="1"/>
        <v>1</v>
      </c>
      <c r="E1062" s="4" t="s">
        <v>1231</v>
      </c>
    </row>
    <row r="1063">
      <c r="A1063" s="3" t="s">
        <v>1232</v>
      </c>
      <c r="B1063" s="3">
        <v>0.0</v>
      </c>
      <c r="C1063" s="3" t="s">
        <v>29</v>
      </c>
      <c r="D1063" s="4" t="b">
        <f t="shared" si="1"/>
        <v>0</v>
      </c>
      <c r="E1063" s="4" t="s">
        <v>1232</v>
      </c>
    </row>
    <row r="1064">
      <c r="A1064" s="3" t="s">
        <v>1233</v>
      </c>
      <c r="B1064" s="3">
        <v>0.0</v>
      </c>
      <c r="C1064" s="3" t="s">
        <v>3</v>
      </c>
      <c r="D1064" s="4" t="b">
        <f t="shared" si="1"/>
        <v>0</v>
      </c>
      <c r="E1064" s="4" t="s">
        <v>1233</v>
      </c>
    </row>
    <row r="1065">
      <c r="A1065" s="3" t="s">
        <v>1234</v>
      </c>
      <c r="B1065" s="3">
        <v>8308.0</v>
      </c>
      <c r="C1065" s="3" t="s">
        <v>26</v>
      </c>
      <c r="D1065" s="4" t="b">
        <f t="shared" si="1"/>
        <v>0</v>
      </c>
      <c r="E1065" s="4" t="s">
        <v>1234</v>
      </c>
    </row>
    <row r="1066">
      <c r="A1066" s="3" t="s">
        <v>1236</v>
      </c>
      <c r="B1066" s="3">
        <v>0.0</v>
      </c>
      <c r="C1066" s="3" t="s">
        <v>6</v>
      </c>
      <c r="D1066" s="4" t="b">
        <f t="shared" si="1"/>
        <v>0</v>
      </c>
      <c r="E1066" s="4" t="s">
        <v>1236</v>
      </c>
    </row>
    <row r="1067">
      <c r="A1067" s="3" t="s">
        <v>1237</v>
      </c>
      <c r="B1067" s="3">
        <v>0.0</v>
      </c>
      <c r="C1067" s="3" t="s">
        <v>32</v>
      </c>
      <c r="D1067" s="4" t="b">
        <f t="shared" si="1"/>
        <v>0</v>
      </c>
      <c r="E1067" s="4" t="s">
        <v>1237</v>
      </c>
    </row>
    <row r="1068">
      <c r="A1068" s="3" t="s">
        <v>1238</v>
      </c>
      <c r="B1068" s="3">
        <v>1500.0</v>
      </c>
      <c r="C1068" s="4"/>
      <c r="D1068" s="4" t="b">
        <f t="shared" si="1"/>
        <v>0</v>
      </c>
      <c r="E1068" s="4" t="s">
        <v>1238</v>
      </c>
    </row>
    <row r="1069">
      <c r="A1069" s="3" t="s">
        <v>1239</v>
      </c>
      <c r="B1069" s="3">
        <v>0.0</v>
      </c>
      <c r="C1069" s="3" t="s">
        <v>3</v>
      </c>
      <c r="D1069" s="4" t="b">
        <f t="shared" si="1"/>
        <v>0</v>
      </c>
      <c r="E1069" s="4" t="s">
        <v>1239</v>
      </c>
    </row>
    <row r="1070">
      <c r="A1070" s="3" t="s">
        <v>1240</v>
      </c>
      <c r="B1070" s="3">
        <v>0.0</v>
      </c>
      <c r="C1070" s="3" t="s">
        <v>3</v>
      </c>
      <c r="D1070" s="4" t="b">
        <f t="shared" si="1"/>
        <v>0</v>
      </c>
      <c r="E1070" s="4" t="s">
        <v>1240</v>
      </c>
    </row>
    <row r="1071">
      <c r="A1071" s="3" t="s">
        <v>1241</v>
      </c>
      <c r="B1071" s="3">
        <v>300.0</v>
      </c>
      <c r="C1071" s="4"/>
      <c r="D1071" s="4" t="b">
        <f t="shared" si="1"/>
        <v>0</v>
      </c>
      <c r="E1071" s="4" t="s">
        <v>1241</v>
      </c>
    </row>
    <row r="1072">
      <c r="A1072" s="3" t="s">
        <v>1242</v>
      </c>
      <c r="B1072" s="3">
        <v>4500.0</v>
      </c>
      <c r="C1072" s="3" t="s">
        <v>3</v>
      </c>
      <c r="D1072" s="4" t="b">
        <f t="shared" si="1"/>
        <v>0</v>
      </c>
      <c r="E1072" s="4" t="s">
        <v>1242</v>
      </c>
    </row>
    <row r="1073">
      <c r="A1073" s="3" t="s">
        <v>1243</v>
      </c>
      <c r="B1073" s="3">
        <v>7000.0</v>
      </c>
      <c r="C1073" s="3" t="s">
        <v>26</v>
      </c>
      <c r="D1073" s="4" t="b">
        <f t="shared" si="1"/>
        <v>0</v>
      </c>
      <c r="E1073" s="4" t="s">
        <v>1243</v>
      </c>
    </row>
    <row r="1074">
      <c r="A1074" s="3" t="s">
        <v>1244</v>
      </c>
      <c r="B1074" s="3">
        <v>3000.0</v>
      </c>
      <c r="C1074" s="4"/>
      <c r="D1074" s="4" t="b">
        <f t="shared" si="1"/>
        <v>0</v>
      </c>
      <c r="E1074" s="4" t="s">
        <v>1244</v>
      </c>
    </row>
    <row r="1075">
      <c r="A1075" s="3" t="s">
        <v>1245</v>
      </c>
      <c r="B1075" s="3">
        <v>500.0</v>
      </c>
      <c r="C1075" s="4"/>
      <c r="D1075" s="4" t="b">
        <f t="shared" si="1"/>
        <v>0</v>
      </c>
      <c r="E1075" s="4" t="s">
        <v>1245</v>
      </c>
    </row>
    <row r="1076">
      <c r="A1076" s="3" t="s">
        <v>1246</v>
      </c>
      <c r="B1076" s="3">
        <v>21000.0</v>
      </c>
      <c r="C1076" s="4"/>
      <c r="D1076" s="4" t="b">
        <f t="shared" si="1"/>
        <v>0</v>
      </c>
      <c r="E1076" s="4" t="s">
        <v>1246</v>
      </c>
    </row>
    <row r="1077">
      <c r="A1077" s="3" t="s">
        <v>1247</v>
      </c>
      <c r="B1077" s="3">
        <v>3000.0</v>
      </c>
      <c r="C1077" s="4"/>
      <c r="D1077" s="4" t="b">
        <f t="shared" si="1"/>
        <v>0</v>
      </c>
      <c r="E1077" s="4" t="s">
        <v>1247</v>
      </c>
    </row>
    <row r="1078">
      <c r="A1078" s="3" t="s">
        <v>1248</v>
      </c>
      <c r="B1078" s="3">
        <v>12000.0</v>
      </c>
      <c r="C1078" s="4"/>
      <c r="D1078" s="4" t="b">
        <f t="shared" si="1"/>
        <v>0</v>
      </c>
      <c r="E1078" s="4" t="s">
        <v>1248</v>
      </c>
    </row>
    <row r="1079">
      <c r="A1079" s="3" t="s">
        <v>1249</v>
      </c>
      <c r="B1079" s="3">
        <v>0.0</v>
      </c>
      <c r="C1079" s="3" t="s">
        <v>3</v>
      </c>
      <c r="D1079" s="4" t="b">
        <f t="shared" si="1"/>
        <v>0</v>
      </c>
      <c r="E1079" s="4" t="s">
        <v>1249</v>
      </c>
    </row>
    <row r="1080">
      <c r="A1080" s="3" t="s">
        <v>1250</v>
      </c>
      <c r="B1080" s="3">
        <v>0.0</v>
      </c>
      <c r="C1080" s="3" t="s">
        <v>3</v>
      </c>
      <c r="D1080" s="4" t="b">
        <f t="shared" si="1"/>
        <v>0</v>
      </c>
      <c r="E1080" s="4" t="s">
        <v>2267</v>
      </c>
    </row>
    <row r="1081">
      <c r="A1081" s="3" t="s">
        <v>1251</v>
      </c>
      <c r="B1081" s="4"/>
      <c r="C1081" s="4"/>
      <c r="D1081" s="4" t="b">
        <f t="shared" si="1"/>
        <v>1</v>
      </c>
      <c r="E1081" s="4" t="s">
        <v>1251</v>
      </c>
    </row>
    <row r="1082">
      <c r="A1082" s="3" t="s">
        <v>1252</v>
      </c>
      <c r="B1082" s="3">
        <v>2500.0</v>
      </c>
      <c r="C1082" s="4"/>
      <c r="D1082" s="4" t="b">
        <f t="shared" si="1"/>
        <v>0</v>
      </c>
      <c r="E1082" s="4" t="s">
        <v>1252</v>
      </c>
    </row>
    <row r="1083">
      <c r="A1083" s="3" t="s">
        <v>1253</v>
      </c>
      <c r="B1083" s="3">
        <v>0.0</v>
      </c>
      <c r="C1083" s="3" t="s">
        <v>6</v>
      </c>
      <c r="D1083" s="4" t="b">
        <f t="shared" si="1"/>
        <v>0</v>
      </c>
      <c r="E1083" s="4" t="s">
        <v>1253</v>
      </c>
    </row>
    <row r="1084">
      <c r="A1084" s="3" t="s">
        <v>1254</v>
      </c>
      <c r="B1084" s="3">
        <v>0.0</v>
      </c>
      <c r="C1084" s="3" t="s">
        <v>484</v>
      </c>
      <c r="D1084" s="4" t="b">
        <f t="shared" si="1"/>
        <v>0</v>
      </c>
      <c r="E1084" s="4" t="s">
        <v>1254</v>
      </c>
    </row>
    <row r="1085">
      <c r="A1085" s="3" t="s">
        <v>1255</v>
      </c>
      <c r="B1085" s="3">
        <v>0.0</v>
      </c>
      <c r="C1085" s="3" t="s">
        <v>3</v>
      </c>
      <c r="D1085" s="4" t="b">
        <f t="shared" si="1"/>
        <v>0</v>
      </c>
      <c r="E1085" s="4" t="s">
        <v>2268</v>
      </c>
    </row>
    <row r="1086">
      <c r="A1086" s="3" t="s">
        <v>1256</v>
      </c>
      <c r="B1086" s="4"/>
      <c r="C1086" s="4"/>
      <c r="D1086" s="4" t="b">
        <f t="shared" si="1"/>
        <v>1</v>
      </c>
      <c r="E1086" s="4" t="s">
        <v>1256</v>
      </c>
    </row>
    <row r="1087">
      <c r="A1087" s="3" t="s">
        <v>1257</v>
      </c>
      <c r="B1087" s="3">
        <v>0.0</v>
      </c>
      <c r="C1087" s="3" t="s">
        <v>29</v>
      </c>
      <c r="D1087" s="4" t="b">
        <f t="shared" si="1"/>
        <v>0</v>
      </c>
      <c r="E1087" s="4" t="s">
        <v>1257</v>
      </c>
    </row>
    <row r="1088">
      <c r="A1088" s="3" t="s">
        <v>1258</v>
      </c>
      <c r="B1088" s="3">
        <v>1500.0</v>
      </c>
      <c r="C1088" s="4"/>
      <c r="D1088" s="4" t="b">
        <f t="shared" si="1"/>
        <v>0</v>
      </c>
      <c r="E1088" s="4" t="s">
        <v>1258</v>
      </c>
    </row>
    <row r="1089">
      <c r="A1089" s="3" t="s">
        <v>1259</v>
      </c>
      <c r="B1089" s="3">
        <v>1000.0</v>
      </c>
      <c r="C1089" s="3" t="s">
        <v>6</v>
      </c>
      <c r="D1089" s="4" t="b">
        <f t="shared" si="1"/>
        <v>0</v>
      </c>
      <c r="E1089" s="4" t="s">
        <v>1259</v>
      </c>
    </row>
    <row r="1090">
      <c r="A1090" s="3" t="s">
        <v>1260</v>
      </c>
      <c r="B1090" s="3">
        <v>1550.0</v>
      </c>
      <c r="C1090" s="4"/>
      <c r="D1090" s="4" t="b">
        <f t="shared" si="1"/>
        <v>0</v>
      </c>
      <c r="E1090" s="4" t="s">
        <v>1260</v>
      </c>
    </row>
    <row r="1091">
      <c r="A1091" s="3" t="s">
        <v>1262</v>
      </c>
      <c r="B1091" s="3">
        <v>25000.0</v>
      </c>
      <c r="C1091" s="4"/>
      <c r="D1091" s="4" t="b">
        <f t="shared" si="1"/>
        <v>0</v>
      </c>
      <c r="E1091" s="4" t="s">
        <v>1262</v>
      </c>
    </row>
    <row r="1092">
      <c r="A1092" s="3" t="s">
        <v>1264</v>
      </c>
      <c r="B1092" s="3">
        <v>9000.0</v>
      </c>
      <c r="C1092" s="4"/>
      <c r="D1092" s="4" t="b">
        <f t="shared" si="1"/>
        <v>0</v>
      </c>
      <c r="E1092" s="4" t="s">
        <v>1264</v>
      </c>
    </row>
    <row r="1093">
      <c r="A1093" s="3" t="s">
        <v>1266</v>
      </c>
      <c r="B1093" s="3">
        <v>0.0</v>
      </c>
      <c r="C1093" s="3" t="s">
        <v>3</v>
      </c>
      <c r="D1093" s="4" t="b">
        <f t="shared" si="1"/>
        <v>0</v>
      </c>
      <c r="E1093" s="4" t="s">
        <v>1266</v>
      </c>
    </row>
    <row r="1094">
      <c r="A1094" s="3" t="s">
        <v>1267</v>
      </c>
      <c r="B1094" s="3">
        <v>0.0</v>
      </c>
      <c r="C1094" s="3" t="s">
        <v>29</v>
      </c>
      <c r="D1094" s="4" t="b">
        <f t="shared" si="1"/>
        <v>0</v>
      </c>
      <c r="E1094" s="4" t="s">
        <v>1267</v>
      </c>
    </row>
    <row r="1095">
      <c r="A1095" s="3" t="s">
        <v>1268</v>
      </c>
      <c r="B1095" s="3">
        <v>0.0</v>
      </c>
      <c r="C1095" s="3" t="s">
        <v>6</v>
      </c>
      <c r="D1095" s="4" t="b">
        <f t="shared" si="1"/>
        <v>0</v>
      </c>
      <c r="E1095" s="4" t="s">
        <v>1268</v>
      </c>
    </row>
    <row r="1096">
      <c r="A1096" s="3" t="s">
        <v>1269</v>
      </c>
      <c r="B1096" s="3">
        <v>800.0</v>
      </c>
      <c r="C1096" s="4"/>
      <c r="D1096" s="4" t="b">
        <f t="shared" si="1"/>
        <v>0</v>
      </c>
      <c r="E1096" s="4" t="s">
        <v>1269</v>
      </c>
    </row>
    <row r="1097">
      <c r="A1097" s="3" t="s">
        <v>1270</v>
      </c>
      <c r="B1097" s="3">
        <v>478850.0</v>
      </c>
      <c r="C1097" s="3" t="s">
        <v>32</v>
      </c>
      <c r="D1097" s="4" t="b">
        <f t="shared" si="1"/>
        <v>0</v>
      </c>
      <c r="E1097" s="4" t="s">
        <v>1270</v>
      </c>
    </row>
    <row r="1098">
      <c r="A1098" s="3" t="s">
        <v>1272</v>
      </c>
      <c r="B1098" s="3">
        <v>700.0</v>
      </c>
      <c r="C1098" s="3" t="s">
        <v>3</v>
      </c>
      <c r="D1098" s="4" t="b">
        <f t="shared" si="1"/>
        <v>0</v>
      </c>
      <c r="E1098" s="4" t="s">
        <v>1272</v>
      </c>
    </row>
    <row r="1099">
      <c r="A1099" s="3" t="s">
        <v>1273</v>
      </c>
      <c r="B1099" s="3">
        <v>24500.0</v>
      </c>
      <c r="C1099" s="3" t="s">
        <v>3</v>
      </c>
      <c r="D1099" s="4" t="b">
        <f t="shared" si="1"/>
        <v>0</v>
      </c>
      <c r="E1099" s="4" t="s">
        <v>1273</v>
      </c>
    </row>
    <row r="1100">
      <c r="A1100" s="3" t="s">
        <v>1275</v>
      </c>
      <c r="B1100" s="3">
        <v>0.0</v>
      </c>
      <c r="C1100" s="3" t="s">
        <v>29</v>
      </c>
      <c r="D1100" s="4" t="b">
        <f t="shared" si="1"/>
        <v>0</v>
      </c>
      <c r="E1100" s="4" t="s">
        <v>1275</v>
      </c>
    </row>
    <row r="1101">
      <c r="A1101" s="3" t="s">
        <v>1276</v>
      </c>
      <c r="B1101" s="3">
        <v>0.0</v>
      </c>
      <c r="C1101" s="3" t="s">
        <v>3</v>
      </c>
      <c r="D1101" s="4" t="b">
        <f t="shared" si="1"/>
        <v>0</v>
      </c>
      <c r="E1101" s="4" t="s">
        <v>1276</v>
      </c>
    </row>
    <row r="1102">
      <c r="A1102" s="3" t="s">
        <v>1277</v>
      </c>
      <c r="B1102" s="3">
        <v>14000.0</v>
      </c>
      <c r="C1102" s="3" t="s">
        <v>16</v>
      </c>
      <c r="D1102" s="4" t="b">
        <f t="shared" si="1"/>
        <v>0</v>
      </c>
      <c r="E1102" s="4" t="s">
        <v>1277</v>
      </c>
    </row>
    <row r="1103">
      <c r="A1103" s="3" t="s">
        <v>1278</v>
      </c>
      <c r="B1103" s="3">
        <v>10000.0</v>
      </c>
      <c r="C1103" s="4"/>
      <c r="D1103" s="4" t="b">
        <f t="shared" si="1"/>
        <v>0</v>
      </c>
      <c r="E1103" s="4" t="s">
        <v>1278</v>
      </c>
    </row>
    <row r="1104">
      <c r="A1104" s="3" t="s">
        <v>1279</v>
      </c>
      <c r="B1104" s="3">
        <v>6000.0</v>
      </c>
      <c r="C1104" s="4"/>
      <c r="D1104" s="4" t="b">
        <f t="shared" si="1"/>
        <v>0</v>
      </c>
      <c r="E1104" s="4" t="s">
        <v>1279</v>
      </c>
    </row>
    <row r="1105">
      <c r="A1105" s="3" t="s">
        <v>1280</v>
      </c>
      <c r="B1105" s="3">
        <v>0.0</v>
      </c>
      <c r="C1105" s="3" t="s">
        <v>3</v>
      </c>
      <c r="D1105" s="4" t="b">
        <f t="shared" si="1"/>
        <v>0</v>
      </c>
      <c r="E1105" s="4" t="s">
        <v>1280</v>
      </c>
    </row>
    <row r="1106">
      <c r="A1106" s="3" t="s">
        <v>1281</v>
      </c>
      <c r="B1106" s="3">
        <v>3000.0</v>
      </c>
      <c r="C1106" s="3" t="s">
        <v>3</v>
      </c>
      <c r="D1106" s="4" t="b">
        <f t="shared" si="1"/>
        <v>0</v>
      </c>
      <c r="E1106" s="4" t="s">
        <v>1281</v>
      </c>
    </row>
    <row r="1107">
      <c r="A1107" s="3" t="s">
        <v>1282</v>
      </c>
      <c r="B1107" s="3">
        <v>0.0</v>
      </c>
      <c r="C1107" s="3" t="s">
        <v>3</v>
      </c>
      <c r="D1107" s="4" t="b">
        <f t="shared" si="1"/>
        <v>0</v>
      </c>
      <c r="E1107" s="4" t="s">
        <v>1282</v>
      </c>
    </row>
    <row r="1108">
      <c r="A1108" s="3" t="s">
        <v>1283</v>
      </c>
      <c r="B1108" s="3">
        <v>0.0</v>
      </c>
      <c r="C1108" s="3" t="s">
        <v>3</v>
      </c>
      <c r="D1108" s="4" t="b">
        <f t="shared" si="1"/>
        <v>0</v>
      </c>
      <c r="E1108" s="4" t="s">
        <v>1283</v>
      </c>
    </row>
    <row r="1109">
      <c r="A1109" s="3" t="s">
        <v>1284</v>
      </c>
      <c r="B1109" s="3">
        <v>0.0</v>
      </c>
      <c r="C1109" s="3" t="s">
        <v>32</v>
      </c>
      <c r="D1109" s="4" t="b">
        <f t="shared" si="1"/>
        <v>0</v>
      </c>
      <c r="E1109" s="4" t="s">
        <v>1284</v>
      </c>
    </row>
    <row r="1110">
      <c r="A1110" s="3" t="s">
        <v>1285</v>
      </c>
      <c r="B1110" s="3">
        <v>3300.0</v>
      </c>
      <c r="C1110" s="4"/>
      <c r="D1110" s="4" t="b">
        <f t="shared" si="1"/>
        <v>0</v>
      </c>
      <c r="E1110" s="4" t="s">
        <v>1285</v>
      </c>
    </row>
    <row r="1111">
      <c r="A1111" s="3" t="s">
        <v>1287</v>
      </c>
      <c r="B1111" s="3">
        <v>4000.0</v>
      </c>
      <c r="C1111" s="3" t="s">
        <v>3</v>
      </c>
      <c r="D1111" s="4" t="b">
        <f t="shared" si="1"/>
        <v>0</v>
      </c>
      <c r="E1111" s="4" t="s">
        <v>1287</v>
      </c>
    </row>
    <row r="1112">
      <c r="A1112" s="3" t="s">
        <v>1288</v>
      </c>
      <c r="B1112" s="3">
        <v>10083.0</v>
      </c>
      <c r="C1112" s="3" t="s">
        <v>32</v>
      </c>
      <c r="D1112" s="4" t="b">
        <f t="shared" si="1"/>
        <v>0</v>
      </c>
      <c r="E1112" s="4" t="s">
        <v>1288</v>
      </c>
    </row>
    <row r="1113">
      <c r="A1113" s="3" t="s">
        <v>1290</v>
      </c>
      <c r="B1113" s="3">
        <v>3000.0</v>
      </c>
      <c r="C1113" s="3" t="s">
        <v>3</v>
      </c>
      <c r="D1113" s="4" t="b">
        <f t="shared" si="1"/>
        <v>0</v>
      </c>
      <c r="E1113" s="4" t="s">
        <v>1290</v>
      </c>
    </row>
    <row r="1114">
      <c r="A1114" s="3" t="s">
        <v>1291</v>
      </c>
      <c r="B1114" s="3">
        <v>0.0</v>
      </c>
      <c r="C1114" s="3" t="s">
        <v>29</v>
      </c>
      <c r="D1114" s="4" t="b">
        <f t="shared" si="1"/>
        <v>0</v>
      </c>
      <c r="E1114" s="4" t="s">
        <v>1291</v>
      </c>
    </row>
    <row r="1115">
      <c r="A1115" s="3" t="s">
        <v>1292</v>
      </c>
      <c r="B1115" s="3">
        <v>0.0</v>
      </c>
      <c r="C1115" s="3" t="s">
        <v>3</v>
      </c>
      <c r="D1115" s="4" t="b">
        <f t="shared" si="1"/>
        <v>0</v>
      </c>
      <c r="E1115" s="4" t="s">
        <v>1292</v>
      </c>
    </row>
    <row r="1116">
      <c r="A1116" s="3" t="s">
        <v>1293</v>
      </c>
      <c r="B1116" s="3">
        <v>7370.0</v>
      </c>
      <c r="C1116" s="3" t="s">
        <v>29</v>
      </c>
      <c r="D1116" s="4" t="b">
        <f t="shared" si="1"/>
        <v>0</v>
      </c>
      <c r="E1116" s="4" t="s">
        <v>1293</v>
      </c>
    </row>
    <row r="1117">
      <c r="A1117" s="3" t="s">
        <v>1295</v>
      </c>
      <c r="B1117" s="3">
        <v>0.0</v>
      </c>
      <c r="C1117" s="3" t="s">
        <v>3</v>
      </c>
      <c r="D1117" s="4" t="b">
        <f t="shared" si="1"/>
        <v>0</v>
      </c>
      <c r="E1117" s="4" t="s">
        <v>1295</v>
      </c>
    </row>
    <row r="1118">
      <c r="A1118" s="3" t="s">
        <v>1296</v>
      </c>
      <c r="B1118" s="3">
        <v>0.0</v>
      </c>
      <c r="C1118" s="3" t="s">
        <v>3</v>
      </c>
      <c r="D1118" s="4" t="b">
        <f t="shared" si="1"/>
        <v>0</v>
      </c>
      <c r="E1118" s="4" t="s">
        <v>1296</v>
      </c>
    </row>
    <row r="1119">
      <c r="A1119" s="3" t="s">
        <v>1297</v>
      </c>
      <c r="B1119" s="3">
        <v>0.0</v>
      </c>
      <c r="C1119" s="3" t="s">
        <v>3</v>
      </c>
      <c r="D1119" s="4" t="b">
        <f t="shared" si="1"/>
        <v>0</v>
      </c>
      <c r="E1119" s="4" t="s">
        <v>1297</v>
      </c>
    </row>
    <row r="1120">
      <c r="A1120" s="3" t="s">
        <v>1298</v>
      </c>
      <c r="B1120" s="3">
        <v>0.0</v>
      </c>
      <c r="C1120" s="3" t="s">
        <v>3</v>
      </c>
      <c r="D1120" s="4" t="b">
        <f t="shared" si="1"/>
        <v>0</v>
      </c>
      <c r="E1120" s="4" t="s">
        <v>1298</v>
      </c>
    </row>
    <row r="1121">
      <c r="A1121" s="3" t="s">
        <v>1299</v>
      </c>
      <c r="B1121" s="3">
        <v>0.0</v>
      </c>
      <c r="C1121" s="3" t="s">
        <v>3</v>
      </c>
      <c r="D1121" s="4" t="b">
        <f t="shared" si="1"/>
        <v>0</v>
      </c>
      <c r="E1121" s="4" t="s">
        <v>1299</v>
      </c>
    </row>
    <row r="1122">
      <c r="A1122" s="3" t="s">
        <v>1300</v>
      </c>
      <c r="B1122" s="3">
        <v>2000.0</v>
      </c>
      <c r="C1122" s="3" t="s">
        <v>6</v>
      </c>
      <c r="D1122" s="4" t="b">
        <f t="shared" si="1"/>
        <v>0</v>
      </c>
      <c r="E1122" s="4" t="s">
        <v>1300</v>
      </c>
    </row>
    <row r="1123">
      <c r="A1123" s="3" t="s">
        <v>1301</v>
      </c>
      <c r="B1123" s="3">
        <v>0.0</v>
      </c>
      <c r="C1123" s="3" t="s">
        <v>3</v>
      </c>
      <c r="D1123" s="4" t="b">
        <f t="shared" si="1"/>
        <v>0</v>
      </c>
      <c r="E1123" s="4" t="s">
        <v>1301</v>
      </c>
    </row>
    <row r="1124">
      <c r="A1124" s="3" t="s">
        <v>1302</v>
      </c>
      <c r="B1124" s="3">
        <v>0.0</v>
      </c>
      <c r="C1124" s="3" t="s">
        <v>29</v>
      </c>
      <c r="D1124" s="4" t="b">
        <f t="shared" si="1"/>
        <v>0</v>
      </c>
      <c r="E1124" s="4" t="s">
        <v>1302</v>
      </c>
    </row>
    <row r="1125">
      <c r="A1125" s="3" t="s">
        <v>1303</v>
      </c>
      <c r="B1125" s="3">
        <v>500.0</v>
      </c>
      <c r="C1125" s="3" t="s">
        <v>6</v>
      </c>
      <c r="D1125" s="4" t="b">
        <f t="shared" si="1"/>
        <v>0</v>
      </c>
      <c r="E1125" s="4" t="s">
        <v>1303</v>
      </c>
    </row>
    <row r="1126">
      <c r="A1126" s="3" t="s">
        <v>1304</v>
      </c>
      <c r="B1126" s="3">
        <v>9000.0</v>
      </c>
      <c r="C1126" s="3" t="s">
        <v>3</v>
      </c>
      <c r="D1126" s="4" t="b">
        <f t="shared" si="1"/>
        <v>0</v>
      </c>
      <c r="E1126" s="4" t="s">
        <v>1304</v>
      </c>
    </row>
    <row r="1127">
      <c r="A1127" s="3" t="s">
        <v>1305</v>
      </c>
      <c r="B1127" s="3">
        <v>2000.0</v>
      </c>
      <c r="C1127" s="3" t="s">
        <v>3</v>
      </c>
      <c r="D1127" s="4" t="b">
        <f t="shared" si="1"/>
        <v>0</v>
      </c>
      <c r="E1127" s="4" t="s">
        <v>1305</v>
      </c>
    </row>
    <row r="1128">
      <c r="A1128" s="3" t="s">
        <v>1306</v>
      </c>
      <c r="B1128" s="3">
        <v>1700.0</v>
      </c>
      <c r="C1128" s="4"/>
      <c r="D1128" s="4" t="b">
        <f t="shared" si="1"/>
        <v>0</v>
      </c>
      <c r="E1128" s="4" t="s">
        <v>1306</v>
      </c>
    </row>
    <row r="1129">
      <c r="A1129" s="3" t="s">
        <v>1307</v>
      </c>
      <c r="B1129" s="3">
        <v>0.0</v>
      </c>
      <c r="C1129" s="3" t="s">
        <v>32</v>
      </c>
      <c r="D1129" s="4" t="b">
        <f t="shared" si="1"/>
        <v>0</v>
      </c>
      <c r="E1129" s="4" t="s">
        <v>1307</v>
      </c>
    </row>
    <row r="1130">
      <c r="A1130" s="3" t="s">
        <v>1308</v>
      </c>
      <c r="B1130" s="3">
        <v>3000.0</v>
      </c>
      <c r="C1130" s="4"/>
      <c r="D1130" s="4" t="b">
        <f t="shared" si="1"/>
        <v>0</v>
      </c>
      <c r="E1130" s="4" t="s">
        <v>1308</v>
      </c>
    </row>
    <row r="1131">
      <c r="A1131" s="3" t="s">
        <v>1309</v>
      </c>
      <c r="B1131" s="3">
        <v>0.0</v>
      </c>
      <c r="C1131" s="3" t="s">
        <v>3</v>
      </c>
      <c r="D1131" s="4" t="b">
        <f t="shared" si="1"/>
        <v>0</v>
      </c>
      <c r="E1131" s="4" t="s">
        <v>1309</v>
      </c>
    </row>
    <row r="1132">
      <c r="A1132" s="3" t="s">
        <v>1310</v>
      </c>
      <c r="B1132" s="3">
        <v>0.0</v>
      </c>
      <c r="C1132" s="3" t="s">
        <v>6</v>
      </c>
      <c r="D1132" s="4" t="b">
        <f t="shared" si="1"/>
        <v>0</v>
      </c>
      <c r="E1132" s="4" t="s">
        <v>1310</v>
      </c>
    </row>
    <row r="1133">
      <c r="A1133" s="3" t="s">
        <v>1311</v>
      </c>
      <c r="B1133" s="3">
        <v>0.0</v>
      </c>
      <c r="C1133" s="3" t="s">
        <v>3</v>
      </c>
      <c r="D1133" s="4" t="b">
        <f t="shared" si="1"/>
        <v>0</v>
      </c>
      <c r="E1133" s="4" t="s">
        <v>1311</v>
      </c>
    </row>
    <row r="1134">
      <c r="A1134" s="3" t="s">
        <v>1312</v>
      </c>
      <c r="B1134" s="3">
        <v>500.0</v>
      </c>
      <c r="C1134" s="3" t="s">
        <v>3</v>
      </c>
      <c r="D1134" s="4" t="b">
        <f t="shared" si="1"/>
        <v>0</v>
      </c>
      <c r="E1134" s="4" t="s">
        <v>1312</v>
      </c>
    </row>
    <row r="1135">
      <c r="A1135" s="3" t="s">
        <v>1313</v>
      </c>
      <c r="B1135" s="3">
        <v>0.0</v>
      </c>
      <c r="C1135" s="3" t="s">
        <v>3</v>
      </c>
      <c r="D1135" s="4" t="b">
        <f t="shared" si="1"/>
        <v>0</v>
      </c>
      <c r="E1135" s="4" t="s">
        <v>1313</v>
      </c>
    </row>
    <row r="1136">
      <c r="A1136" s="3" t="s">
        <v>1314</v>
      </c>
      <c r="B1136" s="3">
        <v>4000.0</v>
      </c>
      <c r="C1136" s="4"/>
      <c r="D1136" s="4" t="b">
        <f t="shared" si="1"/>
        <v>0</v>
      </c>
      <c r="E1136" s="4" t="s">
        <v>1314</v>
      </c>
    </row>
    <row r="1137">
      <c r="A1137" s="3" t="s">
        <v>1315</v>
      </c>
      <c r="B1137" s="3">
        <v>16000.0</v>
      </c>
      <c r="C1137" s="3" t="s">
        <v>3</v>
      </c>
      <c r="D1137" s="4" t="b">
        <f t="shared" si="1"/>
        <v>0</v>
      </c>
      <c r="E1137" s="4" t="s">
        <v>1315</v>
      </c>
    </row>
    <row r="1138">
      <c r="A1138" s="3" t="s">
        <v>1316</v>
      </c>
      <c r="B1138" s="3">
        <v>0.0</v>
      </c>
      <c r="C1138" s="3" t="s">
        <v>3</v>
      </c>
      <c r="D1138" s="4" t="b">
        <f t="shared" si="1"/>
        <v>0</v>
      </c>
      <c r="E1138" s="4" t="s">
        <v>1316</v>
      </c>
    </row>
    <row r="1139">
      <c r="A1139" s="3" t="s">
        <v>1317</v>
      </c>
      <c r="B1139" s="3">
        <v>0.0</v>
      </c>
      <c r="C1139" s="3" t="s">
        <v>6</v>
      </c>
      <c r="D1139" s="4" t="b">
        <f t="shared" si="1"/>
        <v>0</v>
      </c>
      <c r="E1139" s="4" t="s">
        <v>1317</v>
      </c>
    </row>
    <row r="1140">
      <c r="A1140" s="3" t="s">
        <v>1318</v>
      </c>
      <c r="B1140" s="3">
        <v>2000.0</v>
      </c>
      <c r="C1140" s="4"/>
      <c r="D1140" s="4" t="b">
        <f t="shared" si="1"/>
        <v>0</v>
      </c>
      <c r="E1140" s="4" t="s">
        <v>1318</v>
      </c>
    </row>
    <row r="1141">
      <c r="A1141" s="3" t="s">
        <v>1319</v>
      </c>
      <c r="B1141" s="3">
        <v>0.0</v>
      </c>
      <c r="C1141" s="3" t="s">
        <v>3</v>
      </c>
      <c r="D1141" s="4" t="b">
        <f t="shared" si="1"/>
        <v>0</v>
      </c>
      <c r="E1141" s="4" t="s">
        <v>2269</v>
      </c>
    </row>
    <row r="1142">
      <c r="A1142" s="3" t="s">
        <v>1320</v>
      </c>
      <c r="B1142" s="4"/>
      <c r="C1142" s="4"/>
      <c r="D1142" s="4" t="b">
        <f t="shared" si="1"/>
        <v>1</v>
      </c>
      <c r="E1142" s="4" t="s">
        <v>1320</v>
      </c>
    </row>
    <row r="1143">
      <c r="A1143" s="3" t="s">
        <v>1321</v>
      </c>
      <c r="B1143" s="3">
        <v>8000.0</v>
      </c>
      <c r="C1143" s="4"/>
      <c r="D1143" s="4" t="b">
        <f t="shared" si="1"/>
        <v>0</v>
      </c>
      <c r="E1143" s="4" t="s">
        <v>1321</v>
      </c>
    </row>
    <row r="1144">
      <c r="A1144" s="3" t="s">
        <v>1322</v>
      </c>
      <c r="B1144" s="3">
        <v>23000.0</v>
      </c>
      <c r="C1144" s="3" t="s">
        <v>3</v>
      </c>
      <c r="D1144" s="4" t="b">
        <f t="shared" si="1"/>
        <v>0</v>
      </c>
      <c r="E1144" s="4" t="s">
        <v>1322</v>
      </c>
    </row>
    <row r="1145">
      <c r="A1145" s="3" t="s">
        <v>1323</v>
      </c>
      <c r="B1145" s="3">
        <v>0.0</v>
      </c>
      <c r="C1145" s="3" t="s">
        <v>3</v>
      </c>
      <c r="D1145" s="4" t="b">
        <f t="shared" si="1"/>
        <v>0</v>
      </c>
      <c r="E1145" s="4" t="s">
        <v>1323</v>
      </c>
    </row>
    <row r="1146">
      <c r="A1146" s="3" t="s">
        <v>1324</v>
      </c>
      <c r="B1146" s="3">
        <v>4500.0</v>
      </c>
      <c r="C1146" s="3" t="s">
        <v>16</v>
      </c>
      <c r="D1146" s="4" t="b">
        <f t="shared" si="1"/>
        <v>0</v>
      </c>
      <c r="E1146" s="4" t="s">
        <v>1324</v>
      </c>
    </row>
    <row r="1147">
      <c r="A1147" s="3" t="s">
        <v>1325</v>
      </c>
      <c r="B1147" s="3">
        <v>0.0</v>
      </c>
      <c r="C1147" s="3" t="s">
        <v>3</v>
      </c>
      <c r="D1147" s="4" t="b">
        <f t="shared" si="1"/>
        <v>0</v>
      </c>
      <c r="E1147" s="4" t="s">
        <v>1325</v>
      </c>
    </row>
    <row r="1148">
      <c r="A1148" s="3" t="s">
        <v>1326</v>
      </c>
      <c r="B1148" s="3">
        <v>3000.0</v>
      </c>
      <c r="C1148" s="4"/>
      <c r="D1148" s="4" t="b">
        <f t="shared" si="1"/>
        <v>0</v>
      </c>
      <c r="E1148" s="4" t="s">
        <v>1326</v>
      </c>
    </row>
    <row r="1149">
      <c r="A1149" s="3" t="s">
        <v>1327</v>
      </c>
      <c r="B1149" s="3">
        <v>0.0</v>
      </c>
      <c r="C1149" s="3" t="s">
        <v>6</v>
      </c>
      <c r="D1149" s="4" t="b">
        <f t="shared" si="1"/>
        <v>0</v>
      </c>
      <c r="E1149" s="4" t="s">
        <v>1327</v>
      </c>
    </row>
    <row r="1150">
      <c r="A1150" s="3" t="s">
        <v>1328</v>
      </c>
      <c r="B1150" s="3">
        <v>0.0</v>
      </c>
      <c r="C1150" s="3" t="s">
        <v>29</v>
      </c>
      <c r="D1150" s="4" t="b">
        <f t="shared" si="1"/>
        <v>0</v>
      </c>
      <c r="E1150" s="4" t="s">
        <v>1328</v>
      </c>
    </row>
    <row r="1151">
      <c r="A1151" s="3" t="s">
        <v>1329</v>
      </c>
      <c r="B1151" s="3">
        <v>0.0</v>
      </c>
      <c r="C1151" s="3" t="s">
        <v>6</v>
      </c>
      <c r="D1151" s="4" t="b">
        <f t="shared" si="1"/>
        <v>0</v>
      </c>
      <c r="E1151" s="4" t="s">
        <v>1329</v>
      </c>
    </row>
    <row r="1152">
      <c r="A1152" s="3" t="s">
        <v>1330</v>
      </c>
      <c r="B1152" s="3">
        <v>0.0</v>
      </c>
      <c r="C1152" s="3" t="s">
        <v>6</v>
      </c>
      <c r="D1152" s="4" t="b">
        <f t="shared" si="1"/>
        <v>0</v>
      </c>
      <c r="E1152" s="4" t="s">
        <v>1330</v>
      </c>
    </row>
    <row r="1153">
      <c r="A1153" s="3" t="s">
        <v>1331</v>
      </c>
      <c r="B1153" s="3">
        <v>10000.0</v>
      </c>
      <c r="C1153" s="3" t="s">
        <v>32</v>
      </c>
      <c r="D1153" s="4" t="b">
        <f t="shared" si="1"/>
        <v>0</v>
      </c>
      <c r="E1153" s="4" t="s">
        <v>1331</v>
      </c>
    </row>
    <row r="1154">
      <c r="A1154" s="3" t="s">
        <v>1332</v>
      </c>
      <c r="B1154" s="3">
        <v>500.0</v>
      </c>
      <c r="C1154" s="4"/>
      <c r="D1154" s="4" t="b">
        <f t="shared" si="1"/>
        <v>0</v>
      </c>
      <c r="E1154" s="4" t="s">
        <v>1332</v>
      </c>
    </row>
    <row r="1155">
      <c r="A1155" s="3" t="s">
        <v>1333</v>
      </c>
      <c r="B1155" s="3">
        <v>1500.0</v>
      </c>
      <c r="C1155" s="4"/>
      <c r="D1155" s="4" t="b">
        <f t="shared" si="1"/>
        <v>0</v>
      </c>
      <c r="E1155" s="4" t="s">
        <v>1333</v>
      </c>
    </row>
    <row r="1156">
      <c r="A1156" s="3" t="s">
        <v>1334</v>
      </c>
      <c r="B1156" s="3">
        <v>1000.0</v>
      </c>
      <c r="C1156" s="4"/>
      <c r="D1156" s="4" t="b">
        <f t="shared" si="1"/>
        <v>0</v>
      </c>
      <c r="E1156" s="4" t="s">
        <v>1334</v>
      </c>
    </row>
    <row r="1157">
      <c r="A1157" s="3" t="s">
        <v>1335</v>
      </c>
      <c r="B1157" s="3">
        <v>1200.0</v>
      </c>
      <c r="C1157" s="3" t="s">
        <v>32</v>
      </c>
      <c r="D1157" s="4" t="b">
        <f t="shared" si="1"/>
        <v>0</v>
      </c>
      <c r="E1157" s="4" t="s">
        <v>1335</v>
      </c>
    </row>
    <row r="1158">
      <c r="A1158" s="3" t="s">
        <v>1336</v>
      </c>
      <c r="B1158" s="3">
        <v>22000.0</v>
      </c>
      <c r="C1158" s="4"/>
      <c r="D1158" s="4" t="b">
        <f t="shared" si="1"/>
        <v>0</v>
      </c>
      <c r="E1158" s="4" t="s">
        <v>1336</v>
      </c>
    </row>
    <row r="1159">
      <c r="A1159" s="3" t="s">
        <v>1337</v>
      </c>
      <c r="B1159" s="3">
        <v>3000.0</v>
      </c>
      <c r="C1159" s="4"/>
      <c r="D1159" s="4" t="b">
        <f t="shared" si="1"/>
        <v>0</v>
      </c>
      <c r="E1159" s="4" t="s">
        <v>1337</v>
      </c>
    </row>
    <row r="1160">
      <c r="A1160" s="3" t="s">
        <v>1338</v>
      </c>
      <c r="B1160" s="3">
        <v>3200.0</v>
      </c>
      <c r="C1160" s="3" t="s">
        <v>3</v>
      </c>
      <c r="D1160" s="4" t="b">
        <f t="shared" si="1"/>
        <v>0</v>
      </c>
      <c r="E1160" s="4" t="s">
        <v>1338</v>
      </c>
    </row>
    <row r="1161">
      <c r="A1161" s="3" t="s">
        <v>1339</v>
      </c>
      <c r="B1161" s="3">
        <v>57005.0</v>
      </c>
      <c r="C1161" s="4"/>
      <c r="D1161" s="4" t="b">
        <f t="shared" si="1"/>
        <v>0</v>
      </c>
      <c r="E1161" s="4" t="s">
        <v>1339</v>
      </c>
    </row>
    <row r="1162">
      <c r="A1162" s="3" t="s">
        <v>1341</v>
      </c>
      <c r="B1162" s="3">
        <v>2000.0</v>
      </c>
      <c r="C1162" s="3" t="s">
        <v>6</v>
      </c>
      <c r="D1162" s="4" t="b">
        <f t="shared" si="1"/>
        <v>0</v>
      </c>
      <c r="E1162" s="4" t="s">
        <v>1341</v>
      </c>
    </row>
    <row r="1163">
      <c r="A1163" s="3" t="s">
        <v>1342</v>
      </c>
      <c r="B1163" s="3">
        <v>3500.0</v>
      </c>
      <c r="C1163" s="4"/>
      <c r="D1163" s="4" t="b">
        <f t="shared" si="1"/>
        <v>0</v>
      </c>
      <c r="E1163" s="4" t="s">
        <v>1342</v>
      </c>
    </row>
    <row r="1164">
      <c r="A1164" s="3" t="s">
        <v>1343</v>
      </c>
      <c r="B1164" s="3">
        <v>6000.0</v>
      </c>
      <c r="C1164" s="4"/>
      <c r="D1164" s="4" t="b">
        <f t="shared" si="1"/>
        <v>0</v>
      </c>
      <c r="E1164" s="4" t="s">
        <v>1343</v>
      </c>
    </row>
    <row r="1165">
      <c r="A1165" s="3" t="s">
        <v>1344</v>
      </c>
      <c r="B1165" s="3">
        <v>0.0</v>
      </c>
      <c r="C1165" s="3" t="s">
        <v>3</v>
      </c>
      <c r="D1165" s="4" t="b">
        <f t="shared" si="1"/>
        <v>0</v>
      </c>
      <c r="E1165" s="4" t="s">
        <v>1344</v>
      </c>
    </row>
    <row r="1166">
      <c r="A1166" s="3" t="s">
        <v>1345</v>
      </c>
      <c r="B1166" s="3">
        <v>600.0</v>
      </c>
      <c r="C1166" s="4"/>
      <c r="D1166" s="4" t="b">
        <f t="shared" si="1"/>
        <v>0</v>
      </c>
      <c r="E1166" s="4" t="s">
        <v>1345</v>
      </c>
    </row>
    <row r="1167">
      <c r="A1167" s="3" t="s">
        <v>1346</v>
      </c>
      <c r="B1167" s="3">
        <v>50000.0</v>
      </c>
      <c r="C1167" s="4"/>
      <c r="D1167" s="4" t="b">
        <f t="shared" si="1"/>
        <v>0</v>
      </c>
      <c r="E1167" s="4" t="s">
        <v>1346</v>
      </c>
    </row>
    <row r="1168">
      <c r="A1168" s="3" t="s">
        <v>1347</v>
      </c>
      <c r="B1168" s="3">
        <v>0.0</v>
      </c>
      <c r="C1168" s="3" t="s">
        <v>3</v>
      </c>
      <c r="D1168" s="4" t="b">
        <f t="shared" si="1"/>
        <v>0</v>
      </c>
      <c r="E1168" s="4" t="s">
        <v>1347</v>
      </c>
    </row>
    <row r="1169">
      <c r="A1169" s="3" t="s">
        <v>1348</v>
      </c>
      <c r="B1169" s="3">
        <v>13000.0</v>
      </c>
      <c r="C1169" s="4"/>
      <c r="D1169" s="4" t="b">
        <f t="shared" si="1"/>
        <v>0</v>
      </c>
      <c r="E1169" s="4" t="s">
        <v>1348</v>
      </c>
    </row>
    <row r="1170">
      <c r="A1170" s="3" t="s">
        <v>1350</v>
      </c>
      <c r="B1170" s="3">
        <v>0.0</v>
      </c>
      <c r="C1170" s="3" t="s">
        <v>3</v>
      </c>
      <c r="D1170" s="4" t="b">
        <f t="shared" si="1"/>
        <v>0</v>
      </c>
      <c r="E1170" s="4" t="s">
        <v>1350</v>
      </c>
    </row>
    <row r="1171">
      <c r="A1171" s="3" t="s">
        <v>1351</v>
      </c>
      <c r="B1171" s="3">
        <v>8000.0</v>
      </c>
      <c r="C1171" s="4"/>
      <c r="D1171" s="4" t="b">
        <f t="shared" si="1"/>
        <v>0</v>
      </c>
      <c r="E1171" s="4" t="s">
        <v>1351</v>
      </c>
    </row>
    <row r="1172">
      <c r="A1172" s="3" t="s">
        <v>1352</v>
      </c>
      <c r="B1172" s="3">
        <v>0.0</v>
      </c>
      <c r="C1172" s="3" t="s">
        <v>3</v>
      </c>
      <c r="D1172" s="4" t="b">
        <f t="shared" si="1"/>
        <v>0</v>
      </c>
      <c r="E1172" s="4" t="s">
        <v>1352</v>
      </c>
    </row>
    <row r="1173">
      <c r="A1173" s="3" t="s">
        <v>1353</v>
      </c>
      <c r="B1173" s="3">
        <v>0.0</v>
      </c>
      <c r="C1173" s="3" t="s">
        <v>3</v>
      </c>
      <c r="D1173" s="4" t="b">
        <f t="shared" si="1"/>
        <v>0</v>
      </c>
      <c r="E1173" s="4" t="s">
        <v>1353</v>
      </c>
    </row>
    <row r="1174">
      <c r="A1174" s="3" t="s">
        <v>1354</v>
      </c>
      <c r="B1174" s="3">
        <v>2500.0</v>
      </c>
      <c r="C1174" s="3" t="s">
        <v>3</v>
      </c>
      <c r="D1174" s="4" t="b">
        <f t="shared" si="1"/>
        <v>0</v>
      </c>
      <c r="E1174" s="4" t="s">
        <v>1354</v>
      </c>
    </row>
    <row r="1175">
      <c r="A1175" s="3" t="s">
        <v>1355</v>
      </c>
      <c r="B1175" s="3">
        <v>0.0</v>
      </c>
      <c r="C1175" s="3" t="s">
        <v>3</v>
      </c>
      <c r="D1175" s="4" t="b">
        <f t="shared" si="1"/>
        <v>0</v>
      </c>
      <c r="E1175" s="4" t="s">
        <v>1355</v>
      </c>
    </row>
    <row r="1176">
      <c r="A1176" s="3" t="s">
        <v>1356</v>
      </c>
      <c r="B1176" s="3">
        <v>0.0</v>
      </c>
      <c r="C1176" s="3" t="s">
        <v>3</v>
      </c>
      <c r="D1176" s="4" t="b">
        <f t="shared" si="1"/>
        <v>0</v>
      </c>
      <c r="E1176" s="4" t="s">
        <v>1356</v>
      </c>
    </row>
    <row r="1177">
      <c r="A1177" s="3" t="s">
        <v>1357</v>
      </c>
      <c r="B1177" s="3">
        <v>0.0</v>
      </c>
      <c r="C1177" s="3" t="s">
        <v>3</v>
      </c>
      <c r="D1177" s="4" t="b">
        <f t="shared" si="1"/>
        <v>0</v>
      </c>
      <c r="E1177" s="4" t="s">
        <v>1357</v>
      </c>
    </row>
    <row r="1178">
      <c r="A1178" s="3" t="s">
        <v>1358</v>
      </c>
      <c r="B1178" s="3">
        <v>15000.0</v>
      </c>
      <c r="C1178" s="3" t="s">
        <v>32</v>
      </c>
      <c r="D1178" s="4" t="b">
        <f t="shared" si="1"/>
        <v>0</v>
      </c>
      <c r="E1178" s="4" t="s">
        <v>1358</v>
      </c>
    </row>
    <row r="1179">
      <c r="A1179" s="3" t="s">
        <v>1359</v>
      </c>
      <c r="B1179" s="3">
        <v>9000.0</v>
      </c>
      <c r="C1179" s="3" t="s">
        <v>37</v>
      </c>
      <c r="D1179" s="4" t="b">
        <f t="shared" si="1"/>
        <v>0</v>
      </c>
      <c r="E1179" s="4" t="s">
        <v>2270</v>
      </c>
    </row>
    <row r="1180">
      <c r="A1180" s="4"/>
      <c r="B1180" s="4"/>
      <c r="C1180" s="3" t="s">
        <v>38</v>
      </c>
      <c r="D1180" s="4" t="b">
        <f t="shared" si="1"/>
        <v>1</v>
      </c>
      <c r="E1180" s="4"/>
    </row>
    <row r="1181">
      <c r="A1181" s="3" t="s">
        <v>1360</v>
      </c>
      <c r="B1181" s="3">
        <v>0.0</v>
      </c>
      <c r="C1181" s="3" t="s">
        <v>3</v>
      </c>
      <c r="D1181" s="4" t="b">
        <f t="shared" si="1"/>
        <v>0</v>
      </c>
      <c r="E1181" s="4" t="s">
        <v>1360</v>
      </c>
    </row>
    <row r="1182">
      <c r="A1182" s="3" t="s">
        <v>1361</v>
      </c>
      <c r="B1182" s="3">
        <v>2000.0</v>
      </c>
      <c r="C1182" s="4"/>
      <c r="D1182" s="4" t="b">
        <f t="shared" si="1"/>
        <v>0</v>
      </c>
      <c r="E1182" s="4" t="s">
        <v>1361</v>
      </c>
    </row>
    <row r="1183">
      <c r="A1183" s="3" t="s">
        <v>1362</v>
      </c>
      <c r="B1183" s="3">
        <v>0.0</v>
      </c>
      <c r="C1183" s="3" t="s">
        <v>29</v>
      </c>
      <c r="D1183" s="4" t="b">
        <f t="shared" si="1"/>
        <v>0</v>
      </c>
      <c r="E1183" s="4" t="s">
        <v>1362</v>
      </c>
    </row>
    <row r="1184">
      <c r="A1184" s="3" t="s">
        <v>1363</v>
      </c>
      <c r="B1184" s="3">
        <v>80000.0</v>
      </c>
      <c r="C1184" s="3" t="s">
        <v>3</v>
      </c>
      <c r="D1184" s="4" t="b">
        <f t="shared" si="1"/>
        <v>0</v>
      </c>
      <c r="E1184" s="4" t="s">
        <v>1363</v>
      </c>
    </row>
    <row r="1185">
      <c r="A1185" s="3" t="s">
        <v>1364</v>
      </c>
      <c r="B1185" s="3">
        <v>0.0</v>
      </c>
      <c r="C1185" s="3" t="s">
        <v>6</v>
      </c>
      <c r="D1185" s="4" t="b">
        <f t="shared" si="1"/>
        <v>0</v>
      </c>
      <c r="E1185" s="4" t="s">
        <v>1364</v>
      </c>
    </row>
    <row r="1186">
      <c r="A1186" s="3" t="s">
        <v>1365</v>
      </c>
      <c r="B1186" s="3">
        <v>0.0</v>
      </c>
      <c r="C1186" s="3" t="s">
        <v>3</v>
      </c>
      <c r="D1186" s="4" t="b">
        <f t="shared" si="1"/>
        <v>0</v>
      </c>
      <c r="E1186" s="4" t="s">
        <v>1365</v>
      </c>
    </row>
    <row r="1187">
      <c r="A1187" s="3" t="s">
        <v>1366</v>
      </c>
      <c r="B1187" s="3">
        <v>0.0</v>
      </c>
      <c r="C1187" s="3" t="s">
        <v>6</v>
      </c>
      <c r="D1187" s="4" t="b">
        <f t="shared" si="1"/>
        <v>0</v>
      </c>
      <c r="E1187" s="4" t="s">
        <v>1366</v>
      </c>
    </row>
    <row r="1188">
      <c r="A1188" s="3" t="s">
        <v>1367</v>
      </c>
      <c r="B1188" s="3">
        <v>6000.0</v>
      </c>
      <c r="C1188" s="3" t="s">
        <v>3</v>
      </c>
      <c r="D1188" s="4" t="b">
        <f t="shared" si="1"/>
        <v>0</v>
      </c>
      <c r="E1188" s="4" t="s">
        <v>1367</v>
      </c>
    </row>
    <row r="1189">
      <c r="A1189" s="3" t="s">
        <v>1368</v>
      </c>
      <c r="B1189" s="3">
        <v>3000.0</v>
      </c>
      <c r="C1189" s="4"/>
      <c r="D1189" s="4" t="b">
        <f t="shared" si="1"/>
        <v>0</v>
      </c>
      <c r="E1189" s="4" t="s">
        <v>1368</v>
      </c>
    </row>
    <row r="1190">
      <c r="A1190" s="3" t="s">
        <v>1369</v>
      </c>
      <c r="B1190" s="3">
        <v>0.0</v>
      </c>
      <c r="C1190" s="3" t="s">
        <v>3</v>
      </c>
      <c r="D1190" s="4" t="b">
        <f t="shared" si="1"/>
        <v>0</v>
      </c>
      <c r="E1190" s="4" t="s">
        <v>1369</v>
      </c>
    </row>
    <row r="1191">
      <c r="A1191" s="3" t="s">
        <v>1370</v>
      </c>
      <c r="B1191" s="3">
        <v>2000.0</v>
      </c>
      <c r="C1191" s="3" t="s">
        <v>32</v>
      </c>
      <c r="D1191" s="4" t="b">
        <f t="shared" si="1"/>
        <v>0</v>
      </c>
      <c r="E1191" s="4" t="s">
        <v>1370</v>
      </c>
    </row>
    <row r="1192">
      <c r="A1192" s="3" t="s">
        <v>1371</v>
      </c>
      <c r="B1192" s="3">
        <v>198000.0</v>
      </c>
      <c r="C1192" s="3" t="s">
        <v>1373</v>
      </c>
      <c r="D1192" s="4" t="b">
        <f t="shared" si="1"/>
        <v>0</v>
      </c>
      <c r="E1192" s="4" t="s">
        <v>2271</v>
      </c>
    </row>
    <row r="1193">
      <c r="A1193" s="4"/>
      <c r="B1193" s="4"/>
      <c r="C1193" s="3" t="s">
        <v>1374</v>
      </c>
      <c r="D1193" s="4" t="b">
        <f t="shared" si="1"/>
        <v>1</v>
      </c>
      <c r="E1193" s="4"/>
    </row>
    <row r="1194">
      <c r="A1194" s="3" t="s">
        <v>1375</v>
      </c>
      <c r="B1194" s="3">
        <v>2000.0</v>
      </c>
      <c r="C1194" s="3" t="s">
        <v>32</v>
      </c>
      <c r="D1194" s="4" t="b">
        <f t="shared" si="1"/>
        <v>0</v>
      </c>
      <c r="E1194" s="4" t="s">
        <v>1375</v>
      </c>
    </row>
    <row r="1195">
      <c r="A1195" s="3" t="s">
        <v>1376</v>
      </c>
      <c r="B1195" s="3">
        <v>0.0</v>
      </c>
      <c r="C1195" s="3" t="s">
        <v>3</v>
      </c>
      <c r="D1195" s="4" t="b">
        <f t="shared" si="1"/>
        <v>0</v>
      </c>
      <c r="E1195" s="4" t="s">
        <v>1376</v>
      </c>
    </row>
    <row r="1196">
      <c r="A1196" s="3" t="s">
        <v>1377</v>
      </c>
      <c r="B1196" s="3">
        <v>56105.0</v>
      </c>
      <c r="C1196" s="3" t="s">
        <v>1379</v>
      </c>
      <c r="D1196" s="4" t="b">
        <f t="shared" si="1"/>
        <v>0</v>
      </c>
      <c r="E1196" s="4" t="s">
        <v>1377</v>
      </c>
    </row>
    <row r="1197">
      <c r="A1197" s="3" t="s">
        <v>1380</v>
      </c>
      <c r="B1197" s="3">
        <v>0.0</v>
      </c>
      <c r="C1197" s="3" t="s">
        <v>3</v>
      </c>
      <c r="D1197" s="4" t="b">
        <f t="shared" si="1"/>
        <v>0</v>
      </c>
      <c r="E1197" s="4" t="s">
        <v>1380</v>
      </c>
    </row>
    <row r="1198">
      <c r="A1198" s="3" t="s">
        <v>1381</v>
      </c>
      <c r="B1198" s="3">
        <v>3000.0</v>
      </c>
      <c r="C1198" s="3" t="s">
        <v>1379</v>
      </c>
      <c r="D1198" s="4" t="b">
        <f t="shared" si="1"/>
        <v>0</v>
      </c>
      <c r="E1198" s="4" t="s">
        <v>1381</v>
      </c>
    </row>
    <row r="1199">
      <c r="A1199" s="3" t="s">
        <v>1382</v>
      </c>
      <c r="B1199" s="3">
        <v>0.0</v>
      </c>
      <c r="C1199" s="3" t="s">
        <v>6</v>
      </c>
      <c r="D1199" s="4" t="b">
        <f t="shared" si="1"/>
        <v>0</v>
      </c>
      <c r="E1199" s="4" t="s">
        <v>1382</v>
      </c>
    </row>
    <row r="1200">
      <c r="A1200" s="3" t="s">
        <v>1383</v>
      </c>
      <c r="B1200" s="3">
        <v>3000.0</v>
      </c>
      <c r="C1200" s="4"/>
      <c r="D1200" s="4" t="b">
        <f t="shared" si="1"/>
        <v>0</v>
      </c>
      <c r="E1200" s="4" t="s">
        <v>1383</v>
      </c>
    </row>
    <row r="1201">
      <c r="A1201" s="3" t="s">
        <v>1384</v>
      </c>
      <c r="B1201" s="3">
        <v>0.0</v>
      </c>
      <c r="C1201" s="3" t="s">
        <v>3</v>
      </c>
      <c r="D1201" s="4" t="b">
        <f t="shared" si="1"/>
        <v>0</v>
      </c>
      <c r="E1201" s="4" t="s">
        <v>1384</v>
      </c>
    </row>
    <row r="1202">
      <c r="A1202" s="3" t="s">
        <v>1385</v>
      </c>
      <c r="B1202" s="3">
        <v>800.0</v>
      </c>
      <c r="C1202" s="3" t="s">
        <v>3</v>
      </c>
      <c r="D1202" s="4" t="b">
        <f t="shared" si="1"/>
        <v>0</v>
      </c>
      <c r="E1202" s="4" t="s">
        <v>1385</v>
      </c>
    </row>
    <row r="1203">
      <c r="A1203" s="3" t="s">
        <v>1386</v>
      </c>
      <c r="B1203" s="3">
        <v>2500.0</v>
      </c>
      <c r="C1203" s="3" t="s">
        <v>32</v>
      </c>
      <c r="D1203" s="4" t="b">
        <f t="shared" si="1"/>
        <v>0</v>
      </c>
      <c r="E1203" s="4" t="s">
        <v>1386</v>
      </c>
    </row>
    <row r="1204">
      <c r="A1204" s="3" t="s">
        <v>1387</v>
      </c>
      <c r="B1204" s="3">
        <v>2000.0</v>
      </c>
      <c r="C1204" s="4"/>
      <c r="D1204" s="4" t="b">
        <f t="shared" si="1"/>
        <v>0</v>
      </c>
      <c r="E1204" s="4" t="s">
        <v>1387</v>
      </c>
    </row>
    <row r="1205">
      <c r="A1205" s="3" t="s">
        <v>1388</v>
      </c>
      <c r="B1205" s="3">
        <v>500.0</v>
      </c>
      <c r="C1205" s="3" t="s">
        <v>32</v>
      </c>
      <c r="D1205" s="4" t="b">
        <f t="shared" si="1"/>
        <v>0</v>
      </c>
      <c r="E1205" s="4" t="s">
        <v>1388</v>
      </c>
    </row>
    <row r="1206">
      <c r="A1206" s="3" t="s">
        <v>1389</v>
      </c>
      <c r="B1206" s="3">
        <v>119100.0</v>
      </c>
      <c r="C1206" s="3" t="s">
        <v>280</v>
      </c>
      <c r="D1206" s="4" t="b">
        <f t="shared" si="1"/>
        <v>0</v>
      </c>
      <c r="E1206" s="4" t="s">
        <v>1389</v>
      </c>
    </row>
    <row r="1207">
      <c r="A1207" s="3" t="s">
        <v>1391</v>
      </c>
      <c r="B1207" s="3">
        <v>0.0</v>
      </c>
      <c r="C1207" s="3" t="s">
        <v>29</v>
      </c>
      <c r="D1207" s="4" t="b">
        <f t="shared" si="1"/>
        <v>0</v>
      </c>
      <c r="E1207" s="4" t="s">
        <v>1391</v>
      </c>
    </row>
    <row r="1208">
      <c r="A1208" s="3" t="s">
        <v>1392</v>
      </c>
      <c r="B1208" s="3">
        <v>7000.0</v>
      </c>
      <c r="C1208" s="4"/>
      <c r="D1208" s="4" t="b">
        <f t="shared" si="1"/>
        <v>0</v>
      </c>
      <c r="E1208" s="4" t="s">
        <v>1392</v>
      </c>
    </row>
    <row r="1209">
      <c r="A1209" s="3" t="s">
        <v>1393</v>
      </c>
      <c r="B1209" s="3">
        <v>4500.0</v>
      </c>
      <c r="C1209" s="3" t="s">
        <v>6</v>
      </c>
      <c r="D1209" s="4" t="b">
        <f t="shared" si="1"/>
        <v>0</v>
      </c>
      <c r="E1209" s="4" t="s">
        <v>1393</v>
      </c>
    </row>
    <row r="1210">
      <c r="A1210" s="3" t="s">
        <v>1394</v>
      </c>
      <c r="B1210" s="3">
        <v>0.0</v>
      </c>
      <c r="C1210" s="3" t="s">
        <v>6</v>
      </c>
      <c r="D1210" s="4" t="b">
        <f t="shared" si="1"/>
        <v>0</v>
      </c>
      <c r="E1210" s="4" t="s">
        <v>1394</v>
      </c>
    </row>
    <row r="1211">
      <c r="A1211" s="3" t="s">
        <v>1395</v>
      </c>
      <c r="B1211" s="3">
        <v>420.0</v>
      </c>
      <c r="C1211" s="4"/>
      <c r="D1211" s="4" t="b">
        <f t="shared" si="1"/>
        <v>0</v>
      </c>
      <c r="E1211" s="4" t="s">
        <v>1395</v>
      </c>
    </row>
    <row r="1212">
      <c r="A1212" s="3" t="s">
        <v>1397</v>
      </c>
      <c r="B1212" s="3">
        <v>0.0</v>
      </c>
      <c r="C1212" s="3" t="s">
        <v>3</v>
      </c>
      <c r="D1212" s="4" t="b">
        <f t="shared" si="1"/>
        <v>0</v>
      </c>
      <c r="E1212" s="4" t="s">
        <v>1397</v>
      </c>
    </row>
    <row r="1213">
      <c r="A1213" s="3" t="s">
        <v>1398</v>
      </c>
      <c r="B1213" s="3">
        <v>0.0</v>
      </c>
      <c r="C1213" s="3" t="s">
        <v>3</v>
      </c>
      <c r="D1213" s="4" t="b">
        <f t="shared" si="1"/>
        <v>0</v>
      </c>
      <c r="E1213" s="4" t="s">
        <v>1398</v>
      </c>
    </row>
    <row r="1214">
      <c r="A1214" s="3" t="s">
        <v>1399</v>
      </c>
      <c r="B1214" s="3">
        <v>0.0</v>
      </c>
      <c r="C1214" s="3" t="s">
        <v>3</v>
      </c>
      <c r="D1214" s="4" t="b">
        <f t="shared" si="1"/>
        <v>0</v>
      </c>
      <c r="E1214" s="4" t="s">
        <v>1399</v>
      </c>
    </row>
    <row r="1215">
      <c r="A1215" s="3" t="s">
        <v>1400</v>
      </c>
      <c r="B1215" s="3">
        <v>0.0</v>
      </c>
      <c r="C1215" s="3" t="s">
        <v>3</v>
      </c>
      <c r="D1215" s="4" t="b">
        <f t="shared" si="1"/>
        <v>0</v>
      </c>
      <c r="E1215" s="4" t="s">
        <v>1400</v>
      </c>
    </row>
    <row r="1216">
      <c r="A1216" s="3" t="s">
        <v>1401</v>
      </c>
      <c r="B1216" s="3">
        <v>8640.0</v>
      </c>
      <c r="C1216" s="4"/>
      <c r="D1216" s="4" t="b">
        <f t="shared" si="1"/>
        <v>0</v>
      </c>
      <c r="E1216" s="4" t="s">
        <v>1401</v>
      </c>
    </row>
    <row r="1217">
      <c r="A1217" s="3" t="s">
        <v>1403</v>
      </c>
      <c r="B1217" s="3">
        <v>0.0</v>
      </c>
      <c r="C1217" s="3" t="s">
        <v>3</v>
      </c>
      <c r="D1217" s="4" t="b">
        <f t="shared" si="1"/>
        <v>0</v>
      </c>
      <c r="E1217" s="4" t="s">
        <v>1403</v>
      </c>
    </row>
    <row r="1218">
      <c r="A1218" s="3" t="s">
        <v>1404</v>
      </c>
      <c r="B1218" s="3">
        <v>0.0</v>
      </c>
      <c r="C1218" s="3" t="s">
        <v>32</v>
      </c>
      <c r="D1218" s="4" t="b">
        <f t="shared" si="1"/>
        <v>0</v>
      </c>
      <c r="E1218" s="4" t="s">
        <v>1404</v>
      </c>
    </row>
    <row r="1219">
      <c r="A1219" s="3" t="s">
        <v>1405</v>
      </c>
      <c r="B1219" s="3">
        <v>14000.0</v>
      </c>
      <c r="C1219" s="4"/>
      <c r="D1219" s="4" t="b">
        <f t="shared" si="1"/>
        <v>0</v>
      </c>
      <c r="E1219" s="4" t="s">
        <v>1405</v>
      </c>
    </row>
    <row r="1220">
      <c r="A1220" s="3" t="s">
        <v>1406</v>
      </c>
      <c r="B1220" s="3">
        <v>11950.0</v>
      </c>
      <c r="C1220" s="3" t="s">
        <v>32</v>
      </c>
      <c r="D1220" s="4" t="b">
        <f t="shared" si="1"/>
        <v>0</v>
      </c>
      <c r="E1220" s="4" t="s">
        <v>1406</v>
      </c>
    </row>
    <row r="1221">
      <c r="A1221" s="3" t="s">
        <v>1408</v>
      </c>
      <c r="B1221" s="3">
        <v>1500.0</v>
      </c>
      <c r="C1221" s="4"/>
      <c r="D1221" s="4" t="b">
        <f t="shared" si="1"/>
        <v>0</v>
      </c>
      <c r="E1221" s="4" t="s">
        <v>1408</v>
      </c>
    </row>
    <row r="1222">
      <c r="A1222" s="3" t="s">
        <v>1409</v>
      </c>
      <c r="B1222" s="3">
        <v>0.0</v>
      </c>
      <c r="C1222" s="3" t="s">
        <v>6</v>
      </c>
      <c r="D1222" s="4" t="b">
        <f t="shared" si="1"/>
        <v>0</v>
      </c>
      <c r="E1222" s="4" t="s">
        <v>1409</v>
      </c>
    </row>
    <row r="1223">
      <c r="A1223" s="3" t="s">
        <v>1410</v>
      </c>
      <c r="B1223" s="3">
        <v>0.0</v>
      </c>
      <c r="C1223" s="3" t="s">
        <v>6</v>
      </c>
      <c r="D1223" s="4" t="b">
        <f t="shared" si="1"/>
        <v>0</v>
      </c>
      <c r="E1223" s="4" t="s">
        <v>1410</v>
      </c>
    </row>
    <row r="1224">
      <c r="A1224" s="3" t="s">
        <v>1411</v>
      </c>
      <c r="B1224" s="3">
        <v>800.0</v>
      </c>
      <c r="C1224" s="3" t="s">
        <v>3</v>
      </c>
      <c r="D1224" s="4" t="b">
        <f t="shared" si="1"/>
        <v>0</v>
      </c>
      <c r="E1224" s="4" t="s">
        <v>1411</v>
      </c>
    </row>
    <row r="1225">
      <c r="A1225" s="3" t="s">
        <v>1412</v>
      </c>
      <c r="B1225" s="3">
        <v>800.0</v>
      </c>
      <c r="C1225" s="4"/>
      <c r="D1225" s="4" t="b">
        <f t="shared" si="1"/>
        <v>0</v>
      </c>
      <c r="E1225" s="4" t="s">
        <v>1412</v>
      </c>
    </row>
    <row r="1226">
      <c r="A1226" s="3" t="s">
        <v>1413</v>
      </c>
      <c r="B1226" s="3">
        <v>0.0</v>
      </c>
      <c r="C1226" s="3" t="s">
        <v>32</v>
      </c>
      <c r="D1226" s="4" t="b">
        <f t="shared" si="1"/>
        <v>0</v>
      </c>
      <c r="E1226" s="4" t="s">
        <v>1413</v>
      </c>
    </row>
    <row r="1227">
      <c r="A1227" s="3" t="s">
        <v>1414</v>
      </c>
      <c r="B1227" s="3">
        <v>8000.0</v>
      </c>
      <c r="C1227" s="4"/>
      <c r="D1227" s="4" t="b">
        <f t="shared" si="1"/>
        <v>0</v>
      </c>
      <c r="E1227" s="4" t="s">
        <v>1414</v>
      </c>
    </row>
    <row r="1228">
      <c r="A1228" s="3" t="s">
        <v>1415</v>
      </c>
      <c r="B1228" s="3">
        <v>500.0</v>
      </c>
      <c r="C1228" s="4"/>
      <c r="D1228" s="4" t="b">
        <f t="shared" si="1"/>
        <v>0</v>
      </c>
      <c r="E1228" s="4" t="s">
        <v>1415</v>
      </c>
    </row>
    <row r="1229">
      <c r="A1229" s="3" t="s">
        <v>1416</v>
      </c>
      <c r="B1229" s="3">
        <v>1000.0</v>
      </c>
      <c r="C1229" s="4"/>
      <c r="D1229" s="4" t="b">
        <f t="shared" si="1"/>
        <v>0</v>
      </c>
      <c r="E1229" s="4" t="s">
        <v>1416</v>
      </c>
    </row>
    <row r="1230">
      <c r="A1230" s="3" t="s">
        <v>1417</v>
      </c>
      <c r="B1230" s="3">
        <v>5000.0</v>
      </c>
      <c r="C1230" s="4"/>
      <c r="D1230" s="4" t="b">
        <f t="shared" si="1"/>
        <v>0</v>
      </c>
      <c r="E1230" s="4" t="s">
        <v>1417</v>
      </c>
    </row>
    <row r="1231">
      <c r="A1231" s="3" t="s">
        <v>1418</v>
      </c>
      <c r="B1231" s="3">
        <v>6400.0</v>
      </c>
      <c r="C1231" s="3" t="s">
        <v>580</v>
      </c>
      <c r="D1231" s="4" t="b">
        <f t="shared" si="1"/>
        <v>0</v>
      </c>
      <c r="E1231" s="4" t="s">
        <v>2272</v>
      </c>
    </row>
    <row r="1232">
      <c r="A1232" s="4"/>
      <c r="B1232" s="4"/>
      <c r="C1232" s="3" t="s">
        <v>581</v>
      </c>
      <c r="D1232" s="4" t="b">
        <f t="shared" si="1"/>
        <v>1</v>
      </c>
      <c r="E1232" s="4"/>
    </row>
    <row r="1233">
      <c r="A1233" s="3" t="s">
        <v>1420</v>
      </c>
      <c r="B1233" s="3">
        <v>7500.0</v>
      </c>
      <c r="C1233" s="3" t="s">
        <v>6</v>
      </c>
      <c r="D1233" s="4" t="b">
        <f t="shared" si="1"/>
        <v>0</v>
      </c>
      <c r="E1233" s="4" t="s">
        <v>1420</v>
      </c>
    </row>
    <row r="1234">
      <c r="A1234" s="3" t="s">
        <v>1421</v>
      </c>
      <c r="B1234" s="3">
        <v>18800.0</v>
      </c>
      <c r="C1234" s="3" t="s">
        <v>6</v>
      </c>
      <c r="D1234" s="4" t="b">
        <f t="shared" si="1"/>
        <v>0</v>
      </c>
      <c r="E1234" s="4" t="s">
        <v>1421</v>
      </c>
    </row>
    <row r="1235">
      <c r="A1235" s="3" t="s">
        <v>1423</v>
      </c>
      <c r="B1235" s="3">
        <v>22500.0</v>
      </c>
      <c r="C1235" s="3" t="s">
        <v>3</v>
      </c>
      <c r="D1235" s="4" t="b">
        <f t="shared" si="1"/>
        <v>0</v>
      </c>
      <c r="E1235" s="4" t="s">
        <v>1423</v>
      </c>
    </row>
    <row r="1236">
      <c r="A1236" s="3" t="s">
        <v>1425</v>
      </c>
      <c r="B1236" s="3">
        <v>0.0</v>
      </c>
      <c r="C1236" s="3" t="s">
        <v>3</v>
      </c>
      <c r="D1236" s="4" t="b">
        <f t="shared" si="1"/>
        <v>0</v>
      </c>
      <c r="E1236" s="4" t="s">
        <v>1425</v>
      </c>
    </row>
    <row r="1237">
      <c r="A1237" s="3" t="s">
        <v>1426</v>
      </c>
      <c r="B1237" s="3">
        <v>0.0</v>
      </c>
      <c r="C1237" s="3" t="s">
        <v>3</v>
      </c>
      <c r="D1237" s="4" t="b">
        <f t="shared" si="1"/>
        <v>0</v>
      </c>
      <c r="E1237" s="4" t="s">
        <v>1426</v>
      </c>
    </row>
    <row r="1238">
      <c r="A1238" s="3" t="s">
        <v>1427</v>
      </c>
      <c r="B1238" s="3">
        <v>4634.0</v>
      </c>
      <c r="C1238" s="3" t="s">
        <v>6</v>
      </c>
      <c r="D1238" s="4" t="b">
        <f t="shared" si="1"/>
        <v>0</v>
      </c>
      <c r="E1238" s="4" t="s">
        <v>1427</v>
      </c>
    </row>
    <row r="1239">
      <c r="A1239" s="3" t="s">
        <v>1429</v>
      </c>
      <c r="B1239" s="3">
        <v>0.0</v>
      </c>
      <c r="C1239" s="3" t="s">
        <v>3</v>
      </c>
      <c r="D1239" s="4" t="b">
        <f t="shared" si="1"/>
        <v>0</v>
      </c>
      <c r="E1239" s="4" t="s">
        <v>1429</v>
      </c>
    </row>
    <row r="1240">
      <c r="A1240" s="3" t="s">
        <v>1430</v>
      </c>
      <c r="B1240" s="3">
        <v>0.0</v>
      </c>
      <c r="C1240" s="3" t="s">
        <v>6</v>
      </c>
      <c r="D1240" s="4" t="b">
        <f t="shared" si="1"/>
        <v>0</v>
      </c>
      <c r="E1240" s="4" t="s">
        <v>1430</v>
      </c>
    </row>
    <row r="1241">
      <c r="A1241" s="3" t="s">
        <v>1431</v>
      </c>
      <c r="B1241" s="3">
        <v>5000.0</v>
      </c>
      <c r="C1241" s="4"/>
      <c r="D1241" s="4" t="b">
        <f t="shared" si="1"/>
        <v>0</v>
      </c>
      <c r="E1241" s="4" t="s">
        <v>1431</v>
      </c>
    </row>
    <row r="1242">
      <c r="A1242" s="3" t="s">
        <v>1432</v>
      </c>
      <c r="B1242" s="3">
        <v>0.0</v>
      </c>
      <c r="C1242" s="3" t="s">
        <v>484</v>
      </c>
      <c r="D1242" s="4" t="b">
        <f t="shared" si="1"/>
        <v>0</v>
      </c>
      <c r="E1242" s="4" t="s">
        <v>2273</v>
      </c>
    </row>
    <row r="1243">
      <c r="A1243" s="3" t="s">
        <v>1433</v>
      </c>
      <c r="B1243" s="4"/>
      <c r="C1243" s="4"/>
      <c r="D1243" s="4" t="b">
        <f t="shared" si="1"/>
        <v>1</v>
      </c>
      <c r="E1243" s="4" t="s">
        <v>1433</v>
      </c>
    </row>
    <row r="1244">
      <c r="A1244" s="3" t="s">
        <v>1434</v>
      </c>
      <c r="B1244" s="3">
        <v>120.0</v>
      </c>
      <c r="C1244" s="3" t="s">
        <v>32</v>
      </c>
      <c r="D1244" s="4" t="b">
        <f t="shared" si="1"/>
        <v>0</v>
      </c>
      <c r="E1244" s="4" t="s">
        <v>1434</v>
      </c>
    </row>
    <row r="1245">
      <c r="A1245" s="3" t="s">
        <v>1436</v>
      </c>
      <c r="B1245" s="3">
        <v>4000.0</v>
      </c>
      <c r="C1245" s="4"/>
      <c r="D1245" s="4" t="b">
        <f t="shared" si="1"/>
        <v>0</v>
      </c>
      <c r="E1245" s="4" t="s">
        <v>1436</v>
      </c>
    </row>
    <row r="1246">
      <c r="A1246" s="3" t="s">
        <v>1437</v>
      </c>
      <c r="B1246" s="3">
        <v>0.0</v>
      </c>
      <c r="C1246" s="3" t="s">
        <v>6</v>
      </c>
      <c r="D1246" s="4" t="b">
        <f t="shared" si="1"/>
        <v>0</v>
      </c>
      <c r="E1246" s="4" t="s">
        <v>1437</v>
      </c>
    </row>
    <row r="1247">
      <c r="A1247" s="3" t="s">
        <v>1438</v>
      </c>
      <c r="B1247" s="3">
        <v>50000.0</v>
      </c>
      <c r="C1247" s="4"/>
      <c r="D1247" s="4" t="b">
        <f t="shared" si="1"/>
        <v>0</v>
      </c>
      <c r="E1247" s="4" t="s">
        <v>1438</v>
      </c>
    </row>
    <row r="1248">
      <c r="A1248" s="3" t="s">
        <v>1439</v>
      </c>
      <c r="B1248" s="3">
        <v>23000.0</v>
      </c>
      <c r="C1248" s="3" t="s">
        <v>37</v>
      </c>
      <c r="D1248" s="4" t="b">
        <f t="shared" si="1"/>
        <v>0</v>
      </c>
      <c r="E1248" s="4" t="s">
        <v>2274</v>
      </c>
    </row>
    <row r="1249">
      <c r="A1249" s="4"/>
      <c r="B1249" s="4"/>
      <c r="C1249" s="3" t="s">
        <v>38</v>
      </c>
      <c r="D1249" s="4" t="b">
        <f t="shared" si="1"/>
        <v>1</v>
      </c>
      <c r="E1249" s="4"/>
    </row>
    <row r="1250">
      <c r="A1250" s="3" t="s">
        <v>1440</v>
      </c>
      <c r="B1250" s="3">
        <v>400.0</v>
      </c>
      <c r="C1250" s="4"/>
      <c r="D1250" s="4" t="b">
        <f t="shared" si="1"/>
        <v>0</v>
      </c>
      <c r="E1250" s="4" t="s">
        <v>1440</v>
      </c>
    </row>
    <row r="1251">
      <c r="A1251" s="3" t="s">
        <v>1441</v>
      </c>
      <c r="B1251" s="3">
        <v>0.0</v>
      </c>
      <c r="C1251" s="3" t="s">
        <v>3</v>
      </c>
      <c r="D1251" s="4" t="b">
        <f t="shared" si="1"/>
        <v>0</v>
      </c>
      <c r="E1251" s="4" t="s">
        <v>1441</v>
      </c>
    </row>
    <row r="1252">
      <c r="A1252" s="3" t="s">
        <v>1442</v>
      </c>
      <c r="B1252" s="3">
        <v>0.0</v>
      </c>
      <c r="C1252" s="3" t="s">
        <v>3</v>
      </c>
      <c r="D1252" s="4" t="b">
        <f t="shared" si="1"/>
        <v>0</v>
      </c>
      <c r="E1252" s="4" t="s">
        <v>1442</v>
      </c>
    </row>
    <row r="1253">
      <c r="A1253" s="3" t="s">
        <v>1443</v>
      </c>
      <c r="B1253" s="3">
        <v>0.0</v>
      </c>
      <c r="C1253" s="3" t="s">
        <v>3</v>
      </c>
      <c r="D1253" s="4" t="b">
        <f t="shared" si="1"/>
        <v>0</v>
      </c>
      <c r="E1253" s="4" t="s">
        <v>1443</v>
      </c>
    </row>
    <row r="1254">
      <c r="A1254" s="3" t="s">
        <v>1444</v>
      </c>
      <c r="B1254" s="3">
        <v>500.0</v>
      </c>
      <c r="C1254" s="4"/>
      <c r="D1254" s="4" t="b">
        <f t="shared" si="1"/>
        <v>0</v>
      </c>
      <c r="E1254" s="4" t="s">
        <v>1444</v>
      </c>
    </row>
    <row r="1255">
      <c r="A1255" s="3" t="s">
        <v>1445</v>
      </c>
      <c r="B1255" s="3">
        <v>0.0</v>
      </c>
      <c r="C1255" s="3" t="s">
        <v>3</v>
      </c>
      <c r="D1255" s="4" t="b">
        <f t="shared" si="1"/>
        <v>0</v>
      </c>
      <c r="E1255" s="4" t="s">
        <v>1445</v>
      </c>
    </row>
    <row r="1256">
      <c r="A1256" s="3" t="s">
        <v>1446</v>
      </c>
      <c r="B1256" s="3">
        <v>0.0</v>
      </c>
      <c r="C1256" s="3" t="s">
        <v>3</v>
      </c>
      <c r="D1256" s="4" t="b">
        <f t="shared" si="1"/>
        <v>0</v>
      </c>
      <c r="E1256" s="4" t="s">
        <v>1446</v>
      </c>
    </row>
    <row r="1257">
      <c r="A1257" s="3" t="s">
        <v>1447</v>
      </c>
      <c r="B1257" s="3">
        <v>0.0</v>
      </c>
      <c r="C1257" s="3" t="s">
        <v>3</v>
      </c>
      <c r="D1257" s="4" t="b">
        <f t="shared" si="1"/>
        <v>0</v>
      </c>
      <c r="E1257" s="4" t="s">
        <v>1447</v>
      </c>
    </row>
    <row r="1258">
      <c r="A1258" s="3" t="s">
        <v>1448</v>
      </c>
      <c r="B1258" s="3">
        <v>0.0</v>
      </c>
      <c r="C1258" s="3" t="s">
        <v>3</v>
      </c>
      <c r="D1258" s="4" t="b">
        <f t="shared" si="1"/>
        <v>0</v>
      </c>
      <c r="E1258" s="4" t="s">
        <v>1448</v>
      </c>
    </row>
    <row r="1259">
      <c r="A1259" s="3" t="s">
        <v>1449</v>
      </c>
      <c r="B1259" s="3">
        <v>1800.0</v>
      </c>
      <c r="C1259" s="3" t="s">
        <v>6</v>
      </c>
      <c r="D1259" s="4" t="b">
        <f t="shared" si="1"/>
        <v>0</v>
      </c>
      <c r="E1259" s="4" t="s">
        <v>1449</v>
      </c>
    </row>
    <row r="1260">
      <c r="A1260" s="3" t="s">
        <v>1450</v>
      </c>
      <c r="B1260" s="3">
        <v>2500.0</v>
      </c>
      <c r="C1260" s="3" t="s">
        <v>3</v>
      </c>
      <c r="D1260" s="4" t="b">
        <f t="shared" si="1"/>
        <v>0</v>
      </c>
      <c r="E1260" s="4" t="s">
        <v>1450</v>
      </c>
    </row>
    <row r="1261">
      <c r="A1261" s="3" t="s">
        <v>1451</v>
      </c>
      <c r="B1261" s="3">
        <v>4000.0</v>
      </c>
      <c r="C1261" s="3" t="s">
        <v>32</v>
      </c>
      <c r="D1261" s="4" t="b">
        <f t="shared" si="1"/>
        <v>0</v>
      </c>
      <c r="E1261" s="4" t="s">
        <v>1451</v>
      </c>
    </row>
    <row r="1262">
      <c r="A1262" s="3" t="s">
        <v>1452</v>
      </c>
      <c r="B1262" s="3">
        <v>0.0</v>
      </c>
      <c r="C1262" s="3" t="s">
        <v>32</v>
      </c>
      <c r="D1262" s="4" t="b">
        <f t="shared" si="1"/>
        <v>0</v>
      </c>
      <c r="E1262" s="4" t="s">
        <v>1452</v>
      </c>
    </row>
    <row r="1263">
      <c r="A1263" s="3" t="s">
        <v>1453</v>
      </c>
      <c r="B1263" s="3">
        <v>0.0</v>
      </c>
      <c r="C1263" s="3" t="s">
        <v>3</v>
      </c>
      <c r="D1263" s="4" t="b">
        <f t="shared" si="1"/>
        <v>0</v>
      </c>
      <c r="E1263" s="4" t="s">
        <v>1453</v>
      </c>
    </row>
    <row r="1264">
      <c r="A1264" s="3" t="s">
        <v>1454</v>
      </c>
      <c r="B1264" s="3">
        <v>500.0</v>
      </c>
      <c r="C1264" s="3" t="s">
        <v>484</v>
      </c>
      <c r="D1264" s="4" t="b">
        <f t="shared" si="1"/>
        <v>0</v>
      </c>
      <c r="E1264" s="4" t="s">
        <v>1454</v>
      </c>
    </row>
    <row r="1265">
      <c r="A1265" s="3" t="s">
        <v>1455</v>
      </c>
      <c r="B1265" s="3">
        <v>500.0</v>
      </c>
      <c r="C1265" s="4"/>
      <c r="D1265" s="4" t="b">
        <f t="shared" si="1"/>
        <v>0</v>
      </c>
      <c r="E1265" s="4" t="s">
        <v>2275</v>
      </c>
    </row>
    <row r="1266">
      <c r="A1266" s="3" t="s">
        <v>1456</v>
      </c>
      <c r="B1266" s="4"/>
      <c r="C1266" s="4"/>
      <c r="D1266" s="4" t="b">
        <f t="shared" si="1"/>
        <v>1</v>
      </c>
      <c r="E1266" s="4" t="s">
        <v>1456</v>
      </c>
    </row>
    <row r="1267">
      <c r="A1267" s="3" t="s">
        <v>1457</v>
      </c>
      <c r="B1267" s="3">
        <v>800.0</v>
      </c>
      <c r="C1267" s="4"/>
      <c r="D1267" s="4" t="b">
        <f t="shared" si="1"/>
        <v>0</v>
      </c>
      <c r="E1267" s="4" t="s">
        <v>1457</v>
      </c>
    </row>
    <row r="1268">
      <c r="A1268" s="3" t="s">
        <v>1458</v>
      </c>
      <c r="B1268" s="3">
        <v>0.0</v>
      </c>
      <c r="C1268" s="3" t="s">
        <v>3</v>
      </c>
      <c r="D1268" s="4" t="b">
        <f t="shared" si="1"/>
        <v>0</v>
      </c>
      <c r="E1268" s="4" t="s">
        <v>1458</v>
      </c>
    </row>
    <row r="1269">
      <c r="A1269" s="3" t="s">
        <v>1459</v>
      </c>
      <c r="B1269" s="3">
        <v>0.0</v>
      </c>
      <c r="C1269" s="3" t="s">
        <v>3</v>
      </c>
      <c r="D1269" s="4" t="b">
        <f t="shared" si="1"/>
        <v>0</v>
      </c>
      <c r="E1269" s="4" t="s">
        <v>1459</v>
      </c>
    </row>
    <row r="1270">
      <c r="A1270" s="3" t="s">
        <v>1460</v>
      </c>
      <c r="B1270" s="3">
        <v>6500.0</v>
      </c>
      <c r="C1270" s="4"/>
      <c r="D1270" s="4" t="b">
        <f t="shared" si="1"/>
        <v>0</v>
      </c>
      <c r="E1270" s="4" t="s">
        <v>1460</v>
      </c>
    </row>
    <row r="1271">
      <c r="A1271" s="3" t="s">
        <v>1461</v>
      </c>
      <c r="B1271" s="3">
        <v>1000.0</v>
      </c>
      <c r="C1271" s="3" t="s">
        <v>6</v>
      </c>
      <c r="D1271" s="4" t="b">
        <f t="shared" si="1"/>
        <v>0</v>
      </c>
      <c r="E1271" s="4" t="s">
        <v>1461</v>
      </c>
    </row>
    <row r="1272">
      <c r="A1272" s="3" t="s">
        <v>1462</v>
      </c>
      <c r="B1272" s="3">
        <v>1200.0</v>
      </c>
      <c r="C1272" s="3" t="s">
        <v>3</v>
      </c>
      <c r="D1272" s="4" t="b">
        <f t="shared" si="1"/>
        <v>0</v>
      </c>
      <c r="E1272" s="4" t="s">
        <v>1462</v>
      </c>
    </row>
    <row r="1273">
      <c r="A1273" s="3" t="s">
        <v>1463</v>
      </c>
      <c r="B1273" s="3">
        <v>343924.0</v>
      </c>
      <c r="C1273" s="3" t="s">
        <v>484</v>
      </c>
      <c r="D1273" s="4" t="b">
        <f t="shared" si="1"/>
        <v>0</v>
      </c>
      <c r="E1273" s="4" t="s">
        <v>1463</v>
      </c>
    </row>
    <row r="1274">
      <c r="A1274" s="3" t="s">
        <v>1465</v>
      </c>
      <c r="B1274" s="3">
        <v>0.0</v>
      </c>
      <c r="C1274" s="3" t="s">
        <v>3</v>
      </c>
      <c r="D1274" s="4" t="b">
        <f t="shared" si="1"/>
        <v>0</v>
      </c>
      <c r="E1274" s="4" t="s">
        <v>1465</v>
      </c>
    </row>
    <row r="1275">
      <c r="A1275" s="3" t="s">
        <v>1466</v>
      </c>
      <c r="B1275" s="3">
        <v>0.0</v>
      </c>
      <c r="C1275" s="3" t="s">
        <v>3</v>
      </c>
      <c r="D1275" s="4" t="b">
        <f t="shared" si="1"/>
        <v>0</v>
      </c>
      <c r="E1275" s="4" t="s">
        <v>1466</v>
      </c>
    </row>
    <row r="1276">
      <c r="A1276" s="3" t="s">
        <v>1467</v>
      </c>
      <c r="B1276" s="3">
        <v>900.0</v>
      </c>
      <c r="C1276" s="4"/>
      <c r="D1276" s="4" t="b">
        <f t="shared" si="1"/>
        <v>0</v>
      </c>
      <c r="E1276" s="4" t="s">
        <v>1467</v>
      </c>
    </row>
    <row r="1277">
      <c r="A1277" s="3" t="s">
        <v>1468</v>
      </c>
      <c r="B1277" s="3">
        <v>5000.0</v>
      </c>
      <c r="C1277" s="4"/>
      <c r="D1277" s="4" t="b">
        <f t="shared" si="1"/>
        <v>0</v>
      </c>
      <c r="E1277" s="4" t="s">
        <v>1468</v>
      </c>
    </row>
    <row r="1278">
      <c r="A1278" s="3" t="s">
        <v>1469</v>
      </c>
      <c r="B1278" s="3">
        <v>0.0</v>
      </c>
      <c r="C1278" s="3" t="s">
        <v>6</v>
      </c>
      <c r="D1278" s="4" t="b">
        <f t="shared" si="1"/>
        <v>0</v>
      </c>
      <c r="E1278" s="4" t="s">
        <v>1469</v>
      </c>
    </row>
    <row r="1279">
      <c r="A1279" s="3" t="s">
        <v>1470</v>
      </c>
      <c r="B1279" s="3">
        <v>2250.0</v>
      </c>
      <c r="C1279" s="4"/>
      <c r="D1279" s="4" t="b">
        <f t="shared" si="1"/>
        <v>0</v>
      </c>
      <c r="E1279" s="4" t="s">
        <v>1470</v>
      </c>
    </row>
    <row r="1280">
      <c r="A1280" s="3" t="s">
        <v>1472</v>
      </c>
      <c r="B1280" s="3">
        <v>240000.0</v>
      </c>
      <c r="C1280" s="4"/>
      <c r="D1280" s="4" t="b">
        <f t="shared" si="1"/>
        <v>0</v>
      </c>
      <c r="E1280" s="4" t="s">
        <v>1472</v>
      </c>
    </row>
    <row r="1281">
      <c r="A1281" s="3" t="s">
        <v>1474</v>
      </c>
      <c r="B1281" s="3">
        <v>0.0</v>
      </c>
      <c r="C1281" s="3" t="s">
        <v>3</v>
      </c>
      <c r="D1281" s="4" t="b">
        <f t="shared" si="1"/>
        <v>0</v>
      </c>
      <c r="E1281" s="4" t="s">
        <v>1474</v>
      </c>
    </row>
    <row r="1282">
      <c r="A1282" s="3" t="s">
        <v>1475</v>
      </c>
      <c r="B1282" s="3">
        <v>6000.0</v>
      </c>
      <c r="C1282" s="4"/>
      <c r="D1282" s="4" t="b">
        <f t="shared" si="1"/>
        <v>0</v>
      </c>
      <c r="E1282" s="4" t="s">
        <v>1475</v>
      </c>
    </row>
    <row r="1283">
      <c r="A1283" s="3" t="s">
        <v>1476</v>
      </c>
      <c r="B1283" s="3">
        <v>0.0</v>
      </c>
      <c r="C1283" s="3" t="s">
        <v>3</v>
      </c>
      <c r="D1283" s="4" t="b">
        <f t="shared" si="1"/>
        <v>0</v>
      </c>
      <c r="E1283" s="4" t="s">
        <v>1476</v>
      </c>
    </row>
    <row r="1284">
      <c r="A1284" s="3" t="s">
        <v>1477</v>
      </c>
      <c r="B1284" s="3">
        <v>0.0</v>
      </c>
      <c r="C1284" s="3" t="s">
        <v>6</v>
      </c>
      <c r="D1284" s="4" t="b">
        <f t="shared" si="1"/>
        <v>0</v>
      </c>
      <c r="E1284" s="4" t="s">
        <v>1477</v>
      </c>
    </row>
    <row r="1285">
      <c r="A1285" s="3" t="s">
        <v>1478</v>
      </c>
      <c r="B1285" s="3">
        <v>0.0</v>
      </c>
      <c r="C1285" s="3" t="s">
        <v>3</v>
      </c>
      <c r="D1285" s="4" t="b">
        <f t="shared" si="1"/>
        <v>0</v>
      </c>
      <c r="E1285" s="4" t="s">
        <v>1478</v>
      </c>
    </row>
    <row r="1286">
      <c r="A1286" s="3" t="s">
        <v>1479</v>
      </c>
      <c r="B1286" s="3">
        <v>800.0</v>
      </c>
      <c r="C1286" s="4"/>
      <c r="D1286" s="4" t="b">
        <f t="shared" si="1"/>
        <v>0</v>
      </c>
      <c r="E1286" s="4" t="s">
        <v>1479</v>
      </c>
    </row>
    <row r="1287">
      <c r="A1287" s="3" t="s">
        <v>1480</v>
      </c>
      <c r="B1287" s="3">
        <v>3000.0</v>
      </c>
      <c r="C1287" s="4"/>
      <c r="D1287" s="4" t="b">
        <f t="shared" si="1"/>
        <v>0</v>
      </c>
      <c r="E1287" s="4" t="s">
        <v>1480</v>
      </c>
    </row>
    <row r="1288">
      <c r="A1288" s="3" t="s">
        <v>1481</v>
      </c>
      <c r="B1288" s="3">
        <v>132000.0</v>
      </c>
      <c r="C1288" s="3" t="s">
        <v>37</v>
      </c>
      <c r="D1288" s="4" t="b">
        <f t="shared" si="1"/>
        <v>0</v>
      </c>
      <c r="E1288" s="4" t="s">
        <v>2276</v>
      </c>
    </row>
    <row r="1289">
      <c r="A1289" s="4"/>
      <c r="B1289" s="4"/>
      <c r="C1289" s="3" t="s">
        <v>38</v>
      </c>
      <c r="D1289" s="4" t="b">
        <f t="shared" si="1"/>
        <v>1</v>
      </c>
      <c r="E1289" s="4"/>
    </row>
    <row r="1290">
      <c r="A1290" s="3" t="s">
        <v>1483</v>
      </c>
      <c r="B1290" s="3">
        <v>0.0</v>
      </c>
      <c r="C1290" s="3" t="s">
        <v>3</v>
      </c>
      <c r="D1290" s="4" t="b">
        <f t="shared" si="1"/>
        <v>0</v>
      </c>
      <c r="E1290" s="4" t="s">
        <v>1483</v>
      </c>
    </row>
    <row r="1291">
      <c r="A1291" s="3" t="s">
        <v>1484</v>
      </c>
      <c r="B1291" s="3">
        <v>0.0</v>
      </c>
      <c r="C1291" s="3" t="s">
        <v>6</v>
      </c>
      <c r="D1291" s="4" t="b">
        <f t="shared" si="1"/>
        <v>0</v>
      </c>
      <c r="E1291" s="4" t="s">
        <v>2277</v>
      </c>
    </row>
    <row r="1292">
      <c r="A1292" s="3" t="s">
        <v>1485</v>
      </c>
      <c r="B1292" s="4"/>
      <c r="C1292" s="4"/>
      <c r="D1292" s="4" t="b">
        <f t="shared" si="1"/>
        <v>1</v>
      </c>
      <c r="E1292" s="4" t="s">
        <v>1485</v>
      </c>
    </row>
    <row r="1293">
      <c r="A1293" s="3" t="s">
        <v>1486</v>
      </c>
      <c r="B1293" s="3">
        <v>0.0</v>
      </c>
      <c r="C1293" s="3" t="s">
        <v>3</v>
      </c>
      <c r="D1293" s="4" t="b">
        <f t="shared" si="1"/>
        <v>0</v>
      </c>
      <c r="E1293" s="4" t="s">
        <v>1486</v>
      </c>
    </row>
    <row r="1294">
      <c r="A1294" s="3" t="s">
        <v>1487</v>
      </c>
      <c r="B1294" s="3">
        <v>0.0</v>
      </c>
      <c r="C1294" s="3" t="s">
        <v>3</v>
      </c>
      <c r="D1294" s="4" t="b">
        <f t="shared" si="1"/>
        <v>0</v>
      </c>
      <c r="E1294" s="4" t="s">
        <v>1487</v>
      </c>
    </row>
    <row r="1295">
      <c r="A1295" s="3" t="s">
        <v>1488</v>
      </c>
      <c r="B1295" s="3">
        <v>0.0</v>
      </c>
      <c r="C1295" s="3" t="s">
        <v>3</v>
      </c>
      <c r="D1295" s="4" t="b">
        <f t="shared" si="1"/>
        <v>0</v>
      </c>
      <c r="E1295" s="4" t="s">
        <v>1488</v>
      </c>
    </row>
    <row r="1296">
      <c r="A1296" s="3" t="s">
        <v>1489</v>
      </c>
      <c r="B1296" s="3">
        <v>29750.0</v>
      </c>
      <c r="C1296" s="3" t="s">
        <v>32</v>
      </c>
      <c r="D1296" s="4" t="b">
        <f t="shared" si="1"/>
        <v>0</v>
      </c>
      <c r="E1296" s="4" t="s">
        <v>1489</v>
      </c>
    </row>
    <row r="1297">
      <c r="A1297" s="3" t="s">
        <v>1491</v>
      </c>
      <c r="B1297" s="3">
        <v>500.0</v>
      </c>
      <c r="C1297" s="4"/>
      <c r="D1297" s="4" t="b">
        <f t="shared" si="1"/>
        <v>0</v>
      </c>
      <c r="E1297" s="4" t="s">
        <v>1491</v>
      </c>
    </row>
    <row r="1298">
      <c r="A1298" s="3" t="s">
        <v>1492</v>
      </c>
      <c r="B1298" s="3">
        <v>892663.0</v>
      </c>
      <c r="C1298" s="3" t="s">
        <v>37</v>
      </c>
      <c r="D1298" s="4" t="b">
        <f t="shared" si="1"/>
        <v>0</v>
      </c>
      <c r="E1298" s="4" t="s">
        <v>2278</v>
      </c>
    </row>
    <row r="1299">
      <c r="A1299" s="4"/>
      <c r="B1299" s="4"/>
      <c r="C1299" s="3" t="s">
        <v>38</v>
      </c>
      <c r="D1299" s="4" t="b">
        <f t="shared" si="1"/>
        <v>1</v>
      </c>
      <c r="E1299" s="4"/>
    </row>
    <row r="1300">
      <c r="A1300" s="3" t="s">
        <v>1494</v>
      </c>
      <c r="B1300" s="3">
        <v>0.0</v>
      </c>
      <c r="C1300" s="3" t="s">
        <v>3</v>
      </c>
      <c r="D1300" s="4" t="b">
        <f t="shared" si="1"/>
        <v>0</v>
      </c>
      <c r="E1300" s="4" t="s">
        <v>1494</v>
      </c>
    </row>
    <row r="1301">
      <c r="A1301" s="3" t="s">
        <v>1495</v>
      </c>
      <c r="B1301" s="3">
        <v>1500.0</v>
      </c>
      <c r="C1301" s="4"/>
      <c r="D1301" s="4" t="b">
        <f t="shared" si="1"/>
        <v>0</v>
      </c>
      <c r="E1301" s="4" t="s">
        <v>1495</v>
      </c>
    </row>
    <row r="1302">
      <c r="A1302" s="3" t="s">
        <v>1496</v>
      </c>
      <c r="B1302" s="3">
        <v>14000.0</v>
      </c>
      <c r="C1302" s="3" t="s">
        <v>29</v>
      </c>
      <c r="D1302" s="4" t="b">
        <f t="shared" si="1"/>
        <v>0</v>
      </c>
      <c r="E1302" s="4" t="s">
        <v>1496</v>
      </c>
    </row>
    <row r="1303">
      <c r="A1303" s="3" t="s">
        <v>1497</v>
      </c>
      <c r="B1303" s="3">
        <v>0.0</v>
      </c>
      <c r="C1303" s="3" t="s">
        <v>3</v>
      </c>
      <c r="D1303" s="4" t="b">
        <f t="shared" si="1"/>
        <v>0</v>
      </c>
      <c r="E1303" s="4" t="s">
        <v>1497</v>
      </c>
    </row>
    <row r="1304">
      <c r="A1304" s="3" t="s">
        <v>1498</v>
      </c>
      <c r="B1304" s="3">
        <v>0.0</v>
      </c>
      <c r="C1304" s="3" t="s">
        <v>29</v>
      </c>
      <c r="D1304" s="4" t="b">
        <f t="shared" si="1"/>
        <v>0</v>
      </c>
      <c r="E1304" s="4" t="s">
        <v>1498</v>
      </c>
    </row>
    <row r="1305">
      <c r="A1305" s="3" t="s">
        <v>1499</v>
      </c>
      <c r="B1305" s="3">
        <v>9000.0</v>
      </c>
      <c r="C1305" s="3" t="s">
        <v>32</v>
      </c>
      <c r="D1305" s="4" t="b">
        <f t="shared" si="1"/>
        <v>0</v>
      </c>
      <c r="E1305" s="4" t="s">
        <v>1499</v>
      </c>
    </row>
    <row r="1306">
      <c r="A1306" s="3" t="s">
        <v>1500</v>
      </c>
      <c r="B1306" s="3">
        <v>205000.0</v>
      </c>
      <c r="C1306" s="4"/>
      <c r="D1306" s="4" t="b">
        <f t="shared" si="1"/>
        <v>0</v>
      </c>
      <c r="E1306" s="4" t="s">
        <v>1500</v>
      </c>
    </row>
    <row r="1307">
      <c r="A1307" s="3" t="s">
        <v>1502</v>
      </c>
      <c r="B1307" s="3">
        <v>54201.0</v>
      </c>
      <c r="C1307" s="3" t="s">
        <v>6</v>
      </c>
      <c r="D1307" s="4" t="b">
        <f t="shared" si="1"/>
        <v>0</v>
      </c>
      <c r="E1307" s="4" t="s">
        <v>1502</v>
      </c>
    </row>
    <row r="1308">
      <c r="A1308" s="3" t="s">
        <v>1504</v>
      </c>
      <c r="B1308" s="3">
        <v>2800.0</v>
      </c>
      <c r="C1308" s="3" t="s">
        <v>3</v>
      </c>
      <c r="D1308" s="4" t="b">
        <f t="shared" si="1"/>
        <v>0</v>
      </c>
      <c r="E1308" s="4" t="s">
        <v>1504</v>
      </c>
    </row>
    <row r="1309">
      <c r="A1309" s="3" t="s">
        <v>1505</v>
      </c>
      <c r="B1309" s="3">
        <v>0.0</v>
      </c>
      <c r="C1309" s="3" t="s">
        <v>3</v>
      </c>
      <c r="D1309" s="4" t="b">
        <f t="shared" si="1"/>
        <v>0</v>
      </c>
      <c r="E1309" s="4" t="s">
        <v>1505</v>
      </c>
    </row>
    <row r="1310">
      <c r="A1310" s="3" t="s">
        <v>1506</v>
      </c>
      <c r="B1310" s="3">
        <v>0.0</v>
      </c>
      <c r="C1310" s="3" t="s">
        <v>3</v>
      </c>
      <c r="D1310" s="4" t="b">
        <f t="shared" si="1"/>
        <v>0</v>
      </c>
      <c r="E1310" s="4" t="s">
        <v>1506</v>
      </c>
    </row>
    <row r="1311">
      <c r="A1311" s="3" t="s">
        <v>1507</v>
      </c>
      <c r="B1311" s="3">
        <v>0.0</v>
      </c>
      <c r="C1311" s="3" t="s">
        <v>3</v>
      </c>
      <c r="D1311" s="4" t="b">
        <f t="shared" si="1"/>
        <v>0</v>
      </c>
      <c r="E1311" s="4" t="s">
        <v>1507</v>
      </c>
    </row>
    <row r="1312">
      <c r="A1312" s="3" t="s">
        <v>1508</v>
      </c>
      <c r="B1312" s="3">
        <v>0.0</v>
      </c>
      <c r="C1312" s="3" t="s">
        <v>3</v>
      </c>
      <c r="D1312" s="4" t="b">
        <f t="shared" si="1"/>
        <v>0</v>
      </c>
      <c r="E1312" s="4" t="s">
        <v>1508</v>
      </c>
    </row>
    <row r="1313">
      <c r="A1313" s="3" t="s">
        <v>1509</v>
      </c>
      <c r="B1313" s="3">
        <v>0.0</v>
      </c>
      <c r="C1313" s="3" t="s">
        <v>3</v>
      </c>
      <c r="D1313" s="4" t="b">
        <f t="shared" si="1"/>
        <v>0</v>
      </c>
      <c r="E1313" s="4" t="s">
        <v>1509</v>
      </c>
    </row>
    <row r="1314">
      <c r="A1314" s="3" t="s">
        <v>1510</v>
      </c>
      <c r="B1314" s="3">
        <v>3000.0</v>
      </c>
      <c r="C1314" s="3" t="s">
        <v>3</v>
      </c>
      <c r="D1314" s="4" t="b">
        <f t="shared" si="1"/>
        <v>0</v>
      </c>
      <c r="E1314" s="4" t="s">
        <v>1510</v>
      </c>
    </row>
    <row r="1315">
      <c r="A1315" s="3" t="s">
        <v>1511</v>
      </c>
      <c r="B1315" s="3">
        <v>0.0</v>
      </c>
      <c r="C1315" s="3" t="s">
        <v>6</v>
      </c>
      <c r="D1315" s="4" t="b">
        <f t="shared" si="1"/>
        <v>0</v>
      </c>
      <c r="E1315" s="4" t="s">
        <v>1511</v>
      </c>
    </row>
    <row r="1316">
      <c r="A1316" s="3" t="s">
        <v>1512</v>
      </c>
      <c r="B1316" s="3">
        <v>9500.0</v>
      </c>
      <c r="C1316" s="3" t="s">
        <v>6</v>
      </c>
      <c r="D1316" s="4" t="b">
        <f t="shared" si="1"/>
        <v>0</v>
      </c>
      <c r="E1316" s="4" t="s">
        <v>1512</v>
      </c>
    </row>
    <row r="1317">
      <c r="A1317" s="3" t="s">
        <v>1513</v>
      </c>
      <c r="B1317" s="3">
        <v>0.0</v>
      </c>
      <c r="C1317" s="3" t="s">
        <v>6</v>
      </c>
      <c r="D1317" s="4" t="b">
        <f t="shared" si="1"/>
        <v>0</v>
      </c>
      <c r="E1317" s="4" t="s">
        <v>1513</v>
      </c>
    </row>
    <row r="1318">
      <c r="A1318" s="3" t="s">
        <v>1514</v>
      </c>
      <c r="B1318" s="3">
        <v>0.0</v>
      </c>
      <c r="C1318" s="3" t="s">
        <v>6</v>
      </c>
      <c r="D1318" s="4" t="b">
        <f t="shared" si="1"/>
        <v>0</v>
      </c>
      <c r="E1318" s="4" t="s">
        <v>1514</v>
      </c>
    </row>
    <row r="1319">
      <c r="A1319" s="3" t="s">
        <v>1515</v>
      </c>
      <c r="B1319" s="3">
        <v>11500.0</v>
      </c>
      <c r="C1319" s="3" t="s">
        <v>16</v>
      </c>
      <c r="D1319" s="4" t="b">
        <f t="shared" si="1"/>
        <v>0</v>
      </c>
      <c r="E1319" s="4" t="s">
        <v>1515</v>
      </c>
    </row>
    <row r="1320">
      <c r="A1320" s="3" t="s">
        <v>1516</v>
      </c>
      <c r="B1320" s="3">
        <v>741.0</v>
      </c>
      <c r="C1320" s="4"/>
      <c r="D1320" s="4" t="b">
        <f t="shared" si="1"/>
        <v>0</v>
      </c>
      <c r="E1320" s="4" t="s">
        <v>1516</v>
      </c>
    </row>
    <row r="1321">
      <c r="A1321" s="3" t="s">
        <v>1518</v>
      </c>
      <c r="B1321" s="3">
        <v>0.0</v>
      </c>
      <c r="C1321" s="3" t="s">
        <v>3</v>
      </c>
      <c r="D1321" s="4" t="b">
        <f t="shared" si="1"/>
        <v>0</v>
      </c>
      <c r="E1321" s="4" t="s">
        <v>1518</v>
      </c>
    </row>
    <row r="1322">
      <c r="A1322" s="3" t="s">
        <v>1519</v>
      </c>
      <c r="B1322" s="3">
        <v>0.0</v>
      </c>
      <c r="C1322" s="3" t="s">
        <v>3</v>
      </c>
      <c r="D1322" s="4" t="b">
        <f t="shared" si="1"/>
        <v>0</v>
      </c>
      <c r="E1322" s="4" t="s">
        <v>1519</v>
      </c>
    </row>
    <row r="1323">
      <c r="A1323" s="3" t="s">
        <v>1520</v>
      </c>
      <c r="B1323" s="3">
        <v>0.0</v>
      </c>
      <c r="C1323" s="3" t="s">
        <v>32</v>
      </c>
      <c r="D1323" s="4" t="b">
        <f t="shared" si="1"/>
        <v>0</v>
      </c>
      <c r="E1323" s="4" t="s">
        <v>1520</v>
      </c>
    </row>
    <row r="1324">
      <c r="A1324" s="3" t="s">
        <v>1521</v>
      </c>
      <c r="B1324" s="3">
        <v>0.0</v>
      </c>
      <c r="C1324" s="3" t="s">
        <v>6</v>
      </c>
      <c r="D1324" s="4" t="b">
        <f t="shared" si="1"/>
        <v>0</v>
      </c>
      <c r="E1324" s="4" t="s">
        <v>1521</v>
      </c>
    </row>
    <row r="1325">
      <c r="A1325" s="3" t="s">
        <v>1522</v>
      </c>
      <c r="B1325" s="3">
        <v>0.0</v>
      </c>
      <c r="C1325" s="3" t="s">
        <v>6</v>
      </c>
      <c r="D1325" s="4" t="b">
        <f t="shared" si="1"/>
        <v>0</v>
      </c>
      <c r="E1325" s="4" t="s">
        <v>1522</v>
      </c>
    </row>
    <row r="1326">
      <c r="A1326" s="3" t="s">
        <v>1523</v>
      </c>
      <c r="B1326" s="3">
        <v>3000.0</v>
      </c>
      <c r="C1326" s="3" t="s">
        <v>32</v>
      </c>
      <c r="D1326" s="4" t="b">
        <f t="shared" si="1"/>
        <v>0</v>
      </c>
      <c r="E1326" s="4" t="s">
        <v>1523</v>
      </c>
    </row>
    <row r="1327">
      <c r="A1327" s="3" t="s">
        <v>1524</v>
      </c>
      <c r="B1327" s="3">
        <v>0.0</v>
      </c>
      <c r="C1327" s="3" t="s">
        <v>3</v>
      </c>
      <c r="D1327" s="4" t="b">
        <f t="shared" si="1"/>
        <v>0</v>
      </c>
      <c r="E1327" s="4" t="s">
        <v>2279</v>
      </c>
    </row>
    <row r="1328">
      <c r="A1328" s="3" t="s">
        <v>1525</v>
      </c>
      <c r="B1328" s="4"/>
      <c r="C1328" s="4"/>
      <c r="D1328" s="4" t="b">
        <f t="shared" si="1"/>
        <v>1</v>
      </c>
      <c r="E1328" s="4" t="s">
        <v>1525</v>
      </c>
    </row>
    <row r="1329">
      <c r="A1329" s="3" t="s">
        <v>1526</v>
      </c>
      <c r="B1329" s="3">
        <v>9000.0</v>
      </c>
      <c r="C1329" s="3" t="s">
        <v>6</v>
      </c>
      <c r="D1329" s="4" t="b">
        <f t="shared" si="1"/>
        <v>0</v>
      </c>
      <c r="E1329" s="4" t="s">
        <v>2280</v>
      </c>
    </row>
    <row r="1330">
      <c r="A1330" s="3" t="s">
        <v>1527</v>
      </c>
      <c r="B1330" s="4"/>
      <c r="C1330" s="4"/>
      <c r="D1330" s="4" t="b">
        <f t="shared" si="1"/>
        <v>1</v>
      </c>
      <c r="E1330" s="4" t="s">
        <v>1527</v>
      </c>
    </row>
    <row r="1331">
      <c r="A1331" s="3" t="s">
        <v>1528</v>
      </c>
      <c r="B1331" s="3">
        <v>0.0</v>
      </c>
      <c r="C1331" s="3" t="s">
        <v>29</v>
      </c>
      <c r="D1331" s="4" t="b">
        <f t="shared" si="1"/>
        <v>0</v>
      </c>
      <c r="E1331" s="4" t="s">
        <v>1528</v>
      </c>
    </row>
    <row r="1332">
      <c r="A1332" s="3" t="s">
        <v>1529</v>
      </c>
      <c r="B1332" s="3">
        <v>0.0</v>
      </c>
      <c r="C1332" s="3" t="s">
        <v>32</v>
      </c>
      <c r="D1332" s="4" t="b">
        <f t="shared" si="1"/>
        <v>0</v>
      </c>
      <c r="E1332" s="4" t="s">
        <v>1529</v>
      </c>
    </row>
    <row r="1333">
      <c r="A1333" s="3" t="s">
        <v>1530</v>
      </c>
      <c r="B1333" s="3">
        <v>0.0</v>
      </c>
      <c r="C1333" s="3" t="s">
        <v>32</v>
      </c>
      <c r="D1333" s="4" t="b">
        <f t="shared" si="1"/>
        <v>0</v>
      </c>
      <c r="E1333" s="4" t="s">
        <v>1530</v>
      </c>
    </row>
    <row r="1334">
      <c r="A1334" s="3" t="s">
        <v>1531</v>
      </c>
      <c r="B1334" s="3">
        <v>0.0</v>
      </c>
      <c r="C1334" s="3" t="s">
        <v>3</v>
      </c>
      <c r="D1334" s="4" t="b">
        <f t="shared" si="1"/>
        <v>0</v>
      </c>
      <c r="E1334" s="4" t="s">
        <v>1531</v>
      </c>
    </row>
    <row r="1335">
      <c r="A1335" s="3" t="s">
        <v>1532</v>
      </c>
      <c r="B1335" s="3">
        <v>0.0</v>
      </c>
      <c r="C1335" s="3" t="s">
        <v>6</v>
      </c>
      <c r="D1335" s="4" t="b">
        <f t="shared" si="1"/>
        <v>0</v>
      </c>
      <c r="E1335" s="4" t="s">
        <v>1532</v>
      </c>
    </row>
    <row r="1336">
      <c r="A1336" s="3" t="s">
        <v>1533</v>
      </c>
      <c r="B1336" s="3">
        <v>0.0</v>
      </c>
      <c r="C1336" s="3" t="s">
        <v>32</v>
      </c>
      <c r="D1336" s="4" t="b">
        <f t="shared" si="1"/>
        <v>0</v>
      </c>
      <c r="E1336" s="4" t="s">
        <v>1533</v>
      </c>
    </row>
    <row r="1337">
      <c r="A1337" s="3" t="s">
        <v>1534</v>
      </c>
      <c r="B1337" s="3">
        <v>0.0</v>
      </c>
      <c r="C1337" s="3" t="s">
        <v>6</v>
      </c>
      <c r="D1337" s="4" t="b">
        <f t="shared" si="1"/>
        <v>0</v>
      </c>
      <c r="E1337" s="4" t="s">
        <v>1534</v>
      </c>
    </row>
    <row r="1338">
      <c r="A1338" s="3" t="s">
        <v>1535</v>
      </c>
      <c r="B1338" s="3">
        <v>0.0</v>
      </c>
      <c r="C1338" s="3" t="s">
        <v>6</v>
      </c>
      <c r="D1338" s="4" t="b">
        <f t="shared" si="1"/>
        <v>0</v>
      </c>
      <c r="E1338" s="4" t="s">
        <v>1535</v>
      </c>
    </row>
    <row r="1339">
      <c r="A1339" s="3" t="s">
        <v>1536</v>
      </c>
      <c r="B1339" s="3">
        <v>7000.0</v>
      </c>
      <c r="C1339" s="4"/>
      <c r="D1339" s="4" t="b">
        <f t="shared" si="1"/>
        <v>0</v>
      </c>
      <c r="E1339" s="4" t="s">
        <v>1536</v>
      </c>
    </row>
    <row r="1340">
      <c r="A1340" s="3" t="s">
        <v>1537</v>
      </c>
      <c r="B1340" s="3">
        <v>0.0</v>
      </c>
      <c r="C1340" s="3" t="s">
        <v>32</v>
      </c>
      <c r="D1340" s="4" t="b">
        <f t="shared" si="1"/>
        <v>0</v>
      </c>
      <c r="E1340" s="4" t="s">
        <v>1537</v>
      </c>
    </row>
    <row r="1341">
      <c r="A1341" s="3" t="s">
        <v>1538</v>
      </c>
      <c r="B1341" s="3">
        <v>0.0</v>
      </c>
      <c r="C1341" s="3" t="s">
        <v>3</v>
      </c>
      <c r="D1341" s="4" t="b">
        <f t="shared" si="1"/>
        <v>0</v>
      </c>
      <c r="E1341" s="4" t="s">
        <v>1538</v>
      </c>
    </row>
    <row r="1342">
      <c r="A1342" s="3" t="s">
        <v>1539</v>
      </c>
      <c r="B1342" s="3">
        <v>200000.0</v>
      </c>
      <c r="C1342" s="4"/>
      <c r="D1342" s="4" t="b">
        <f t="shared" si="1"/>
        <v>0</v>
      </c>
      <c r="E1342" s="4" t="s">
        <v>1539</v>
      </c>
    </row>
    <row r="1343">
      <c r="A1343" s="3" t="s">
        <v>1541</v>
      </c>
      <c r="B1343" s="3">
        <v>4500.0</v>
      </c>
      <c r="C1343" s="3" t="s">
        <v>6</v>
      </c>
      <c r="D1343" s="4" t="b">
        <f t="shared" si="1"/>
        <v>0</v>
      </c>
      <c r="E1343" s="4" t="s">
        <v>1541</v>
      </c>
    </row>
    <row r="1344">
      <c r="A1344" s="3" t="s">
        <v>1542</v>
      </c>
      <c r="B1344" s="3">
        <v>0.0</v>
      </c>
      <c r="C1344" s="3" t="s">
        <v>3</v>
      </c>
      <c r="D1344" s="4" t="b">
        <f t="shared" si="1"/>
        <v>0</v>
      </c>
      <c r="E1344" s="4" t="s">
        <v>1542</v>
      </c>
    </row>
    <row r="1345">
      <c r="A1345" s="3" t="s">
        <v>1543</v>
      </c>
      <c r="B1345" s="3">
        <v>0.0</v>
      </c>
      <c r="C1345" s="3" t="s">
        <v>3</v>
      </c>
      <c r="D1345" s="4" t="b">
        <f t="shared" si="1"/>
        <v>0</v>
      </c>
      <c r="E1345" s="4" t="s">
        <v>1543</v>
      </c>
    </row>
    <row r="1346">
      <c r="A1346" s="3" t="s">
        <v>1544</v>
      </c>
      <c r="B1346" s="3">
        <v>400.0</v>
      </c>
      <c r="C1346" s="4"/>
      <c r="D1346" s="4" t="b">
        <f t="shared" si="1"/>
        <v>0</v>
      </c>
      <c r="E1346" s="4" t="s">
        <v>1544</v>
      </c>
    </row>
    <row r="1347">
      <c r="A1347" s="3" t="s">
        <v>1545</v>
      </c>
      <c r="B1347" s="3">
        <v>0.0</v>
      </c>
      <c r="C1347" s="3" t="s">
        <v>3</v>
      </c>
      <c r="D1347" s="4" t="b">
        <f t="shared" si="1"/>
        <v>0</v>
      </c>
      <c r="E1347" s="4" t="s">
        <v>2281</v>
      </c>
    </row>
    <row r="1348">
      <c r="A1348" s="3" t="s">
        <v>1546</v>
      </c>
      <c r="B1348" s="4"/>
      <c r="C1348" s="4"/>
      <c r="D1348" s="4" t="b">
        <f t="shared" si="1"/>
        <v>1</v>
      </c>
      <c r="E1348" s="4" t="s">
        <v>1546</v>
      </c>
    </row>
    <row r="1349">
      <c r="A1349" s="3" t="s">
        <v>1547</v>
      </c>
      <c r="B1349" s="3">
        <v>4000.0</v>
      </c>
      <c r="C1349" s="4"/>
      <c r="D1349" s="4" t="b">
        <f t="shared" si="1"/>
        <v>0</v>
      </c>
      <c r="E1349" s="4" t="s">
        <v>1547</v>
      </c>
    </row>
    <row r="1350">
      <c r="A1350" s="3" t="s">
        <v>1548</v>
      </c>
      <c r="B1350" s="3">
        <v>0.0</v>
      </c>
      <c r="C1350" s="3" t="s">
        <v>484</v>
      </c>
      <c r="D1350" s="4" t="b">
        <f t="shared" si="1"/>
        <v>0</v>
      </c>
      <c r="E1350" s="4" t="s">
        <v>1548</v>
      </c>
    </row>
    <row r="1351">
      <c r="A1351" s="3" t="s">
        <v>1549</v>
      </c>
      <c r="B1351" s="3">
        <v>0.0</v>
      </c>
      <c r="C1351" s="3" t="s">
        <v>3</v>
      </c>
      <c r="D1351" s="4" t="b">
        <f t="shared" si="1"/>
        <v>0</v>
      </c>
      <c r="E1351" s="4" t="s">
        <v>1549</v>
      </c>
    </row>
    <row r="1352">
      <c r="A1352" s="3" t="s">
        <v>1550</v>
      </c>
      <c r="B1352" s="3">
        <v>1000.0</v>
      </c>
      <c r="C1352" s="4"/>
      <c r="D1352" s="4" t="b">
        <f t="shared" si="1"/>
        <v>0</v>
      </c>
      <c r="E1352" s="4" t="s">
        <v>1550</v>
      </c>
    </row>
    <row r="1353">
      <c r="A1353" s="3" t="s">
        <v>1551</v>
      </c>
      <c r="B1353" s="3">
        <v>0.0</v>
      </c>
      <c r="C1353" s="3" t="s">
        <v>3</v>
      </c>
      <c r="D1353" s="4" t="b">
        <f t="shared" si="1"/>
        <v>0</v>
      </c>
      <c r="E1353" s="4" t="s">
        <v>1551</v>
      </c>
    </row>
    <row r="1354">
      <c r="A1354" s="3" t="s">
        <v>1552</v>
      </c>
      <c r="B1354" s="3">
        <v>50000.0</v>
      </c>
      <c r="C1354" s="4"/>
      <c r="D1354" s="4" t="b">
        <f t="shared" si="1"/>
        <v>0</v>
      </c>
      <c r="E1354" s="4" t="s">
        <v>1552</v>
      </c>
    </row>
    <row r="1355">
      <c r="A1355" s="3" t="s">
        <v>1553</v>
      </c>
      <c r="B1355" s="3">
        <v>300.0</v>
      </c>
      <c r="C1355" s="4"/>
      <c r="D1355" s="4" t="b">
        <f t="shared" si="1"/>
        <v>0</v>
      </c>
      <c r="E1355" s="4" t="s">
        <v>1553</v>
      </c>
    </row>
    <row r="1356">
      <c r="A1356" s="3" t="s">
        <v>1554</v>
      </c>
      <c r="B1356" s="3">
        <v>1800.0</v>
      </c>
      <c r="C1356" s="4"/>
      <c r="D1356" s="4" t="b">
        <f t="shared" si="1"/>
        <v>0</v>
      </c>
      <c r="E1356" s="4" t="s">
        <v>1554</v>
      </c>
    </row>
    <row r="1357">
      <c r="A1357" s="3" t="s">
        <v>1555</v>
      </c>
      <c r="B1357" s="3">
        <v>0.0</v>
      </c>
      <c r="C1357" s="3" t="s">
        <v>32</v>
      </c>
      <c r="D1357" s="4" t="b">
        <f t="shared" si="1"/>
        <v>0</v>
      </c>
      <c r="E1357" s="4" t="s">
        <v>1555</v>
      </c>
    </row>
    <row r="1358">
      <c r="A1358" s="3" t="s">
        <v>1556</v>
      </c>
      <c r="B1358" s="3">
        <v>678000.0</v>
      </c>
      <c r="C1358" s="4"/>
      <c r="D1358" s="4" t="b">
        <f t="shared" si="1"/>
        <v>0</v>
      </c>
      <c r="E1358" s="4" t="s">
        <v>2282</v>
      </c>
    </row>
    <row r="1359">
      <c r="A1359" s="3" t="s">
        <v>1558</v>
      </c>
      <c r="B1359" s="4"/>
      <c r="C1359" s="4"/>
      <c r="D1359" s="4" t="b">
        <f t="shared" si="1"/>
        <v>1</v>
      </c>
      <c r="E1359" s="4" t="s">
        <v>1558</v>
      </c>
    </row>
    <row r="1360">
      <c r="A1360" s="3" t="s">
        <v>1559</v>
      </c>
      <c r="B1360" s="3">
        <v>56000.0</v>
      </c>
      <c r="C1360" s="3" t="s">
        <v>3</v>
      </c>
      <c r="D1360" s="4" t="b">
        <f t="shared" si="1"/>
        <v>0</v>
      </c>
      <c r="E1360" s="4" t="s">
        <v>1559</v>
      </c>
    </row>
    <row r="1361">
      <c r="A1361" s="3" t="s">
        <v>1561</v>
      </c>
      <c r="B1361" s="3">
        <v>12000.0</v>
      </c>
      <c r="C1361" s="3" t="s">
        <v>6</v>
      </c>
      <c r="D1361" s="4" t="b">
        <f t="shared" si="1"/>
        <v>0</v>
      </c>
      <c r="E1361" s="4" t="s">
        <v>1561</v>
      </c>
    </row>
    <row r="1362">
      <c r="A1362" s="3" t="s">
        <v>1562</v>
      </c>
      <c r="B1362" s="3">
        <v>0.0</v>
      </c>
      <c r="C1362" s="3" t="s">
        <v>3</v>
      </c>
      <c r="D1362" s="4" t="b">
        <f t="shared" si="1"/>
        <v>0</v>
      </c>
      <c r="E1362" s="4" t="s">
        <v>1562</v>
      </c>
    </row>
    <row r="1363">
      <c r="A1363" s="3" t="s">
        <v>1563</v>
      </c>
      <c r="B1363" s="3">
        <v>46000.0</v>
      </c>
      <c r="C1363" s="4"/>
      <c r="D1363" s="4" t="b">
        <f t="shared" si="1"/>
        <v>0</v>
      </c>
      <c r="E1363" s="4" t="s">
        <v>1563</v>
      </c>
    </row>
    <row r="1364">
      <c r="A1364" s="3" t="s">
        <v>1565</v>
      </c>
      <c r="B1364" s="3">
        <v>5000.0</v>
      </c>
      <c r="C1364" s="4"/>
      <c r="D1364" s="4" t="b">
        <f t="shared" si="1"/>
        <v>0</v>
      </c>
      <c r="E1364" s="4" t="s">
        <v>1565</v>
      </c>
    </row>
    <row r="1365">
      <c r="A1365" s="3" t="s">
        <v>1566</v>
      </c>
      <c r="B1365" s="3">
        <v>14653.49</v>
      </c>
      <c r="C1365" s="3" t="s">
        <v>32</v>
      </c>
      <c r="D1365" s="4" t="b">
        <f t="shared" si="1"/>
        <v>0</v>
      </c>
      <c r="E1365" s="4" t="s">
        <v>1566</v>
      </c>
    </row>
    <row r="1366">
      <c r="A1366" s="3" t="s">
        <v>1568</v>
      </c>
      <c r="B1366" s="3">
        <v>6000.0</v>
      </c>
      <c r="C1366" s="3" t="s">
        <v>32</v>
      </c>
      <c r="D1366" s="4" t="b">
        <f t="shared" si="1"/>
        <v>0</v>
      </c>
      <c r="E1366" s="4" t="s">
        <v>1568</v>
      </c>
    </row>
    <row r="1367">
      <c r="A1367" s="3" t="s">
        <v>1569</v>
      </c>
      <c r="B1367" s="3">
        <v>110350.0</v>
      </c>
      <c r="C1367" s="3" t="s">
        <v>6</v>
      </c>
      <c r="D1367" s="4" t="b">
        <f t="shared" si="1"/>
        <v>0</v>
      </c>
      <c r="E1367" s="4" t="s">
        <v>2283</v>
      </c>
    </row>
    <row r="1368">
      <c r="A1368" s="3" t="s">
        <v>1571</v>
      </c>
      <c r="B1368" s="4"/>
      <c r="C1368" s="4"/>
      <c r="D1368" s="4" t="b">
        <f t="shared" si="1"/>
        <v>1</v>
      </c>
      <c r="E1368" s="4" t="s">
        <v>1571</v>
      </c>
    </row>
    <row r="1369">
      <c r="A1369" s="3" t="s">
        <v>1572</v>
      </c>
      <c r="B1369" s="3">
        <v>0.0</v>
      </c>
      <c r="C1369" s="3" t="s">
        <v>3</v>
      </c>
      <c r="D1369" s="4" t="b">
        <f t="shared" si="1"/>
        <v>0</v>
      </c>
      <c r="E1369" s="4" t="s">
        <v>1572</v>
      </c>
    </row>
    <row r="1370">
      <c r="A1370" s="3" t="s">
        <v>1573</v>
      </c>
      <c r="B1370" s="3">
        <v>0.0</v>
      </c>
      <c r="C1370" s="3" t="s">
        <v>3</v>
      </c>
      <c r="D1370" s="4" t="b">
        <f t="shared" si="1"/>
        <v>0</v>
      </c>
      <c r="E1370" s="4" t="s">
        <v>1573</v>
      </c>
    </row>
    <row r="1371">
      <c r="A1371" s="3" t="s">
        <v>1574</v>
      </c>
      <c r="B1371" s="3">
        <v>1500.0</v>
      </c>
      <c r="C1371" s="3" t="s">
        <v>6</v>
      </c>
      <c r="D1371" s="4" t="b">
        <f t="shared" si="1"/>
        <v>0</v>
      </c>
      <c r="E1371" s="4" t="s">
        <v>1574</v>
      </c>
    </row>
    <row r="1372">
      <c r="A1372" s="3" t="s">
        <v>1575</v>
      </c>
      <c r="B1372" s="3">
        <v>1700.0</v>
      </c>
      <c r="C1372" s="4"/>
      <c r="D1372" s="4" t="b">
        <f t="shared" si="1"/>
        <v>0</v>
      </c>
      <c r="E1372" s="4" t="s">
        <v>1575</v>
      </c>
    </row>
    <row r="1373">
      <c r="A1373" s="3" t="s">
        <v>1576</v>
      </c>
      <c r="B1373" s="3">
        <v>0.0</v>
      </c>
      <c r="C1373" s="3" t="s">
        <v>3</v>
      </c>
      <c r="D1373" s="4" t="b">
        <f t="shared" si="1"/>
        <v>0</v>
      </c>
      <c r="E1373" s="4" t="s">
        <v>1576</v>
      </c>
    </row>
    <row r="1374">
      <c r="A1374" s="3" t="s">
        <v>1577</v>
      </c>
      <c r="B1374" s="3">
        <v>4500.0</v>
      </c>
      <c r="C1374" s="4"/>
      <c r="D1374" s="4" t="b">
        <f t="shared" si="1"/>
        <v>0</v>
      </c>
      <c r="E1374" s="4" t="s">
        <v>1577</v>
      </c>
    </row>
    <row r="1375">
      <c r="A1375" s="3" t="s">
        <v>1578</v>
      </c>
      <c r="B1375" s="3">
        <v>0.0</v>
      </c>
      <c r="C1375" s="3" t="s">
        <v>6</v>
      </c>
      <c r="D1375" s="4" t="b">
        <f t="shared" si="1"/>
        <v>0</v>
      </c>
      <c r="E1375" s="4" t="s">
        <v>1578</v>
      </c>
    </row>
    <row r="1376">
      <c r="A1376" s="3" t="s">
        <v>1579</v>
      </c>
      <c r="B1376" s="3">
        <v>35500.0</v>
      </c>
      <c r="C1376" s="3" t="s">
        <v>32</v>
      </c>
      <c r="D1376" s="4" t="b">
        <f t="shared" si="1"/>
        <v>0</v>
      </c>
      <c r="E1376" s="4" t="s">
        <v>1579</v>
      </c>
    </row>
    <row r="1377">
      <c r="A1377" s="3" t="s">
        <v>1581</v>
      </c>
      <c r="B1377" s="3">
        <v>6000.0</v>
      </c>
      <c r="C1377" s="3" t="s">
        <v>32</v>
      </c>
      <c r="D1377" s="4" t="b">
        <f t="shared" si="1"/>
        <v>0</v>
      </c>
      <c r="E1377" s="4" t="s">
        <v>1581</v>
      </c>
    </row>
    <row r="1378">
      <c r="A1378" s="3" t="s">
        <v>1582</v>
      </c>
      <c r="B1378" s="3">
        <v>0.0</v>
      </c>
      <c r="C1378" s="3" t="s">
        <v>29</v>
      </c>
      <c r="D1378" s="4" t="b">
        <f t="shared" si="1"/>
        <v>0</v>
      </c>
      <c r="E1378" s="4" t="s">
        <v>1582</v>
      </c>
    </row>
    <row r="1379">
      <c r="A1379" s="3" t="s">
        <v>1583</v>
      </c>
      <c r="B1379" s="3">
        <v>0.0</v>
      </c>
      <c r="C1379" s="3" t="s">
        <v>6</v>
      </c>
      <c r="D1379" s="4" t="b">
        <f t="shared" si="1"/>
        <v>0</v>
      </c>
      <c r="E1379" s="4" t="s">
        <v>1583</v>
      </c>
    </row>
    <row r="1380">
      <c r="A1380" s="3" t="s">
        <v>1584</v>
      </c>
      <c r="B1380" s="3">
        <v>0.0</v>
      </c>
      <c r="C1380" s="3" t="s">
        <v>6</v>
      </c>
      <c r="D1380" s="4" t="b">
        <f t="shared" si="1"/>
        <v>0</v>
      </c>
      <c r="E1380" s="4" t="s">
        <v>1584</v>
      </c>
    </row>
    <row r="1381">
      <c r="A1381" s="3" t="s">
        <v>1585</v>
      </c>
      <c r="B1381" s="3">
        <v>29000.0</v>
      </c>
      <c r="C1381" s="3" t="s">
        <v>32</v>
      </c>
      <c r="D1381" s="4" t="b">
        <f t="shared" si="1"/>
        <v>0</v>
      </c>
      <c r="E1381" s="4" t="s">
        <v>1585</v>
      </c>
    </row>
    <row r="1382">
      <c r="A1382" s="3" t="s">
        <v>1587</v>
      </c>
      <c r="B1382" s="3">
        <v>0.0</v>
      </c>
      <c r="C1382" s="3" t="s">
        <v>3</v>
      </c>
      <c r="D1382" s="4" t="b">
        <f t="shared" si="1"/>
        <v>0</v>
      </c>
      <c r="E1382" s="4" t="s">
        <v>1587</v>
      </c>
    </row>
    <row r="1383">
      <c r="A1383" s="3" t="s">
        <v>1588</v>
      </c>
      <c r="B1383" s="3">
        <v>0.0</v>
      </c>
      <c r="C1383" s="3" t="s">
        <v>3</v>
      </c>
      <c r="D1383" s="4" t="b">
        <f t="shared" si="1"/>
        <v>0</v>
      </c>
      <c r="E1383" s="4" t="s">
        <v>1588</v>
      </c>
    </row>
    <row r="1384">
      <c r="A1384" s="3" t="s">
        <v>1589</v>
      </c>
      <c r="B1384" s="3">
        <v>3000.0</v>
      </c>
      <c r="C1384" s="3" t="s">
        <v>32</v>
      </c>
      <c r="D1384" s="4" t="b">
        <f t="shared" si="1"/>
        <v>0</v>
      </c>
      <c r="E1384" s="4" t="s">
        <v>1589</v>
      </c>
    </row>
    <row r="1385">
      <c r="A1385" s="3" t="s">
        <v>1590</v>
      </c>
      <c r="B1385" s="3">
        <v>2500.0</v>
      </c>
      <c r="C1385" s="4"/>
      <c r="D1385" s="4" t="b">
        <f t="shared" si="1"/>
        <v>0</v>
      </c>
      <c r="E1385" s="4" t="s">
        <v>1590</v>
      </c>
    </row>
    <row r="1386">
      <c r="A1386" s="3" t="s">
        <v>1591</v>
      </c>
      <c r="B1386" s="3">
        <v>0.0</v>
      </c>
      <c r="C1386" s="3" t="s">
        <v>3</v>
      </c>
      <c r="D1386" s="4" t="b">
        <f t="shared" si="1"/>
        <v>0</v>
      </c>
      <c r="E1386" s="4" t="s">
        <v>1591</v>
      </c>
    </row>
    <row r="1387">
      <c r="A1387" s="3" t="s">
        <v>1592</v>
      </c>
      <c r="B1387" s="3">
        <v>2000.0</v>
      </c>
      <c r="C1387" s="4"/>
      <c r="D1387" s="4" t="b">
        <f t="shared" si="1"/>
        <v>0</v>
      </c>
      <c r="E1387" s="4" t="s">
        <v>1592</v>
      </c>
    </row>
    <row r="1388">
      <c r="A1388" s="3" t="s">
        <v>1593</v>
      </c>
      <c r="B1388" s="3">
        <v>0.0</v>
      </c>
      <c r="C1388" s="3" t="s">
        <v>3</v>
      </c>
      <c r="D1388" s="4" t="b">
        <f t="shared" si="1"/>
        <v>0</v>
      </c>
      <c r="E1388" s="4" t="s">
        <v>1593</v>
      </c>
    </row>
    <row r="1389">
      <c r="A1389" s="3" t="s">
        <v>1594</v>
      </c>
      <c r="B1389" s="3">
        <v>5500.0</v>
      </c>
      <c r="C1389" s="3" t="s">
        <v>6</v>
      </c>
      <c r="D1389" s="4" t="b">
        <f t="shared" si="1"/>
        <v>0</v>
      </c>
      <c r="E1389" s="4" t="s">
        <v>1594</v>
      </c>
    </row>
    <row r="1390">
      <c r="A1390" s="3" t="s">
        <v>1595</v>
      </c>
      <c r="B1390" s="3">
        <v>0.0</v>
      </c>
      <c r="C1390" s="3" t="s">
        <v>6</v>
      </c>
      <c r="D1390" s="4" t="b">
        <f t="shared" si="1"/>
        <v>0</v>
      </c>
      <c r="E1390" s="4" t="s">
        <v>1595</v>
      </c>
    </row>
    <row r="1391">
      <c r="A1391" s="3" t="s">
        <v>1596</v>
      </c>
      <c r="B1391" s="3">
        <v>37500.0</v>
      </c>
      <c r="C1391" s="3" t="s">
        <v>580</v>
      </c>
      <c r="D1391" s="4" t="b">
        <f t="shared" si="1"/>
        <v>0</v>
      </c>
      <c r="E1391" s="4" t="s">
        <v>2284</v>
      </c>
    </row>
    <row r="1392">
      <c r="A1392" s="4"/>
      <c r="B1392" s="4"/>
      <c r="C1392" s="3" t="s">
        <v>581</v>
      </c>
      <c r="D1392" s="4" t="b">
        <f t="shared" si="1"/>
        <v>1</v>
      </c>
      <c r="E1392" s="4"/>
    </row>
    <row r="1393">
      <c r="A1393" s="3" t="s">
        <v>1598</v>
      </c>
      <c r="B1393" s="3">
        <v>0.0</v>
      </c>
      <c r="C1393" s="3" t="s">
        <v>32</v>
      </c>
      <c r="D1393" s="4" t="b">
        <f t="shared" si="1"/>
        <v>0</v>
      </c>
      <c r="E1393" s="4" t="s">
        <v>1598</v>
      </c>
    </row>
    <row r="1394">
      <c r="A1394" s="3" t="s">
        <v>1599</v>
      </c>
      <c r="B1394" s="3">
        <v>0.0</v>
      </c>
      <c r="C1394" s="3" t="s">
        <v>6</v>
      </c>
      <c r="D1394" s="4" t="b">
        <f t="shared" si="1"/>
        <v>0</v>
      </c>
      <c r="E1394" s="4" t="s">
        <v>1599</v>
      </c>
    </row>
    <row r="1395">
      <c r="A1395" s="3" t="s">
        <v>1600</v>
      </c>
      <c r="B1395" s="3">
        <v>494000.0</v>
      </c>
      <c r="C1395" s="3" t="s">
        <v>32</v>
      </c>
      <c r="D1395" s="4" t="b">
        <f t="shared" si="1"/>
        <v>0</v>
      </c>
      <c r="E1395" s="4" t="s">
        <v>1600</v>
      </c>
    </row>
    <row r="1396">
      <c r="A1396" s="3" t="s">
        <v>1602</v>
      </c>
      <c r="B1396" s="3">
        <v>800.0</v>
      </c>
      <c r="C1396" s="4"/>
      <c r="D1396" s="4" t="b">
        <f t="shared" si="1"/>
        <v>0</v>
      </c>
      <c r="E1396" s="4" t="s">
        <v>1602</v>
      </c>
    </row>
    <row r="1397">
      <c r="A1397" s="3" t="s">
        <v>1603</v>
      </c>
      <c r="B1397" s="3">
        <v>2500.0</v>
      </c>
      <c r="C1397" s="3" t="s">
        <v>3</v>
      </c>
      <c r="D1397" s="4" t="b">
        <f t="shared" si="1"/>
        <v>0</v>
      </c>
      <c r="E1397" s="4" t="s">
        <v>1603</v>
      </c>
    </row>
    <row r="1398">
      <c r="A1398" s="3" t="s">
        <v>1604</v>
      </c>
      <c r="B1398" s="3">
        <v>17528.0</v>
      </c>
      <c r="C1398" s="4"/>
      <c r="D1398" s="4" t="b">
        <f t="shared" si="1"/>
        <v>0</v>
      </c>
      <c r="E1398" s="4" t="s">
        <v>1604</v>
      </c>
    </row>
    <row r="1399">
      <c r="A1399" s="3" t="s">
        <v>1606</v>
      </c>
      <c r="B1399" s="3">
        <v>7800.0</v>
      </c>
      <c r="C1399" s="3" t="s">
        <v>3</v>
      </c>
      <c r="D1399" s="4" t="b">
        <f t="shared" si="1"/>
        <v>0</v>
      </c>
      <c r="E1399" s="4" t="s">
        <v>1606</v>
      </c>
    </row>
    <row r="1400">
      <c r="A1400" s="3" t="s">
        <v>1607</v>
      </c>
      <c r="B1400" s="3">
        <v>0.0</v>
      </c>
      <c r="C1400" s="3" t="s">
        <v>3</v>
      </c>
      <c r="D1400" s="4" t="b">
        <f t="shared" si="1"/>
        <v>0</v>
      </c>
      <c r="E1400" s="4" t="s">
        <v>1607</v>
      </c>
    </row>
    <row r="1401">
      <c r="A1401" s="3" t="s">
        <v>1608</v>
      </c>
      <c r="B1401" s="3">
        <v>0.0</v>
      </c>
      <c r="C1401" s="3" t="s">
        <v>3</v>
      </c>
      <c r="D1401" s="4" t="b">
        <f t="shared" si="1"/>
        <v>0</v>
      </c>
      <c r="E1401" s="4" t="s">
        <v>1608</v>
      </c>
    </row>
    <row r="1402">
      <c r="A1402" s="3" t="s">
        <v>1609</v>
      </c>
      <c r="B1402" s="3">
        <v>10000.0</v>
      </c>
      <c r="C1402" s="3" t="s">
        <v>32</v>
      </c>
      <c r="D1402" s="4" t="b">
        <f t="shared" si="1"/>
        <v>0</v>
      </c>
      <c r="E1402" s="4" t="s">
        <v>1609</v>
      </c>
    </row>
    <row r="1403">
      <c r="A1403" s="3" t="s">
        <v>1610</v>
      </c>
      <c r="B1403" s="3">
        <v>4000.0</v>
      </c>
      <c r="C1403" s="4"/>
      <c r="D1403" s="4" t="b">
        <f t="shared" si="1"/>
        <v>0</v>
      </c>
      <c r="E1403" s="4" t="s">
        <v>1610</v>
      </c>
    </row>
    <row r="1404">
      <c r="A1404" s="3" t="s">
        <v>1611</v>
      </c>
      <c r="B1404" s="3">
        <v>4000.0</v>
      </c>
      <c r="C1404" s="4"/>
      <c r="D1404" s="4" t="b">
        <f t="shared" si="1"/>
        <v>0</v>
      </c>
      <c r="E1404" s="4" t="s">
        <v>1611</v>
      </c>
    </row>
    <row r="1405">
      <c r="A1405" s="3" t="s">
        <v>1612</v>
      </c>
      <c r="B1405" s="3">
        <v>800.0</v>
      </c>
      <c r="C1405" s="3" t="s">
        <v>3</v>
      </c>
      <c r="D1405" s="4" t="b">
        <f t="shared" si="1"/>
        <v>0</v>
      </c>
      <c r="E1405" s="4" t="s">
        <v>2285</v>
      </c>
    </row>
    <row r="1406">
      <c r="A1406" s="3" t="s">
        <v>1613</v>
      </c>
      <c r="B1406" s="4"/>
      <c r="C1406" s="4"/>
      <c r="D1406" s="4" t="b">
        <f t="shared" si="1"/>
        <v>1</v>
      </c>
      <c r="E1406" s="4" t="s">
        <v>1613</v>
      </c>
    </row>
    <row r="1407">
      <c r="A1407" s="3" t="s">
        <v>1614</v>
      </c>
      <c r="B1407" s="3">
        <v>0.0</v>
      </c>
      <c r="C1407" s="3" t="s">
        <v>3</v>
      </c>
      <c r="D1407" s="4" t="b">
        <f t="shared" si="1"/>
        <v>0</v>
      </c>
      <c r="E1407" s="4" t="s">
        <v>1614</v>
      </c>
    </row>
    <row r="1408">
      <c r="A1408" s="3" t="s">
        <v>1615</v>
      </c>
      <c r="B1408" s="3">
        <v>2000.0</v>
      </c>
      <c r="C1408" s="3" t="s">
        <v>3</v>
      </c>
      <c r="D1408" s="4" t="b">
        <f t="shared" si="1"/>
        <v>0</v>
      </c>
      <c r="E1408" s="4" t="s">
        <v>2286</v>
      </c>
    </row>
    <row r="1409">
      <c r="A1409" s="3" t="s">
        <v>1616</v>
      </c>
      <c r="B1409" s="4"/>
      <c r="C1409" s="4"/>
      <c r="D1409" s="4" t="b">
        <f t="shared" si="1"/>
        <v>1</v>
      </c>
      <c r="E1409" s="4" t="s">
        <v>1616</v>
      </c>
    </row>
    <row r="1410">
      <c r="A1410" s="3" t="s">
        <v>1617</v>
      </c>
      <c r="B1410" s="3">
        <v>0.0</v>
      </c>
      <c r="C1410" s="3" t="s">
        <v>3</v>
      </c>
      <c r="D1410" s="4" t="b">
        <f t="shared" si="1"/>
        <v>0</v>
      </c>
      <c r="E1410" s="4" t="s">
        <v>1617</v>
      </c>
    </row>
    <row r="1411">
      <c r="A1411" s="3" t="s">
        <v>1618</v>
      </c>
      <c r="B1411" s="3">
        <v>0.0</v>
      </c>
      <c r="C1411" s="3" t="s">
        <v>3</v>
      </c>
      <c r="D1411" s="4" t="b">
        <f t="shared" si="1"/>
        <v>0</v>
      </c>
      <c r="E1411" s="4" t="s">
        <v>1618</v>
      </c>
    </row>
    <row r="1412">
      <c r="A1412" s="3" t="s">
        <v>1619</v>
      </c>
      <c r="B1412" s="3">
        <v>0.0</v>
      </c>
      <c r="C1412" s="3" t="s">
        <v>29</v>
      </c>
      <c r="D1412" s="4" t="b">
        <f t="shared" si="1"/>
        <v>0</v>
      </c>
      <c r="E1412" s="4" t="s">
        <v>1619</v>
      </c>
    </row>
    <row r="1413">
      <c r="A1413" s="3" t="s">
        <v>1620</v>
      </c>
      <c r="B1413" s="3">
        <v>40700.0</v>
      </c>
      <c r="C1413" s="3" t="s">
        <v>216</v>
      </c>
      <c r="D1413" s="4" t="b">
        <f t="shared" si="1"/>
        <v>0</v>
      </c>
      <c r="E1413" s="4" t="s">
        <v>1620</v>
      </c>
    </row>
    <row r="1414">
      <c r="A1414" s="3" t="s">
        <v>1622</v>
      </c>
      <c r="B1414" s="3">
        <v>0.0</v>
      </c>
      <c r="C1414" s="3" t="s">
        <v>3</v>
      </c>
      <c r="D1414" s="4" t="b">
        <f t="shared" si="1"/>
        <v>0</v>
      </c>
      <c r="E1414" s="4" t="s">
        <v>1622</v>
      </c>
    </row>
    <row r="1415">
      <c r="A1415" s="3" t="s">
        <v>1623</v>
      </c>
      <c r="B1415" s="3">
        <v>0.0</v>
      </c>
      <c r="C1415" s="3" t="s">
        <v>6</v>
      </c>
      <c r="D1415" s="4" t="b">
        <f t="shared" si="1"/>
        <v>0</v>
      </c>
      <c r="E1415" s="4" t="s">
        <v>1623</v>
      </c>
    </row>
    <row r="1416">
      <c r="A1416" s="3" t="s">
        <v>1624</v>
      </c>
      <c r="B1416" s="3">
        <v>17000.0</v>
      </c>
      <c r="C1416" s="4"/>
      <c r="D1416" s="4" t="b">
        <f t="shared" si="1"/>
        <v>0</v>
      </c>
      <c r="E1416" s="4" t="s">
        <v>1624</v>
      </c>
    </row>
    <row r="1417">
      <c r="A1417" s="3" t="s">
        <v>1625</v>
      </c>
      <c r="B1417" s="3">
        <v>0.0</v>
      </c>
      <c r="C1417" s="3" t="s">
        <v>29</v>
      </c>
      <c r="D1417" s="4" t="b">
        <f t="shared" si="1"/>
        <v>0</v>
      </c>
      <c r="E1417" s="4" t="s">
        <v>1625</v>
      </c>
    </row>
    <row r="1418">
      <c r="A1418" s="3" t="s">
        <v>1626</v>
      </c>
      <c r="B1418" s="3">
        <v>10000.0</v>
      </c>
      <c r="C1418" s="3" t="s">
        <v>29</v>
      </c>
      <c r="D1418" s="4" t="b">
        <f t="shared" si="1"/>
        <v>0</v>
      </c>
      <c r="E1418" s="4" t="s">
        <v>1626</v>
      </c>
    </row>
    <row r="1419">
      <c r="A1419" s="3" t="s">
        <v>1627</v>
      </c>
      <c r="B1419" s="3">
        <v>0.0</v>
      </c>
      <c r="C1419" s="3" t="s">
        <v>6</v>
      </c>
      <c r="D1419" s="4" t="b">
        <f t="shared" si="1"/>
        <v>0</v>
      </c>
      <c r="E1419" s="4" t="s">
        <v>1627</v>
      </c>
    </row>
    <row r="1420">
      <c r="A1420" s="3" t="s">
        <v>1628</v>
      </c>
      <c r="B1420" s="3">
        <v>4000.0</v>
      </c>
      <c r="C1420" s="4"/>
      <c r="D1420" s="4" t="b">
        <f t="shared" si="1"/>
        <v>0</v>
      </c>
      <c r="E1420" s="4" t="s">
        <v>1628</v>
      </c>
    </row>
    <row r="1421">
      <c r="A1421" s="3" t="s">
        <v>1629</v>
      </c>
      <c r="B1421" s="3">
        <v>0.0</v>
      </c>
      <c r="C1421" s="3" t="s">
        <v>3</v>
      </c>
      <c r="D1421" s="4" t="b">
        <f t="shared" si="1"/>
        <v>0</v>
      </c>
      <c r="E1421" s="4" t="s">
        <v>1629</v>
      </c>
    </row>
    <row r="1422">
      <c r="A1422" s="3" t="s">
        <v>1630</v>
      </c>
      <c r="B1422" s="3">
        <v>0.0</v>
      </c>
      <c r="C1422" s="3" t="s">
        <v>3</v>
      </c>
      <c r="D1422" s="4" t="b">
        <f t="shared" si="1"/>
        <v>0</v>
      </c>
      <c r="E1422" s="4" t="s">
        <v>1630</v>
      </c>
    </row>
    <row r="1423">
      <c r="A1423" s="3" t="s">
        <v>1631</v>
      </c>
      <c r="B1423" s="3">
        <v>0.0</v>
      </c>
      <c r="C1423" s="3" t="s">
        <v>3</v>
      </c>
      <c r="D1423" s="4" t="b">
        <f t="shared" si="1"/>
        <v>0</v>
      </c>
      <c r="E1423" s="4" t="s">
        <v>1631</v>
      </c>
    </row>
    <row r="1424">
      <c r="A1424" s="3" t="s">
        <v>1632</v>
      </c>
      <c r="B1424" s="3">
        <v>0.0</v>
      </c>
      <c r="C1424" s="3" t="s">
        <v>3</v>
      </c>
      <c r="D1424" s="4" t="b">
        <f t="shared" si="1"/>
        <v>0</v>
      </c>
      <c r="E1424" s="4" t="s">
        <v>1632</v>
      </c>
    </row>
    <row r="1425">
      <c r="A1425" s="3" t="s">
        <v>1633</v>
      </c>
      <c r="B1425" s="3">
        <v>0.0</v>
      </c>
      <c r="C1425" s="3" t="s">
        <v>668</v>
      </c>
      <c r="D1425" s="4" t="b">
        <f t="shared" si="1"/>
        <v>0</v>
      </c>
      <c r="E1425" s="4" t="s">
        <v>1633</v>
      </c>
    </row>
    <row r="1426">
      <c r="A1426" s="3" t="s">
        <v>1634</v>
      </c>
      <c r="B1426" s="3">
        <v>0.0</v>
      </c>
      <c r="C1426" s="3" t="s">
        <v>3</v>
      </c>
      <c r="D1426" s="4" t="b">
        <f t="shared" si="1"/>
        <v>0</v>
      </c>
      <c r="E1426" s="4" t="s">
        <v>1634</v>
      </c>
    </row>
    <row r="1427">
      <c r="A1427" s="3" t="s">
        <v>1635</v>
      </c>
      <c r="B1427" s="3">
        <v>130000.0</v>
      </c>
      <c r="C1427" s="3" t="s">
        <v>3</v>
      </c>
      <c r="D1427" s="4" t="b">
        <f t="shared" si="1"/>
        <v>0</v>
      </c>
      <c r="E1427" s="4" t="s">
        <v>1635</v>
      </c>
    </row>
    <row r="1428">
      <c r="A1428" s="3" t="s">
        <v>1637</v>
      </c>
      <c r="B1428" s="3">
        <v>20686.0</v>
      </c>
      <c r="C1428" s="4"/>
      <c r="D1428" s="4" t="b">
        <f t="shared" si="1"/>
        <v>0</v>
      </c>
      <c r="E1428" s="4" t="s">
        <v>1637</v>
      </c>
    </row>
    <row r="1429">
      <c r="A1429" s="3" t="s">
        <v>1639</v>
      </c>
      <c r="B1429" s="3">
        <v>170592.0</v>
      </c>
      <c r="C1429" s="4"/>
      <c r="D1429" s="4" t="b">
        <f t="shared" si="1"/>
        <v>0</v>
      </c>
      <c r="E1429" s="4" t="s">
        <v>1639</v>
      </c>
    </row>
    <row r="1430">
      <c r="A1430" s="3" t="s">
        <v>1641</v>
      </c>
      <c r="B1430" s="3">
        <v>500.0</v>
      </c>
      <c r="C1430" s="4"/>
      <c r="D1430" s="4" t="b">
        <f t="shared" si="1"/>
        <v>0</v>
      </c>
      <c r="E1430" s="4" t="s">
        <v>1641</v>
      </c>
    </row>
    <row r="1431">
      <c r="A1431" s="3" t="s">
        <v>1642</v>
      </c>
      <c r="B1431" s="3">
        <v>2000.0</v>
      </c>
      <c r="C1431" s="4"/>
      <c r="D1431" s="4" t="b">
        <f t="shared" si="1"/>
        <v>0</v>
      </c>
      <c r="E1431" s="4" t="s">
        <v>1642</v>
      </c>
    </row>
    <row r="1432">
      <c r="A1432" s="3" t="s">
        <v>1643</v>
      </c>
      <c r="B1432" s="3">
        <v>865.0</v>
      </c>
      <c r="C1432" s="4"/>
      <c r="D1432" s="4" t="b">
        <f t="shared" si="1"/>
        <v>0</v>
      </c>
      <c r="E1432" s="4" t="s">
        <v>1643</v>
      </c>
    </row>
    <row r="1433">
      <c r="A1433" s="3" t="s">
        <v>1645</v>
      </c>
      <c r="B1433" s="3">
        <v>0.0</v>
      </c>
      <c r="C1433" s="3" t="s">
        <v>3</v>
      </c>
      <c r="D1433" s="4" t="b">
        <f t="shared" si="1"/>
        <v>0</v>
      </c>
      <c r="E1433" s="4" t="s">
        <v>1645</v>
      </c>
    </row>
    <row r="1434">
      <c r="A1434" s="3" t="s">
        <v>1646</v>
      </c>
      <c r="B1434" s="3">
        <v>0.0</v>
      </c>
      <c r="C1434" s="3" t="s">
        <v>32</v>
      </c>
      <c r="D1434" s="4" t="b">
        <f t="shared" si="1"/>
        <v>0</v>
      </c>
      <c r="E1434" s="4" t="s">
        <v>1646</v>
      </c>
    </row>
    <row r="1435">
      <c r="A1435" s="3" t="s">
        <v>1647</v>
      </c>
      <c r="B1435" s="3">
        <v>200.0</v>
      </c>
      <c r="C1435" s="3" t="s">
        <v>3</v>
      </c>
      <c r="D1435" s="4" t="b">
        <f t="shared" si="1"/>
        <v>0</v>
      </c>
      <c r="E1435" s="4" t="s">
        <v>2287</v>
      </c>
    </row>
    <row r="1436">
      <c r="A1436" s="3" t="s">
        <v>1649</v>
      </c>
      <c r="B1436" s="4"/>
      <c r="C1436" s="4"/>
      <c r="D1436" s="4" t="b">
        <f t="shared" si="1"/>
        <v>1</v>
      </c>
      <c r="E1436" s="4" t="s">
        <v>1649</v>
      </c>
    </row>
    <row r="1437">
      <c r="A1437" s="3" t="s">
        <v>1650</v>
      </c>
      <c r="B1437" s="3">
        <v>0.0</v>
      </c>
      <c r="C1437" s="3" t="s">
        <v>1651</v>
      </c>
      <c r="D1437" s="4" t="b">
        <f t="shared" si="1"/>
        <v>0</v>
      </c>
      <c r="E1437" s="4" t="s">
        <v>1650</v>
      </c>
    </row>
    <row r="1438">
      <c r="A1438" s="3" t="s">
        <v>1652</v>
      </c>
      <c r="B1438" s="3">
        <v>0.0</v>
      </c>
      <c r="C1438" s="3" t="s">
        <v>3</v>
      </c>
      <c r="D1438" s="4" t="b">
        <f t="shared" si="1"/>
        <v>0</v>
      </c>
      <c r="E1438" s="4" t="s">
        <v>1652</v>
      </c>
    </row>
    <row r="1439">
      <c r="A1439" s="3" t="s">
        <v>1653</v>
      </c>
      <c r="B1439" s="3">
        <v>1000.0</v>
      </c>
      <c r="C1439" s="4"/>
      <c r="D1439" s="4" t="b">
        <f t="shared" si="1"/>
        <v>0</v>
      </c>
      <c r="E1439" s="4" t="s">
        <v>1653</v>
      </c>
    </row>
    <row r="1440">
      <c r="A1440" s="3" t="s">
        <v>1654</v>
      </c>
      <c r="B1440" s="3">
        <v>120000.0</v>
      </c>
      <c r="C1440" s="4"/>
      <c r="D1440" s="4" t="b">
        <f t="shared" si="1"/>
        <v>0</v>
      </c>
      <c r="E1440" s="4" t="s">
        <v>1654</v>
      </c>
    </row>
    <row r="1441">
      <c r="A1441" s="3" t="s">
        <v>1656</v>
      </c>
      <c r="B1441" s="3">
        <v>1500.0</v>
      </c>
      <c r="C1441" s="4"/>
      <c r="D1441" s="4" t="b">
        <f t="shared" si="1"/>
        <v>0</v>
      </c>
      <c r="E1441" s="4" t="s">
        <v>1656</v>
      </c>
    </row>
    <row r="1442">
      <c r="A1442" s="3" t="s">
        <v>1657</v>
      </c>
      <c r="B1442" s="3">
        <v>0.0</v>
      </c>
      <c r="C1442" s="3" t="s">
        <v>3</v>
      </c>
      <c r="D1442" s="4" t="b">
        <f t="shared" si="1"/>
        <v>0</v>
      </c>
      <c r="E1442" s="4" t="s">
        <v>1657</v>
      </c>
    </row>
    <row r="1443">
      <c r="A1443" s="3" t="s">
        <v>1658</v>
      </c>
      <c r="B1443" s="3">
        <v>4000.0</v>
      </c>
      <c r="C1443" s="4"/>
      <c r="D1443" s="4" t="b">
        <f t="shared" si="1"/>
        <v>0</v>
      </c>
      <c r="E1443" s="4" t="s">
        <v>1658</v>
      </c>
    </row>
    <row r="1444">
      <c r="A1444" s="3" t="s">
        <v>1659</v>
      </c>
      <c r="B1444" s="3">
        <v>600.0</v>
      </c>
      <c r="C1444" s="4"/>
      <c r="D1444" s="4" t="b">
        <f t="shared" si="1"/>
        <v>0</v>
      </c>
      <c r="E1444" s="4" t="s">
        <v>1659</v>
      </c>
    </row>
    <row r="1445">
      <c r="A1445" s="3" t="s">
        <v>1660</v>
      </c>
      <c r="B1445" s="3">
        <v>0.0</v>
      </c>
      <c r="C1445" s="3" t="s">
        <v>3</v>
      </c>
      <c r="D1445" s="4" t="b">
        <f t="shared" si="1"/>
        <v>0</v>
      </c>
      <c r="E1445" s="4" t="s">
        <v>1660</v>
      </c>
    </row>
    <row r="1446">
      <c r="A1446" s="3" t="s">
        <v>1661</v>
      </c>
      <c r="B1446" s="3">
        <v>0.0</v>
      </c>
      <c r="C1446" s="3" t="s">
        <v>3</v>
      </c>
      <c r="D1446" s="4" t="b">
        <f t="shared" si="1"/>
        <v>0</v>
      </c>
      <c r="E1446" s="4" t="s">
        <v>1661</v>
      </c>
    </row>
    <row r="1447">
      <c r="A1447" s="3" t="s">
        <v>1662</v>
      </c>
      <c r="B1447" s="3">
        <v>14000.0</v>
      </c>
      <c r="C1447" s="4"/>
      <c r="D1447" s="4" t="b">
        <f t="shared" si="1"/>
        <v>0</v>
      </c>
      <c r="E1447" s="4" t="s">
        <v>1662</v>
      </c>
    </row>
    <row r="1448">
      <c r="A1448" s="3" t="s">
        <v>1663</v>
      </c>
      <c r="B1448" s="3">
        <v>600.0</v>
      </c>
      <c r="C1448" s="4"/>
      <c r="D1448" s="4" t="b">
        <f t="shared" si="1"/>
        <v>0</v>
      </c>
      <c r="E1448" s="4" t="s">
        <v>1663</v>
      </c>
    </row>
    <row r="1449">
      <c r="A1449" s="3" t="s">
        <v>1664</v>
      </c>
      <c r="B1449" s="3">
        <v>0.0</v>
      </c>
      <c r="C1449" s="3" t="s">
        <v>3</v>
      </c>
      <c r="D1449" s="4" t="b">
        <f t="shared" si="1"/>
        <v>0</v>
      </c>
      <c r="E1449" s="4" t="s">
        <v>1664</v>
      </c>
    </row>
    <row r="1450">
      <c r="A1450" s="3" t="s">
        <v>1665</v>
      </c>
      <c r="B1450" s="3">
        <v>27000.0</v>
      </c>
      <c r="C1450" s="3" t="s">
        <v>580</v>
      </c>
      <c r="D1450" s="4" t="b">
        <f t="shared" si="1"/>
        <v>0</v>
      </c>
      <c r="E1450" s="4" t="s">
        <v>2288</v>
      </c>
    </row>
    <row r="1451">
      <c r="A1451" s="4"/>
      <c r="B1451" s="4"/>
      <c r="C1451" s="3" t="s">
        <v>581</v>
      </c>
      <c r="D1451" s="4" t="b">
        <f t="shared" si="1"/>
        <v>1</v>
      </c>
      <c r="E1451" s="4"/>
    </row>
    <row r="1452">
      <c r="A1452" s="3" t="s">
        <v>1666</v>
      </c>
      <c r="B1452" s="3">
        <v>0.0</v>
      </c>
      <c r="C1452" s="3" t="s">
        <v>6</v>
      </c>
      <c r="D1452" s="4" t="b">
        <f t="shared" si="1"/>
        <v>0</v>
      </c>
      <c r="E1452" s="4" t="s">
        <v>1666</v>
      </c>
    </row>
    <row r="1453">
      <c r="A1453" s="3" t="s">
        <v>1667</v>
      </c>
      <c r="B1453" s="3">
        <v>2500.0</v>
      </c>
      <c r="C1453" s="4"/>
      <c r="D1453" s="4" t="b">
        <f t="shared" si="1"/>
        <v>0</v>
      </c>
      <c r="E1453" s="4" t="s">
        <v>1667</v>
      </c>
    </row>
    <row r="1454">
      <c r="A1454" s="3" t="s">
        <v>1668</v>
      </c>
      <c r="B1454" s="3">
        <v>0.0</v>
      </c>
      <c r="C1454" s="3" t="s">
        <v>3</v>
      </c>
      <c r="D1454" s="4" t="b">
        <f t="shared" si="1"/>
        <v>0</v>
      </c>
      <c r="E1454" s="4" t="s">
        <v>1668</v>
      </c>
    </row>
    <row r="1455">
      <c r="A1455" s="3" t="s">
        <v>1669</v>
      </c>
      <c r="B1455" s="3">
        <v>1000.0</v>
      </c>
      <c r="C1455" s="3" t="s">
        <v>32</v>
      </c>
      <c r="D1455" s="4" t="b">
        <f t="shared" si="1"/>
        <v>0</v>
      </c>
      <c r="E1455" s="4" t="s">
        <v>1669</v>
      </c>
    </row>
    <row r="1456">
      <c r="A1456" s="3" t="s">
        <v>1670</v>
      </c>
      <c r="B1456" s="3">
        <v>0.0</v>
      </c>
      <c r="C1456" s="3" t="s">
        <v>3</v>
      </c>
      <c r="D1456" s="4" t="b">
        <f t="shared" si="1"/>
        <v>0</v>
      </c>
      <c r="E1456" s="4" t="s">
        <v>1670</v>
      </c>
    </row>
    <row r="1457">
      <c r="A1457" s="3" t="s">
        <v>1671</v>
      </c>
      <c r="B1457" s="3">
        <v>22500.0</v>
      </c>
      <c r="C1457" s="4"/>
      <c r="D1457" s="4" t="b">
        <f t="shared" si="1"/>
        <v>0</v>
      </c>
      <c r="E1457" s="4" t="s">
        <v>1671</v>
      </c>
    </row>
    <row r="1458">
      <c r="A1458" s="3" t="s">
        <v>1672</v>
      </c>
      <c r="B1458" s="3">
        <v>2500.0</v>
      </c>
      <c r="C1458" s="4"/>
      <c r="D1458" s="4" t="b">
        <f t="shared" si="1"/>
        <v>0</v>
      </c>
      <c r="E1458" s="4" t="s">
        <v>1672</v>
      </c>
    </row>
    <row r="1459">
      <c r="A1459" s="3" t="s">
        <v>1673</v>
      </c>
      <c r="B1459" s="3">
        <v>567000.0</v>
      </c>
      <c r="C1459" s="3" t="s">
        <v>6</v>
      </c>
      <c r="D1459" s="4" t="b">
        <f t="shared" si="1"/>
        <v>0</v>
      </c>
      <c r="E1459" s="4" t="s">
        <v>1673</v>
      </c>
    </row>
    <row r="1460">
      <c r="A1460" s="3" t="s">
        <v>1675</v>
      </c>
      <c r="B1460" s="3">
        <v>0.0</v>
      </c>
      <c r="C1460" s="3" t="s">
        <v>3</v>
      </c>
      <c r="D1460" s="4" t="b">
        <f t="shared" si="1"/>
        <v>0</v>
      </c>
      <c r="E1460" s="4" t="s">
        <v>1675</v>
      </c>
    </row>
    <row r="1461">
      <c r="A1461" s="3" t="s">
        <v>1676</v>
      </c>
      <c r="B1461" s="3">
        <v>237000.0</v>
      </c>
      <c r="C1461" s="3" t="s">
        <v>580</v>
      </c>
      <c r="D1461" s="4" t="b">
        <f t="shared" si="1"/>
        <v>0</v>
      </c>
      <c r="E1461" s="4" t="s">
        <v>2289</v>
      </c>
    </row>
    <row r="1462">
      <c r="A1462" s="4"/>
      <c r="B1462" s="4"/>
      <c r="C1462" s="3" t="s">
        <v>581</v>
      </c>
      <c r="D1462" s="4" t="b">
        <f t="shared" si="1"/>
        <v>1</v>
      </c>
      <c r="E1462" s="4"/>
    </row>
    <row r="1463">
      <c r="A1463" s="3" t="s">
        <v>1678</v>
      </c>
      <c r="B1463" s="3">
        <v>1000.0</v>
      </c>
      <c r="C1463" s="3" t="s">
        <v>32</v>
      </c>
      <c r="D1463" s="4" t="b">
        <f t="shared" si="1"/>
        <v>0</v>
      </c>
      <c r="E1463" s="4" t="s">
        <v>1678</v>
      </c>
    </row>
    <row r="1464">
      <c r="A1464" s="3" t="s">
        <v>1679</v>
      </c>
      <c r="B1464" s="3">
        <v>1800.0</v>
      </c>
      <c r="C1464" s="4"/>
      <c r="D1464" s="4" t="b">
        <f t="shared" si="1"/>
        <v>0</v>
      </c>
      <c r="E1464" s="4" t="s">
        <v>1679</v>
      </c>
    </row>
    <row r="1465">
      <c r="A1465" s="3" t="s">
        <v>1680</v>
      </c>
      <c r="B1465" s="3">
        <v>0.0</v>
      </c>
      <c r="C1465" s="3" t="s">
        <v>3</v>
      </c>
      <c r="D1465" s="4" t="b">
        <f t="shared" si="1"/>
        <v>0</v>
      </c>
      <c r="E1465" s="4" t="s">
        <v>2290</v>
      </c>
    </row>
    <row r="1466">
      <c r="A1466" s="3" t="s">
        <v>1681</v>
      </c>
      <c r="B1466" s="4"/>
      <c r="C1466" s="4"/>
      <c r="D1466" s="4" t="b">
        <f t="shared" si="1"/>
        <v>1</v>
      </c>
      <c r="E1466" s="4" t="s">
        <v>1681</v>
      </c>
    </row>
    <row r="1467">
      <c r="A1467" s="3" t="s">
        <v>1682</v>
      </c>
      <c r="B1467" s="3">
        <v>0.0</v>
      </c>
      <c r="C1467" s="3" t="s">
        <v>3</v>
      </c>
      <c r="D1467" s="4" t="b">
        <f t="shared" si="1"/>
        <v>0</v>
      </c>
      <c r="E1467" s="4" t="s">
        <v>1682</v>
      </c>
    </row>
    <row r="1468">
      <c r="A1468" s="3" t="s">
        <v>1683</v>
      </c>
      <c r="B1468" s="3">
        <v>1650.0</v>
      </c>
      <c r="C1468" s="4"/>
      <c r="D1468" s="4" t="b">
        <f t="shared" si="1"/>
        <v>0</v>
      </c>
      <c r="E1468" s="4" t="s">
        <v>1683</v>
      </c>
    </row>
    <row r="1469">
      <c r="A1469" s="3" t="s">
        <v>1685</v>
      </c>
      <c r="B1469" s="3">
        <v>0.0</v>
      </c>
      <c r="C1469" s="3" t="s">
        <v>3</v>
      </c>
      <c r="D1469" s="4" t="b">
        <f t="shared" si="1"/>
        <v>0</v>
      </c>
      <c r="E1469" s="4" t="s">
        <v>1685</v>
      </c>
    </row>
    <row r="1470">
      <c r="A1470" s="3" t="s">
        <v>1686</v>
      </c>
      <c r="B1470" s="3">
        <v>0.0</v>
      </c>
      <c r="C1470" s="3" t="s">
        <v>3</v>
      </c>
      <c r="D1470" s="4" t="b">
        <f t="shared" si="1"/>
        <v>0</v>
      </c>
      <c r="E1470" s="4" t="s">
        <v>1686</v>
      </c>
    </row>
    <row r="1471">
      <c r="A1471" s="3" t="s">
        <v>1687</v>
      </c>
      <c r="B1471" s="3">
        <v>0.0</v>
      </c>
      <c r="C1471" s="3" t="s">
        <v>29</v>
      </c>
      <c r="D1471" s="4" t="b">
        <f t="shared" si="1"/>
        <v>0</v>
      </c>
      <c r="E1471" s="4" t="s">
        <v>1687</v>
      </c>
    </row>
    <row r="1472">
      <c r="A1472" s="3" t="s">
        <v>1688</v>
      </c>
      <c r="B1472" s="3">
        <v>2000.0</v>
      </c>
      <c r="C1472" s="3" t="s">
        <v>3</v>
      </c>
      <c r="D1472" s="4" t="b">
        <f t="shared" si="1"/>
        <v>0</v>
      </c>
      <c r="E1472" s="4" t="s">
        <v>1688</v>
      </c>
    </row>
    <row r="1473">
      <c r="A1473" s="3" t="s">
        <v>1689</v>
      </c>
      <c r="B1473" s="3">
        <v>700.0</v>
      </c>
      <c r="C1473" s="4"/>
      <c r="D1473" s="4" t="b">
        <f t="shared" si="1"/>
        <v>0</v>
      </c>
      <c r="E1473" s="4" t="s">
        <v>1689</v>
      </c>
    </row>
    <row r="1474">
      <c r="A1474" s="3" t="s">
        <v>1690</v>
      </c>
      <c r="B1474" s="3">
        <v>0.0</v>
      </c>
      <c r="C1474" s="3" t="s">
        <v>29</v>
      </c>
      <c r="D1474" s="4" t="b">
        <f t="shared" si="1"/>
        <v>0</v>
      </c>
      <c r="E1474" s="4" t="s">
        <v>1690</v>
      </c>
    </row>
    <row r="1475">
      <c r="A1475" s="3" t="s">
        <v>1691</v>
      </c>
      <c r="B1475" s="3">
        <v>0.0</v>
      </c>
      <c r="C1475" s="3" t="s">
        <v>484</v>
      </c>
      <c r="D1475" s="4" t="b">
        <f t="shared" si="1"/>
        <v>0</v>
      </c>
      <c r="E1475" s="4" t="s">
        <v>1691</v>
      </c>
    </row>
    <row r="1476">
      <c r="A1476" s="3" t="s">
        <v>1692</v>
      </c>
      <c r="B1476" s="3">
        <v>10000.0</v>
      </c>
      <c r="C1476" s="3" t="s">
        <v>1693</v>
      </c>
      <c r="D1476" s="4" t="b">
        <f t="shared" si="1"/>
        <v>0</v>
      </c>
      <c r="E1476" s="4" t="s">
        <v>1692</v>
      </c>
    </row>
    <row r="1477">
      <c r="A1477" s="3" t="s">
        <v>1694</v>
      </c>
      <c r="B1477" s="3">
        <v>0.0</v>
      </c>
      <c r="C1477" s="3" t="s">
        <v>32</v>
      </c>
      <c r="D1477" s="4" t="b">
        <f t="shared" si="1"/>
        <v>0</v>
      </c>
      <c r="E1477" s="4" t="s">
        <v>1694</v>
      </c>
    </row>
    <row r="1478">
      <c r="A1478" s="3" t="s">
        <v>1695</v>
      </c>
      <c r="B1478" s="3">
        <v>0.0</v>
      </c>
      <c r="C1478" s="3" t="s">
        <v>3</v>
      </c>
      <c r="D1478" s="4" t="b">
        <f t="shared" si="1"/>
        <v>0</v>
      </c>
      <c r="E1478" s="4" t="s">
        <v>1695</v>
      </c>
    </row>
    <row r="1479">
      <c r="A1479" s="3" t="s">
        <v>1696</v>
      </c>
      <c r="B1479" s="3">
        <v>800.0</v>
      </c>
      <c r="C1479" s="4"/>
      <c r="D1479" s="4" t="b">
        <f t="shared" si="1"/>
        <v>0</v>
      </c>
      <c r="E1479" s="4" t="s">
        <v>1696</v>
      </c>
    </row>
    <row r="1480">
      <c r="A1480" s="3" t="s">
        <v>1697</v>
      </c>
      <c r="B1480" s="3">
        <v>500.0</v>
      </c>
      <c r="C1480" s="3" t="s">
        <v>32</v>
      </c>
      <c r="D1480" s="4" t="b">
        <f t="shared" si="1"/>
        <v>0</v>
      </c>
      <c r="E1480" s="4" t="s">
        <v>1697</v>
      </c>
    </row>
    <row r="1481">
      <c r="A1481" s="3" t="s">
        <v>1698</v>
      </c>
      <c r="B1481" s="3">
        <v>1500.0</v>
      </c>
      <c r="C1481" s="3" t="s">
        <v>6</v>
      </c>
      <c r="D1481" s="4" t="b">
        <f t="shared" si="1"/>
        <v>0</v>
      </c>
      <c r="E1481" s="4" t="s">
        <v>1698</v>
      </c>
    </row>
    <row r="1482">
      <c r="A1482" s="3" t="s">
        <v>1699</v>
      </c>
      <c r="B1482" s="3">
        <v>0.0</v>
      </c>
      <c r="C1482" s="3" t="s">
        <v>3</v>
      </c>
      <c r="D1482" s="4" t="b">
        <f t="shared" si="1"/>
        <v>0</v>
      </c>
      <c r="E1482" s="4" t="s">
        <v>1699</v>
      </c>
    </row>
    <row r="1483">
      <c r="A1483" s="3" t="s">
        <v>1700</v>
      </c>
      <c r="B1483" s="3">
        <v>0.0</v>
      </c>
      <c r="C1483" s="3" t="s">
        <v>3</v>
      </c>
      <c r="D1483" s="4" t="b">
        <f t="shared" si="1"/>
        <v>0</v>
      </c>
      <c r="E1483" s="4" t="s">
        <v>1700</v>
      </c>
    </row>
    <row r="1484">
      <c r="A1484" s="3" t="s">
        <v>1701</v>
      </c>
      <c r="B1484" s="3">
        <v>2500.0</v>
      </c>
      <c r="C1484" s="3" t="s">
        <v>3</v>
      </c>
      <c r="D1484" s="4" t="b">
        <f t="shared" si="1"/>
        <v>0</v>
      </c>
      <c r="E1484" s="4" t="s">
        <v>1701</v>
      </c>
    </row>
    <row r="1485">
      <c r="A1485" s="3" t="s">
        <v>1702</v>
      </c>
      <c r="B1485" s="3">
        <v>1000.0</v>
      </c>
      <c r="C1485" s="3" t="s">
        <v>3</v>
      </c>
      <c r="D1485" s="4" t="b">
        <f t="shared" si="1"/>
        <v>0</v>
      </c>
      <c r="E1485" s="4" t="s">
        <v>1702</v>
      </c>
    </row>
    <row r="1486">
      <c r="A1486" s="3" t="s">
        <v>1703</v>
      </c>
      <c r="B1486" s="3">
        <v>0.0</v>
      </c>
      <c r="C1486" s="3" t="s">
        <v>3</v>
      </c>
      <c r="D1486" s="4" t="b">
        <f t="shared" si="1"/>
        <v>0</v>
      </c>
      <c r="E1486" s="4" t="s">
        <v>1703</v>
      </c>
    </row>
    <row r="1487">
      <c r="A1487" s="3" t="s">
        <v>1704</v>
      </c>
      <c r="B1487" s="3">
        <v>0.0</v>
      </c>
      <c r="C1487" s="3" t="s">
        <v>3</v>
      </c>
      <c r="D1487" s="4" t="b">
        <f t="shared" si="1"/>
        <v>0</v>
      </c>
      <c r="E1487" s="4" t="s">
        <v>1704</v>
      </c>
    </row>
    <row r="1488">
      <c r="A1488" s="3" t="s">
        <v>1705</v>
      </c>
      <c r="B1488" s="3">
        <v>0.0</v>
      </c>
      <c r="C1488" s="3" t="s">
        <v>3</v>
      </c>
      <c r="D1488" s="4" t="b">
        <f t="shared" si="1"/>
        <v>0</v>
      </c>
      <c r="E1488" s="4" t="s">
        <v>1705</v>
      </c>
    </row>
    <row r="1489">
      <c r="A1489" s="3" t="s">
        <v>1706</v>
      </c>
      <c r="B1489" s="3">
        <v>0.0</v>
      </c>
      <c r="C1489" s="3" t="s">
        <v>6</v>
      </c>
      <c r="D1489" s="4" t="b">
        <f t="shared" si="1"/>
        <v>0</v>
      </c>
      <c r="E1489" s="4" t="s">
        <v>1706</v>
      </c>
    </row>
    <row r="1490">
      <c r="A1490" s="3" t="s">
        <v>1707</v>
      </c>
      <c r="B1490" s="3">
        <v>0.0</v>
      </c>
      <c r="C1490" s="3" t="s">
        <v>6</v>
      </c>
      <c r="D1490" s="4" t="b">
        <f t="shared" si="1"/>
        <v>0</v>
      </c>
      <c r="E1490" s="4" t="s">
        <v>1707</v>
      </c>
    </row>
    <row r="1491">
      <c r="A1491" s="3" t="s">
        <v>1708</v>
      </c>
      <c r="B1491" s="3">
        <v>0.0</v>
      </c>
      <c r="C1491" s="3" t="s">
        <v>3</v>
      </c>
      <c r="D1491" s="4" t="b">
        <f t="shared" si="1"/>
        <v>0</v>
      </c>
      <c r="E1491" s="4" t="s">
        <v>1708</v>
      </c>
    </row>
    <row r="1492">
      <c r="A1492" s="3" t="s">
        <v>1709</v>
      </c>
      <c r="B1492" s="3">
        <v>4000.0</v>
      </c>
      <c r="C1492" s="4"/>
      <c r="D1492" s="4" t="b">
        <f t="shared" si="1"/>
        <v>0</v>
      </c>
      <c r="E1492" s="4" t="s">
        <v>1709</v>
      </c>
    </row>
    <row r="1493">
      <c r="A1493" s="3" t="s">
        <v>1710</v>
      </c>
      <c r="B1493" s="3">
        <v>3000.0</v>
      </c>
      <c r="C1493" s="3" t="s">
        <v>6</v>
      </c>
      <c r="D1493" s="4" t="b">
        <f t="shared" si="1"/>
        <v>0</v>
      </c>
      <c r="E1493" s="4" t="s">
        <v>1710</v>
      </c>
    </row>
    <row r="1494">
      <c r="A1494" s="3" t="s">
        <v>1711</v>
      </c>
      <c r="B1494" s="3">
        <v>0.0</v>
      </c>
      <c r="C1494" s="3" t="s">
        <v>3</v>
      </c>
      <c r="D1494" s="4" t="b">
        <f t="shared" si="1"/>
        <v>0</v>
      </c>
      <c r="E1494" s="4" t="s">
        <v>1711</v>
      </c>
    </row>
    <row r="1495">
      <c r="A1495" s="3" t="s">
        <v>1712</v>
      </c>
      <c r="B1495" s="3">
        <v>500.0</v>
      </c>
      <c r="C1495" s="4"/>
      <c r="D1495" s="4" t="b">
        <f t="shared" si="1"/>
        <v>0</v>
      </c>
      <c r="E1495" s="4" t="s">
        <v>1712</v>
      </c>
    </row>
    <row r="1496">
      <c r="A1496" s="3" t="s">
        <v>1713</v>
      </c>
      <c r="B1496" s="3">
        <v>1000.0</v>
      </c>
      <c r="C1496" s="3" t="s">
        <v>668</v>
      </c>
      <c r="D1496" s="4" t="b">
        <f t="shared" si="1"/>
        <v>0</v>
      </c>
      <c r="E1496" s="4" t="s">
        <v>2291</v>
      </c>
    </row>
    <row r="1497">
      <c r="A1497" s="3" t="s">
        <v>1714</v>
      </c>
      <c r="B1497" s="4"/>
      <c r="C1497" s="4"/>
      <c r="D1497" s="4" t="b">
        <f t="shared" si="1"/>
        <v>1</v>
      </c>
      <c r="E1497" s="4" t="s">
        <v>1714</v>
      </c>
    </row>
    <row r="1498">
      <c r="A1498" s="3" t="s">
        <v>1715</v>
      </c>
      <c r="B1498" s="3">
        <v>357672.0</v>
      </c>
      <c r="C1498" s="3" t="s">
        <v>3</v>
      </c>
      <c r="D1498" s="4" t="b">
        <f t="shared" si="1"/>
        <v>0</v>
      </c>
      <c r="E1498" s="4" t="s">
        <v>2292</v>
      </c>
    </row>
    <row r="1499">
      <c r="A1499" s="3" t="s">
        <v>1717</v>
      </c>
      <c r="B1499" s="4"/>
      <c r="C1499" s="4"/>
      <c r="D1499" s="4" t="b">
        <f t="shared" si="1"/>
        <v>1</v>
      </c>
      <c r="E1499" s="4" t="s">
        <v>1717</v>
      </c>
    </row>
    <row r="1500">
      <c r="A1500" s="3" t="s">
        <v>1718</v>
      </c>
      <c r="B1500" s="3">
        <v>21350.0</v>
      </c>
      <c r="C1500" s="3" t="s">
        <v>32</v>
      </c>
      <c r="D1500" s="4" t="b">
        <f t="shared" si="1"/>
        <v>0</v>
      </c>
      <c r="E1500" s="4" t="s">
        <v>1718</v>
      </c>
    </row>
    <row r="1501">
      <c r="A1501" s="3" t="s">
        <v>1720</v>
      </c>
      <c r="B1501" s="3">
        <v>0.0</v>
      </c>
      <c r="C1501" s="3" t="s">
        <v>3</v>
      </c>
      <c r="D1501" s="4" t="b">
        <f t="shared" si="1"/>
        <v>0</v>
      </c>
      <c r="E1501" s="4" t="s">
        <v>1720</v>
      </c>
    </row>
    <row r="1502">
      <c r="A1502" s="3" t="s">
        <v>1721</v>
      </c>
      <c r="B1502" s="3">
        <v>0.0</v>
      </c>
      <c r="C1502" s="3" t="s">
        <v>3</v>
      </c>
      <c r="D1502" s="4" t="b">
        <f t="shared" si="1"/>
        <v>0</v>
      </c>
      <c r="E1502" s="4" t="s">
        <v>1721</v>
      </c>
    </row>
    <row r="1503">
      <c r="A1503" s="3" t="s">
        <v>1722</v>
      </c>
      <c r="B1503" s="3">
        <v>0.0</v>
      </c>
      <c r="C1503" s="3" t="s">
        <v>3</v>
      </c>
      <c r="D1503" s="4" t="b">
        <f t="shared" si="1"/>
        <v>0</v>
      </c>
      <c r="E1503" s="4" t="s">
        <v>1722</v>
      </c>
    </row>
    <row r="1504">
      <c r="A1504" s="3" t="s">
        <v>1723</v>
      </c>
      <c r="B1504" s="3">
        <v>3800.0</v>
      </c>
      <c r="C1504" s="4"/>
      <c r="D1504" s="4" t="b">
        <f t="shared" si="1"/>
        <v>0</v>
      </c>
      <c r="E1504" s="4" t="s">
        <v>1723</v>
      </c>
    </row>
    <row r="1505">
      <c r="A1505" s="3" t="s">
        <v>1725</v>
      </c>
      <c r="B1505" s="3">
        <v>150.0</v>
      </c>
      <c r="C1505" s="4"/>
      <c r="D1505" s="4" t="b">
        <f t="shared" si="1"/>
        <v>0</v>
      </c>
      <c r="E1505" s="4" t="s">
        <v>1725</v>
      </c>
    </row>
    <row r="1506">
      <c r="A1506" s="3" t="s">
        <v>1726</v>
      </c>
      <c r="B1506" s="3">
        <v>0.0</v>
      </c>
      <c r="C1506" s="3" t="s">
        <v>32</v>
      </c>
      <c r="D1506" s="4" t="b">
        <f t="shared" si="1"/>
        <v>0</v>
      </c>
      <c r="E1506" s="4" t="s">
        <v>2293</v>
      </c>
    </row>
    <row r="1507">
      <c r="A1507" s="3" t="s">
        <v>1727</v>
      </c>
      <c r="B1507" s="4"/>
      <c r="C1507" s="4"/>
      <c r="D1507" s="4" t="b">
        <f t="shared" si="1"/>
        <v>1</v>
      </c>
      <c r="E1507" s="4" t="s">
        <v>1727</v>
      </c>
    </row>
    <row r="1508">
      <c r="A1508" s="3" t="s">
        <v>1728</v>
      </c>
      <c r="B1508" s="3">
        <v>0.0</v>
      </c>
      <c r="C1508" s="3" t="s">
        <v>3</v>
      </c>
      <c r="D1508" s="4" t="b">
        <f t="shared" si="1"/>
        <v>0</v>
      </c>
      <c r="E1508" s="4" t="s">
        <v>1728</v>
      </c>
    </row>
    <row r="1509">
      <c r="A1509" s="3" t="s">
        <v>1729</v>
      </c>
      <c r="B1509" s="3">
        <v>0.0</v>
      </c>
      <c r="C1509" s="3" t="s">
        <v>3</v>
      </c>
      <c r="D1509" s="4" t="b">
        <f t="shared" si="1"/>
        <v>0</v>
      </c>
      <c r="E1509" s="4" t="s">
        <v>1729</v>
      </c>
    </row>
    <row r="1510">
      <c r="A1510" s="3" t="s">
        <v>1730</v>
      </c>
      <c r="B1510" s="3">
        <v>0.0</v>
      </c>
      <c r="C1510" s="3" t="s">
        <v>29</v>
      </c>
      <c r="D1510" s="4" t="b">
        <f t="shared" si="1"/>
        <v>0</v>
      </c>
      <c r="E1510" s="4" t="s">
        <v>1730</v>
      </c>
    </row>
    <row r="1511">
      <c r="A1511" s="3" t="s">
        <v>1731</v>
      </c>
      <c r="B1511" s="3">
        <v>0.0</v>
      </c>
      <c r="C1511" s="3" t="s">
        <v>6</v>
      </c>
      <c r="D1511" s="4" t="b">
        <f t="shared" si="1"/>
        <v>0</v>
      </c>
      <c r="E1511" s="4" t="s">
        <v>1731</v>
      </c>
    </row>
    <row r="1512">
      <c r="A1512" s="3" t="s">
        <v>1732</v>
      </c>
      <c r="B1512" s="3">
        <v>0.0</v>
      </c>
      <c r="C1512" s="3" t="s">
        <v>3</v>
      </c>
      <c r="D1512" s="4" t="b">
        <f t="shared" si="1"/>
        <v>0</v>
      </c>
      <c r="E1512" s="4" t="s">
        <v>1732</v>
      </c>
    </row>
    <row r="1513">
      <c r="A1513" s="3" t="s">
        <v>1733</v>
      </c>
      <c r="B1513" s="3">
        <v>31500.0</v>
      </c>
      <c r="C1513" s="3" t="s">
        <v>3</v>
      </c>
      <c r="D1513" s="4" t="b">
        <f t="shared" si="1"/>
        <v>0</v>
      </c>
      <c r="E1513" s="4" t="s">
        <v>1733</v>
      </c>
    </row>
    <row r="1514">
      <c r="A1514" s="3" t="s">
        <v>1735</v>
      </c>
      <c r="B1514" s="3">
        <v>10000.0</v>
      </c>
      <c r="C1514" s="4"/>
      <c r="D1514" s="4" t="b">
        <f t="shared" si="1"/>
        <v>0</v>
      </c>
      <c r="E1514" s="4" t="s">
        <v>1735</v>
      </c>
    </row>
    <row r="1515">
      <c r="A1515" s="3" t="s">
        <v>1736</v>
      </c>
      <c r="B1515" s="3">
        <v>35000.0</v>
      </c>
      <c r="C1515" s="3" t="s">
        <v>280</v>
      </c>
      <c r="D1515" s="4" t="b">
        <f t="shared" si="1"/>
        <v>0</v>
      </c>
      <c r="E1515" s="4" t="s">
        <v>1736</v>
      </c>
    </row>
    <row r="1516">
      <c r="A1516" s="3" t="s">
        <v>1737</v>
      </c>
      <c r="B1516" s="3">
        <v>0.0</v>
      </c>
      <c r="C1516" s="3" t="s">
        <v>3</v>
      </c>
      <c r="D1516" s="4" t="b">
        <f t="shared" si="1"/>
        <v>0</v>
      </c>
      <c r="E1516" s="4" t="s">
        <v>1737</v>
      </c>
    </row>
    <row r="1517">
      <c r="A1517" s="3" t="s">
        <v>1738</v>
      </c>
      <c r="B1517" s="3">
        <v>1500.0</v>
      </c>
      <c r="C1517" s="4"/>
      <c r="D1517" s="4" t="b">
        <f t="shared" si="1"/>
        <v>0</v>
      </c>
      <c r="E1517" s="4" t="s">
        <v>1738</v>
      </c>
    </row>
    <row r="1518">
      <c r="A1518" s="3" t="s">
        <v>1739</v>
      </c>
      <c r="B1518" s="3">
        <v>22000.0</v>
      </c>
      <c r="C1518" s="3" t="s">
        <v>484</v>
      </c>
      <c r="D1518" s="4" t="b">
        <f t="shared" si="1"/>
        <v>0</v>
      </c>
      <c r="E1518" s="4" t="s">
        <v>1739</v>
      </c>
    </row>
    <row r="1519">
      <c r="A1519" s="3" t="s">
        <v>1740</v>
      </c>
      <c r="B1519" s="3">
        <v>0.0</v>
      </c>
      <c r="C1519" s="3" t="s">
        <v>3</v>
      </c>
      <c r="D1519" s="4" t="b">
        <f t="shared" si="1"/>
        <v>0</v>
      </c>
      <c r="E1519" s="4" t="s">
        <v>1740</v>
      </c>
    </row>
    <row r="1520">
      <c r="A1520" s="3" t="s">
        <v>1741</v>
      </c>
      <c r="B1520" s="3">
        <v>0.0</v>
      </c>
      <c r="C1520" s="3" t="s">
        <v>3</v>
      </c>
      <c r="D1520" s="4" t="b">
        <f t="shared" si="1"/>
        <v>0</v>
      </c>
      <c r="E1520" s="4" t="s">
        <v>2294</v>
      </c>
    </row>
    <row r="1521">
      <c r="A1521" s="3" t="s">
        <v>1742</v>
      </c>
      <c r="B1521" s="4"/>
      <c r="C1521" s="4"/>
      <c r="D1521" s="4" t="b">
        <f t="shared" si="1"/>
        <v>1</v>
      </c>
      <c r="E1521" s="4" t="s">
        <v>1742</v>
      </c>
    </row>
    <row r="1522">
      <c r="A1522" s="3" t="s">
        <v>1743</v>
      </c>
      <c r="B1522" s="3">
        <v>0.0</v>
      </c>
      <c r="C1522" s="3" t="s">
        <v>3</v>
      </c>
      <c r="D1522" s="4" t="b">
        <f t="shared" si="1"/>
        <v>0</v>
      </c>
      <c r="E1522" s="4" t="s">
        <v>1743</v>
      </c>
    </row>
    <row r="1523">
      <c r="A1523" s="3" t="s">
        <v>1744</v>
      </c>
      <c r="B1523" s="3">
        <v>9520.0</v>
      </c>
      <c r="C1523" s="4"/>
      <c r="D1523" s="4" t="b">
        <f t="shared" si="1"/>
        <v>0</v>
      </c>
      <c r="E1523" s="4" t="s">
        <v>1744</v>
      </c>
    </row>
    <row r="1524">
      <c r="A1524" s="3" t="s">
        <v>1746</v>
      </c>
      <c r="B1524" s="3">
        <v>900.0</v>
      </c>
      <c r="C1524" s="4"/>
      <c r="D1524" s="4" t="b">
        <f t="shared" si="1"/>
        <v>0</v>
      </c>
      <c r="E1524" s="4" t="s">
        <v>1746</v>
      </c>
    </row>
    <row r="1525">
      <c r="A1525" s="3" t="s">
        <v>1747</v>
      </c>
      <c r="B1525" s="3">
        <v>7100.0</v>
      </c>
      <c r="C1525" s="3" t="s">
        <v>6</v>
      </c>
      <c r="D1525" s="4" t="b">
        <f t="shared" si="1"/>
        <v>0</v>
      </c>
      <c r="E1525" s="4" t="s">
        <v>1747</v>
      </c>
    </row>
    <row r="1526">
      <c r="A1526" s="3" t="s">
        <v>1749</v>
      </c>
      <c r="B1526" s="3">
        <v>0.0</v>
      </c>
      <c r="C1526" s="3" t="s">
        <v>6</v>
      </c>
      <c r="D1526" s="4" t="b">
        <f t="shared" si="1"/>
        <v>0</v>
      </c>
      <c r="E1526" s="4" t="s">
        <v>1749</v>
      </c>
    </row>
    <row r="1527">
      <c r="A1527" s="3" t="s">
        <v>1750</v>
      </c>
      <c r="B1527" s="3">
        <v>0.0</v>
      </c>
      <c r="C1527" s="3" t="s">
        <v>6</v>
      </c>
      <c r="D1527" s="4" t="b">
        <f t="shared" si="1"/>
        <v>0</v>
      </c>
      <c r="E1527" s="4" t="s">
        <v>1750</v>
      </c>
    </row>
    <row r="1528">
      <c r="A1528" s="3" t="s">
        <v>1751</v>
      </c>
      <c r="B1528" s="3">
        <v>51000.0</v>
      </c>
      <c r="C1528" s="3" t="s">
        <v>3</v>
      </c>
      <c r="D1528" s="4" t="b">
        <f t="shared" si="1"/>
        <v>0</v>
      </c>
      <c r="E1528" s="4" t="s">
        <v>1751</v>
      </c>
    </row>
    <row r="1529">
      <c r="A1529" s="3" t="s">
        <v>1753</v>
      </c>
      <c r="B1529" s="3">
        <v>0.0</v>
      </c>
      <c r="C1529" s="3" t="s">
        <v>32</v>
      </c>
      <c r="D1529" s="4" t="b">
        <f t="shared" si="1"/>
        <v>0</v>
      </c>
      <c r="E1529" s="4" t="s">
        <v>1753</v>
      </c>
    </row>
    <row r="1530">
      <c r="A1530" s="3" t="s">
        <v>1754</v>
      </c>
      <c r="B1530" s="3">
        <v>6000.0</v>
      </c>
      <c r="C1530" s="3" t="s">
        <v>32</v>
      </c>
      <c r="D1530" s="4" t="b">
        <f t="shared" si="1"/>
        <v>0</v>
      </c>
      <c r="E1530" s="4" t="s">
        <v>1754</v>
      </c>
    </row>
    <row r="1531">
      <c r="A1531" s="3" t="s">
        <v>1755</v>
      </c>
      <c r="B1531" s="3">
        <v>0.0</v>
      </c>
      <c r="C1531" s="3" t="s">
        <v>3</v>
      </c>
      <c r="D1531" s="4" t="b">
        <f t="shared" si="1"/>
        <v>0</v>
      </c>
      <c r="E1531" s="4" t="s">
        <v>1755</v>
      </c>
    </row>
    <row r="1532">
      <c r="A1532" s="3" t="s">
        <v>1756</v>
      </c>
      <c r="B1532" s="3">
        <v>29985.0</v>
      </c>
      <c r="C1532" s="4"/>
      <c r="D1532" s="4" t="b">
        <f t="shared" si="1"/>
        <v>0</v>
      </c>
      <c r="E1532" s="4" t="s">
        <v>1756</v>
      </c>
    </row>
    <row r="1533">
      <c r="A1533" s="3" t="s">
        <v>1758</v>
      </c>
      <c r="B1533" s="3">
        <v>2000.0</v>
      </c>
      <c r="C1533" s="4"/>
      <c r="D1533" s="4" t="b">
        <f t="shared" si="1"/>
        <v>0</v>
      </c>
      <c r="E1533" s="4" t="s">
        <v>1758</v>
      </c>
    </row>
    <row r="1534">
      <c r="A1534" s="3" t="s">
        <v>1759</v>
      </c>
      <c r="B1534" s="3">
        <v>10000.0</v>
      </c>
      <c r="C1534" s="3" t="s">
        <v>6</v>
      </c>
      <c r="D1534" s="4" t="b">
        <f t="shared" si="1"/>
        <v>0</v>
      </c>
      <c r="E1534" s="4" t="s">
        <v>1759</v>
      </c>
    </row>
    <row r="1535">
      <c r="A1535" s="3" t="s">
        <v>1760</v>
      </c>
      <c r="B1535" s="3">
        <v>0.0</v>
      </c>
      <c r="C1535" s="3" t="s">
        <v>3</v>
      </c>
      <c r="D1535" s="4" t="b">
        <f t="shared" si="1"/>
        <v>0</v>
      </c>
      <c r="E1535" s="4" t="s">
        <v>1760</v>
      </c>
    </row>
    <row r="1536">
      <c r="A1536" s="3" t="s">
        <v>1761</v>
      </c>
      <c r="B1536" s="3">
        <v>64000.0</v>
      </c>
      <c r="C1536" s="4"/>
      <c r="D1536" s="4" t="b">
        <f t="shared" si="1"/>
        <v>0</v>
      </c>
      <c r="E1536" s="4" t="s">
        <v>1761</v>
      </c>
    </row>
    <row r="1537">
      <c r="A1537" s="3" t="s">
        <v>1763</v>
      </c>
      <c r="B1537" s="3">
        <v>0.0</v>
      </c>
      <c r="C1537" s="3" t="s">
        <v>3</v>
      </c>
      <c r="D1537" s="4" t="b">
        <f t="shared" si="1"/>
        <v>0</v>
      </c>
      <c r="E1537" s="4" t="s">
        <v>1763</v>
      </c>
    </row>
    <row r="1538">
      <c r="A1538" s="3" t="s">
        <v>1764</v>
      </c>
      <c r="B1538" s="3">
        <v>10000.0</v>
      </c>
      <c r="C1538" s="3" t="s">
        <v>3</v>
      </c>
      <c r="D1538" s="4" t="b">
        <f t="shared" si="1"/>
        <v>0</v>
      </c>
      <c r="E1538" s="4" t="s">
        <v>1764</v>
      </c>
    </row>
    <row r="1539">
      <c r="A1539" s="3" t="s">
        <v>1765</v>
      </c>
      <c r="B1539" s="3">
        <v>600.0</v>
      </c>
      <c r="C1539" s="3" t="s">
        <v>32</v>
      </c>
      <c r="D1539" s="4" t="b">
        <f t="shared" si="1"/>
        <v>0</v>
      </c>
      <c r="E1539" s="4" t="s">
        <v>1765</v>
      </c>
    </row>
    <row r="1540">
      <c r="A1540" s="3" t="s">
        <v>1766</v>
      </c>
      <c r="B1540" s="3">
        <v>9750.0</v>
      </c>
      <c r="C1540" s="3" t="s">
        <v>32</v>
      </c>
      <c r="D1540" s="4" t="b">
        <f t="shared" si="1"/>
        <v>0</v>
      </c>
      <c r="E1540" s="4" t="s">
        <v>1766</v>
      </c>
    </row>
    <row r="1541">
      <c r="A1541" s="3" t="s">
        <v>1768</v>
      </c>
      <c r="B1541" s="3">
        <v>0.0</v>
      </c>
      <c r="C1541" s="3" t="s">
        <v>6</v>
      </c>
      <c r="D1541" s="4" t="b">
        <f t="shared" si="1"/>
        <v>0</v>
      </c>
      <c r="E1541" s="4" t="s">
        <v>1768</v>
      </c>
    </row>
    <row r="1542">
      <c r="A1542" s="3" t="s">
        <v>1769</v>
      </c>
      <c r="B1542" s="3">
        <v>0.0</v>
      </c>
      <c r="C1542" s="3" t="s">
        <v>3</v>
      </c>
      <c r="D1542" s="4" t="b">
        <f t="shared" si="1"/>
        <v>0</v>
      </c>
      <c r="E1542" s="4" t="s">
        <v>1769</v>
      </c>
    </row>
    <row r="1543">
      <c r="A1543" s="3" t="s">
        <v>1770</v>
      </c>
      <c r="B1543" s="3">
        <v>0.0</v>
      </c>
      <c r="C1543" s="3" t="s">
        <v>29</v>
      </c>
      <c r="D1543" s="4" t="b">
        <f t="shared" si="1"/>
        <v>0</v>
      </c>
      <c r="E1543" s="4" t="s">
        <v>1770</v>
      </c>
    </row>
    <row r="1544">
      <c r="A1544" s="3" t="s">
        <v>1771</v>
      </c>
      <c r="B1544" s="3">
        <v>0.0</v>
      </c>
      <c r="C1544" s="3" t="s">
        <v>3</v>
      </c>
      <c r="D1544" s="4" t="b">
        <f t="shared" si="1"/>
        <v>0</v>
      </c>
      <c r="E1544" s="4" t="s">
        <v>1771</v>
      </c>
    </row>
    <row r="1545">
      <c r="A1545" s="3" t="s">
        <v>1772</v>
      </c>
      <c r="B1545" s="3">
        <v>0.0</v>
      </c>
      <c r="C1545" s="3" t="s">
        <v>32</v>
      </c>
      <c r="D1545" s="4" t="b">
        <f t="shared" si="1"/>
        <v>0</v>
      </c>
      <c r="E1545" s="4" t="s">
        <v>1772</v>
      </c>
    </row>
    <row r="1546">
      <c r="A1546" s="3" t="s">
        <v>1773</v>
      </c>
      <c r="B1546" s="3">
        <v>6182.0</v>
      </c>
      <c r="C1546" s="4"/>
      <c r="D1546" s="4" t="b">
        <f t="shared" si="1"/>
        <v>0</v>
      </c>
      <c r="E1546" s="4" t="s">
        <v>1773</v>
      </c>
    </row>
    <row r="1547">
      <c r="A1547" s="3" t="s">
        <v>1775</v>
      </c>
      <c r="B1547" s="3">
        <v>2000.0</v>
      </c>
      <c r="C1547" s="3" t="s">
        <v>3</v>
      </c>
      <c r="D1547" s="4" t="b">
        <f t="shared" si="1"/>
        <v>0</v>
      </c>
      <c r="E1547" s="4" t="s">
        <v>2295</v>
      </c>
    </row>
    <row r="1548">
      <c r="A1548" s="3" t="s">
        <v>1776</v>
      </c>
      <c r="B1548" s="4"/>
      <c r="C1548" s="4"/>
      <c r="D1548" s="4" t="b">
        <f t="shared" si="1"/>
        <v>1</v>
      </c>
      <c r="E1548" s="4" t="s">
        <v>1776</v>
      </c>
    </row>
    <row r="1549">
      <c r="A1549" s="3" t="s">
        <v>1777</v>
      </c>
      <c r="B1549" s="3">
        <v>800.0</v>
      </c>
      <c r="C1549" s="3" t="s">
        <v>29</v>
      </c>
      <c r="D1549" s="4" t="b">
        <f t="shared" si="1"/>
        <v>0</v>
      </c>
      <c r="E1549" s="4" t="s">
        <v>1777</v>
      </c>
    </row>
    <row r="1550">
      <c r="A1550" s="3" t="s">
        <v>1778</v>
      </c>
      <c r="B1550" s="3">
        <v>650.0</v>
      </c>
      <c r="C1550" s="4"/>
      <c r="D1550" s="4" t="b">
        <f t="shared" si="1"/>
        <v>0</v>
      </c>
      <c r="E1550" s="4" t="s">
        <v>1778</v>
      </c>
    </row>
    <row r="1551">
      <c r="A1551" s="3" t="s">
        <v>1780</v>
      </c>
      <c r="B1551" s="3">
        <v>0.0</v>
      </c>
      <c r="C1551" s="3" t="s">
        <v>32</v>
      </c>
      <c r="D1551" s="4" t="b">
        <f t="shared" si="1"/>
        <v>0</v>
      </c>
      <c r="E1551" s="4" t="s">
        <v>1780</v>
      </c>
    </row>
    <row r="1552">
      <c r="A1552" s="3" t="s">
        <v>1781</v>
      </c>
      <c r="B1552" s="3">
        <v>3000.0</v>
      </c>
      <c r="C1552" s="4"/>
      <c r="D1552" s="4" t="b">
        <f t="shared" si="1"/>
        <v>0</v>
      </c>
      <c r="E1552" s="4" t="s">
        <v>1781</v>
      </c>
    </row>
    <row r="1553">
      <c r="A1553" s="3" t="s">
        <v>1782</v>
      </c>
      <c r="B1553" s="3">
        <v>3700.0</v>
      </c>
      <c r="C1553" s="3" t="s">
        <v>32</v>
      </c>
      <c r="D1553" s="4" t="b">
        <f t="shared" si="1"/>
        <v>0</v>
      </c>
      <c r="E1553" s="4" t="s">
        <v>1782</v>
      </c>
    </row>
    <row r="1554">
      <c r="A1554" s="3" t="s">
        <v>1783</v>
      </c>
      <c r="B1554" s="3">
        <v>4400.0</v>
      </c>
      <c r="C1554" s="4"/>
      <c r="D1554" s="4" t="b">
        <f t="shared" si="1"/>
        <v>0</v>
      </c>
      <c r="E1554" s="4" t="s">
        <v>1783</v>
      </c>
    </row>
    <row r="1555">
      <c r="A1555" s="3" t="s">
        <v>1784</v>
      </c>
      <c r="B1555" s="3">
        <v>0.0</v>
      </c>
      <c r="C1555" s="3" t="s">
        <v>3</v>
      </c>
      <c r="D1555" s="4" t="b">
        <f t="shared" si="1"/>
        <v>0</v>
      </c>
      <c r="E1555" s="4" t="s">
        <v>1784</v>
      </c>
    </row>
    <row r="1556">
      <c r="A1556" s="3" t="s">
        <v>1785</v>
      </c>
      <c r="B1556" s="3">
        <v>0.0</v>
      </c>
      <c r="C1556" s="3" t="s">
        <v>3</v>
      </c>
      <c r="D1556" s="4" t="b">
        <f t="shared" si="1"/>
        <v>0</v>
      </c>
      <c r="E1556" s="4" t="s">
        <v>1785</v>
      </c>
    </row>
    <row r="1557">
      <c r="A1557" s="3" t="s">
        <v>1786</v>
      </c>
      <c r="B1557" s="3">
        <v>0.0</v>
      </c>
      <c r="C1557" s="3" t="s">
        <v>6</v>
      </c>
      <c r="D1557" s="4" t="b">
        <f t="shared" si="1"/>
        <v>0</v>
      </c>
      <c r="E1557" s="4" t="s">
        <v>1786</v>
      </c>
    </row>
    <row r="1558">
      <c r="A1558" s="3" t="s">
        <v>1787</v>
      </c>
      <c r="B1558" s="3">
        <v>280000.0</v>
      </c>
      <c r="C1558" s="3" t="s">
        <v>6</v>
      </c>
      <c r="D1558" s="4" t="b">
        <f t="shared" si="1"/>
        <v>0</v>
      </c>
      <c r="E1558" s="4" t="s">
        <v>1787</v>
      </c>
    </row>
    <row r="1559">
      <c r="A1559" s="3" t="s">
        <v>1789</v>
      </c>
      <c r="B1559" s="3">
        <v>450000.0</v>
      </c>
      <c r="C1559" s="3" t="s">
        <v>6</v>
      </c>
      <c r="D1559" s="4" t="b">
        <f t="shared" si="1"/>
        <v>0</v>
      </c>
      <c r="E1559" s="4" t="s">
        <v>1789</v>
      </c>
    </row>
    <row r="1560">
      <c r="A1560" s="3" t="s">
        <v>1791</v>
      </c>
      <c r="B1560" s="3">
        <v>2000.0</v>
      </c>
      <c r="C1560" s="3" t="s">
        <v>29</v>
      </c>
      <c r="D1560" s="4" t="b">
        <f t="shared" si="1"/>
        <v>0</v>
      </c>
      <c r="E1560" s="4" t="s">
        <v>1791</v>
      </c>
    </row>
    <row r="1561">
      <c r="A1561" s="3" t="s">
        <v>1792</v>
      </c>
      <c r="B1561" s="3">
        <v>2000.0</v>
      </c>
      <c r="C1561" s="4"/>
      <c r="D1561" s="4" t="b">
        <f t="shared" si="1"/>
        <v>0</v>
      </c>
      <c r="E1561" s="4" t="s">
        <v>2296</v>
      </c>
    </row>
    <row r="1562">
      <c r="A1562" s="3" t="s">
        <v>1793</v>
      </c>
      <c r="B1562" s="4"/>
      <c r="C1562" s="4"/>
      <c r="D1562" s="4" t="b">
        <f t="shared" si="1"/>
        <v>1</v>
      </c>
      <c r="E1562" s="4" t="s">
        <v>1793</v>
      </c>
    </row>
    <row r="1563">
      <c r="A1563" s="3" t="s">
        <v>1794</v>
      </c>
      <c r="B1563" s="3">
        <v>0.0</v>
      </c>
      <c r="C1563" s="3" t="s">
        <v>3</v>
      </c>
      <c r="D1563" s="4" t="b">
        <f t="shared" si="1"/>
        <v>0</v>
      </c>
      <c r="E1563" s="4" t="s">
        <v>1794</v>
      </c>
    </row>
    <row r="1564">
      <c r="A1564" s="3" t="s">
        <v>1795</v>
      </c>
      <c r="B1564" s="3">
        <v>3500.0</v>
      </c>
      <c r="C1564" s="4"/>
      <c r="D1564" s="4" t="b">
        <f t="shared" si="1"/>
        <v>0</v>
      </c>
      <c r="E1564" s="4" t="s">
        <v>1795</v>
      </c>
    </row>
    <row r="1565">
      <c r="A1565" s="3" t="s">
        <v>1796</v>
      </c>
      <c r="B1565" s="3">
        <v>0.0</v>
      </c>
      <c r="C1565" s="3" t="s">
        <v>3</v>
      </c>
      <c r="D1565" s="4" t="b">
        <f t="shared" si="1"/>
        <v>0</v>
      </c>
      <c r="E1565" s="4" t="s">
        <v>1796</v>
      </c>
    </row>
    <row r="1566">
      <c r="A1566" s="3" t="s">
        <v>1797</v>
      </c>
      <c r="B1566" s="3">
        <v>0.0</v>
      </c>
      <c r="C1566" s="3" t="s">
        <v>32</v>
      </c>
      <c r="D1566" s="4" t="b">
        <f t="shared" si="1"/>
        <v>0</v>
      </c>
      <c r="E1566" s="4" t="s">
        <v>2297</v>
      </c>
    </row>
    <row r="1567">
      <c r="A1567" s="3" t="s">
        <v>1798</v>
      </c>
      <c r="B1567" s="4"/>
      <c r="C1567" s="4"/>
      <c r="D1567" s="4" t="b">
        <f t="shared" si="1"/>
        <v>1</v>
      </c>
      <c r="E1567" s="4" t="s">
        <v>1798</v>
      </c>
    </row>
    <row r="1568">
      <c r="A1568" s="3" t="s">
        <v>1799</v>
      </c>
      <c r="B1568" s="3">
        <v>0.0</v>
      </c>
      <c r="C1568" s="3" t="s">
        <v>29</v>
      </c>
      <c r="D1568" s="4" t="b">
        <f t="shared" si="1"/>
        <v>0</v>
      </c>
      <c r="E1568" s="4" t="s">
        <v>1799</v>
      </c>
    </row>
    <row r="1569">
      <c r="A1569" s="3" t="s">
        <v>1800</v>
      </c>
      <c r="B1569" s="3">
        <v>73250.0</v>
      </c>
      <c r="C1569" s="3" t="s">
        <v>1373</v>
      </c>
      <c r="D1569" s="4" t="b">
        <f t="shared" si="1"/>
        <v>0</v>
      </c>
      <c r="E1569" s="4" t="s">
        <v>2298</v>
      </c>
    </row>
    <row r="1570">
      <c r="A1570" s="4"/>
      <c r="B1570" s="4"/>
      <c r="C1570" s="3" t="s">
        <v>1374</v>
      </c>
      <c r="D1570" s="4" t="b">
        <f t="shared" si="1"/>
        <v>1</v>
      </c>
      <c r="E1570" s="4"/>
    </row>
    <row r="1571">
      <c r="A1571" s="3" t="s">
        <v>1802</v>
      </c>
      <c r="B1571" s="3">
        <v>0.0</v>
      </c>
      <c r="C1571" s="3" t="s">
        <v>6</v>
      </c>
      <c r="D1571" s="4" t="b">
        <f t="shared" si="1"/>
        <v>0</v>
      </c>
      <c r="E1571" s="4" t="s">
        <v>2299</v>
      </c>
    </row>
    <row r="1572">
      <c r="A1572" s="3" t="s">
        <v>823</v>
      </c>
      <c r="B1572" s="4"/>
      <c r="C1572" s="4"/>
      <c r="D1572" s="4" t="b">
        <f t="shared" si="1"/>
        <v>1</v>
      </c>
      <c r="E1572" s="4" t="s">
        <v>823</v>
      </c>
    </row>
    <row r="1573">
      <c r="A1573" s="3" t="s">
        <v>1803</v>
      </c>
      <c r="B1573" s="3">
        <v>0.0</v>
      </c>
      <c r="C1573" s="3" t="s">
        <v>29</v>
      </c>
      <c r="D1573" s="4" t="b">
        <f t="shared" si="1"/>
        <v>0</v>
      </c>
      <c r="E1573" s="4" t="s">
        <v>2300</v>
      </c>
    </row>
    <row r="1574">
      <c r="A1574" s="3" t="s">
        <v>1804</v>
      </c>
      <c r="B1574" s="4"/>
      <c r="C1574" s="4"/>
      <c r="D1574" s="4" t="b">
        <f t="shared" si="1"/>
        <v>1</v>
      </c>
      <c r="E1574" s="4" t="s">
        <v>1804</v>
      </c>
    </row>
    <row r="1575">
      <c r="A1575" s="3" t="s">
        <v>1805</v>
      </c>
      <c r="B1575" s="3">
        <v>9980.0</v>
      </c>
      <c r="C1575" s="3" t="s">
        <v>32</v>
      </c>
      <c r="D1575" s="4" t="b">
        <f t="shared" si="1"/>
        <v>0</v>
      </c>
      <c r="E1575" s="4" t="s">
        <v>1805</v>
      </c>
    </row>
    <row r="1576">
      <c r="A1576" s="3" t="s">
        <v>1807</v>
      </c>
      <c r="B1576" s="3">
        <v>0.0</v>
      </c>
      <c r="C1576" s="3" t="s">
        <v>668</v>
      </c>
      <c r="D1576" s="4" t="b">
        <f t="shared" si="1"/>
        <v>0</v>
      </c>
      <c r="E1576" s="4" t="s">
        <v>1807</v>
      </c>
    </row>
    <row r="1577">
      <c r="A1577" s="3" t="s">
        <v>1808</v>
      </c>
      <c r="B1577" s="3">
        <v>4000.0</v>
      </c>
      <c r="C1577" s="4"/>
      <c r="D1577" s="4" t="b">
        <f t="shared" si="1"/>
        <v>0</v>
      </c>
      <c r="E1577" s="4" t="s">
        <v>1808</v>
      </c>
    </row>
    <row r="1578">
      <c r="A1578" s="3" t="s">
        <v>1809</v>
      </c>
      <c r="B1578" s="3">
        <v>1000.0</v>
      </c>
      <c r="C1578" s="4"/>
      <c r="D1578" s="4" t="b">
        <f t="shared" si="1"/>
        <v>0</v>
      </c>
      <c r="E1578" s="4" t="s">
        <v>1809</v>
      </c>
    </row>
    <row r="1579">
      <c r="A1579" s="3" t="s">
        <v>1810</v>
      </c>
      <c r="B1579" s="3">
        <v>2000.0</v>
      </c>
      <c r="C1579" s="3" t="s">
        <v>3</v>
      </c>
      <c r="D1579" s="4" t="b">
        <f t="shared" si="1"/>
        <v>0</v>
      </c>
      <c r="E1579" s="4" t="s">
        <v>1810</v>
      </c>
    </row>
    <row r="1580">
      <c r="A1580" s="3" t="s">
        <v>1811</v>
      </c>
      <c r="B1580" s="3">
        <v>16770.0</v>
      </c>
      <c r="C1580" s="3" t="s">
        <v>3</v>
      </c>
      <c r="D1580" s="4" t="b">
        <f t="shared" si="1"/>
        <v>0</v>
      </c>
      <c r="E1580" s="4" t="s">
        <v>1811</v>
      </c>
    </row>
    <row r="1581">
      <c r="A1581" s="3" t="s">
        <v>1813</v>
      </c>
      <c r="B1581" s="3">
        <v>300.0</v>
      </c>
      <c r="C1581" s="4"/>
      <c r="D1581" s="4" t="b">
        <f t="shared" si="1"/>
        <v>0</v>
      </c>
      <c r="E1581" s="4" t="s">
        <v>1813</v>
      </c>
    </row>
    <row r="1582">
      <c r="A1582" s="3" t="s">
        <v>1814</v>
      </c>
      <c r="B1582" s="3">
        <v>0.0</v>
      </c>
      <c r="C1582" s="3" t="s">
        <v>3</v>
      </c>
      <c r="D1582" s="4" t="b">
        <f t="shared" si="1"/>
        <v>0</v>
      </c>
      <c r="E1582" s="4" t="s">
        <v>1814</v>
      </c>
    </row>
    <row r="1583">
      <c r="A1583" s="3" t="s">
        <v>1815</v>
      </c>
      <c r="B1583" s="3">
        <v>500.0</v>
      </c>
      <c r="C1583" s="4"/>
      <c r="D1583" s="4" t="b">
        <f t="shared" si="1"/>
        <v>0</v>
      </c>
      <c r="E1583" s="4" t="s">
        <v>2301</v>
      </c>
    </row>
    <row r="1584">
      <c r="A1584" s="3" t="s">
        <v>196</v>
      </c>
      <c r="B1584" s="4"/>
      <c r="C1584" s="4"/>
      <c r="D1584" s="4" t="b">
        <f t="shared" si="1"/>
        <v>1</v>
      </c>
      <c r="E1584" s="4" t="s">
        <v>196</v>
      </c>
    </row>
    <row r="1585">
      <c r="A1585" s="3" t="s">
        <v>1816</v>
      </c>
      <c r="B1585" s="3">
        <v>0.0</v>
      </c>
      <c r="C1585" s="3" t="s">
        <v>3</v>
      </c>
      <c r="D1585" s="4" t="b">
        <f t="shared" si="1"/>
        <v>0</v>
      </c>
      <c r="E1585" s="4" t="s">
        <v>2302</v>
      </c>
    </row>
    <row r="1586">
      <c r="A1586" s="3" t="s">
        <v>1817</v>
      </c>
      <c r="B1586" s="4"/>
      <c r="C1586" s="4"/>
      <c r="D1586" s="4" t="b">
        <f t="shared" si="1"/>
        <v>1</v>
      </c>
      <c r="E1586" s="4" t="s">
        <v>1817</v>
      </c>
    </row>
    <row r="1587">
      <c r="A1587" s="3" t="s">
        <v>1818</v>
      </c>
      <c r="B1587" s="3">
        <v>0.0</v>
      </c>
      <c r="C1587" s="3" t="s">
        <v>3</v>
      </c>
      <c r="D1587" s="4" t="b">
        <f t="shared" si="1"/>
        <v>0</v>
      </c>
      <c r="E1587" s="4" t="s">
        <v>1818</v>
      </c>
    </row>
    <row r="1588">
      <c r="A1588" s="3" t="s">
        <v>1819</v>
      </c>
      <c r="B1588" s="3">
        <v>2500.0</v>
      </c>
      <c r="C1588" s="3" t="s">
        <v>3</v>
      </c>
      <c r="D1588" s="4" t="b">
        <f t="shared" si="1"/>
        <v>0</v>
      </c>
      <c r="E1588" s="4" t="s">
        <v>2303</v>
      </c>
    </row>
    <row r="1589">
      <c r="A1589" s="3" t="s">
        <v>1820</v>
      </c>
      <c r="B1589" s="4"/>
      <c r="C1589" s="4"/>
      <c r="D1589" s="4" t="b">
        <f t="shared" si="1"/>
        <v>1</v>
      </c>
      <c r="E1589" s="4" t="s">
        <v>1820</v>
      </c>
    </row>
    <row r="1590">
      <c r="A1590" s="3" t="s">
        <v>1821</v>
      </c>
      <c r="B1590" s="3">
        <v>0.0</v>
      </c>
      <c r="C1590" s="3" t="s">
        <v>3</v>
      </c>
      <c r="D1590" s="4" t="b">
        <f t="shared" si="1"/>
        <v>0</v>
      </c>
      <c r="E1590" s="4" t="s">
        <v>1821</v>
      </c>
    </row>
    <row r="1591">
      <c r="A1591" s="3" t="s">
        <v>1822</v>
      </c>
      <c r="B1591" s="3">
        <v>300.0</v>
      </c>
      <c r="C1591" s="4"/>
      <c r="D1591" s="4" t="b">
        <f t="shared" si="1"/>
        <v>0</v>
      </c>
      <c r="E1591" s="4" t="s">
        <v>1822</v>
      </c>
    </row>
    <row r="1592">
      <c r="A1592" s="3" t="s">
        <v>1823</v>
      </c>
      <c r="B1592" s="3">
        <v>9500.0</v>
      </c>
      <c r="C1592" s="3" t="s">
        <v>3</v>
      </c>
      <c r="D1592" s="4" t="b">
        <f t="shared" si="1"/>
        <v>0</v>
      </c>
      <c r="E1592" s="4" t="s">
        <v>2304</v>
      </c>
    </row>
    <row r="1593">
      <c r="A1593" s="3" t="s">
        <v>1824</v>
      </c>
      <c r="B1593" s="4"/>
      <c r="C1593" s="4"/>
      <c r="D1593" s="4" t="b">
        <f t="shared" si="1"/>
        <v>1</v>
      </c>
      <c r="E1593" s="4" t="s">
        <v>1824</v>
      </c>
    </row>
    <row r="1594">
      <c r="A1594" s="3" t="s">
        <v>1825</v>
      </c>
      <c r="B1594" s="3">
        <v>0.0</v>
      </c>
      <c r="C1594" s="3" t="s">
        <v>3</v>
      </c>
      <c r="D1594" s="4" t="b">
        <f t="shared" si="1"/>
        <v>0</v>
      </c>
      <c r="E1594" s="4" t="s">
        <v>1825</v>
      </c>
    </row>
    <row r="1595">
      <c r="A1595" s="3" t="s">
        <v>1826</v>
      </c>
      <c r="B1595" s="3">
        <v>0.0</v>
      </c>
      <c r="C1595" s="3" t="s">
        <v>3</v>
      </c>
      <c r="D1595" s="4" t="b">
        <f t="shared" si="1"/>
        <v>0</v>
      </c>
      <c r="E1595" s="4" t="s">
        <v>1826</v>
      </c>
    </row>
    <row r="1596">
      <c r="A1596" s="3" t="s">
        <v>1827</v>
      </c>
      <c r="B1596" s="3">
        <v>0.0</v>
      </c>
      <c r="C1596" s="3" t="s">
        <v>3</v>
      </c>
      <c r="D1596" s="4" t="b">
        <f t="shared" si="1"/>
        <v>0</v>
      </c>
      <c r="E1596" s="4" t="s">
        <v>2305</v>
      </c>
    </row>
    <row r="1597">
      <c r="A1597" s="3" t="s">
        <v>1828</v>
      </c>
      <c r="B1597" s="4"/>
      <c r="C1597" s="4"/>
      <c r="D1597" s="4" t="b">
        <f t="shared" si="1"/>
        <v>1</v>
      </c>
      <c r="E1597" s="4" t="s">
        <v>1828</v>
      </c>
    </row>
    <row r="1598">
      <c r="A1598" s="3" t="s">
        <v>1829</v>
      </c>
      <c r="B1598" s="3">
        <v>0.0</v>
      </c>
      <c r="C1598" s="3" t="s">
        <v>3</v>
      </c>
      <c r="D1598" s="4" t="b">
        <f t="shared" si="1"/>
        <v>0</v>
      </c>
      <c r="E1598" s="4" t="s">
        <v>1829</v>
      </c>
    </row>
    <row r="1599">
      <c r="A1599" s="3" t="s">
        <v>1830</v>
      </c>
      <c r="B1599" s="3">
        <v>2100.0</v>
      </c>
      <c r="C1599" s="4"/>
      <c r="D1599" s="4" t="b">
        <f t="shared" si="1"/>
        <v>0</v>
      </c>
      <c r="E1599" s="4" t="s">
        <v>2306</v>
      </c>
    </row>
    <row r="1600">
      <c r="A1600" s="3" t="s">
        <v>823</v>
      </c>
      <c r="B1600" s="4"/>
      <c r="C1600" s="4"/>
      <c r="D1600" s="4" t="b">
        <f t="shared" si="1"/>
        <v>1</v>
      </c>
      <c r="E1600" s="4" t="s">
        <v>823</v>
      </c>
    </row>
    <row r="1601">
      <c r="A1601" s="3" t="s">
        <v>1831</v>
      </c>
      <c r="B1601" s="3">
        <v>0.0</v>
      </c>
      <c r="C1601" s="3" t="s">
        <v>3</v>
      </c>
      <c r="D1601" s="4" t="b">
        <f t="shared" si="1"/>
        <v>0</v>
      </c>
      <c r="E1601" s="4" t="s">
        <v>1831</v>
      </c>
    </row>
    <row r="1602">
      <c r="A1602" s="3" t="s">
        <v>1832</v>
      </c>
      <c r="B1602" s="3">
        <v>2000.0</v>
      </c>
      <c r="C1602" s="4"/>
      <c r="D1602" s="4" t="b">
        <f t="shared" si="1"/>
        <v>0</v>
      </c>
      <c r="E1602" s="4" t="s">
        <v>1832</v>
      </c>
    </row>
    <row r="1603">
      <c r="A1603" s="3" t="s">
        <v>1833</v>
      </c>
      <c r="B1603" s="3">
        <v>10000.0</v>
      </c>
      <c r="C1603" s="3" t="s">
        <v>3</v>
      </c>
      <c r="D1603" s="4" t="b">
        <f t="shared" si="1"/>
        <v>0</v>
      </c>
      <c r="E1603" s="4" t="s">
        <v>1833</v>
      </c>
    </row>
    <row r="1604">
      <c r="A1604" s="3" t="s">
        <v>1834</v>
      </c>
      <c r="B1604" s="3">
        <v>0.0</v>
      </c>
      <c r="C1604" s="3" t="s">
        <v>29</v>
      </c>
      <c r="D1604" s="4" t="b">
        <f t="shared" si="1"/>
        <v>0</v>
      </c>
      <c r="E1604" s="4" t="s">
        <v>1834</v>
      </c>
    </row>
    <row r="1605">
      <c r="A1605" s="3" t="s">
        <v>1835</v>
      </c>
      <c r="B1605" s="3">
        <v>200.0</v>
      </c>
      <c r="C1605" s="3" t="s">
        <v>6</v>
      </c>
      <c r="D1605" s="4" t="b">
        <f t="shared" si="1"/>
        <v>0</v>
      </c>
      <c r="E1605" s="4" t="s">
        <v>1835</v>
      </c>
    </row>
    <row r="1606">
      <c r="A1606" s="3" t="s">
        <v>1836</v>
      </c>
      <c r="B1606" s="3">
        <v>1500.0</v>
      </c>
      <c r="C1606" s="4"/>
      <c r="D1606" s="4" t="b">
        <f t="shared" si="1"/>
        <v>0</v>
      </c>
      <c r="E1606" s="4" t="s">
        <v>1836</v>
      </c>
    </row>
    <row r="1607">
      <c r="A1607" s="3" t="s">
        <v>1837</v>
      </c>
      <c r="B1607" s="3">
        <v>0.0</v>
      </c>
      <c r="C1607" s="3" t="s">
        <v>3</v>
      </c>
      <c r="D1607" s="4" t="b">
        <f t="shared" si="1"/>
        <v>0</v>
      </c>
      <c r="E1607" s="4" t="s">
        <v>1837</v>
      </c>
    </row>
    <row r="1608">
      <c r="A1608" s="3" t="s">
        <v>1838</v>
      </c>
      <c r="B1608" s="3">
        <v>73900.0</v>
      </c>
      <c r="C1608" s="3" t="s">
        <v>3</v>
      </c>
      <c r="D1608" s="4" t="b">
        <f t="shared" si="1"/>
        <v>0</v>
      </c>
      <c r="E1608" s="4" t="s">
        <v>1838</v>
      </c>
    </row>
    <row r="1609">
      <c r="A1609" s="3" t="s">
        <v>1840</v>
      </c>
      <c r="B1609" s="3">
        <v>0.0</v>
      </c>
      <c r="C1609" s="3" t="s">
        <v>3</v>
      </c>
      <c r="D1609" s="4" t="b">
        <f t="shared" si="1"/>
        <v>0</v>
      </c>
      <c r="E1609" s="4" t="s">
        <v>1840</v>
      </c>
    </row>
    <row r="1610">
      <c r="A1610" s="3" t="s">
        <v>1841</v>
      </c>
      <c r="B1610" s="3">
        <v>0.0</v>
      </c>
      <c r="C1610" s="3" t="s">
        <v>29</v>
      </c>
      <c r="D1610" s="4" t="b">
        <f t="shared" si="1"/>
        <v>0</v>
      </c>
      <c r="E1610" s="4" t="s">
        <v>1841</v>
      </c>
    </row>
    <row r="1611">
      <c r="A1611" s="3" t="s">
        <v>1842</v>
      </c>
      <c r="B1611" s="3">
        <v>2500.0</v>
      </c>
      <c r="C1611" s="3" t="s">
        <v>3</v>
      </c>
      <c r="D1611" s="4" t="b">
        <f t="shared" si="1"/>
        <v>0</v>
      </c>
      <c r="E1611" s="4" t="s">
        <v>1842</v>
      </c>
    </row>
    <row r="1612">
      <c r="A1612" s="3" t="s">
        <v>1843</v>
      </c>
      <c r="B1612" s="3">
        <v>0.0</v>
      </c>
      <c r="C1612" s="3" t="s">
        <v>3</v>
      </c>
      <c r="D1612" s="4" t="b">
        <f t="shared" si="1"/>
        <v>0</v>
      </c>
      <c r="E1612" s="4" t="s">
        <v>1843</v>
      </c>
    </row>
    <row r="1613">
      <c r="A1613" s="3" t="s">
        <v>1844</v>
      </c>
      <c r="B1613" s="3">
        <v>0.0</v>
      </c>
      <c r="C1613" s="3" t="s">
        <v>32</v>
      </c>
      <c r="D1613" s="4" t="b">
        <f t="shared" si="1"/>
        <v>0</v>
      </c>
      <c r="E1613" s="4" t="s">
        <v>2307</v>
      </c>
    </row>
    <row r="1614">
      <c r="A1614" s="3" t="s">
        <v>1845</v>
      </c>
      <c r="B1614" s="4"/>
      <c r="C1614" s="4"/>
      <c r="D1614" s="4" t="b">
        <f t="shared" si="1"/>
        <v>1</v>
      </c>
      <c r="E1614" s="4" t="s">
        <v>1845</v>
      </c>
    </row>
    <row r="1615">
      <c r="A1615" s="3" t="s">
        <v>1846</v>
      </c>
      <c r="B1615" s="3">
        <v>0.0</v>
      </c>
      <c r="C1615" s="3" t="s">
        <v>6</v>
      </c>
      <c r="D1615" s="4" t="b">
        <f t="shared" si="1"/>
        <v>0</v>
      </c>
      <c r="E1615" s="4" t="s">
        <v>1846</v>
      </c>
    </row>
    <row r="1616">
      <c r="A1616" s="3" t="s">
        <v>1847</v>
      </c>
      <c r="B1616" s="3">
        <v>0.0</v>
      </c>
      <c r="C1616" s="3" t="s">
        <v>6</v>
      </c>
      <c r="D1616" s="4" t="b">
        <f t="shared" si="1"/>
        <v>0</v>
      </c>
      <c r="E1616" s="4" t="s">
        <v>1847</v>
      </c>
    </row>
    <row r="1617">
      <c r="A1617" s="3" t="s">
        <v>1848</v>
      </c>
      <c r="B1617" s="3">
        <v>1128560.0</v>
      </c>
      <c r="C1617" s="3" t="s">
        <v>37</v>
      </c>
      <c r="D1617" s="4" t="b">
        <f t="shared" si="1"/>
        <v>0</v>
      </c>
      <c r="E1617" s="4" t="s">
        <v>2308</v>
      </c>
    </row>
    <row r="1618">
      <c r="A1618" s="4"/>
      <c r="B1618" s="4"/>
      <c r="C1618" s="3" t="s">
        <v>38</v>
      </c>
      <c r="D1618" s="4" t="b">
        <f t="shared" si="1"/>
        <v>1</v>
      </c>
      <c r="E1618" s="4"/>
    </row>
    <row r="1619">
      <c r="A1619" s="3" t="s">
        <v>1850</v>
      </c>
      <c r="B1619" s="3">
        <v>10000.0</v>
      </c>
      <c r="C1619" s="3" t="s">
        <v>26</v>
      </c>
      <c r="D1619" s="4" t="b">
        <f t="shared" si="1"/>
        <v>0</v>
      </c>
      <c r="E1619" s="4" t="s">
        <v>1850</v>
      </c>
    </row>
    <row r="1620">
      <c r="A1620" s="3" t="s">
        <v>1851</v>
      </c>
      <c r="B1620" s="3">
        <v>819458.0</v>
      </c>
      <c r="C1620" s="3" t="s">
        <v>37</v>
      </c>
      <c r="D1620" s="4" t="b">
        <f t="shared" si="1"/>
        <v>0</v>
      </c>
      <c r="E1620" s="4" t="s">
        <v>2309</v>
      </c>
    </row>
    <row r="1621">
      <c r="A1621" s="4"/>
      <c r="B1621" s="4"/>
      <c r="C1621" s="3" t="s">
        <v>38</v>
      </c>
      <c r="D1621" s="4" t="b">
        <f t="shared" si="1"/>
        <v>1</v>
      </c>
      <c r="E1621" s="4"/>
    </row>
    <row r="1622">
      <c r="A1622" s="3" t="s">
        <v>1853</v>
      </c>
      <c r="B1622" s="3">
        <v>1000.0</v>
      </c>
      <c r="C1622" s="4"/>
      <c r="D1622" s="4" t="b">
        <f t="shared" si="1"/>
        <v>0</v>
      </c>
      <c r="E1622" s="4" t="s">
        <v>1853</v>
      </c>
    </row>
    <row r="1623">
      <c r="A1623" s="3" t="s">
        <v>1854</v>
      </c>
      <c r="B1623" s="3">
        <v>0.0</v>
      </c>
      <c r="C1623" s="3" t="s">
        <v>6</v>
      </c>
      <c r="D1623" s="4" t="b">
        <f t="shared" si="1"/>
        <v>0</v>
      </c>
      <c r="E1623" s="4" t="s">
        <v>1854</v>
      </c>
    </row>
    <row r="1624">
      <c r="A1624" s="3" t="s">
        <v>1855</v>
      </c>
      <c r="B1624" s="3">
        <v>0.0</v>
      </c>
      <c r="C1624" s="3" t="s">
        <v>29</v>
      </c>
      <c r="D1624" s="4" t="b">
        <f t="shared" si="1"/>
        <v>0</v>
      </c>
      <c r="E1624" s="4" t="s">
        <v>1855</v>
      </c>
    </row>
    <row r="1625">
      <c r="A1625" s="3" t="s">
        <v>1856</v>
      </c>
      <c r="B1625" s="3">
        <v>0.0</v>
      </c>
      <c r="C1625" s="3" t="s">
        <v>3</v>
      </c>
      <c r="D1625" s="4" t="b">
        <f t="shared" si="1"/>
        <v>0</v>
      </c>
      <c r="E1625" s="4" t="s">
        <v>2310</v>
      </c>
    </row>
    <row r="1626">
      <c r="A1626" s="3" t="s">
        <v>1857</v>
      </c>
      <c r="B1626" s="4"/>
      <c r="C1626" s="4"/>
      <c r="D1626" s="4" t="b">
        <f t="shared" si="1"/>
        <v>1</v>
      </c>
      <c r="E1626" s="4" t="s">
        <v>1857</v>
      </c>
    </row>
    <row r="1627">
      <c r="A1627" s="3" t="s">
        <v>1858</v>
      </c>
      <c r="B1627" s="3">
        <v>4000.0</v>
      </c>
      <c r="C1627" s="4"/>
      <c r="D1627" s="4" t="b">
        <f t="shared" si="1"/>
        <v>0</v>
      </c>
      <c r="E1627" s="4" t="s">
        <v>1858</v>
      </c>
    </row>
    <row r="1628">
      <c r="A1628" s="3" t="s">
        <v>1859</v>
      </c>
      <c r="B1628" s="3">
        <v>19000.0</v>
      </c>
      <c r="C1628" s="4"/>
      <c r="D1628" s="4" t="b">
        <f t="shared" si="1"/>
        <v>0</v>
      </c>
      <c r="E1628" s="4" t="s">
        <v>1859</v>
      </c>
    </row>
    <row r="1629">
      <c r="A1629" s="3" t="s">
        <v>1860</v>
      </c>
      <c r="B1629" s="3">
        <v>2000.0</v>
      </c>
      <c r="C1629" s="4"/>
      <c r="D1629" s="4" t="b">
        <f t="shared" si="1"/>
        <v>0</v>
      </c>
      <c r="E1629" s="4" t="s">
        <v>1860</v>
      </c>
    </row>
    <row r="1630">
      <c r="A1630" s="3" t="s">
        <v>1861</v>
      </c>
      <c r="B1630" s="3">
        <v>0.0</v>
      </c>
      <c r="C1630" s="3" t="s">
        <v>3</v>
      </c>
      <c r="D1630" s="4" t="b">
        <f t="shared" si="1"/>
        <v>0</v>
      </c>
      <c r="E1630" s="4" t="s">
        <v>1861</v>
      </c>
    </row>
    <row r="1631">
      <c r="A1631" s="3" t="s">
        <v>1862</v>
      </c>
      <c r="B1631" s="3">
        <v>2000.0</v>
      </c>
      <c r="C1631" s="3" t="s">
        <v>32</v>
      </c>
      <c r="D1631" s="4" t="b">
        <f t="shared" si="1"/>
        <v>0</v>
      </c>
      <c r="E1631" s="4" t="s">
        <v>1862</v>
      </c>
    </row>
    <row r="1632">
      <c r="A1632" s="3" t="s">
        <v>1863</v>
      </c>
      <c r="B1632" s="3">
        <v>0.0</v>
      </c>
      <c r="C1632" s="3" t="s">
        <v>6</v>
      </c>
      <c r="D1632" s="4" t="b">
        <f t="shared" si="1"/>
        <v>0</v>
      </c>
      <c r="E1632" s="4" t="s">
        <v>1863</v>
      </c>
    </row>
    <row r="1633">
      <c r="A1633" s="3" t="s">
        <v>1864</v>
      </c>
      <c r="B1633" s="3">
        <v>0.0</v>
      </c>
      <c r="C1633" s="3" t="s">
        <v>6</v>
      </c>
      <c r="D1633" s="4" t="b">
        <f t="shared" si="1"/>
        <v>0</v>
      </c>
      <c r="E1633" s="4" t="s">
        <v>1864</v>
      </c>
    </row>
    <row r="1634">
      <c r="A1634" s="3" t="s">
        <v>1865</v>
      </c>
      <c r="B1634" s="3">
        <v>0.0</v>
      </c>
      <c r="C1634" s="3" t="s">
        <v>32</v>
      </c>
      <c r="D1634" s="4" t="b">
        <f t="shared" si="1"/>
        <v>0</v>
      </c>
      <c r="E1634" s="4" t="s">
        <v>1865</v>
      </c>
    </row>
    <row r="1635">
      <c r="A1635" s="3" t="s">
        <v>1866</v>
      </c>
      <c r="B1635" s="3">
        <v>0.0</v>
      </c>
      <c r="C1635" s="3" t="s">
        <v>3</v>
      </c>
      <c r="D1635" s="4" t="b">
        <f t="shared" si="1"/>
        <v>0</v>
      </c>
      <c r="E1635" s="4" t="s">
        <v>1866</v>
      </c>
    </row>
    <row r="1636">
      <c r="A1636" s="3" t="s">
        <v>1867</v>
      </c>
      <c r="B1636" s="3">
        <v>0.0</v>
      </c>
      <c r="C1636" s="3" t="s">
        <v>3</v>
      </c>
      <c r="D1636" s="4" t="b">
        <f t="shared" si="1"/>
        <v>0</v>
      </c>
      <c r="E1636" s="4" t="s">
        <v>1867</v>
      </c>
    </row>
    <row r="1637">
      <c r="A1637" s="3" t="s">
        <v>1868</v>
      </c>
      <c r="B1637" s="3">
        <v>0.0</v>
      </c>
      <c r="C1637" s="3" t="s">
        <v>26</v>
      </c>
      <c r="D1637" s="4" t="b">
        <f t="shared" si="1"/>
        <v>0</v>
      </c>
      <c r="E1637" s="4" t="s">
        <v>1868</v>
      </c>
    </row>
    <row r="1638">
      <c r="A1638" s="3" t="s">
        <v>1869</v>
      </c>
      <c r="B1638" s="3">
        <v>0.0</v>
      </c>
      <c r="C1638" s="3" t="s">
        <v>3</v>
      </c>
      <c r="D1638" s="4" t="b">
        <f t="shared" si="1"/>
        <v>0</v>
      </c>
      <c r="E1638" s="4" t="s">
        <v>1869</v>
      </c>
    </row>
    <row r="1639">
      <c r="A1639" s="3" t="s">
        <v>1870</v>
      </c>
      <c r="B1639" s="3">
        <v>0.0</v>
      </c>
      <c r="C1639" s="3" t="s">
        <v>3</v>
      </c>
      <c r="D1639" s="4" t="b">
        <f t="shared" si="1"/>
        <v>0</v>
      </c>
      <c r="E1639" s="4" t="s">
        <v>1870</v>
      </c>
    </row>
    <row r="1640">
      <c r="A1640" s="3" t="s">
        <v>1871</v>
      </c>
      <c r="B1640" s="3">
        <v>0.0</v>
      </c>
      <c r="C1640" s="3" t="s">
        <v>3</v>
      </c>
      <c r="D1640" s="4" t="b">
        <f t="shared" si="1"/>
        <v>0</v>
      </c>
      <c r="E1640" s="4" t="s">
        <v>1871</v>
      </c>
    </row>
    <row r="1641">
      <c r="A1641" s="3" t="s">
        <v>1872</v>
      </c>
      <c r="B1641" s="3">
        <v>0.0</v>
      </c>
      <c r="C1641" s="3" t="s">
        <v>3</v>
      </c>
      <c r="D1641" s="4" t="b">
        <f t="shared" si="1"/>
        <v>0</v>
      </c>
      <c r="E1641" s="4" t="s">
        <v>2311</v>
      </c>
    </row>
    <row r="1642">
      <c r="A1642" s="3" t="s">
        <v>1873</v>
      </c>
      <c r="B1642" s="4"/>
      <c r="C1642" s="4"/>
      <c r="D1642" s="4" t="b">
        <f t="shared" si="1"/>
        <v>1</v>
      </c>
      <c r="E1642" s="4" t="s">
        <v>1873</v>
      </c>
    </row>
    <row r="1643">
      <c r="A1643" s="3" t="s">
        <v>1874</v>
      </c>
      <c r="B1643" s="3">
        <v>3000.0</v>
      </c>
      <c r="C1643" s="3" t="s">
        <v>29</v>
      </c>
      <c r="D1643" s="4" t="b">
        <f t="shared" si="1"/>
        <v>0</v>
      </c>
      <c r="E1643" s="4" t="s">
        <v>1874</v>
      </c>
    </row>
    <row r="1644">
      <c r="A1644" s="3" t="s">
        <v>1875</v>
      </c>
      <c r="B1644" s="3">
        <v>0.0</v>
      </c>
      <c r="C1644" s="3" t="s">
        <v>32</v>
      </c>
      <c r="D1644" s="4" t="b">
        <f t="shared" si="1"/>
        <v>0</v>
      </c>
      <c r="E1644" s="4" t="s">
        <v>1875</v>
      </c>
    </row>
    <row r="1645">
      <c r="A1645" s="3" t="s">
        <v>1876</v>
      </c>
      <c r="B1645" s="3">
        <v>0.0</v>
      </c>
      <c r="C1645" s="3" t="s">
        <v>3</v>
      </c>
      <c r="D1645" s="4" t="b">
        <f t="shared" si="1"/>
        <v>0</v>
      </c>
      <c r="E1645" s="4" t="s">
        <v>1876</v>
      </c>
    </row>
    <row r="1646">
      <c r="A1646" s="3" t="s">
        <v>1877</v>
      </c>
      <c r="B1646" s="3">
        <v>0.0</v>
      </c>
      <c r="C1646" s="3" t="s">
        <v>3</v>
      </c>
      <c r="D1646" s="4" t="b">
        <f t="shared" si="1"/>
        <v>0</v>
      </c>
      <c r="E1646" s="4" t="s">
        <v>1877</v>
      </c>
    </row>
    <row r="1647">
      <c r="A1647" s="3" t="s">
        <v>1878</v>
      </c>
      <c r="B1647" s="3">
        <v>0.0</v>
      </c>
      <c r="C1647" s="3" t="s">
        <v>3</v>
      </c>
      <c r="D1647" s="4" t="b">
        <f t="shared" si="1"/>
        <v>0</v>
      </c>
      <c r="E1647" s="4" t="s">
        <v>1878</v>
      </c>
    </row>
    <row r="1648">
      <c r="A1648" s="3" t="s">
        <v>1879</v>
      </c>
      <c r="B1648" s="3">
        <v>0.0</v>
      </c>
      <c r="C1648" s="3" t="s">
        <v>6</v>
      </c>
      <c r="D1648" s="4" t="b">
        <f t="shared" si="1"/>
        <v>0</v>
      </c>
      <c r="E1648" s="4" t="s">
        <v>1879</v>
      </c>
    </row>
    <row r="1649">
      <c r="A1649" s="3" t="s">
        <v>1880</v>
      </c>
      <c r="B1649" s="3">
        <v>10000.0</v>
      </c>
      <c r="C1649" s="3" t="s">
        <v>3</v>
      </c>
      <c r="D1649" s="4" t="b">
        <f t="shared" si="1"/>
        <v>0</v>
      </c>
      <c r="E1649" s="4" t="s">
        <v>1880</v>
      </c>
    </row>
    <row r="1650">
      <c r="A1650" s="3" t="s">
        <v>1881</v>
      </c>
      <c r="B1650" s="3">
        <v>0.0</v>
      </c>
      <c r="C1650" s="3" t="s">
        <v>3</v>
      </c>
      <c r="D1650" s="4" t="b">
        <f t="shared" si="1"/>
        <v>0</v>
      </c>
      <c r="E1650" s="4" t="s">
        <v>1881</v>
      </c>
    </row>
    <row r="1651">
      <c r="A1651" s="3" t="s">
        <v>1882</v>
      </c>
      <c r="B1651" s="3">
        <v>0.0</v>
      </c>
      <c r="C1651" s="3" t="s">
        <v>32</v>
      </c>
      <c r="D1651" s="4" t="b">
        <f t="shared" si="1"/>
        <v>0</v>
      </c>
      <c r="E1651" s="4" t="s">
        <v>1882</v>
      </c>
    </row>
    <row r="1652">
      <c r="A1652" s="3" t="s">
        <v>1883</v>
      </c>
      <c r="B1652" s="3">
        <v>0.0</v>
      </c>
      <c r="C1652" s="3" t="s">
        <v>3</v>
      </c>
      <c r="D1652" s="4" t="b">
        <f t="shared" si="1"/>
        <v>0</v>
      </c>
      <c r="E1652" s="4" t="s">
        <v>1883</v>
      </c>
    </row>
    <row r="1653">
      <c r="A1653" s="3" t="s">
        <v>1884</v>
      </c>
      <c r="B1653" s="3">
        <v>52250.0</v>
      </c>
      <c r="C1653" s="4"/>
      <c r="D1653" s="4" t="b">
        <f t="shared" si="1"/>
        <v>0</v>
      </c>
      <c r="E1653" s="4" t="s">
        <v>1884</v>
      </c>
    </row>
    <row r="1654">
      <c r="A1654" s="3" t="s">
        <v>1886</v>
      </c>
      <c r="B1654" s="3">
        <v>2000.0</v>
      </c>
      <c r="C1654" s="4"/>
      <c r="D1654" s="4" t="b">
        <f t="shared" si="1"/>
        <v>0</v>
      </c>
      <c r="E1654" s="4" t="s">
        <v>1886</v>
      </c>
    </row>
    <row r="1655">
      <c r="A1655" s="3" t="s">
        <v>1887</v>
      </c>
      <c r="B1655" s="3">
        <v>0.0</v>
      </c>
      <c r="C1655" s="3" t="s">
        <v>6</v>
      </c>
      <c r="D1655" s="4" t="b">
        <f t="shared" si="1"/>
        <v>0</v>
      </c>
      <c r="E1655" s="4" t="s">
        <v>1887</v>
      </c>
    </row>
    <row r="1656">
      <c r="A1656" s="3" t="s">
        <v>1888</v>
      </c>
      <c r="B1656" s="3">
        <v>1646816.0</v>
      </c>
      <c r="C1656" s="3" t="s">
        <v>16</v>
      </c>
      <c r="D1656" s="4" t="b">
        <f t="shared" si="1"/>
        <v>0</v>
      </c>
      <c r="E1656" s="4" t="s">
        <v>1888</v>
      </c>
    </row>
    <row r="1657">
      <c r="A1657" s="3" t="s">
        <v>1890</v>
      </c>
      <c r="B1657" s="3">
        <v>8000.0</v>
      </c>
      <c r="C1657" s="3" t="s">
        <v>3</v>
      </c>
      <c r="D1657" s="4" t="b">
        <f t="shared" si="1"/>
        <v>0</v>
      </c>
      <c r="E1657" s="4" t="s">
        <v>1890</v>
      </c>
    </row>
    <row r="1658">
      <c r="A1658" s="3" t="s">
        <v>1891</v>
      </c>
      <c r="B1658" s="3">
        <v>0.0</v>
      </c>
      <c r="C1658" s="3" t="s">
        <v>3</v>
      </c>
      <c r="D1658" s="4" t="b">
        <f t="shared" si="1"/>
        <v>0</v>
      </c>
      <c r="E1658" s="4" t="s">
        <v>1891</v>
      </c>
    </row>
    <row r="1659">
      <c r="A1659" s="3" t="s">
        <v>1892</v>
      </c>
      <c r="B1659" s="3">
        <v>0.0</v>
      </c>
      <c r="C1659" s="3" t="s">
        <v>3</v>
      </c>
      <c r="D1659" s="4" t="b">
        <f t="shared" si="1"/>
        <v>0</v>
      </c>
      <c r="E1659" s="4" t="s">
        <v>1892</v>
      </c>
    </row>
    <row r="1660">
      <c r="A1660" s="3" t="s">
        <v>1893</v>
      </c>
      <c r="B1660" s="3">
        <v>0.0</v>
      </c>
      <c r="C1660" s="3" t="s">
        <v>3</v>
      </c>
      <c r="D1660" s="4" t="b">
        <f t="shared" si="1"/>
        <v>0</v>
      </c>
      <c r="E1660" s="4" t="s">
        <v>1893</v>
      </c>
    </row>
    <row r="1661">
      <c r="A1661" s="3" t="s">
        <v>1894</v>
      </c>
      <c r="B1661" s="3">
        <v>0.0</v>
      </c>
      <c r="C1661" s="3" t="s">
        <v>3</v>
      </c>
      <c r="D1661" s="4" t="b">
        <f t="shared" si="1"/>
        <v>0</v>
      </c>
      <c r="E1661" s="4" t="s">
        <v>1894</v>
      </c>
    </row>
    <row r="1662">
      <c r="A1662" s="3" t="s">
        <v>1895</v>
      </c>
      <c r="B1662" s="3">
        <v>3000.0</v>
      </c>
      <c r="C1662" s="3" t="s">
        <v>1651</v>
      </c>
      <c r="D1662" s="4" t="b">
        <f t="shared" si="1"/>
        <v>0</v>
      </c>
      <c r="E1662" s="4" t="s">
        <v>1895</v>
      </c>
    </row>
    <row r="1663">
      <c r="A1663" s="3" t="s">
        <v>1896</v>
      </c>
      <c r="B1663" s="3">
        <v>6500.0</v>
      </c>
      <c r="C1663" s="4"/>
      <c r="D1663" s="4" t="b">
        <f t="shared" si="1"/>
        <v>0</v>
      </c>
      <c r="E1663" s="4" t="s">
        <v>1896</v>
      </c>
    </row>
    <row r="1664">
      <c r="A1664" s="3" t="s">
        <v>1897</v>
      </c>
      <c r="B1664" s="3">
        <v>2200.0</v>
      </c>
      <c r="C1664" s="3" t="s">
        <v>3</v>
      </c>
      <c r="D1664" s="4" t="b">
        <f t="shared" si="1"/>
        <v>0</v>
      </c>
      <c r="E1664" s="4" t="s">
        <v>1897</v>
      </c>
    </row>
    <row r="1665">
      <c r="A1665" s="3" t="s">
        <v>1898</v>
      </c>
      <c r="B1665" s="3">
        <v>0.0</v>
      </c>
      <c r="C1665" s="3" t="s">
        <v>3</v>
      </c>
      <c r="D1665" s="4" t="b">
        <f t="shared" si="1"/>
        <v>0</v>
      </c>
      <c r="E1665" s="4" t="s">
        <v>1898</v>
      </c>
    </row>
    <row r="1666">
      <c r="A1666" s="3" t="s">
        <v>1899</v>
      </c>
      <c r="B1666" s="3">
        <v>1000.0</v>
      </c>
      <c r="C1666" s="3" t="s">
        <v>3</v>
      </c>
      <c r="D1666" s="4" t="b">
        <f t="shared" si="1"/>
        <v>0</v>
      </c>
      <c r="E1666" s="4" t="s">
        <v>1899</v>
      </c>
    </row>
    <row r="1667">
      <c r="A1667" s="3" t="s">
        <v>1900</v>
      </c>
      <c r="B1667" s="3">
        <v>0.0</v>
      </c>
      <c r="C1667" s="3" t="s">
        <v>3</v>
      </c>
      <c r="D1667" s="4" t="b">
        <f t="shared" si="1"/>
        <v>0</v>
      </c>
      <c r="E1667" s="4" t="s">
        <v>1900</v>
      </c>
    </row>
    <row r="1668">
      <c r="A1668" s="3" t="s">
        <v>1901</v>
      </c>
      <c r="B1668" s="3">
        <v>0.0</v>
      </c>
      <c r="C1668" s="3" t="s">
        <v>3</v>
      </c>
      <c r="D1668" s="4" t="b">
        <f t="shared" si="1"/>
        <v>0</v>
      </c>
      <c r="E1668" s="4" t="s">
        <v>1901</v>
      </c>
    </row>
    <row r="1669">
      <c r="A1669" s="3" t="s">
        <v>1902</v>
      </c>
      <c r="B1669" s="3">
        <v>25000.0</v>
      </c>
      <c r="C1669" s="4"/>
      <c r="D1669" s="4" t="b">
        <f t="shared" si="1"/>
        <v>0</v>
      </c>
      <c r="E1669" s="4" t="s">
        <v>1902</v>
      </c>
    </row>
    <row r="1670">
      <c r="A1670" s="3" t="s">
        <v>1903</v>
      </c>
      <c r="B1670" s="3">
        <v>32987.75</v>
      </c>
      <c r="C1670" s="3" t="s">
        <v>280</v>
      </c>
      <c r="D1670" s="4" t="b">
        <f t="shared" si="1"/>
        <v>0</v>
      </c>
      <c r="E1670" s="4" t="s">
        <v>1903</v>
      </c>
    </row>
    <row r="1671">
      <c r="A1671" s="3" t="s">
        <v>1905</v>
      </c>
      <c r="B1671" s="3">
        <v>0.0</v>
      </c>
      <c r="C1671" s="3" t="s">
        <v>3</v>
      </c>
      <c r="D1671" s="4" t="b">
        <f t="shared" si="1"/>
        <v>0</v>
      </c>
      <c r="E1671" s="4" t="s">
        <v>1905</v>
      </c>
    </row>
    <row r="1672">
      <c r="A1672" s="3" t="s">
        <v>1906</v>
      </c>
      <c r="B1672" s="3">
        <v>0.0</v>
      </c>
      <c r="C1672" s="3" t="s">
        <v>32</v>
      </c>
      <c r="D1672" s="4" t="b">
        <f t="shared" si="1"/>
        <v>0</v>
      </c>
      <c r="E1672" s="4" t="s">
        <v>1906</v>
      </c>
    </row>
    <row r="1673">
      <c r="A1673" s="3" t="s">
        <v>1907</v>
      </c>
      <c r="B1673" s="3">
        <v>12000.0</v>
      </c>
      <c r="C1673" s="4"/>
      <c r="D1673" s="4" t="b">
        <f t="shared" si="1"/>
        <v>0</v>
      </c>
      <c r="E1673" s="4" t="s">
        <v>1907</v>
      </c>
    </row>
    <row r="1674">
      <c r="A1674" s="3" t="s">
        <v>1908</v>
      </c>
      <c r="B1674" s="3">
        <v>0.0</v>
      </c>
      <c r="C1674" s="3" t="s">
        <v>3</v>
      </c>
      <c r="D1674" s="4" t="b">
        <f t="shared" si="1"/>
        <v>0</v>
      </c>
      <c r="E1674" s="4" t="s">
        <v>1908</v>
      </c>
    </row>
    <row r="1675">
      <c r="A1675" s="3" t="s">
        <v>1909</v>
      </c>
      <c r="B1675" s="3">
        <v>500.0</v>
      </c>
      <c r="C1675" s="4"/>
      <c r="D1675" s="4" t="b">
        <f t="shared" si="1"/>
        <v>0</v>
      </c>
      <c r="E1675" s="4" t="s">
        <v>1909</v>
      </c>
    </row>
    <row r="1676">
      <c r="A1676" s="3" t="s">
        <v>1910</v>
      </c>
      <c r="B1676" s="3">
        <v>500.0</v>
      </c>
      <c r="C1676" s="4"/>
      <c r="D1676" s="4" t="b">
        <f t="shared" si="1"/>
        <v>0</v>
      </c>
      <c r="E1676" s="4" t="s">
        <v>1910</v>
      </c>
    </row>
    <row r="1677">
      <c r="A1677" s="3" t="s">
        <v>1911</v>
      </c>
      <c r="B1677" s="3">
        <v>6500.0</v>
      </c>
      <c r="C1677" s="4"/>
      <c r="D1677" s="4" t="b">
        <f t="shared" si="1"/>
        <v>0</v>
      </c>
      <c r="E1677" s="4" t="s">
        <v>1911</v>
      </c>
    </row>
    <row r="1678">
      <c r="A1678" s="3" t="s">
        <v>1912</v>
      </c>
      <c r="B1678" s="3">
        <v>400.0</v>
      </c>
      <c r="C1678" s="4"/>
      <c r="D1678" s="4" t="b">
        <f t="shared" si="1"/>
        <v>0</v>
      </c>
      <c r="E1678" s="4" t="s">
        <v>1912</v>
      </c>
    </row>
    <row r="1679">
      <c r="A1679" s="3" t="s">
        <v>1913</v>
      </c>
      <c r="B1679" s="3">
        <v>0.0</v>
      </c>
      <c r="C1679" s="3" t="s">
        <v>3</v>
      </c>
      <c r="D1679" s="4" t="b">
        <f t="shared" si="1"/>
        <v>0</v>
      </c>
      <c r="E1679" s="4" t="s">
        <v>1913</v>
      </c>
    </row>
    <row r="1680">
      <c r="A1680" s="3" t="s">
        <v>1914</v>
      </c>
      <c r="B1680" s="3">
        <v>0.0</v>
      </c>
      <c r="C1680" s="3" t="s">
        <v>3</v>
      </c>
      <c r="D1680" s="4" t="b">
        <f t="shared" si="1"/>
        <v>0</v>
      </c>
      <c r="E1680" s="4" t="s">
        <v>1914</v>
      </c>
    </row>
    <row r="1681">
      <c r="A1681" s="3" t="s">
        <v>1915</v>
      </c>
      <c r="B1681" s="3">
        <v>0.0</v>
      </c>
      <c r="C1681" s="3" t="s">
        <v>3</v>
      </c>
      <c r="D1681" s="4" t="b">
        <f t="shared" si="1"/>
        <v>0</v>
      </c>
      <c r="E1681" s="4" t="s">
        <v>1915</v>
      </c>
    </row>
    <row r="1682">
      <c r="A1682" s="3" t="s">
        <v>1916</v>
      </c>
      <c r="B1682" s="3">
        <v>0.0</v>
      </c>
      <c r="C1682" s="3" t="s">
        <v>3</v>
      </c>
      <c r="D1682" s="4" t="b">
        <f t="shared" si="1"/>
        <v>0</v>
      </c>
      <c r="E1682" s="4" t="s">
        <v>1916</v>
      </c>
    </row>
    <row r="1683">
      <c r="A1683" s="3" t="s">
        <v>1917</v>
      </c>
      <c r="B1683" s="3">
        <v>0.0</v>
      </c>
      <c r="C1683" s="3" t="s">
        <v>3</v>
      </c>
      <c r="D1683" s="4" t="b">
        <f t="shared" si="1"/>
        <v>0</v>
      </c>
      <c r="E1683" s="4" t="s">
        <v>1917</v>
      </c>
    </row>
    <row r="1684">
      <c r="A1684" s="3" t="s">
        <v>1918</v>
      </c>
      <c r="B1684" s="3">
        <v>83680.0</v>
      </c>
      <c r="C1684" s="3" t="s">
        <v>26</v>
      </c>
      <c r="D1684" s="4" t="b">
        <f t="shared" si="1"/>
        <v>0</v>
      </c>
      <c r="E1684" s="4" t="s">
        <v>1918</v>
      </c>
    </row>
    <row r="1685">
      <c r="A1685" s="3" t="s">
        <v>1920</v>
      </c>
      <c r="B1685" s="3">
        <v>7800.0</v>
      </c>
      <c r="C1685" s="4"/>
      <c r="D1685" s="4" t="b">
        <f t="shared" si="1"/>
        <v>0</v>
      </c>
      <c r="E1685" s="4" t="s">
        <v>2312</v>
      </c>
    </row>
    <row r="1686">
      <c r="A1686" s="3" t="s">
        <v>1921</v>
      </c>
      <c r="B1686" s="4"/>
      <c r="C1686" s="4"/>
      <c r="D1686" s="4" t="b">
        <f t="shared" si="1"/>
        <v>1</v>
      </c>
      <c r="E1686" s="4" t="s">
        <v>1921</v>
      </c>
    </row>
    <row r="1687">
      <c r="A1687" s="3" t="s">
        <v>1922</v>
      </c>
      <c r="B1687" s="3">
        <v>0.0</v>
      </c>
      <c r="C1687" s="3" t="s">
        <v>29</v>
      </c>
      <c r="D1687" s="4" t="b">
        <f t="shared" si="1"/>
        <v>0</v>
      </c>
      <c r="E1687" s="4" t="s">
        <v>1922</v>
      </c>
    </row>
    <row r="1688">
      <c r="A1688" s="3" t="s">
        <v>1923</v>
      </c>
      <c r="B1688" s="3">
        <v>0.0</v>
      </c>
      <c r="C1688" s="3" t="s">
        <v>6</v>
      </c>
      <c r="D1688" s="4" t="b">
        <f t="shared" si="1"/>
        <v>0</v>
      </c>
      <c r="E1688" s="4" t="s">
        <v>1923</v>
      </c>
    </row>
    <row r="1689">
      <c r="A1689" s="3" t="s">
        <v>1924</v>
      </c>
      <c r="B1689" s="3">
        <v>6800.0</v>
      </c>
      <c r="C1689" s="4"/>
      <c r="D1689" s="4" t="b">
        <f t="shared" si="1"/>
        <v>0</v>
      </c>
      <c r="E1689" s="4" t="s">
        <v>2313</v>
      </c>
    </row>
    <row r="1690">
      <c r="A1690" s="3" t="s">
        <v>1926</v>
      </c>
      <c r="B1690" s="4"/>
      <c r="C1690" s="4"/>
      <c r="D1690" s="4" t="b">
        <f t="shared" si="1"/>
        <v>1</v>
      </c>
      <c r="E1690" s="4" t="s">
        <v>1926</v>
      </c>
    </row>
    <row r="1691">
      <c r="A1691" s="3" t="s">
        <v>1927</v>
      </c>
      <c r="B1691" s="3">
        <v>2500.0</v>
      </c>
      <c r="C1691" s="4"/>
      <c r="D1691" s="4" t="b">
        <f t="shared" si="1"/>
        <v>0</v>
      </c>
      <c r="E1691" s="4" t="s">
        <v>2314</v>
      </c>
    </row>
    <row r="1692">
      <c r="A1692" s="3" t="s">
        <v>1928</v>
      </c>
      <c r="B1692" s="4"/>
      <c r="C1692" s="4"/>
      <c r="D1692" s="4" t="b">
        <f t="shared" si="1"/>
        <v>1</v>
      </c>
      <c r="E1692" s="4" t="s">
        <v>1928</v>
      </c>
    </row>
    <row r="1693">
      <c r="A1693" s="3" t="s">
        <v>1929</v>
      </c>
      <c r="B1693" s="3">
        <v>8000.0</v>
      </c>
      <c r="C1693" s="4"/>
      <c r="D1693" s="4" t="b">
        <f t="shared" si="1"/>
        <v>0</v>
      </c>
      <c r="E1693" s="4" t="s">
        <v>2315</v>
      </c>
    </row>
    <row r="1694">
      <c r="A1694" s="3" t="s">
        <v>1930</v>
      </c>
      <c r="B1694" s="4"/>
      <c r="C1694" s="4"/>
      <c r="D1694" s="4" t="b">
        <f t="shared" si="1"/>
        <v>1</v>
      </c>
      <c r="E1694" s="4" t="s">
        <v>1930</v>
      </c>
    </row>
    <row r="1695">
      <c r="A1695" s="3" t="s">
        <v>1931</v>
      </c>
      <c r="B1695" s="3">
        <v>1500.0</v>
      </c>
      <c r="C1695" s="3" t="s">
        <v>3</v>
      </c>
      <c r="D1695" s="4" t="b">
        <f t="shared" si="1"/>
        <v>0</v>
      </c>
      <c r="E1695" s="4" t="s">
        <v>1931</v>
      </c>
    </row>
    <row r="1696">
      <c r="A1696" s="3" t="s">
        <v>1932</v>
      </c>
      <c r="B1696" s="3">
        <v>15000.0</v>
      </c>
      <c r="C1696" s="4"/>
      <c r="D1696" s="4" t="b">
        <f t="shared" si="1"/>
        <v>0</v>
      </c>
      <c r="E1696" s="4" t="s">
        <v>1932</v>
      </c>
    </row>
    <row r="1697">
      <c r="A1697" s="3" t="s">
        <v>1933</v>
      </c>
      <c r="B1697" s="3">
        <v>400.0</v>
      </c>
      <c r="C1697" s="4"/>
      <c r="D1697" s="4" t="b">
        <f t="shared" si="1"/>
        <v>0</v>
      </c>
      <c r="E1697" s="4" t="s">
        <v>2316</v>
      </c>
    </row>
    <row r="1698">
      <c r="A1698" s="3" t="s">
        <v>1934</v>
      </c>
      <c r="B1698" s="4"/>
      <c r="C1698" s="4"/>
      <c r="D1698" s="4" t="b">
        <f t="shared" si="1"/>
        <v>1</v>
      </c>
      <c r="E1698" s="4" t="s">
        <v>1934</v>
      </c>
    </row>
    <row r="1699">
      <c r="A1699" s="3" t="s">
        <v>1935</v>
      </c>
      <c r="B1699" s="3">
        <v>500.0</v>
      </c>
      <c r="C1699" s="4"/>
      <c r="D1699" s="4" t="b">
        <f t="shared" si="1"/>
        <v>0</v>
      </c>
      <c r="E1699" s="4" t="s">
        <v>2317</v>
      </c>
    </row>
    <row r="1700">
      <c r="A1700" s="3">
        <v>33.0</v>
      </c>
      <c r="B1700" s="4"/>
      <c r="C1700" s="4"/>
      <c r="D1700" s="4" t="b">
        <f t="shared" si="1"/>
        <v>1</v>
      </c>
      <c r="E1700" s="4">
        <v>33.0</v>
      </c>
    </row>
    <row r="1701">
      <c r="A1701" s="3" t="s">
        <v>1936</v>
      </c>
      <c r="B1701" s="3">
        <v>0.0</v>
      </c>
      <c r="C1701" s="3" t="s">
        <v>6</v>
      </c>
      <c r="D1701" s="4" t="b">
        <f t="shared" si="1"/>
        <v>0</v>
      </c>
      <c r="E1701" s="4" t="s">
        <v>1936</v>
      </c>
    </row>
    <row r="1702">
      <c r="A1702" s="3" t="s">
        <v>1937</v>
      </c>
      <c r="B1702" s="3">
        <v>0.0</v>
      </c>
      <c r="C1702" s="3" t="s">
        <v>3</v>
      </c>
      <c r="D1702" s="4" t="b">
        <f t="shared" si="1"/>
        <v>0</v>
      </c>
      <c r="E1702" s="4" t="s">
        <v>1937</v>
      </c>
    </row>
    <row r="1703">
      <c r="A1703" s="3" t="s">
        <v>1938</v>
      </c>
      <c r="B1703" s="3">
        <v>6100.0</v>
      </c>
      <c r="C1703" s="4"/>
      <c r="D1703" s="4" t="b">
        <f t="shared" si="1"/>
        <v>0</v>
      </c>
      <c r="E1703" s="4" t="s">
        <v>1938</v>
      </c>
    </row>
    <row r="1704">
      <c r="A1704" s="3" t="s">
        <v>1940</v>
      </c>
      <c r="B1704" s="3">
        <v>0.0</v>
      </c>
      <c r="C1704" s="3" t="s">
        <v>6</v>
      </c>
      <c r="D1704" s="4" t="b">
        <f t="shared" si="1"/>
        <v>0</v>
      </c>
      <c r="E1704" s="4" t="s">
        <v>2318</v>
      </c>
    </row>
    <row r="1705">
      <c r="A1705" s="3" t="s">
        <v>823</v>
      </c>
      <c r="B1705" s="4"/>
      <c r="C1705" s="4"/>
      <c r="D1705" s="4" t="b">
        <f t="shared" si="1"/>
        <v>1</v>
      </c>
      <c r="E1705" s="4" t="s">
        <v>823</v>
      </c>
    </row>
    <row r="1706">
      <c r="A1706" s="3" t="s">
        <v>1941</v>
      </c>
      <c r="B1706" s="3">
        <v>0.0</v>
      </c>
      <c r="C1706" s="3" t="s">
        <v>3</v>
      </c>
      <c r="D1706" s="4" t="b">
        <f t="shared" si="1"/>
        <v>0</v>
      </c>
      <c r="E1706" s="4" t="s">
        <v>2319</v>
      </c>
    </row>
    <row r="1707">
      <c r="A1707" s="3" t="s">
        <v>1942</v>
      </c>
      <c r="B1707" s="4"/>
      <c r="C1707" s="4"/>
      <c r="D1707" s="4" t="b">
        <f t="shared" si="1"/>
        <v>1</v>
      </c>
      <c r="E1707" s="4" t="s">
        <v>1942</v>
      </c>
    </row>
    <row r="1708">
      <c r="A1708" s="3" t="s">
        <v>1943</v>
      </c>
      <c r="B1708" s="3">
        <v>2000.0</v>
      </c>
      <c r="C1708" s="4"/>
      <c r="D1708" s="4" t="b">
        <f t="shared" si="1"/>
        <v>0</v>
      </c>
      <c r="E1708" s="4" t="s">
        <v>1943</v>
      </c>
    </row>
    <row r="1709">
      <c r="A1709" s="3" t="s">
        <v>1944</v>
      </c>
      <c r="B1709" s="3">
        <v>500.0</v>
      </c>
      <c r="C1709" s="4"/>
      <c r="D1709" s="4" t="b">
        <f t="shared" si="1"/>
        <v>0</v>
      </c>
      <c r="E1709" s="4" t="s">
        <v>1944</v>
      </c>
    </row>
    <row r="1710">
      <c r="A1710" s="3" t="s">
        <v>1945</v>
      </c>
      <c r="B1710" s="3">
        <v>0.0</v>
      </c>
      <c r="C1710" s="3" t="s">
        <v>3</v>
      </c>
      <c r="D1710" s="4" t="b">
        <f t="shared" si="1"/>
        <v>0</v>
      </c>
      <c r="E1710" s="4" t="s">
        <v>2320</v>
      </c>
    </row>
    <row r="1711">
      <c r="A1711" s="3" t="s">
        <v>1946</v>
      </c>
      <c r="B1711" s="4"/>
      <c r="C1711" s="4"/>
      <c r="D1711" s="4" t="b">
        <f t="shared" si="1"/>
        <v>1</v>
      </c>
      <c r="E1711" s="4" t="s">
        <v>1946</v>
      </c>
    </row>
    <row r="1712">
      <c r="A1712" s="3" t="s">
        <v>1947</v>
      </c>
      <c r="B1712" s="3">
        <v>400.0</v>
      </c>
      <c r="C1712" s="3" t="s">
        <v>6</v>
      </c>
      <c r="D1712" s="4" t="b">
        <f t="shared" si="1"/>
        <v>0</v>
      </c>
      <c r="E1712" s="4" t="s">
        <v>2321</v>
      </c>
    </row>
    <row r="1713">
      <c r="A1713" s="3" t="s">
        <v>1948</v>
      </c>
      <c r="B1713" s="4"/>
      <c r="C1713" s="4"/>
      <c r="D1713" s="4" t="b">
        <f t="shared" si="1"/>
        <v>1</v>
      </c>
      <c r="E1713" s="4" t="s">
        <v>1948</v>
      </c>
    </row>
    <row r="1714">
      <c r="A1714" s="3" t="s">
        <v>1949</v>
      </c>
      <c r="B1714" s="3">
        <v>700.0</v>
      </c>
      <c r="C1714" s="3" t="s">
        <v>3</v>
      </c>
      <c r="D1714" s="4" t="b">
        <f t="shared" si="1"/>
        <v>0</v>
      </c>
      <c r="E1714" s="4" t="s">
        <v>2322</v>
      </c>
    </row>
    <row r="1715">
      <c r="A1715" s="3" t="s">
        <v>1950</v>
      </c>
      <c r="B1715" s="4"/>
      <c r="C1715" s="4"/>
      <c r="D1715" s="4" t="b">
        <f t="shared" si="1"/>
        <v>1</v>
      </c>
      <c r="E1715" s="4" t="s">
        <v>1950</v>
      </c>
    </row>
    <row r="1716">
      <c r="A1716" s="3" t="s">
        <v>1951</v>
      </c>
      <c r="B1716" s="3">
        <v>0.0</v>
      </c>
      <c r="C1716" s="3" t="s">
        <v>484</v>
      </c>
      <c r="D1716" s="4" t="b">
        <f t="shared" si="1"/>
        <v>0</v>
      </c>
      <c r="E1716" s="4" t="s">
        <v>1951</v>
      </c>
    </row>
    <row r="1717">
      <c r="A1717" s="3" t="s">
        <v>1952</v>
      </c>
      <c r="B1717" s="3">
        <v>900.0</v>
      </c>
      <c r="C1717" s="3" t="s">
        <v>3</v>
      </c>
      <c r="D1717" s="4" t="b">
        <f t="shared" si="1"/>
        <v>0</v>
      </c>
      <c r="E1717" s="4" t="s">
        <v>2323</v>
      </c>
    </row>
    <row r="1718">
      <c r="A1718" s="3" t="s">
        <v>1953</v>
      </c>
      <c r="B1718" s="4"/>
      <c r="C1718" s="4"/>
      <c r="D1718" s="4" t="b">
        <f t="shared" si="1"/>
        <v>1</v>
      </c>
      <c r="E1718" s="4" t="s">
        <v>1953</v>
      </c>
    </row>
    <row r="1719">
      <c r="A1719" s="3" t="s">
        <v>1954</v>
      </c>
      <c r="B1719" s="3">
        <v>1500.0</v>
      </c>
      <c r="C1719" s="3" t="s">
        <v>3</v>
      </c>
      <c r="D1719" s="4" t="b">
        <f t="shared" si="1"/>
        <v>0</v>
      </c>
      <c r="E1719" s="4" t="s">
        <v>2324</v>
      </c>
    </row>
    <row r="1720">
      <c r="A1720" s="3" t="s">
        <v>1955</v>
      </c>
      <c r="B1720" s="4"/>
      <c r="C1720" s="4"/>
      <c r="D1720" s="4" t="b">
        <f t="shared" si="1"/>
        <v>1</v>
      </c>
      <c r="E1720" s="4" t="s">
        <v>1955</v>
      </c>
    </row>
    <row r="1721">
      <c r="A1721" s="3" t="s">
        <v>1956</v>
      </c>
      <c r="B1721" s="3">
        <v>0.0</v>
      </c>
      <c r="C1721" s="3" t="s">
        <v>3</v>
      </c>
      <c r="D1721" s="4" t="b">
        <f t="shared" si="1"/>
        <v>0</v>
      </c>
      <c r="E1721" s="4" t="s">
        <v>2325</v>
      </c>
    </row>
    <row r="1722">
      <c r="A1722" s="3" t="s">
        <v>353</v>
      </c>
      <c r="B1722" s="4"/>
      <c r="C1722" s="4"/>
      <c r="D1722" s="4" t="b">
        <f t="shared" si="1"/>
        <v>1</v>
      </c>
      <c r="E1722" s="4" t="s">
        <v>353</v>
      </c>
    </row>
    <row r="1723">
      <c r="A1723" s="3" t="s">
        <v>1957</v>
      </c>
      <c r="B1723" s="3">
        <v>879983.0</v>
      </c>
      <c r="C1723" s="3" t="s">
        <v>37</v>
      </c>
      <c r="D1723" s="4" t="b">
        <f t="shared" si="1"/>
        <v>0</v>
      </c>
      <c r="E1723" s="4" t="s">
        <v>2326</v>
      </c>
    </row>
    <row r="1724">
      <c r="A1724" s="4"/>
      <c r="B1724" s="4"/>
      <c r="C1724" s="3" t="s">
        <v>38</v>
      </c>
      <c r="D1724" s="4" t="b">
        <f t="shared" si="1"/>
        <v>1</v>
      </c>
      <c r="E1724" s="4"/>
    </row>
    <row r="1725">
      <c r="A1725" s="3" t="s">
        <v>1959</v>
      </c>
      <c r="B1725" s="3">
        <v>1537650.0</v>
      </c>
      <c r="C1725" s="3" t="s">
        <v>37</v>
      </c>
      <c r="D1725" s="4" t="b">
        <f t="shared" si="1"/>
        <v>0</v>
      </c>
      <c r="E1725" s="4" t="s">
        <v>2327</v>
      </c>
    </row>
    <row r="1726">
      <c r="A1726" s="4"/>
      <c r="B1726" s="4"/>
      <c r="C1726" s="3" t="s">
        <v>38</v>
      </c>
      <c r="D1726" s="4" t="b">
        <f t="shared" si="1"/>
        <v>1</v>
      </c>
      <c r="E1726" s="4"/>
    </row>
    <row r="1727">
      <c r="A1727" s="3" t="s">
        <v>1961</v>
      </c>
      <c r="B1727" s="3">
        <v>19500.0</v>
      </c>
      <c r="C1727" s="3" t="s">
        <v>6</v>
      </c>
      <c r="D1727" s="4" t="b">
        <f t="shared" si="1"/>
        <v>0</v>
      </c>
      <c r="E1727" s="4" t="s">
        <v>2328</v>
      </c>
    </row>
    <row r="1728">
      <c r="A1728" s="3" t="s">
        <v>1963</v>
      </c>
      <c r="B1728" s="4"/>
      <c r="C1728" s="4"/>
      <c r="D1728" s="4" t="b">
        <f t="shared" si="1"/>
        <v>1</v>
      </c>
      <c r="E1728" s="4" t="s">
        <v>1963</v>
      </c>
    </row>
    <row r="1729">
      <c r="A1729" s="3" t="s">
        <v>1964</v>
      </c>
      <c r="B1729" s="3">
        <v>896350.0</v>
      </c>
      <c r="C1729" s="3" t="s">
        <v>37</v>
      </c>
      <c r="D1729" s="4" t="b">
        <f t="shared" si="1"/>
        <v>0</v>
      </c>
      <c r="E1729" s="4" t="s">
        <v>2329</v>
      </c>
    </row>
    <row r="1730">
      <c r="A1730" s="4"/>
      <c r="B1730" s="4"/>
      <c r="C1730" s="3" t="s">
        <v>38</v>
      </c>
      <c r="D1730" s="4" t="b">
        <f t="shared" si="1"/>
        <v>1</v>
      </c>
      <c r="E1730" s="4"/>
    </row>
    <row r="1731">
      <c r="A1731" s="3" t="s">
        <v>1966</v>
      </c>
      <c r="B1731" s="3">
        <v>3500.0</v>
      </c>
      <c r="C1731" s="4"/>
      <c r="D1731" s="4" t="b">
        <f t="shared" si="1"/>
        <v>0</v>
      </c>
      <c r="E1731" s="4" t="s">
        <v>1966</v>
      </c>
    </row>
    <row r="1732">
      <c r="A1732" s="3" t="s">
        <v>1967</v>
      </c>
      <c r="B1732" s="3">
        <v>105000.0</v>
      </c>
      <c r="C1732" s="3" t="s">
        <v>32</v>
      </c>
      <c r="D1732" s="4" t="b">
        <f t="shared" si="1"/>
        <v>0</v>
      </c>
      <c r="E1732" s="4" t="s">
        <v>1967</v>
      </c>
    </row>
    <row r="1733">
      <c r="A1733" s="3" t="s">
        <v>1969</v>
      </c>
      <c r="B1733" s="3">
        <v>4000.0</v>
      </c>
      <c r="C1733" s="4"/>
      <c r="D1733" s="4" t="b">
        <f t="shared" si="1"/>
        <v>0</v>
      </c>
      <c r="E1733" s="4" t="s">
        <v>1969</v>
      </c>
    </row>
    <row r="1734">
      <c r="A1734" s="3" t="s">
        <v>1970</v>
      </c>
      <c r="B1734" s="3">
        <v>0.0</v>
      </c>
      <c r="C1734" s="3" t="s">
        <v>6</v>
      </c>
      <c r="D1734" s="4" t="b">
        <f t="shared" si="1"/>
        <v>0</v>
      </c>
      <c r="E1734" s="4" t="s">
        <v>1970</v>
      </c>
    </row>
    <row r="1735">
      <c r="A1735" s="3" t="s">
        <v>1971</v>
      </c>
      <c r="B1735" s="3">
        <v>0.0</v>
      </c>
      <c r="C1735" s="3" t="s">
        <v>6</v>
      </c>
      <c r="D1735" s="4" t="b">
        <f t="shared" si="1"/>
        <v>0</v>
      </c>
      <c r="E1735" s="4" t="s">
        <v>2330</v>
      </c>
    </row>
    <row r="1736">
      <c r="A1736" s="3" t="s">
        <v>1972</v>
      </c>
      <c r="B1736" s="4"/>
      <c r="C1736" s="4"/>
      <c r="D1736" s="4" t="b">
        <f t="shared" si="1"/>
        <v>1</v>
      </c>
      <c r="E1736" s="4" t="s">
        <v>1972</v>
      </c>
    </row>
    <row r="1737">
      <c r="A1737" s="3" t="s">
        <v>1973</v>
      </c>
      <c r="B1737" s="3">
        <v>3500.0</v>
      </c>
      <c r="C1737" s="3" t="s">
        <v>484</v>
      </c>
      <c r="D1737" s="4" t="b">
        <f t="shared" si="1"/>
        <v>0</v>
      </c>
      <c r="E1737" s="4" t="s">
        <v>1973</v>
      </c>
    </row>
    <row r="1738">
      <c r="A1738" s="3" t="s">
        <v>1974</v>
      </c>
      <c r="B1738" s="3">
        <v>0.0</v>
      </c>
      <c r="C1738" s="3" t="s">
        <v>3</v>
      </c>
      <c r="D1738" s="4" t="b">
        <f t="shared" si="1"/>
        <v>0</v>
      </c>
      <c r="E1738" s="4" t="s">
        <v>1974</v>
      </c>
    </row>
    <row r="1739">
      <c r="A1739" s="3" t="s">
        <v>1975</v>
      </c>
      <c r="B1739" s="3">
        <v>5000.0</v>
      </c>
      <c r="C1739" s="4"/>
      <c r="D1739" s="4" t="b">
        <f t="shared" si="1"/>
        <v>0</v>
      </c>
      <c r="E1739" s="4" t="s">
        <v>1975</v>
      </c>
    </row>
    <row r="1740">
      <c r="A1740" s="3" t="s">
        <v>1976</v>
      </c>
      <c r="B1740" s="3">
        <v>28500.0</v>
      </c>
      <c r="C1740" s="3" t="s">
        <v>32</v>
      </c>
      <c r="D1740" s="4" t="b">
        <f t="shared" si="1"/>
        <v>0</v>
      </c>
      <c r="E1740" s="4" t="s">
        <v>1976</v>
      </c>
    </row>
    <row r="1741">
      <c r="A1741" s="3" t="s">
        <v>1978</v>
      </c>
      <c r="B1741" s="3">
        <v>0.0</v>
      </c>
      <c r="C1741" s="3" t="s">
        <v>3</v>
      </c>
      <c r="D1741" s="4" t="b">
        <f t="shared" si="1"/>
        <v>0</v>
      </c>
      <c r="E1741" s="4" t="s">
        <v>1978</v>
      </c>
    </row>
    <row r="1742">
      <c r="A1742" s="3" t="s">
        <v>1979</v>
      </c>
      <c r="B1742" s="3">
        <v>1300.0</v>
      </c>
      <c r="C1742" s="4"/>
      <c r="D1742" s="4" t="b">
        <f t="shared" si="1"/>
        <v>0</v>
      </c>
      <c r="E1742" s="4" t="s">
        <v>1979</v>
      </c>
    </row>
    <row r="1743">
      <c r="A1743" s="3" t="s">
        <v>1980</v>
      </c>
      <c r="B1743" s="3">
        <v>2450.0</v>
      </c>
      <c r="C1743" s="4"/>
      <c r="D1743" s="4" t="b">
        <f t="shared" si="1"/>
        <v>0</v>
      </c>
      <c r="E1743" s="4" t="s">
        <v>1980</v>
      </c>
    </row>
    <row r="1744">
      <c r="A1744" s="3" t="s">
        <v>1982</v>
      </c>
      <c r="B1744" s="3">
        <v>0.0</v>
      </c>
      <c r="C1744" s="3" t="s">
        <v>3</v>
      </c>
      <c r="D1744" s="4" t="b">
        <f t="shared" si="1"/>
        <v>0</v>
      </c>
      <c r="E1744" s="4" t="s">
        <v>1982</v>
      </c>
    </row>
    <row r="1745">
      <c r="A1745" s="3" t="s">
        <v>1983</v>
      </c>
      <c r="B1745" s="3">
        <v>0.0</v>
      </c>
      <c r="C1745" s="3" t="s">
        <v>6</v>
      </c>
      <c r="D1745" s="4" t="b">
        <f t="shared" si="1"/>
        <v>0</v>
      </c>
      <c r="E1745" s="4" t="s">
        <v>1983</v>
      </c>
    </row>
    <row r="1746">
      <c r="A1746" s="3" t="s">
        <v>1984</v>
      </c>
      <c r="B1746" s="3">
        <v>0.0</v>
      </c>
      <c r="C1746" s="3" t="s">
        <v>3</v>
      </c>
      <c r="D1746" s="4" t="b">
        <f t="shared" si="1"/>
        <v>0</v>
      </c>
      <c r="E1746" s="4" t="s">
        <v>1984</v>
      </c>
    </row>
    <row r="1747">
      <c r="A1747" s="3" t="s">
        <v>1985</v>
      </c>
      <c r="B1747" s="3">
        <v>0.0</v>
      </c>
      <c r="C1747" s="3" t="s">
        <v>3</v>
      </c>
      <c r="D1747" s="4" t="b">
        <f t="shared" si="1"/>
        <v>0</v>
      </c>
      <c r="E1747" s="4" t="s">
        <v>1985</v>
      </c>
    </row>
    <row r="1748">
      <c r="A1748" s="3" t="s">
        <v>1986</v>
      </c>
      <c r="B1748" s="3">
        <v>0.0</v>
      </c>
      <c r="C1748" s="3" t="s">
        <v>3</v>
      </c>
      <c r="D1748" s="4" t="b">
        <f t="shared" si="1"/>
        <v>0</v>
      </c>
      <c r="E1748" s="4" t="s">
        <v>1986</v>
      </c>
    </row>
    <row r="1749">
      <c r="A1749" s="3" t="s">
        <v>1987</v>
      </c>
      <c r="B1749" s="3">
        <v>0.0</v>
      </c>
      <c r="C1749" s="3" t="s">
        <v>3</v>
      </c>
      <c r="D1749" s="4" t="b">
        <f t="shared" si="1"/>
        <v>0</v>
      </c>
      <c r="E1749" s="4" t="s">
        <v>1987</v>
      </c>
    </row>
    <row r="1750">
      <c r="A1750" s="3" t="s">
        <v>1988</v>
      </c>
      <c r="B1750" s="3">
        <v>0.0</v>
      </c>
      <c r="C1750" s="3" t="s">
        <v>3</v>
      </c>
      <c r="D1750" s="4" t="b">
        <f t="shared" si="1"/>
        <v>0</v>
      </c>
      <c r="E1750" s="4" t="s">
        <v>1988</v>
      </c>
    </row>
    <row r="1751">
      <c r="A1751" s="3" t="s">
        <v>1989</v>
      </c>
      <c r="B1751" s="3">
        <v>5394.0</v>
      </c>
      <c r="C1751" s="3" t="s">
        <v>6</v>
      </c>
      <c r="D1751" s="4" t="b">
        <f t="shared" si="1"/>
        <v>0</v>
      </c>
      <c r="E1751" s="4" t="s">
        <v>1989</v>
      </c>
    </row>
    <row r="1752">
      <c r="A1752" s="3" t="s">
        <v>1991</v>
      </c>
      <c r="B1752" s="3">
        <v>1000.0</v>
      </c>
      <c r="C1752" s="4"/>
      <c r="D1752" s="4" t="b">
        <f t="shared" si="1"/>
        <v>0</v>
      </c>
      <c r="E1752" s="4" t="s">
        <v>1991</v>
      </c>
    </row>
    <row r="1753">
      <c r="A1753" s="3" t="s">
        <v>1992</v>
      </c>
      <c r="B1753" s="3">
        <v>21500.0</v>
      </c>
      <c r="C1753" s="4"/>
      <c r="D1753" s="4" t="b">
        <f t="shared" si="1"/>
        <v>0</v>
      </c>
      <c r="E1753" s="4" t="s">
        <v>1992</v>
      </c>
    </row>
    <row r="1754">
      <c r="A1754" s="3" t="s">
        <v>1994</v>
      </c>
      <c r="B1754" s="3">
        <v>6500.0</v>
      </c>
      <c r="C1754" s="4"/>
      <c r="D1754" s="4" t="b">
        <f t="shared" si="1"/>
        <v>0</v>
      </c>
      <c r="E1754" s="4" t="s">
        <v>1994</v>
      </c>
    </row>
    <row r="1755">
      <c r="A1755" s="3" t="s">
        <v>1995</v>
      </c>
      <c r="B1755" s="3">
        <v>500.0</v>
      </c>
      <c r="C1755" s="3" t="s">
        <v>3</v>
      </c>
      <c r="D1755" s="4" t="b">
        <f t="shared" si="1"/>
        <v>0</v>
      </c>
      <c r="E1755" s="4" t="s">
        <v>1995</v>
      </c>
    </row>
    <row r="1756">
      <c r="A1756" s="3" t="s">
        <v>1996</v>
      </c>
      <c r="B1756" s="3">
        <v>500.0</v>
      </c>
      <c r="C1756" s="3" t="s">
        <v>3</v>
      </c>
      <c r="D1756" s="4" t="b">
        <f t="shared" si="1"/>
        <v>0</v>
      </c>
      <c r="E1756" s="4" t="s">
        <v>1996</v>
      </c>
    </row>
    <row r="1757">
      <c r="A1757" s="3" t="s">
        <v>1997</v>
      </c>
      <c r="B1757" s="3">
        <v>0.0</v>
      </c>
      <c r="C1757" s="3" t="s">
        <v>6</v>
      </c>
      <c r="D1757" s="4" t="b">
        <f t="shared" si="1"/>
        <v>0</v>
      </c>
      <c r="E1757" s="4" t="s">
        <v>1997</v>
      </c>
    </row>
    <row r="1758">
      <c r="A1758" s="3" t="s">
        <v>1998</v>
      </c>
      <c r="B1758" s="3">
        <v>119000.0</v>
      </c>
      <c r="C1758" s="3" t="s">
        <v>2000</v>
      </c>
      <c r="D1758" s="4" t="b">
        <f t="shared" si="1"/>
        <v>0</v>
      </c>
      <c r="E1758" s="4" t="s">
        <v>2331</v>
      </c>
    </row>
    <row r="1759">
      <c r="A1759" s="4"/>
      <c r="B1759" s="4"/>
      <c r="C1759" s="3" t="s">
        <v>38</v>
      </c>
      <c r="D1759" s="4" t="b">
        <f t="shared" si="1"/>
        <v>1</v>
      </c>
      <c r="E1759" s="4"/>
    </row>
    <row r="1760">
      <c r="A1760" s="3" t="s">
        <v>2001</v>
      </c>
      <c r="B1760" s="3">
        <v>0.0</v>
      </c>
      <c r="C1760" s="3" t="s">
        <v>6</v>
      </c>
      <c r="D1760" s="4" t="b">
        <f t="shared" si="1"/>
        <v>0</v>
      </c>
      <c r="E1760" s="4" t="s">
        <v>2001</v>
      </c>
    </row>
    <row r="1761">
      <c r="A1761" s="3" t="s">
        <v>2002</v>
      </c>
      <c r="B1761" s="3">
        <v>8300.0</v>
      </c>
      <c r="C1761" s="3" t="s">
        <v>6</v>
      </c>
      <c r="D1761" s="4" t="b">
        <f t="shared" si="1"/>
        <v>0</v>
      </c>
      <c r="E1761" s="4" t="s">
        <v>2002</v>
      </c>
    </row>
    <row r="1762">
      <c r="A1762" s="3" t="s">
        <v>2004</v>
      </c>
      <c r="B1762" s="3">
        <v>0.0</v>
      </c>
      <c r="C1762" s="3" t="s">
        <v>3</v>
      </c>
      <c r="D1762" s="4" t="b">
        <f t="shared" si="1"/>
        <v>0</v>
      </c>
      <c r="E1762" s="4" t="s">
        <v>2004</v>
      </c>
    </row>
    <row r="1763">
      <c r="A1763" s="3" t="s">
        <v>2005</v>
      </c>
      <c r="B1763" s="3">
        <v>0.0</v>
      </c>
      <c r="C1763" s="3" t="s">
        <v>3</v>
      </c>
      <c r="D1763" s="4" t="b">
        <f t="shared" si="1"/>
        <v>0</v>
      </c>
      <c r="E1763" s="4" t="s">
        <v>2005</v>
      </c>
    </row>
    <row r="1764">
      <c r="A1764" s="3" t="s">
        <v>2006</v>
      </c>
      <c r="B1764" s="3">
        <v>0.0</v>
      </c>
      <c r="C1764" s="3" t="s">
        <v>3</v>
      </c>
      <c r="D1764" s="4" t="b">
        <f t="shared" si="1"/>
        <v>0</v>
      </c>
      <c r="E1764" s="4" t="s">
        <v>2332</v>
      </c>
    </row>
    <row r="1765">
      <c r="A1765" s="3" t="s">
        <v>2007</v>
      </c>
      <c r="B1765" s="4"/>
      <c r="C1765" s="4"/>
      <c r="D1765" s="4" t="b">
        <f t="shared" si="1"/>
        <v>1</v>
      </c>
      <c r="E1765" s="4" t="s">
        <v>2007</v>
      </c>
    </row>
    <row r="1766">
      <c r="A1766" s="3" t="s">
        <v>2008</v>
      </c>
      <c r="B1766" s="3">
        <v>800.0</v>
      </c>
      <c r="C1766" s="3" t="s">
        <v>32</v>
      </c>
      <c r="D1766" s="4" t="b">
        <f t="shared" si="1"/>
        <v>0</v>
      </c>
      <c r="E1766" s="4" t="s">
        <v>2008</v>
      </c>
    </row>
    <row r="1767">
      <c r="A1767" s="3" t="s">
        <v>2009</v>
      </c>
      <c r="B1767" s="3">
        <v>6900.0</v>
      </c>
      <c r="C1767" s="3" t="s">
        <v>6</v>
      </c>
      <c r="D1767" s="4" t="b">
        <f t="shared" si="1"/>
        <v>0</v>
      </c>
      <c r="E1767" s="4" t="s">
        <v>2009</v>
      </c>
    </row>
    <row r="1768">
      <c r="A1768" s="3" t="s">
        <v>2011</v>
      </c>
      <c r="B1768" s="3">
        <v>3000.0</v>
      </c>
      <c r="C1768" s="3" t="s">
        <v>3</v>
      </c>
      <c r="D1768" s="4" t="b">
        <f t="shared" si="1"/>
        <v>0</v>
      </c>
      <c r="E1768" s="4" t="s">
        <v>2011</v>
      </c>
    </row>
    <row r="1769">
      <c r="A1769" s="3" t="s">
        <v>2012</v>
      </c>
      <c r="B1769" s="3">
        <v>0.0</v>
      </c>
      <c r="C1769" s="3" t="s">
        <v>3</v>
      </c>
      <c r="D1769" s="4" t="b">
        <f t="shared" si="1"/>
        <v>0</v>
      </c>
      <c r="E1769" s="4" t="s">
        <v>2012</v>
      </c>
    </row>
    <row r="1770">
      <c r="A1770" s="3" t="s">
        <v>2013</v>
      </c>
      <c r="B1770" s="3">
        <v>0.0</v>
      </c>
      <c r="C1770" s="3" t="s">
        <v>6</v>
      </c>
      <c r="D1770" s="4" t="b">
        <f t="shared" si="1"/>
        <v>0</v>
      </c>
      <c r="E1770" s="4" t="s">
        <v>2013</v>
      </c>
    </row>
    <row r="1771">
      <c r="A1771" s="3" t="s">
        <v>2014</v>
      </c>
      <c r="B1771" s="3">
        <v>3400.0</v>
      </c>
      <c r="C1771" s="4"/>
      <c r="D1771" s="4" t="b">
        <f t="shared" si="1"/>
        <v>0</v>
      </c>
      <c r="E1771" s="4" t="s">
        <v>2014</v>
      </c>
    </row>
    <row r="1772">
      <c r="A1772" s="3" t="s">
        <v>2016</v>
      </c>
      <c r="B1772" s="3">
        <v>0.0</v>
      </c>
      <c r="C1772" s="3" t="s">
        <v>29</v>
      </c>
      <c r="D1772" s="4" t="b">
        <f t="shared" si="1"/>
        <v>0</v>
      </c>
      <c r="E1772" s="4" t="s">
        <v>2016</v>
      </c>
    </row>
    <row r="1773">
      <c r="A1773" s="3" t="s">
        <v>2017</v>
      </c>
      <c r="B1773" s="3">
        <v>0.0</v>
      </c>
      <c r="C1773" s="3" t="s">
        <v>3</v>
      </c>
      <c r="D1773" s="4" t="b">
        <f t="shared" si="1"/>
        <v>0</v>
      </c>
      <c r="E1773" s="4" t="s">
        <v>2017</v>
      </c>
    </row>
    <row r="1774">
      <c r="A1774" s="3" t="s">
        <v>2018</v>
      </c>
      <c r="B1774" s="3">
        <v>5000.0</v>
      </c>
      <c r="C1774" s="4"/>
      <c r="D1774" s="4" t="b">
        <f t="shared" si="1"/>
        <v>0</v>
      </c>
      <c r="E1774" s="4" t="s">
        <v>2018</v>
      </c>
    </row>
    <row r="1775">
      <c r="A1775" s="3" t="s">
        <v>2019</v>
      </c>
      <c r="B1775" s="3">
        <v>0.0</v>
      </c>
      <c r="C1775" s="3" t="s">
        <v>29</v>
      </c>
      <c r="D1775" s="4" t="b">
        <f t="shared" si="1"/>
        <v>0</v>
      </c>
      <c r="E1775" s="4" t="s">
        <v>2019</v>
      </c>
    </row>
    <row r="1776">
      <c r="A1776" s="3" t="s">
        <v>2020</v>
      </c>
      <c r="B1776" s="3">
        <v>0.0</v>
      </c>
      <c r="C1776" s="3" t="s">
        <v>29</v>
      </c>
      <c r="D1776" s="4" t="b">
        <f t="shared" si="1"/>
        <v>0</v>
      </c>
      <c r="E1776" s="4" t="s">
        <v>2020</v>
      </c>
    </row>
    <row r="1777">
      <c r="A1777" s="3" t="s">
        <v>2021</v>
      </c>
      <c r="B1777" s="3">
        <v>0.0</v>
      </c>
      <c r="C1777" s="3" t="s">
        <v>3</v>
      </c>
      <c r="D1777" s="4" t="b">
        <f t="shared" si="1"/>
        <v>0</v>
      </c>
      <c r="E1777" s="4" t="s">
        <v>2021</v>
      </c>
    </row>
    <row r="1778">
      <c r="A1778" s="3" t="s">
        <v>2022</v>
      </c>
      <c r="B1778" s="3">
        <v>17000.0</v>
      </c>
      <c r="C1778" s="3" t="s">
        <v>32</v>
      </c>
      <c r="D1778" s="4" t="b">
        <f t="shared" si="1"/>
        <v>0</v>
      </c>
      <c r="E1778" s="4" t="s">
        <v>2022</v>
      </c>
    </row>
    <row r="1779">
      <c r="A1779" s="3" t="s">
        <v>2023</v>
      </c>
      <c r="B1779" s="3">
        <v>13000.0</v>
      </c>
      <c r="C1779" s="3" t="s">
        <v>6</v>
      </c>
      <c r="D1779" s="4" t="b">
        <f t="shared" si="1"/>
        <v>0</v>
      </c>
      <c r="E1779" s="4" t="s">
        <v>2333</v>
      </c>
    </row>
    <row r="1780">
      <c r="A1780" s="3" t="s">
        <v>2024</v>
      </c>
      <c r="B1780" s="4"/>
      <c r="C1780" s="4"/>
      <c r="D1780" s="4" t="b">
        <f t="shared" si="1"/>
        <v>1</v>
      </c>
      <c r="E1780" s="4" t="s">
        <v>2024</v>
      </c>
    </row>
    <row r="1781">
      <c r="A1781" s="3" t="s">
        <v>2025</v>
      </c>
      <c r="B1781" s="3">
        <v>0.0</v>
      </c>
      <c r="C1781" s="3" t="s">
        <v>32</v>
      </c>
      <c r="D1781" s="4" t="b">
        <f t="shared" si="1"/>
        <v>0</v>
      </c>
      <c r="E1781" s="4" t="s">
        <v>2025</v>
      </c>
    </row>
    <row r="1782">
      <c r="A1782" s="3" t="s">
        <v>2026</v>
      </c>
      <c r="B1782" s="3">
        <v>0.0</v>
      </c>
      <c r="C1782" s="3" t="s">
        <v>3</v>
      </c>
      <c r="D1782" s="4" t="b">
        <f t="shared" si="1"/>
        <v>0</v>
      </c>
      <c r="E1782" s="4" t="s">
        <v>2026</v>
      </c>
    </row>
    <row r="1783">
      <c r="A1783" s="3" t="s">
        <v>2027</v>
      </c>
      <c r="B1783" s="3">
        <v>0.0</v>
      </c>
      <c r="C1783" s="3" t="s">
        <v>3</v>
      </c>
      <c r="D1783" s="4" t="b">
        <f t="shared" si="1"/>
        <v>0</v>
      </c>
      <c r="E1783" s="4" t="s">
        <v>2027</v>
      </c>
    </row>
    <row r="1784">
      <c r="A1784" s="3" t="s">
        <v>2028</v>
      </c>
      <c r="B1784" s="3">
        <v>0.0</v>
      </c>
      <c r="C1784" s="3" t="s">
        <v>29</v>
      </c>
      <c r="D1784" s="4" t="b">
        <f t="shared" si="1"/>
        <v>0</v>
      </c>
      <c r="E1784" s="4" t="s">
        <v>2028</v>
      </c>
    </row>
    <row r="1785">
      <c r="A1785" s="3" t="s">
        <v>2029</v>
      </c>
      <c r="B1785" s="3">
        <v>0.0</v>
      </c>
      <c r="C1785" s="3" t="s">
        <v>29</v>
      </c>
      <c r="D1785" s="4" t="b">
        <f t="shared" si="1"/>
        <v>0</v>
      </c>
      <c r="E1785" s="4" t="s">
        <v>2029</v>
      </c>
    </row>
    <row r="1786">
      <c r="A1786" s="3" t="s">
        <v>2030</v>
      </c>
      <c r="B1786" s="3">
        <v>23000.0</v>
      </c>
      <c r="C1786" s="3" t="s">
        <v>3</v>
      </c>
      <c r="D1786" s="4" t="b">
        <f t="shared" si="1"/>
        <v>0</v>
      </c>
      <c r="E1786" s="4" t="s">
        <v>2030</v>
      </c>
    </row>
    <row r="1787">
      <c r="A1787" s="3" t="s">
        <v>2031</v>
      </c>
      <c r="B1787" s="3">
        <v>9000.0</v>
      </c>
      <c r="C1787" s="4"/>
      <c r="D1787" s="4" t="b">
        <f t="shared" si="1"/>
        <v>0</v>
      </c>
      <c r="E1787" s="4" t="s">
        <v>2031</v>
      </c>
    </row>
    <row r="1788">
      <c r="A1788" s="3" t="s">
        <v>2032</v>
      </c>
      <c r="B1788" s="3">
        <v>4300.0</v>
      </c>
      <c r="C1788" s="3" t="s">
        <v>6</v>
      </c>
      <c r="D1788" s="4" t="b">
        <f t="shared" si="1"/>
        <v>0</v>
      </c>
      <c r="E1788" s="4" t="s">
        <v>2334</v>
      </c>
    </row>
    <row r="1789">
      <c r="A1789" s="3" t="s">
        <v>2034</v>
      </c>
      <c r="B1789" s="4"/>
      <c r="C1789" s="4"/>
      <c r="D1789" s="4" t="b">
        <f t="shared" si="1"/>
        <v>1</v>
      </c>
      <c r="E1789" s="4" t="s">
        <v>2335</v>
      </c>
    </row>
    <row r="1790">
      <c r="A1790" s="3" t="s">
        <v>2035</v>
      </c>
      <c r="B1790" s="4"/>
      <c r="C1790" s="4"/>
      <c r="D1790" s="4" t="b">
        <f t="shared" si="1"/>
        <v>1</v>
      </c>
      <c r="E1790" s="4" t="s">
        <v>2336</v>
      </c>
    </row>
    <row r="1791">
      <c r="A1791" s="3" t="s">
        <v>2036</v>
      </c>
      <c r="B1791" s="4"/>
      <c r="C1791" s="4"/>
      <c r="D1791" s="4" t="b">
        <f t="shared" si="1"/>
        <v>1</v>
      </c>
      <c r="E1791" s="4" t="s">
        <v>2337</v>
      </c>
    </row>
    <row r="1792">
      <c r="A1792" s="3" t="s">
        <v>2037</v>
      </c>
      <c r="B1792" s="4"/>
      <c r="C1792" s="4"/>
      <c r="D1792" s="4" t="b">
        <f t="shared" si="1"/>
        <v>1</v>
      </c>
      <c r="E1792" s="4" t="s">
        <v>2338</v>
      </c>
    </row>
    <row r="1793">
      <c r="A1793" s="3" t="s">
        <v>2038</v>
      </c>
      <c r="B1793" s="4"/>
      <c r="C1793" s="4"/>
      <c r="D1793" s="4" t="b">
        <f t="shared" si="1"/>
        <v>1</v>
      </c>
      <c r="E1793" s="4" t="s">
        <v>2339</v>
      </c>
    </row>
    <row r="1794">
      <c r="A1794" s="3" t="s">
        <v>2039</v>
      </c>
      <c r="B1794" s="4"/>
      <c r="C1794" s="4"/>
      <c r="D1794" s="4" t="b">
        <f t="shared" si="1"/>
        <v>1</v>
      </c>
      <c r="E1794" s="4" t="s">
        <v>2340</v>
      </c>
    </row>
    <row r="1795">
      <c r="A1795" s="3" t="s">
        <v>2040</v>
      </c>
      <c r="B1795" s="4"/>
      <c r="C1795" s="4"/>
      <c r="D1795" s="4" t="b">
        <f t="shared" si="1"/>
        <v>1</v>
      </c>
      <c r="E1795" s="4" t="s">
        <v>2341</v>
      </c>
    </row>
    <row r="1796">
      <c r="A1796" s="3" t="s">
        <v>2041</v>
      </c>
      <c r="B1796" s="4"/>
      <c r="C1796" s="4"/>
      <c r="D1796" s="4" t="b">
        <f t="shared" si="1"/>
        <v>1</v>
      </c>
      <c r="E1796" s="4" t="s">
        <v>2342</v>
      </c>
    </row>
    <row r="1797">
      <c r="A1797" s="3" t="s">
        <v>2042</v>
      </c>
      <c r="B1797" s="4"/>
      <c r="C1797" s="4"/>
      <c r="D1797" s="4" t="b">
        <f t="shared" si="1"/>
        <v>1</v>
      </c>
      <c r="E1797" s="4" t="s">
        <v>2042</v>
      </c>
    </row>
    <row r="1798">
      <c r="A1798" s="3" t="s">
        <v>283</v>
      </c>
      <c r="B1798" s="3">
        <v>5000.0</v>
      </c>
      <c r="C1798" s="4"/>
      <c r="D1798" s="4" t="b">
        <f t="shared" si="1"/>
        <v>0</v>
      </c>
      <c r="E1798" s="4" t="s">
        <v>283</v>
      </c>
    </row>
    <row r="1799">
      <c r="A1799" s="3" t="s">
        <v>2043</v>
      </c>
      <c r="B1799" s="3">
        <v>3120000.0</v>
      </c>
      <c r="C1799" s="4"/>
      <c r="D1799" s="4" t="b">
        <f t="shared" si="1"/>
        <v>0</v>
      </c>
      <c r="E1799" s="4" t="s">
        <v>2043</v>
      </c>
    </row>
    <row r="1800">
      <c r="A1800" s="3" t="s">
        <v>2045</v>
      </c>
      <c r="B1800" s="3">
        <v>52500.0</v>
      </c>
      <c r="C1800" s="3" t="s">
        <v>3</v>
      </c>
      <c r="D1800" s="4" t="b">
        <f t="shared" si="1"/>
        <v>0</v>
      </c>
      <c r="E1800" s="4" t="s">
        <v>2045</v>
      </c>
    </row>
    <row r="1801">
      <c r="A1801" s="3" t="s">
        <v>2047</v>
      </c>
      <c r="B1801" s="3">
        <v>7000.0</v>
      </c>
      <c r="C1801" s="4"/>
      <c r="D1801" s="4" t="b">
        <f t="shared" si="1"/>
        <v>0</v>
      </c>
      <c r="E1801" s="4" t="s">
        <v>2047</v>
      </c>
    </row>
    <row r="1802">
      <c r="A1802" s="3" t="s">
        <v>2048</v>
      </c>
      <c r="B1802" s="3">
        <v>7600.0</v>
      </c>
      <c r="C1802" s="4"/>
      <c r="D1802" s="4" t="b">
        <f t="shared" si="1"/>
        <v>0</v>
      </c>
      <c r="E1802" s="4" t="s">
        <v>2048</v>
      </c>
    </row>
    <row r="1803">
      <c r="A1803" s="3" t="s">
        <v>2049</v>
      </c>
      <c r="B1803" s="3">
        <v>16628.76</v>
      </c>
      <c r="C1803" s="4"/>
      <c r="D1803" s="4" t="b">
        <f t="shared" si="1"/>
        <v>0</v>
      </c>
      <c r="E1803" s="4" t="s">
        <v>2049</v>
      </c>
    </row>
    <row r="1804">
      <c r="A1804" s="3" t="s">
        <v>2051</v>
      </c>
      <c r="B1804" s="3">
        <v>15920.46</v>
      </c>
      <c r="C1804" s="4"/>
      <c r="D1804" s="4" t="b">
        <f t="shared" si="1"/>
        <v>0</v>
      </c>
      <c r="E1804" s="4" t="s">
        <v>2051</v>
      </c>
    </row>
    <row r="1805">
      <c r="A1805" s="3" t="s">
        <v>2053</v>
      </c>
      <c r="B1805" s="3">
        <v>1.616767E7</v>
      </c>
      <c r="C1805" s="4"/>
      <c r="D1805" s="4" t="b">
        <f t="shared" si="1"/>
        <v>0</v>
      </c>
      <c r="E1805" s="4" t="s">
        <v>2053</v>
      </c>
    </row>
    <row r="1806">
      <c r="A1806" s="3" t="s">
        <v>2055</v>
      </c>
      <c r="B1806" s="3">
        <v>82.0</v>
      </c>
      <c r="C1806" s="4"/>
      <c r="D1806" s="4" t="b">
        <f t="shared" si="1"/>
        <v>0</v>
      </c>
      <c r="E1806" s="4" t="s">
        <v>2343</v>
      </c>
    </row>
    <row r="1807">
      <c r="A1807" s="3" t="s">
        <v>2036</v>
      </c>
      <c r="B1807" s="4"/>
      <c r="C1807" s="4"/>
      <c r="D1807" s="4" t="b">
        <f t="shared" si="1"/>
        <v>1</v>
      </c>
      <c r="E1807" s="4" t="s">
        <v>2036</v>
      </c>
    </row>
    <row r="1808">
      <c r="A1808" s="3" t="s">
        <v>2057</v>
      </c>
      <c r="B1808" s="3">
        <v>7912204.0</v>
      </c>
      <c r="C1808" s="4"/>
      <c r="D1808" s="4" t="b">
        <f t="shared" si="1"/>
        <v>0</v>
      </c>
      <c r="E1808" s="4" t="s">
        <v>2057</v>
      </c>
    </row>
    <row r="1809">
      <c r="A1809" s="3" t="s">
        <v>2059</v>
      </c>
      <c r="B1809" s="3">
        <v>10536.77</v>
      </c>
      <c r="C1809" s="4"/>
      <c r="D1809" s="4" t="b">
        <f t="shared" si="1"/>
        <v>0</v>
      </c>
      <c r="E1809" s="4" t="s">
        <v>2059</v>
      </c>
    </row>
    <row r="1810">
      <c r="A1810" s="3" t="s">
        <v>2061</v>
      </c>
      <c r="B1810" s="3">
        <v>13000.0</v>
      </c>
      <c r="C1810" s="4"/>
      <c r="D1810" s="4" t="b">
        <f t="shared" si="1"/>
        <v>0</v>
      </c>
      <c r="E1810" s="4" t="s">
        <v>2061</v>
      </c>
    </row>
    <row r="1811">
      <c r="A1811" s="4"/>
      <c r="B1811" s="4"/>
      <c r="C1811" s="4"/>
      <c r="D1811" s="4"/>
      <c r="E1811" s="4"/>
    </row>
    <row r="1812">
      <c r="A1812" s="4"/>
      <c r="B1812" s="4"/>
      <c r="C1812" s="4"/>
      <c r="D1812" s="4"/>
      <c r="E1812" s="4" t="str">
        <f>if(D1812=TRUE, CONCATENATE(A1811," ",A1812),A1811)</f>
        <v/>
      </c>
    </row>
  </sheetData>
  <mergeCells count="1">
    <mergeCell ref="A1:E1"/>
  </mergeCells>
  <conditionalFormatting sqref="D2:D1812">
    <cfRule type="cellIs" dxfId="0" priority="1" operator="equal">
      <formula>"TRUE"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9.63"/>
    <col customWidth="1" min="3" max="3" width="24.88"/>
    <col customWidth="1" min="4" max="4" width="19.13"/>
    <col customWidth="1" min="5" max="5" width="24.88"/>
  </cols>
  <sheetData>
    <row r="1" ht="82.5" customHeight="1">
      <c r="A1" s="1" t="s">
        <v>2344</v>
      </c>
    </row>
    <row r="2">
      <c r="A2" s="3"/>
      <c r="B2" s="5" t="s">
        <v>2065</v>
      </c>
      <c r="C2" s="5" t="s">
        <v>2066</v>
      </c>
      <c r="D2" s="6" t="s">
        <v>2067</v>
      </c>
      <c r="E2" s="7" t="s">
        <v>2068</v>
      </c>
    </row>
    <row r="3">
      <c r="A3" s="3" t="s">
        <v>1</v>
      </c>
      <c r="B3" s="3">
        <v>0.0</v>
      </c>
      <c r="C3" s="3" t="s">
        <v>3</v>
      </c>
      <c r="D3" s="4" t="b">
        <f t="shared" ref="D3:D1535" si="1">ISBLANK(B3)</f>
        <v>0</v>
      </c>
      <c r="E3" s="4" t="s">
        <v>2069</v>
      </c>
    </row>
    <row r="4">
      <c r="A4" s="3" t="s">
        <v>5</v>
      </c>
      <c r="B4" s="3">
        <v>0.0</v>
      </c>
      <c r="C4" s="3" t="s">
        <v>6</v>
      </c>
      <c r="D4" s="4" t="b">
        <f t="shared" si="1"/>
        <v>0</v>
      </c>
      <c r="E4" s="4" t="s">
        <v>5</v>
      </c>
    </row>
    <row r="5">
      <c r="A5" s="3" t="s">
        <v>7</v>
      </c>
      <c r="B5" s="3">
        <v>0.0</v>
      </c>
      <c r="C5" s="3" t="s">
        <v>3</v>
      </c>
      <c r="D5" s="4" t="b">
        <f t="shared" si="1"/>
        <v>0</v>
      </c>
      <c r="E5" s="4" t="s">
        <v>7</v>
      </c>
    </row>
    <row r="6">
      <c r="A6" s="3" t="s">
        <v>8</v>
      </c>
      <c r="B6" s="3">
        <v>0.0</v>
      </c>
      <c r="C6" s="3" t="s">
        <v>3</v>
      </c>
      <c r="D6" s="4" t="b">
        <f t="shared" si="1"/>
        <v>0</v>
      </c>
      <c r="E6" s="4" t="s">
        <v>8</v>
      </c>
    </row>
    <row r="7">
      <c r="A7" s="3" t="s">
        <v>9</v>
      </c>
      <c r="B7" s="3">
        <v>0.0</v>
      </c>
      <c r="C7" s="3" t="s">
        <v>3</v>
      </c>
      <c r="D7" s="4" t="b">
        <f t="shared" si="1"/>
        <v>0</v>
      </c>
      <c r="E7" s="4" t="s">
        <v>9</v>
      </c>
    </row>
    <row r="8">
      <c r="A8" s="3" t="s">
        <v>10</v>
      </c>
      <c r="B8" s="3">
        <v>1000.0</v>
      </c>
      <c r="C8" s="4"/>
      <c r="D8" s="4" t="b">
        <f t="shared" si="1"/>
        <v>0</v>
      </c>
      <c r="E8" s="4" t="s">
        <v>10</v>
      </c>
    </row>
    <row r="9">
      <c r="A9" s="3" t="s">
        <v>12</v>
      </c>
      <c r="B9" s="3">
        <v>1800.0</v>
      </c>
      <c r="C9" s="4"/>
      <c r="D9" s="4" t="b">
        <f t="shared" si="1"/>
        <v>0</v>
      </c>
      <c r="E9" s="4" t="s">
        <v>12</v>
      </c>
    </row>
    <row r="10">
      <c r="A10" s="3" t="s">
        <v>14</v>
      </c>
      <c r="B10" s="3">
        <v>19000.0</v>
      </c>
      <c r="C10" s="3" t="s">
        <v>16</v>
      </c>
      <c r="D10" s="4" t="b">
        <f t="shared" si="1"/>
        <v>0</v>
      </c>
      <c r="E10" s="4" t="s">
        <v>14</v>
      </c>
    </row>
    <row r="11">
      <c r="A11" s="3" t="s">
        <v>17</v>
      </c>
      <c r="B11" s="3">
        <v>500.0</v>
      </c>
      <c r="C11" s="4"/>
      <c r="D11" s="4" t="b">
        <f t="shared" si="1"/>
        <v>0</v>
      </c>
      <c r="E11" s="4" t="s">
        <v>17</v>
      </c>
    </row>
    <row r="12">
      <c r="A12" s="3" t="s">
        <v>19</v>
      </c>
      <c r="B12" s="3">
        <v>2000.0</v>
      </c>
      <c r="C12" s="4"/>
      <c r="D12" s="4" t="b">
        <f t="shared" si="1"/>
        <v>0</v>
      </c>
      <c r="E12" s="4" t="s">
        <v>19</v>
      </c>
    </row>
    <row r="13">
      <c r="A13" s="3" t="s">
        <v>21</v>
      </c>
      <c r="B13" s="3">
        <v>3000.0</v>
      </c>
      <c r="C13" s="4"/>
      <c r="D13" s="4" t="b">
        <f t="shared" si="1"/>
        <v>0</v>
      </c>
      <c r="E13" s="4" t="s">
        <v>21</v>
      </c>
    </row>
    <row r="14">
      <c r="A14" s="3" t="s">
        <v>23</v>
      </c>
      <c r="B14" s="3">
        <v>0.0</v>
      </c>
      <c r="C14" s="3" t="s">
        <v>3</v>
      </c>
      <c r="D14" s="4" t="b">
        <f t="shared" si="1"/>
        <v>0</v>
      </c>
      <c r="E14" s="4" t="s">
        <v>23</v>
      </c>
    </row>
    <row r="15">
      <c r="A15" s="3" t="s">
        <v>24</v>
      </c>
      <c r="B15" s="3">
        <v>0.0</v>
      </c>
      <c r="C15" s="3" t="s">
        <v>3</v>
      </c>
      <c r="D15" s="4" t="b">
        <f t="shared" si="1"/>
        <v>0</v>
      </c>
      <c r="E15" s="4" t="s">
        <v>24</v>
      </c>
    </row>
    <row r="16">
      <c r="A16" s="3" t="s">
        <v>25</v>
      </c>
      <c r="B16" s="3">
        <v>0.0</v>
      </c>
      <c r="C16" s="3" t="s">
        <v>26</v>
      </c>
      <c r="D16" s="4" t="b">
        <f t="shared" si="1"/>
        <v>0</v>
      </c>
      <c r="E16" s="4" t="s">
        <v>25</v>
      </c>
    </row>
    <row r="17">
      <c r="A17" s="3" t="s">
        <v>27</v>
      </c>
      <c r="B17" s="3">
        <v>0.0</v>
      </c>
      <c r="C17" s="3" t="s">
        <v>3</v>
      </c>
      <c r="D17" s="4" t="b">
        <f t="shared" si="1"/>
        <v>0</v>
      </c>
      <c r="E17" s="4" t="s">
        <v>27</v>
      </c>
    </row>
    <row r="18">
      <c r="A18" s="3" t="s">
        <v>28</v>
      </c>
      <c r="B18" s="3">
        <v>0.0</v>
      </c>
      <c r="C18" s="3" t="s">
        <v>29</v>
      </c>
      <c r="D18" s="4" t="b">
        <f t="shared" si="1"/>
        <v>0</v>
      </c>
      <c r="E18" s="4" t="s">
        <v>28</v>
      </c>
    </row>
    <row r="19">
      <c r="A19" s="3" t="s">
        <v>30</v>
      </c>
      <c r="B19" s="3">
        <v>7600.0</v>
      </c>
      <c r="C19" s="3" t="s">
        <v>32</v>
      </c>
      <c r="D19" s="4" t="b">
        <f t="shared" si="1"/>
        <v>0</v>
      </c>
      <c r="E19" s="4" t="s">
        <v>2070</v>
      </c>
    </row>
    <row r="20">
      <c r="A20" s="3" t="s">
        <v>34</v>
      </c>
      <c r="B20" s="3">
        <v>0.0</v>
      </c>
      <c r="C20" s="3" t="s">
        <v>3</v>
      </c>
      <c r="D20" s="4" t="b">
        <f t="shared" si="1"/>
        <v>0</v>
      </c>
      <c r="E20" s="4" t="s">
        <v>34</v>
      </c>
    </row>
    <row r="21">
      <c r="A21" s="3" t="s">
        <v>35</v>
      </c>
      <c r="B21" s="3">
        <v>22000.0</v>
      </c>
      <c r="C21" s="3" t="s">
        <v>37</v>
      </c>
      <c r="D21" s="4" t="b">
        <f t="shared" si="1"/>
        <v>0</v>
      </c>
      <c r="E21" s="4" t="s">
        <v>2071</v>
      </c>
    </row>
    <row r="22">
      <c r="A22" s="3" t="s">
        <v>39</v>
      </c>
      <c r="B22" s="3">
        <v>0.0</v>
      </c>
      <c r="C22" s="3" t="s">
        <v>3</v>
      </c>
      <c r="D22" s="4" t="b">
        <f t="shared" si="1"/>
        <v>0</v>
      </c>
      <c r="E22" s="4" t="s">
        <v>2072</v>
      </c>
    </row>
    <row r="23">
      <c r="A23" s="3" t="s">
        <v>41</v>
      </c>
      <c r="B23" s="3">
        <v>5000.0</v>
      </c>
      <c r="C23" s="4"/>
      <c r="D23" s="4" t="b">
        <f t="shared" si="1"/>
        <v>0</v>
      </c>
      <c r="E23" s="4" t="s">
        <v>2073</v>
      </c>
    </row>
    <row r="24">
      <c r="A24" s="3" t="s">
        <v>44</v>
      </c>
      <c r="B24" s="3">
        <v>300.0</v>
      </c>
      <c r="C24" s="3" t="s">
        <v>3</v>
      </c>
      <c r="D24" s="4" t="b">
        <f t="shared" si="1"/>
        <v>0</v>
      </c>
      <c r="E24" s="4" t="s">
        <v>44</v>
      </c>
    </row>
    <row r="25">
      <c r="A25" s="3" t="s">
        <v>46</v>
      </c>
      <c r="B25" s="3">
        <v>4500.0</v>
      </c>
      <c r="C25" s="3" t="s">
        <v>3</v>
      </c>
      <c r="D25" s="4" t="b">
        <f t="shared" si="1"/>
        <v>0</v>
      </c>
      <c r="E25" s="4" t="s">
        <v>46</v>
      </c>
    </row>
    <row r="26">
      <c r="A26" s="3" t="s">
        <v>48</v>
      </c>
      <c r="B26" s="3">
        <v>0.0</v>
      </c>
      <c r="C26" s="3" t="s">
        <v>3</v>
      </c>
      <c r="D26" s="4" t="b">
        <f t="shared" si="1"/>
        <v>0</v>
      </c>
      <c r="E26" s="4" t="s">
        <v>2074</v>
      </c>
    </row>
    <row r="27">
      <c r="A27" s="3" t="s">
        <v>50</v>
      </c>
      <c r="B27" s="3">
        <v>10000.0</v>
      </c>
      <c r="C27" s="3" t="s">
        <v>3</v>
      </c>
      <c r="D27" s="4" t="b">
        <f t="shared" si="1"/>
        <v>0</v>
      </c>
      <c r="E27" s="4" t="s">
        <v>2075</v>
      </c>
    </row>
    <row r="28">
      <c r="A28" s="3" t="s">
        <v>53</v>
      </c>
      <c r="B28" s="3">
        <v>22000.0</v>
      </c>
      <c r="C28" s="4"/>
      <c r="D28" s="4" t="b">
        <f t="shared" si="1"/>
        <v>0</v>
      </c>
      <c r="E28" s="4" t="s">
        <v>53</v>
      </c>
    </row>
    <row r="29">
      <c r="A29" s="3" t="s">
        <v>54</v>
      </c>
      <c r="B29" s="3">
        <v>0.0</v>
      </c>
      <c r="C29" s="3" t="s">
        <v>3</v>
      </c>
      <c r="D29" s="4" t="b">
        <f t="shared" si="1"/>
        <v>0</v>
      </c>
      <c r="E29" s="4" t="s">
        <v>54</v>
      </c>
    </row>
    <row r="30">
      <c r="A30" s="3" t="s">
        <v>55</v>
      </c>
      <c r="B30" s="3">
        <v>2400.0</v>
      </c>
      <c r="C30" s="4"/>
      <c r="D30" s="4" t="b">
        <f t="shared" si="1"/>
        <v>0</v>
      </c>
      <c r="E30" s="4" t="s">
        <v>55</v>
      </c>
    </row>
    <row r="31">
      <c r="A31" s="3" t="s">
        <v>57</v>
      </c>
      <c r="B31" s="3">
        <v>6500.0</v>
      </c>
      <c r="C31" s="4"/>
      <c r="D31" s="4" t="b">
        <f t="shared" si="1"/>
        <v>0</v>
      </c>
      <c r="E31" s="4" t="s">
        <v>57</v>
      </c>
    </row>
    <row r="32">
      <c r="A32" s="3" t="s">
        <v>59</v>
      </c>
      <c r="B32" s="3">
        <v>0.0</v>
      </c>
      <c r="C32" s="3" t="s">
        <v>3</v>
      </c>
      <c r="D32" s="4" t="b">
        <f t="shared" si="1"/>
        <v>0</v>
      </c>
      <c r="E32" s="4" t="s">
        <v>59</v>
      </c>
    </row>
    <row r="33">
      <c r="A33" s="3" t="s">
        <v>60</v>
      </c>
      <c r="B33" s="3">
        <v>0.0</v>
      </c>
      <c r="C33" s="3" t="s">
        <v>3</v>
      </c>
      <c r="D33" s="4" t="b">
        <f t="shared" si="1"/>
        <v>0</v>
      </c>
      <c r="E33" s="4" t="s">
        <v>60</v>
      </c>
    </row>
    <row r="34">
      <c r="A34" s="3" t="s">
        <v>61</v>
      </c>
      <c r="B34" s="3">
        <v>0.0</v>
      </c>
      <c r="C34" s="3" t="s">
        <v>3</v>
      </c>
      <c r="D34" s="4" t="b">
        <f t="shared" si="1"/>
        <v>0</v>
      </c>
      <c r="E34" s="4" t="s">
        <v>61</v>
      </c>
    </row>
    <row r="35">
      <c r="A35" s="3" t="s">
        <v>62</v>
      </c>
      <c r="B35" s="3">
        <v>500.0</v>
      </c>
      <c r="C35" s="4"/>
      <c r="D35" s="4" t="b">
        <f t="shared" si="1"/>
        <v>0</v>
      </c>
      <c r="E35" s="4" t="s">
        <v>62</v>
      </c>
    </row>
    <row r="36">
      <c r="A36" s="3" t="s">
        <v>63</v>
      </c>
      <c r="B36" s="3">
        <v>5000.0</v>
      </c>
      <c r="C36" s="3" t="s">
        <v>3</v>
      </c>
      <c r="D36" s="4" t="b">
        <f t="shared" si="1"/>
        <v>0</v>
      </c>
      <c r="E36" s="4" t="s">
        <v>63</v>
      </c>
    </row>
    <row r="37">
      <c r="A37" s="3" t="s">
        <v>64</v>
      </c>
      <c r="B37" s="3">
        <v>1500.0</v>
      </c>
      <c r="C37" s="4"/>
      <c r="D37" s="4" t="b">
        <f t="shared" si="1"/>
        <v>0</v>
      </c>
      <c r="E37" s="4" t="s">
        <v>64</v>
      </c>
    </row>
    <row r="38">
      <c r="A38" s="3" t="s">
        <v>66</v>
      </c>
      <c r="B38" s="3">
        <v>0.0</v>
      </c>
      <c r="C38" s="3" t="s">
        <v>6</v>
      </c>
      <c r="D38" s="4" t="b">
        <f t="shared" si="1"/>
        <v>0</v>
      </c>
      <c r="E38" s="4" t="s">
        <v>66</v>
      </c>
    </row>
    <row r="39">
      <c r="A39" s="3" t="s">
        <v>67</v>
      </c>
      <c r="B39" s="3">
        <v>1500.0</v>
      </c>
      <c r="C39" s="4"/>
      <c r="D39" s="4" t="b">
        <f t="shared" si="1"/>
        <v>0</v>
      </c>
      <c r="E39" s="4" t="s">
        <v>67</v>
      </c>
    </row>
    <row r="40">
      <c r="A40" s="3" t="s">
        <v>68</v>
      </c>
      <c r="B40" s="3">
        <v>60000.0</v>
      </c>
      <c r="C40" s="4"/>
      <c r="D40" s="4" t="b">
        <f t="shared" si="1"/>
        <v>0</v>
      </c>
      <c r="E40" s="4" t="s">
        <v>2076</v>
      </c>
    </row>
    <row r="41">
      <c r="A41" s="3" t="s">
        <v>71</v>
      </c>
      <c r="B41" s="3">
        <v>6000.0</v>
      </c>
      <c r="C41" s="3" t="s">
        <v>3</v>
      </c>
      <c r="D41" s="4" t="b">
        <f t="shared" si="1"/>
        <v>0</v>
      </c>
      <c r="E41" s="4" t="s">
        <v>71</v>
      </c>
    </row>
    <row r="42">
      <c r="A42" s="3" t="s">
        <v>73</v>
      </c>
      <c r="B42" s="3">
        <v>0.0</v>
      </c>
      <c r="C42" s="3" t="s">
        <v>6</v>
      </c>
      <c r="D42" s="4" t="b">
        <f t="shared" si="1"/>
        <v>0</v>
      </c>
      <c r="E42" s="4" t="s">
        <v>73</v>
      </c>
    </row>
    <row r="43">
      <c r="A43" s="3" t="s">
        <v>74</v>
      </c>
      <c r="B43" s="3">
        <v>500.0</v>
      </c>
      <c r="C43" s="4"/>
      <c r="D43" s="4" t="b">
        <f t="shared" si="1"/>
        <v>0</v>
      </c>
      <c r="E43" s="4" t="s">
        <v>2077</v>
      </c>
    </row>
    <row r="44">
      <c r="A44" s="3" t="s">
        <v>76</v>
      </c>
      <c r="B44" s="3">
        <v>5000.0</v>
      </c>
      <c r="C44" s="3" t="s">
        <v>6</v>
      </c>
      <c r="D44" s="4" t="b">
        <f t="shared" si="1"/>
        <v>0</v>
      </c>
      <c r="E44" s="4" t="s">
        <v>76</v>
      </c>
    </row>
    <row r="45">
      <c r="A45" s="3" t="s">
        <v>77</v>
      </c>
      <c r="B45" s="3">
        <v>2000.0</v>
      </c>
      <c r="C45" s="4"/>
      <c r="D45" s="4" t="b">
        <f t="shared" si="1"/>
        <v>0</v>
      </c>
      <c r="E45" s="4" t="s">
        <v>77</v>
      </c>
    </row>
    <row r="46">
      <c r="A46" s="3" t="s">
        <v>78</v>
      </c>
      <c r="B46" s="3">
        <v>5500.0</v>
      </c>
      <c r="C46" s="4"/>
      <c r="D46" s="4" t="b">
        <f t="shared" si="1"/>
        <v>0</v>
      </c>
      <c r="E46" s="4" t="s">
        <v>78</v>
      </c>
    </row>
    <row r="47">
      <c r="A47" s="3" t="s">
        <v>80</v>
      </c>
      <c r="B47" s="3">
        <v>0.0</v>
      </c>
      <c r="C47" s="3" t="s">
        <v>3</v>
      </c>
      <c r="D47" s="4" t="b">
        <f t="shared" si="1"/>
        <v>0</v>
      </c>
      <c r="E47" s="4" t="s">
        <v>80</v>
      </c>
    </row>
    <row r="48">
      <c r="A48" s="3" t="s">
        <v>81</v>
      </c>
      <c r="B48" s="3">
        <v>2000.0</v>
      </c>
      <c r="C48" s="3" t="s">
        <v>29</v>
      </c>
      <c r="D48" s="4" t="b">
        <f t="shared" si="1"/>
        <v>0</v>
      </c>
      <c r="E48" s="4" t="s">
        <v>81</v>
      </c>
    </row>
    <row r="49">
      <c r="A49" s="3" t="s">
        <v>82</v>
      </c>
      <c r="B49" s="3">
        <v>20060.0</v>
      </c>
      <c r="C49" s="4"/>
      <c r="D49" s="4" t="b">
        <f t="shared" si="1"/>
        <v>0</v>
      </c>
      <c r="E49" s="4" t="s">
        <v>82</v>
      </c>
    </row>
    <row r="50">
      <c r="A50" s="3" t="s">
        <v>84</v>
      </c>
      <c r="B50" s="3">
        <v>11000.0</v>
      </c>
      <c r="C50" s="3" t="s">
        <v>26</v>
      </c>
      <c r="D50" s="4" t="b">
        <f t="shared" si="1"/>
        <v>0</v>
      </c>
      <c r="E50" s="4" t="s">
        <v>84</v>
      </c>
    </row>
    <row r="51">
      <c r="A51" s="3" t="s">
        <v>86</v>
      </c>
      <c r="B51" s="3">
        <v>0.0</v>
      </c>
      <c r="C51" s="3" t="s">
        <v>32</v>
      </c>
      <c r="D51" s="4" t="b">
        <f t="shared" si="1"/>
        <v>0</v>
      </c>
      <c r="E51" s="4" t="s">
        <v>86</v>
      </c>
    </row>
    <row r="52">
      <c r="A52" s="3" t="s">
        <v>87</v>
      </c>
      <c r="B52" s="3">
        <v>0.0</v>
      </c>
      <c r="C52" s="3" t="s">
        <v>3</v>
      </c>
      <c r="D52" s="4" t="b">
        <f t="shared" si="1"/>
        <v>0</v>
      </c>
      <c r="E52" s="4" t="s">
        <v>87</v>
      </c>
    </row>
    <row r="53">
      <c r="A53" s="3" t="s">
        <v>88</v>
      </c>
      <c r="B53" s="3">
        <v>4500.0</v>
      </c>
      <c r="C53" s="3" t="s">
        <v>3</v>
      </c>
      <c r="D53" s="4" t="b">
        <f t="shared" si="1"/>
        <v>0</v>
      </c>
      <c r="E53" s="4" t="s">
        <v>2078</v>
      </c>
    </row>
    <row r="54">
      <c r="A54" s="3" t="s">
        <v>90</v>
      </c>
      <c r="B54" s="3">
        <v>0.0</v>
      </c>
      <c r="C54" s="3" t="s">
        <v>3</v>
      </c>
      <c r="D54" s="4" t="b">
        <f t="shared" si="1"/>
        <v>0</v>
      </c>
      <c r="E54" s="4" t="s">
        <v>90</v>
      </c>
    </row>
    <row r="55">
      <c r="A55" s="3" t="s">
        <v>91</v>
      </c>
      <c r="B55" s="3">
        <v>0.0</v>
      </c>
      <c r="C55" s="3" t="s">
        <v>3</v>
      </c>
      <c r="D55" s="4" t="b">
        <f t="shared" si="1"/>
        <v>0</v>
      </c>
      <c r="E55" s="4" t="s">
        <v>91</v>
      </c>
    </row>
    <row r="56">
      <c r="A56" s="3" t="s">
        <v>92</v>
      </c>
      <c r="B56" s="3">
        <v>0.0</v>
      </c>
      <c r="C56" s="3" t="s">
        <v>6</v>
      </c>
      <c r="D56" s="4" t="b">
        <f t="shared" si="1"/>
        <v>0</v>
      </c>
      <c r="E56" s="4" t="s">
        <v>92</v>
      </c>
    </row>
    <row r="57">
      <c r="A57" s="3" t="s">
        <v>93</v>
      </c>
      <c r="B57" s="3">
        <v>1000.0</v>
      </c>
      <c r="C57" s="4"/>
      <c r="D57" s="4" t="b">
        <f t="shared" si="1"/>
        <v>0</v>
      </c>
      <c r="E57" s="4" t="s">
        <v>93</v>
      </c>
    </row>
    <row r="58">
      <c r="A58" s="3" t="s">
        <v>94</v>
      </c>
      <c r="B58" s="3">
        <v>500.0</v>
      </c>
      <c r="C58" s="4"/>
      <c r="D58" s="4" t="b">
        <f t="shared" si="1"/>
        <v>0</v>
      </c>
      <c r="E58" s="4" t="s">
        <v>2079</v>
      </c>
    </row>
    <row r="59">
      <c r="A59" s="3" t="s">
        <v>96</v>
      </c>
      <c r="B59" s="3">
        <v>571.0</v>
      </c>
      <c r="C59" s="4"/>
      <c r="D59" s="4" t="b">
        <f t="shared" si="1"/>
        <v>0</v>
      </c>
      <c r="E59" s="4" t="s">
        <v>2080</v>
      </c>
    </row>
    <row r="60">
      <c r="A60" s="3" t="s">
        <v>99</v>
      </c>
      <c r="B60" s="3">
        <v>0.0</v>
      </c>
      <c r="C60" s="3" t="s">
        <v>3</v>
      </c>
      <c r="D60" s="4" t="b">
        <f t="shared" si="1"/>
        <v>0</v>
      </c>
      <c r="E60" s="4" t="s">
        <v>99</v>
      </c>
    </row>
    <row r="61">
      <c r="A61" s="3" t="s">
        <v>100</v>
      </c>
      <c r="B61" s="3">
        <v>0.0</v>
      </c>
      <c r="C61" s="3" t="s">
        <v>3</v>
      </c>
      <c r="D61" s="4" t="b">
        <f t="shared" si="1"/>
        <v>0</v>
      </c>
      <c r="E61" s="4" t="s">
        <v>100</v>
      </c>
    </row>
    <row r="62">
      <c r="A62" s="3" t="s">
        <v>101</v>
      </c>
      <c r="B62" s="3">
        <v>0.0</v>
      </c>
      <c r="C62" s="3" t="s">
        <v>3</v>
      </c>
      <c r="D62" s="4" t="b">
        <f t="shared" si="1"/>
        <v>0</v>
      </c>
      <c r="E62" s="4" t="s">
        <v>101</v>
      </c>
    </row>
    <row r="63">
      <c r="A63" s="3" t="s">
        <v>102</v>
      </c>
      <c r="B63" s="3">
        <v>0.0</v>
      </c>
      <c r="C63" s="3" t="s">
        <v>3</v>
      </c>
      <c r="D63" s="4" t="b">
        <f t="shared" si="1"/>
        <v>0</v>
      </c>
      <c r="E63" s="4" t="s">
        <v>102</v>
      </c>
    </row>
    <row r="64">
      <c r="A64" s="3" t="s">
        <v>103</v>
      </c>
      <c r="B64" s="3">
        <v>1000.0</v>
      </c>
      <c r="C64" s="4"/>
      <c r="D64" s="4" t="b">
        <f t="shared" si="1"/>
        <v>0</v>
      </c>
      <c r="E64" s="4" t="s">
        <v>103</v>
      </c>
    </row>
    <row r="65">
      <c r="A65" s="3" t="s">
        <v>104</v>
      </c>
      <c r="B65" s="3">
        <v>0.0</v>
      </c>
      <c r="C65" s="3" t="s">
        <v>3</v>
      </c>
      <c r="D65" s="4" t="b">
        <f t="shared" si="1"/>
        <v>0</v>
      </c>
      <c r="E65" s="4" t="s">
        <v>104</v>
      </c>
    </row>
    <row r="66">
      <c r="A66" s="3" t="s">
        <v>105</v>
      </c>
      <c r="B66" s="3">
        <v>0.0</v>
      </c>
      <c r="C66" s="3" t="s">
        <v>3</v>
      </c>
      <c r="D66" s="4" t="b">
        <f t="shared" si="1"/>
        <v>0</v>
      </c>
      <c r="E66" s="4" t="s">
        <v>105</v>
      </c>
    </row>
    <row r="67">
      <c r="A67" s="3" t="s">
        <v>106</v>
      </c>
      <c r="B67" s="3">
        <v>500.0</v>
      </c>
      <c r="C67" s="4"/>
      <c r="D67" s="4" t="b">
        <f t="shared" si="1"/>
        <v>0</v>
      </c>
      <c r="E67" s="4" t="s">
        <v>2081</v>
      </c>
    </row>
    <row r="68">
      <c r="A68" s="3" t="s">
        <v>108</v>
      </c>
      <c r="B68" s="3">
        <v>0.0</v>
      </c>
      <c r="C68" s="3" t="s">
        <v>3</v>
      </c>
      <c r="D68" s="4" t="b">
        <f t="shared" si="1"/>
        <v>0</v>
      </c>
      <c r="E68" s="4" t="s">
        <v>2082</v>
      </c>
    </row>
    <row r="69">
      <c r="A69" s="3" t="s">
        <v>110</v>
      </c>
      <c r="B69" s="3">
        <v>0.0</v>
      </c>
      <c r="C69" s="3" t="s">
        <v>3</v>
      </c>
      <c r="D69" s="4" t="b">
        <f t="shared" si="1"/>
        <v>0</v>
      </c>
      <c r="E69" s="4" t="s">
        <v>110</v>
      </c>
    </row>
    <row r="70">
      <c r="A70" s="3" t="s">
        <v>111</v>
      </c>
      <c r="B70" s="3">
        <v>82238.0</v>
      </c>
      <c r="C70" s="3" t="s">
        <v>37</v>
      </c>
      <c r="D70" s="4" t="b">
        <f t="shared" si="1"/>
        <v>0</v>
      </c>
      <c r="E70" s="4" t="s">
        <v>2083</v>
      </c>
    </row>
    <row r="71">
      <c r="A71" s="3" t="s">
        <v>114</v>
      </c>
      <c r="B71" s="3">
        <v>4000.0</v>
      </c>
      <c r="C71" s="4"/>
      <c r="D71" s="4" t="b">
        <f t="shared" si="1"/>
        <v>0</v>
      </c>
      <c r="E71" s="4" t="s">
        <v>114</v>
      </c>
    </row>
    <row r="72">
      <c r="A72" s="3" t="s">
        <v>116</v>
      </c>
      <c r="B72" s="3">
        <v>300.0</v>
      </c>
      <c r="C72" s="4"/>
      <c r="D72" s="4" t="b">
        <f t="shared" si="1"/>
        <v>0</v>
      </c>
      <c r="E72" s="4" t="s">
        <v>116</v>
      </c>
    </row>
    <row r="73">
      <c r="A73" s="3" t="s">
        <v>117</v>
      </c>
      <c r="B73" s="3">
        <v>8605.0</v>
      </c>
      <c r="C73" s="4"/>
      <c r="D73" s="4" t="b">
        <f t="shared" si="1"/>
        <v>0</v>
      </c>
      <c r="E73" s="4" t="s">
        <v>117</v>
      </c>
    </row>
    <row r="74">
      <c r="A74" s="3" t="s">
        <v>119</v>
      </c>
      <c r="B74" s="3">
        <v>0.0</v>
      </c>
      <c r="C74" s="3" t="s">
        <v>3</v>
      </c>
      <c r="D74" s="4" t="b">
        <f t="shared" si="1"/>
        <v>0</v>
      </c>
      <c r="E74" s="4" t="s">
        <v>2084</v>
      </c>
    </row>
    <row r="75">
      <c r="A75" s="3" t="s">
        <v>121</v>
      </c>
      <c r="B75" s="3">
        <v>0.0</v>
      </c>
      <c r="C75" s="3" t="s">
        <v>3</v>
      </c>
      <c r="D75" s="4" t="b">
        <f t="shared" si="1"/>
        <v>0</v>
      </c>
      <c r="E75" s="4" t="s">
        <v>121</v>
      </c>
    </row>
    <row r="76">
      <c r="A76" s="3" t="s">
        <v>122</v>
      </c>
      <c r="B76" s="3">
        <v>1000.0</v>
      </c>
      <c r="C76" s="3" t="s">
        <v>6</v>
      </c>
      <c r="D76" s="4" t="b">
        <f t="shared" si="1"/>
        <v>0</v>
      </c>
      <c r="E76" s="4" t="s">
        <v>2085</v>
      </c>
    </row>
    <row r="77">
      <c r="A77" s="3" t="s">
        <v>124</v>
      </c>
      <c r="B77" s="3">
        <v>2500.0</v>
      </c>
      <c r="C77" s="3" t="s">
        <v>26</v>
      </c>
      <c r="D77" s="4" t="b">
        <f t="shared" si="1"/>
        <v>0</v>
      </c>
      <c r="E77" s="4" t="s">
        <v>124</v>
      </c>
    </row>
    <row r="78">
      <c r="A78" s="3" t="s">
        <v>126</v>
      </c>
      <c r="B78" s="3">
        <v>450195.0</v>
      </c>
      <c r="C78" s="3" t="s">
        <v>29</v>
      </c>
      <c r="D78" s="4" t="b">
        <f t="shared" si="1"/>
        <v>0</v>
      </c>
      <c r="E78" s="4" t="s">
        <v>2086</v>
      </c>
    </row>
    <row r="79">
      <c r="A79" s="3" t="s">
        <v>129</v>
      </c>
      <c r="B79" s="3">
        <v>0.0</v>
      </c>
      <c r="C79" s="3" t="s">
        <v>29</v>
      </c>
      <c r="D79" s="4" t="b">
        <f t="shared" si="1"/>
        <v>0</v>
      </c>
      <c r="E79" s="4" t="s">
        <v>2087</v>
      </c>
    </row>
    <row r="80">
      <c r="A80" s="3" t="s">
        <v>131</v>
      </c>
      <c r="B80" s="3">
        <v>0.0</v>
      </c>
      <c r="C80" s="3" t="s">
        <v>3</v>
      </c>
      <c r="D80" s="4" t="b">
        <f t="shared" si="1"/>
        <v>0</v>
      </c>
      <c r="E80" s="4" t="s">
        <v>131</v>
      </c>
    </row>
    <row r="81">
      <c r="A81" s="3" t="s">
        <v>132</v>
      </c>
      <c r="B81" s="3">
        <v>0.0</v>
      </c>
      <c r="C81" s="3" t="s">
        <v>3</v>
      </c>
      <c r="D81" s="4" t="b">
        <f t="shared" si="1"/>
        <v>0</v>
      </c>
      <c r="E81" s="4" t="s">
        <v>132</v>
      </c>
    </row>
    <row r="82">
      <c r="A82" s="3" t="s">
        <v>133</v>
      </c>
      <c r="B82" s="3">
        <v>2000.0</v>
      </c>
      <c r="C82" s="3" t="s">
        <v>3</v>
      </c>
      <c r="D82" s="4" t="b">
        <f t="shared" si="1"/>
        <v>0</v>
      </c>
      <c r="E82" s="4" t="s">
        <v>133</v>
      </c>
    </row>
    <row r="83">
      <c r="A83" s="3" t="s">
        <v>134</v>
      </c>
      <c r="B83" s="3">
        <v>750.0</v>
      </c>
      <c r="C83" s="3" t="s">
        <v>3</v>
      </c>
      <c r="D83" s="4" t="b">
        <f t="shared" si="1"/>
        <v>0</v>
      </c>
      <c r="E83" s="4" t="s">
        <v>134</v>
      </c>
    </row>
    <row r="84">
      <c r="A84" s="3" t="s">
        <v>136</v>
      </c>
      <c r="B84" s="3">
        <v>3109.0</v>
      </c>
      <c r="C84" s="4"/>
      <c r="D84" s="4" t="b">
        <f t="shared" si="1"/>
        <v>0</v>
      </c>
      <c r="E84" s="4" t="s">
        <v>136</v>
      </c>
    </row>
    <row r="85">
      <c r="A85" s="3" t="s">
        <v>138</v>
      </c>
      <c r="B85" s="3">
        <v>11011.0</v>
      </c>
      <c r="C85" s="4"/>
      <c r="D85" s="4" t="b">
        <f t="shared" si="1"/>
        <v>0</v>
      </c>
      <c r="E85" s="4" t="s">
        <v>138</v>
      </c>
    </row>
    <row r="86">
      <c r="A86" s="3" t="s">
        <v>140</v>
      </c>
      <c r="B86" s="3">
        <v>0.0</v>
      </c>
      <c r="C86" s="3" t="s">
        <v>6</v>
      </c>
      <c r="D86" s="4" t="b">
        <f t="shared" si="1"/>
        <v>0</v>
      </c>
      <c r="E86" s="4" t="s">
        <v>140</v>
      </c>
    </row>
    <row r="87">
      <c r="A87" s="3" t="s">
        <v>141</v>
      </c>
      <c r="B87" s="3">
        <v>0.0</v>
      </c>
      <c r="C87" s="3" t="s">
        <v>3</v>
      </c>
      <c r="D87" s="4" t="b">
        <f t="shared" si="1"/>
        <v>0</v>
      </c>
      <c r="E87" s="4" t="s">
        <v>141</v>
      </c>
    </row>
    <row r="88">
      <c r="A88" s="3" t="s">
        <v>142</v>
      </c>
      <c r="B88" s="3">
        <v>0.0</v>
      </c>
      <c r="C88" s="3" t="s">
        <v>3</v>
      </c>
      <c r="D88" s="4" t="b">
        <f t="shared" si="1"/>
        <v>0</v>
      </c>
      <c r="E88" s="4" t="s">
        <v>142</v>
      </c>
    </row>
    <row r="89">
      <c r="A89" s="3" t="s">
        <v>143</v>
      </c>
      <c r="B89" s="3">
        <v>0.0</v>
      </c>
      <c r="C89" s="3" t="s">
        <v>32</v>
      </c>
      <c r="D89" s="4" t="b">
        <f t="shared" si="1"/>
        <v>0</v>
      </c>
      <c r="E89" s="4" t="s">
        <v>143</v>
      </c>
    </row>
    <row r="90">
      <c r="A90" s="3" t="s">
        <v>144</v>
      </c>
      <c r="B90" s="3">
        <v>0.0</v>
      </c>
      <c r="C90" s="3" t="s">
        <v>3</v>
      </c>
      <c r="D90" s="4" t="b">
        <f t="shared" si="1"/>
        <v>0</v>
      </c>
      <c r="E90" s="4" t="s">
        <v>144</v>
      </c>
    </row>
    <row r="91">
      <c r="A91" s="3" t="s">
        <v>145</v>
      </c>
      <c r="B91" s="3">
        <v>15000.0</v>
      </c>
      <c r="C91" s="4"/>
      <c r="D91" s="4" t="b">
        <f t="shared" si="1"/>
        <v>0</v>
      </c>
      <c r="E91" s="4" t="s">
        <v>145</v>
      </c>
    </row>
    <row r="92">
      <c r="A92" s="3" t="s">
        <v>147</v>
      </c>
      <c r="B92" s="3">
        <v>0.0</v>
      </c>
      <c r="C92" s="3" t="s">
        <v>3</v>
      </c>
      <c r="D92" s="4" t="b">
        <f t="shared" si="1"/>
        <v>0</v>
      </c>
      <c r="E92" s="4" t="s">
        <v>147</v>
      </c>
    </row>
    <row r="93">
      <c r="A93" s="3" t="s">
        <v>148</v>
      </c>
      <c r="B93" s="3">
        <v>0.0</v>
      </c>
      <c r="C93" s="3" t="s">
        <v>6</v>
      </c>
      <c r="D93" s="4" t="b">
        <f t="shared" si="1"/>
        <v>0</v>
      </c>
      <c r="E93" s="4" t="s">
        <v>148</v>
      </c>
    </row>
    <row r="94">
      <c r="A94" s="3" t="s">
        <v>149</v>
      </c>
      <c r="B94" s="3">
        <v>30000.0</v>
      </c>
      <c r="C94" s="3" t="s">
        <v>3</v>
      </c>
      <c r="D94" s="4" t="b">
        <f t="shared" si="1"/>
        <v>0</v>
      </c>
      <c r="E94" s="4" t="s">
        <v>2088</v>
      </c>
    </row>
    <row r="95">
      <c r="A95" s="3" t="s">
        <v>152</v>
      </c>
      <c r="B95" s="3">
        <v>1500.0</v>
      </c>
      <c r="C95" s="4"/>
      <c r="D95" s="4" t="b">
        <f t="shared" si="1"/>
        <v>0</v>
      </c>
      <c r="E95" s="4" t="s">
        <v>152</v>
      </c>
    </row>
    <row r="96">
      <c r="A96" s="3" t="s">
        <v>153</v>
      </c>
      <c r="B96" s="3">
        <v>0.0</v>
      </c>
      <c r="C96" s="3" t="s">
        <v>29</v>
      </c>
      <c r="D96" s="4" t="b">
        <f t="shared" si="1"/>
        <v>0</v>
      </c>
      <c r="E96" s="4" t="s">
        <v>153</v>
      </c>
    </row>
    <row r="97">
      <c r="A97" s="3" t="s">
        <v>154</v>
      </c>
      <c r="B97" s="3">
        <v>0.0</v>
      </c>
      <c r="C97" s="3" t="s">
        <v>32</v>
      </c>
      <c r="D97" s="4" t="b">
        <f t="shared" si="1"/>
        <v>0</v>
      </c>
      <c r="E97" s="4" t="s">
        <v>154</v>
      </c>
    </row>
    <row r="98">
      <c r="A98" s="3" t="s">
        <v>155</v>
      </c>
      <c r="B98" s="3">
        <v>0.0</v>
      </c>
      <c r="C98" s="3" t="s">
        <v>3</v>
      </c>
      <c r="D98" s="4" t="b">
        <f t="shared" si="1"/>
        <v>0</v>
      </c>
      <c r="E98" s="4" t="s">
        <v>155</v>
      </c>
    </row>
    <row r="99">
      <c r="A99" s="3" t="s">
        <v>156</v>
      </c>
      <c r="B99" s="3">
        <v>0.0</v>
      </c>
      <c r="C99" s="3" t="s">
        <v>6</v>
      </c>
      <c r="D99" s="4" t="b">
        <f t="shared" si="1"/>
        <v>0</v>
      </c>
      <c r="E99" s="4" t="s">
        <v>156</v>
      </c>
    </row>
    <row r="100">
      <c r="A100" s="3" t="s">
        <v>157</v>
      </c>
      <c r="B100" s="3">
        <v>3000.0</v>
      </c>
      <c r="C100" s="4"/>
      <c r="D100" s="4" t="b">
        <f t="shared" si="1"/>
        <v>0</v>
      </c>
      <c r="E100" s="4" t="s">
        <v>157</v>
      </c>
    </row>
    <row r="101">
      <c r="A101" s="3" t="s">
        <v>158</v>
      </c>
      <c r="B101" s="3">
        <v>7932.0</v>
      </c>
      <c r="C101" s="4"/>
      <c r="D101" s="4" t="b">
        <f t="shared" si="1"/>
        <v>0</v>
      </c>
      <c r="E101" s="4" t="s">
        <v>158</v>
      </c>
    </row>
    <row r="102">
      <c r="A102" s="3" t="s">
        <v>160</v>
      </c>
      <c r="B102" s="3">
        <v>0.0</v>
      </c>
      <c r="C102" s="3" t="s">
        <v>26</v>
      </c>
      <c r="D102" s="4" t="b">
        <f t="shared" si="1"/>
        <v>0</v>
      </c>
      <c r="E102" s="4" t="s">
        <v>160</v>
      </c>
    </row>
    <row r="103">
      <c r="A103" s="3" t="s">
        <v>161</v>
      </c>
      <c r="B103" s="3">
        <v>21000.0</v>
      </c>
      <c r="C103" s="3" t="s">
        <v>32</v>
      </c>
      <c r="D103" s="4" t="b">
        <f t="shared" si="1"/>
        <v>0</v>
      </c>
      <c r="E103" s="4" t="s">
        <v>2089</v>
      </c>
    </row>
    <row r="104">
      <c r="A104" s="3" t="s">
        <v>164</v>
      </c>
      <c r="B104" s="3">
        <v>7500.0</v>
      </c>
      <c r="C104" s="4"/>
      <c r="D104" s="4" t="b">
        <f t="shared" si="1"/>
        <v>0</v>
      </c>
      <c r="E104" s="4" t="s">
        <v>164</v>
      </c>
    </row>
    <row r="105">
      <c r="A105" s="3" t="s">
        <v>166</v>
      </c>
      <c r="B105" s="3">
        <v>2700.0</v>
      </c>
      <c r="C105" s="4"/>
      <c r="D105" s="4" t="b">
        <f t="shared" si="1"/>
        <v>0</v>
      </c>
      <c r="E105" s="4" t="s">
        <v>166</v>
      </c>
    </row>
    <row r="106">
      <c r="A106" s="3" t="s">
        <v>168</v>
      </c>
      <c r="B106" s="3">
        <v>2500.0</v>
      </c>
      <c r="C106" s="4"/>
      <c r="D106" s="4" t="b">
        <f t="shared" si="1"/>
        <v>0</v>
      </c>
      <c r="E106" s="4" t="s">
        <v>168</v>
      </c>
    </row>
    <row r="107">
      <c r="A107" s="3" t="s">
        <v>169</v>
      </c>
      <c r="B107" s="3">
        <v>0.0</v>
      </c>
      <c r="C107" s="3" t="s">
        <v>29</v>
      </c>
      <c r="D107" s="4" t="b">
        <f t="shared" si="1"/>
        <v>0</v>
      </c>
      <c r="E107" s="4" t="s">
        <v>169</v>
      </c>
    </row>
    <row r="108">
      <c r="A108" s="3" t="s">
        <v>170</v>
      </c>
      <c r="B108" s="3">
        <v>0.0</v>
      </c>
      <c r="C108" s="3" t="s">
        <v>3</v>
      </c>
      <c r="D108" s="4" t="b">
        <f t="shared" si="1"/>
        <v>0</v>
      </c>
      <c r="E108" s="4" t="s">
        <v>170</v>
      </c>
    </row>
    <row r="109">
      <c r="A109" s="3" t="s">
        <v>171</v>
      </c>
      <c r="B109" s="3">
        <v>12000.0</v>
      </c>
      <c r="C109" s="3" t="s">
        <v>6</v>
      </c>
      <c r="D109" s="4" t="b">
        <f t="shared" si="1"/>
        <v>0</v>
      </c>
      <c r="E109" s="4" t="s">
        <v>171</v>
      </c>
    </row>
    <row r="110">
      <c r="A110" s="3" t="s">
        <v>173</v>
      </c>
      <c r="B110" s="3">
        <v>4000.0</v>
      </c>
      <c r="C110" s="4"/>
      <c r="D110" s="4" t="b">
        <f t="shared" si="1"/>
        <v>0</v>
      </c>
      <c r="E110" s="4" t="s">
        <v>173</v>
      </c>
    </row>
    <row r="111">
      <c r="A111" s="3" t="s">
        <v>174</v>
      </c>
      <c r="B111" s="3">
        <v>752250.0</v>
      </c>
      <c r="C111" s="3" t="s">
        <v>176</v>
      </c>
      <c r="D111" s="4" t="b">
        <f t="shared" si="1"/>
        <v>0</v>
      </c>
      <c r="E111" s="4" t="s">
        <v>174</v>
      </c>
    </row>
    <row r="112">
      <c r="A112" s="3" t="s">
        <v>177</v>
      </c>
      <c r="B112" s="3">
        <v>0.0</v>
      </c>
      <c r="C112" s="3" t="s">
        <v>3</v>
      </c>
      <c r="D112" s="4" t="b">
        <f t="shared" si="1"/>
        <v>0</v>
      </c>
      <c r="E112" s="4" t="s">
        <v>177</v>
      </c>
    </row>
    <row r="113">
      <c r="A113" s="3" t="s">
        <v>178</v>
      </c>
      <c r="B113" s="3">
        <v>0.0</v>
      </c>
      <c r="C113" s="3" t="s">
        <v>6</v>
      </c>
      <c r="D113" s="4" t="b">
        <f t="shared" si="1"/>
        <v>0</v>
      </c>
      <c r="E113" s="4" t="s">
        <v>178</v>
      </c>
    </row>
    <row r="114">
      <c r="A114" s="3" t="s">
        <v>179</v>
      </c>
      <c r="B114" s="3">
        <v>0.0</v>
      </c>
      <c r="C114" s="3" t="s">
        <v>3</v>
      </c>
      <c r="D114" s="4" t="b">
        <f t="shared" si="1"/>
        <v>0</v>
      </c>
      <c r="E114" s="4" t="s">
        <v>179</v>
      </c>
    </row>
    <row r="115">
      <c r="A115" s="3" t="s">
        <v>180</v>
      </c>
      <c r="B115" s="3">
        <v>9880.0</v>
      </c>
      <c r="C115" s="4"/>
      <c r="D115" s="4" t="b">
        <f t="shared" si="1"/>
        <v>0</v>
      </c>
      <c r="E115" s="4" t="s">
        <v>180</v>
      </c>
    </row>
    <row r="116">
      <c r="A116" s="3" t="s">
        <v>182</v>
      </c>
      <c r="B116" s="3">
        <v>0.0</v>
      </c>
      <c r="C116" s="3" t="s">
        <v>3</v>
      </c>
      <c r="D116" s="4" t="b">
        <f t="shared" si="1"/>
        <v>0</v>
      </c>
      <c r="E116" s="4" t="s">
        <v>182</v>
      </c>
    </row>
    <row r="117">
      <c r="A117" s="3" t="s">
        <v>183</v>
      </c>
      <c r="B117" s="3">
        <v>0.0</v>
      </c>
      <c r="C117" s="3" t="s">
        <v>3</v>
      </c>
      <c r="D117" s="4" t="b">
        <f t="shared" si="1"/>
        <v>0</v>
      </c>
      <c r="E117" s="4" t="s">
        <v>183</v>
      </c>
    </row>
    <row r="118">
      <c r="A118" s="3" t="s">
        <v>184</v>
      </c>
      <c r="B118" s="3">
        <v>0.0</v>
      </c>
      <c r="C118" s="3" t="s">
        <v>3</v>
      </c>
      <c r="D118" s="4" t="b">
        <f t="shared" si="1"/>
        <v>0</v>
      </c>
      <c r="E118" s="4" t="s">
        <v>184</v>
      </c>
    </row>
    <row r="119">
      <c r="A119" s="3" t="s">
        <v>185</v>
      </c>
      <c r="B119" s="3">
        <v>0.0</v>
      </c>
      <c r="C119" s="3" t="s">
        <v>6</v>
      </c>
      <c r="D119" s="4" t="b">
        <f t="shared" si="1"/>
        <v>0</v>
      </c>
      <c r="E119" s="4" t="s">
        <v>185</v>
      </c>
    </row>
    <row r="120">
      <c r="A120" s="3" t="s">
        <v>186</v>
      </c>
      <c r="B120" s="3">
        <v>0.0</v>
      </c>
      <c r="C120" s="3" t="s">
        <v>6</v>
      </c>
      <c r="D120" s="4" t="b">
        <f t="shared" si="1"/>
        <v>0</v>
      </c>
      <c r="E120" s="4" t="s">
        <v>186</v>
      </c>
    </row>
    <row r="121">
      <c r="A121" s="3" t="s">
        <v>187</v>
      </c>
      <c r="B121" s="3">
        <v>0.0</v>
      </c>
      <c r="C121" s="3" t="s">
        <v>3</v>
      </c>
      <c r="D121" s="4" t="b">
        <f t="shared" si="1"/>
        <v>0</v>
      </c>
      <c r="E121" s="4" t="s">
        <v>187</v>
      </c>
    </row>
    <row r="122">
      <c r="A122" s="3" t="s">
        <v>188</v>
      </c>
      <c r="B122" s="3">
        <v>0.0</v>
      </c>
      <c r="C122" s="3" t="s">
        <v>32</v>
      </c>
      <c r="D122" s="4" t="b">
        <f t="shared" si="1"/>
        <v>0</v>
      </c>
      <c r="E122" s="4" t="s">
        <v>188</v>
      </c>
    </row>
    <row r="123">
      <c r="A123" s="3" t="s">
        <v>189</v>
      </c>
      <c r="B123" s="3">
        <v>0.0</v>
      </c>
      <c r="C123" s="3" t="s">
        <v>3</v>
      </c>
      <c r="D123" s="4" t="b">
        <f t="shared" si="1"/>
        <v>0</v>
      </c>
      <c r="E123" s="4" t="s">
        <v>2090</v>
      </c>
    </row>
    <row r="124">
      <c r="A124" s="3" t="s">
        <v>191</v>
      </c>
      <c r="B124" s="3">
        <v>0.0</v>
      </c>
      <c r="C124" s="3" t="s">
        <v>3</v>
      </c>
      <c r="D124" s="4" t="b">
        <f t="shared" si="1"/>
        <v>0</v>
      </c>
      <c r="E124" s="4" t="s">
        <v>191</v>
      </c>
    </row>
    <row r="125">
      <c r="A125" s="3" t="s">
        <v>192</v>
      </c>
      <c r="B125" s="3">
        <v>0.0</v>
      </c>
      <c r="C125" s="3" t="s">
        <v>26</v>
      </c>
      <c r="D125" s="4" t="b">
        <f t="shared" si="1"/>
        <v>0</v>
      </c>
      <c r="E125" s="4" t="s">
        <v>192</v>
      </c>
    </row>
    <row r="126">
      <c r="A126" s="3" t="s">
        <v>193</v>
      </c>
      <c r="B126" s="3">
        <v>1000.0</v>
      </c>
      <c r="C126" s="3" t="s">
        <v>29</v>
      </c>
      <c r="D126" s="4" t="b">
        <f t="shared" si="1"/>
        <v>0</v>
      </c>
      <c r="E126" s="4" t="s">
        <v>193</v>
      </c>
    </row>
    <row r="127">
      <c r="A127" s="3" t="s">
        <v>194</v>
      </c>
      <c r="B127" s="3">
        <v>0.0</v>
      </c>
      <c r="C127" s="3" t="s">
        <v>29</v>
      </c>
      <c r="D127" s="4" t="b">
        <f t="shared" si="1"/>
        <v>0</v>
      </c>
      <c r="E127" s="4" t="s">
        <v>194</v>
      </c>
    </row>
    <row r="128">
      <c r="A128" s="3" t="s">
        <v>195</v>
      </c>
      <c r="B128" s="3">
        <v>0.0</v>
      </c>
      <c r="C128" s="3" t="s">
        <v>3</v>
      </c>
      <c r="D128" s="4" t="b">
        <f t="shared" si="1"/>
        <v>0</v>
      </c>
      <c r="E128" s="4" t="s">
        <v>2091</v>
      </c>
    </row>
    <row r="129">
      <c r="A129" s="3" t="s">
        <v>197</v>
      </c>
      <c r="B129" s="3">
        <v>0.0</v>
      </c>
      <c r="C129" s="3" t="s">
        <v>29</v>
      </c>
      <c r="D129" s="4" t="b">
        <f t="shared" si="1"/>
        <v>0</v>
      </c>
      <c r="E129" s="4" t="s">
        <v>197</v>
      </c>
    </row>
    <row r="130">
      <c r="A130" s="3" t="s">
        <v>198</v>
      </c>
      <c r="B130" s="3">
        <v>0.0</v>
      </c>
      <c r="C130" s="3" t="s">
        <v>3</v>
      </c>
      <c r="D130" s="4" t="b">
        <f t="shared" si="1"/>
        <v>0</v>
      </c>
      <c r="E130" s="4" t="s">
        <v>198</v>
      </c>
    </row>
    <row r="131">
      <c r="A131" s="3" t="s">
        <v>199</v>
      </c>
      <c r="B131" s="3">
        <v>4850.0</v>
      </c>
      <c r="C131" s="4"/>
      <c r="D131" s="4" t="b">
        <f t="shared" si="1"/>
        <v>0</v>
      </c>
      <c r="E131" s="4" t="s">
        <v>199</v>
      </c>
    </row>
    <row r="132">
      <c r="A132" s="3" t="s">
        <v>201</v>
      </c>
      <c r="B132" s="3">
        <v>0.0</v>
      </c>
      <c r="C132" s="3" t="s">
        <v>32</v>
      </c>
      <c r="D132" s="4" t="b">
        <f t="shared" si="1"/>
        <v>0</v>
      </c>
      <c r="E132" s="4" t="s">
        <v>201</v>
      </c>
    </row>
    <row r="133">
      <c r="A133" s="3" t="s">
        <v>202</v>
      </c>
      <c r="B133" s="3">
        <v>0.0</v>
      </c>
      <c r="C133" s="3" t="s">
        <v>3</v>
      </c>
      <c r="D133" s="4" t="b">
        <f t="shared" si="1"/>
        <v>0</v>
      </c>
      <c r="E133" s="4" t="s">
        <v>202</v>
      </c>
    </row>
    <row r="134">
      <c r="A134" s="3" t="s">
        <v>203</v>
      </c>
      <c r="B134" s="3">
        <v>15280.0</v>
      </c>
      <c r="C134" s="4"/>
      <c r="D134" s="4" t="b">
        <f t="shared" si="1"/>
        <v>0</v>
      </c>
      <c r="E134" s="4" t="s">
        <v>203</v>
      </c>
    </row>
    <row r="135">
      <c r="A135" s="3" t="s">
        <v>205</v>
      </c>
      <c r="B135" s="3">
        <v>0.0</v>
      </c>
      <c r="C135" s="3" t="s">
        <v>3</v>
      </c>
      <c r="D135" s="4" t="b">
        <f t="shared" si="1"/>
        <v>0</v>
      </c>
      <c r="E135" s="4" t="s">
        <v>205</v>
      </c>
    </row>
    <row r="136">
      <c r="A136" s="3" t="s">
        <v>206</v>
      </c>
      <c r="B136" s="3">
        <v>0.0</v>
      </c>
      <c r="C136" s="3" t="s">
        <v>3</v>
      </c>
      <c r="D136" s="4" t="b">
        <f t="shared" si="1"/>
        <v>0</v>
      </c>
      <c r="E136" s="4" t="s">
        <v>206</v>
      </c>
    </row>
    <row r="137">
      <c r="A137" s="3" t="s">
        <v>207</v>
      </c>
      <c r="B137" s="3">
        <v>0.0</v>
      </c>
      <c r="C137" s="3" t="s">
        <v>3</v>
      </c>
      <c r="D137" s="4" t="b">
        <f t="shared" si="1"/>
        <v>0</v>
      </c>
      <c r="E137" s="4" t="s">
        <v>207</v>
      </c>
    </row>
    <row r="138">
      <c r="A138" s="3" t="s">
        <v>208</v>
      </c>
      <c r="B138" s="3">
        <v>0.0</v>
      </c>
      <c r="C138" s="3" t="s">
        <v>3</v>
      </c>
      <c r="D138" s="4" t="b">
        <f t="shared" si="1"/>
        <v>0</v>
      </c>
      <c r="E138" s="4" t="s">
        <v>2092</v>
      </c>
    </row>
    <row r="139">
      <c r="A139" s="3" t="s">
        <v>210</v>
      </c>
      <c r="B139" s="3">
        <v>0.0</v>
      </c>
      <c r="C139" s="3" t="s">
        <v>3</v>
      </c>
      <c r="D139" s="4" t="b">
        <f t="shared" si="1"/>
        <v>0</v>
      </c>
      <c r="E139" s="4" t="s">
        <v>210</v>
      </c>
    </row>
    <row r="140">
      <c r="A140" s="3" t="s">
        <v>211</v>
      </c>
      <c r="B140" s="3">
        <v>0.0</v>
      </c>
      <c r="C140" s="3" t="s">
        <v>6</v>
      </c>
      <c r="D140" s="4" t="b">
        <f t="shared" si="1"/>
        <v>0</v>
      </c>
      <c r="E140" s="4" t="s">
        <v>211</v>
      </c>
    </row>
    <row r="141">
      <c r="A141" s="3" t="s">
        <v>212</v>
      </c>
      <c r="B141" s="3">
        <v>0.0</v>
      </c>
      <c r="C141" s="3" t="s">
        <v>29</v>
      </c>
      <c r="D141" s="4" t="b">
        <f t="shared" si="1"/>
        <v>0</v>
      </c>
      <c r="E141" s="4" t="s">
        <v>212</v>
      </c>
    </row>
    <row r="142">
      <c r="A142" s="3" t="s">
        <v>213</v>
      </c>
      <c r="B142" s="3">
        <v>3220.0</v>
      </c>
      <c r="C142" s="4"/>
      <c r="D142" s="4" t="b">
        <f t="shared" si="1"/>
        <v>0</v>
      </c>
      <c r="E142" s="4" t="s">
        <v>213</v>
      </c>
    </row>
    <row r="143">
      <c r="A143" s="3" t="s">
        <v>215</v>
      </c>
      <c r="B143" s="3">
        <v>0.0</v>
      </c>
      <c r="C143" s="3" t="s">
        <v>216</v>
      </c>
      <c r="D143" s="4" t="b">
        <f t="shared" si="1"/>
        <v>0</v>
      </c>
      <c r="E143" s="4" t="s">
        <v>215</v>
      </c>
    </row>
    <row r="144">
      <c r="A144" s="3" t="s">
        <v>217</v>
      </c>
      <c r="B144" s="3">
        <v>3500.0</v>
      </c>
      <c r="C144" s="3" t="s">
        <v>3</v>
      </c>
      <c r="D144" s="4" t="b">
        <f t="shared" si="1"/>
        <v>0</v>
      </c>
      <c r="E144" s="4" t="s">
        <v>2093</v>
      </c>
    </row>
    <row r="145">
      <c r="A145" s="3" t="s">
        <v>220</v>
      </c>
      <c r="B145" s="3">
        <v>0.0</v>
      </c>
      <c r="C145" s="3" t="s">
        <v>6</v>
      </c>
      <c r="D145" s="4" t="b">
        <f t="shared" si="1"/>
        <v>0</v>
      </c>
      <c r="E145" s="4" t="s">
        <v>220</v>
      </c>
    </row>
    <row r="146">
      <c r="A146" s="3" t="s">
        <v>221</v>
      </c>
      <c r="B146" s="3">
        <v>0.0</v>
      </c>
      <c r="C146" s="3" t="s">
        <v>29</v>
      </c>
      <c r="D146" s="4" t="b">
        <f t="shared" si="1"/>
        <v>0</v>
      </c>
      <c r="E146" s="4" t="s">
        <v>2094</v>
      </c>
    </row>
    <row r="147">
      <c r="A147" s="3" t="s">
        <v>223</v>
      </c>
      <c r="B147" s="3">
        <v>532800.0</v>
      </c>
      <c r="C147" s="4"/>
      <c r="D147" s="4" t="b">
        <f t="shared" si="1"/>
        <v>0</v>
      </c>
      <c r="E147" s="4" t="s">
        <v>223</v>
      </c>
    </row>
    <row r="148">
      <c r="A148" s="3" t="s">
        <v>225</v>
      </c>
      <c r="B148" s="3">
        <v>0.0</v>
      </c>
      <c r="C148" s="3" t="s">
        <v>3</v>
      </c>
      <c r="D148" s="4" t="b">
        <f t="shared" si="1"/>
        <v>0</v>
      </c>
      <c r="E148" s="4" t="s">
        <v>225</v>
      </c>
    </row>
    <row r="149">
      <c r="A149" s="3" t="s">
        <v>226</v>
      </c>
      <c r="B149" s="3">
        <v>2000.0</v>
      </c>
      <c r="C149" s="3" t="s">
        <v>3</v>
      </c>
      <c r="D149" s="4" t="b">
        <f t="shared" si="1"/>
        <v>0</v>
      </c>
      <c r="E149" s="4" t="s">
        <v>226</v>
      </c>
    </row>
    <row r="150">
      <c r="A150" s="3" t="s">
        <v>227</v>
      </c>
      <c r="B150" s="3">
        <v>0.0</v>
      </c>
      <c r="C150" s="3" t="s">
        <v>3</v>
      </c>
      <c r="D150" s="4" t="b">
        <f t="shared" si="1"/>
        <v>0</v>
      </c>
      <c r="E150" s="4" t="s">
        <v>227</v>
      </c>
    </row>
    <row r="151">
      <c r="A151" s="3" t="s">
        <v>228</v>
      </c>
      <c r="B151" s="3">
        <v>0.0</v>
      </c>
      <c r="C151" s="3" t="s">
        <v>32</v>
      </c>
      <c r="D151" s="4" t="b">
        <f t="shared" si="1"/>
        <v>0</v>
      </c>
      <c r="E151" s="4" t="s">
        <v>2095</v>
      </c>
    </row>
    <row r="152">
      <c r="A152" s="3" t="s">
        <v>230</v>
      </c>
      <c r="B152" s="3">
        <v>0.0</v>
      </c>
      <c r="C152" s="3" t="s">
        <v>3</v>
      </c>
      <c r="D152" s="4" t="b">
        <f t="shared" si="1"/>
        <v>0</v>
      </c>
      <c r="E152" s="4" t="s">
        <v>2096</v>
      </c>
    </row>
    <row r="153">
      <c r="A153" s="3" t="s">
        <v>232</v>
      </c>
      <c r="B153" s="3">
        <v>0.0</v>
      </c>
      <c r="C153" s="3" t="s">
        <v>6</v>
      </c>
      <c r="D153" s="4" t="b">
        <f t="shared" si="1"/>
        <v>0</v>
      </c>
      <c r="E153" s="4" t="s">
        <v>232</v>
      </c>
    </row>
    <row r="154">
      <c r="A154" s="3" t="s">
        <v>233</v>
      </c>
      <c r="B154" s="3">
        <v>0.0</v>
      </c>
      <c r="C154" s="3" t="s">
        <v>6</v>
      </c>
      <c r="D154" s="4" t="b">
        <f t="shared" si="1"/>
        <v>0</v>
      </c>
      <c r="E154" s="4" t="s">
        <v>233</v>
      </c>
    </row>
    <row r="155">
      <c r="A155" s="3" t="s">
        <v>234</v>
      </c>
      <c r="B155" s="3">
        <v>0.0</v>
      </c>
      <c r="C155" s="3" t="s">
        <v>3</v>
      </c>
      <c r="D155" s="4" t="b">
        <f t="shared" si="1"/>
        <v>0</v>
      </c>
      <c r="E155" s="4" t="s">
        <v>234</v>
      </c>
    </row>
    <row r="156">
      <c r="A156" s="3" t="s">
        <v>235</v>
      </c>
      <c r="B156" s="3">
        <v>0.0</v>
      </c>
      <c r="C156" s="3" t="s">
        <v>3</v>
      </c>
      <c r="D156" s="4" t="b">
        <f t="shared" si="1"/>
        <v>0</v>
      </c>
      <c r="E156" s="4" t="s">
        <v>2097</v>
      </c>
    </row>
    <row r="157">
      <c r="A157" s="3" t="s">
        <v>237</v>
      </c>
      <c r="B157" s="3">
        <v>0.0</v>
      </c>
      <c r="C157" s="3" t="s">
        <v>3</v>
      </c>
      <c r="D157" s="4" t="b">
        <f t="shared" si="1"/>
        <v>0</v>
      </c>
      <c r="E157" s="4" t="s">
        <v>237</v>
      </c>
    </row>
    <row r="158">
      <c r="A158" s="3" t="s">
        <v>238</v>
      </c>
      <c r="B158" s="3">
        <v>5500.0</v>
      </c>
      <c r="C158" s="3" t="s">
        <v>3</v>
      </c>
      <c r="D158" s="4" t="b">
        <f t="shared" si="1"/>
        <v>0</v>
      </c>
      <c r="E158" s="4" t="s">
        <v>238</v>
      </c>
    </row>
    <row r="159">
      <c r="A159" s="3" t="s">
        <v>239</v>
      </c>
      <c r="B159" s="3">
        <v>0.0</v>
      </c>
      <c r="C159" s="3" t="s">
        <v>3</v>
      </c>
      <c r="D159" s="4" t="b">
        <f t="shared" si="1"/>
        <v>0</v>
      </c>
      <c r="E159" s="4" t="s">
        <v>239</v>
      </c>
    </row>
    <row r="160">
      <c r="A160" s="3" t="s">
        <v>240</v>
      </c>
      <c r="B160" s="3">
        <v>0.0</v>
      </c>
      <c r="C160" s="3" t="s">
        <v>3</v>
      </c>
      <c r="D160" s="4" t="b">
        <f t="shared" si="1"/>
        <v>0</v>
      </c>
      <c r="E160" s="4" t="s">
        <v>240</v>
      </c>
    </row>
    <row r="161">
      <c r="A161" s="3" t="s">
        <v>241</v>
      </c>
      <c r="B161" s="3">
        <v>0.0</v>
      </c>
      <c r="C161" s="3" t="s">
        <v>6</v>
      </c>
      <c r="D161" s="4" t="b">
        <f t="shared" si="1"/>
        <v>0</v>
      </c>
      <c r="E161" s="4" t="s">
        <v>241</v>
      </c>
    </row>
    <row r="162">
      <c r="A162" s="3" t="s">
        <v>242</v>
      </c>
      <c r="B162" s="3">
        <v>300.0</v>
      </c>
      <c r="C162" s="3" t="s">
        <v>3</v>
      </c>
      <c r="D162" s="4" t="b">
        <f t="shared" si="1"/>
        <v>0</v>
      </c>
      <c r="E162" s="4" t="s">
        <v>2098</v>
      </c>
    </row>
    <row r="163">
      <c r="A163" s="3" t="s">
        <v>244</v>
      </c>
      <c r="B163" s="3">
        <v>50580.0</v>
      </c>
      <c r="C163" s="3" t="s">
        <v>216</v>
      </c>
      <c r="D163" s="4" t="b">
        <f t="shared" si="1"/>
        <v>0</v>
      </c>
      <c r="E163" s="4" t="s">
        <v>2099</v>
      </c>
    </row>
    <row r="164">
      <c r="A164" s="3" t="s">
        <v>247</v>
      </c>
      <c r="B164" s="3">
        <v>0.0</v>
      </c>
      <c r="C164" s="3" t="s">
        <v>3</v>
      </c>
      <c r="D164" s="4" t="b">
        <f t="shared" si="1"/>
        <v>0</v>
      </c>
      <c r="E164" s="4" t="s">
        <v>2100</v>
      </c>
    </row>
    <row r="165">
      <c r="A165" s="3" t="s">
        <v>249</v>
      </c>
      <c r="B165" s="3">
        <v>0.0</v>
      </c>
      <c r="C165" s="3" t="s">
        <v>3</v>
      </c>
      <c r="D165" s="4" t="b">
        <f t="shared" si="1"/>
        <v>0</v>
      </c>
      <c r="E165" s="4" t="s">
        <v>249</v>
      </c>
    </row>
    <row r="166">
      <c r="A166" s="3" t="s">
        <v>250</v>
      </c>
      <c r="B166" s="3">
        <v>0.0</v>
      </c>
      <c r="C166" s="3" t="s">
        <v>32</v>
      </c>
      <c r="D166" s="4" t="b">
        <f t="shared" si="1"/>
        <v>0</v>
      </c>
      <c r="E166" s="4" t="s">
        <v>2101</v>
      </c>
    </row>
    <row r="167">
      <c r="A167" s="3" t="s">
        <v>252</v>
      </c>
      <c r="B167" s="3">
        <v>4000.0</v>
      </c>
      <c r="C167" s="3" t="s">
        <v>3</v>
      </c>
      <c r="D167" s="4" t="b">
        <f t="shared" si="1"/>
        <v>0</v>
      </c>
      <c r="E167" s="4" t="s">
        <v>2102</v>
      </c>
    </row>
    <row r="168">
      <c r="A168" s="3" t="s">
        <v>254</v>
      </c>
      <c r="B168" s="3">
        <v>512833.33</v>
      </c>
      <c r="C168" s="4"/>
      <c r="D168" s="4" t="b">
        <f t="shared" si="1"/>
        <v>0</v>
      </c>
      <c r="E168" s="4" t="s">
        <v>2103</v>
      </c>
    </row>
    <row r="169">
      <c r="A169" s="3" t="s">
        <v>257</v>
      </c>
      <c r="B169" s="3">
        <v>0.0</v>
      </c>
      <c r="C169" s="3" t="s">
        <v>3</v>
      </c>
      <c r="D169" s="4" t="b">
        <f t="shared" si="1"/>
        <v>0</v>
      </c>
      <c r="E169" s="4" t="s">
        <v>257</v>
      </c>
    </row>
    <row r="170">
      <c r="A170" s="3" t="s">
        <v>258</v>
      </c>
      <c r="B170" s="3">
        <v>0.0</v>
      </c>
      <c r="C170" s="3" t="s">
        <v>3</v>
      </c>
      <c r="D170" s="4" t="b">
        <f t="shared" si="1"/>
        <v>0</v>
      </c>
      <c r="E170" s="4" t="s">
        <v>258</v>
      </c>
    </row>
    <row r="171">
      <c r="A171" s="3" t="s">
        <v>259</v>
      </c>
      <c r="B171" s="3">
        <v>0.0</v>
      </c>
      <c r="C171" s="3" t="s">
        <v>3</v>
      </c>
      <c r="D171" s="4" t="b">
        <f t="shared" si="1"/>
        <v>0</v>
      </c>
      <c r="E171" s="4" t="s">
        <v>259</v>
      </c>
    </row>
    <row r="172">
      <c r="A172" s="3" t="s">
        <v>260</v>
      </c>
      <c r="B172" s="3">
        <v>2064.0</v>
      </c>
      <c r="C172" s="3" t="s">
        <v>32</v>
      </c>
      <c r="D172" s="4" t="b">
        <f t="shared" si="1"/>
        <v>0</v>
      </c>
      <c r="E172" s="4" t="s">
        <v>260</v>
      </c>
    </row>
    <row r="173">
      <c r="A173" s="3" t="s">
        <v>262</v>
      </c>
      <c r="B173" s="3">
        <v>0.0</v>
      </c>
      <c r="C173" s="3" t="s">
        <v>3</v>
      </c>
      <c r="D173" s="4" t="b">
        <f t="shared" si="1"/>
        <v>0</v>
      </c>
      <c r="E173" s="4" t="s">
        <v>262</v>
      </c>
    </row>
    <row r="174">
      <c r="A174" s="3" t="s">
        <v>263</v>
      </c>
      <c r="B174" s="3">
        <v>0.0</v>
      </c>
      <c r="C174" s="3" t="s">
        <v>3</v>
      </c>
      <c r="D174" s="4" t="b">
        <f t="shared" si="1"/>
        <v>0</v>
      </c>
      <c r="E174" s="4" t="s">
        <v>2104</v>
      </c>
    </row>
    <row r="175">
      <c r="A175" s="3" t="s">
        <v>265</v>
      </c>
      <c r="B175" s="3">
        <v>0.0</v>
      </c>
      <c r="C175" s="3" t="s">
        <v>3</v>
      </c>
      <c r="D175" s="4" t="b">
        <f t="shared" si="1"/>
        <v>0</v>
      </c>
      <c r="E175" s="4" t="s">
        <v>2105</v>
      </c>
    </row>
    <row r="176">
      <c r="A176" s="3" t="s">
        <v>267</v>
      </c>
      <c r="B176" s="3">
        <v>0.0</v>
      </c>
      <c r="C176" s="3" t="s">
        <v>3</v>
      </c>
      <c r="D176" s="4" t="b">
        <f t="shared" si="1"/>
        <v>0</v>
      </c>
      <c r="E176" s="4" t="s">
        <v>2106</v>
      </c>
    </row>
    <row r="177">
      <c r="A177" s="3" t="s">
        <v>269</v>
      </c>
      <c r="B177" s="3">
        <v>0.0</v>
      </c>
      <c r="C177" s="3" t="s">
        <v>3</v>
      </c>
      <c r="D177" s="4" t="b">
        <f t="shared" si="1"/>
        <v>0</v>
      </c>
      <c r="E177" s="4" t="s">
        <v>2107</v>
      </c>
    </row>
    <row r="178">
      <c r="A178" s="3" t="s">
        <v>271</v>
      </c>
      <c r="B178" s="3">
        <v>0.0</v>
      </c>
      <c r="C178" s="3" t="s">
        <v>3</v>
      </c>
      <c r="D178" s="4" t="b">
        <f t="shared" si="1"/>
        <v>0</v>
      </c>
      <c r="E178" s="4" t="s">
        <v>2108</v>
      </c>
    </row>
    <row r="179">
      <c r="A179" s="3" t="s">
        <v>273</v>
      </c>
      <c r="B179" s="3">
        <v>0.0</v>
      </c>
      <c r="C179" s="3" t="s">
        <v>3</v>
      </c>
      <c r="D179" s="4" t="b">
        <f t="shared" si="1"/>
        <v>0</v>
      </c>
      <c r="E179" s="4" t="s">
        <v>273</v>
      </c>
    </row>
    <row r="180">
      <c r="A180" s="3" t="s">
        <v>274</v>
      </c>
      <c r="B180" s="3">
        <v>4000.0</v>
      </c>
      <c r="C180" s="3" t="s">
        <v>3</v>
      </c>
      <c r="D180" s="4" t="b">
        <f t="shared" si="1"/>
        <v>0</v>
      </c>
      <c r="E180" s="4" t="s">
        <v>2109</v>
      </c>
    </row>
    <row r="181">
      <c r="A181" s="3" t="s">
        <v>276</v>
      </c>
      <c r="B181" s="3">
        <v>0.0</v>
      </c>
      <c r="C181" s="3" t="s">
        <v>3</v>
      </c>
      <c r="D181" s="4" t="b">
        <f t="shared" si="1"/>
        <v>0</v>
      </c>
      <c r="E181" s="4" t="s">
        <v>276</v>
      </c>
    </row>
    <row r="182">
      <c r="A182" s="3" t="s">
        <v>277</v>
      </c>
      <c r="B182" s="3">
        <v>0.0</v>
      </c>
      <c r="C182" s="3" t="s">
        <v>3</v>
      </c>
      <c r="D182" s="4" t="b">
        <f t="shared" si="1"/>
        <v>0</v>
      </c>
      <c r="E182" s="4" t="s">
        <v>277</v>
      </c>
    </row>
    <row r="183">
      <c r="A183" s="3" t="s">
        <v>278</v>
      </c>
      <c r="B183" s="3">
        <v>15500.0</v>
      </c>
      <c r="C183" s="3" t="s">
        <v>280</v>
      </c>
      <c r="D183" s="4" t="b">
        <f t="shared" si="1"/>
        <v>0</v>
      </c>
      <c r="E183" s="4" t="s">
        <v>278</v>
      </c>
    </row>
    <row r="184">
      <c r="A184" s="3" t="s">
        <v>281</v>
      </c>
      <c r="B184" s="3">
        <v>600.0</v>
      </c>
      <c r="C184" s="4"/>
      <c r="D184" s="4" t="b">
        <f t="shared" si="1"/>
        <v>0</v>
      </c>
      <c r="E184" s="4" t="s">
        <v>2110</v>
      </c>
    </row>
    <row r="185">
      <c r="A185" s="3" t="s">
        <v>284</v>
      </c>
      <c r="B185" s="3">
        <v>0.0</v>
      </c>
      <c r="C185" s="3" t="s">
        <v>6</v>
      </c>
      <c r="D185" s="4" t="b">
        <f t="shared" si="1"/>
        <v>0</v>
      </c>
      <c r="E185" s="4" t="s">
        <v>2111</v>
      </c>
    </row>
    <row r="186">
      <c r="A186" s="3" t="s">
        <v>286</v>
      </c>
      <c r="B186" s="3">
        <v>0.0</v>
      </c>
      <c r="C186" s="3" t="s">
        <v>3</v>
      </c>
      <c r="D186" s="4" t="b">
        <f t="shared" si="1"/>
        <v>0</v>
      </c>
      <c r="E186" s="4" t="s">
        <v>286</v>
      </c>
    </row>
    <row r="187">
      <c r="A187" s="3" t="s">
        <v>287</v>
      </c>
      <c r="B187" s="3">
        <v>0.0</v>
      </c>
      <c r="C187" s="3" t="s">
        <v>3</v>
      </c>
      <c r="D187" s="4" t="b">
        <f t="shared" si="1"/>
        <v>0</v>
      </c>
      <c r="E187" s="4" t="s">
        <v>2112</v>
      </c>
    </row>
    <row r="188">
      <c r="A188" s="3" t="s">
        <v>289</v>
      </c>
      <c r="B188" s="3">
        <v>0.0</v>
      </c>
      <c r="C188" s="3" t="s">
        <v>3</v>
      </c>
      <c r="D188" s="4" t="b">
        <f t="shared" si="1"/>
        <v>0</v>
      </c>
      <c r="E188" s="4" t="s">
        <v>2113</v>
      </c>
    </row>
    <row r="189">
      <c r="A189" s="3" t="s">
        <v>291</v>
      </c>
      <c r="B189" s="3">
        <v>0.0</v>
      </c>
      <c r="C189" s="3" t="s">
        <v>3</v>
      </c>
      <c r="D189" s="4" t="b">
        <f t="shared" si="1"/>
        <v>0</v>
      </c>
      <c r="E189" s="4" t="s">
        <v>2114</v>
      </c>
    </row>
    <row r="190">
      <c r="A190" s="3" t="s">
        <v>293</v>
      </c>
      <c r="B190" s="3">
        <v>3030.0</v>
      </c>
      <c r="C190" s="4"/>
      <c r="D190" s="4" t="b">
        <f t="shared" si="1"/>
        <v>0</v>
      </c>
      <c r="E190" s="4" t="s">
        <v>2115</v>
      </c>
    </row>
    <row r="191">
      <c r="A191" s="3" t="s">
        <v>296</v>
      </c>
      <c r="B191" s="3">
        <v>0.0</v>
      </c>
      <c r="C191" s="3" t="s">
        <v>3</v>
      </c>
      <c r="D191" s="4" t="b">
        <f t="shared" si="1"/>
        <v>0</v>
      </c>
      <c r="E191" s="4" t="s">
        <v>296</v>
      </c>
    </row>
    <row r="192">
      <c r="A192" s="3" t="s">
        <v>297</v>
      </c>
      <c r="B192" s="3">
        <v>1000.0</v>
      </c>
      <c r="C192" s="3" t="s">
        <v>3</v>
      </c>
      <c r="D192" s="4" t="b">
        <f t="shared" si="1"/>
        <v>0</v>
      </c>
      <c r="E192" s="4" t="s">
        <v>2116</v>
      </c>
    </row>
    <row r="193">
      <c r="A193" s="3" t="s">
        <v>299</v>
      </c>
      <c r="B193" s="3">
        <v>8907.0</v>
      </c>
      <c r="C193" s="3" t="s">
        <v>6</v>
      </c>
      <c r="D193" s="4" t="b">
        <f t="shared" si="1"/>
        <v>0</v>
      </c>
      <c r="E193" s="4" t="s">
        <v>299</v>
      </c>
    </row>
    <row r="194">
      <c r="A194" s="3" t="s">
        <v>301</v>
      </c>
      <c r="B194" s="3">
        <v>8060927.5</v>
      </c>
      <c r="C194" s="3" t="s">
        <v>303</v>
      </c>
      <c r="D194" s="4" t="b">
        <f t="shared" si="1"/>
        <v>0</v>
      </c>
      <c r="E194" s="4" t="s">
        <v>2117</v>
      </c>
    </row>
    <row r="195">
      <c r="A195" s="3" t="s">
        <v>306</v>
      </c>
      <c r="B195" s="3">
        <v>0.0</v>
      </c>
      <c r="C195" s="3" t="s">
        <v>3</v>
      </c>
      <c r="D195" s="4" t="b">
        <f t="shared" si="1"/>
        <v>0</v>
      </c>
      <c r="E195" s="4" t="s">
        <v>2118</v>
      </c>
    </row>
    <row r="196">
      <c r="A196" s="3" t="s">
        <v>307</v>
      </c>
      <c r="B196" s="3">
        <v>8400.0</v>
      </c>
      <c r="C196" s="4"/>
      <c r="D196" s="4" t="b">
        <f t="shared" si="1"/>
        <v>0</v>
      </c>
      <c r="E196" s="4" t="s">
        <v>2119</v>
      </c>
    </row>
    <row r="197">
      <c r="A197" s="3" t="s">
        <v>310</v>
      </c>
      <c r="B197" s="3">
        <v>0.0</v>
      </c>
      <c r="C197" s="3" t="s">
        <v>3</v>
      </c>
      <c r="D197" s="4" t="b">
        <f t="shared" si="1"/>
        <v>0</v>
      </c>
      <c r="E197" s="4" t="s">
        <v>310</v>
      </c>
    </row>
    <row r="198">
      <c r="A198" s="3" t="s">
        <v>311</v>
      </c>
      <c r="B198" s="3">
        <v>0.0</v>
      </c>
      <c r="C198" s="3" t="s">
        <v>6</v>
      </c>
      <c r="D198" s="4" t="b">
        <f t="shared" si="1"/>
        <v>0</v>
      </c>
      <c r="E198" s="4" t="s">
        <v>311</v>
      </c>
    </row>
    <row r="199">
      <c r="A199" s="3" t="s">
        <v>312</v>
      </c>
      <c r="B199" s="3">
        <v>9400.0</v>
      </c>
      <c r="C199" s="4"/>
      <c r="D199" s="4" t="b">
        <f t="shared" si="1"/>
        <v>0</v>
      </c>
      <c r="E199" s="4" t="s">
        <v>312</v>
      </c>
    </row>
    <row r="200">
      <c r="A200" s="3" t="s">
        <v>314</v>
      </c>
      <c r="B200" s="3">
        <v>4880.0</v>
      </c>
      <c r="C200" s="3" t="s">
        <v>6</v>
      </c>
      <c r="D200" s="4" t="b">
        <f t="shared" si="1"/>
        <v>0</v>
      </c>
      <c r="E200" s="4" t="s">
        <v>314</v>
      </c>
    </row>
    <row r="201">
      <c r="A201" s="3" t="s">
        <v>316</v>
      </c>
      <c r="B201" s="3">
        <v>4420.0</v>
      </c>
      <c r="C201" s="4"/>
      <c r="D201" s="4" t="b">
        <f t="shared" si="1"/>
        <v>0</v>
      </c>
      <c r="E201" s="4" t="s">
        <v>316</v>
      </c>
    </row>
    <row r="202">
      <c r="A202" s="3" t="s">
        <v>318</v>
      </c>
      <c r="B202" s="3">
        <v>2055.0</v>
      </c>
      <c r="C202" s="4"/>
      <c r="D202" s="4" t="b">
        <f t="shared" si="1"/>
        <v>0</v>
      </c>
      <c r="E202" s="4" t="s">
        <v>318</v>
      </c>
    </row>
    <row r="203">
      <c r="A203" s="3" t="s">
        <v>320</v>
      </c>
      <c r="B203" s="3">
        <v>2150.0</v>
      </c>
      <c r="C203" s="3" t="s">
        <v>6</v>
      </c>
      <c r="D203" s="4" t="b">
        <f t="shared" si="1"/>
        <v>0</v>
      </c>
      <c r="E203" s="4" t="s">
        <v>320</v>
      </c>
    </row>
    <row r="204">
      <c r="A204" s="3" t="s">
        <v>322</v>
      </c>
      <c r="B204" s="3">
        <v>7475.0</v>
      </c>
      <c r="C204" s="3" t="s">
        <v>32</v>
      </c>
      <c r="D204" s="4" t="b">
        <f t="shared" si="1"/>
        <v>0</v>
      </c>
      <c r="E204" s="4" t="s">
        <v>322</v>
      </c>
    </row>
    <row r="205">
      <c r="A205" s="3" t="s">
        <v>324</v>
      </c>
      <c r="B205" s="3">
        <v>920.0</v>
      </c>
      <c r="C205" s="4"/>
      <c r="D205" s="4" t="b">
        <f t="shared" si="1"/>
        <v>0</v>
      </c>
      <c r="E205" s="4" t="s">
        <v>2120</v>
      </c>
    </row>
    <row r="206">
      <c r="A206" s="3" t="s">
        <v>327</v>
      </c>
      <c r="B206" s="3">
        <v>4700.0</v>
      </c>
      <c r="C206" s="4"/>
      <c r="D206" s="4" t="b">
        <f t="shared" si="1"/>
        <v>0</v>
      </c>
      <c r="E206" s="4" t="s">
        <v>2121</v>
      </c>
    </row>
    <row r="207">
      <c r="A207" s="3" t="s">
        <v>330</v>
      </c>
      <c r="B207" s="3">
        <v>5688.0</v>
      </c>
      <c r="C207" s="3" t="s">
        <v>6</v>
      </c>
      <c r="D207" s="4" t="b">
        <f t="shared" si="1"/>
        <v>0</v>
      </c>
      <c r="E207" s="4" t="s">
        <v>330</v>
      </c>
    </row>
    <row r="208">
      <c r="A208" s="3" t="s">
        <v>332</v>
      </c>
      <c r="B208" s="3">
        <v>1500.0</v>
      </c>
      <c r="C208" s="4"/>
      <c r="D208" s="4" t="b">
        <f t="shared" si="1"/>
        <v>0</v>
      </c>
      <c r="E208" s="4" t="s">
        <v>2122</v>
      </c>
    </row>
    <row r="209">
      <c r="A209" s="3" t="s">
        <v>332</v>
      </c>
      <c r="B209" s="3">
        <v>0.0</v>
      </c>
      <c r="C209" s="3" t="s">
        <v>32</v>
      </c>
      <c r="D209" s="4" t="b">
        <f t="shared" si="1"/>
        <v>0</v>
      </c>
      <c r="E209" s="4" t="s">
        <v>2123</v>
      </c>
    </row>
    <row r="210">
      <c r="A210" s="3" t="s">
        <v>332</v>
      </c>
      <c r="B210" s="3">
        <v>0.0</v>
      </c>
      <c r="C210" s="3" t="s">
        <v>6</v>
      </c>
      <c r="D210" s="4" t="b">
        <f t="shared" si="1"/>
        <v>0</v>
      </c>
      <c r="E210" s="4" t="s">
        <v>2124</v>
      </c>
    </row>
    <row r="211">
      <c r="A211" s="3" t="s">
        <v>336</v>
      </c>
      <c r="B211" s="3">
        <v>3000.0</v>
      </c>
      <c r="C211" s="3" t="s">
        <v>6</v>
      </c>
      <c r="D211" s="4" t="b">
        <f t="shared" si="1"/>
        <v>0</v>
      </c>
      <c r="E211" s="4" t="s">
        <v>2125</v>
      </c>
    </row>
    <row r="212">
      <c r="A212" s="3" t="s">
        <v>338</v>
      </c>
      <c r="B212" s="3">
        <v>0.0</v>
      </c>
      <c r="C212" s="3" t="s">
        <v>6</v>
      </c>
      <c r="D212" s="4" t="b">
        <f t="shared" si="1"/>
        <v>0</v>
      </c>
      <c r="E212" s="4" t="s">
        <v>2126</v>
      </c>
    </row>
    <row r="213">
      <c r="A213" s="3" t="s">
        <v>340</v>
      </c>
      <c r="B213" s="3">
        <v>11000.0</v>
      </c>
      <c r="C213" s="3" t="s">
        <v>6</v>
      </c>
      <c r="D213" s="4" t="b">
        <f t="shared" si="1"/>
        <v>0</v>
      </c>
      <c r="E213" s="4" t="s">
        <v>2127</v>
      </c>
    </row>
    <row r="214">
      <c r="A214" s="3" t="s">
        <v>342</v>
      </c>
      <c r="B214" s="3">
        <v>1500.0</v>
      </c>
      <c r="C214" s="3" t="s">
        <v>6</v>
      </c>
      <c r="D214" s="4" t="b">
        <f t="shared" si="1"/>
        <v>0</v>
      </c>
      <c r="E214" s="4" t="s">
        <v>342</v>
      </c>
    </row>
    <row r="215">
      <c r="A215" s="3" t="s">
        <v>343</v>
      </c>
      <c r="B215" s="3">
        <v>2670.0</v>
      </c>
      <c r="C215" s="4"/>
      <c r="D215" s="4" t="b">
        <f t="shared" si="1"/>
        <v>0</v>
      </c>
      <c r="E215" s="4" t="s">
        <v>343</v>
      </c>
    </row>
    <row r="216">
      <c r="A216" s="3" t="s">
        <v>345</v>
      </c>
      <c r="B216" s="3">
        <v>4000.0</v>
      </c>
      <c r="C216" s="4"/>
      <c r="D216" s="4" t="b">
        <f t="shared" si="1"/>
        <v>0</v>
      </c>
      <c r="E216" s="4" t="s">
        <v>2128</v>
      </c>
    </row>
    <row r="217">
      <c r="A217" s="3" t="s">
        <v>347</v>
      </c>
      <c r="B217" s="3">
        <v>0.0</v>
      </c>
      <c r="C217" s="3" t="s">
        <v>32</v>
      </c>
      <c r="D217" s="4" t="b">
        <f t="shared" si="1"/>
        <v>0</v>
      </c>
      <c r="E217" s="4" t="s">
        <v>347</v>
      </c>
    </row>
    <row r="218">
      <c r="A218" s="3" t="s">
        <v>348</v>
      </c>
      <c r="B218" s="3">
        <v>0.0</v>
      </c>
      <c r="C218" s="3" t="s">
        <v>3</v>
      </c>
      <c r="D218" s="4" t="b">
        <f t="shared" si="1"/>
        <v>0</v>
      </c>
      <c r="E218" s="4" t="s">
        <v>2129</v>
      </c>
    </row>
    <row r="219">
      <c r="A219" s="3" t="s">
        <v>350</v>
      </c>
      <c r="B219" s="3">
        <v>0.0</v>
      </c>
      <c r="C219" s="3" t="s">
        <v>3</v>
      </c>
      <c r="D219" s="4" t="b">
        <f t="shared" si="1"/>
        <v>0</v>
      </c>
      <c r="E219" s="4" t="s">
        <v>350</v>
      </c>
    </row>
    <row r="220">
      <c r="A220" s="3" t="s">
        <v>351</v>
      </c>
      <c r="B220" s="3">
        <v>4072.0</v>
      </c>
      <c r="C220" s="3" t="s">
        <v>6</v>
      </c>
      <c r="D220" s="4" t="b">
        <f t="shared" si="1"/>
        <v>0</v>
      </c>
      <c r="E220" s="4" t="s">
        <v>2130</v>
      </c>
    </row>
    <row r="221">
      <c r="A221" s="3" t="s">
        <v>354</v>
      </c>
      <c r="B221" s="3">
        <v>0.0</v>
      </c>
      <c r="C221" s="3" t="s">
        <v>3</v>
      </c>
      <c r="D221" s="4" t="b">
        <f t="shared" si="1"/>
        <v>0</v>
      </c>
      <c r="E221" s="4" t="s">
        <v>354</v>
      </c>
    </row>
    <row r="222">
      <c r="A222" s="3" t="s">
        <v>355</v>
      </c>
      <c r="B222" s="3">
        <v>0.0</v>
      </c>
      <c r="C222" s="3" t="s">
        <v>6</v>
      </c>
      <c r="D222" s="4" t="b">
        <f t="shared" si="1"/>
        <v>0</v>
      </c>
      <c r="E222" s="4" t="s">
        <v>2131</v>
      </c>
    </row>
    <row r="223">
      <c r="A223" s="3" t="s">
        <v>357</v>
      </c>
      <c r="B223" s="3">
        <v>0.0</v>
      </c>
      <c r="C223" s="3" t="s">
        <v>3</v>
      </c>
      <c r="D223" s="4" t="b">
        <f t="shared" si="1"/>
        <v>0</v>
      </c>
      <c r="E223" s="4" t="s">
        <v>357</v>
      </c>
    </row>
    <row r="224">
      <c r="A224" s="3" t="s">
        <v>358</v>
      </c>
      <c r="B224" s="3">
        <v>0.0</v>
      </c>
      <c r="C224" s="3" t="s">
        <v>3</v>
      </c>
      <c r="D224" s="4" t="b">
        <f t="shared" si="1"/>
        <v>0</v>
      </c>
      <c r="E224" s="4" t="s">
        <v>2132</v>
      </c>
    </row>
    <row r="225">
      <c r="A225" s="3" t="s">
        <v>360</v>
      </c>
      <c r="B225" s="3">
        <v>0.0</v>
      </c>
      <c r="C225" s="3" t="s">
        <v>3</v>
      </c>
      <c r="D225" s="4" t="b">
        <f t="shared" si="1"/>
        <v>0</v>
      </c>
      <c r="E225" s="4" t="s">
        <v>360</v>
      </c>
    </row>
    <row r="226">
      <c r="A226" s="3" t="s">
        <v>361</v>
      </c>
      <c r="B226" s="3">
        <v>4400.0</v>
      </c>
      <c r="C226" s="4"/>
      <c r="D226" s="4" t="b">
        <f t="shared" si="1"/>
        <v>0</v>
      </c>
      <c r="E226" s="4" t="s">
        <v>2133</v>
      </c>
    </row>
    <row r="227">
      <c r="A227" s="3" t="s">
        <v>364</v>
      </c>
      <c r="B227" s="3">
        <v>0.0</v>
      </c>
      <c r="C227" s="3" t="s">
        <v>3</v>
      </c>
      <c r="D227" s="4" t="b">
        <f t="shared" si="1"/>
        <v>0</v>
      </c>
      <c r="E227" s="4" t="s">
        <v>2134</v>
      </c>
    </row>
    <row r="228">
      <c r="A228" s="3" t="s">
        <v>366</v>
      </c>
      <c r="B228" s="3">
        <v>0.0</v>
      </c>
      <c r="C228" s="3" t="s">
        <v>3</v>
      </c>
      <c r="D228" s="4" t="b">
        <f t="shared" si="1"/>
        <v>0</v>
      </c>
      <c r="E228" s="4" t="s">
        <v>2135</v>
      </c>
    </row>
    <row r="229">
      <c r="A229" s="3" t="s">
        <v>368</v>
      </c>
      <c r="B229" s="3">
        <v>0.0</v>
      </c>
      <c r="C229" s="3" t="s">
        <v>3</v>
      </c>
      <c r="D229" s="4" t="b">
        <f t="shared" si="1"/>
        <v>0</v>
      </c>
      <c r="E229" s="4" t="s">
        <v>2136</v>
      </c>
    </row>
    <row r="230">
      <c r="A230" s="3" t="s">
        <v>370</v>
      </c>
      <c r="B230" s="3">
        <v>0.0</v>
      </c>
      <c r="C230" s="3" t="s">
        <v>6</v>
      </c>
      <c r="D230" s="4" t="b">
        <f t="shared" si="1"/>
        <v>0</v>
      </c>
      <c r="E230" s="4" t="s">
        <v>370</v>
      </c>
    </row>
    <row r="231">
      <c r="A231" s="3" t="s">
        <v>371</v>
      </c>
      <c r="B231" s="3">
        <v>500.0</v>
      </c>
      <c r="C231" s="4"/>
      <c r="D231" s="4" t="b">
        <f t="shared" si="1"/>
        <v>0</v>
      </c>
      <c r="E231" s="4" t="s">
        <v>2137</v>
      </c>
    </row>
    <row r="232">
      <c r="A232" s="3" t="s">
        <v>373</v>
      </c>
      <c r="B232" s="3">
        <v>0.0</v>
      </c>
      <c r="C232" s="3" t="s">
        <v>6</v>
      </c>
      <c r="D232" s="4" t="b">
        <f t="shared" si="1"/>
        <v>0</v>
      </c>
      <c r="E232" s="4" t="s">
        <v>373</v>
      </c>
    </row>
    <row r="233">
      <c r="A233" s="3" t="s">
        <v>374</v>
      </c>
      <c r="B233" s="3">
        <v>0.0</v>
      </c>
      <c r="C233" s="3" t="s">
        <v>3</v>
      </c>
      <c r="D233" s="4" t="b">
        <f t="shared" si="1"/>
        <v>0</v>
      </c>
      <c r="E233" s="4" t="s">
        <v>374</v>
      </c>
    </row>
    <row r="234">
      <c r="A234" s="3" t="s">
        <v>375</v>
      </c>
      <c r="B234" s="3">
        <v>3200.0</v>
      </c>
      <c r="C234" s="3" t="s">
        <v>6</v>
      </c>
      <c r="D234" s="4" t="b">
        <f t="shared" si="1"/>
        <v>0</v>
      </c>
      <c r="E234" s="4" t="s">
        <v>375</v>
      </c>
    </row>
    <row r="235">
      <c r="A235" s="3" t="s">
        <v>377</v>
      </c>
      <c r="B235" s="3">
        <v>0.0</v>
      </c>
      <c r="C235" s="3" t="s">
        <v>3</v>
      </c>
      <c r="D235" s="4" t="b">
        <f t="shared" si="1"/>
        <v>0</v>
      </c>
      <c r="E235" s="4" t="s">
        <v>2138</v>
      </c>
    </row>
    <row r="236">
      <c r="A236" s="3" t="s">
        <v>379</v>
      </c>
      <c r="B236" s="3">
        <v>0.0</v>
      </c>
      <c r="C236" s="3" t="s">
        <v>3</v>
      </c>
      <c r="D236" s="4" t="b">
        <f t="shared" si="1"/>
        <v>0</v>
      </c>
      <c r="E236" s="4" t="s">
        <v>2139</v>
      </c>
    </row>
    <row r="237">
      <c r="A237" s="3" t="s">
        <v>381</v>
      </c>
      <c r="B237" s="3">
        <v>400.0</v>
      </c>
      <c r="C237" s="3" t="s">
        <v>6</v>
      </c>
      <c r="D237" s="4" t="b">
        <f t="shared" si="1"/>
        <v>0</v>
      </c>
      <c r="E237" s="4" t="s">
        <v>381</v>
      </c>
    </row>
    <row r="238">
      <c r="A238" s="3" t="s">
        <v>383</v>
      </c>
      <c r="B238" s="3">
        <v>0.0</v>
      </c>
      <c r="C238" s="3" t="s">
        <v>3</v>
      </c>
      <c r="D238" s="4" t="b">
        <f t="shared" si="1"/>
        <v>0</v>
      </c>
      <c r="E238" s="4" t="s">
        <v>383</v>
      </c>
    </row>
    <row r="239">
      <c r="A239" s="3" t="s">
        <v>384</v>
      </c>
      <c r="B239" s="3">
        <v>0.0</v>
      </c>
      <c r="C239" s="3" t="s">
        <v>3</v>
      </c>
      <c r="D239" s="4" t="b">
        <f t="shared" si="1"/>
        <v>0</v>
      </c>
      <c r="E239" s="4" t="s">
        <v>384</v>
      </c>
    </row>
    <row r="240">
      <c r="A240" s="3" t="s">
        <v>385</v>
      </c>
      <c r="B240" s="3">
        <v>0.0</v>
      </c>
      <c r="C240" s="3" t="s">
        <v>32</v>
      </c>
      <c r="D240" s="4" t="b">
        <f t="shared" si="1"/>
        <v>0</v>
      </c>
      <c r="E240" s="4" t="s">
        <v>385</v>
      </c>
    </row>
    <row r="241">
      <c r="A241" s="3" t="s">
        <v>386</v>
      </c>
      <c r="B241" s="3">
        <v>0.0</v>
      </c>
      <c r="C241" s="3" t="s">
        <v>6</v>
      </c>
      <c r="D241" s="4" t="b">
        <f t="shared" si="1"/>
        <v>0</v>
      </c>
      <c r="E241" s="4" t="s">
        <v>386</v>
      </c>
    </row>
    <row r="242">
      <c r="A242" s="3" t="s">
        <v>387</v>
      </c>
      <c r="B242" s="3">
        <v>0.0</v>
      </c>
      <c r="C242" s="3" t="s">
        <v>6</v>
      </c>
      <c r="D242" s="4" t="b">
        <f t="shared" si="1"/>
        <v>0</v>
      </c>
      <c r="E242" s="4" t="s">
        <v>387</v>
      </c>
    </row>
    <row r="243">
      <c r="A243" s="3" t="s">
        <v>388</v>
      </c>
      <c r="B243" s="3">
        <v>0.0</v>
      </c>
      <c r="C243" s="3" t="s">
        <v>3</v>
      </c>
      <c r="D243" s="4" t="b">
        <f t="shared" si="1"/>
        <v>0</v>
      </c>
      <c r="E243" s="4" t="s">
        <v>2140</v>
      </c>
    </row>
    <row r="244">
      <c r="A244" s="3" t="s">
        <v>390</v>
      </c>
      <c r="B244" s="3">
        <v>0.0</v>
      </c>
      <c r="C244" s="3" t="s">
        <v>3</v>
      </c>
      <c r="D244" s="4" t="b">
        <f t="shared" si="1"/>
        <v>0</v>
      </c>
      <c r="E244" s="4" t="s">
        <v>2141</v>
      </c>
    </row>
    <row r="245">
      <c r="A245" s="3" t="s">
        <v>392</v>
      </c>
      <c r="B245" s="3">
        <v>380000.0</v>
      </c>
      <c r="C245" s="3" t="s">
        <v>6</v>
      </c>
      <c r="D245" s="4" t="b">
        <f t="shared" si="1"/>
        <v>0</v>
      </c>
      <c r="E245" s="4" t="s">
        <v>2142</v>
      </c>
    </row>
    <row r="246">
      <c r="A246" s="3" t="s">
        <v>395</v>
      </c>
      <c r="B246" s="3">
        <v>37000.0</v>
      </c>
      <c r="C246" s="3" t="s">
        <v>32</v>
      </c>
      <c r="D246" s="4" t="b">
        <f t="shared" si="1"/>
        <v>0</v>
      </c>
      <c r="E246" s="4" t="s">
        <v>395</v>
      </c>
    </row>
    <row r="247">
      <c r="A247" s="3" t="s">
        <v>397</v>
      </c>
      <c r="B247" s="3">
        <v>2800.0</v>
      </c>
      <c r="C247" s="4"/>
      <c r="D247" s="4" t="b">
        <f t="shared" si="1"/>
        <v>0</v>
      </c>
      <c r="E247" s="4" t="s">
        <v>397</v>
      </c>
    </row>
    <row r="248">
      <c r="A248" s="3" t="s">
        <v>399</v>
      </c>
      <c r="B248" s="3">
        <v>5000.0</v>
      </c>
      <c r="C248" s="4"/>
      <c r="D248" s="4" t="b">
        <f t="shared" si="1"/>
        <v>0</v>
      </c>
      <c r="E248" s="4" t="s">
        <v>399</v>
      </c>
    </row>
    <row r="249">
      <c r="A249" s="3" t="s">
        <v>400</v>
      </c>
      <c r="B249" s="3">
        <v>0.0</v>
      </c>
      <c r="C249" s="3" t="s">
        <v>26</v>
      </c>
      <c r="D249" s="4" t="b">
        <f t="shared" si="1"/>
        <v>0</v>
      </c>
      <c r="E249" s="4" t="s">
        <v>2143</v>
      </c>
    </row>
    <row r="250">
      <c r="A250" s="3" t="s">
        <v>401</v>
      </c>
      <c r="B250" s="3">
        <v>0.0</v>
      </c>
      <c r="C250" s="3" t="s">
        <v>32</v>
      </c>
      <c r="D250" s="4" t="b">
        <f t="shared" si="1"/>
        <v>0</v>
      </c>
      <c r="E250" s="4" t="s">
        <v>401</v>
      </c>
    </row>
    <row r="251">
      <c r="A251" s="3" t="s">
        <v>402</v>
      </c>
      <c r="B251" s="3">
        <v>0.0</v>
      </c>
      <c r="C251" s="3" t="s">
        <v>6</v>
      </c>
      <c r="D251" s="4" t="b">
        <f t="shared" si="1"/>
        <v>0</v>
      </c>
      <c r="E251" s="4" t="s">
        <v>402</v>
      </c>
    </row>
    <row r="252">
      <c r="A252" s="3" t="s">
        <v>403</v>
      </c>
      <c r="B252" s="3">
        <v>0.0</v>
      </c>
      <c r="C252" s="3" t="s">
        <v>3</v>
      </c>
      <c r="D252" s="4" t="b">
        <f t="shared" si="1"/>
        <v>0</v>
      </c>
      <c r="E252" s="4" t="s">
        <v>403</v>
      </c>
    </row>
    <row r="253">
      <c r="A253" s="3" t="s">
        <v>404</v>
      </c>
      <c r="B253" s="3">
        <v>0.0</v>
      </c>
      <c r="C253" s="3" t="s">
        <v>3</v>
      </c>
      <c r="D253" s="4" t="b">
        <f t="shared" si="1"/>
        <v>0</v>
      </c>
      <c r="E253" s="4" t="s">
        <v>404</v>
      </c>
    </row>
    <row r="254">
      <c r="A254" s="3" t="s">
        <v>405</v>
      </c>
      <c r="B254" s="3">
        <v>800.0</v>
      </c>
      <c r="C254" s="4"/>
      <c r="D254" s="4" t="b">
        <f t="shared" si="1"/>
        <v>0</v>
      </c>
      <c r="E254" s="4" t="s">
        <v>405</v>
      </c>
    </row>
    <row r="255">
      <c r="A255" s="3" t="s">
        <v>407</v>
      </c>
      <c r="B255" s="3">
        <v>10000.0</v>
      </c>
      <c r="C255" s="3" t="s">
        <v>16</v>
      </c>
      <c r="D255" s="4" t="b">
        <f t="shared" si="1"/>
        <v>0</v>
      </c>
      <c r="E255" s="4" t="s">
        <v>2144</v>
      </c>
    </row>
    <row r="256">
      <c r="A256" s="3" t="s">
        <v>409</v>
      </c>
      <c r="B256" s="3">
        <v>0.0</v>
      </c>
      <c r="C256" s="3" t="s">
        <v>6</v>
      </c>
      <c r="D256" s="4" t="b">
        <f t="shared" si="1"/>
        <v>0</v>
      </c>
      <c r="E256" s="4" t="s">
        <v>409</v>
      </c>
    </row>
    <row r="257">
      <c r="A257" s="3" t="s">
        <v>410</v>
      </c>
      <c r="B257" s="3">
        <v>2000.0</v>
      </c>
      <c r="C257" s="4"/>
      <c r="D257" s="4" t="b">
        <f t="shared" si="1"/>
        <v>0</v>
      </c>
      <c r="E257" s="4" t="s">
        <v>410</v>
      </c>
    </row>
    <row r="258">
      <c r="A258" s="3" t="s">
        <v>411</v>
      </c>
      <c r="B258" s="3">
        <v>0.0</v>
      </c>
      <c r="C258" s="3" t="s">
        <v>3</v>
      </c>
      <c r="D258" s="4" t="b">
        <f t="shared" si="1"/>
        <v>0</v>
      </c>
      <c r="E258" s="4" t="s">
        <v>411</v>
      </c>
    </row>
    <row r="259">
      <c r="A259" s="3" t="s">
        <v>412</v>
      </c>
      <c r="B259" s="3">
        <v>0.0</v>
      </c>
      <c r="C259" s="3" t="s">
        <v>6</v>
      </c>
      <c r="D259" s="4" t="b">
        <f t="shared" si="1"/>
        <v>0</v>
      </c>
      <c r="E259" s="4" t="s">
        <v>2145</v>
      </c>
    </row>
    <row r="260">
      <c r="A260" s="3" t="s">
        <v>413</v>
      </c>
      <c r="B260" s="3">
        <v>27500.0</v>
      </c>
      <c r="C260" s="3" t="s">
        <v>32</v>
      </c>
      <c r="D260" s="4" t="b">
        <f t="shared" si="1"/>
        <v>0</v>
      </c>
      <c r="E260" s="4" t="s">
        <v>413</v>
      </c>
    </row>
    <row r="261">
      <c r="A261" s="3" t="s">
        <v>415</v>
      </c>
      <c r="B261" s="3">
        <v>0.0</v>
      </c>
      <c r="C261" s="3" t="s">
        <v>3</v>
      </c>
      <c r="D261" s="4" t="b">
        <f t="shared" si="1"/>
        <v>0</v>
      </c>
      <c r="E261" s="4" t="s">
        <v>2146</v>
      </c>
    </row>
    <row r="262">
      <c r="A262" s="3" t="s">
        <v>417</v>
      </c>
      <c r="B262" s="3">
        <v>0.0</v>
      </c>
      <c r="C262" s="3" t="s">
        <v>3</v>
      </c>
      <c r="D262" s="4" t="b">
        <f t="shared" si="1"/>
        <v>0</v>
      </c>
      <c r="E262" s="4" t="s">
        <v>2147</v>
      </c>
    </row>
    <row r="263">
      <c r="A263" s="3" t="s">
        <v>419</v>
      </c>
      <c r="B263" s="3">
        <v>0.0</v>
      </c>
      <c r="C263" s="3" t="s">
        <v>3</v>
      </c>
      <c r="D263" s="4" t="b">
        <f t="shared" si="1"/>
        <v>0</v>
      </c>
      <c r="E263" s="4" t="s">
        <v>419</v>
      </c>
    </row>
    <row r="264">
      <c r="A264" s="3" t="s">
        <v>420</v>
      </c>
      <c r="B264" s="3">
        <v>0.0</v>
      </c>
      <c r="C264" s="3" t="s">
        <v>29</v>
      </c>
      <c r="D264" s="4" t="b">
        <f t="shared" si="1"/>
        <v>0</v>
      </c>
      <c r="E264" s="4" t="s">
        <v>2148</v>
      </c>
    </row>
    <row r="265">
      <c r="A265" s="3" t="s">
        <v>422</v>
      </c>
      <c r="B265" s="3">
        <v>0.0</v>
      </c>
      <c r="C265" s="3" t="s">
        <v>29</v>
      </c>
      <c r="D265" s="4" t="b">
        <f t="shared" si="1"/>
        <v>0</v>
      </c>
      <c r="E265" s="4" t="s">
        <v>422</v>
      </c>
    </row>
    <row r="266">
      <c r="A266" s="3" t="s">
        <v>423</v>
      </c>
      <c r="B266" s="3">
        <v>0.0</v>
      </c>
      <c r="C266" s="3" t="s">
        <v>3</v>
      </c>
      <c r="D266" s="4" t="b">
        <f t="shared" si="1"/>
        <v>0</v>
      </c>
      <c r="E266" s="4" t="s">
        <v>423</v>
      </c>
    </row>
    <row r="267">
      <c r="A267" s="3" t="s">
        <v>424</v>
      </c>
      <c r="B267" s="3">
        <v>0.0</v>
      </c>
      <c r="C267" s="3" t="s">
        <v>3</v>
      </c>
      <c r="D267" s="4" t="b">
        <f t="shared" si="1"/>
        <v>0</v>
      </c>
      <c r="E267" s="4" t="s">
        <v>424</v>
      </c>
    </row>
    <row r="268">
      <c r="A268" s="3" t="s">
        <v>425</v>
      </c>
      <c r="B268" s="3">
        <v>0.0</v>
      </c>
      <c r="C268" s="3" t="s">
        <v>3</v>
      </c>
      <c r="D268" s="4" t="b">
        <f t="shared" si="1"/>
        <v>0</v>
      </c>
      <c r="E268" s="4" t="s">
        <v>2149</v>
      </c>
    </row>
    <row r="269">
      <c r="A269" s="3" t="s">
        <v>427</v>
      </c>
      <c r="B269" s="3">
        <v>5000.0</v>
      </c>
      <c r="C269" s="3" t="s">
        <v>29</v>
      </c>
      <c r="D269" s="4" t="b">
        <f t="shared" si="1"/>
        <v>0</v>
      </c>
      <c r="E269" s="4" t="s">
        <v>427</v>
      </c>
    </row>
    <row r="270">
      <c r="A270" s="3" t="s">
        <v>428</v>
      </c>
      <c r="B270" s="3">
        <v>45400.0</v>
      </c>
      <c r="C270" s="3" t="s">
        <v>3</v>
      </c>
      <c r="D270" s="4" t="b">
        <f t="shared" si="1"/>
        <v>0</v>
      </c>
      <c r="E270" s="4" t="s">
        <v>2150</v>
      </c>
    </row>
    <row r="271">
      <c r="A271" s="3" t="s">
        <v>431</v>
      </c>
      <c r="B271" s="3">
        <v>0.0</v>
      </c>
      <c r="C271" s="3" t="s">
        <v>29</v>
      </c>
      <c r="D271" s="4" t="b">
        <f t="shared" si="1"/>
        <v>0</v>
      </c>
      <c r="E271" s="4" t="s">
        <v>2151</v>
      </c>
    </row>
    <row r="272">
      <c r="A272" s="3" t="s">
        <v>433</v>
      </c>
      <c r="B272" s="3">
        <v>0.0</v>
      </c>
      <c r="C272" s="3" t="s">
        <v>3</v>
      </c>
      <c r="D272" s="4" t="b">
        <f t="shared" si="1"/>
        <v>0</v>
      </c>
      <c r="E272" s="4" t="s">
        <v>2152</v>
      </c>
    </row>
    <row r="273">
      <c r="A273" s="3" t="s">
        <v>435</v>
      </c>
      <c r="B273" s="3">
        <v>2500.0</v>
      </c>
      <c r="C273" s="4"/>
      <c r="D273" s="4" t="b">
        <f t="shared" si="1"/>
        <v>0</v>
      </c>
      <c r="E273" s="4" t="s">
        <v>2153</v>
      </c>
    </row>
    <row r="274">
      <c r="A274" s="3" t="s">
        <v>437</v>
      </c>
      <c r="B274" s="3">
        <v>0.0</v>
      </c>
      <c r="C274" s="3" t="s">
        <v>3</v>
      </c>
      <c r="D274" s="4" t="b">
        <f t="shared" si="1"/>
        <v>0</v>
      </c>
      <c r="E274" s="4" t="s">
        <v>2154</v>
      </c>
    </row>
    <row r="275">
      <c r="A275" s="3" t="s">
        <v>439</v>
      </c>
      <c r="B275" s="3">
        <v>0.0</v>
      </c>
      <c r="C275" s="3" t="s">
        <v>6</v>
      </c>
      <c r="D275" s="4" t="b">
        <f t="shared" si="1"/>
        <v>0</v>
      </c>
      <c r="E275" s="4" t="s">
        <v>2155</v>
      </c>
    </row>
    <row r="276">
      <c r="A276" s="3" t="s">
        <v>441</v>
      </c>
      <c r="B276" s="3">
        <v>0.0</v>
      </c>
      <c r="C276" s="3" t="s">
        <v>29</v>
      </c>
      <c r="D276" s="4" t="b">
        <f t="shared" si="1"/>
        <v>0</v>
      </c>
      <c r="E276" s="4" t="s">
        <v>441</v>
      </c>
    </row>
    <row r="277">
      <c r="A277" s="3" t="s">
        <v>442</v>
      </c>
      <c r="B277" s="3">
        <v>5900.0</v>
      </c>
      <c r="C277" s="4"/>
      <c r="D277" s="4" t="b">
        <f t="shared" si="1"/>
        <v>0</v>
      </c>
      <c r="E277" s="4" t="s">
        <v>442</v>
      </c>
    </row>
    <row r="278">
      <c r="A278" s="3" t="s">
        <v>444</v>
      </c>
      <c r="B278" s="3">
        <v>3000.0</v>
      </c>
      <c r="C278" s="4"/>
      <c r="D278" s="4" t="b">
        <f t="shared" si="1"/>
        <v>0</v>
      </c>
      <c r="E278" s="4" t="s">
        <v>444</v>
      </c>
    </row>
    <row r="279">
      <c r="A279" s="3" t="s">
        <v>445</v>
      </c>
      <c r="B279" s="3">
        <v>180000.0</v>
      </c>
      <c r="C279" s="4"/>
      <c r="D279" s="4" t="b">
        <f t="shared" si="1"/>
        <v>0</v>
      </c>
      <c r="E279" s="4" t="s">
        <v>445</v>
      </c>
    </row>
    <row r="280">
      <c r="A280" s="3" t="s">
        <v>447</v>
      </c>
      <c r="B280" s="3">
        <v>55000.0</v>
      </c>
      <c r="C280" s="4"/>
      <c r="D280" s="4" t="b">
        <f t="shared" si="1"/>
        <v>0</v>
      </c>
      <c r="E280" s="4" t="s">
        <v>447</v>
      </c>
    </row>
    <row r="281">
      <c r="A281" s="3" t="s">
        <v>449</v>
      </c>
      <c r="B281" s="3">
        <v>0.0</v>
      </c>
      <c r="C281" s="3" t="s">
        <v>32</v>
      </c>
      <c r="D281" s="4" t="b">
        <f t="shared" si="1"/>
        <v>0</v>
      </c>
      <c r="E281" s="4" t="s">
        <v>449</v>
      </c>
    </row>
    <row r="282">
      <c r="A282" s="3" t="s">
        <v>450</v>
      </c>
      <c r="B282" s="3">
        <v>800.0</v>
      </c>
      <c r="C282" s="3" t="s">
        <v>6</v>
      </c>
      <c r="D282" s="4" t="b">
        <f t="shared" si="1"/>
        <v>0</v>
      </c>
      <c r="E282" s="4" t="s">
        <v>450</v>
      </c>
    </row>
    <row r="283">
      <c r="A283" s="3" t="s">
        <v>451</v>
      </c>
      <c r="B283" s="3">
        <v>0.0</v>
      </c>
      <c r="C283" s="3" t="s">
        <v>3</v>
      </c>
      <c r="D283" s="4" t="b">
        <f t="shared" si="1"/>
        <v>0</v>
      </c>
      <c r="E283" s="4" t="s">
        <v>451</v>
      </c>
    </row>
    <row r="284">
      <c r="A284" s="3" t="s">
        <v>452</v>
      </c>
      <c r="B284" s="3">
        <v>4000.0</v>
      </c>
      <c r="C284" s="3" t="s">
        <v>3</v>
      </c>
      <c r="D284" s="4" t="b">
        <f t="shared" si="1"/>
        <v>0</v>
      </c>
      <c r="E284" s="4" t="s">
        <v>452</v>
      </c>
    </row>
    <row r="285">
      <c r="A285" s="3" t="s">
        <v>453</v>
      </c>
      <c r="B285" s="3">
        <v>0.0</v>
      </c>
      <c r="C285" s="3" t="s">
        <v>3</v>
      </c>
      <c r="D285" s="4" t="b">
        <f t="shared" si="1"/>
        <v>0</v>
      </c>
      <c r="E285" s="4" t="s">
        <v>453</v>
      </c>
    </row>
    <row r="286">
      <c r="A286" s="3" t="s">
        <v>454</v>
      </c>
      <c r="B286" s="3">
        <v>0.0</v>
      </c>
      <c r="C286" s="3" t="s">
        <v>3</v>
      </c>
      <c r="D286" s="4" t="b">
        <f t="shared" si="1"/>
        <v>0</v>
      </c>
      <c r="E286" s="4" t="s">
        <v>454</v>
      </c>
    </row>
    <row r="287">
      <c r="A287" s="3" t="s">
        <v>455</v>
      </c>
      <c r="B287" s="3">
        <v>0.0</v>
      </c>
      <c r="C287" s="3" t="s">
        <v>3</v>
      </c>
      <c r="D287" s="4" t="b">
        <f t="shared" si="1"/>
        <v>0</v>
      </c>
      <c r="E287" s="4" t="s">
        <v>455</v>
      </c>
    </row>
    <row r="288">
      <c r="A288" s="3" t="s">
        <v>456</v>
      </c>
      <c r="B288" s="3">
        <v>0.0</v>
      </c>
      <c r="C288" s="3" t="s">
        <v>6</v>
      </c>
      <c r="D288" s="4" t="b">
        <f t="shared" si="1"/>
        <v>0</v>
      </c>
      <c r="E288" s="4" t="s">
        <v>456</v>
      </c>
    </row>
    <row r="289">
      <c r="A289" s="3" t="s">
        <v>457</v>
      </c>
      <c r="B289" s="3">
        <v>2000.0</v>
      </c>
      <c r="C289" s="3" t="s">
        <v>3</v>
      </c>
      <c r="D289" s="4" t="b">
        <f t="shared" si="1"/>
        <v>0</v>
      </c>
      <c r="E289" s="4" t="s">
        <v>457</v>
      </c>
    </row>
    <row r="290">
      <c r="A290" s="3" t="s">
        <v>458</v>
      </c>
      <c r="B290" s="3">
        <v>0.0</v>
      </c>
      <c r="C290" s="3" t="s">
        <v>3</v>
      </c>
      <c r="D290" s="4" t="b">
        <f t="shared" si="1"/>
        <v>0</v>
      </c>
      <c r="E290" s="4" t="s">
        <v>2156</v>
      </c>
    </row>
    <row r="291">
      <c r="A291" s="3" t="s">
        <v>460</v>
      </c>
      <c r="B291" s="3">
        <v>3000.0</v>
      </c>
      <c r="C291" s="4"/>
      <c r="D291" s="4" t="b">
        <f t="shared" si="1"/>
        <v>0</v>
      </c>
      <c r="E291" s="4" t="s">
        <v>2157</v>
      </c>
    </row>
    <row r="292">
      <c r="A292" s="3" t="s">
        <v>462</v>
      </c>
      <c r="B292" s="3">
        <v>0.0</v>
      </c>
      <c r="C292" s="3" t="s">
        <v>3</v>
      </c>
      <c r="D292" s="4" t="b">
        <f t="shared" si="1"/>
        <v>0</v>
      </c>
      <c r="E292" s="4" t="s">
        <v>2158</v>
      </c>
    </row>
    <row r="293">
      <c r="A293" s="3" t="s">
        <v>464</v>
      </c>
      <c r="B293" s="3">
        <v>0.0</v>
      </c>
      <c r="C293" s="3" t="s">
        <v>3</v>
      </c>
      <c r="D293" s="4" t="b">
        <f t="shared" si="1"/>
        <v>0</v>
      </c>
      <c r="E293" s="4" t="s">
        <v>464</v>
      </c>
    </row>
    <row r="294">
      <c r="A294" s="3" t="s">
        <v>465</v>
      </c>
      <c r="B294" s="3">
        <v>300.0</v>
      </c>
      <c r="C294" s="3" t="s">
        <v>3</v>
      </c>
      <c r="D294" s="4" t="b">
        <f t="shared" si="1"/>
        <v>0</v>
      </c>
      <c r="E294" s="4" t="s">
        <v>465</v>
      </c>
    </row>
    <row r="295">
      <c r="A295" s="3" t="s">
        <v>466</v>
      </c>
      <c r="B295" s="3">
        <v>3000.0</v>
      </c>
      <c r="C295" s="3" t="s">
        <v>3</v>
      </c>
      <c r="D295" s="4" t="b">
        <f t="shared" si="1"/>
        <v>0</v>
      </c>
      <c r="E295" s="4" t="s">
        <v>466</v>
      </c>
    </row>
    <row r="296">
      <c r="A296" s="3" t="s">
        <v>467</v>
      </c>
      <c r="B296" s="3">
        <v>250.0</v>
      </c>
      <c r="C296" s="3" t="s">
        <v>3</v>
      </c>
      <c r="D296" s="4" t="b">
        <f t="shared" si="1"/>
        <v>0</v>
      </c>
      <c r="E296" s="4" t="s">
        <v>2159</v>
      </c>
    </row>
    <row r="297">
      <c r="A297" s="3" t="s">
        <v>470</v>
      </c>
      <c r="B297" s="3">
        <v>0.0</v>
      </c>
      <c r="C297" s="3" t="s">
        <v>3</v>
      </c>
      <c r="D297" s="4" t="b">
        <f t="shared" si="1"/>
        <v>0</v>
      </c>
      <c r="E297" s="4" t="s">
        <v>2160</v>
      </c>
    </row>
    <row r="298">
      <c r="A298" s="3" t="s">
        <v>472</v>
      </c>
      <c r="B298" s="3">
        <v>5000.0</v>
      </c>
      <c r="C298" s="3" t="s">
        <v>32</v>
      </c>
      <c r="D298" s="4" t="b">
        <f t="shared" si="1"/>
        <v>0</v>
      </c>
      <c r="E298" s="4" t="s">
        <v>472</v>
      </c>
    </row>
    <row r="299">
      <c r="A299" s="3" t="s">
        <v>473</v>
      </c>
      <c r="B299" s="3">
        <v>2500.0</v>
      </c>
      <c r="C299" s="3" t="s">
        <v>3</v>
      </c>
      <c r="D299" s="4" t="b">
        <f t="shared" si="1"/>
        <v>0</v>
      </c>
      <c r="E299" s="4" t="s">
        <v>473</v>
      </c>
    </row>
    <row r="300">
      <c r="A300" s="3" t="s">
        <v>474</v>
      </c>
      <c r="B300" s="3">
        <v>0.0</v>
      </c>
      <c r="C300" s="3" t="s">
        <v>3</v>
      </c>
      <c r="D300" s="4" t="b">
        <f t="shared" si="1"/>
        <v>0</v>
      </c>
      <c r="E300" s="4" t="s">
        <v>2161</v>
      </c>
    </row>
    <row r="301">
      <c r="A301" s="3" t="s">
        <v>476</v>
      </c>
      <c r="B301" s="3">
        <v>1578403.0</v>
      </c>
      <c r="C301" s="3" t="s">
        <v>32</v>
      </c>
      <c r="D301" s="4" t="b">
        <f t="shared" si="1"/>
        <v>0</v>
      </c>
      <c r="E301" s="4" t="s">
        <v>476</v>
      </c>
    </row>
    <row r="302">
      <c r="A302" s="3" t="s">
        <v>478</v>
      </c>
      <c r="B302" s="3">
        <v>311500.0</v>
      </c>
      <c r="C302" s="4"/>
      <c r="D302" s="4" t="b">
        <f t="shared" si="1"/>
        <v>0</v>
      </c>
      <c r="E302" s="4" t="s">
        <v>478</v>
      </c>
    </row>
    <row r="303">
      <c r="A303" s="3" t="s">
        <v>480</v>
      </c>
      <c r="B303" s="3">
        <v>3000.0</v>
      </c>
      <c r="C303" s="4"/>
      <c r="D303" s="4" t="b">
        <f t="shared" si="1"/>
        <v>0</v>
      </c>
      <c r="E303" s="4" t="s">
        <v>480</v>
      </c>
    </row>
    <row r="304">
      <c r="A304" s="3" t="s">
        <v>481</v>
      </c>
      <c r="B304" s="3">
        <v>1735000.0</v>
      </c>
      <c r="C304" s="3" t="s">
        <v>3</v>
      </c>
      <c r="D304" s="4" t="b">
        <f t="shared" si="1"/>
        <v>0</v>
      </c>
      <c r="E304" s="4" t="s">
        <v>481</v>
      </c>
    </row>
    <row r="305">
      <c r="A305" s="3" t="s">
        <v>483</v>
      </c>
      <c r="B305" s="3">
        <v>1500.0</v>
      </c>
      <c r="C305" s="3" t="s">
        <v>484</v>
      </c>
      <c r="D305" s="4" t="b">
        <f t="shared" si="1"/>
        <v>0</v>
      </c>
      <c r="E305" s="4" t="s">
        <v>2162</v>
      </c>
    </row>
    <row r="306">
      <c r="A306" s="3" t="s">
        <v>486</v>
      </c>
      <c r="B306" s="3">
        <v>0.0</v>
      </c>
      <c r="C306" s="3" t="s">
        <v>3</v>
      </c>
      <c r="D306" s="4" t="b">
        <f t="shared" si="1"/>
        <v>0</v>
      </c>
      <c r="E306" s="4" t="s">
        <v>2163</v>
      </c>
    </row>
    <row r="307">
      <c r="A307" s="3" t="s">
        <v>488</v>
      </c>
      <c r="B307" s="3">
        <v>0.0</v>
      </c>
      <c r="C307" s="3" t="s">
        <v>3</v>
      </c>
      <c r="D307" s="4" t="b">
        <f t="shared" si="1"/>
        <v>0</v>
      </c>
      <c r="E307" s="4" t="s">
        <v>2164</v>
      </c>
    </row>
    <row r="308">
      <c r="A308" s="3" t="s">
        <v>490</v>
      </c>
      <c r="B308" s="3">
        <v>2500.0</v>
      </c>
      <c r="C308" s="4"/>
      <c r="D308" s="4" t="b">
        <f t="shared" si="1"/>
        <v>0</v>
      </c>
      <c r="E308" s="4" t="s">
        <v>2165</v>
      </c>
    </row>
    <row r="309">
      <c r="A309" s="3" t="s">
        <v>491</v>
      </c>
      <c r="B309" s="3">
        <v>300000.0</v>
      </c>
      <c r="C309" s="4"/>
      <c r="D309" s="4" t="b">
        <f t="shared" si="1"/>
        <v>0</v>
      </c>
      <c r="E309" s="4" t="s">
        <v>491</v>
      </c>
    </row>
    <row r="310">
      <c r="A310" s="3" t="s">
        <v>493</v>
      </c>
      <c r="B310" s="3">
        <v>0.0</v>
      </c>
      <c r="C310" s="3" t="s">
        <v>3</v>
      </c>
      <c r="D310" s="4" t="b">
        <f t="shared" si="1"/>
        <v>0</v>
      </c>
      <c r="E310" s="4" t="s">
        <v>2166</v>
      </c>
    </row>
    <row r="311">
      <c r="A311" s="3" t="s">
        <v>495</v>
      </c>
      <c r="B311" s="3">
        <v>1000.0</v>
      </c>
      <c r="C311" s="4"/>
      <c r="D311" s="4" t="b">
        <f t="shared" si="1"/>
        <v>0</v>
      </c>
      <c r="E311" s="4" t="s">
        <v>495</v>
      </c>
    </row>
    <row r="312">
      <c r="A312" s="3" t="s">
        <v>496</v>
      </c>
      <c r="B312" s="3">
        <v>0.0</v>
      </c>
      <c r="C312" s="3" t="s">
        <v>3</v>
      </c>
      <c r="D312" s="4" t="b">
        <f t="shared" si="1"/>
        <v>0</v>
      </c>
      <c r="E312" s="4" t="s">
        <v>2167</v>
      </c>
    </row>
    <row r="313">
      <c r="A313" s="3" t="s">
        <v>498</v>
      </c>
      <c r="B313" s="3">
        <v>400.0</v>
      </c>
      <c r="C313" s="3" t="s">
        <v>3</v>
      </c>
      <c r="D313" s="4" t="b">
        <f t="shared" si="1"/>
        <v>0</v>
      </c>
      <c r="E313" s="4" t="s">
        <v>2168</v>
      </c>
    </row>
    <row r="314">
      <c r="A314" s="3" t="s">
        <v>500</v>
      </c>
      <c r="B314" s="3">
        <v>0.0</v>
      </c>
      <c r="C314" s="3" t="s">
        <v>6</v>
      </c>
      <c r="D314" s="4" t="b">
        <f t="shared" si="1"/>
        <v>0</v>
      </c>
      <c r="E314" s="4" t="s">
        <v>2169</v>
      </c>
    </row>
    <row r="315">
      <c r="A315" s="3" t="s">
        <v>502</v>
      </c>
      <c r="B315" s="3">
        <v>500.0</v>
      </c>
      <c r="C315" s="3" t="s">
        <v>26</v>
      </c>
      <c r="D315" s="4" t="b">
        <f t="shared" si="1"/>
        <v>0</v>
      </c>
      <c r="E315" s="4" t="s">
        <v>502</v>
      </c>
    </row>
    <row r="316">
      <c r="A316" s="3" t="s">
        <v>503</v>
      </c>
      <c r="B316" s="3">
        <v>0.0</v>
      </c>
      <c r="C316" s="3" t="s">
        <v>3</v>
      </c>
      <c r="D316" s="4" t="b">
        <f t="shared" si="1"/>
        <v>0</v>
      </c>
      <c r="E316" s="4" t="s">
        <v>2170</v>
      </c>
    </row>
    <row r="317">
      <c r="A317" s="3" t="s">
        <v>505</v>
      </c>
      <c r="B317" s="3">
        <v>0.0</v>
      </c>
      <c r="C317" s="3" t="s">
        <v>3</v>
      </c>
      <c r="D317" s="4" t="b">
        <f t="shared" si="1"/>
        <v>0</v>
      </c>
      <c r="E317" s="4" t="s">
        <v>2171</v>
      </c>
    </row>
    <row r="318">
      <c r="A318" s="3" t="s">
        <v>507</v>
      </c>
      <c r="B318" s="3">
        <v>0.0</v>
      </c>
      <c r="C318" s="3" t="s">
        <v>3</v>
      </c>
      <c r="D318" s="4" t="b">
        <f t="shared" si="1"/>
        <v>0</v>
      </c>
      <c r="E318" s="4" t="s">
        <v>2172</v>
      </c>
    </row>
    <row r="319">
      <c r="A319" s="3" t="s">
        <v>509</v>
      </c>
      <c r="B319" s="3">
        <v>0.0</v>
      </c>
      <c r="C319" s="3" t="s">
        <v>6</v>
      </c>
      <c r="D319" s="4" t="b">
        <f t="shared" si="1"/>
        <v>0</v>
      </c>
      <c r="E319" s="4" t="s">
        <v>2173</v>
      </c>
    </row>
    <row r="320">
      <c r="A320" s="3" t="s">
        <v>511</v>
      </c>
      <c r="B320" s="3">
        <v>0.0</v>
      </c>
      <c r="C320" s="3" t="s">
        <v>3</v>
      </c>
      <c r="D320" s="4" t="b">
        <f t="shared" si="1"/>
        <v>0</v>
      </c>
      <c r="E320" s="4" t="s">
        <v>2174</v>
      </c>
    </row>
    <row r="321">
      <c r="A321" s="3" t="s">
        <v>513</v>
      </c>
      <c r="B321" s="3">
        <v>0.0</v>
      </c>
      <c r="C321" s="3" t="s">
        <v>3</v>
      </c>
      <c r="D321" s="4" t="b">
        <f t="shared" si="1"/>
        <v>0</v>
      </c>
      <c r="E321" s="4" t="s">
        <v>2175</v>
      </c>
    </row>
    <row r="322">
      <c r="A322" s="3" t="s">
        <v>515</v>
      </c>
      <c r="B322" s="3">
        <v>0.0</v>
      </c>
      <c r="C322" s="3" t="s">
        <v>6</v>
      </c>
      <c r="D322" s="4" t="b">
        <f t="shared" si="1"/>
        <v>0</v>
      </c>
      <c r="E322" s="4" t="s">
        <v>515</v>
      </c>
    </row>
    <row r="323">
      <c r="A323" s="3" t="s">
        <v>516</v>
      </c>
      <c r="B323" s="3">
        <v>0.0</v>
      </c>
      <c r="C323" s="3" t="s">
        <v>3</v>
      </c>
      <c r="D323" s="4" t="b">
        <f t="shared" si="1"/>
        <v>0</v>
      </c>
      <c r="E323" s="4" t="s">
        <v>2176</v>
      </c>
    </row>
    <row r="324">
      <c r="A324" s="3" t="s">
        <v>518</v>
      </c>
      <c r="B324" s="3">
        <v>25062.0</v>
      </c>
      <c r="C324" s="4"/>
      <c r="D324" s="4" t="b">
        <f t="shared" si="1"/>
        <v>0</v>
      </c>
      <c r="E324" s="4" t="s">
        <v>518</v>
      </c>
    </row>
    <row r="325">
      <c r="A325" s="3" t="s">
        <v>520</v>
      </c>
      <c r="B325" s="3">
        <v>1500.0</v>
      </c>
      <c r="C325" s="3" t="s">
        <v>6</v>
      </c>
      <c r="D325" s="4" t="b">
        <f t="shared" si="1"/>
        <v>0</v>
      </c>
      <c r="E325" s="4" t="s">
        <v>520</v>
      </c>
    </row>
    <row r="326">
      <c r="A326" s="3" t="s">
        <v>521</v>
      </c>
      <c r="B326" s="3">
        <v>3500.0</v>
      </c>
      <c r="C326" s="4"/>
      <c r="D326" s="4" t="b">
        <f t="shared" si="1"/>
        <v>0</v>
      </c>
      <c r="E326" s="4" t="s">
        <v>521</v>
      </c>
    </row>
    <row r="327">
      <c r="A327" s="3" t="s">
        <v>522</v>
      </c>
      <c r="B327" s="3">
        <v>37754.0</v>
      </c>
      <c r="C327" s="3" t="s">
        <v>484</v>
      </c>
      <c r="D327" s="4" t="b">
        <f t="shared" si="1"/>
        <v>0</v>
      </c>
      <c r="E327" s="4" t="s">
        <v>522</v>
      </c>
    </row>
    <row r="328">
      <c r="A328" s="3" t="s">
        <v>524</v>
      </c>
      <c r="B328" s="3">
        <v>0.0</v>
      </c>
      <c r="C328" s="3" t="s">
        <v>3</v>
      </c>
      <c r="D328" s="4" t="b">
        <f t="shared" si="1"/>
        <v>0</v>
      </c>
      <c r="E328" s="4" t="s">
        <v>2177</v>
      </c>
    </row>
    <row r="329">
      <c r="A329" s="3" t="s">
        <v>526</v>
      </c>
      <c r="B329" s="3">
        <v>3000.0</v>
      </c>
      <c r="C329" s="4"/>
      <c r="D329" s="4" t="b">
        <f t="shared" si="1"/>
        <v>0</v>
      </c>
      <c r="E329" s="4" t="s">
        <v>526</v>
      </c>
    </row>
    <row r="330">
      <c r="A330" s="3" t="s">
        <v>527</v>
      </c>
      <c r="B330" s="3">
        <v>1000.0</v>
      </c>
      <c r="C330" s="4"/>
      <c r="D330" s="4" t="b">
        <f t="shared" si="1"/>
        <v>0</v>
      </c>
      <c r="E330" s="4" t="s">
        <v>527</v>
      </c>
    </row>
    <row r="331">
      <c r="A331" s="3" t="s">
        <v>528</v>
      </c>
      <c r="B331" s="3">
        <v>250.0</v>
      </c>
      <c r="C331" s="4"/>
      <c r="D331" s="4" t="b">
        <f t="shared" si="1"/>
        <v>0</v>
      </c>
      <c r="E331" s="4" t="s">
        <v>2178</v>
      </c>
    </row>
    <row r="332">
      <c r="A332" s="3" t="s">
        <v>530</v>
      </c>
      <c r="B332" s="3">
        <v>500.0</v>
      </c>
      <c r="C332" s="3" t="s">
        <v>3</v>
      </c>
      <c r="D332" s="4" t="b">
        <f t="shared" si="1"/>
        <v>0</v>
      </c>
      <c r="E332" s="4" t="s">
        <v>2179</v>
      </c>
    </row>
    <row r="333">
      <c r="A333" s="3" t="s">
        <v>532</v>
      </c>
      <c r="B333" s="3">
        <v>7000.0</v>
      </c>
      <c r="C333" s="3" t="s">
        <v>3</v>
      </c>
      <c r="D333" s="4" t="b">
        <f t="shared" si="1"/>
        <v>0</v>
      </c>
      <c r="E333" s="4" t="s">
        <v>532</v>
      </c>
    </row>
    <row r="334">
      <c r="A334" s="3" t="s">
        <v>534</v>
      </c>
      <c r="B334" s="3">
        <v>0.0</v>
      </c>
      <c r="C334" s="3" t="s">
        <v>26</v>
      </c>
      <c r="D334" s="4" t="b">
        <f t="shared" si="1"/>
        <v>0</v>
      </c>
      <c r="E334" s="4" t="s">
        <v>534</v>
      </c>
    </row>
    <row r="335">
      <c r="A335" s="3" t="s">
        <v>535</v>
      </c>
      <c r="B335" s="3">
        <v>400.0</v>
      </c>
      <c r="C335" s="3" t="s">
        <v>3</v>
      </c>
      <c r="D335" s="4" t="b">
        <f t="shared" si="1"/>
        <v>0</v>
      </c>
      <c r="E335" s="4" t="s">
        <v>2180</v>
      </c>
    </row>
    <row r="336">
      <c r="A336" s="3" t="s">
        <v>537</v>
      </c>
      <c r="B336" s="3">
        <v>750.0</v>
      </c>
      <c r="C336" s="4"/>
      <c r="D336" s="4" t="b">
        <f t="shared" si="1"/>
        <v>0</v>
      </c>
      <c r="E336" s="4" t="s">
        <v>2181</v>
      </c>
    </row>
    <row r="337">
      <c r="A337" s="3" t="s">
        <v>539</v>
      </c>
      <c r="B337" s="3">
        <v>0.0</v>
      </c>
      <c r="C337" s="3" t="s">
        <v>6</v>
      </c>
      <c r="D337" s="4" t="b">
        <f t="shared" si="1"/>
        <v>0</v>
      </c>
      <c r="E337" s="4" t="s">
        <v>539</v>
      </c>
    </row>
    <row r="338">
      <c r="A338" s="3" t="s">
        <v>540</v>
      </c>
      <c r="B338" s="3">
        <v>800.0</v>
      </c>
      <c r="C338" s="4"/>
      <c r="D338" s="4" t="b">
        <f t="shared" si="1"/>
        <v>0</v>
      </c>
      <c r="E338" s="4" t="s">
        <v>540</v>
      </c>
    </row>
    <row r="339">
      <c r="A339" s="3" t="s">
        <v>541</v>
      </c>
      <c r="B339" s="3">
        <v>500.0</v>
      </c>
      <c r="C339" s="4"/>
      <c r="D339" s="4" t="b">
        <f t="shared" si="1"/>
        <v>0</v>
      </c>
      <c r="E339" s="4" t="s">
        <v>541</v>
      </c>
    </row>
    <row r="340">
      <c r="A340" s="3" t="s">
        <v>542</v>
      </c>
      <c r="B340" s="3">
        <v>0.0</v>
      </c>
      <c r="C340" s="3" t="s">
        <v>3</v>
      </c>
      <c r="D340" s="4" t="b">
        <f t="shared" si="1"/>
        <v>0</v>
      </c>
      <c r="E340" s="4" t="s">
        <v>542</v>
      </c>
    </row>
    <row r="341">
      <c r="A341" s="3" t="s">
        <v>543</v>
      </c>
      <c r="B341" s="3">
        <v>0.0</v>
      </c>
      <c r="C341" s="3" t="s">
        <v>3</v>
      </c>
      <c r="D341" s="4" t="b">
        <f t="shared" si="1"/>
        <v>0</v>
      </c>
      <c r="E341" s="4" t="s">
        <v>2182</v>
      </c>
    </row>
    <row r="342">
      <c r="A342" s="3" t="s">
        <v>545</v>
      </c>
      <c r="B342" s="3">
        <v>0.0</v>
      </c>
      <c r="C342" s="3" t="s">
        <v>3</v>
      </c>
      <c r="D342" s="4" t="b">
        <f t="shared" si="1"/>
        <v>0</v>
      </c>
      <c r="E342" s="4" t="s">
        <v>545</v>
      </c>
    </row>
    <row r="343">
      <c r="A343" s="3" t="s">
        <v>546</v>
      </c>
      <c r="B343" s="3">
        <v>0.0</v>
      </c>
      <c r="C343" s="3" t="s">
        <v>3</v>
      </c>
      <c r="D343" s="4" t="b">
        <f t="shared" si="1"/>
        <v>0</v>
      </c>
      <c r="E343" s="4" t="s">
        <v>546</v>
      </c>
    </row>
    <row r="344">
      <c r="A344" s="3" t="s">
        <v>547</v>
      </c>
      <c r="B344" s="3">
        <v>4000.0</v>
      </c>
      <c r="C344" s="4"/>
      <c r="D344" s="4" t="b">
        <f t="shared" si="1"/>
        <v>0</v>
      </c>
      <c r="E344" s="4" t="s">
        <v>547</v>
      </c>
    </row>
    <row r="345">
      <c r="A345" s="3" t="s">
        <v>548</v>
      </c>
      <c r="B345" s="3">
        <v>0.0</v>
      </c>
      <c r="C345" s="3" t="s">
        <v>29</v>
      </c>
      <c r="D345" s="4" t="b">
        <f t="shared" si="1"/>
        <v>0</v>
      </c>
      <c r="E345" s="4" t="s">
        <v>548</v>
      </c>
    </row>
    <row r="346">
      <c r="A346" s="3" t="s">
        <v>549</v>
      </c>
      <c r="B346" s="3">
        <v>27778.0</v>
      </c>
      <c r="C346" s="4"/>
      <c r="D346" s="4" t="b">
        <f t="shared" si="1"/>
        <v>0</v>
      </c>
      <c r="E346" s="4" t="s">
        <v>549</v>
      </c>
    </row>
    <row r="347">
      <c r="A347" s="3" t="s">
        <v>551</v>
      </c>
      <c r="B347" s="3">
        <v>0.0</v>
      </c>
      <c r="C347" s="3" t="s">
        <v>29</v>
      </c>
      <c r="D347" s="4" t="b">
        <f t="shared" si="1"/>
        <v>0</v>
      </c>
      <c r="E347" s="4" t="s">
        <v>551</v>
      </c>
    </row>
    <row r="348">
      <c r="A348" s="3" t="s">
        <v>552</v>
      </c>
      <c r="B348" s="3">
        <v>500.0</v>
      </c>
      <c r="C348" s="4"/>
      <c r="D348" s="4" t="b">
        <f t="shared" si="1"/>
        <v>0</v>
      </c>
      <c r="E348" s="4" t="s">
        <v>552</v>
      </c>
    </row>
    <row r="349">
      <c r="A349" s="3" t="s">
        <v>553</v>
      </c>
      <c r="B349" s="3">
        <v>0.0</v>
      </c>
      <c r="C349" s="3" t="s">
        <v>29</v>
      </c>
      <c r="D349" s="4" t="b">
        <f t="shared" si="1"/>
        <v>0</v>
      </c>
      <c r="E349" s="4" t="s">
        <v>553</v>
      </c>
    </row>
    <row r="350">
      <c r="A350" s="3" t="s">
        <v>554</v>
      </c>
      <c r="B350" s="3">
        <v>0.0</v>
      </c>
      <c r="C350" s="3" t="s">
        <v>29</v>
      </c>
      <c r="D350" s="4" t="b">
        <f t="shared" si="1"/>
        <v>0</v>
      </c>
      <c r="E350" s="4" t="s">
        <v>554</v>
      </c>
    </row>
    <row r="351">
      <c r="A351" s="3" t="s">
        <v>555</v>
      </c>
      <c r="B351" s="3">
        <v>0.0</v>
      </c>
      <c r="C351" s="3" t="s">
        <v>29</v>
      </c>
      <c r="D351" s="4" t="b">
        <f t="shared" si="1"/>
        <v>0</v>
      </c>
      <c r="E351" s="4" t="s">
        <v>2183</v>
      </c>
    </row>
    <row r="352">
      <c r="A352" s="3" t="s">
        <v>557</v>
      </c>
      <c r="B352" s="3">
        <v>1500.0</v>
      </c>
      <c r="C352" s="3" t="s">
        <v>29</v>
      </c>
      <c r="D352" s="4" t="b">
        <f t="shared" si="1"/>
        <v>0</v>
      </c>
      <c r="E352" s="4" t="s">
        <v>557</v>
      </c>
    </row>
    <row r="353">
      <c r="A353" s="3" t="s">
        <v>558</v>
      </c>
      <c r="B353" s="3">
        <v>1000.0</v>
      </c>
      <c r="C353" s="3" t="s">
        <v>484</v>
      </c>
      <c r="D353" s="4" t="b">
        <f t="shared" si="1"/>
        <v>0</v>
      </c>
      <c r="E353" s="4" t="s">
        <v>558</v>
      </c>
    </row>
    <row r="354">
      <c r="A354" s="3" t="s">
        <v>559</v>
      </c>
      <c r="B354" s="3">
        <v>4600.0</v>
      </c>
      <c r="C354" s="3" t="s">
        <v>6</v>
      </c>
      <c r="D354" s="4" t="b">
        <f t="shared" si="1"/>
        <v>0</v>
      </c>
      <c r="E354" s="4" t="s">
        <v>559</v>
      </c>
    </row>
    <row r="355">
      <c r="A355" s="3" t="s">
        <v>561</v>
      </c>
      <c r="B355" s="3">
        <v>0.0</v>
      </c>
      <c r="C355" s="3" t="s">
        <v>29</v>
      </c>
      <c r="D355" s="4" t="b">
        <f t="shared" si="1"/>
        <v>0</v>
      </c>
      <c r="E355" s="4" t="s">
        <v>561</v>
      </c>
    </row>
    <row r="356">
      <c r="A356" s="3" t="s">
        <v>562</v>
      </c>
      <c r="B356" s="3">
        <v>0.0</v>
      </c>
      <c r="C356" s="3" t="s">
        <v>29</v>
      </c>
      <c r="D356" s="4" t="b">
        <f t="shared" si="1"/>
        <v>0</v>
      </c>
      <c r="E356" s="4" t="s">
        <v>562</v>
      </c>
    </row>
    <row r="357">
      <c r="A357" s="3" t="s">
        <v>563</v>
      </c>
      <c r="B357" s="3">
        <v>0.0</v>
      </c>
      <c r="C357" s="3" t="s">
        <v>29</v>
      </c>
      <c r="D357" s="4" t="b">
        <f t="shared" si="1"/>
        <v>0</v>
      </c>
      <c r="E357" s="4" t="s">
        <v>563</v>
      </c>
    </row>
    <row r="358">
      <c r="A358" s="3" t="s">
        <v>564</v>
      </c>
      <c r="B358" s="3">
        <v>0.0</v>
      </c>
      <c r="C358" s="3" t="s">
        <v>484</v>
      </c>
      <c r="D358" s="4" t="b">
        <f t="shared" si="1"/>
        <v>0</v>
      </c>
      <c r="E358" s="4" t="s">
        <v>564</v>
      </c>
    </row>
    <row r="359">
      <c r="A359" s="3" t="s">
        <v>565</v>
      </c>
      <c r="B359" s="3">
        <v>0.0</v>
      </c>
      <c r="C359" s="3" t="s">
        <v>29</v>
      </c>
      <c r="D359" s="4" t="b">
        <f t="shared" si="1"/>
        <v>0</v>
      </c>
      <c r="E359" s="4" t="s">
        <v>565</v>
      </c>
    </row>
    <row r="360">
      <c r="A360" s="3" t="s">
        <v>566</v>
      </c>
      <c r="B360" s="3">
        <v>0.0</v>
      </c>
      <c r="C360" s="3" t="s">
        <v>29</v>
      </c>
      <c r="D360" s="4" t="b">
        <f t="shared" si="1"/>
        <v>0</v>
      </c>
      <c r="E360" s="4" t="s">
        <v>566</v>
      </c>
    </row>
    <row r="361">
      <c r="A361" s="3" t="s">
        <v>567</v>
      </c>
      <c r="B361" s="3">
        <v>0.0</v>
      </c>
      <c r="C361" s="3" t="s">
        <v>3</v>
      </c>
      <c r="D361" s="4" t="b">
        <f t="shared" si="1"/>
        <v>0</v>
      </c>
      <c r="E361" s="4" t="s">
        <v>567</v>
      </c>
    </row>
    <row r="362">
      <c r="A362" s="3" t="s">
        <v>568</v>
      </c>
      <c r="B362" s="3">
        <v>0.0</v>
      </c>
      <c r="C362" s="3" t="s">
        <v>3</v>
      </c>
      <c r="D362" s="4" t="b">
        <f t="shared" si="1"/>
        <v>0</v>
      </c>
      <c r="E362" s="4" t="s">
        <v>568</v>
      </c>
    </row>
    <row r="363">
      <c r="A363" s="3" t="s">
        <v>569</v>
      </c>
      <c r="B363" s="3">
        <v>50000.0</v>
      </c>
      <c r="C363" s="3" t="s">
        <v>6</v>
      </c>
      <c r="D363" s="4" t="b">
        <f t="shared" si="1"/>
        <v>0</v>
      </c>
      <c r="E363" s="4" t="s">
        <v>569</v>
      </c>
    </row>
    <row r="364">
      <c r="A364" s="3" t="s">
        <v>571</v>
      </c>
      <c r="B364" s="3">
        <v>500.0</v>
      </c>
      <c r="C364" s="3" t="s">
        <v>6</v>
      </c>
      <c r="D364" s="4" t="b">
        <f t="shared" si="1"/>
        <v>0</v>
      </c>
      <c r="E364" s="4" t="s">
        <v>2184</v>
      </c>
    </row>
    <row r="365">
      <c r="A365" s="3" t="s">
        <v>573</v>
      </c>
      <c r="B365" s="3">
        <v>0.0</v>
      </c>
      <c r="C365" s="3" t="s">
        <v>3</v>
      </c>
      <c r="D365" s="4" t="b">
        <f t="shared" si="1"/>
        <v>0</v>
      </c>
      <c r="E365" s="4" t="s">
        <v>573</v>
      </c>
    </row>
    <row r="366">
      <c r="A366" s="3" t="s">
        <v>574</v>
      </c>
      <c r="B366" s="3">
        <v>700.0</v>
      </c>
      <c r="C366" s="4"/>
      <c r="D366" s="4" t="b">
        <f t="shared" si="1"/>
        <v>0</v>
      </c>
      <c r="E366" s="4" t="s">
        <v>2185</v>
      </c>
    </row>
    <row r="367">
      <c r="A367" s="3" t="s">
        <v>577</v>
      </c>
      <c r="B367" s="3">
        <v>0.0</v>
      </c>
      <c r="C367" s="3" t="s">
        <v>32</v>
      </c>
      <c r="D367" s="4" t="b">
        <f t="shared" si="1"/>
        <v>0</v>
      </c>
      <c r="E367" s="4" t="s">
        <v>577</v>
      </c>
    </row>
    <row r="368">
      <c r="A368" s="3" t="s">
        <v>578</v>
      </c>
      <c r="B368" s="3">
        <v>1700.0</v>
      </c>
      <c r="C368" s="3" t="s">
        <v>580</v>
      </c>
      <c r="D368" s="4" t="b">
        <f t="shared" si="1"/>
        <v>0</v>
      </c>
      <c r="E368" s="4" t="s">
        <v>2186</v>
      </c>
    </row>
    <row r="369">
      <c r="A369" s="3" t="s">
        <v>582</v>
      </c>
      <c r="B369" s="3">
        <v>153407.0</v>
      </c>
      <c r="C369" s="3" t="s">
        <v>32</v>
      </c>
      <c r="D369" s="4" t="b">
        <f t="shared" si="1"/>
        <v>0</v>
      </c>
      <c r="E369" s="4" t="s">
        <v>582</v>
      </c>
    </row>
    <row r="370">
      <c r="A370" s="3" t="s">
        <v>584</v>
      </c>
      <c r="B370" s="3">
        <v>0.0</v>
      </c>
      <c r="C370" s="3" t="s">
        <v>6</v>
      </c>
      <c r="D370" s="4" t="b">
        <f t="shared" si="1"/>
        <v>0</v>
      </c>
      <c r="E370" s="4" t="s">
        <v>2187</v>
      </c>
    </row>
    <row r="371">
      <c r="A371" s="3" t="s">
        <v>586</v>
      </c>
      <c r="B371" s="3">
        <v>4550.0</v>
      </c>
      <c r="C371" s="3" t="s">
        <v>6</v>
      </c>
      <c r="D371" s="4" t="b">
        <f t="shared" si="1"/>
        <v>0</v>
      </c>
      <c r="E371" s="4" t="s">
        <v>586</v>
      </c>
    </row>
    <row r="372">
      <c r="A372" s="3" t="s">
        <v>588</v>
      </c>
      <c r="B372" s="3">
        <v>0.0</v>
      </c>
      <c r="C372" s="3" t="s">
        <v>3</v>
      </c>
      <c r="D372" s="4" t="b">
        <f t="shared" si="1"/>
        <v>0</v>
      </c>
      <c r="E372" s="4" t="s">
        <v>588</v>
      </c>
    </row>
    <row r="373">
      <c r="A373" s="3" t="s">
        <v>589</v>
      </c>
      <c r="B373" s="3">
        <v>44200.0</v>
      </c>
      <c r="C373" s="3" t="s">
        <v>3</v>
      </c>
      <c r="D373" s="4" t="b">
        <f t="shared" si="1"/>
        <v>0</v>
      </c>
      <c r="E373" s="4" t="s">
        <v>589</v>
      </c>
    </row>
    <row r="374">
      <c r="A374" s="3" t="s">
        <v>591</v>
      </c>
      <c r="B374" s="3">
        <v>0.0</v>
      </c>
      <c r="C374" s="3" t="s">
        <v>3</v>
      </c>
      <c r="D374" s="4" t="b">
        <f t="shared" si="1"/>
        <v>0</v>
      </c>
      <c r="E374" s="4" t="s">
        <v>591</v>
      </c>
    </row>
    <row r="375">
      <c r="A375" s="3" t="s">
        <v>592</v>
      </c>
      <c r="B375" s="3">
        <v>0.0</v>
      </c>
      <c r="C375" s="3" t="s">
        <v>3</v>
      </c>
      <c r="D375" s="4" t="b">
        <f t="shared" si="1"/>
        <v>0</v>
      </c>
      <c r="E375" s="4" t="s">
        <v>592</v>
      </c>
    </row>
    <row r="376">
      <c r="A376" s="3" t="s">
        <v>593</v>
      </c>
      <c r="B376" s="3">
        <v>0.0</v>
      </c>
      <c r="C376" s="3" t="s">
        <v>3</v>
      </c>
      <c r="D376" s="4" t="b">
        <f t="shared" si="1"/>
        <v>0</v>
      </c>
      <c r="E376" s="4" t="s">
        <v>593</v>
      </c>
    </row>
    <row r="377">
      <c r="A377" s="3" t="s">
        <v>594</v>
      </c>
      <c r="B377" s="3">
        <v>0.0</v>
      </c>
      <c r="C377" s="3" t="s">
        <v>6</v>
      </c>
      <c r="D377" s="4" t="b">
        <f t="shared" si="1"/>
        <v>0</v>
      </c>
      <c r="E377" s="4" t="s">
        <v>594</v>
      </c>
    </row>
    <row r="378">
      <c r="A378" s="3" t="s">
        <v>595</v>
      </c>
      <c r="B378" s="3">
        <v>0.0</v>
      </c>
      <c r="C378" s="3" t="s">
        <v>3</v>
      </c>
      <c r="D378" s="4" t="b">
        <f t="shared" si="1"/>
        <v>0</v>
      </c>
      <c r="E378" s="4" t="s">
        <v>595</v>
      </c>
    </row>
    <row r="379">
      <c r="A379" s="3" t="s">
        <v>596</v>
      </c>
      <c r="B379" s="3">
        <v>0.0</v>
      </c>
      <c r="C379" s="3" t="s">
        <v>3</v>
      </c>
      <c r="D379" s="4" t="b">
        <f t="shared" si="1"/>
        <v>0</v>
      </c>
      <c r="E379" s="4" t="s">
        <v>2188</v>
      </c>
    </row>
    <row r="380">
      <c r="A380" s="3" t="s">
        <v>598</v>
      </c>
      <c r="B380" s="3">
        <v>0.0</v>
      </c>
      <c r="C380" s="3" t="s">
        <v>3</v>
      </c>
      <c r="D380" s="4" t="b">
        <f t="shared" si="1"/>
        <v>0</v>
      </c>
      <c r="E380" s="4" t="s">
        <v>598</v>
      </c>
    </row>
    <row r="381">
      <c r="A381" s="3" t="s">
        <v>599</v>
      </c>
      <c r="B381" s="3">
        <v>347000.0</v>
      </c>
      <c r="C381" s="4"/>
      <c r="D381" s="4" t="b">
        <f t="shared" si="1"/>
        <v>0</v>
      </c>
      <c r="E381" s="4" t="s">
        <v>599</v>
      </c>
    </row>
    <row r="382">
      <c r="A382" s="3" t="s">
        <v>601</v>
      </c>
      <c r="B382" s="3">
        <v>2000.0</v>
      </c>
      <c r="C382" s="4"/>
      <c r="D382" s="4" t="b">
        <f t="shared" si="1"/>
        <v>0</v>
      </c>
      <c r="E382" s="4" t="s">
        <v>601</v>
      </c>
    </row>
    <row r="383">
      <c r="A383" s="3" t="s">
        <v>602</v>
      </c>
      <c r="B383" s="3">
        <v>1089439.0</v>
      </c>
      <c r="C383" s="3" t="s">
        <v>37</v>
      </c>
      <c r="D383" s="4" t="b">
        <f t="shared" si="1"/>
        <v>0</v>
      </c>
      <c r="E383" s="4" t="s">
        <v>2189</v>
      </c>
    </row>
    <row r="384">
      <c r="A384" s="3" t="s">
        <v>605</v>
      </c>
      <c r="B384" s="3">
        <v>3000.0</v>
      </c>
      <c r="C384" s="3" t="s">
        <v>29</v>
      </c>
      <c r="D384" s="4" t="b">
        <f t="shared" si="1"/>
        <v>0</v>
      </c>
      <c r="E384" s="4" t="s">
        <v>605</v>
      </c>
    </row>
    <row r="385">
      <c r="A385" s="3" t="s">
        <v>606</v>
      </c>
      <c r="B385" s="3">
        <v>3000.0</v>
      </c>
      <c r="C385" s="3" t="s">
        <v>484</v>
      </c>
      <c r="D385" s="4" t="b">
        <f t="shared" si="1"/>
        <v>0</v>
      </c>
      <c r="E385" s="4" t="s">
        <v>606</v>
      </c>
    </row>
    <row r="386">
      <c r="A386" s="3" t="s">
        <v>607</v>
      </c>
      <c r="B386" s="3">
        <v>30500.0</v>
      </c>
      <c r="C386" s="3" t="s">
        <v>32</v>
      </c>
      <c r="D386" s="4" t="b">
        <f t="shared" si="1"/>
        <v>0</v>
      </c>
      <c r="E386" s="4" t="s">
        <v>607</v>
      </c>
    </row>
    <row r="387">
      <c r="A387" s="3" t="s">
        <v>609</v>
      </c>
      <c r="B387" s="3">
        <v>3500.0</v>
      </c>
      <c r="C387" s="3" t="s">
        <v>29</v>
      </c>
      <c r="D387" s="4" t="b">
        <f t="shared" si="1"/>
        <v>0</v>
      </c>
      <c r="E387" s="4" t="s">
        <v>609</v>
      </c>
    </row>
    <row r="388">
      <c r="A388" s="3" t="s">
        <v>610</v>
      </c>
      <c r="B388" s="3">
        <v>0.0</v>
      </c>
      <c r="C388" s="3" t="s">
        <v>6</v>
      </c>
      <c r="D388" s="4" t="b">
        <f t="shared" si="1"/>
        <v>0</v>
      </c>
      <c r="E388" s="4" t="s">
        <v>610</v>
      </c>
    </row>
    <row r="389">
      <c r="A389" s="3" t="s">
        <v>611</v>
      </c>
      <c r="B389" s="3">
        <v>2500.0</v>
      </c>
      <c r="C389" s="4"/>
      <c r="D389" s="4" t="b">
        <f t="shared" si="1"/>
        <v>0</v>
      </c>
      <c r="E389" s="4" t="s">
        <v>611</v>
      </c>
    </row>
    <row r="390">
      <c r="A390" s="3" t="s">
        <v>612</v>
      </c>
      <c r="B390" s="3">
        <v>0.0</v>
      </c>
      <c r="C390" s="3" t="s">
        <v>6</v>
      </c>
      <c r="D390" s="4" t="b">
        <f t="shared" si="1"/>
        <v>0</v>
      </c>
      <c r="E390" s="4" t="s">
        <v>612</v>
      </c>
    </row>
    <row r="391">
      <c r="A391" s="3" t="s">
        <v>613</v>
      </c>
      <c r="B391" s="3">
        <v>0.0</v>
      </c>
      <c r="C391" s="3" t="s">
        <v>3</v>
      </c>
      <c r="D391" s="4" t="b">
        <f t="shared" si="1"/>
        <v>0</v>
      </c>
      <c r="E391" s="4" t="s">
        <v>613</v>
      </c>
    </row>
    <row r="392">
      <c r="A392" s="3" t="s">
        <v>614</v>
      </c>
      <c r="B392" s="3">
        <v>1500.0</v>
      </c>
      <c r="C392" s="4"/>
      <c r="D392" s="4" t="b">
        <f t="shared" si="1"/>
        <v>0</v>
      </c>
      <c r="E392" s="4" t="s">
        <v>614</v>
      </c>
    </row>
    <row r="393">
      <c r="A393" s="3" t="s">
        <v>615</v>
      </c>
      <c r="B393" s="3">
        <v>0.0</v>
      </c>
      <c r="C393" s="3" t="s">
        <v>3</v>
      </c>
      <c r="D393" s="4" t="b">
        <f t="shared" si="1"/>
        <v>0</v>
      </c>
      <c r="E393" s="4" t="s">
        <v>615</v>
      </c>
    </row>
    <row r="394">
      <c r="A394" s="3" t="s">
        <v>616</v>
      </c>
      <c r="B394" s="3">
        <v>0.0</v>
      </c>
      <c r="C394" s="3" t="s">
        <v>3</v>
      </c>
      <c r="D394" s="4" t="b">
        <f t="shared" si="1"/>
        <v>0</v>
      </c>
      <c r="E394" s="4" t="s">
        <v>616</v>
      </c>
    </row>
    <row r="395">
      <c r="A395" s="3" t="s">
        <v>617</v>
      </c>
      <c r="B395" s="3">
        <v>0.0</v>
      </c>
      <c r="C395" s="3" t="s">
        <v>3</v>
      </c>
      <c r="D395" s="4" t="b">
        <f t="shared" si="1"/>
        <v>0</v>
      </c>
      <c r="E395" s="4" t="s">
        <v>617</v>
      </c>
    </row>
    <row r="396">
      <c r="A396" s="3" t="s">
        <v>618</v>
      </c>
      <c r="B396" s="3">
        <v>0.0</v>
      </c>
      <c r="C396" s="3" t="s">
        <v>3</v>
      </c>
      <c r="D396" s="4" t="b">
        <f t="shared" si="1"/>
        <v>0</v>
      </c>
      <c r="E396" s="4" t="s">
        <v>618</v>
      </c>
    </row>
    <row r="397">
      <c r="A397" s="3" t="s">
        <v>619</v>
      </c>
      <c r="B397" s="3">
        <v>0.0</v>
      </c>
      <c r="C397" s="3" t="s">
        <v>3</v>
      </c>
      <c r="D397" s="4" t="b">
        <f t="shared" si="1"/>
        <v>0</v>
      </c>
      <c r="E397" s="4" t="s">
        <v>619</v>
      </c>
    </row>
    <row r="398">
      <c r="A398" s="3" t="s">
        <v>620</v>
      </c>
      <c r="B398" s="3">
        <v>0.0</v>
      </c>
      <c r="C398" s="3" t="s">
        <v>6</v>
      </c>
      <c r="D398" s="4" t="b">
        <f t="shared" si="1"/>
        <v>0</v>
      </c>
      <c r="E398" s="4" t="s">
        <v>620</v>
      </c>
    </row>
    <row r="399">
      <c r="A399" s="3" t="s">
        <v>621</v>
      </c>
      <c r="B399" s="3">
        <v>1500.0</v>
      </c>
      <c r="C399" s="3" t="s">
        <v>32</v>
      </c>
      <c r="D399" s="4" t="b">
        <f t="shared" si="1"/>
        <v>0</v>
      </c>
      <c r="E399" s="4" t="s">
        <v>621</v>
      </c>
    </row>
    <row r="400">
      <c r="A400" s="3" t="s">
        <v>622</v>
      </c>
      <c r="B400" s="3">
        <v>8000.0</v>
      </c>
      <c r="C400" s="3" t="s">
        <v>32</v>
      </c>
      <c r="D400" s="4" t="b">
        <f t="shared" si="1"/>
        <v>0</v>
      </c>
      <c r="E400" s="4" t="s">
        <v>622</v>
      </c>
    </row>
    <row r="401">
      <c r="A401" s="3" t="s">
        <v>624</v>
      </c>
      <c r="B401" s="3">
        <v>0.0</v>
      </c>
      <c r="C401" s="3" t="s">
        <v>3</v>
      </c>
      <c r="D401" s="4" t="b">
        <f t="shared" si="1"/>
        <v>0</v>
      </c>
      <c r="E401" s="4" t="s">
        <v>624</v>
      </c>
    </row>
    <row r="402">
      <c r="A402" s="3" t="s">
        <v>625</v>
      </c>
      <c r="B402" s="3">
        <v>13600.0</v>
      </c>
      <c r="C402" s="3" t="s">
        <v>37</v>
      </c>
      <c r="D402" s="4" t="b">
        <f t="shared" si="1"/>
        <v>0</v>
      </c>
      <c r="E402" s="4" t="s">
        <v>2190</v>
      </c>
    </row>
    <row r="403">
      <c r="A403" s="3" t="s">
        <v>627</v>
      </c>
      <c r="B403" s="3">
        <v>0.0</v>
      </c>
      <c r="C403" s="3" t="s">
        <v>3</v>
      </c>
      <c r="D403" s="4" t="b">
        <f t="shared" si="1"/>
        <v>0</v>
      </c>
      <c r="E403" s="4" t="s">
        <v>627</v>
      </c>
    </row>
    <row r="404">
      <c r="A404" s="3" t="s">
        <v>628</v>
      </c>
      <c r="B404" s="3">
        <v>35895.0</v>
      </c>
      <c r="C404" s="3" t="s">
        <v>484</v>
      </c>
      <c r="D404" s="4" t="b">
        <f t="shared" si="1"/>
        <v>0</v>
      </c>
      <c r="E404" s="4" t="s">
        <v>628</v>
      </c>
    </row>
    <row r="405">
      <c r="A405" s="3" t="s">
        <v>630</v>
      </c>
      <c r="B405" s="3">
        <v>2500.0</v>
      </c>
      <c r="C405" s="4"/>
      <c r="D405" s="4" t="b">
        <f t="shared" si="1"/>
        <v>0</v>
      </c>
      <c r="E405" s="4" t="s">
        <v>630</v>
      </c>
    </row>
    <row r="406">
      <c r="A406" s="3" t="s">
        <v>631</v>
      </c>
      <c r="B406" s="3">
        <v>1000.0</v>
      </c>
      <c r="C406" s="4"/>
      <c r="D406" s="4" t="b">
        <f t="shared" si="1"/>
        <v>0</v>
      </c>
      <c r="E406" s="4" t="s">
        <v>631</v>
      </c>
    </row>
    <row r="407">
      <c r="A407" s="3" t="s">
        <v>632</v>
      </c>
      <c r="B407" s="3">
        <v>0.0</v>
      </c>
      <c r="C407" s="3" t="s">
        <v>3</v>
      </c>
      <c r="D407" s="4" t="b">
        <f t="shared" si="1"/>
        <v>0</v>
      </c>
      <c r="E407" s="4" t="s">
        <v>632</v>
      </c>
    </row>
    <row r="408">
      <c r="A408" s="3" t="s">
        <v>633</v>
      </c>
      <c r="B408" s="3">
        <v>8500.0</v>
      </c>
      <c r="C408" s="3" t="s">
        <v>3</v>
      </c>
      <c r="D408" s="4" t="b">
        <f t="shared" si="1"/>
        <v>0</v>
      </c>
      <c r="E408" s="4" t="s">
        <v>633</v>
      </c>
    </row>
    <row r="409">
      <c r="A409" s="3" t="s">
        <v>635</v>
      </c>
      <c r="B409" s="3">
        <v>1000.0</v>
      </c>
      <c r="C409" s="3" t="s">
        <v>32</v>
      </c>
      <c r="D409" s="4" t="b">
        <f t="shared" si="1"/>
        <v>0</v>
      </c>
      <c r="E409" s="4" t="s">
        <v>635</v>
      </c>
    </row>
    <row r="410">
      <c r="A410" s="3" t="s">
        <v>636</v>
      </c>
      <c r="B410" s="3">
        <v>2500.0</v>
      </c>
      <c r="C410" s="3" t="s">
        <v>6</v>
      </c>
      <c r="D410" s="4" t="b">
        <f t="shared" si="1"/>
        <v>0</v>
      </c>
      <c r="E410" s="4" t="s">
        <v>636</v>
      </c>
    </row>
    <row r="411">
      <c r="A411" s="3" t="s">
        <v>637</v>
      </c>
      <c r="B411" s="3">
        <v>0.0</v>
      </c>
      <c r="C411" s="3" t="s">
        <v>37</v>
      </c>
      <c r="D411" s="4" t="b">
        <f t="shared" si="1"/>
        <v>0</v>
      </c>
      <c r="E411" s="4" t="s">
        <v>2191</v>
      </c>
    </row>
    <row r="412">
      <c r="A412" s="3" t="s">
        <v>638</v>
      </c>
      <c r="B412" s="3">
        <v>0.0</v>
      </c>
      <c r="C412" s="3" t="s">
        <v>3</v>
      </c>
      <c r="D412" s="4" t="b">
        <f t="shared" si="1"/>
        <v>0</v>
      </c>
      <c r="E412" s="4" t="s">
        <v>638</v>
      </c>
    </row>
    <row r="413">
      <c r="A413" s="3" t="s">
        <v>639</v>
      </c>
      <c r="B413" s="3">
        <v>21600.0</v>
      </c>
      <c r="C413" s="3" t="s">
        <v>3</v>
      </c>
      <c r="D413" s="4" t="b">
        <f t="shared" si="1"/>
        <v>0</v>
      </c>
      <c r="E413" s="4" t="s">
        <v>639</v>
      </c>
    </row>
    <row r="414">
      <c r="A414" s="3" t="s">
        <v>641</v>
      </c>
      <c r="B414" s="3">
        <v>223734.0</v>
      </c>
      <c r="C414" s="3" t="s">
        <v>37</v>
      </c>
      <c r="D414" s="4" t="b">
        <f t="shared" si="1"/>
        <v>0</v>
      </c>
      <c r="E414" s="4" t="s">
        <v>2192</v>
      </c>
    </row>
    <row r="415">
      <c r="A415" s="3" t="s">
        <v>643</v>
      </c>
      <c r="B415" s="3">
        <v>3000.0</v>
      </c>
      <c r="C415" s="3" t="s">
        <v>29</v>
      </c>
      <c r="D415" s="4" t="b">
        <f t="shared" si="1"/>
        <v>0</v>
      </c>
      <c r="E415" s="4" t="s">
        <v>643</v>
      </c>
    </row>
    <row r="416">
      <c r="A416" s="3" t="s">
        <v>644</v>
      </c>
      <c r="B416" s="3">
        <v>0.0</v>
      </c>
      <c r="C416" s="3" t="s">
        <v>3</v>
      </c>
      <c r="D416" s="4" t="b">
        <f t="shared" si="1"/>
        <v>0</v>
      </c>
      <c r="E416" s="4" t="s">
        <v>644</v>
      </c>
    </row>
    <row r="417">
      <c r="A417" s="3" t="s">
        <v>645</v>
      </c>
      <c r="B417" s="3">
        <v>30000.0</v>
      </c>
      <c r="C417" s="4"/>
      <c r="D417" s="4" t="b">
        <f t="shared" si="1"/>
        <v>0</v>
      </c>
      <c r="E417" s="4" t="s">
        <v>645</v>
      </c>
    </row>
    <row r="418">
      <c r="A418" s="3" t="s">
        <v>646</v>
      </c>
      <c r="B418" s="3">
        <v>198775.0</v>
      </c>
      <c r="C418" s="3" t="s">
        <v>6</v>
      </c>
      <c r="D418" s="4" t="b">
        <f t="shared" si="1"/>
        <v>0</v>
      </c>
      <c r="E418" s="4" t="s">
        <v>646</v>
      </c>
    </row>
    <row r="419">
      <c r="A419" s="3" t="s">
        <v>648</v>
      </c>
      <c r="B419" s="3">
        <v>339500.0</v>
      </c>
      <c r="C419" s="3" t="s">
        <v>16</v>
      </c>
      <c r="D419" s="4" t="b">
        <f t="shared" si="1"/>
        <v>0</v>
      </c>
      <c r="E419" s="4" t="s">
        <v>648</v>
      </c>
    </row>
    <row r="420">
      <c r="A420" s="3" t="s">
        <v>650</v>
      </c>
      <c r="B420" s="3">
        <v>1000.0</v>
      </c>
      <c r="C420" s="4"/>
      <c r="D420" s="4" t="b">
        <f t="shared" si="1"/>
        <v>0</v>
      </c>
      <c r="E420" s="4" t="s">
        <v>650</v>
      </c>
    </row>
    <row r="421">
      <c r="A421" s="3" t="s">
        <v>651</v>
      </c>
      <c r="B421" s="3">
        <v>0.0</v>
      </c>
      <c r="C421" s="3" t="s">
        <v>3</v>
      </c>
      <c r="D421" s="4" t="b">
        <f t="shared" si="1"/>
        <v>0</v>
      </c>
      <c r="E421" s="4" t="s">
        <v>651</v>
      </c>
    </row>
    <row r="422">
      <c r="A422" s="3" t="s">
        <v>652</v>
      </c>
      <c r="B422" s="3">
        <v>3700.0</v>
      </c>
      <c r="C422" s="3" t="s">
        <v>29</v>
      </c>
      <c r="D422" s="4" t="b">
        <f t="shared" si="1"/>
        <v>0</v>
      </c>
      <c r="E422" s="4" t="s">
        <v>652</v>
      </c>
    </row>
    <row r="423">
      <c r="A423" s="3" t="s">
        <v>654</v>
      </c>
      <c r="B423" s="3">
        <v>0.0</v>
      </c>
      <c r="C423" s="3" t="s">
        <v>29</v>
      </c>
      <c r="D423" s="4" t="b">
        <f t="shared" si="1"/>
        <v>0</v>
      </c>
      <c r="E423" s="4" t="s">
        <v>654</v>
      </c>
    </row>
    <row r="424">
      <c r="A424" s="3" t="s">
        <v>655</v>
      </c>
      <c r="B424" s="3">
        <v>80000.0</v>
      </c>
      <c r="C424" s="3" t="s">
        <v>29</v>
      </c>
      <c r="D424" s="4" t="b">
        <f t="shared" si="1"/>
        <v>0</v>
      </c>
      <c r="E424" s="4" t="s">
        <v>655</v>
      </c>
    </row>
    <row r="425">
      <c r="A425" s="3" t="s">
        <v>657</v>
      </c>
      <c r="B425" s="3">
        <v>0.0</v>
      </c>
      <c r="C425" s="3" t="s">
        <v>32</v>
      </c>
      <c r="D425" s="4" t="b">
        <f t="shared" si="1"/>
        <v>0</v>
      </c>
      <c r="E425" s="4" t="s">
        <v>2193</v>
      </c>
    </row>
    <row r="426">
      <c r="A426" s="3" t="s">
        <v>659</v>
      </c>
      <c r="B426" s="3">
        <v>7000.0</v>
      </c>
      <c r="C426" s="3" t="s">
        <v>6</v>
      </c>
      <c r="D426" s="4" t="b">
        <f t="shared" si="1"/>
        <v>0</v>
      </c>
      <c r="E426" s="4" t="s">
        <v>659</v>
      </c>
    </row>
    <row r="427">
      <c r="A427" s="3" t="s">
        <v>660</v>
      </c>
      <c r="B427" s="3">
        <v>300.0</v>
      </c>
      <c r="C427" s="4"/>
      <c r="D427" s="4" t="b">
        <f t="shared" si="1"/>
        <v>0</v>
      </c>
      <c r="E427" s="4" t="s">
        <v>660</v>
      </c>
    </row>
    <row r="428">
      <c r="A428" s="3" t="s">
        <v>661</v>
      </c>
      <c r="B428" s="3">
        <v>0.0</v>
      </c>
      <c r="C428" s="3" t="s">
        <v>29</v>
      </c>
      <c r="D428" s="4" t="b">
        <f t="shared" si="1"/>
        <v>0</v>
      </c>
      <c r="E428" s="4" t="s">
        <v>661</v>
      </c>
    </row>
    <row r="429">
      <c r="A429" s="3" t="s">
        <v>662</v>
      </c>
      <c r="B429" s="3">
        <v>500.0</v>
      </c>
      <c r="C429" s="4"/>
      <c r="D429" s="4" t="b">
        <f t="shared" si="1"/>
        <v>0</v>
      </c>
      <c r="E429" s="4" t="s">
        <v>662</v>
      </c>
    </row>
    <row r="430">
      <c r="A430" s="3" t="s">
        <v>663</v>
      </c>
      <c r="B430" s="3">
        <v>14500.0</v>
      </c>
      <c r="C430" s="3" t="s">
        <v>176</v>
      </c>
      <c r="D430" s="4" t="b">
        <f t="shared" si="1"/>
        <v>0</v>
      </c>
      <c r="E430" s="4" t="s">
        <v>663</v>
      </c>
    </row>
    <row r="431">
      <c r="A431" s="3" t="s">
        <v>665</v>
      </c>
      <c r="B431" s="3">
        <v>600.0</v>
      </c>
      <c r="C431" s="3" t="s">
        <v>6</v>
      </c>
      <c r="D431" s="4" t="b">
        <f t="shared" si="1"/>
        <v>0</v>
      </c>
      <c r="E431" s="4" t="s">
        <v>665</v>
      </c>
    </row>
    <row r="432">
      <c r="A432" s="3" t="s">
        <v>666</v>
      </c>
      <c r="B432" s="3">
        <v>21000.0</v>
      </c>
      <c r="C432" s="4"/>
      <c r="D432" s="4" t="b">
        <f t="shared" si="1"/>
        <v>0</v>
      </c>
      <c r="E432" s="4" t="s">
        <v>666</v>
      </c>
    </row>
    <row r="433">
      <c r="A433" s="3" t="s">
        <v>667</v>
      </c>
      <c r="B433" s="3">
        <v>0.0</v>
      </c>
      <c r="C433" s="3" t="s">
        <v>668</v>
      </c>
      <c r="D433" s="4" t="b">
        <f t="shared" si="1"/>
        <v>0</v>
      </c>
      <c r="E433" s="4" t="s">
        <v>667</v>
      </c>
    </row>
    <row r="434">
      <c r="A434" s="3" t="s">
        <v>669</v>
      </c>
      <c r="B434" s="3">
        <v>28000.0</v>
      </c>
      <c r="C434" s="3" t="s">
        <v>3</v>
      </c>
      <c r="D434" s="4" t="b">
        <f t="shared" si="1"/>
        <v>0</v>
      </c>
      <c r="E434" s="4" t="s">
        <v>669</v>
      </c>
    </row>
    <row r="435">
      <c r="A435" s="3" t="s">
        <v>671</v>
      </c>
      <c r="B435" s="3">
        <v>0.0</v>
      </c>
      <c r="C435" s="3" t="s">
        <v>32</v>
      </c>
      <c r="D435" s="4" t="b">
        <f t="shared" si="1"/>
        <v>0</v>
      </c>
      <c r="E435" s="4" t="s">
        <v>671</v>
      </c>
    </row>
    <row r="436">
      <c r="A436" s="3" t="s">
        <v>672</v>
      </c>
      <c r="B436" s="3">
        <v>0.0</v>
      </c>
      <c r="C436" s="3" t="s">
        <v>3</v>
      </c>
      <c r="D436" s="4" t="b">
        <f t="shared" si="1"/>
        <v>0</v>
      </c>
      <c r="E436" s="4" t="s">
        <v>672</v>
      </c>
    </row>
    <row r="437">
      <c r="A437" s="3" t="s">
        <v>673</v>
      </c>
      <c r="B437" s="3">
        <v>0.0</v>
      </c>
      <c r="C437" s="3" t="s">
        <v>29</v>
      </c>
      <c r="D437" s="4" t="b">
        <f t="shared" si="1"/>
        <v>0</v>
      </c>
      <c r="E437" s="4" t="s">
        <v>673</v>
      </c>
    </row>
    <row r="438">
      <c r="A438" s="3" t="s">
        <v>674</v>
      </c>
      <c r="B438" s="3">
        <v>1000.0</v>
      </c>
      <c r="C438" s="3" t="s">
        <v>3</v>
      </c>
      <c r="D438" s="4" t="b">
        <f t="shared" si="1"/>
        <v>0</v>
      </c>
      <c r="E438" s="4" t="s">
        <v>674</v>
      </c>
    </row>
    <row r="439">
      <c r="A439" s="3" t="s">
        <v>675</v>
      </c>
      <c r="B439" s="3">
        <v>4000.0</v>
      </c>
      <c r="C439" s="3" t="s">
        <v>484</v>
      </c>
      <c r="D439" s="4" t="b">
        <f t="shared" si="1"/>
        <v>0</v>
      </c>
      <c r="E439" s="4" t="s">
        <v>675</v>
      </c>
    </row>
    <row r="440">
      <c r="A440" s="3" t="s">
        <v>676</v>
      </c>
      <c r="B440" s="3">
        <v>3200.0</v>
      </c>
      <c r="C440" s="3" t="s">
        <v>3</v>
      </c>
      <c r="D440" s="4" t="b">
        <f t="shared" si="1"/>
        <v>0</v>
      </c>
      <c r="E440" s="4" t="s">
        <v>676</v>
      </c>
    </row>
    <row r="441">
      <c r="A441" s="3" t="s">
        <v>677</v>
      </c>
      <c r="B441" s="3">
        <v>0.0</v>
      </c>
      <c r="C441" s="3" t="s">
        <v>3</v>
      </c>
      <c r="D441" s="4" t="b">
        <f t="shared" si="1"/>
        <v>0</v>
      </c>
      <c r="E441" s="4" t="s">
        <v>677</v>
      </c>
    </row>
    <row r="442">
      <c r="A442" s="3" t="s">
        <v>678</v>
      </c>
      <c r="B442" s="3">
        <v>0.0</v>
      </c>
      <c r="C442" s="3" t="s">
        <v>32</v>
      </c>
      <c r="D442" s="4" t="b">
        <f t="shared" si="1"/>
        <v>0</v>
      </c>
      <c r="E442" s="4" t="s">
        <v>678</v>
      </c>
    </row>
    <row r="443">
      <c r="A443" s="3" t="s">
        <v>679</v>
      </c>
      <c r="B443" s="3">
        <v>283000.0</v>
      </c>
      <c r="C443" s="4"/>
      <c r="D443" s="4" t="b">
        <f t="shared" si="1"/>
        <v>0</v>
      </c>
      <c r="E443" s="4" t="s">
        <v>679</v>
      </c>
    </row>
    <row r="444">
      <c r="A444" s="3" t="s">
        <v>681</v>
      </c>
      <c r="B444" s="3">
        <v>5000.0</v>
      </c>
      <c r="C444" s="4"/>
      <c r="D444" s="4" t="b">
        <f t="shared" si="1"/>
        <v>0</v>
      </c>
      <c r="E444" s="4" t="s">
        <v>681</v>
      </c>
    </row>
    <row r="445">
      <c r="A445" s="3" t="s">
        <v>682</v>
      </c>
      <c r="B445" s="3">
        <v>0.0</v>
      </c>
      <c r="C445" s="3" t="s">
        <v>26</v>
      </c>
      <c r="D445" s="4" t="b">
        <f t="shared" si="1"/>
        <v>0</v>
      </c>
      <c r="E445" s="4" t="s">
        <v>682</v>
      </c>
    </row>
    <row r="446">
      <c r="A446" s="3" t="s">
        <v>683</v>
      </c>
      <c r="B446" s="3">
        <v>11500.0</v>
      </c>
      <c r="C446" s="3" t="s">
        <v>29</v>
      </c>
      <c r="D446" s="4" t="b">
        <f t="shared" si="1"/>
        <v>0</v>
      </c>
      <c r="E446" s="4" t="s">
        <v>683</v>
      </c>
    </row>
    <row r="447">
      <c r="A447" s="3" t="s">
        <v>685</v>
      </c>
      <c r="B447" s="3">
        <v>0.0</v>
      </c>
      <c r="C447" s="3" t="s">
        <v>6</v>
      </c>
      <c r="D447" s="4" t="b">
        <f t="shared" si="1"/>
        <v>0</v>
      </c>
      <c r="E447" s="4" t="s">
        <v>685</v>
      </c>
    </row>
    <row r="448">
      <c r="A448" s="3" t="s">
        <v>686</v>
      </c>
      <c r="B448" s="3">
        <v>4000.0</v>
      </c>
      <c r="C448" s="3" t="s">
        <v>580</v>
      </c>
      <c r="D448" s="4" t="b">
        <f t="shared" si="1"/>
        <v>0</v>
      </c>
      <c r="E448" s="4" t="s">
        <v>2194</v>
      </c>
    </row>
    <row r="449">
      <c r="A449" s="3" t="s">
        <v>687</v>
      </c>
      <c r="B449" s="3">
        <v>15000.0</v>
      </c>
      <c r="C449" s="3" t="s">
        <v>6</v>
      </c>
      <c r="D449" s="4" t="b">
        <f t="shared" si="1"/>
        <v>0</v>
      </c>
      <c r="E449" s="4" t="s">
        <v>687</v>
      </c>
    </row>
    <row r="450">
      <c r="A450" s="3" t="s">
        <v>688</v>
      </c>
      <c r="B450" s="3">
        <v>0.0</v>
      </c>
      <c r="C450" s="3" t="s">
        <v>6</v>
      </c>
      <c r="D450" s="4" t="b">
        <f t="shared" si="1"/>
        <v>0</v>
      </c>
      <c r="E450" s="4" t="s">
        <v>688</v>
      </c>
    </row>
    <row r="451">
      <c r="A451" s="3" t="s">
        <v>689</v>
      </c>
      <c r="B451" s="3">
        <v>800.0</v>
      </c>
      <c r="C451" s="3" t="s">
        <v>32</v>
      </c>
      <c r="D451" s="4" t="b">
        <f t="shared" si="1"/>
        <v>0</v>
      </c>
      <c r="E451" s="4" t="s">
        <v>689</v>
      </c>
    </row>
    <row r="452">
      <c r="A452" s="3" t="s">
        <v>690</v>
      </c>
      <c r="B452" s="3">
        <v>0.0</v>
      </c>
      <c r="C452" s="3" t="s">
        <v>29</v>
      </c>
      <c r="D452" s="4" t="b">
        <f t="shared" si="1"/>
        <v>0</v>
      </c>
      <c r="E452" s="4" t="s">
        <v>690</v>
      </c>
    </row>
    <row r="453">
      <c r="A453" s="3" t="s">
        <v>691</v>
      </c>
      <c r="B453" s="3">
        <v>400.0</v>
      </c>
      <c r="C453" s="3" t="s">
        <v>3</v>
      </c>
      <c r="D453" s="4" t="b">
        <f t="shared" si="1"/>
        <v>0</v>
      </c>
      <c r="E453" s="4" t="s">
        <v>2195</v>
      </c>
    </row>
    <row r="454">
      <c r="A454" s="3" t="s">
        <v>693</v>
      </c>
      <c r="B454" s="3">
        <v>0.0</v>
      </c>
      <c r="C454" s="3" t="s">
        <v>3</v>
      </c>
      <c r="D454" s="4" t="b">
        <f t="shared" si="1"/>
        <v>0</v>
      </c>
      <c r="E454" s="4" t="s">
        <v>693</v>
      </c>
    </row>
    <row r="455">
      <c r="A455" s="3" t="s">
        <v>694</v>
      </c>
      <c r="B455" s="3">
        <v>0.0</v>
      </c>
      <c r="C455" s="3" t="s">
        <v>6</v>
      </c>
      <c r="D455" s="4" t="b">
        <f t="shared" si="1"/>
        <v>0</v>
      </c>
      <c r="E455" s="4" t="s">
        <v>694</v>
      </c>
    </row>
    <row r="456">
      <c r="A456" s="3" t="s">
        <v>695</v>
      </c>
      <c r="B456" s="3">
        <v>0.0</v>
      </c>
      <c r="C456" s="3" t="s">
        <v>3</v>
      </c>
      <c r="D456" s="4" t="b">
        <f t="shared" si="1"/>
        <v>0</v>
      </c>
      <c r="E456" s="4" t="s">
        <v>695</v>
      </c>
    </row>
    <row r="457">
      <c r="A457" s="3" t="s">
        <v>696</v>
      </c>
      <c r="B457" s="3">
        <v>0.0</v>
      </c>
      <c r="C457" s="3" t="s">
        <v>3</v>
      </c>
      <c r="D457" s="4" t="b">
        <f t="shared" si="1"/>
        <v>0</v>
      </c>
      <c r="E457" s="4" t="s">
        <v>696</v>
      </c>
    </row>
    <row r="458">
      <c r="A458" s="3" t="s">
        <v>697</v>
      </c>
      <c r="B458" s="3">
        <v>115000.0</v>
      </c>
      <c r="C458" s="4"/>
      <c r="D458" s="4" t="b">
        <f t="shared" si="1"/>
        <v>0</v>
      </c>
      <c r="E458" s="4" t="s">
        <v>697</v>
      </c>
    </row>
    <row r="459">
      <c r="A459" s="3" t="s">
        <v>699</v>
      </c>
      <c r="B459" s="3">
        <v>0.0</v>
      </c>
      <c r="C459" s="3" t="s">
        <v>3</v>
      </c>
      <c r="D459" s="4" t="b">
        <f t="shared" si="1"/>
        <v>0</v>
      </c>
      <c r="E459" s="4" t="s">
        <v>699</v>
      </c>
    </row>
    <row r="460">
      <c r="A460" s="3" t="s">
        <v>700</v>
      </c>
      <c r="B460" s="3">
        <v>1080.0</v>
      </c>
      <c r="C460" s="4"/>
      <c r="D460" s="4" t="b">
        <f t="shared" si="1"/>
        <v>0</v>
      </c>
      <c r="E460" s="4" t="s">
        <v>700</v>
      </c>
    </row>
    <row r="461">
      <c r="A461" s="3" t="s">
        <v>702</v>
      </c>
      <c r="B461" s="3">
        <v>7300.0</v>
      </c>
      <c r="C461" s="3" t="s">
        <v>32</v>
      </c>
      <c r="D461" s="4" t="b">
        <f t="shared" si="1"/>
        <v>0</v>
      </c>
      <c r="E461" s="4" t="s">
        <v>702</v>
      </c>
    </row>
    <row r="462">
      <c r="A462" s="3" t="s">
        <v>704</v>
      </c>
      <c r="B462" s="3">
        <v>2000.0</v>
      </c>
      <c r="C462" s="4"/>
      <c r="D462" s="4" t="b">
        <f t="shared" si="1"/>
        <v>0</v>
      </c>
      <c r="E462" s="4" t="s">
        <v>704</v>
      </c>
    </row>
    <row r="463">
      <c r="A463" s="3" t="s">
        <v>705</v>
      </c>
      <c r="B463" s="3">
        <v>900.0</v>
      </c>
      <c r="C463" s="4"/>
      <c r="D463" s="4" t="b">
        <f t="shared" si="1"/>
        <v>0</v>
      </c>
      <c r="E463" s="4" t="s">
        <v>705</v>
      </c>
    </row>
    <row r="464">
      <c r="A464" s="3" t="s">
        <v>707</v>
      </c>
      <c r="B464" s="3">
        <v>0.0</v>
      </c>
      <c r="C464" s="3" t="s">
        <v>3</v>
      </c>
      <c r="D464" s="4" t="b">
        <f t="shared" si="1"/>
        <v>0</v>
      </c>
      <c r="E464" s="4" t="s">
        <v>2196</v>
      </c>
    </row>
    <row r="465">
      <c r="A465" s="3" t="s">
        <v>709</v>
      </c>
      <c r="B465" s="3">
        <v>0.0</v>
      </c>
      <c r="C465" s="3" t="s">
        <v>29</v>
      </c>
      <c r="D465" s="4" t="b">
        <f t="shared" si="1"/>
        <v>0</v>
      </c>
      <c r="E465" s="4" t="s">
        <v>709</v>
      </c>
    </row>
    <row r="466">
      <c r="A466" s="3" t="s">
        <v>710</v>
      </c>
      <c r="B466" s="3">
        <v>0.0</v>
      </c>
      <c r="C466" s="3" t="s">
        <v>6</v>
      </c>
      <c r="D466" s="4" t="b">
        <f t="shared" si="1"/>
        <v>0</v>
      </c>
      <c r="E466" s="4" t="s">
        <v>710</v>
      </c>
    </row>
    <row r="467">
      <c r="A467" s="3" t="s">
        <v>711</v>
      </c>
      <c r="B467" s="3">
        <v>0.0</v>
      </c>
      <c r="C467" s="3" t="s">
        <v>3</v>
      </c>
      <c r="D467" s="4" t="b">
        <f t="shared" si="1"/>
        <v>0</v>
      </c>
      <c r="E467" s="4" t="s">
        <v>711</v>
      </c>
    </row>
    <row r="468">
      <c r="A468" s="3" t="s">
        <v>712</v>
      </c>
      <c r="B468" s="3">
        <v>81568.0</v>
      </c>
      <c r="C468" s="4"/>
      <c r="D468" s="4" t="b">
        <f t="shared" si="1"/>
        <v>0</v>
      </c>
      <c r="E468" s="4" t="s">
        <v>712</v>
      </c>
    </row>
    <row r="469">
      <c r="A469" s="3" t="s">
        <v>714</v>
      </c>
      <c r="B469" s="3">
        <v>0.0</v>
      </c>
      <c r="C469" s="3" t="s">
        <v>6</v>
      </c>
      <c r="D469" s="4" t="b">
        <f t="shared" si="1"/>
        <v>0</v>
      </c>
      <c r="E469" s="4" t="s">
        <v>714</v>
      </c>
    </row>
    <row r="470">
      <c r="A470" s="3" t="s">
        <v>715</v>
      </c>
      <c r="B470" s="3">
        <v>15000.0</v>
      </c>
      <c r="C470" s="4"/>
      <c r="D470" s="4" t="b">
        <f t="shared" si="1"/>
        <v>0</v>
      </c>
      <c r="E470" s="4" t="s">
        <v>715</v>
      </c>
    </row>
    <row r="471">
      <c r="A471" s="3" t="s">
        <v>716</v>
      </c>
      <c r="B471" s="3">
        <v>3000.0</v>
      </c>
      <c r="C471" s="3" t="s">
        <v>32</v>
      </c>
      <c r="D471" s="4" t="b">
        <f t="shared" si="1"/>
        <v>0</v>
      </c>
      <c r="E471" s="4" t="s">
        <v>716</v>
      </c>
    </row>
    <row r="472">
      <c r="A472" s="3" t="s">
        <v>717</v>
      </c>
      <c r="B472" s="3">
        <v>5750.0</v>
      </c>
      <c r="C472" s="3" t="s">
        <v>3</v>
      </c>
      <c r="D472" s="4" t="b">
        <f t="shared" si="1"/>
        <v>0</v>
      </c>
      <c r="E472" s="4" t="s">
        <v>717</v>
      </c>
    </row>
    <row r="473">
      <c r="A473" s="3" t="s">
        <v>719</v>
      </c>
      <c r="B473" s="3">
        <v>0.0</v>
      </c>
      <c r="C473" s="3" t="s">
        <v>29</v>
      </c>
      <c r="D473" s="4" t="b">
        <f t="shared" si="1"/>
        <v>0</v>
      </c>
      <c r="E473" s="4" t="s">
        <v>719</v>
      </c>
    </row>
    <row r="474">
      <c r="A474" s="3" t="s">
        <v>720</v>
      </c>
      <c r="B474" s="3">
        <v>2000.0</v>
      </c>
      <c r="C474" s="4"/>
      <c r="D474" s="4" t="b">
        <f t="shared" si="1"/>
        <v>0</v>
      </c>
      <c r="E474" s="4" t="s">
        <v>720</v>
      </c>
    </row>
    <row r="475">
      <c r="A475" s="3" t="s">
        <v>721</v>
      </c>
      <c r="B475" s="3">
        <v>0.0</v>
      </c>
      <c r="C475" s="3" t="s">
        <v>3</v>
      </c>
      <c r="D475" s="4" t="b">
        <f t="shared" si="1"/>
        <v>0</v>
      </c>
      <c r="E475" s="4" t="s">
        <v>721</v>
      </c>
    </row>
    <row r="476">
      <c r="A476" s="3" t="s">
        <v>722</v>
      </c>
      <c r="B476" s="3">
        <v>11620.0</v>
      </c>
      <c r="C476" s="4"/>
      <c r="D476" s="4" t="b">
        <f t="shared" si="1"/>
        <v>0</v>
      </c>
      <c r="E476" s="4" t="s">
        <v>722</v>
      </c>
    </row>
    <row r="477">
      <c r="A477" s="3" t="s">
        <v>724</v>
      </c>
      <c r="B477" s="3">
        <v>0.0</v>
      </c>
      <c r="C477" s="3" t="s">
        <v>29</v>
      </c>
      <c r="D477" s="4" t="b">
        <f t="shared" si="1"/>
        <v>0</v>
      </c>
      <c r="E477" s="4" t="s">
        <v>724</v>
      </c>
    </row>
    <row r="478">
      <c r="A478" s="3" t="s">
        <v>725</v>
      </c>
      <c r="B478" s="3">
        <v>30000.0</v>
      </c>
      <c r="C478" s="3" t="s">
        <v>6</v>
      </c>
      <c r="D478" s="4" t="b">
        <f t="shared" si="1"/>
        <v>0</v>
      </c>
      <c r="E478" s="4" t="s">
        <v>725</v>
      </c>
    </row>
    <row r="479">
      <c r="A479" s="3" t="s">
        <v>726</v>
      </c>
      <c r="B479" s="3">
        <v>10000.0</v>
      </c>
      <c r="C479" s="3" t="s">
        <v>3</v>
      </c>
      <c r="D479" s="4" t="b">
        <f t="shared" si="1"/>
        <v>0</v>
      </c>
      <c r="E479" s="4" t="s">
        <v>2197</v>
      </c>
    </row>
    <row r="480">
      <c r="A480" s="3" t="s">
        <v>728</v>
      </c>
      <c r="B480" s="3">
        <v>0.0</v>
      </c>
      <c r="C480" s="3" t="s">
        <v>3</v>
      </c>
      <c r="D480" s="4" t="b">
        <f t="shared" si="1"/>
        <v>0</v>
      </c>
      <c r="E480" s="4" t="s">
        <v>728</v>
      </c>
    </row>
    <row r="481">
      <c r="A481" s="3" t="s">
        <v>729</v>
      </c>
      <c r="B481" s="3">
        <v>49000.0</v>
      </c>
      <c r="C481" s="3" t="s">
        <v>32</v>
      </c>
      <c r="D481" s="4" t="b">
        <f t="shared" si="1"/>
        <v>0</v>
      </c>
      <c r="E481" s="4" t="s">
        <v>729</v>
      </c>
    </row>
    <row r="482">
      <c r="A482" s="3" t="s">
        <v>731</v>
      </c>
      <c r="B482" s="3">
        <v>0.0</v>
      </c>
      <c r="C482" s="3" t="s">
        <v>3</v>
      </c>
      <c r="D482" s="4" t="b">
        <f t="shared" si="1"/>
        <v>0</v>
      </c>
      <c r="E482" s="4" t="s">
        <v>731</v>
      </c>
    </row>
    <row r="483">
      <c r="A483" s="3" t="s">
        <v>732</v>
      </c>
      <c r="B483" s="3">
        <v>7000.0</v>
      </c>
      <c r="C483" s="4"/>
      <c r="D483" s="4" t="b">
        <f t="shared" si="1"/>
        <v>0</v>
      </c>
      <c r="E483" s="4" t="s">
        <v>2198</v>
      </c>
    </row>
    <row r="484">
      <c r="A484" s="3" t="s">
        <v>734</v>
      </c>
      <c r="B484" s="3">
        <v>0.0</v>
      </c>
      <c r="C484" s="3" t="s">
        <v>3</v>
      </c>
      <c r="D484" s="4" t="b">
        <f t="shared" si="1"/>
        <v>0</v>
      </c>
      <c r="E484" s="4" t="s">
        <v>2199</v>
      </c>
    </row>
    <row r="485">
      <c r="A485" s="3" t="s">
        <v>736</v>
      </c>
      <c r="B485" s="3">
        <v>0.0</v>
      </c>
      <c r="C485" s="3" t="s">
        <v>3</v>
      </c>
      <c r="D485" s="4" t="b">
        <f t="shared" si="1"/>
        <v>0</v>
      </c>
      <c r="E485" s="4" t="s">
        <v>736</v>
      </c>
    </row>
    <row r="486">
      <c r="A486" s="3" t="s">
        <v>737</v>
      </c>
      <c r="B486" s="3">
        <v>11500.0</v>
      </c>
      <c r="C486" s="3" t="s">
        <v>3</v>
      </c>
      <c r="D486" s="4" t="b">
        <f t="shared" si="1"/>
        <v>0</v>
      </c>
      <c r="E486" s="4" t="s">
        <v>2200</v>
      </c>
    </row>
    <row r="487">
      <c r="A487" s="3" t="s">
        <v>739</v>
      </c>
      <c r="B487" s="3">
        <v>0.0</v>
      </c>
      <c r="C487" s="3" t="s">
        <v>3</v>
      </c>
      <c r="D487" s="4" t="b">
        <f t="shared" si="1"/>
        <v>0</v>
      </c>
      <c r="E487" s="4" t="s">
        <v>2201</v>
      </c>
    </row>
    <row r="488">
      <c r="A488" s="3" t="s">
        <v>741</v>
      </c>
      <c r="B488" s="3">
        <v>1300.0</v>
      </c>
      <c r="C488" s="3" t="s">
        <v>3</v>
      </c>
      <c r="D488" s="4" t="b">
        <f t="shared" si="1"/>
        <v>0</v>
      </c>
      <c r="E488" s="4" t="s">
        <v>2202</v>
      </c>
    </row>
    <row r="489">
      <c r="A489" s="3" t="s">
        <v>744</v>
      </c>
      <c r="B489" s="3">
        <v>0.0</v>
      </c>
      <c r="C489" s="3" t="s">
        <v>3</v>
      </c>
      <c r="D489" s="4" t="b">
        <f t="shared" si="1"/>
        <v>0</v>
      </c>
      <c r="E489" s="4" t="s">
        <v>744</v>
      </c>
    </row>
    <row r="490">
      <c r="A490" s="3" t="s">
        <v>745</v>
      </c>
      <c r="B490" s="3">
        <v>8200.0</v>
      </c>
      <c r="C490" s="3" t="s">
        <v>3</v>
      </c>
      <c r="D490" s="4" t="b">
        <f t="shared" si="1"/>
        <v>0</v>
      </c>
      <c r="E490" s="4" t="s">
        <v>745</v>
      </c>
    </row>
    <row r="491">
      <c r="A491" s="3" t="s">
        <v>747</v>
      </c>
      <c r="B491" s="3">
        <v>0.0</v>
      </c>
      <c r="C491" s="3" t="s">
        <v>3</v>
      </c>
      <c r="D491" s="4" t="b">
        <f t="shared" si="1"/>
        <v>0</v>
      </c>
      <c r="E491" s="4" t="s">
        <v>747</v>
      </c>
    </row>
    <row r="492">
      <c r="A492" s="3" t="s">
        <v>748</v>
      </c>
      <c r="B492" s="3">
        <v>0.0</v>
      </c>
      <c r="C492" s="3" t="s">
        <v>32</v>
      </c>
      <c r="D492" s="4" t="b">
        <f t="shared" si="1"/>
        <v>0</v>
      </c>
      <c r="E492" s="4" t="s">
        <v>748</v>
      </c>
    </row>
    <row r="493">
      <c r="A493" s="3" t="s">
        <v>749</v>
      </c>
      <c r="B493" s="3">
        <v>0.0</v>
      </c>
      <c r="C493" s="3" t="s">
        <v>6</v>
      </c>
      <c r="D493" s="4" t="b">
        <f t="shared" si="1"/>
        <v>0</v>
      </c>
      <c r="E493" s="4" t="s">
        <v>749</v>
      </c>
    </row>
    <row r="494">
      <c r="A494" s="3" t="s">
        <v>750</v>
      </c>
      <c r="B494" s="3">
        <v>1000.0</v>
      </c>
      <c r="C494" s="4"/>
      <c r="D494" s="4" t="b">
        <f t="shared" si="1"/>
        <v>0</v>
      </c>
      <c r="E494" s="4" t="s">
        <v>750</v>
      </c>
    </row>
    <row r="495">
      <c r="A495" s="3" t="s">
        <v>751</v>
      </c>
      <c r="B495" s="3">
        <v>20500.0</v>
      </c>
      <c r="C495" s="3" t="s">
        <v>280</v>
      </c>
      <c r="D495" s="4" t="b">
        <f t="shared" si="1"/>
        <v>0</v>
      </c>
      <c r="E495" s="4" t="s">
        <v>751</v>
      </c>
    </row>
    <row r="496">
      <c r="A496" s="3" t="s">
        <v>753</v>
      </c>
      <c r="B496" s="3">
        <v>0.0</v>
      </c>
      <c r="C496" s="3" t="s">
        <v>3</v>
      </c>
      <c r="D496" s="4" t="b">
        <f t="shared" si="1"/>
        <v>0</v>
      </c>
      <c r="E496" s="4" t="s">
        <v>2203</v>
      </c>
    </row>
    <row r="497">
      <c r="A497" s="3" t="s">
        <v>755</v>
      </c>
      <c r="B497" s="3">
        <v>7000.0</v>
      </c>
      <c r="C497" s="3" t="s">
        <v>3</v>
      </c>
      <c r="D497" s="4" t="b">
        <f t="shared" si="1"/>
        <v>0</v>
      </c>
      <c r="E497" s="4" t="s">
        <v>755</v>
      </c>
    </row>
    <row r="498">
      <c r="A498" s="3" t="s">
        <v>756</v>
      </c>
      <c r="B498" s="3">
        <v>10000.0</v>
      </c>
      <c r="C498" s="4"/>
      <c r="D498" s="4" t="b">
        <f t="shared" si="1"/>
        <v>0</v>
      </c>
      <c r="E498" s="4" t="s">
        <v>756</v>
      </c>
    </row>
    <row r="499">
      <c r="A499" s="3" t="s">
        <v>757</v>
      </c>
      <c r="B499" s="3">
        <v>14800.0</v>
      </c>
      <c r="C499" s="4"/>
      <c r="D499" s="4" t="b">
        <f t="shared" si="1"/>
        <v>0</v>
      </c>
      <c r="E499" s="4" t="s">
        <v>757</v>
      </c>
    </row>
    <row r="500">
      <c r="A500" s="3" t="s">
        <v>759</v>
      </c>
      <c r="B500" s="3">
        <v>461165.0</v>
      </c>
      <c r="C500" s="3" t="s">
        <v>37</v>
      </c>
      <c r="D500" s="4" t="b">
        <f t="shared" si="1"/>
        <v>0</v>
      </c>
      <c r="E500" s="4" t="s">
        <v>2204</v>
      </c>
    </row>
    <row r="501">
      <c r="A501" s="3" t="s">
        <v>761</v>
      </c>
      <c r="B501" s="3">
        <v>2500.0</v>
      </c>
      <c r="C501" s="4"/>
      <c r="D501" s="4" t="b">
        <f t="shared" si="1"/>
        <v>0</v>
      </c>
      <c r="E501" s="4" t="s">
        <v>761</v>
      </c>
    </row>
    <row r="502">
      <c r="A502" s="3" t="s">
        <v>762</v>
      </c>
      <c r="B502" s="3">
        <v>0.0</v>
      </c>
      <c r="C502" s="3" t="s">
        <v>3</v>
      </c>
      <c r="D502" s="4" t="b">
        <f t="shared" si="1"/>
        <v>0</v>
      </c>
      <c r="E502" s="4" t="s">
        <v>762</v>
      </c>
    </row>
    <row r="503">
      <c r="A503" s="3" t="s">
        <v>763</v>
      </c>
      <c r="B503" s="3">
        <v>0.0</v>
      </c>
      <c r="C503" s="3" t="s">
        <v>3</v>
      </c>
      <c r="D503" s="4" t="b">
        <f t="shared" si="1"/>
        <v>0</v>
      </c>
      <c r="E503" s="4" t="s">
        <v>763</v>
      </c>
    </row>
    <row r="504">
      <c r="A504" s="3" t="s">
        <v>764</v>
      </c>
      <c r="B504" s="3">
        <v>150.0</v>
      </c>
      <c r="C504" s="3" t="s">
        <v>3</v>
      </c>
      <c r="D504" s="4" t="b">
        <f t="shared" si="1"/>
        <v>0</v>
      </c>
      <c r="E504" s="4" t="s">
        <v>764</v>
      </c>
    </row>
    <row r="505">
      <c r="A505" s="3" t="s">
        <v>766</v>
      </c>
      <c r="B505" s="3">
        <v>0.0</v>
      </c>
      <c r="C505" s="3" t="s">
        <v>3</v>
      </c>
      <c r="D505" s="4" t="b">
        <f t="shared" si="1"/>
        <v>0</v>
      </c>
      <c r="E505" s="4" t="s">
        <v>766</v>
      </c>
    </row>
    <row r="506">
      <c r="A506" s="3" t="s">
        <v>767</v>
      </c>
      <c r="B506" s="3">
        <v>0.0</v>
      </c>
      <c r="C506" s="3" t="s">
        <v>3</v>
      </c>
      <c r="D506" s="4" t="b">
        <f t="shared" si="1"/>
        <v>0</v>
      </c>
      <c r="E506" s="4" t="s">
        <v>767</v>
      </c>
    </row>
    <row r="507">
      <c r="A507" s="3" t="s">
        <v>768</v>
      </c>
      <c r="B507" s="3">
        <v>0.0</v>
      </c>
      <c r="C507" s="3" t="s">
        <v>3</v>
      </c>
      <c r="D507" s="4" t="b">
        <f t="shared" si="1"/>
        <v>0</v>
      </c>
      <c r="E507" s="4" t="s">
        <v>768</v>
      </c>
    </row>
    <row r="508">
      <c r="A508" s="3" t="s">
        <v>769</v>
      </c>
      <c r="B508" s="3">
        <v>0.0</v>
      </c>
      <c r="C508" s="3" t="s">
        <v>3</v>
      </c>
      <c r="D508" s="4" t="b">
        <f t="shared" si="1"/>
        <v>0</v>
      </c>
      <c r="E508" s="4" t="s">
        <v>769</v>
      </c>
    </row>
    <row r="509">
      <c r="A509" s="3" t="s">
        <v>770</v>
      </c>
      <c r="B509" s="3">
        <v>0.0</v>
      </c>
      <c r="C509" s="3" t="s">
        <v>3</v>
      </c>
      <c r="D509" s="4" t="b">
        <f t="shared" si="1"/>
        <v>0</v>
      </c>
      <c r="E509" s="4" t="s">
        <v>770</v>
      </c>
    </row>
    <row r="510">
      <c r="A510" s="3" t="s">
        <v>771</v>
      </c>
      <c r="B510" s="3">
        <v>0.0</v>
      </c>
      <c r="C510" s="3" t="s">
        <v>3</v>
      </c>
      <c r="D510" s="4" t="b">
        <f t="shared" si="1"/>
        <v>0</v>
      </c>
      <c r="E510" s="4" t="s">
        <v>771</v>
      </c>
    </row>
    <row r="511">
      <c r="A511" s="3" t="s">
        <v>772</v>
      </c>
      <c r="B511" s="3">
        <v>0.0</v>
      </c>
      <c r="C511" s="3" t="s">
        <v>3</v>
      </c>
      <c r="D511" s="4" t="b">
        <f t="shared" si="1"/>
        <v>0</v>
      </c>
      <c r="E511" s="4" t="s">
        <v>772</v>
      </c>
    </row>
    <row r="512">
      <c r="A512" s="3" t="s">
        <v>773</v>
      </c>
      <c r="B512" s="3">
        <v>0.0</v>
      </c>
      <c r="C512" s="3" t="s">
        <v>3</v>
      </c>
      <c r="D512" s="4" t="b">
        <f t="shared" si="1"/>
        <v>0</v>
      </c>
      <c r="E512" s="4" t="s">
        <v>773</v>
      </c>
    </row>
    <row r="513">
      <c r="A513" s="3" t="s">
        <v>774</v>
      </c>
      <c r="B513" s="3">
        <v>57500.0</v>
      </c>
      <c r="C513" s="3" t="s">
        <v>280</v>
      </c>
      <c r="D513" s="4" t="b">
        <f t="shared" si="1"/>
        <v>0</v>
      </c>
      <c r="E513" s="4" t="s">
        <v>774</v>
      </c>
    </row>
    <row r="514">
      <c r="A514" s="3" t="s">
        <v>776</v>
      </c>
      <c r="B514" s="3">
        <v>0.0</v>
      </c>
      <c r="C514" s="3" t="s">
        <v>3</v>
      </c>
      <c r="D514" s="4" t="b">
        <f t="shared" si="1"/>
        <v>0</v>
      </c>
      <c r="E514" s="4" t="s">
        <v>2205</v>
      </c>
    </row>
    <row r="515">
      <c r="A515" s="3" t="s">
        <v>778</v>
      </c>
      <c r="B515" s="3">
        <v>800.0</v>
      </c>
      <c r="C515" s="3" t="s">
        <v>32</v>
      </c>
      <c r="D515" s="4" t="b">
        <f t="shared" si="1"/>
        <v>0</v>
      </c>
      <c r="E515" s="4" t="s">
        <v>778</v>
      </c>
    </row>
    <row r="516">
      <c r="A516" s="3" t="s">
        <v>779</v>
      </c>
      <c r="B516" s="3">
        <v>800.0</v>
      </c>
      <c r="C516" s="4"/>
      <c r="D516" s="4" t="b">
        <f t="shared" si="1"/>
        <v>0</v>
      </c>
      <c r="E516" s="4" t="s">
        <v>779</v>
      </c>
    </row>
    <row r="517">
      <c r="A517" s="3" t="s">
        <v>780</v>
      </c>
      <c r="B517" s="3">
        <v>2000.0</v>
      </c>
      <c r="C517" s="4"/>
      <c r="D517" s="4" t="b">
        <f t="shared" si="1"/>
        <v>0</v>
      </c>
      <c r="E517" s="4" t="s">
        <v>780</v>
      </c>
    </row>
    <row r="518">
      <c r="A518" s="3" t="s">
        <v>781</v>
      </c>
      <c r="B518" s="3">
        <v>0.0</v>
      </c>
      <c r="C518" s="3" t="s">
        <v>6</v>
      </c>
      <c r="D518" s="4" t="b">
        <f t="shared" si="1"/>
        <v>0</v>
      </c>
      <c r="E518" s="4" t="s">
        <v>781</v>
      </c>
    </row>
    <row r="519">
      <c r="A519" s="3" t="s">
        <v>782</v>
      </c>
      <c r="B519" s="3">
        <v>0.0</v>
      </c>
      <c r="C519" s="3" t="s">
        <v>3</v>
      </c>
      <c r="D519" s="4" t="b">
        <f t="shared" si="1"/>
        <v>0</v>
      </c>
      <c r="E519" s="4" t="s">
        <v>782</v>
      </c>
    </row>
    <row r="520">
      <c r="A520" s="3" t="s">
        <v>783</v>
      </c>
      <c r="B520" s="3">
        <v>0.0</v>
      </c>
      <c r="C520" s="3" t="s">
        <v>29</v>
      </c>
      <c r="D520" s="4" t="b">
        <f t="shared" si="1"/>
        <v>0</v>
      </c>
      <c r="E520" s="4" t="s">
        <v>783</v>
      </c>
    </row>
    <row r="521">
      <c r="A521" s="3" t="s">
        <v>784</v>
      </c>
      <c r="B521" s="3">
        <v>1500.0</v>
      </c>
      <c r="C521" s="4"/>
      <c r="D521" s="4" t="b">
        <f t="shared" si="1"/>
        <v>0</v>
      </c>
      <c r="E521" s="4" t="s">
        <v>784</v>
      </c>
    </row>
    <row r="522">
      <c r="A522" s="3" t="s">
        <v>785</v>
      </c>
      <c r="B522" s="3">
        <v>3000.0</v>
      </c>
      <c r="C522" s="4"/>
      <c r="D522" s="4" t="b">
        <f t="shared" si="1"/>
        <v>0</v>
      </c>
      <c r="E522" s="4" t="s">
        <v>785</v>
      </c>
    </row>
    <row r="523">
      <c r="A523" s="3" t="s">
        <v>786</v>
      </c>
      <c r="B523" s="3">
        <v>32500.0</v>
      </c>
      <c r="C523" s="4"/>
      <c r="D523" s="4" t="b">
        <f t="shared" si="1"/>
        <v>0</v>
      </c>
      <c r="E523" s="4" t="s">
        <v>786</v>
      </c>
    </row>
    <row r="524">
      <c r="A524" s="3" t="s">
        <v>788</v>
      </c>
      <c r="B524" s="3">
        <v>3000.0</v>
      </c>
      <c r="C524" s="3" t="s">
        <v>3</v>
      </c>
      <c r="D524" s="4" t="b">
        <f t="shared" si="1"/>
        <v>0</v>
      </c>
      <c r="E524" s="4" t="s">
        <v>788</v>
      </c>
    </row>
    <row r="525">
      <c r="A525" s="3" t="s">
        <v>789</v>
      </c>
      <c r="B525" s="3">
        <v>0.0</v>
      </c>
      <c r="C525" s="3" t="s">
        <v>3</v>
      </c>
      <c r="D525" s="4" t="b">
        <f t="shared" si="1"/>
        <v>0</v>
      </c>
      <c r="E525" s="4" t="s">
        <v>789</v>
      </c>
    </row>
    <row r="526">
      <c r="A526" s="3" t="s">
        <v>790</v>
      </c>
      <c r="B526" s="3">
        <v>19000.0</v>
      </c>
      <c r="C526" s="4"/>
      <c r="D526" s="4" t="b">
        <f t="shared" si="1"/>
        <v>0</v>
      </c>
      <c r="E526" s="4" t="s">
        <v>790</v>
      </c>
    </row>
    <row r="527">
      <c r="A527" s="3" t="s">
        <v>791</v>
      </c>
      <c r="B527" s="3">
        <v>0.0</v>
      </c>
      <c r="C527" s="3" t="s">
        <v>3</v>
      </c>
      <c r="D527" s="4" t="b">
        <f t="shared" si="1"/>
        <v>0</v>
      </c>
      <c r="E527" s="4" t="s">
        <v>791</v>
      </c>
    </row>
    <row r="528">
      <c r="A528" s="3" t="s">
        <v>792</v>
      </c>
      <c r="B528" s="3">
        <v>0.0</v>
      </c>
      <c r="C528" s="3" t="s">
        <v>3</v>
      </c>
      <c r="D528" s="4" t="b">
        <f t="shared" si="1"/>
        <v>0</v>
      </c>
      <c r="E528" s="4" t="s">
        <v>792</v>
      </c>
    </row>
    <row r="529">
      <c r="A529" s="3" t="s">
        <v>793</v>
      </c>
      <c r="B529" s="3">
        <v>6000.0</v>
      </c>
      <c r="C529" s="4"/>
      <c r="D529" s="4" t="b">
        <f t="shared" si="1"/>
        <v>0</v>
      </c>
      <c r="E529" s="4" t="s">
        <v>793</v>
      </c>
    </row>
    <row r="530">
      <c r="A530" s="3" t="s">
        <v>794</v>
      </c>
      <c r="B530" s="3">
        <v>0.0</v>
      </c>
      <c r="C530" s="3" t="s">
        <v>3</v>
      </c>
      <c r="D530" s="4" t="b">
        <f t="shared" si="1"/>
        <v>0</v>
      </c>
      <c r="E530" s="4" t="s">
        <v>794</v>
      </c>
    </row>
    <row r="531">
      <c r="A531" s="3" t="s">
        <v>795</v>
      </c>
      <c r="B531" s="3">
        <v>0.0</v>
      </c>
      <c r="C531" s="3" t="s">
        <v>3</v>
      </c>
      <c r="D531" s="4" t="b">
        <f t="shared" si="1"/>
        <v>0</v>
      </c>
      <c r="E531" s="4" t="s">
        <v>795</v>
      </c>
    </row>
    <row r="532">
      <c r="A532" s="3" t="s">
        <v>796</v>
      </c>
      <c r="B532" s="3">
        <v>0.0</v>
      </c>
      <c r="C532" s="3" t="s">
        <v>3</v>
      </c>
      <c r="D532" s="4" t="b">
        <f t="shared" si="1"/>
        <v>0</v>
      </c>
      <c r="E532" s="4" t="s">
        <v>796</v>
      </c>
    </row>
    <row r="533">
      <c r="A533" s="3" t="s">
        <v>797</v>
      </c>
      <c r="B533" s="3">
        <v>3000.0</v>
      </c>
      <c r="C533" s="3" t="s">
        <v>32</v>
      </c>
      <c r="D533" s="4" t="b">
        <f t="shared" si="1"/>
        <v>0</v>
      </c>
      <c r="E533" s="4" t="s">
        <v>797</v>
      </c>
    </row>
    <row r="534">
      <c r="A534" s="3" t="s">
        <v>798</v>
      </c>
      <c r="B534" s="3">
        <v>0.0</v>
      </c>
      <c r="C534" s="3" t="s">
        <v>29</v>
      </c>
      <c r="D534" s="4" t="b">
        <f t="shared" si="1"/>
        <v>0</v>
      </c>
      <c r="E534" s="4" t="s">
        <v>798</v>
      </c>
    </row>
    <row r="535">
      <c r="A535" s="3" t="s">
        <v>799</v>
      </c>
      <c r="B535" s="3">
        <v>0.0</v>
      </c>
      <c r="C535" s="3" t="s">
        <v>29</v>
      </c>
      <c r="D535" s="4" t="b">
        <f t="shared" si="1"/>
        <v>0</v>
      </c>
      <c r="E535" s="4" t="s">
        <v>799</v>
      </c>
    </row>
    <row r="536">
      <c r="A536" s="3" t="s">
        <v>800</v>
      </c>
      <c r="B536" s="3">
        <v>243834.0</v>
      </c>
      <c r="C536" s="3" t="s">
        <v>37</v>
      </c>
      <c r="D536" s="4" t="b">
        <f t="shared" si="1"/>
        <v>0</v>
      </c>
      <c r="E536" s="4" t="s">
        <v>2206</v>
      </c>
    </row>
    <row r="537">
      <c r="A537" s="3" t="s">
        <v>802</v>
      </c>
      <c r="B537" s="3">
        <v>0.0</v>
      </c>
      <c r="C537" s="3" t="s">
        <v>3</v>
      </c>
      <c r="D537" s="4" t="b">
        <f t="shared" si="1"/>
        <v>0</v>
      </c>
      <c r="E537" s="4" t="s">
        <v>802</v>
      </c>
    </row>
    <row r="538">
      <c r="A538" s="3" t="s">
        <v>803</v>
      </c>
      <c r="B538" s="3">
        <v>0.0</v>
      </c>
      <c r="C538" s="3" t="s">
        <v>3</v>
      </c>
      <c r="D538" s="4" t="b">
        <f t="shared" si="1"/>
        <v>0</v>
      </c>
      <c r="E538" s="4" t="s">
        <v>803</v>
      </c>
    </row>
    <row r="539">
      <c r="A539" s="3" t="s">
        <v>804</v>
      </c>
      <c r="B539" s="3">
        <v>0.0</v>
      </c>
      <c r="C539" s="3" t="s">
        <v>32</v>
      </c>
      <c r="D539" s="4" t="b">
        <f t="shared" si="1"/>
        <v>0</v>
      </c>
      <c r="E539" s="4" t="s">
        <v>804</v>
      </c>
    </row>
    <row r="540">
      <c r="A540" s="3" t="s">
        <v>805</v>
      </c>
      <c r="B540" s="3">
        <v>0.0</v>
      </c>
      <c r="C540" s="3" t="s">
        <v>6</v>
      </c>
      <c r="D540" s="4" t="b">
        <f t="shared" si="1"/>
        <v>0</v>
      </c>
      <c r="E540" s="4" t="s">
        <v>805</v>
      </c>
    </row>
    <row r="541">
      <c r="A541" s="3" t="s">
        <v>806</v>
      </c>
      <c r="B541" s="3">
        <v>1500.0</v>
      </c>
      <c r="C541" s="4"/>
      <c r="D541" s="4" t="b">
        <f t="shared" si="1"/>
        <v>0</v>
      </c>
      <c r="E541" s="4" t="s">
        <v>806</v>
      </c>
    </row>
    <row r="542">
      <c r="A542" s="3" t="s">
        <v>807</v>
      </c>
      <c r="B542" s="3">
        <v>0.0</v>
      </c>
      <c r="C542" s="3" t="s">
        <v>484</v>
      </c>
      <c r="D542" s="4" t="b">
        <f t="shared" si="1"/>
        <v>0</v>
      </c>
      <c r="E542" s="4" t="s">
        <v>807</v>
      </c>
    </row>
    <row r="543">
      <c r="A543" s="3" t="s">
        <v>808</v>
      </c>
      <c r="B543" s="3">
        <v>0.0</v>
      </c>
      <c r="C543" s="3" t="s">
        <v>6</v>
      </c>
      <c r="D543" s="4" t="b">
        <f t="shared" si="1"/>
        <v>0</v>
      </c>
      <c r="E543" s="4" t="s">
        <v>808</v>
      </c>
    </row>
    <row r="544">
      <c r="A544" s="3" t="s">
        <v>809</v>
      </c>
      <c r="B544" s="3">
        <v>0.0</v>
      </c>
      <c r="C544" s="3" t="s">
        <v>29</v>
      </c>
      <c r="D544" s="4" t="b">
        <f t="shared" si="1"/>
        <v>0</v>
      </c>
      <c r="E544" s="4" t="s">
        <v>809</v>
      </c>
    </row>
    <row r="545">
      <c r="A545" s="3" t="s">
        <v>810</v>
      </c>
      <c r="B545" s="3">
        <v>0.0</v>
      </c>
      <c r="C545" s="3" t="s">
        <v>32</v>
      </c>
      <c r="D545" s="4" t="b">
        <f t="shared" si="1"/>
        <v>0</v>
      </c>
      <c r="E545" s="4" t="s">
        <v>810</v>
      </c>
    </row>
    <row r="546">
      <c r="A546" s="3" t="s">
        <v>811</v>
      </c>
      <c r="B546" s="3">
        <v>15800.0</v>
      </c>
      <c r="C546" s="3" t="s">
        <v>6</v>
      </c>
      <c r="D546" s="4" t="b">
        <f t="shared" si="1"/>
        <v>0</v>
      </c>
      <c r="E546" s="4" t="s">
        <v>811</v>
      </c>
    </row>
    <row r="547">
      <c r="A547" s="3" t="s">
        <v>813</v>
      </c>
      <c r="B547" s="3">
        <v>1700.0</v>
      </c>
      <c r="C547" s="4"/>
      <c r="D547" s="4" t="b">
        <f t="shared" si="1"/>
        <v>0</v>
      </c>
      <c r="E547" s="4" t="s">
        <v>813</v>
      </c>
    </row>
    <row r="548">
      <c r="A548" s="3" t="s">
        <v>814</v>
      </c>
      <c r="B548" s="3">
        <v>0.0</v>
      </c>
      <c r="C548" s="3" t="s">
        <v>3</v>
      </c>
      <c r="D548" s="4" t="b">
        <f t="shared" si="1"/>
        <v>0</v>
      </c>
      <c r="E548" s="4" t="s">
        <v>814</v>
      </c>
    </row>
    <row r="549">
      <c r="A549" s="3" t="s">
        <v>815</v>
      </c>
      <c r="B549" s="3">
        <v>0.0</v>
      </c>
      <c r="C549" s="3" t="s">
        <v>3</v>
      </c>
      <c r="D549" s="4" t="b">
        <f t="shared" si="1"/>
        <v>0</v>
      </c>
      <c r="E549" s="4" t="s">
        <v>815</v>
      </c>
    </row>
    <row r="550">
      <c r="A550" s="3" t="s">
        <v>816</v>
      </c>
      <c r="B550" s="3">
        <v>0.0</v>
      </c>
      <c r="C550" s="3" t="s">
        <v>3</v>
      </c>
      <c r="D550" s="4" t="b">
        <f t="shared" si="1"/>
        <v>0</v>
      </c>
      <c r="E550" s="4" t="s">
        <v>816</v>
      </c>
    </row>
    <row r="551">
      <c r="A551" s="3" t="s">
        <v>817</v>
      </c>
      <c r="B551" s="3">
        <v>1000.0</v>
      </c>
      <c r="C551" s="3" t="s">
        <v>3</v>
      </c>
      <c r="D551" s="4" t="b">
        <f t="shared" si="1"/>
        <v>0</v>
      </c>
      <c r="E551" s="4" t="s">
        <v>817</v>
      </c>
    </row>
    <row r="552">
      <c r="A552" s="3" t="s">
        <v>818</v>
      </c>
      <c r="B552" s="3">
        <v>0.0</v>
      </c>
      <c r="C552" s="3" t="s">
        <v>3</v>
      </c>
      <c r="D552" s="4" t="b">
        <f t="shared" si="1"/>
        <v>0</v>
      </c>
      <c r="E552" s="4" t="s">
        <v>818</v>
      </c>
    </row>
    <row r="553">
      <c r="A553" s="3" t="s">
        <v>819</v>
      </c>
      <c r="B553" s="3">
        <v>634600.0</v>
      </c>
      <c r="C553" s="3" t="s">
        <v>37</v>
      </c>
      <c r="D553" s="4" t="b">
        <f t="shared" si="1"/>
        <v>0</v>
      </c>
      <c r="E553" s="4" t="s">
        <v>2207</v>
      </c>
    </row>
    <row r="554">
      <c r="A554" s="3" t="s">
        <v>822</v>
      </c>
      <c r="B554" s="3">
        <v>5000.0</v>
      </c>
      <c r="C554" s="4"/>
      <c r="D554" s="4" t="b">
        <f t="shared" si="1"/>
        <v>0</v>
      </c>
      <c r="E554" s="4" t="s">
        <v>2208</v>
      </c>
    </row>
    <row r="555">
      <c r="A555" s="3" t="s">
        <v>824</v>
      </c>
      <c r="B555" s="3">
        <v>8800.0</v>
      </c>
      <c r="C555" s="4"/>
      <c r="D555" s="4" t="b">
        <f t="shared" si="1"/>
        <v>0</v>
      </c>
      <c r="E555" s="4" t="s">
        <v>824</v>
      </c>
    </row>
    <row r="556">
      <c r="A556" s="3" t="s">
        <v>826</v>
      </c>
      <c r="B556" s="3">
        <v>0.0</v>
      </c>
      <c r="C556" s="3" t="s">
        <v>668</v>
      </c>
      <c r="D556" s="4" t="b">
        <f t="shared" si="1"/>
        <v>0</v>
      </c>
      <c r="E556" s="4" t="s">
        <v>826</v>
      </c>
    </row>
    <row r="557">
      <c r="A557" s="3" t="s">
        <v>827</v>
      </c>
      <c r="B557" s="3">
        <v>0.0</v>
      </c>
      <c r="C557" s="3" t="s">
        <v>3</v>
      </c>
      <c r="D557" s="4" t="b">
        <f t="shared" si="1"/>
        <v>0</v>
      </c>
      <c r="E557" s="4" t="s">
        <v>2209</v>
      </c>
    </row>
    <row r="558">
      <c r="A558" s="3" t="s">
        <v>829</v>
      </c>
      <c r="B558" s="3">
        <v>0.0</v>
      </c>
      <c r="C558" s="3" t="s">
        <v>3</v>
      </c>
      <c r="D558" s="4" t="b">
        <f t="shared" si="1"/>
        <v>0</v>
      </c>
      <c r="E558" s="4" t="s">
        <v>829</v>
      </c>
    </row>
    <row r="559">
      <c r="A559" s="3" t="s">
        <v>830</v>
      </c>
      <c r="B559" s="3">
        <v>0.0</v>
      </c>
      <c r="C559" s="3" t="s">
        <v>3</v>
      </c>
      <c r="D559" s="4" t="b">
        <f t="shared" si="1"/>
        <v>0</v>
      </c>
      <c r="E559" s="4" t="s">
        <v>830</v>
      </c>
    </row>
    <row r="560">
      <c r="A560" s="3" t="s">
        <v>831</v>
      </c>
      <c r="B560" s="3">
        <v>100.0</v>
      </c>
      <c r="C560" s="3" t="s">
        <v>3</v>
      </c>
      <c r="D560" s="4" t="b">
        <f t="shared" si="1"/>
        <v>0</v>
      </c>
      <c r="E560" s="4" t="s">
        <v>831</v>
      </c>
    </row>
    <row r="561">
      <c r="A561" s="3" t="s">
        <v>833</v>
      </c>
      <c r="B561" s="3">
        <v>500.0</v>
      </c>
      <c r="C561" s="4"/>
      <c r="D561" s="4" t="b">
        <f t="shared" si="1"/>
        <v>0</v>
      </c>
      <c r="E561" s="4" t="s">
        <v>833</v>
      </c>
    </row>
    <row r="562">
      <c r="A562" s="3" t="s">
        <v>834</v>
      </c>
      <c r="B562" s="3">
        <v>28000.0</v>
      </c>
      <c r="C562" s="3" t="s">
        <v>6</v>
      </c>
      <c r="D562" s="4" t="b">
        <f t="shared" si="1"/>
        <v>0</v>
      </c>
      <c r="E562" s="4" t="s">
        <v>834</v>
      </c>
    </row>
    <row r="563">
      <c r="A563" s="3" t="s">
        <v>835</v>
      </c>
      <c r="B563" s="3">
        <v>0.0</v>
      </c>
      <c r="C563" s="3" t="s">
        <v>6</v>
      </c>
      <c r="D563" s="4" t="b">
        <f t="shared" si="1"/>
        <v>0</v>
      </c>
      <c r="E563" s="4" t="s">
        <v>2210</v>
      </c>
    </row>
    <row r="564">
      <c r="A564" s="3" t="s">
        <v>837</v>
      </c>
      <c r="B564" s="3">
        <v>800.0</v>
      </c>
      <c r="C564" s="3" t="s">
        <v>3</v>
      </c>
      <c r="D564" s="4" t="b">
        <f t="shared" si="1"/>
        <v>0</v>
      </c>
      <c r="E564" s="4" t="s">
        <v>2211</v>
      </c>
    </row>
    <row r="565">
      <c r="A565" s="3" t="s">
        <v>839</v>
      </c>
      <c r="B565" s="3">
        <v>1000.0</v>
      </c>
      <c r="C565" s="3" t="s">
        <v>6</v>
      </c>
      <c r="D565" s="4" t="b">
        <f t="shared" si="1"/>
        <v>0</v>
      </c>
      <c r="E565" s="4" t="s">
        <v>839</v>
      </c>
    </row>
    <row r="566">
      <c r="A566" s="3" t="s">
        <v>840</v>
      </c>
      <c r="B566" s="3">
        <v>0.0</v>
      </c>
      <c r="C566" s="3" t="s">
        <v>3</v>
      </c>
      <c r="D566" s="4" t="b">
        <f t="shared" si="1"/>
        <v>0</v>
      </c>
      <c r="E566" s="4" t="s">
        <v>2212</v>
      </c>
    </row>
    <row r="567">
      <c r="A567" s="3" t="s">
        <v>842</v>
      </c>
      <c r="B567" s="3">
        <v>2500.0</v>
      </c>
      <c r="C567" s="4"/>
      <c r="D567" s="4" t="b">
        <f t="shared" si="1"/>
        <v>0</v>
      </c>
      <c r="E567" s="4" t="s">
        <v>842</v>
      </c>
    </row>
    <row r="568">
      <c r="A568" s="3" t="s">
        <v>843</v>
      </c>
      <c r="B568" s="3">
        <v>2300.0</v>
      </c>
      <c r="C568" s="3" t="s">
        <v>32</v>
      </c>
      <c r="D568" s="4" t="b">
        <f t="shared" si="1"/>
        <v>0</v>
      </c>
      <c r="E568" s="4" t="s">
        <v>843</v>
      </c>
    </row>
    <row r="569">
      <c r="A569" s="3" t="s">
        <v>845</v>
      </c>
      <c r="B569" s="3">
        <v>11000.0</v>
      </c>
      <c r="C569" s="4"/>
      <c r="D569" s="4" t="b">
        <f t="shared" si="1"/>
        <v>0</v>
      </c>
      <c r="E569" s="4" t="s">
        <v>845</v>
      </c>
    </row>
    <row r="570">
      <c r="A570" s="3" t="s">
        <v>846</v>
      </c>
      <c r="B570" s="3">
        <v>800.0</v>
      </c>
      <c r="C570" s="4"/>
      <c r="D570" s="4" t="b">
        <f t="shared" si="1"/>
        <v>0</v>
      </c>
      <c r="E570" s="4" t="s">
        <v>2213</v>
      </c>
    </row>
    <row r="571">
      <c r="A571" s="3" t="s">
        <v>847</v>
      </c>
      <c r="B571" s="3">
        <v>2000.0</v>
      </c>
      <c r="C571" s="4"/>
      <c r="D571" s="4" t="b">
        <f t="shared" si="1"/>
        <v>0</v>
      </c>
      <c r="E571" s="4" t="s">
        <v>847</v>
      </c>
    </row>
    <row r="572">
      <c r="A572" s="3" t="s">
        <v>848</v>
      </c>
      <c r="B572" s="3">
        <v>0.0</v>
      </c>
      <c r="C572" s="3" t="s">
        <v>3</v>
      </c>
      <c r="D572" s="4" t="b">
        <f t="shared" si="1"/>
        <v>0</v>
      </c>
      <c r="E572" s="4" t="s">
        <v>848</v>
      </c>
    </row>
    <row r="573">
      <c r="A573" s="3" t="s">
        <v>849</v>
      </c>
      <c r="B573" s="3">
        <v>0.0</v>
      </c>
      <c r="C573" s="3" t="s">
        <v>3</v>
      </c>
      <c r="D573" s="4" t="b">
        <f t="shared" si="1"/>
        <v>0</v>
      </c>
      <c r="E573" s="4" t="s">
        <v>849</v>
      </c>
    </row>
    <row r="574">
      <c r="A574" s="3" t="s">
        <v>850</v>
      </c>
      <c r="B574" s="3">
        <v>0.0</v>
      </c>
      <c r="C574" s="3" t="s">
        <v>3</v>
      </c>
      <c r="D574" s="4" t="b">
        <f t="shared" si="1"/>
        <v>0</v>
      </c>
      <c r="E574" s="4" t="s">
        <v>850</v>
      </c>
    </row>
    <row r="575">
      <c r="A575" s="3" t="s">
        <v>851</v>
      </c>
      <c r="B575" s="3">
        <v>1000.0</v>
      </c>
      <c r="C575" s="4"/>
      <c r="D575" s="4" t="b">
        <f t="shared" si="1"/>
        <v>0</v>
      </c>
      <c r="E575" s="4" t="s">
        <v>851</v>
      </c>
    </row>
    <row r="576">
      <c r="A576" s="3" t="s">
        <v>852</v>
      </c>
      <c r="B576" s="3">
        <v>0.0</v>
      </c>
      <c r="C576" s="3" t="s">
        <v>3</v>
      </c>
      <c r="D576" s="4" t="b">
        <f t="shared" si="1"/>
        <v>0</v>
      </c>
      <c r="E576" s="4" t="s">
        <v>852</v>
      </c>
    </row>
    <row r="577">
      <c r="A577" s="3" t="s">
        <v>853</v>
      </c>
      <c r="B577" s="3">
        <v>0.0</v>
      </c>
      <c r="C577" s="3" t="s">
        <v>32</v>
      </c>
      <c r="D577" s="4" t="b">
        <f t="shared" si="1"/>
        <v>0</v>
      </c>
      <c r="E577" s="4" t="s">
        <v>853</v>
      </c>
    </row>
    <row r="578">
      <c r="A578" s="3" t="s">
        <v>854</v>
      </c>
      <c r="B578" s="3">
        <v>0.0</v>
      </c>
      <c r="C578" s="3" t="s">
        <v>3</v>
      </c>
      <c r="D578" s="4" t="b">
        <f t="shared" si="1"/>
        <v>0</v>
      </c>
      <c r="E578" s="4" t="s">
        <v>854</v>
      </c>
    </row>
    <row r="579">
      <c r="A579" s="3" t="s">
        <v>855</v>
      </c>
      <c r="B579" s="3">
        <v>0.0</v>
      </c>
      <c r="C579" s="3" t="s">
        <v>37</v>
      </c>
      <c r="D579" s="4" t="b">
        <f t="shared" si="1"/>
        <v>0</v>
      </c>
      <c r="E579" s="4" t="s">
        <v>2214</v>
      </c>
    </row>
    <row r="580">
      <c r="A580" s="3" t="s">
        <v>857</v>
      </c>
      <c r="B580" s="3">
        <v>20500.0</v>
      </c>
      <c r="C580" s="3" t="s">
        <v>37</v>
      </c>
      <c r="D580" s="4" t="b">
        <f t="shared" si="1"/>
        <v>0</v>
      </c>
      <c r="E580" s="4" t="s">
        <v>2215</v>
      </c>
    </row>
    <row r="581">
      <c r="A581" s="3" t="s">
        <v>859</v>
      </c>
      <c r="B581" s="3">
        <v>2000.0</v>
      </c>
      <c r="C581" s="3" t="s">
        <v>3</v>
      </c>
      <c r="D581" s="4" t="b">
        <f t="shared" si="1"/>
        <v>0</v>
      </c>
      <c r="E581" s="4" t="s">
        <v>2216</v>
      </c>
    </row>
    <row r="582">
      <c r="A582" s="3" t="s">
        <v>861</v>
      </c>
      <c r="B582" s="3">
        <v>1000.0</v>
      </c>
      <c r="C582" s="4"/>
      <c r="D582" s="4" t="b">
        <f t="shared" si="1"/>
        <v>0</v>
      </c>
      <c r="E582" s="4" t="s">
        <v>861</v>
      </c>
    </row>
    <row r="583">
      <c r="A583" s="3" t="s">
        <v>862</v>
      </c>
      <c r="B583" s="3">
        <v>0.0</v>
      </c>
      <c r="C583" s="3" t="s">
        <v>6</v>
      </c>
      <c r="D583" s="4" t="b">
        <f t="shared" si="1"/>
        <v>0</v>
      </c>
      <c r="E583" s="4" t="s">
        <v>2217</v>
      </c>
    </row>
    <row r="584">
      <c r="A584" s="3" t="s">
        <v>864</v>
      </c>
      <c r="B584" s="3">
        <v>0.0</v>
      </c>
      <c r="C584" s="3" t="s">
        <v>3</v>
      </c>
      <c r="D584" s="4" t="b">
        <f t="shared" si="1"/>
        <v>0</v>
      </c>
      <c r="E584" s="4" t="s">
        <v>864</v>
      </c>
    </row>
    <row r="585">
      <c r="A585" s="3" t="s">
        <v>865</v>
      </c>
      <c r="B585" s="3">
        <v>750.0</v>
      </c>
      <c r="C585" s="3" t="s">
        <v>6</v>
      </c>
      <c r="D585" s="4" t="b">
        <f t="shared" si="1"/>
        <v>0</v>
      </c>
      <c r="E585" s="4" t="s">
        <v>2218</v>
      </c>
    </row>
    <row r="586">
      <c r="A586" s="3" t="s">
        <v>867</v>
      </c>
      <c r="B586" s="3">
        <v>0.0</v>
      </c>
      <c r="C586" s="3" t="s">
        <v>3</v>
      </c>
      <c r="D586" s="4" t="b">
        <f t="shared" si="1"/>
        <v>0</v>
      </c>
      <c r="E586" s="4" t="s">
        <v>2219</v>
      </c>
    </row>
    <row r="587">
      <c r="A587" s="3" t="s">
        <v>869</v>
      </c>
      <c r="B587" s="3">
        <v>1600.0</v>
      </c>
      <c r="C587" s="4"/>
      <c r="D587" s="4" t="b">
        <f t="shared" si="1"/>
        <v>0</v>
      </c>
      <c r="E587" s="4" t="s">
        <v>869</v>
      </c>
    </row>
    <row r="588">
      <c r="A588" s="3" t="s">
        <v>871</v>
      </c>
      <c r="B588" s="3">
        <v>500.0</v>
      </c>
      <c r="C588" s="4"/>
      <c r="D588" s="4" t="b">
        <f t="shared" si="1"/>
        <v>0</v>
      </c>
      <c r="E588" s="4" t="s">
        <v>2220</v>
      </c>
    </row>
    <row r="589">
      <c r="A589" s="3" t="s">
        <v>873</v>
      </c>
      <c r="B589" s="3">
        <v>0.0</v>
      </c>
      <c r="C589" s="3" t="s">
        <v>26</v>
      </c>
      <c r="D589" s="4" t="b">
        <f t="shared" si="1"/>
        <v>0</v>
      </c>
      <c r="E589" s="4" t="s">
        <v>873</v>
      </c>
    </row>
    <row r="590">
      <c r="A590" s="3" t="s">
        <v>874</v>
      </c>
      <c r="B590" s="3">
        <v>1500.0</v>
      </c>
      <c r="C590" s="3" t="s">
        <v>3</v>
      </c>
      <c r="D590" s="4" t="b">
        <f t="shared" si="1"/>
        <v>0</v>
      </c>
      <c r="E590" s="4" t="s">
        <v>874</v>
      </c>
    </row>
    <row r="591">
      <c r="A591" s="3" t="s">
        <v>875</v>
      </c>
      <c r="B591" s="3">
        <v>0.0</v>
      </c>
      <c r="C591" s="3" t="s">
        <v>6</v>
      </c>
      <c r="D591" s="4" t="b">
        <f t="shared" si="1"/>
        <v>0</v>
      </c>
      <c r="E591" s="4" t="s">
        <v>875</v>
      </c>
    </row>
    <row r="592">
      <c r="A592" s="3" t="s">
        <v>876</v>
      </c>
      <c r="B592" s="3">
        <v>750.0</v>
      </c>
      <c r="C592" s="4"/>
      <c r="D592" s="4" t="b">
        <f t="shared" si="1"/>
        <v>0</v>
      </c>
      <c r="E592" s="4" t="s">
        <v>2221</v>
      </c>
    </row>
    <row r="593">
      <c r="A593" s="3" t="s">
        <v>878</v>
      </c>
      <c r="B593" s="3">
        <v>0.0</v>
      </c>
      <c r="C593" s="3" t="s">
        <v>29</v>
      </c>
      <c r="D593" s="4" t="b">
        <f t="shared" si="1"/>
        <v>0</v>
      </c>
      <c r="E593" s="4" t="s">
        <v>2222</v>
      </c>
    </row>
    <row r="594">
      <c r="A594" s="3" t="s">
        <v>880</v>
      </c>
      <c r="B594" s="3">
        <v>0.0</v>
      </c>
      <c r="C594" s="3" t="s">
        <v>29</v>
      </c>
      <c r="D594" s="4" t="b">
        <f t="shared" si="1"/>
        <v>0</v>
      </c>
      <c r="E594" s="4" t="s">
        <v>2223</v>
      </c>
    </row>
    <row r="595">
      <c r="A595" s="3" t="s">
        <v>882</v>
      </c>
      <c r="B595" s="3">
        <v>0.0</v>
      </c>
      <c r="C595" s="3" t="s">
        <v>6</v>
      </c>
      <c r="D595" s="4" t="b">
        <f t="shared" si="1"/>
        <v>0</v>
      </c>
      <c r="E595" s="4" t="s">
        <v>882</v>
      </c>
    </row>
    <row r="596">
      <c r="A596" s="3" t="s">
        <v>883</v>
      </c>
      <c r="B596" s="3">
        <v>0.0</v>
      </c>
      <c r="C596" s="3" t="s">
        <v>29</v>
      </c>
      <c r="D596" s="4" t="b">
        <f t="shared" si="1"/>
        <v>0</v>
      </c>
      <c r="E596" s="4" t="s">
        <v>2224</v>
      </c>
    </row>
    <row r="597">
      <c r="A597" s="3" t="s">
        <v>885</v>
      </c>
      <c r="B597" s="3">
        <v>1000.0</v>
      </c>
      <c r="C597" s="3" t="s">
        <v>6</v>
      </c>
      <c r="D597" s="4" t="b">
        <f t="shared" si="1"/>
        <v>0</v>
      </c>
      <c r="E597" s="4" t="s">
        <v>885</v>
      </c>
    </row>
    <row r="598">
      <c r="A598" s="3" t="s">
        <v>886</v>
      </c>
      <c r="B598" s="3">
        <v>1000.0</v>
      </c>
      <c r="C598" s="3" t="s">
        <v>32</v>
      </c>
      <c r="D598" s="4" t="b">
        <f t="shared" si="1"/>
        <v>0</v>
      </c>
      <c r="E598" s="4" t="s">
        <v>886</v>
      </c>
    </row>
    <row r="599">
      <c r="A599" s="3" t="s">
        <v>887</v>
      </c>
      <c r="B599" s="3">
        <v>500.0</v>
      </c>
      <c r="C599" s="4"/>
      <c r="D599" s="4" t="b">
        <f t="shared" si="1"/>
        <v>0</v>
      </c>
      <c r="E599" s="4" t="s">
        <v>2225</v>
      </c>
    </row>
    <row r="600">
      <c r="A600" s="3" t="s">
        <v>889</v>
      </c>
      <c r="B600" s="3">
        <v>1600.0</v>
      </c>
      <c r="C600" s="4"/>
      <c r="D600" s="4" t="b">
        <f t="shared" si="1"/>
        <v>0</v>
      </c>
      <c r="E600" s="4" t="s">
        <v>889</v>
      </c>
    </row>
    <row r="601">
      <c r="A601" s="3" t="s">
        <v>890</v>
      </c>
      <c r="B601" s="3">
        <v>1000.0</v>
      </c>
      <c r="C601" s="3" t="s">
        <v>6</v>
      </c>
      <c r="D601" s="4" t="b">
        <f t="shared" si="1"/>
        <v>0</v>
      </c>
      <c r="E601" s="4" t="s">
        <v>2226</v>
      </c>
    </row>
    <row r="602">
      <c r="A602" s="3" t="s">
        <v>892</v>
      </c>
      <c r="B602" s="3">
        <v>1300.0</v>
      </c>
      <c r="C602" s="4"/>
      <c r="D602" s="4" t="b">
        <f t="shared" si="1"/>
        <v>0</v>
      </c>
      <c r="E602" s="4" t="s">
        <v>2227</v>
      </c>
    </row>
    <row r="603">
      <c r="A603" s="3" t="s">
        <v>894</v>
      </c>
      <c r="B603" s="3">
        <v>0.0</v>
      </c>
      <c r="C603" s="3" t="s">
        <v>6</v>
      </c>
      <c r="D603" s="4" t="b">
        <f t="shared" si="1"/>
        <v>0</v>
      </c>
      <c r="E603" s="4" t="s">
        <v>894</v>
      </c>
    </row>
    <row r="604">
      <c r="A604" s="3" t="s">
        <v>895</v>
      </c>
      <c r="B604" s="3">
        <v>0.0</v>
      </c>
      <c r="C604" s="3" t="s">
        <v>3</v>
      </c>
      <c r="D604" s="4" t="b">
        <f t="shared" si="1"/>
        <v>0</v>
      </c>
      <c r="E604" s="4" t="s">
        <v>895</v>
      </c>
    </row>
    <row r="605">
      <c r="A605" s="3" t="s">
        <v>896</v>
      </c>
      <c r="B605" s="3">
        <v>0.0</v>
      </c>
      <c r="C605" s="3" t="s">
        <v>32</v>
      </c>
      <c r="D605" s="4" t="b">
        <f t="shared" si="1"/>
        <v>0</v>
      </c>
      <c r="E605" s="4" t="s">
        <v>896</v>
      </c>
    </row>
    <row r="606">
      <c r="A606" s="3" t="s">
        <v>897</v>
      </c>
      <c r="B606" s="3">
        <v>0.0</v>
      </c>
      <c r="C606" s="3" t="s">
        <v>3</v>
      </c>
      <c r="D606" s="4" t="b">
        <f t="shared" si="1"/>
        <v>0</v>
      </c>
      <c r="E606" s="4" t="s">
        <v>2228</v>
      </c>
    </row>
    <row r="607">
      <c r="A607" s="3" t="s">
        <v>899</v>
      </c>
      <c r="B607" s="3">
        <v>0.0</v>
      </c>
      <c r="C607" s="3" t="s">
        <v>3</v>
      </c>
      <c r="D607" s="4" t="b">
        <f t="shared" si="1"/>
        <v>0</v>
      </c>
      <c r="E607" s="4" t="s">
        <v>899</v>
      </c>
    </row>
    <row r="608">
      <c r="A608" s="3" t="s">
        <v>900</v>
      </c>
      <c r="B608" s="3">
        <v>8000.0</v>
      </c>
      <c r="C608" s="4"/>
      <c r="D608" s="4" t="b">
        <f t="shared" si="1"/>
        <v>0</v>
      </c>
      <c r="E608" s="4" t="s">
        <v>900</v>
      </c>
    </row>
    <row r="609">
      <c r="A609" s="3" t="s">
        <v>901</v>
      </c>
      <c r="B609" s="3">
        <v>0.0</v>
      </c>
      <c r="C609" s="3" t="s">
        <v>32</v>
      </c>
      <c r="D609" s="4" t="b">
        <f t="shared" si="1"/>
        <v>0</v>
      </c>
      <c r="E609" s="4" t="s">
        <v>901</v>
      </c>
    </row>
    <row r="610">
      <c r="A610" s="3" t="s">
        <v>902</v>
      </c>
      <c r="B610" s="3">
        <v>0.0</v>
      </c>
      <c r="C610" s="3" t="s">
        <v>6</v>
      </c>
      <c r="D610" s="4" t="b">
        <f t="shared" si="1"/>
        <v>0</v>
      </c>
      <c r="E610" s="4" t="s">
        <v>2229</v>
      </c>
    </row>
    <row r="611">
      <c r="A611" s="3" t="s">
        <v>904</v>
      </c>
      <c r="B611" s="3">
        <v>2635.0</v>
      </c>
      <c r="C611" s="4"/>
      <c r="D611" s="4" t="b">
        <f t="shared" si="1"/>
        <v>0</v>
      </c>
      <c r="E611" s="4" t="s">
        <v>904</v>
      </c>
    </row>
    <row r="612">
      <c r="A612" s="3" t="s">
        <v>906</v>
      </c>
      <c r="B612" s="3">
        <v>3917.0</v>
      </c>
      <c r="C612" s="4"/>
      <c r="D612" s="4" t="b">
        <f t="shared" si="1"/>
        <v>0</v>
      </c>
      <c r="E612" s="4" t="s">
        <v>906</v>
      </c>
    </row>
    <row r="613">
      <c r="A613" s="3" t="s">
        <v>908</v>
      </c>
      <c r="B613" s="3">
        <v>1728.0</v>
      </c>
      <c r="C613" s="4"/>
      <c r="D613" s="4" t="b">
        <f t="shared" si="1"/>
        <v>0</v>
      </c>
      <c r="E613" s="4" t="s">
        <v>2230</v>
      </c>
    </row>
    <row r="614">
      <c r="A614" s="3" t="s">
        <v>911</v>
      </c>
      <c r="B614" s="3">
        <v>0.0</v>
      </c>
      <c r="C614" s="3" t="s">
        <v>3</v>
      </c>
      <c r="D614" s="4" t="b">
        <f t="shared" si="1"/>
        <v>0</v>
      </c>
      <c r="E614" s="4" t="s">
        <v>911</v>
      </c>
    </row>
    <row r="615">
      <c r="A615" s="3" t="s">
        <v>912</v>
      </c>
      <c r="B615" s="3">
        <v>0.0</v>
      </c>
      <c r="C615" s="3" t="s">
        <v>3</v>
      </c>
      <c r="D615" s="4" t="b">
        <f t="shared" si="1"/>
        <v>0</v>
      </c>
      <c r="E615" s="4" t="s">
        <v>912</v>
      </c>
    </row>
    <row r="616">
      <c r="A616" s="3" t="s">
        <v>913</v>
      </c>
      <c r="B616" s="3">
        <v>3000.0</v>
      </c>
      <c r="C616" s="4"/>
      <c r="D616" s="4" t="b">
        <f t="shared" si="1"/>
        <v>0</v>
      </c>
      <c r="E616" s="4" t="s">
        <v>913</v>
      </c>
    </row>
    <row r="617">
      <c r="A617" s="3" t="s">
        <v>914</v>
      </c>
      <c r="B617" s="3">
        <v>3500.0</v>
      </c>
      <c r="C617" s="4"/>
      <c r="D617" s="4" t="b">
        <f t="shared" si="1"/>
        <v>0</v>
      </c>
      <c r="E617" s="4" t="s">
        <v>914</v>
      </c>
    </row>
    <row r="618">
      <c r="A618" s="3" t="s">
        <v>915</v>
      </c>
      <c r="B618" s="3">
        <v>8000.0</v>
      </c>
      <c r="C618" s="4"/>
      <c r="D618" s="4" t="b">
        <f t="shared" si="1"/>
        <v>0</v>
      </c>
      <c r="E618" s="4" t="s">
        <v>915</v>
      </c>
    </row>
    <row r="619">
      <c r="A619" s="3" t="s">
        <v>916</v>
      </c>
      <c r="B619" s="3">
        <v>41500.0</v>
      </c>
      <c r="C619" s="3" t="s">
        <v>280</v>
      </c>
      <c r="D619" s="4" t="b">
        <f t="shared" si="1"/>
        <v>0</v>
      </c>
      <c r="E619" s="4" t="s">
        <v>916</v>
      </c>
    </row>
    <row r="620">
      <c r="A620" s="3" t="s">
        <v>918</v>
      </c>
      <c r="B620" s="3">
        <v>0.0</v>
      </c>
      <c r="C620" s="3" t="s">
        <v>32</v>
      </c>
      <c r="D620" s="4" t="b">
        <f t="shared" si="1"/>
        <v>0</v>
      </c>
      <c r="E620" s="4" t="s">
        <v>918</v>
      </c>
    </row>
    <row r="621">
      <c r="A621" s="3" t="s">
        <v>919</v>
      </c>
      <c r="B621" s="3">
        <v>0.0</v>
      </c>
      <c r="C621" s="3" t="s">
        <v>3</v>
      </c>
      <c r="D621" s="4" t="b">
        <f t="shared" si="1"/>
        <v>0</v>
      </c>
      <c r="E621" s="4" t="s">
        <v>919</v>
      </c>
    </row>
    <row r="622">
      <c r="A622" s="3" t="s">
        <v>920</v>
      </c>
      <c r="B622" s="3">
        <v>0.0</v>
      </c>
      <c r="C622" s="3" t="s">
        <v>3</v>
      </c>
      <c r="D622" s="4" t="b">
        <f t="shared" si="1"/>
        <v>0</v>
      </c>
      <c r="E622" s="4" t="s">
        <v>920</v>
      </c>
    </row>
    <row r="623">
      <c r="A623" s="3" t="s">
        <v>921</v>
      </c>
      <c r="B623" s="3">
        <v>6000.0</v>
      </c>
      <c r="C623" s="4"/>
      <c r="D623" s="4" t="b">
        <f t="shared" si="1"/>
        <v>0</v>
      </c>
      <c r="E623" s="4" t="s">
        <v>921</v>
      </c>
    </row>
    <row r="624">
      <c r="A624" s="3" t="s">
        <v>922</v>
      </c>
      <c r="B624" s="3">
        <v>5000.0</v>
      </c>
      <c r="C624" s="4"/>
      <c r="D624" s="4" t="b">
        <f t="shared" si="1"/>
        <v>0</v>
      </c>
      <c r="E624" s="4" t="s">
        <v>922</v>
      </c>
    </row>
    <row r="625">
      <c r="A625" s="3" t="s">
        <v>923</v>
      </c>
      <c r="B625" s="3">
        <v>3000.0</v>
      </c>
      <c r="C625" s="4"/>
      <c r="D625" s="4" t="b">
        <f t="shared" si="1"/>
        <v>0</v>
      </c>
      <c r="E625" s="4" t="s">
        <v>923</v>
      </c>
    </row>
    <row r="626">
      <c r="A626" s="3" t="s">
        <v>924</v>
      </c>
      <c r="B626" s="3">
        <v>0.0</v>
      </c>
      <c r="C626" s="3" t="s">
        <v>3</v>
      </c>
      <c r="D626" s="4" t="b">
        <f t="shared" si="1"/>
        <v>0</v>
      </c>
      <c r="E626" s="4" t="s">
        <v>924</v>
      </c>
    </row>
    <row r="627">
      <c r="A627" s="3" t="s">
        <v>925</v>
      </c>
      <c r="B627" s="3">
        <v>2000.0</v>
      </c>
      <c r="C627" s="4"/>
      <c r="D627" s="4" t="b">
        <f t="shared" si="1"/>
        <v>0</v>
      </c>
      <c r="E627" s="4" t="s">
        <v>925</v>
      </c>
    </row>
    <row r="628">
      <c r="A628" s="3" t="s">
        <v>926</v>
      </c>
      <c r="B628" s="3">
        <v>0.0</v>
      </c>
      <c r="C628" s="3" t="s">
        <v>3</v>
      </c>
      <c r="D628" s="4" t="b">
        <f t="shared" si="1"/>
        <v>0</v>
      </c>
      <c r="E628" s="4" t="s">
        <v>926</v>
      </c>
    </row>
    <row r="629">
      <c r="A629" s="3" t="s">
        <v>927</v>
      </c>
      <c r="B629" s="3">
        <v>6000.0</v>
      </c>
      <c r="C629" s="4"/>
      <c r="D629" s="4" t="b">
        <f t="shared" si="1"/>
        <v>0</v>
      </c>
      <c r="E629" s="4" t="s">
        <v>927</v>
      </c>
    </row>
    <row r="630">
      <c r="A630" s="3" t="s">
        <v>928</v>
      </c>
      <c r="B630" s="3">
        <v>0.0</v>
      </c>
      <c r="C630" s="3" t="s">
        <v>32</v>
      </c>
      <c r="D630" s="4" t="b">
        <f t="shared" si="1"/>
        <v>0</v>
      </c>
      <c r="E630" s="4" t="s">
        <v>928</v>
      </c>
    </row>
    <row r="631">
      <c r="A631" s="3" t="s">
        <v>929</v>
      </c>
      <c r="B631" s="3">
        <v>17500.0</v>
      </c>
      <c r="C631" s="4"/>
      <c r="D631" s="4" t="b">
        <f t="shared" si="1"/>
        <v>0</v>
      </c>
      <c r="E631" s="4" t="s">
        <v>929</v>
      </c>
    </row>
    <row r="632">
      <c r="A632" s="3" t="s">
        <v>931</v>
      </c>
      <c r="B632" s="3">
        <v>11380.0</v>
      </c>
      <c r="C632" s="3" t="s">
        <v>3</v>
      </c>
      <c r="D632" s="4" t="b">
        <f t="shared" si="1"/>
        <v>0</v>
      </c>
      <c r="E632" s="4" t="s">
        <v>931</v>
      </c>
    </row>
    <row r="633">
      <c r="A633" s="3" t="s">
        <v>933</v>
      </c>
      <c r="B633" s="3">
        <v>3000.0</v>
      </c>
      <c r="C633" s="4"/>
      <c r="D633" s="4" t="b">
        <f t="shared" si="1"/>
        <v>0</v>
      </c>
      <c r="E633" s="4" t="s">
        <v>933</v>
      </c>
    </row>
    <row r="634">
      <c r="A634" s="3" t="s">
        <v>934</v>
      </c>
      <c r="B634" s="3">
        <v>0.0</v>
      </c>
      <c r="C634" s="3" t="s">
        <v>3</v>
      </c>
      <c r="D634" s="4" t="b">
        <f t="shared" si="1"/>
        <v>0</v>
      </c>
      <c r="E634" s="4" t="s">
        <v>934</v>
      </c>
    </row>
    <row r="635">
      <c r="A635" s="3" t="s">
        <v>935</v>
      </c>
      <c r="B635" s="3">
        <v>23000.0</v>
      </c>
      <c r="C635" s="4"/>
      <c r="D635" s="4" t="b">
        <f t="shared" si="1"/>
        <v>0</v>
      </c>
      <c r="E635" s="4" t="s">
        <v>935</v>
      </c>
    </row>
    <row r="636">
      <c r="A636" s="3" t="s">
        <v>937</v>
      </c>
      <c r="B636" s="3">
        <v>17000.0</v>
      </c>
      <c r="C636" s="4"/>
      <c r="D636" s="4" t="b">
        <f t="shared" si="1"/>
        <v>0</v>
      </c>
      <c r="E636" s="4" t="s">
        <v>937</v>
      </c>
    </row>
    <row r="637">
      <c r="A637" s="3" t="s">
        <v>939</v>
      </c>
      <c r="B637" s="3">
        <v>16000.0</v>
      </c>
      <c r="C637" s="4"/>
      <c r="D637" s="4" t="b">
        <f t="shared" si="1"/>
        <v>0</v>
      </c>
      <c r="E637" s="4" t="s">
        <v>939</v>
      </c>
    </row>
    <row r="638">
      <c r="A638" s="3" t="s">
        <v>941</v>
      </c>
      <c r="B638" s="3">
        <v>2100.0</v>
      </c>
      <c r="C638" s="4"/>
      <c r="D638" s="4" t="b">
        <f t="shared" si="1"/>
        <v>0</v>
      </c>
      <c r="E638" s="4" t="s">
        <v>941</v>
      </c>
    </row>
    <row r="639">
      <c r="A639" s="3" t="s">
        <v>943</v>
      </c>
      <c r="B639" s="3">
        <v>0.0</v>
      </c>
      <c r="C639" s="3" t="s">
        <v>3</v>
      </c>
      <c r="D639" s="4" t="b">
        <f t="shared" si="1"/>
        <v>0</v>
      </c>
      <c r="E639" s="4" t="s">
        <v>943</v>
      </c>
    </row>
    <row r="640">
      <c r="A640" s="3" t="s">
        <v>944</v>
      </c>
      <c r="B640" s="3">
        <v>0.0</v>
      </c>
      <c r="C640" s="3" t="s">
        <v>3</v>
      </c>
      <c r="D640" s="4" t="b">
        <f t="shared" si="1"/>
        <v>0</v>
      </c>
      <c r="E640" s="4" t="s">
        <v>944</v>
      </c>
    </row>
    <row r="641">
      <c r="A641" s="3" t="s">
        <v>945</v>
      </c>
      <c r="B641" s="3">
        <v>40000.0</v>
      </c>
      <c r="C641" s="3" t="s">
        <v>216</v>
      </c>
      <c r="D641" s="4" t="b">
        <f t="shared" si="1"/>
        <v>0</v>
      </c>
      <c r="E641" s="4" t="s">
        <v>945</v>
      </c>
    </row>
    <row r="642">
      <c r="A642" s="3" t="s">
        <v>947</v>
      </c>
      <c r="B642" s="3">
        <v>0.0</v>
      </c>
      <c r="C642" s="3" t="s">
        <v>29</v>
      </c>
      <c r="D642" s="4" t="b">
        <f t="shared" si="1"/>
        <v>0</v>
      </c>
      <c r="E642" s="4" t="s">
        <v>947</v>
      </c>
    </row>
    <row r="643">
      <c r="A643" s="3" t="s">
        <v>948</v>
      </c>
      <c r="B643" s="3">
        <v>15000.0</v>
      </c>
      <c r="C643" s="3" t="s">
        <v>3</v>
      </c>
      <c r="D643" s="4" t="b">
        <f t="shared" si="1"/>
        <v>0</v>
      </c>
      <c r="E643" s="4" t="s">
        <v>2231</v>
      </c>
    </row>
    <row r="644">
      <c r="A644" s="3" t="s">
        <v>950</v>
      </c>
      <c r="B644" s="3">
        <v>500.0</v>
      </c>
      <c r="C644" s="3" t="s">
        <v>3</v>
      </c>
      <c r="D644" s="4" t="b">
        <f t="shared" si="1"/>
        <v>0</v>
      </c>
      <c r="E644" s="4" t="s">
        <v>2232</v>
      </c>
    </row>
    <row r="645">
      <c r="A645" s="3" t="s">
        <v>952</v>
      </c>
      <c r="B645" s="3">
        <v>1000.0</v>
      </c>
      <c r="C645" s="4"/>
      <c r="D645" s="4" t="b">
        <f t="shared" si="1"/>
        <v>0</v>
      </c>
      <c r="E645" s="4" t="s">
        <v>2233</v>
      </c>
    </row>
    <row r="646">
      <c r="A646" s="3" t="s">
        <v>954</v>
      </c>
      <c r="B646" s="3">
        <v>1400.0</v>
      </c>
      <c r="C646" s="4"/>
      <c r="D646" s="4" t="b">
        <f t="shared" si="1"/>
        <v>0</v>
      </c>
      <c r="E646" s="4" t="s">
        <v>954</v>
      </c>
    </row>
    <row r="647">
      <c r="A647" s="3" t="s">
        <v>956</v>
      </c>
      <c r="B647" s="3">
        <v>10730.0</v>
      </c>
      <c r="C647" s="4"/>
      <c r="D647" s="4" t="b">
        <f t="shared" si="1"/>
        <v>0</v>
      </c>
      <c r="E647" s="4" t="s">
        <v>956</v>
      </c>
    </row>
    <row r="648">
      <c r="A648" s="3" t="s">
        <v>958</v>
      </c>
      <c r="B648" s="3">
        <v>0.0</v>
      </c>
      <c r="C648" s="3" t="s">
        <v>3</v>
      </c>
      <c r="D648" s="4" t="b">
        <f t="shared" si="1"/>
        <v>0</v>
      </c>
      <c r="E648" s="4" t="s">
        <v>958</v>
      </c>
    </row>
    <row r="649">
      <c r="A649" s="3" t="s">
        <v>959</v>
      </c>
      <c r="B649" s="3">
        <v>1500.0</v>
      </c>
      <c r="C649" s="4"/>
      <c r="D649" s="4" t="b">
        <f t="shared" si="1"/>
        <v>0</v>
      </c>
      <c r="E649" s="4" t="s">
        <v>959</v>
      </c>
    </row>
    <row r="650">
      <c r="A650" s="3" t="s">
        <v>960</v>
      </c>
      <c r="B650" s="3">
        <v>0.0</v>
      </c>
      <c r="C650" s="3" t="s">
        <v>3</v>
      </c>
      <c r="D650" s="4" t="b">
        <f t="shared" si="1"/>
        <v>0</v>
      </c>
      <c r="E650" s="4" t="s">
        <v>2234</v>
      </c>
    </row>
    <row r="651">
      <c r="A651" s="3" t="s">
        <v>962</v>
      </c>
      <c r="B651" s="3">
        <v>2000.0</v>
      </c>
      <c r="C651" s="3" t="s">
        <v>6</v>
      </c>
      <c r="D651" s="4" t="b">
        <f t="shared" si="1"/>
        <v>0</v>
      </c>
      <c r="E651" s="4" t="s">
        <v>962</v>
      </c>
    </row>
    <row r="652">
      <c r="A652" s="3" t="s">
        <v>963</v>
      </c>
      <c r="B652" s="3">
        <v>115000.0</v>
      </c>
      <c r="C652" s="3" t="s">
        <v>6</v>
      </c>
      <c r="D652" s="4" t="b">
        <f t="shared" si="1"/>
        <v>0</v>
      </c>
      <c r="E652" s="4" t="s">
        <v>963</v>
      </c>
    </row>
    <row r="653">
      <c r="A653" s="3" t="s">
        <v>964</v>
      </c>
      <c r="B653" s="3">
        <v>0.0</v>
      </c>
      <c r="C653" s="3" t="s">
        <v>3</v>
      </c>
      <c r="D653" s="4" t="b">
        <f t="shared" si="1"/>
        <v>0</v>
      </c>
      <c r="E653" s="4" t="s">
        <v>964</v>
      </c>
    </row>
    <row r="654">
      <c r="A654" s="3" t="s">
        <v>965</v>
      </c>
      <c r="B654" s="3">
        <v>11176.0</v>
      </c>
      <c r="C654" s="4"/>
      <c r="D654" s="4" t="b">
        <f t="shared" si="1"/>
        <v>0</v>
      </c>
      <c r="E654" s="4" t="s">
        <v>965</v>
      </c>
    </row>
    <row r="655">
      <c r="A655" s="3" t="s">
        <v>967</v>
      </c>
      <c r="B655" s="3">
        <v>1500.0</v>
      </c>
      <c r="C655" s="3" t="s">
        <v>32</v>
      </c>
      <c r="D655" s="4" t="b">
        <f t="shared" si="1"/>
        <v>0</v>
      </c>
      <c r="E655" s="4" t="s">
        <v>967</v>
      </c>
    </row>
    <row r="656">
      <c r="A656" s="3" t="s">
        <v>968</v>
      </c>
      <c r="B656" s="3">
        <v>1000.0</v>
      </c>
      <c r="C656" s="4"/>
      <c r="D656" s="4" t="b">
        <f t="shared" si="1"/>
        <v>0</v>
      </c>
      <c r="E656" s="4" t="s">
        <v>968</v>
      </c>
    </row>
    <row r="657">
      <c r="A657" s="3" t="s">
        <v>969</v>
      </c>
      <c r="B657" s="3">
        <v>0.0</v>
      </c>
      <c r="C657" s="3" t="s">
        <v>3</v>
      </c>
      <c r="D657" s="4" t="b">
        <f t="shared" si="1"/>
        <v>0</v>
      </c>
      <c r="E657" s="4" t="s">
        <v>969</v>
      </c>
    </row>
    <row r="658">
      <c r="A658" s="3" t="s">
        <v>970</v>
      </c>
      <c r="B658" s="3">
        <v>0.0</v>
      </c>
      <c r="C658" s="3" t="s">
        <v>3</v>
      </c>
      <c r="D658" s="4" t="b">
        <f t="shared" si="1"/>
        <v>0</v>
      </c>
      <c r="E658" s="4" t="s">
        <v>970</v>
      </c>
    </row>
    <row r="659">
      <c r="A659" s="3" t="s">
        <v>971</v>
      </c>
      <c r="B659" s="3">
        <v>0.0</v>
      </c>
      <c r="C659" s="3" t="s">
        <v>3</v>
      </c>
      <c r="D659" s="4" t="b">
        <f t="shared" si="1"/>
        <v>0</v>
      </c>
      <c r="E659" s="4" t="s">
        <v>971</v>
      </c>
    </row>
    <row r="660">
      <c r="A660" s="3" t="s">
        <v>972</v>
      </c>
      <c r="B660" s="3">
        <v>0.0</v>
      </c>
      <c r="C660" s="3" t="s">
        <v>32</v>
      </c>
      <c r="D660" s="4" t="b">
        <f t="shared" si="1"/>
        <v>0</v>
      </c>
      <c r="E660" s="4" t="s">
        <v>972</v>
      </c>
    </row>
    <row r="661">
      <c r="A661" s="3" t="s">
        <v>973</v>
      </c>
      <c r="B661" s="3">
        <v>400.0</v>
      </c>
      <c r="C661" s="4"/>
      <c r="D661" s="4" t="b">
        <f t="shared" si="1"/>
        <v>0</v>
      </c>
      <c r="E661" s="4" t="s">
        <v>973</v>
      </c>
    </row>
    <row r="662">
      <c r="A662" s="3" t="s">
        <v>974</v>
      </c>
      <c r="B662" s="3">
        <v>0.0</v>
      </c>
      <c r="C662" s="3" t="s">
        <v>3</v>
      </c>
      <c r="D662" s="4" t="b">
        <f t="shared" si="1"/>
        <v>0</v>
      </c>
      <c r="E662" s="4" t="s">
        <v>974</v>
      </c>
    </row>
    <row r="663">
      <c r="A663" s="3" t="s">
        <v>975</v>
      </c>
      <c r="B663" s="3">
        <v>5000.0</v>
      </c>
      <c r="C663" s="4"/>
      <c r="D663" s="4" t="b">
        <f t="shared" si="1"/>
        <v>0</v>
      </c>
      <c r="E663" s="4" t="s">
        <v>2235</v>
      </c>
    </row>
    <row r="664">
      <c r="A664" s="3" t="s">
        <v>977</v>
      </c>
      <c r="B664" s="3">
        <v>8000.0</v>
      </c>
      <c r="C664" s="4"/>
      <c r="D664" s="4" t="b">
        <f t="shared" si="1"/>
        <v>0</v>
      </c>
      <c r="E664" s="4" t="s">
        <v>977</v>
      </c>
    </row>
    <row r="665">
      <c r="A665" s="3" t="s">
        <v>978</v>
      </c>
      <c r="B665" s="3">
        <v>0.0</v>
      </c>
      <c r="C665" s="3" t="s">
        <v>29</v>
      </c>
      <c r="D665" s="4" t="b">
        <f t="shared" si="1"/>
        <v>0</v>
      </c>
      <c r="E665" s="4" t="s">
        <v>978</v>
      </c>
    </row>
    <row r="666">
      <c r="A666" s="3" t="s">
        <v>979</v>
      </c>
      <c r="B666" s="3">
        <v>700.0</v>
      </c>
      <c r="C666" s="3" t="s">
        <v>3</v>
      </c>
      <c r="D666" s="4" t="b">
        <f t="shared" si="1"/>
        <v>0</v>
      </c>
      <c r="E666" s="4" t="s">
        <v>979</v>
      </c>
    </row>
    <row r="667">
      <c r="A667" s="3" t="s">
        <v>980</v>
      </c>
      <c r="B667" s="3">
        <v>0.0</v>
      </c>
      <c r="C667" s="3" t="s">
        <v>3</v>
      </c>
      <c r="D667" s="4" t="b">
        <f t="shared" si="1"/>
        <v>0</v>
      </c>
      <c r="E667" s="4" t="s">
        <v>980</v>
      </c>
    </row>
    <row r="668">
      <c r="A668" s="3" t="s">
        <v>981</v>
      </c>
      <c r="B668" s="3">
        <v>1000.0</v>
      </c>
      <c r="C668" s="4"/>
      <c r="D668" s="4" t="b">
        <f t="shared" si="1"/>
        <v>0</v>
      </c>
      <c r="E668" s="4" t="s">
        <v>981</v>
      </c>
    </row>
    <row r="669">
      <c r="A669" s="3" t="s">
        <v>982</v>
      </c>
      <c r="B669" s="3">
        <v>0.0</v>
      </c>
      <c r="C669" s="3" t="s">
        <v>6</v>
      </c>
      <c r="D669" s="4" t="b">
        <f t="shared" si="1"/>
        <v>0</v>
      </c>
      <c r="E669" s="4" t="s">
        <v>982</v>
      </c>
    </row>
    <row r="670">
      <c r="A670" s="3" t="s">
        <v>983</v>
      </c>
      <c r="B670" s="3">
        <v>0.0</v>
      </c>
      <c r="C670" s="3" t="s">
        <v>3</v>
      </c>
      <c r="D670" s="4" t="b">
        <f t="shared" si="1"/>
        <v>0</v>
      </c>
      <c r="E670" s="4" t="s">
        <v>983</v>
      </c>
    </row>
    <row r="671">
      <c r="A671" s="3" t="s">
        <v>984</v>
      </c>
      <c r="B671" s="3">
        <v>9600.0</v>
      </c>
      <c r="C671" s="4"/>
      <c r="D671" s="4" t="b">
        <f t="shared" si="1"/>
        <v>0</v>
      </c>
      <c r="E671" s="4" t="s">
        <v>984</v>
      </c>
    </row>
    <row r="672">
      <c r="A672" s="3" t="s">
        <v>986</v>
      </c>
      <c r="B672" s="3">
        <v>3000.0</v>
      </c>
      <c r="C672" s="4"/>
      <c r="D672" s="4" t="b">
        <f t="shared" si="1"/>
        <v>0</v>
      </c>
      <c r="E672" s="4" t="s">
        <v>986</v>
      </c>
    </row>
    <row r="673">
      <c r="A673" s="3" t="s">
        <v>987</v>
      </c>
      <c r="B673" s="3">
        <v>0.0</v>
      </c>
      <c r="C673" s="3" t="s">
        <v>3</v>
      </c>
      <c r="D673" s="4" t="b">
        <f t="shared" si="1"/>
        <v>0</v>
      </c>
      <c r="E673" s="4" t="s">
        <v>987</v>
      </c>
    </row>
    <row r="674">
      <c r="A674" s="3" t="s">
        <v>988</v>
      </c>
      <c r="B674" s="3">
        <v>7800.0</v>
      </c>
      <c r="C674" s="3" t="s">
        <v>280</v>
      </c>
      <c r="D674" s="4" t="b">
        <f t="shared" si="1"/>
        <v>0</v>
      </c>
      <c r="E674" s="4" t="s">
        <v>988</v>
      </c>
    </row>
    <row r="675">
      <c r="A675" s="3" t="s">
        <v>990</v>
      </c>
      <c r="B675" s="3">
        <v>4000.0</v>
      </c>
      <c r="C675" s="4"/>
      <c r="D675" s="4" t="b">
        <f t="shared" si="1"/>
        <v>0</v>
      </c>
      <c r="E675" s="4" t="s">
        <v>990</v>
      </c>
    </row>
    <row r="676">
      <c r="A676" s="3" t="s">
        <v>991</v>
      </c>
      <c r="B676" s="3">
        <v>0.0</v>
      </c>
      <c r="C676" s="3" t="s">
        <v>3</v>
      </c>
      <c r="D676" s="4" t="b">
        <f t="shared" si="1"/>
        <v>0</v>
      </c>
      <c r="E676" s="4" t="s">
        <v>991</v>
      </c>
    </row>
    <row r="677">
      <c r="A677" s="3" t="s">
        <v>992</v>
      </c>
      <c r="B677" s="3">
        <v>0.0</v>
      </c>
      <c r="C677" s="3" t="s">
        <v>3</v>
      </c>
      <c r="D677" s="4" t="b">
        <f t="shared" si="1"/>
        <v>0</v>
      </c>
      <c r="E677" s="4" t="s">
        <v>992</v>
      </c>
    </row>
    <row r="678">
      <c r="A678" s="3" t="s">
        <v>993</v>
      </c>
      <c r="B678" s="3">
        <v>0.0</v>
      </c>
      <c r="C678" s="3" t="s">
        <v>3</v>
      </c>
      <c r="D678" s="4" t="b">
        <f t="shared" si="1"/>
        <v>0</v>
      </c>
      <c r="E678" s="4" t="s">
        <v>993</v>
      </c>
    </row>
    <row r="679">
      <c r="A679" s="3" t="s">
        <v>994</v>
      </c>
      <c r="B679" s="3">
        <v>8000.0</v>
      </c>
      <c r="C679" s="4"/>
      <c r="D679" s="4" t="b">
        <f t="shared" si="1"/>
        <v>0</v>
      </c>
      <c r="E679" s="4" t="s">
        <v>994</v>
      </c>
    </row>
    <row r="680">
      <c r="A680" s="3" t="s">
        <v>995</v>
      </c>
      <c r="B680" s="3">
        <v>1200.0</v>
      </c>
      <c r="C680" s="3" t="s">
        <v>6</v>
      </c>
      <c r="D680" s="4" t="b">
        <f t="shared" si="1"/>
        <v>0</v>
      </c>
      <c r="E680" s="4" t="s">
        <v>995</v>
      </c>
    </row>
    <row r="681">
      <c r="A681" s="3" t="s">
        <v>997</v>
      </c>
      <c r="B681" s="3">
        <v>950.0</v>
      </c>
      <c r="C681" s="4"/>
      <c r="D681" s="4" t="b">
        <f t="shared" si="1"/>
        <v>0</v>
      </c>
      <c r="E681" s="4" t="s">
        <v>997</v>
      </c>
    </row>
    <row r="682">
      <c r="A682" s="3" t="s">
        <v>999</v>
      </c>
      <c r="B682" s="3">
        <v>0.0</v>
      </c>
      <c r="C682" s="3" t="s">
        <v>3</v>
      </c>
      <c r="D682" s="4" t="b">
        <f t="shared" si="1"/>
        <v>0</v>
      </c>
      <c r="E682" s="4" t="s">
        <v>999</v>
      </c>
    </row>
    <row r="683">
      <c r="A683" s="3" t="s">
        <v>1000</v>
      </c>
      <c r="B683" s="3">
        <v>30000.0</v>
      </c>
      <c r="C683" s="3" t="s">
        <v>3</v>
      </c>
      <c r="D683" s="4" t="b">
        <f t="shared" si="1"/>
        <v>0</v>
      </c>
      <c r="E683" s="4" t="s">
        <v>1000</v>
      </c>
    </row>
    <row r="684">
      <c r="A684" s="3" t="s">
        <v>1001</v>
      </c>
      <c r="B684" s="3">
        <v>0.0</v>
      </c>
      <c r="C684" s="3" t="s">
        <v>6</v>
      </c>
      <c r="D684" s="4" t="b">
        <f t="shared" si="1"/>
        <v>0</v>
      </c>
      <c r="E684" s="4" t="s">
        <v>1001</v>
      </c>
    </row>
    <row r="685">
      <c r="A685" s="3" t="s">
        <v>1002</v>
      </c>
      <c r="B685" s="3">
        <v>10000.0</v>
      </c>
      <c r="C685" s="3" t="s">
        <v>3</v>
      </c>
      <c r="D685" s="4" t="b">
        <f t="shared" si="1"/>
        <v>0</v>
      </c>
      <c r="E685" s="4" t="s">
        <v>1002</v>
      </c>
    </row>
    <row r="686">
      <c r="A686" s="3" t="s">
        <v>1003</v>
      </c>
      <c r="B686" s="3">
        <v>0.0</v>
      </c>
      <c r="C686" s="3" t="s">
        <v>3</v>
      </c>
      <c r="D686" s="4" t="b">
        <f t="shared" si="1"/>
        <v>0</v>
      </c>
      <c r="E686" s="4" t="s">
        <v>1003</v>
      </c>
    </row>
    <row r="687">
      <c r="A687" s="3" t="s">
        <v>1004</v>
      </c>
      <c r="B687" s="3">
        <v>0.0</v>
      </c>
      <c r="C687" s="3" t="s">
        <v>3</v>
      </c>
      <c r="D687" s="4" t="b">
        <f t="shared" si="1"/>
        <v>0</v>
      </c>
      <c r="E687" s="4" t="s">
        <v>1004</v>
      </c>
    </row>
    <row r="688">
      <c r="A688" s="3" t="s">
        <v>1005</v>
      </c>
      <c r="B688" s="3">
        <v>500.0</v>
      </c>
      <c r="C688" s="4"/>
      <c r="D688" s="4" t="b">
        <f t="shared" si="1"/>
        <v>0</v>
      </c>
      <c r="E688" s="4" t="s">
        <v>1005</v>
      </c>
    </row>
    <row r="689">
      <c r="A689" s="3" t="s">
        <v>1006</v>
      </c>
      <c r="B689" s="3">
        <v>0.0</v>
      </c>
      <c r="C689" s="3" t="s">
        <v>3</v>
      </c>
      <c r="D689" s="4" t="b">
        <f t="shared" si="1"/>
        <v>0</v>
      </c>
      <c r="E689" s="4" t="s">
        <v>1006</v>
      </c>
    </row>
    <row r="690">
      <c r="A690" s="3" t="s">
        <v>1007</v>
      </c>
      <c r="B690" s="3">
        <v>3000.0</v>
      </c>
      <c r="C690" s="4"/>
      <c r="D690" s="4" t="b">
        <f t="shared" si="1"/>
        <v>0</v>
      </c>
      <c r="E690" s="4" t="s">
        <v>1007</v>
      </c>
    </row>
    <row r="691">
      <c r="A691" s="3" t="s">
        <v>1008</v>
      </c>
      <c r="B691" s="3">
        <v>0.0</v>
      </c>
      <c r="C691" s="3" t="s">
        <v>484</v>
      </c>
      <c r="D691" s="4" t="b">
        <f t="shared" si="1"/>
        <v>0</v>
      </c>
      <c r="E691" s="4" t="s">
        <v>1008</v>
      </c>
    </row>
    <row r="692">
      <c r="A692" s="3" t="s">
        <v>1009</v>
      </c>
      <c r="B692" s="3">
        <v>0.0</v>
      </c>
      <c r="C692" s="3" t="s">
        <v>3</v>
      </c>
      <c r="D692" s="4" t="b">
        <f t="shared" si="1"/>
        <v>0</v>
      </c>
      <c r="E692" s="4" t="s">
        <v>1009</v>
      </c>
    </row>
    <row r="693">
      <c r="A693" s="3" t="s">
        <v>1010</v>
      </c>
      <c r="B693" s="3">
        <v>0.0</v>
      </c>
      <c r="C693" s="3" t="s">
        <v>6</v>
      </c>
      <c r="D693" s="4" t="b">
        <f t="shared" si="1"/>
        <v>0</v>
      </c>
      <c r="E693" s="4" t="s">
        <v>1010</v>
      </c>
    </row>
    <row r="694">
      <c r="A694" s="3" t="s">
        <v>1011</v>
      </c>
      <c r="B694" s="3">
        <v>4000.0</v>
      </c>
      <c r="C694" s="4"/>
      <c r="D694" s="4" t="b">
        <f t="shared" si="1"/>
        <v>0</v>
      </c>
      <c r="E694" s="4" t="s">
        <v>1011</v>
      </c>
    </row>
    <row r="695">
      <c r="A695" s="3" t="s">
        <v>1012</v>
      </c>
      <c r="B695" s="3">
        <v>2100.0</v>
      </c>
      <c r="C695" s="3" t="s">
        <v>3</v>
      </c>
      <c r="D695" s="4" t="b">
        <f t="shared" si="1"/>
        <v>0</v>
      </c>
      <c r="E695" s="4" t="s">
        <v>1012</v>
      </c>
    </row>
    <row r="696">
      <c r="A696" s="3" t="s">
        <v>1013</v>
      </c>
      <c r="B696" s="3">
        <v>9500.0</v>
      </c>
      <c r="C696" s="3" t="s">
        <v>6</v>
      </c>
      <c r="D696" s="4" t="b">
        <f t="shared" si="1"/>
        <v>0</v>
      </c>
      <c r="E696" s="4" t="s">
        <v>1013</v>
      </c>
    </row>
    <row r="697">
      <c r="A697" s="3" t="s">
        <v>1015</v>
      </c>
      <c r="B697" s="3">
        <v>0.0</v>
      </c>
      <c r="C697" s="3" t="s">
        <v>3</v>
      </c>
      <c r="D697" s="4" t="b">
        <f t="shared" si="1"/>
        <v>0</v>
      </c>
      <c r="E697" s="4" t="s">
        <v>1015</v>
      </c>
    </row>
    <row r="698">
      <c r="A698" s="3" t="s">
        <v>1016</v>
      </c>
      <c r="B698" s="3">
        <v>0.0</v>
      </c>
      <c r="C698" s="3" t="s">
        <v>6</v>
      </c>
      <c r="D698" s="4" t="b">
        <f t="shared" si="1"/>
        <v>0</v>
      </c>
      <c r="E698" s="4" t="s">
        <v>1016</v>
      </c>
    </row>
    <row r="699">
      <c r="A699" s="3" t="s">
        <v>1017</v>
      </c>
      <c r="B699" s="3">
        <v>1200.0</v>
      </c>
      <c r="C699" s="4"/>
      <c r="D699" s="4" t="b">
        <f t="shared" si="1"/>
        <v>0</v>
      </c>
      <c r="E699" s="4" t="s">
        <v>1017</v>
      </c>
    </row>
    <row r="700">
      <c r="A700" s="3" t="s">
        <v>1018</v>
      </c>
      <c r="B700" s="3">
        <v>0.0</v>
      </c>
      <c r="C700" s="3" t="s">
        <v>32</v>
      </c>
      <c r="D700" s="4" t="b">
        <f t="shared" si="1"/>
        <v>0</v>
      </c>
      <c r="E700" s="4" t="s">
        <v>1018</v>
      </c>
    </row>
    <row r="701">
      <c r="A701" s="3" t="s">
        <v>1019</v>
      </c>
      <c r="B701" s="3">
        <v>0.0</v>
      </c>
      <c r="C701" s="3" t="s">
        <v>6</v>
      </c>
      <c r="D701" s="4" t="b">
        <f t="shared" si="1"/>
        <v>0</v>
      </c>
      <c r="E701" s="4" t="s">
        <v>1019</v>
      </c>
    </row>
    <row r="702">
      <c r="A702" s="3" t="s">
        <v>1020</v>
      </c>
      <c r="B702" s="3">
        <v>1534.0</v>
      </c>
      <c r="C702" s="4"/>
      <c r="D702" s="4" t="b">
        <f t="shared" si="1"/>
        <v>0</v>
      </c>
      <c r="E702" s="4" t="s">
        <v>1020</v>
      </c>
    </row>
    <row r="703">
      <c r="A703" s="3" t="s">
        <v>1022</v>
      </c>
      <c r="B703" s="3">
        <v>0.0</v>
      </c>
      <c r="C703" s="3" t="s">
        <v>6</v>
      </c>
      <c r="D703" s="4" t="b">
        <f t="shared" si="1"/>
        <v>0</v>
      </c>
      <c r="E703" s="4" t="s">
        <v>1022</v>
      </c>
    </row>
    <row r="704">
      <c r="A704" s="3" t="s">
        <v>1023</v>
      </c>
      <c r="B704" s="3">
        <v>27000.0</v>
      </c>
      <c r="C704" s="3" t="s">
        <v>3</v>
      </c>
      <c r="D704" s="4" t="b">
        <f t="shared" si="1"/>
        <v>0</v>
      </c>
      <c r="E704" s="4" t="s">
        <v>1023</v>
      </c>
    </row>
    <row r="705">
      <c r="A705" s="3" t="s">
        <v>1025</v>
      </c>
      <c r="B705" s="3">
        <v>0.0</v>
      </c>
      <c r="C705" s="3" t="s">
        <v>3</v>
      </c>
      <c r="D705" s="4" t="b">
        <f t="shared" si="1"/>
        <v>0</v>
      </c>
      <c r="E705" s="4" t="s">
        <v>1025</v>
      </c>
    </row>
    <row r="706">
      <c r="A706" s="3" t="s">
        <v>1026</v>
      </c>
      <c r="B706" s="3">
        <v>46500.0</v>
      </c>
      <c r="C706" s="3" t="s">
        <v>3</v>
      </c>
      <c r="D706" s="4" t="b">
        <f t="shared" si="1"/>
        <v>0</v>
      </c>
      <c r="E706" s="4" t="s">
        <v>2236</v>
      </c>
    </row>
    <row r="707">
      <c r="A707" s="3" t="s">
        <v>1029</v>
      </c>
      <c r="B707" s="3">
        <v>0.0</v>
      </c>
      <c r="C707" s="3" t="s">
        <v>3</v>
      </c>
      <c r="D707" s="4" t="b">
        <f t="shared" si="1"/>
        <v>0</v>
      </c>
      <c r="E707" s="4" t="s">
        <v>2237</v>
      </c>
    </row>
    <row r="708">
      <c r="A708" s="3" t="s">
        <v>1031</v>
      </c>
      <c r="B708" s="3">
        <v>0.0</v>
      </c>
      <c r="C708" s="3" t="s">
        <v>3</v>
      </c>
      <c r="D708" s="4" t="b">
        <f t="shared" si="1"/>
        <v>0</v>
      </c>
      <c r="E708" s="4" t="s">
        <v>1031</v>
      </c>
    </row>
    <row r="709">
      <c r="A709" s="3" t="s">
        <v>1032</v>
      </c>
      <c r="B709" s="3">
        <v>0.0</v>
      </c>
      <c r="C709" s="3" t="s">
        <v>29</v>
      </c>
      <c r="D709" s="4" t="b">
        <f t="shared" si="1"/>
        <v>0</v>
      </c>
      <c r="E709" s="4" t="s">
        <v>1032</v>
      </c>
    </row>
    <row r="710">
      <c r="A710" s="3" t="s">
        <v>1033</v>
      </c>
      <c r="B710" s="3">
        <v>109834.0</v>
      </c>
      <c r="C710" s="4"/>
      <c r="D710" s="4" t="b">
        <f t="shared" si="1"/>
        <v>0</v>
      </c>
      <c r="E710" s="4" t="s">
        <v>1033</v>
      </c>
    </row>
    <row r="711">
      <c r="A711" s="3" t="s">
        <v>1035</v>
      </c>
      <c r="B711" s="3">
        <v>4000.0</v>
      </c>
      <c r="C711" s="4"/>
      <c r="D711" s="4" t="b">
        <f t="shared" si="1"/>
        <v>0</v>
      </c>
      <c r="E711" s="4" t="s">
        <v>1035</v>
      </c>
    </row>
    <row r="712">
      <c r="A712" s="3" t="s">
        <v>1036</v>
      </c>
      <c r="B712" s="3">
        <v>0.0</v>
      </c>
      <c r="C712" s="3" t="s">
        <v>3</v>
      </c>
      <c r="D712" s="4" t="b">
        <f t="shared" si="1"/>
        <v>0</v>
      </c>
      <c r="E712" s="4" t="s">
        <v>1036</v>
      </c>
    </row>
    <row r="713">
      <c r="A713" s="3" t="s">
        <v>1037</v>
      </c>
      <c r="B713" s="3">
        <v>0.0</v>
      </c>
      <c r="C713" s="3" t="s">
        <v>26</v>
      </c>
      <c r="D713" s="4" t="b">
        <f t="shared" si="1"/>
        <v>0</v>
      </c>
      <c r="E713" s="4" t="s">
        <v>1037</v>
      </c>
    </row>
    <row r="714">
      <c r="A714" s="3" t="s">
        <v>1038</v>
      </c>
      <c r="B714" s="3">
        <v>0.0</v>
      </c>
      <c r="C714" s="3" t="s">
        <v>3</v>
      </c>
      <c r="D714" s="4" t="b">
        <f t="shared" si="1"/>
        <v>0</v>
      </c>
      <c r="E714" s="4" t="s">
        <v>1038</v>
      </c>
    </row>
    <row r="715">
      <c r="A715" s="3" t="s">
        <v>1039</v>
      </c>
      <c r="B715" s="3">
        <v>14000.0</v>
      </c>
      <c r="C715" s="3" t="s">
        <v>3</v>
      </c>
      <c r="D715" s="4" t="b">
        <f t="shared" si="1"/>
        <v>0</v>
      </c>
      <c r="E715" s="4" t="s">
        <v>1039</v>
      </c>
    </row>
    <row r="716">
      <c r="A716" s="3" t="s">
        <v>1041</v>
      </c>
      <c r="B716" s="3">
        <v>500.0</v>
      </c>
      <c r="C716" s="4"/>
      <c r="D716" s="4" t="b">
        <f t="shared" si="1"/>
        <v>0</v>
      </c>
      <c r="E716" s="4" t="s">
        <v>1041</v>
      </c>
    </row>
    <row r="717">
      <c r="A717" s="3" t="s">
        <v>1042</v>
      </c>
      <c r="B717" s="3">
        <v>0.0</v>
      </c>
      <c r="C717" s="3" t="s">
        <v>3</v>
      </c>
      <c r="D717" s="4" t="b">
        <f t="shared" si="1"/>
        <v>0</v>
      </c>
      <c r="E717" s="4" t="s">
        <v>1042</v>
      </c>
    </row>
    <row r="718">
      <c r="A718" s="3" t="s">
        <v>1043</v>
      </c>
      <c r="B718" s="3">
        <v>4000.0</v>
      </c>
      <c r="C718" s="4"/>
      <c r="D718" s="4" t="b">
        <f t="shared" si="1"/>
        <v>0</v>
      </c>
      <c r="E718" s="4" t="s">
        <v>1043</v>
      </c>
    </row>
    <row r="719">
      <c r="A719" s="3" t="s">
        <v>1044</v>
      </c>
      <c r="B719" s="3">
        <v>118603.0</v>
      </c>
      <c r="C719" s="3" t="s">
        <v>37</v>
      </c>
      <c r="D719" s="4" t="b">
        <f t="shared" si="1"/>
        <v>0</v>
      </c>
      <c r="E719" s="4" t="s">
        <v>2238</v>
      </c>
    </row>
    <row r="720">
      <c r="A720" s="3" t="s">
        <v>1046</v>
      </c>
      <c r="B720" s="3">
        <v>0.0</v>
      </c>
      <c r="C720" s="3" t="s">
        <v>3</v>
      </c>
      <c r="D720" s="4" t="b">
        <f t="shared" si="1"/>
        <v>0</v>
      </c>
      <c r="E720" s="4" t="s">
        <v>1046</v>
      </c>
    </row>
    <row r="721">
      <c r="A721" s="3" t="s">
        <v>1047</v>
      </c>
      <c r="B721" s="3">
        <v>4500.0</v>
      </c>
      <c r="C721" s="4"/>
      <c r="D721" s="4" t="b">
        <f t="shared" si="1"/>
        <v>0</v>
      </c>
      <c r="E721" s="4" t="s">
        <v>1047</v>
      </c>
    </row>
    <row r="722">
      <c r="A722" s="3" t="s">
        <v>1048</v>
      </c>
      <c r="B722" s="3">
        <v>0.0</v>
      </c>
      <c r="C722" s="3" t="s">
        <v>3</v>
      </c>
      <c r="D722" s="4" t="b">
        <f t="shared" si="1"/>
        <v>0</v>
      </c>
      <c r="E722" s="4" t="s">
        <v>1048</v>
      </c>
    </row>
    <row r="723">
      <c r="A723" s="3" t="s">
        <v>1049</v>
      </c>
      <c r="B723" s="3">
        <v>0.0</v>
      </c>
      <c r="C723" s="3" t="s">
        <v>3</v>
      </c>
      <c r="D723" s="4" t="b">
        <f t="shared" si="1"/>
        <v>0</v>
      </c>
      <c r="E723" s="4" t="s">
        <v>2239</v>
      </c>
    </row>
    <row r="724">
      <c r="A724" s="3" t="s">
        <v>1051</v>
      </c>
      <c r="B724" s="3">
        <v>1410.0</v>
      </c>
      <c r="C724" s="4"/>
      <c r="D724" s="4" t="b">
        <f t="shared" si="1"/>
        <v>0</v>
      </c>
      <c r="E724" s="4" t="s">
        <v>1051</v>
      </c>
    </row>
    <row r="725">
      <c r="A725" s="3" t="s">
        <v>1053</v>
      </c>
      <c r="B725" s="3">
        <v>1000.0</v>
      </c>
      <c r="C725" s="3" t="s">
        <v>32</v>
      </c>
      <c r="D725" s="4" t="b">
        <f t="shared" si="1"/>
        <v>0</v>
      </c>
      <c r="E725" s="4" t="s">
        <v>1053</v>
      </c>
    </row>
    <row r="726">
      <c r="A726" s="3" t="s">
        <v>1054</v>
      </c>
      <c r="B726" s="3">
        <v>0.0</v>
      </c>
      <c r="C726" s="3" t="s">
        <v>3</v>
      </c>
      <c r="D726" s="4" t="b">
        <f t="shared" si="1"/>
        <v>0</v>
      </c>
      <c r="E726" s="4" t="s">
        <v>1054</v>
      </c>
    </row>
    <row r="727">
      <c r="A727" s="3" t="s">
        <v>1055</v>
      </c>
      <c r="B727" s="3">
        <v>31000.0</v>
      </c>
      <c r="C727" s="4"/>
      <c r="D727" s="4" t="b">
        <f t="shared" si="1"/>
        <v>0</v>
      </c>
      <c r="E727" s="4" t="s">
        <v>1055</v>
      </c>
    </row>
    <row r="728">
      <c r="A728" s="3" t="s">
        <v>1057</v>
      </c>
      <c r="B728" s="3">
        <v>0.0</v>
      </c>
      <c r="C728" s="3" t="s">
        <v>32</v>
      </c>
      <c r="D728" s="4" t="b">
        <f t="shared" si="1"/>
        <v>0</v>
      </c>
      <c r="E728" s="4" t="s">
        <v>1057</v>
      </c>
    </row>
    <row r="729">
      <c r="A729" s="3" t="s">
        <v>1058</v>
      </c>
      <c r="B729" s="3">
        <v>1000.0</v>
      </c>
      <c r="C729" s="4"/>
      <c r="D729" s="4" t="b">
        <f t="shared" si="1"/>
        <v>0</v>
      </c>
      <c r="E729" s="4" t="s">
        <v>1058</v>
      </c>
    </row>
    <row r="730">
      <c r="A730" s="3" t="s">
        <v>1059</v>
      </c>
      <c r="B730" s="3">
        <v>0.0</v>
      </c>
      <c r="C730" s="3" t="s">
        <v>3</v>
      </c>
      <c r="D730" s="4" t="b">
        <f t="shared" si="1"/>
        <v>0</v>
      </c>
      <c r="E730" s="4" t="s">
        <v>1059</v>
      </c>
    </row>
    <row r="731">
      <c r="A731" s="3" t="s">
        <v>1060</v>
      </c>
      <c r="B731" s="3">
        <v>3000.0</v>
      </c>
      <c r="C731" s="4"/>
      <c r="D731" s="4" t="b">
        <f t="shared" si="1"/>
        <v>0</v>
      </c>
      <c r="E731" s="4" t="s">
        <v>1060</v>
      </c>
    </row>
    <row r="732">
      <c r="A732" s="3" t="s">
        <v>1061</v>
      </c>
      <c r="B732" s="3">
        <v>2000.0</v>
      </c>
      <c r="C732" s="3" t="s">
        <v>3</v>
      </c>
      <c r="D732" s="4" t="b">
        <f t="shared" si="1"/>
        <v>0</v>
      </c>
      <c r="E732" s="4" t="s">
        <v>2240</v>
      </c>
    </row>
    <row r="733">
      <c r="A733" s="3" t="s">
        <v>1063</v>
      </c>
      <c r="B733" s="3">
        <v>14800.0</v>
      </c>
      <c r="C733" s="4"/>
      <c r="D733" s="4" t="b">
        <f t="shared" si="1"/>
        <v>0</v>
      </c>
      <c r="E733" s="4" t="s">
        <v>1063</v>
      </c>
    </row>
    <row r="734">
      <c r="A734" s="3" t="s">
        <v>1064</v>
      </c>
      <c r="B734" s="3">
        <v>0.0</v>
      </c>
      <c r="C734" s="3" t="s">
        <v>3</v>
      </c>
      <c r="D734" s="4" t="b">
        <f t="shared" si="1"/>
        <v>0</v>
      </c>
      <c r="E734" s="4" t="s">
        <v>1064</v>
      </c>
    </row>
    <row r="735">
      <c r="A735" s="3" t="s">
        <v>1065</v>
      </c>
      <c r="B735" s="3">
        <v>15000.0</v>
      </c>
      <c r="C735" s="3" t="s">
        <v>3</v>
      </c>
      <c r="D735" s="4" t="b">
        <f t="shared" si="1"/>
        <v>0</v>
      </c>
      <c r="E735" s="4" t="s">
        <v>2241</v>
      </c>
    </row>
    <row r="736">
      <c r="A736" s="3" t="s">
        <v>1067</v>
      </c>
      <c r="B736" s="3">
        <v>13050.0</v>
      </c>
      <c r="C736" s="3" t="s">
        <v>37</v>
      </c>
      <c r="D736" s="4" t="b">
        <f t="shared" si="1"/>
        <v>0</v>
      </c>
      <c r="E736" s="4" t="s">
        <v>2242</v>
      </c>
    </row>
    <row r="737">
      <c r="A737" s="3" t="s">
        <v>1069</v>
      </c>
      <c r="B737" s="3">
        <v>4000.0</v>
      </c>
      <c r="C737" s="4"/>
      <c r="D737" s="4" t="b">
        <f t="shared" si="1"/>
        <v>0</v>
      </c>
      <c r="E737" s="4" t="s">
        <v>1069</v>
      </c>
    </row>
    <row r="738">
      <c r="A738" s="3" t="s">
        <v>1070</v>
      </c>
      <c r="B738" s="3">
        <v>185000.0</v>
      </c>
      <c r="C738" s="3" t="s">
        <v>280</v>
      </c>
      <c r="D738" s="4" t="b">
        <f t="shared" si="1"/>
        <v>0</v>
      </c>
      <c r="E738" s="4" t="s">
        <v>1070</v>
      </c>
    </row>
    <row r="739">
      <c r="A739" s="3" t="s">
        <v>1072</v>
      </c>
      <c r="B739" s="3">
        <v>0.0</v>
      </c>
      <c r="C739" s="3" t="s">
        <v>3</v>
      </c>
      <c r="D739" s="4" t="b">
        <f t="shared" si="1"/>
        <v>0</v>
      </c>
      <c r="E739" s="4" t="s">
        <v>1072</v>
      </c>
    </row>
    <row r="740">
      <c r="A740" s="3" t="s">
        <v>1073</v>
      </c>
      <c r="B740" s="3">
        <v>0.0</v>
      </c>
      <c r="C740" s="3" t="s">
        <v>484</v>
      </c>
      <c r="D740" s="4" t="b">
        <f t="shared" si="1"/>
        <v>0</v>
      </c>
      <c r="E740" s="4" t="s">
        <v>2243</v>
      </c>
    </row>
    <row r="741">
      <c r="A741" s="3" t="s">
        <v>1075</v>
      </c>
      <c r="B741" s="3">
        <v>0.0</v>
      </c>
      <c r="C741" s="3" t="s">
        <v>3</v>
      </c>
      <c r="D741" s="4" t="b">
        <f t="shared" si="1"/>
        <v>0</v>
      </c>
      <c r="E741" s="4" t="s">
        <v>1075</v>
      </c>
    </row>
    <row r="742">
      <c r="A742" s="3" t="s">
        <v>1076</v>
      </c>
      <c r="B742" s="3">
        <v>0.0</v>
      </c>
      <c r="C742" s="3" t="s">
        <v>3</v>
      </c>
      <c r="D742" s="4" t="b">
        <f t="shared" si="1"/>
        <v>0</v>
      </c>
      <c r="E742" s="4" t="s">
        <v>1076</v>
      </c>
    </row>
    <row r="743">
      <c r="A743" s="3" t="s">
        <v>1077</v>
      </c>
      <c r="B743" s="3">
        <v>0.0</v>
      </c>
      <c r="C743" s="3" t="s">
        <v>3</v>
      </c>
      <c r="D743" s="4" t="b">
        <f t="shared" si="1"/>
        <v>0</v>
      </c>
      <c r="E743" s="4" t="s">
        <v>2244</v>
      </c>
    </row>
    <row r="744">
      <c r="A744" s="3" t="s">
        <v>1079</v>
      </c>
      <c r="B744" s="3">
        <v>0.0</v>
      </c>
      <c r="C744" s="3" t="s">
        <v>3</v>
      </c>
      <c r="D744" s="4" t="b">
        <f t="shared" si="1"/>
        <v>0</v>
      </c>
      <c r="E744" s="4" t="s">
        <v>1079</v>
      </c>
    </row>
    <row r="745">
      <c r="A745" s="3" t="s">
        <v>1080</v>
      </c>
      <c r="B745" s="3">
        <v>3500.0</v>
      </c>
      <c r="C745" s="3" t="s">
        <v>32</v>
      </c>
      <c r="D745" s="4" t="b">
        <f t="shared" si="1"/>
        <v>0</v>
      </c>
      <c r="E745" s="4" t="s">
        <v>1080</v>
      </c>
    </row>
    <row r="746">
      <c r="A746" s="3" t="s">
        <v>1081</v>
      </c>
      <c r="B746" s="3">
        <v>0.0</v>
      </c>
      <c r="C746" s="3" t="s">
        <v>6</v>
      </c>
      <c r="D746" s="4" t="b">
        <f t="shared" si="1"/>
        <v>0</v>
      </c>
      <c r="E746" s="4" t="s">
        <v>1081</v>
      </c>
    </row>
    <row r="747">
      <c r="A747" s="3" t="s">
        <v>1082</v>
      </c>
      <c r="B747" s="3">
        <v>0.0</v>
      </c>
      <c r="C747" s="3" t="s">
        <v>3</v>
      </c>
      <c r="D747" s="4" t="b">
        <f t="shared" si="1"/>
        <v>0</v>
      </c>
      <c r="E747" s="4" t="s">
        <v>1082</v>
      </c>
    </row>
    <row r="748">
      <c r="A748" s="3" t="s">
        <v>1083</v>
      </c>
      <c r="B748" s="3">
        <v>500.0</v>
      </c>
      <c r="C748" s="3" t="s">
        <v>32</v>
      </c>
      <c r="D748" s="4" t="b">
        <f t="shared" si="1"/>
        <v>0</v>
      </c>
      <c r="E748" s="4" t="s">
        <v>1083</v>
      </c>
    </row>
    <row r="749">
      <c r="A749" s="3" t="s">
        <v>1084</v>
      </c>
      <c r="B749" s="3">
        <v>0.0</v>
      </c>
      <c r="C749" s="3" t="s">
        <v>3</v>
      </c>
      <c r="D749" s="4" t="b">
        <f t="shared" si="1"/>
        <v>0</v>
      </c>
      <c r="E749" s="4" t="s">
        <v>1084</v>
      </c>
    </row>
    <row r="750">
      <c r="A750" s="3" t="s">
        <v>1085</v>
      </c>
      <c r="B750" s="3">
        <v>700.0</v>
      </c>
      <c r="C750" s="4"/>
      <c r="D750" s="4" t="b">
        <f t="shared" si="1"/>
        <v>0</v>
      </c>
      <c r="E750" s="4" t="s">
        <v>1085</v>
      </c>
    </row>
    <row r="751">
      <c r="A751" s="3" t="s">
        <v>1086</v>
      </c>
      <c r="B751" s="3">
        <v>0.0</v>
      </c>
      <c r="C751" s="3" t="s">
        <v>3</v>
      </c>
      <c r="D751" s="4" t="b">
        <f t="shared" si="1"/>
        <v>0</v>
      </c>
      <c r="E751" s="4" t="s">
        <v>2245</v>
      </c>
    </row>
    <row r="752">
      <c r="A752" s="3" t="s">
        <v>1088</v>
      </c>
      <c r="B752" s="3">
        <v>3000.0</v>
      </c>
      <c r="C752" s="3" t="s">
        <v>3</v>
      </c>
      <c r="D752" s="4" t="b">
        <f t="shared" si="1"/>
        <v>0</v>
      </c>
      <c r="E752" s="4" t="s">
        <v>1088</v>
      </c>
    </row>
    <row r="753">
      <c r="A753" s="3" t="s">
        <v>1089</v>
      </c>
      <c r="B753" s="3">
        <v>210000.0</v>
      </c>
      <c r="C753" s="4"/>
      <c r="D753" s="4" t="b">
        <f t="shared" si="1"/>
        <v>0</v>
      </c>
      <c r="E753" s="4" t="s">
        <v>1089</v>
      </c>
    </row>
    <row r="754">
      <c r="A754" s="3" t="s">
        <v>1091</v>
      </c>
      <c r="B754" s="3">
        <v>0.0</v>
      </c>
      <c r="C754" s="3" t="s">
        <v>3</v>
      </c>
      <c r="D754" s="4" t="b">
        <f t="shared" si="1"/>
        <v>0</v>
      </c>
      <c r="E754" s="4" t="s">
        <v>1091</v>
      </c>
    </row>
    <row r="755">
      <c r="A755" s="3" t="s">
        <v>1092</v>
      </c>
      <c r="B755" s="3">
        <v>2200.0</v>
      </c>
      <c r="C755" s="4"/>
      <c r="D755" s="4" t="b">
        <f t="shared" si="1"/>
        <v>0</v>
      </c>
      <c r="E755" s="4" t="s">
        <v>1092</v>
      </c>
    </row>
    <row r="756">
      <c r="A756" s="3" t="s">
        <v>1094</v>
      </c>
      <c r="B756" s="3">
        <v>0.0</v>
      </c>
      <c r="C756" s="3" t="s">
        <v>3</v>
      </c>
      <c r="D756" s="4" t="b">
        <f t="shared" si="1"/>
        <v>0</v>
      </c>
      <c r="E756" s="4" t="s">
        <v>1094</v>
      </c>
    </row>
    <row r="757">
      <c r="A757" s="3" t="s">
        <v>1095</v>
      </c>
      <c r="B757" s="3">
        <v>0.0</v>
      </c>
      <c r="C757" s="3" t="s">
        <v>6</v>
      </c>
      <c r="D757" s="4" t="b">
        <f t="shared" si="1"/>
        <v>0</v>
      </c>
      <c r="E757" s="4" t="s">
        <v>1095</v>
      </c>
    </row>
    <row r="758">
      <c r="A758" s="3" t="s">
        <v>1096</v>
      </c>
      <c r="B758" s="3">
        <v>15500.0</v>
      </c>
      <c r="C758" s="3" t="s">
        <v>3</v>
      </c>
      <c r="D758" s="4" t="b">
        <f t="shared" si="1"/>
        <v>0</v>
      </c>
      <c r="E758" s="4" t="s">
        <v>1096</v>
      </c>
    </row>
    <row r="759">
      <c r="A759" s="3" t="s">
        <v>1097</v>
      </c>
      <c r="B759" s="3">
        <v>0.0</v>
      </c>
      <c r="C759" s="3" t="s">
        <v>29</v>
      </c>
      <c r="D759" s="4" t="b">
        <f t="shared" si="1"/>
        <v>0</v>
      </c>
      <c r="E759" s="4" t="s">
        <v>1097</v>
      </c>
    </row>
    <row r="760">
      <c r="A760" s="3" t="s">
        <v>1098</v>
      </c>
      <c r="B760" s="3">
        <v>500.0</v>
      </c>
      <c r="C760" s="4"/>
      <c r="D760" s="4" t="b">
        <f t="shared" si="1"/>
        <v>0</v>
      </c>
      <c r="E760" s="4" t="s">
        <v>1098</v>
      </c>
    </row>
    <row r="761">
      <c r="A761" s="3" t="s">
        <v>1099</v>
      </c>
      <c r="B761" s="3">
        <v>0.0</v>
      </c>
      <c r="C761" s="3" t="s">
        <v>3</v>
      </c>
      <c r="D761" s="4" t="b">
        <f t="shared" si="1"/>
        <v>0</v>
      </c>
      <c r="E761" s="4" t="s">
        <v>1099</v>
      </c>
    </row>
    <row r="762">
      <c r="A762" s="3" t="s">
        <v>1100</v>
      </c>
      <c r="B762" s="3">
        <v>0.0</v>
      </c>
      <c r="C762" s="3" t="s">
        <v>3</v>
      </c>
      <c r="D762" s="4" t="b">
        <f t="shared" si="1"/>
        <v>0</v>
      </c>
      <c r="E762" s="4" t="s">
        <v>1100</v>
      </c>
    </row>
    <row r="763">
      <c r="A763" s="3" t="s">
        <v>1101</v>
      </c>
      <c r="B763" s="3">
        <v>0.0</v>
      </c>
      <c r="C763" s="3" t="s">
        <v>3</v>
      </c>
      <c r="D763" s="4" t="b">
        <f t="shared" si="1"/>
        <v>0</v>
      </c>
      <c r="E763" s="4" t="s">
        <v>2246</v>
      </c>
    </row>
    <row r="764">
      <c r="A764" s="3" t="s">
        <v>1103</v>
      </c>
      <c r="B764" s="3">
        <v>0.0</v>
      </c>
      <c r="C764" s="3" t="s">
        <v>3</v>
      </c>
      <c r="D764" s="4" t="b">
        <f t="shared" si="1"/>
        <v>0</v>
      </c>
      <c r="E764" s="4" t="s">
        <v>1103</v>
      </c>
    </row>
    <row r="765">
      <c r="A765" s="3" t="s">
        <v>1104</v>
      </c>
      <c r="B765" s="3">
        <v>0.0</v>
      </c>
      <c r="C765" s="3" t="s">
        <v>32</v>
      </c>
      <c r="D765" s="4" t="b">
        <f t="shared" si="1"/>
        <v>0</v>
      </c>
      <c r="E765" s="4" t="s">
        <v>2247</v>
      </c>
    </row>
    <row r="766">
      <c r="A766" s="3" t="s">
        <v>1106</v>
      </c>
      <c r="B766" s="3">
        <v>750.0</v>
      </c>
      <c r="C766" s="3" t="s">
        <v>3</v>
      </c>
      <c r="D766" s="4" t="b">
        <f t="shared" si="1"/>
        <v>0</v>
      </c>
      <c r="E766" s="4" t="s">
        <v>1106</v>
      </c>
    </row>
    <row r="767">
      <c r="A767" s="3" t="s">
        <v>1107</v>
      </c>
      <c r="B767" s="3">
        <v>0.0</v>
      </c>
      <c r="C767" s="3" t="s">
        <v>3</v>
      </c>
      <c r="D767" s="4" t="b">
        <f t="shared" si="1"/>
        <v>0</v>
      </c>
      <c r="E767" s="4" t="s">
        <v>1107</v>
      </c>
    </row>
    <row r="768">
      <c r="A768" s="3" t="s">
        <v>1108</v>
      </c>
      <c r="B768" s="3">
        <v>0.0</v>
      </c>
      <c r="C768" s="3" t="s">
        <v>3</v>
      </c>
      <c r="D768" s="4" t="b">
        <f t="shared" si="1"/>
        <v>0</v>
      </c>
      <c r="E768" s="4" t="s">
        <v>2248</v>
      </c>
    </row>
    <row r="769">
      <c r="A769" s="3" t="s">
        <v>1110</v>
      </c>
      <c r="B769" s="3">
        <v>1000.0</v>
      </c>
      <c r="C769" s="3" t="s">
        <v>32</v>
      </c>
      <c r="D769" s="4" t="b">
        <f t="shared" si="1"/>
        <v>0</v>
      </c>
      <c r="E769" s="4" t="s">
        <v>2249</v>
      </c>
    </row>
    <row r="770">
      <c r="A770" s="3" t="s">
        <v>1111</v>
      </c>
      <c r="B770" s="3">
        <v>16000.0</v>
      </c>
      <c r="C770" s="3" t="s">
        <v>6</v>
      </c>
      <c r="D770" s="4" t="b">
        <f t="shared" si="1"/>
        <v>0</v>
      </c>
      <c r="E770" s="4" t="s">
        <v>2250</v>
      </c>
    </row>
    <row r="771">
      <c r="A771" s="3" t="s">
        <v>1113</v>
      </c>
      <c r="B771" s="3">
        <v>5000.0</v>
      </c>
      <c r="C771" s="4"/>
      <c r="D771" s="4" t="b">
        <f t="shared" si="1"/>
        <v>0</v>
      </c>
      <c r="E771" s="4" t="s">
        <v>1113</v>
      </c>
    </row>
    <row r="772">
      <c r="A772" s="3" t="s">
        <v>1114</v>
      </c>
      <c r="B772" s="3">
        <v>0.0</v>
      </c>
      <c r="C772" s="3" t="s">
        <v>6</v>
      </c>
      <c r="D772" s="4" t="b">
        <f t="shared" si="1"/>
        <v>0</v>
      </c>
      <c r="E772" s="4" t="s">
        <v>1114</v>
      </c>
    </row>
    <row r="773">
      <c r="A773" s="3" t="s">
        <v>1115</v>
      </c>
      <c r="B773" s="3">
        <v>0.0</v>
      </c>
      <c r="C773" s="3" t="s">
        <v>3</v>
      </c>
      <c r="D773" s="4" t="b">
        <f t="shared" si="1"/>
        <v>0</v>
      </c>
      <c r="E773" s="4" t="s">
        <v>2251</v>
      </c>
    </row>
    <row r="774">
      <c r="A774" s="3" t="s">
        <v>1117</v>
      </c>
      <c r="B774" s="3">
        <v>0.0</v>
      </c>
      <c r="C774" s="3" t="s">
        <v>3</v>
      </c>
      <c r="D774" s="4" t="b">
        <f t="shared" si="1"/>
        <v>0</v>
      </c>
      <c r="E774" s="4" t="s">
        <v>1117</v>
      </c>
    </row>
    <row r="775">
      <c r="A775" s="3" t="s">
        <v>1118</v>
      </c>
      <c r="B775" s="3">
        <v>0.0</v>
      </c>
      <c r="C775" s="3" t="s">
        <v>6</v>
      </c>
      <c r="D775" s="4" t="b">
        <f t="shared" si="1"/>
        <v>0</v>
      </c>
      <c r="E775" s="4" t="s">
        <v>1118</v>
      </c>
    </row>
    <row r="776">
      <c r="A776" s="3" t="s">
        <v>1119</v>
      </c>
      <c r="B776" s="3">
        <v>0.0</v>
      </c>
      <c r="C776" s="3" t="s">
        <v>3</v>
      </c>
      <c r="D776" s="4" t="b">
        <f t="shared" si="1"/>
        <v>0</v>
      </c>
      <c r="E776" s="4" t="s">
        <v>2252</v>
      </c>
    </row>
    <row r="777">
      <c r="A777" s="3" t="s">
        <v>1121</v>
      </c>
      <c r="B777" s="3">
        <v>2000.0</v>
      </c>
      <c r="C777" s="4"/>
      <c r="D777" s="4" t="b">
        <f t="shared" si="1"/>
        <v>0</v>
      </c>
      <c r="E777" s="4" t="s">
        <v>2253</v>
      </c>
    </row>
    <row r="778">
      <c r="A778" s="3" t="s">
        <v>1123</v>
      </c>
      <c r="B778" s="3">
        <v>0.0</v>
      </c>
      <c r="C778" s="3" t="s">
        <v>3</v>
      </c>
      <c r="D778" s="4" t="b">
        <f t="shared" si="1"/>
        <v>0</v>
      </c>
      <c r="E778" s="4" t="s">
        <v>2254</v>
      </c>
    </row>
    <row r="779">
      <c r="A779" s="3" t="s">
        <v>1125</v>
      </c>
      <c r="B779" s="3">
        <v>0.0</v>
      </c>
      <c r="C779" s="3" t="s">
        <v>3</v>
      </c>
      <c r="D779" s="4" t="b">
        <f t="shared" si="1"/>
        <v>0</v>
      </c>
      <c r="E779" s="4" t="s">
        <v>2255</v>
      </c>
    </row>
    <row r="780">
      <c r="A780" s="3" t="s">
        <v>1127</v>
      </c>
      <c r="B780" s="3">
        <v>0.0</v>
      </c>
      <c r="C780" s="3" t="s">
        <v>32</v>
      </c>
      <c r="D780" s="4" t="b">
        <f t="shared" si="1"/>
        <v>0</v>
      </c>
      <c r="E780" s="4" t="s">
        <v>2256</v>
      </c>
    </row>
    <row r="781">
      <c r="A781" s="3" t="s">
        <v>1129</v>
      </c>
      <c r="B781" s="3">
        <v>800.0</v>
      </c>
      <c r="C781" s="4"/>
      <c r="D781" s="4" t="b">
        <f t="shared" si="1"/>
        <v>0</v>
      </c>
      <c r="E781" s="4" t="s">
        <v>2257</v>
      </c>
    </row>
    <row r="782">
      <c r="A782" s="3" t="s">
        <v>1131</v>
      </c>
      <c r="B782" s="3">
        <v>2000.0</v>
      </c>
      <c r="C782" s="3" t="s">
        <v>6</v>
      </c>
      <c r="D782" s="4" t="b">
        <f t="shared" si="1"/>
        <v>0</v>
      </c>
      <c r="E782" s="4" t="s">
        <v>1131</v>
      </c>
    </row>
    <row r="783">
      <c r="A783" s="3" t="s">
        <v>1132</v>
      </c>
      <c r="B783" s="3">
        <v>0.0</v>
      </c>
      <c r="C783" s="3" t="s">
        <v>6</v>
      </c>
      <c r="D783" s="4" t="b">
        <f t="shared" si="1"/>
        <v>0</v>
      </c>
      <c r="E783" s="4" t="s">
        <v>1132</v>
      </c>
    </row>
    <row r="784">
      <c r="A784" s="3" t="s">
        <v>1133</v>
      </c>
      <c r="B784" s="3">
        <v>0.0</v>
      </c>
      <c r="C784" s="3" t="s">
        <v>32</v>
      </c>
      <c r="D784" s="4" t="b">
        <f t="shared" si="1"/>
        <v>0</v>
      </c>
      <c r="E784" s="4" t="s">
        <v>1133</v>
      </c>
    </row>
    <row r="785">
      <c r="A785" s="3" t="s">
        <v>1134</v>
      </c>
      <c r="B785" s="3">
        <v>500.0</v>
      </c>
      <c r="C785" s="4"/>
      <c r="D785" s="4" t="b">
        <f t="shared" si="1"/>
        <v>0</v>
      </c>
      <c r="E785" s="4" t="s">
        <v>1134</v>
      </c>
    </row>
    <row r="786">
      <c r="A786" s="3" t="s">
        <v>1135</v>
      </c>
      <c r="B786" s="3">
        <v>3000.0</v>
      </c>
      <c r="C786" s="3" t="s">
        <v>6</v>
      </c>
      <c r="D786" s="4" t="b">
        <f t="shared" si="1"/>
        <v>0</v>
      </c>
      <c r="E786" s="4" t="s">
        <v>1135</v>
      </c>
    </row>
    <row r="787">
      <c r="A787" s="3" t="s">
        <v>1136</v>
      </c>
      <c r="B787" s="3">
        <v>402000.0</v>
      </c>
      <c r="C787" s="3" t="s">
        <v>16</v>
      </c>
      <c r="D787" s="4" t="b">
        <f t="shared" si="1"/>
        <v>0</v>
      </c>
      <c r="E787" s="4" t="s">
        <v>1136</v>
      </c>
    </row>
    <row r="788">
      <c r="A788" s="3" t="s">
        <v>1138</v>
      </c>
      <c r="B788" s="3">
        <v>0.0</v>
      </c>
      <c r="C788" s="3" t="s">
        <v>3</v>
      </c>
      <c r="D788" s="4" t="b">
        <f t="shared" si="1"/>
        <v>0</v>
      </c>
      <c r="E788" s="4" t="s">
        <v>1138</v>
      </c>
    </row>
    <row r="789">
      <c r="A789" s="3" t="s">
        <v>1139</v>
      </c>
      <c r="B789" s="3">
        <v>0.0</v>
      </c>
      <c r="C789" s="3" t="s">
        <v>3</v>
      </c>
      <c r="D789" s="4" t="b">
        <f t="shared" si="1"/>
        <v>0</v>
      </c>
      <c r="E789" s="4" t="s">
        <v>1139</v>
      </c>
    </row>
    <row r="790">
      <c r="A790" s="3" t="s">
        <v>1140</v>
      </c>
      <c r="B790" s="3">
        <v>0.0</v>
      </c>
      <c r="C790" s="3" t="s">
        <v>6</v>
      </c>
      <c r="D790" s="4" t="b">
        <f t="shared" si="1"/>
        <v>0</v>
      </c>
      <c r="E790" s="4" t="s">
        <v>1140</v>
      </c>
    </row>
    <row r="791">
      <c r="A791" s="3" t="s">
        <v>1141</v>
      </c>
      <c r="B791" s="3">
        <v>0.0</v>
      </c>
      <c r="C791" s="3" t="s">
        <v>3</v>
      </c>
      <c r="D791" s="4" t="b">
        <f t="shared" si="1"/>
        <v>0</v>
      </c>
      <c r="E791" s="4" t="s">
        <v>1141</v>
      </c>
    </row>
    <row r="792">
      <c r="A792" s="3" t="s">
        <v>1142</v>
      </c>
      <c r="B792" s="3">
        <v>0.0</v>
      </c>
      <c r="C792" s="3" t="s">
        <v>6</v>
      </c>
      <c r="D792" s="4" t="b">
        <f t="shared" si="1"/>
        <v>0</v>
      </c>
      <c r="E792" s="4" t="s">
        <v>1142</v>
      </c>
    </row>
    <row r="793">
      <c r="A793" s="3" t="s">
        <v>1143</v>
      </c>
      <c r="B793" s="3">
        <v>0.0</v>
      </c>
      <c r="C793" s="3" t="s">
        <v>3</v>
      </c>
      <c r="D793" s="4" t="b">
        <f t="shared" si="1"/>
        <v>0</v>
      </c>
      <c r="E793" s="4" t="s">
        <v>1143</v>
      </c>
    </row>
    <row r="794">
      <c r="A794" s="3" t="s">
        <v>1144</v>
      </c>
      <c r="B794" s="3">
        <v>2000.0</v>
      </c>
      <c r="C794" s="4"/>
      <c r="D794" s="4" t="b">
        <f t="shared" si="1"/>
        <v>0</v>
      </c>
      <c r="E794" s="4" t="s">
        <v>1144</v>
      </c>
    </row>
    <row r="795">
      <c r="A795" s="3" t="s">
        <v>1145</v>
      </c>
      <c r="B795" s="3">
        <v>15000.0</v>
      </c>
      <c r="C795" s="3" t="s">
        <v>668</v>
      </c>
      <c r="D795" s="4" t="b">
        <f t="shared" si="1"/>
        <v>0</v>
      </c>
      <c r="E795" s="4" t="s">
        <v>1145</v>
      </c>
    </row>
    <row r="796">
      <c r="A796" s="3" t="s">
        <v>1146</v>
      </c>
      <c r="B796" s="3">
        <v>4250.0</v>
      </c>
      <c r="C796" s="3" t="s">
        <v>29</v>
      </c>
      <c r="D796" s="4" t="b">
        <f t="shared" si="1"/>
        <v>0</v>
      </c>
      <c r="E796" s="4" t="s">
        <v>1146</v>
      </c>
    </row>
    <row r="797">
      <c r="A797" s="3" t="s">
        <v>1148</v>
      </c>
      <c r="B797" s="3">
        <v>0.0</v>
      </c>
      <c r="C797" s="3" t="s">
        <v>26</v>
      </c>
      <c r="D797" s="4" t="b">
        <f t="shared" si="1"/>
        <v>0</v>
      </c>
      <c r="E797" s="4" t="s">
        <v>1148</v>
      </c>
    </row>
    <row r="798">
      <c r="A798" s="3" t="s">
        <v>1149</v>
      </c>
      <c r="B798" s="3">
        <v>0.0</v>
      </c>
      <c r="C798" s="3" t="s">
        <v>29</v>
      </c>
      <c r="D798" s="4" t="b">
        <f t="shared" si="1"/>
        <v>0</v>
      </c>
      <c r="E798" s="4" t="s">
        <v>1149</v>
      </c>
    </row>
    <row r="799">
      <c r="A799" s="3" t="s">
        <v>1150</v>
      </c>
      <c r="B799" s="3">
        <v>100000.0</v>
      </c>
      <c r="C799" s="3" t="s">
        <v>29</v>
      </c>
      <c r="D799" s="4" t="b">
        <f t="shared" si="1"/>
        <v>0</v>
      </c>
      <c r="E799" s="4" t="s">
        <v>1150</v>
      </c>
    </row>
    <row r="800">
      <c r="A800" s="3" t="s">
        <v>1152</v>
      </c>
      <c r="B800" s="3">
        <v>0.0</v>
      </c>
      <c r="C800" s="3" t="s">
        <v>29</v>
      </c>
      <c r="D800" s="4" t="b">
        <f t="shared" si="1"/>
        <v>0</v>
      </c>
      <c r="E800" s="4" t="s">
        <v>1152</v>
      </c>
    </row>
    <row r="801">
      <c r="A801" s="3" t="s">
        <v>1153</v>
      </c>
      <c r="B801" s="3">
        <v>0.0</v>
      </c>
      <c r="C801" s="3" t="s">
        <v>29</v>
      </c>
      <c r="D801" s="4" t="b">
        <f t="shared" si="1"/>
        <v>0</v>
      </c>
      <c r="E801" s="4" t="s">
        <v>1153</v>
      </c>
    </row>
    <row r="802">
      <c r="A802" s="3" t="s">
        <v>1154</v>
      </c>
      <c r="B802" s="3">
        <v>0.0</v>
      </c>
      <c r="C802" s="3" t="s">
        <v>3</v>
      </c>
      <c r="D802" s="4" t="b">
        <f t="shared" si="1"/>
        <v>0</v>
      </c>
      <c r="E802" s="4" t="s">
        <v>1154</v>
      </c>
    </row>
    <row r="803">
      <c r="A803" s="3" t="s">
        <v>1155</v>
      </c>
      <c r="B803" s="3">
        <v>0.0</v>
      </c>
      <c r="C803" s="3" t="s">
        <v>3</v>
      </c>
      <c r="D803" s="4" t="b">
        <f t="shared" si="1"/>
        <v>0</v>
      </c>
      <c r="E803" s="4" t="s">
        <v>1155</v>
      </c>
    </row>
    <row r="804">
      <c r="A804" s="3" t="s">
        <v>1156</v>
      </c>
      <c r="B804" s="3">
        <v>33251.0</v>
      </c>
      <c r="C804" s="4"/>
      <c r="D804" s="4" t="b">
        <f t="shared" si="1"/>
        <v>0</v>
      </c>
      <c r="E804" s="4" t="s">
        <v>1156</v>
      </c>
    </row>
    <row r="805">
      <c r="A805" s="3" t="s">
        <v>1158</v>
      </c>
      <c r="B805" s="3">
        <v>0.0</v>
      </c>
      <c r="C805" s="3" t="s">
        <v>3</v>
      </c>
      <c r="D805" s="4" t="b">
        <f t="shared" si="1"/>
        <v>0</v>
      </c>
      <c r="E805" s="4" t="s">
        <v>1158</v>
      </c>
    </row>
    <row r="806">
      <c r="A806" s="3" t="s">
        <v>1159</v>
      </c>
      <c r="B806" s="3">
        <v>426565.0</v>
      </c>
      <c r="C806" s="3" t="s">
        <v>32</v>
      </c>
      <c r="D806" s="4" t="b">
        <f t="shared" si="1"/>
        <v>0</v>
      </c>
      <c r="E806" s="4" t="s">
        <v>1159</v>
      </c>
    </row>
    <row r="807">
      <c r="A807" s="3" t="s">
        <v>1161</v>
      </c>
      <c r="B807" s="3">
        <v>500.0</v>
      </c>
      <c r="C807" s="4"/>
      <c r="D807" s="4" t="b">
        <f t="shared" si="1"/>
        <v>0</v>
      </c>
      <c r="E807" s="4" t="s">
        <v>1161</v>
      </c>
    </row>
    <row r="808">
      <c r="A808" s="3" t="s">
        <v>1162</v>
      </c>
      <c r="B808" s="3">
        <v>0.0</v>
      </c>
      <c r="C808" s="3" t="s">
        <v>3</v>
      </c>
      <c r="D808" s="4" t="b">
        <f t="shared" si="1"/>
        <v>0</v>
      </c>
      <c r="E808" s="4" t="s">
        <v>1162</v>
      </c>
    </row>
    <row r="809">
      <c r="A809" s="3" t="s">
        <v>1163</v>
      </c>
      <c r="B809" s="3">
        <v>0.0</v>
      </c>
      <c r="C809" s="3" t="s">
        <v>3</v>
      </c>
      <c r="D809" s="4" t="b">
        <f t="shared" si="1"/>
        <v>0</v>
      </c>
      <c r="E809" s="4" t="s">
        <v>1163</v>
      </c>
    </row>
    <row r="810">
      <c r="A810" s="3" t="s">
        <v>1164</v>
      </c>
      <c r="B810" s="3">
        <v>0.0</v>
      </c>
      <c r="C810" s="3" t="s">
        <v>3</v>
      </c>
      <c r="D810" s="4" t="b">
        <f t="shared" si="1"/>
        <v>0</v>
      </c>
      <c r="E810" s="4" t="s">
        <v>1164</v>
      </c>
    </row>
    <row r="811">
      <c r="A811" s="3" t="s">
        <v>1165</v>
      </c>
      <c r="B811" s="3">
        <v>3000.0</v>
      </c>
      <c r="C811" s="3" t="s">
        <v>3</v>
      </c>
      <c r="D811" s="4" t="b">
        <f t="shared" si="1"/>
        <v>0</v>
      </c>
      <c r="E811" s="4" t="s">
        <v>1165</v>
      </c>
    </row>
    <row r="812">
      <c r="A812" s="3" t="s">
        <v>1166</v>
      </c>
      <c r="B812" s="3">
        <v>0.0</v>
      </c>
      <c r="C812" s="3" t="s">
        <v>3</v>
      </c>
      <c r="D812" s="4" t="b">
        <f t="shared" si="1"/>
        <v>0</v>
      </c>
      <c r="E812" s="4" t="s">
        <v>1166</v>
      </c>
    </row>
    <row r="813">
      <c r="A813" s="3" t="s">
        <v>1167</v>
      </c>
      <c r="B813" s="3">
        <v>0.0</v>
      </c>
      <c r="C813" s="3" t="s">
        <v>3</v>
      </c>
      <c r="D813" s="4" t="b">
        <f t="shared" si="1"/>
        <v>0</v>
      </c>
      <c r="E813" s="4" t="s">
        <v>1167</v>
      </c>
    </row>
    <row r="814">
      <c r="A814" s="3" t="s">
        <v>1168</v>
      </c>
      <c r="B814" s="3">
        <v>0.0</v>
      </c>
      <c r="C814" s="3" t="s">
        <v>3</v>
      </c>
      <c r="D814" s="4" t="b">
        <f t="shared" si="1"/>
        <v>0</v>
      </c>
      <c r="E814" s="4" t="s">
        <v>1168</v>
      </c>
    </row>
    <row r="815">
      <c r="A815" s="3" t="s">
        <v>1169</v>
      </c>
      <c r="B815" s="3">
        <v>0.0</v>
      </c>
      <c r="C815" s="3" t="s">
        <v>3</v>
      </c>
      <c r="D815" s="4" t="b">
        <f t="shared" si="1"/>
        <v>0</v>
      </c>
      <c r="E815" s="4" t="s">
        <v>1169</v>
      </c>
    </row>
    <row r="816">
      <c r="A816" s="3" t="s">
        <v>1170</v>
      </c>
      <c r="B816" s="3">
        <v>0.0</v>
      </c>
      <c r="C816" s="3" t="s">
        <v>3</v>
      </c>
      <c r="D816" s="4" t="b">
        <f t="shared" si="1"/>
        <v>0</v>
      </c>
      <c r="E816" s="4" t="s">
        <v>1170</v>
      </c>
    </row>
    <row r="817">
      <c r="A817" s="3" t="s">
        <v>1171</v>
      </c>
      <c r="B817" s="3">
        <v>0.0</v>
      </c>
      <c r="C817" s="3" t="s">
        <v>3</v>
      </c>
      <c r="D817" s="4" t="b">
        <f t="shared" si="1"/>
        <v>0</v>
      </c>
      <c r="E817" s="4" t="s">
        <v>1171</v>
      </c>
    </row>
    <row r="818">
      <c r="A818" s="3" t="s">
        <v>1172</v>
      </c>
      <c r="B818" s="3">
        <v>0.0</v>
      </c>
      <c r="C818" s="3" t="s">
        <v>6</v>
      </c>
      <c r="D818" s="4" t="b">
        <f t="shared" si="1"/>
        <v>0</v>
      </c>
      <c r="E818" s="4" t="s">
        <v>1172</v>
      </c>
    </row>
    <row r="819">
      <c r="A819" s="3" t="s">
        <v>1173</v>
      </c>
      <c r="B819" s="3">
        <v>0.0</v>
      </c>
      <c r="C819" s="3" t="s">
        <v>3</v>
      </c>
      <c r="D819" s="4" t="b">
        <f t="shared" si="1"/>
        <v>0</v>
      </c>
      <c r="E819" s="4" t="s">
        <v>1173</v>
      </c>
    </row>
    <row r="820">
      <c r="A820" s="3" t="s">
        <v>1174</v>
      </c>
      <c r="B820" s="3">
        <v>0.0</v>
      </c>
      <c r="C820" s="3" t="s">
        <v>3</v>
      </c>
      <c r="D820" s="4" t="b">
        <f t="shared" si="1"/>
        <v>0</v>
      </c>
      <c r="E820" s="4" t="s">
        <v>1174</v>
      </c>
    </row>
    <row r="821">
      <c r="A821" s="3" t="s">
        <v>1175</v>
      </c>
      <c r="B821" s="3">
        <v>500.0</v>
      </c>
      <c r="C821" s="4"/>
      <c r="D821" s="4" t="b">
        <f t="shared" si="1"/>
        <v>0</v>
      </c>
      <c r="E821" s="4" t="s">
        <v>2258</v>
      </c>
    </row>
    <row r="822">
      <c r="A822" s="3" t="s">
        <v>1177</v>
      </c>
      <c r="B822" s="3">
        <v>2800.0</v>
      </c>
      <c r="C822" s="3" t="s">
        <v>3</v>
      </c>
      <c r="D822" s="4" t="b">
        <f t="shared" si="1"/>
        <v>0</v>
      </c>
      <c r="E822" s="4" t="s">
        <v>1177</v>
      </c>
    </row>
    <row r="823">
      <c r="A823" s="3" t="s">
        <v>1178</v>
      </c>
      <c r="B823" s="3">
        <v>1800.0</v>
      </c>
      <c r="C823" s="4"/>
      <c r="D823" s="4" t="b">
        <f t="shared" si="1"/>
        <v>0</v>
      </c>
      <c r="E823" s="4" t="s">
        <v>1178</v>
      </c>
    </row>
    <row r="824">
      <c r="A824" s="3" t="s">
        <v>1179</v>
      </c>
      <c r="B824" s="3">
        <v>334000.0</v>
      </c>
      <c r="C824" s="4"/>
      <c r="D824" s="4" t="b">
        <f t="shared" si="1"/>
        <v>0</v>
      </c>
      <c r="E824" s="4" t="s">
        <v>1179</v>
      </c>
    </row>
    <row r="825">
      <c r="A825" s="3" t="s">
        <v>1181</v>
      </c>
      <c r="B825" s="3">
        <v>1000.0</v>
      </c>
      <c r="C825" s="4"/>
      <c r="D825" s="4" t="b">
        <f t="shared" si="1"/>
        <v>0</v>
      </c>
      <c r="E825" s="4" t="s">
        <v>1181</v>
      </c>
    </row>
    <row r="826">
      <c r="A826" s="3" t="s">
        <v>1182</v>
      </c>
      <c r="B826" s="3">
        <v>500.0</v>
      </c>
      <c r="C826" s="4"/>
      <c r="D826" s="4" t="b">
        <f t="shared" si="1"/>
        <v>0</v>
      </c>
      <c r="E826" s="4" t="s">
        <v>1182</v>
      </c>
    </row>
    <row r="827">
      <c r="A827" s="3" t="s">
        <v>1183</v>
      </c>
      <c r="B827" s="3">
        <v>0.0</v>
      </c>
      <c r="C827" s="3" t="s">
        <v>3</v>
      </c>
      <c r="D827" s="4" t="b">
        <f t="shared" si="1"/>
        <v>0</v>
      </c>
      <c r="E827" s="4" t="s">
        <v>1183</v>
      </c>
    </row>
    <row r="828">
      <c r="A828" s="3" t="s">
        <v>1184</v>
      </c>
      <c r="B828" s="3">
        <v>141174.0</v>
      </c>
      <c r="C828" s="3" t="s">
        <v>37</v>
      </c>
      <c r="D828" s="4" t="b">
        <f t="shared" si="1"/>
        <v>0</v>
      </c>
      <c r="E828" s="4" t="s">
        <v>2259</v>
      </c>
    </row>
    <row r="829">
      <c r="A829" s="3" t="s">
        <v>1186</v>
      </c>
      <c r="B829" s="3">
        <v>0.0</v>
      </c>
      <c r="C829" s="3" t="s">
        <v>6</v>
      </c>
      <c r="D829" s="4" t="b">
        <f t="shared" si="1"/>
        <v>0</v>
      </c>
      <c r="E829" s="4" t="s">
        <v>1186</v>
      </c>
    </row>
    <row r="830">
      <c r="A830" s="3" t="s">
        <v>1187</v>
      </c>
      <c r="B830" s="3">
        <v>115000.0</v>
      </c>
      <c r="C830" s="3" t="s">
        <v>32</v>
      </c>
      <c r="D830" s="4" t="b">
        <f t="shared" si="1"/>
        <v>0</v>
      </c>
      <c r="E830" s="4" t="s">
        <v>1187</v>
      </c>
    </row>
    <row r="831">
      <c r="A831" s="3" t="s">
        <v>1188</v>
      </c>
      <c r="B831" s="3">
        <v>492222.0</v>
      </c>
      <c r="C831" s="3" t="s">
        <v>32</v>
      </c>
      <c r="D831" s="4" t="b">
        <f t="shared" si="1"/>
        <v>0</v>
      </c>
      <c r="E831" s="4" t="s">
        <v>1188</v>
      </c>
    </row>
    <row r="832">
      <c r="A832" s="3" t="s">
        <v>1190</v>
      </c>
      <c r="B832" s="3">
        <v>0.0</v>
      </c>
      <c r="C832" s="3" t="s">
        <v>3</v>
      </c>
      <c r="D832" s="4" t="b">
        <f t="shared" si="1"/>
        <v>0</v>
      </c>
      <c r="E832" s="4" t="s">
        <v>1190</v>
      </c>
    </row>
    <row r="833">
      <c r="A833" s="3" t="s">
        <v>1191</v>
      </c>
      <c r="B833" s="3">
        <v>0.0</v>
      </c>
      <c r="C833" s="3" t="s">
        <v>6</v>
      </c>
      <c r="D833" s="4" t="b">
        <f t="shared" si="1"/>
        <v>0</v>
      </c>
      <c r="E833" s="4" t="s">
        <v>1191</v>
      </c>
    </row>
    <row r="834">
      <c r="A834" s="3" t="s">
        <v>1192</v>
      </c>
      <c r="B834" s="3">
        <v>5500.0</v>
      </c>
      <c r="C834" s="3" t="s">
        <v>29</v>
      </c>
      <c r="D834" s="4" t="b">
        <f t="shared" si="1"/>
        <v>0</v>
      </c>
      <c r="E834" s="4" t="s">
        <v>1192</v>
      </c>
    </row>
    <row r="835">
      <c r="A835" s="3" t="s">
        <v>1193</v>
      </c>
      <c r="B835" s="3">
        <v>4000.0</v>
      </c>
      <c r="C835" s="4"/>
      <c r="D835" s="4" t="b">
        <f t="shared" si="1"/>
        <v>0</v>
      </c>
      <c r="E835" s="4" t="s">
        <v>1193</v>
      </c>
    </row>
    <row r="836">
      <c r="A836" s="3" t="s">
        <v>1194</v>
      </c>
      <c r="B836" s="3">
        <v>16000.0</v>
      </c>
      <c r="C836" s="4"/>
      <c r="D836" s="4" t="b">
        <f t="shared" si="1"/>
        <v>0</v>
      </c>
      <c r="E836" s="4" t="s">
        <v>1194</v>
      </c>
    </row>
    <row r="837">
      <c r="A837" s="3" t="s">
        <v>1195</v>
      </c>
      <c r="B837" s="3">
        <v>0.0</v>
      </c>
      <c r="C837" s="3" t="s">
        <v>3</v>
      </c>
      <c r="D837" s="4" t="b">
        <f t="shared" si="1"/>
        <v>0</v>
      </c>
      <c r="E837" s="4" t="s">
        <v>1195</v>
      </c>
    </row>
    <row r="838">
      <c r="A838" s="3" t="s">
        <v>1196</v>
      </c>
      <c r="B838" s="3">
        <v>500.0</v>
      </c>
      <c r="C838" s="4"/>
      <c r="D838" s="4" t="b">
        <f t="shared" si="1"/>
        <v>0</v>
      </c>
      <c r="E838" s="4" t="s">
        <v>1196</v>
      </c>
    </row>
    <row r="839">
      <c r="A839" s="3" t="s">
        <v>1197</v>
      </c>
      <c r="B839" s="3">
        <v>0.0</v>
      </c>
      <c r="C839" s="3" t="s">
        <v>3</v>
      </c>
      <c r="D839" s="4" t="b">
        <f t="shared" si="1"/>
        <v>0</v>
      </c>
      <c r="E839" s="4" t="s">
        <v>2260</v>
      </c>
    </row>
    <row r="840">
      <c r="A840" s="3" t="s">
        <v>1199</v>
      </c>
      <c r="B840" s="3">
        <v>0.0</v>
      </c>
      <c r="C840" s="3" t="s">
        <v>3</v>
      </c>
      <c r="D840" s="4" t="b">
        <f t="shared" si="1"/>
        <v>0</v>
      </c>
      <c r="E840" s="4" t="s">
        <v>2261</v>
      </c>
    </row>
    <row r="841">
      <c r="A841" s="3" t="s">
        <v>1201</v>
      </c>
      <c r="B841" s="3">
        <v>0.0</v>
      </c>
      <c r="C841" s="3" t="s">
        <v>16</v>
      </c>
      <c r="D841" s="4" t="b">
        <f t="shared" si="1"/>
        <v>0</v>
      </c>
      <c r="E841" s="4" t="s">
        <v>1201</v>
      </c>
    </row>
    <row r="842">
      <c r="A842" s="3" t="s">
        <v>1202</v>
      </c>
      <c r="B842" s="3">
        <v>0.0</v>
      </c>
      <c r="C842" s="3" t="s">
        <v>32</v>
      </c>
      <c r="D842" s="4" t="b">
        <f t="shared" si="1"/>
        <v>0</v>
      </c>
      <c r="E842" s="4" t="s">
        <v>1202</v>
      </c>
    </row>
    <row r="843">
      <c r="A843" s="3" t="s">
        <v>1203</v>
      </c>
      <c r="B843" s="3">
        <v>190000.0</v>
      </c>
      <c r="C843" s="4"/>
      <c r="D843" s="4" t="b">
        <f t="shared" si="1"/>
        <v>0</v>
      </c>
      <c r="E843" s="4" t="s">
        <v>1203</v>
      </c>
    </row>
    <row r="844">
      <c r="A844" s="3" t="s">
        <v>1205</v>
      </c>
      <c r="B844" s="3">
        <v>35000.0</v>
      </c>
      <c r="C844" s="4"/>
      <c r="D844" s="4" t="b">
        <f t="shared" si="1"/>
        <v>0</v>
      </c>
      <c r="E844" s="4" t="s">
        <v>2262</v>
      </c>
    </row>
    <row r="845">
      <c r="A845" s="3" t="s">
        <v>1207</v>
      </c>
      <c r="B845" s="3">
        <v>1000.0</v>
      </c>
      <c r="C845" s="4"/>
      <c r="D845" s="4" t="b">
        <f t="shared" si="1"/>
        <v>0</v>
      </c>
      <c r="E845" s="4" t="s">
        <v>2263</v>
      </c>
    </row>
    <row r="846">
      <c r="A846" s="3" t="s">
        <v>1209</v>
      </c>
      <c r="B846" s="3">
        <v>1500.0</v>
      </c>
      <c r="C846" s="4"/>
      <c r="D846" s="4" t="b">
        <f t="shared" si="1"/>
        <v>0</v>
      </c>
      <c r="E846" s="4" t="s">
        <v>1209</v>
      </c>
    </row>
    <row r="847">
      <c r="A847" s="3" t="s">
        <v>1210</v>
      </c>
      <c r="B847" s="3">
        <v>0.0</v>
      </c>
      <c r="C847" s="3" t="s">
        <v>3</v>
      </c>
      <c r="D847" s="4" t="b">
        <f t="shared" si="1"/>
        <v>0</v>
      </c>
      <c r="E847" s="4" t="s">
        <v>2264</v>
      </c>
    </row>
    <row r="848">
      <c r="A848" s="3" t="s">
        <v>1212</v>
      </c>
      <c r="B848" s="3">
        <v>2500.0</v>
      </c>
      <c r="C848" s="3" t="s">
        <v>3</v>
      </c>
      <c r="D848" s="4" t="b">
        <f t="shared" si="1"/>
        <v>0</v>
      </c>
      <c r="E848" s="4" t="s">
        <v>2265</v>
      </c>
    </row>
    <row r="849">
      <c r="A849" s="3" t="s">
        <v>1214</v>
      </c>
      <c r="B849" s="3">
        <v>5000.0</v>
      </c>
      <c r="C849" s="3" t="s">
        <v>29</v>
      </c>
      <c r="D849" s="4" t="b">
        <f t="shared" si="1"/>
        <v>0</v>
      </c>
      <c r="E849" s="4" t="s">
        <v>1214</v>
      </c>
    </row>
    <row r="850">
      <c r="A850" s="3" t="s">
        <v>1215</v>
      </c>
      <c r="B850" s="3">
        <v>0.0</v>
      </c>
      <c r="C850" s="3" t="s">
        <v>29</v>
      </c>
      <c r="D850" s="4" t="b">
        <f t="shared" si="1"/>
        <v>0</v>
      </c>
      <c r="E850" s="4" t="s">
        <v>1215</v>
      </c>
    </row>
    <row r="851">
      <c r="A851" s="3" t="s">
        <v>1216</v>
      </c>
      <c r="B851" s="3">
        <v>0.0</v>
      </c>
      <c r="C851" s="3" t="s">
        <v>3</v>
      </c>
      <c r="D851" s="4" t="b">
        <f t="shared" si="1"/>
        <v>0</v>
      </c>
      <c r="E851" s="4" t="s">
        <v>1216</v>
      </c>
    </row>
    <row r="852">
      <c r="A852" s="3" t="s">
        <v>1217</v>
      </c>
      <c r="B852" s="3">
        <v>0.0</v>
      </c>
      <c r="C852" s="3" t="s">
        <v>29</v>
      </c>
      <c r="D852" s="4" t="b">
        <f t="shared" si="1"/>
        <v>0</v>
      </c>
      <c r="E852" s="4" t="s">
        <v>1217</v>
      </c>
    </row>
    <row r="853">
      <c r="A853" s="3" t="s">
        <v>1218</v>
      </c>
      <c r="B853" s="3">
        <v>0.0</v>
      </c>
      <c r="C853" s="3" t="s">
        <v>29</v>
      </c>
      <c r="D853" s="4" t="b">
        <f t="shared" si="1"/>
        <v>0</v>
      </c>
      <c r="E853" s="4" t="s">
        <v>1218</v>
      </c>
    </row>
    <row r="854">
      <c r="A854" s="3" t="s">
        <v>1219</v>
      </c>
      <c r="B854" s="3">
        <v>0.0</v>
      </c>
      <c r="C854" s="3" t="s">
        <v>26</v>
      </c>
      <c r="D854" s="4" t="b">
        <f t="shared" si="1"/>
        <v>0</v>
      </c>
      <c r="E854" s="4" t="s">
        <v>1219</v>
      </c>
    </row>
    <row r="855">
      <c r="A855" s="3" t="s">
        <v>1220</v>
      </c>
      <c r="B855" s="3">
        <v>0.0</v>
      </c>
      <c r="C855" s="3" t="s">
        <v>3</v>
      </c>
      <c r="D855" s="4" t="b">
        <f t="shared" si="1"/>
        <v>0</v>
      </c>
      <c r="E855" s="4" t="s">
        <v>1220</v>
      </c>
    </row>
    <row r="856">
      <c r="A856" s="3" t="s">
        <v>1221</v>
      </c>
      <c r="B856" s="3">
        <v>0.0</v>
      </c>
      <c r="C856" s="3" t="s">
        <v>3</v>
      </c>
      <c r="D856" s="4" t="b">
        <f t="shared" si="1"/>
        <v>0</v>
      </c>
      <c r="E856" s="4" t="s">
        <v>1221</v>
      </c>
    </row>
    <row r="857">
      <c r="A857" s="3" t="s">
        <v>1222</v>
      </c>
      <c r="B857" s="3">
        <v>0.0</v>
      </c>
      <c r="C857" s="3" t="s">
        <v>6</v>
      </c>
      <c r="D857" s="4" t="b">
        <f t="shared" si="1"/>
        <v>0</v>
      </c>
      <c r="E857" s="4" t="s">
        <v>1222</v>
      </c>
    </row>
    <row r="858">
      <c r="A858" s="3" t="s">
        <v>1223</v>
      </c>
      <c r="B858" s="3">
        <v>3000.0</v>
      </c>
      <c r="C858" s="3" t="s">
        <v>3</v>
      </c>
      <c r="D858" s="4" t="b">
        <f t="shared" si="1"/>
        <v>0</v>
      </c>
      <c r="E858" s="4" t="s">
        <v>1223</v>
      </c>
    </row>
    <row r="859">
      <c r="A859" s="3" t="s">
        <v>1224</v>
      </c>
      <c r="B859" s="3">
        <v>0.0</v>
      </c>
      <c r="C859" s="3" t="s">
        <v>6</v>
      </c>
      <c r="D859" s="4" t="b">
        <f t="shared" si="1"/>
        <v>0</v>
      </c>
      <c r="E859" s="4" t="s">
        <v>1224</v>
      </c>
    </row>
    <row r="860">
      <c r="A860" s="3" t="s">
        <v>1225</v>
      </c>
      <c r="B860" s="3">
        <v>0.0</v>
      </c>
      <c r="C860" s="3" t="s">
        <v>3</v>
      </c>
      <c r="D860" s="4" t="b">
        <f t="shared" si="1"/>
        <v>0</v>
      </c>
      <c r="E860" s="4" t="s">
        <v>1225</v>
      </c>
    </row>
    <row r="861">
      <c r="A861" s="3" t="s">
        <v>1226</v>
      </c>
      <c r="B861" s="3">
        <v>0.0</v>
      </c>
      <c r="C861" s="3" t="s">
        <v>29</v>
      </c>
      <c r="D861" s="4" t="b">
        <f t="shared" si="1"/>
        <v>0</v>
      </c>
      <c r="E861" s="4" t="s">
        <v>1226</v>
      </c>
    </row>
    <row r="862">
      <c r="A862" s="3" t="s">
        <v>1227</v>
      </c>
      <c r="B862" s="3">
        <v>66000.0</v>
      </c>
      <c r="C862" s="4"/>
      <c r="D862" s="4" t="b">
        <f t="shared" si="1"/>
        <v>0</v>
      </c>
      <c r="E862" s="4" t="s">
        <v>1227</v>
      </c>
    </row>
    <row r="863">
      <c r="A863" s="3" t="s">
        <v>1229</v>
      </c>
      <c r="B863" s="3">
        <v>0.0</v>
      </c>
      <c r="C863" s="3" t="s">
        <v>6</v>
      </c>
      <c r="D863" s="4" t="b">
        <f t="shared" si="1"/>
        <v>0</v>
      </c>
      <c r="E863" s="4" t="s">
        <v>1229</v>
      </c>
    </row>
    <row r="864">
      <c r="A864" s="3" t="s">
        <v>1230</v>
      </c>
      <c r="B864" s="3">
        <v>0.0</v>
      </c>
      <c r="C864" s="3" t="s">
        <v>3</v>
      </c>
      <c r="D864" s="4" t="b">
        <f t="shared" si="1"/>
        <v>0</v>
      </c>
      <c r="E864" s="4" t="s">
        <v>2266</v>
      </c>
    </row>
    <row r="865">
      <c r="A865" s="3" t="s">
        <v>1232</v>
      </c>
      <c r="B865" s="3">
        <v>0.0</v>
      </c>
      <c r="C865" s="3" t="s">
        <v>29</v>
      </c>
      <c r="D865" s="4" t="b">
        <f t="shared" si="1"/>
        <v>0</v>
      </c>
      <c r="E865" s="4" t="s">
        <v>1232</v>
      </c>
    </row>
    <row r="866">
      <c r="A866" s="3" t="s">
        <v>1233</v>
      </c>
      <c r="B866" s="3">
        <v>0.0</v>
      </c>
      <c r="C866" s="3" t="s">
        <v>3</v>
      </c>
      <c r="D866" s="4" t="b">
        <f t="shared" si="1"/>
        <v>0</v>
      </c>
      <c r="E866" s="4" t="s">
        <v>1233</v>
      </c>
    </row>
    <row r="867">
      <c r="A867" s="3" t="s">
        <v>1234</v>
      </c>
      <c r="B867" s="3">
        <v>8308.0</v>
      </c>
      <c r="C867" s="3" t="s">
        <v>26</v>
      </c>
      <c r="D867" s="4" t="b">
        <f t="shared" si="1"/>
        <v>0</v>
      </c>
      <c r="E867" s="4" t="s">
        <v>1234</v>
      </c>
    </row>
    <row r="868">
      <c r="A868" s="3" t="s">
        <v>1236</v>
      </c>
      <c r="B868" s="3">
        <v>0.0</v>
      </c>
      <c r="C868" s="3" t="s">
        <v>6</v>
      </c>
      <c r="D868" s="4" t="b">
        <f t="shared" si="1"/>
        <v>0</v>
      </c>
      <c r="E868" s="4" t="s">
        <v>1236</v>
      </c>
    </row>
    <row r="869">
      <c r="A869" s="3" t="s">
        <v>1237</v>
      </c>
      <c r="B869" s="3">
        <v>0.0</v>
      </c>
      <c r="C869" s="3" t="s">
        <v>32</v>
      </c>
      <c r="D869" s="4" t="b">
        <f t="shared" si="1"/>
        <v>0</v>
      </c>
      <c r="E869" s="4" t="s">
        <v>1237</v>
      </c>
    </row>
    <row r="870">
      <c r="A870" s="3" t="s">
        <v>1238</v>
      </c>
      <c r="B870" s="3">
        <v>1500.0</v>
      </c>
      <c r="C870" s="4"/>
      <c r="D870" s="4" t="b">
        <f t="shared" si="1"/>
        <v>0</v>
      </c>
      <c r="E870" s="4" t="s">
        <v>1238</v>
      </c>
    </row>
    <row r="871">
      <c r="A871" s="3" t="s">
        <v>1239</v>
      </c>
      <c r="B871" s="3">
        <v>0.0</v>
      </c>
      <c r="C871" s="3" t="s">
        <v>3</v>
      </c>
      <c r="D871" s="4" t="b">
        <f t="shared" si="1"/>
        <v>0</v>
      </c>
      <c r="E871" s="4" t="s">
        <v>1239</v>
      </c>
    </row>
    <row r="872">
      <c r="A872" s="3" t="s">
        <v>1240</v>
      </c>
      <c r="B872" s="3">
        <v>0.0</v>
      </c>
      <c r="C872" s="3" t="s">
        <v>3</v>
      </c>
      <c r="D872" s="4" t="b">
        <f t="shared" si="1"/>
        <v>0</v>
      </c>
      <c r="E872" s="4" t="s">
        <v>1240</v>
      </c>
    </row>
    <row r="873">
      <c r="A873" s="3" t="s">
        <v>1241</v>
      </c>
      <c r="B873" s="3">
        <v>300.0</v>
      </c>
      <c r="C873" s="4"/>
      <c r="D873" s="4" t="b">
        <f t="shared" si="1"/>
        <v>0</v>
      </c>
      <c r="E873" s="4" t="s">
        <v>1241</v>
      </c>
    </row>
    <row r="874">
      <c r="A874" s="3" t="s">
        <v>1242</v>
      </c>
      <c r="B874" s="3">
        <v>4500.0</v>
      </c>
      <c r="C874" s="3" t="s">
        <v>3</v>
      </c>
      <c r="D874" s="4" t="b">
        <f t="shared" si="1"/>
        <v>0</v>
      </c>
      <c r="E874" s="4" t="s">
        <v>1242</v>
      </c>
    </row>
    <row r="875">
      <c r="A875" s="3" t="s">
        <v>1243</v>
      </c>
      <c r="B875" s="3">
        <v>7000.0</v>
      </c>
      <c r="C875" s="3" t="s">
        <v>26</v>
      </c>
      <c r="D875" s="4" t="b">
        <f t="shared" si="1"/>
        <v>0</v>
      </c>
      <c r="E875" s="4" t="s">
        <v>1243</v>
      </c>
    </row>
    <row r="876">
      <c r="A876" s="3" t="s">
        <v>1244</v>
      </c>
      <c r="B876" s="3">
        <v>3000.0</v>
      </c>
      <c r="C876" s="4"/>
      <c r="D876" s="4" t="b">
        <f t="shared" si="1"/>
        <v>0</v>
      </c>
      <c r="E876" s="4" t="s">
        <v>1244</v>
      </c>
    </row>
    <row r="877">
      <c r="A877" s="3" t="s">
        <v>1245</v>
      </c>
      <c r="B877" s="3">
        <v>500.0</v>
      </c>
      <c r="C877" s="4"/>
      <c r="D877" s="4" t="b">
        <f t="shared" si="1"/>
        <v>0</v>
      </c>
      <c r="E877" s="4" t="s">
        <v>1245</v>
      </c>
    </row>
    <row r="878">
      <c r="A878" s="3" t="s">
        <v>1246</v>
      </c>
      <c r="B878" s="3">
        <v>21000.0</v>
      </c>
      <c r="C878" s="4"/>
      <c r="D878" s="4" t="b">
        <f t="shared" si="1"/>
        <v>0</v>
      </c>
      <c r="E878" s="4" t="s">
        <v>1246</v>
      </c>
    </row>
    <row r="879">
      <c r="A879" s="3" t="s">
        <v>1247</v>
      </c>
      <c r="B879" s="3">
        <v>3000.0</v>
      </c>
      <c r="C879" s="4"/>
      <c r="D879" s="4" t="b">
        <f t="shared" si="1"/>
        <v>0</v>
      </c>
      <c r="E879" s="4" t="s">
        <v>1247</v>
      </c>
    </row>
    <row r="880">
      <c r="A880" s="3" t="s">
        <v>1248</v>
      </c>
      <c r="B880" s="3">
        <v>12000.0</v>
      </c>
      <c r="C880" s="4"/>
      <c r="D880" s="4" t="b">
        <f t="shared" si="1"/>
        <v>0</v>
      </c>
      <c r="E880" s="4" t="s">
        <v>1248</v>
      </c>
    </row>
    <row r="881">
      <c r="A881" s="3" t="s">
        <v>1249</v>
      </c>
      <c r="B881" s="3">
        <v>0.0</v>
      </c>
      <c r="C881" s="3" t="s">
        <v>3</v>
      </c>
      <c r="D881" s="4" t="b">
        <f t="shared" si="1"/>
        <v>0</v>
      </c>
      <c r="E881" s="4" t="s">
        <v>1249</v>
      </c>
    </row>
    <row r="882">
      <c r="A882" s="3" t="s">
        <v>1250</v>
      </c>
      <c r="B882" s="3">
        <v>0.0</v>
      </c>
      <c r="C882" s="3" t="s">
        <v>3</v>
      </c>
      <c r="D882" s="4" t="b">
        <f t="shared" si="1"/>
        <v>0</v>
      </c>
      <c r="E882" s="4" t="s">
        <v>2267</v>
      </c>
    </row>
    <row r="883">
      <c r="A883" s="3" t="s">
        <v>1252</v>
      </c>
      <c r="B883" s="3">
        <v>2500.0</v>
      </c>
      <c r="C883" s="4"/>
      <c r="D883" s="4" t="b">
        <f t="shared" si="1"/>
        <v>0</v>
      </c>
      <c r="E883" s="4" t="s">
        <v>1252</v>
      </c>
    </row>
    <row r="884">
      <c r="A884" s="3" t="s">
        <v>1253</v>
      </c>
      <c r="B884" s="3">
        <v>0.0</v>
      </c>
      <c r="C884" s="3" t="s">
        <v>6</v>
      </c>
      <c r="D884" s="4" t="b">
        <f t="shared" si="1"/>
        <v>0</v>
      </c>
      <c r="E884" s="4" t="s">
        <v>1253</v>
      </c>
    </row>
    <row r="885">
      <c r="A885" s="3" t="s">
        <v>1254</v>
      </c>
      <c r="B885" s="3">
        <v>0.0</v>
      </c>
      <c r="C885" s="3" t="s">
        <v>484</v>
      </c>
      <c r="D885" s="4" t="b">
        <f t="shared" si="1"/>
        <v>0</v>
      </c>
      <c r="E885" s="4" t="s">
        <v>1254</v>
      </c>
    </row>
    <row r="886">
      <c r="A886" s="3" t="s">
        <v>1255</v>
      </c>
      <c r="B886" s="3">
        <v>0.0</v>
      </c>
      <c r="C886" s="3" t="s">
        <v>3</v>
      </c>
      <c r="D886" s="4" t="b">
        <f t="shared" si="1"/>
        <v>0</v>
      </c>
      <c r="E886" s="4" t="s">
        <v>2268</v>
      </c>
    </row>
    <row r="887">
      <c r="A887" s="3" t="s">
        <v>1257</v>
      </c>
      <c r="B887" s="3">
        <v>0.0</v>
      </c>
      <c r="C887" s="3" t="s">
        <v>29</v>
      </c>
      <c r="D887" s="4" t="b">
        <f t="shared" si="1"/>
        <v>0</v>
      </c>
      <c r="E887" s="4" t="s">
        <v>1257</v>
      </c>
    </row>
    <row r="888">
      <c r="A888" s="3" t="s">
        <v>1258</v>
      </c>
      <c r="B888" s="3">
        <v>1500.0</v>
      </c>
      <c r="C888" s="4"/>
      <c r="D888" s="4" t="b">
        <f t="shared" si="1"/>
        <v>0</v>
      </c>
      <c r="E888" s="4" t="s">
        <v>1258</v>
      </c>
    </row>
    <row r="889">
      <c r="A889" s="3" t="s">
        <v>1259</v>
      </c>
      <c r="B889" s="3">
        <v>1000.0</v>
      </c>
      <c r="C889" s="3" t="s">
        <v>6</v>
      </c>
      <c r="D889" s="4" t="b">
        <f t="shared" si="1"/>
        <v>0</v>
      </c>
      <c r="E889" s="4" t="s">
        <v>1259</v>
      </c>
    </row>
    <row r="890">
      <c r="A890" s="3" t="s">
        <v>1260</v>
      </c>
      <c r="B890" s="3">
        <v>1550.0</v>
      </c>
      <c r="C890" s="4"/>
      <c r="D890" s="4" t="b">
        <f t="shared" si="1"/>
        <v>0</v>
      </c>
      <c r="E890" s="4" t="s">
        <v>1260</v>
      </c>
    </row>
    <row r="891">
      <c r="A891" s="3" t="s">
        <v>1262</v>
      </c>
      <c r="B891" s="3">
        <v>25000.0</v>
      </c>
      <c r="C891" s="4"/>
      <c r="D891" s="4" t="b">
        <f t="shared" si="1"/>
        <v>0</v>
      </c>
      <c r="E891" s="4" t="s">
        <v>1262</v>
      </c>
    </row>
    <row r="892">
      <c r="A892" s="3" t="s">
        <v>1264</v>
      </c>
      <c r="B892" s="3">
        <v>9000.0</v>
      </c>
      <c r="C892" s="4"/>
      <c r="D892" s="4" t="b">
        <f t="shared" si="1"/>
        <v>0</v>
      </c>
      <c r="E892" s="4" t="s">
        <v>1264</v>
      </c>
    </row>
    <row r="893">
      <c r="A893" s="3" t="s">
        <v>1266</v>
      </c>
      <c r="B893" s="3">
        <v>0.0</v>
      </c>
      <c r="C893" s="3" t="s">
        <v>3</v>
      </c>
      <c r="D893" s="4" t="b">
        <f t="shared" si="1"/>
        <v>0</v>
      </c>
      <c r="E893" s="4" t="s">
        <v>1266</v>
      </c>
    </row>
    <row r="894">
      <c r="A894" s="3" t="s">
        <v>1267</v>
      </c>
      <c r="B894" s="3">
        <v>0.0</v>
      </c>
      <c r="C894" s="3" t="s">
        <v>29</v>
      </c>
      <c r="D894" s="4" t="b">
        <f t="shared" si="1"/>
        <v>0</v>
      </c>
      <c r="E894" s="4" t="s">
        <v>1267</v>
      </c>
    </row>
    <row r="895">
      <c r="A895" s="3" t="s">
        <v>1268</v>
      </c>
      <c r="B895" s="3">
        <v>0.0</v>
      </c>
      <c r="C895" s="3" t="s">
        <v>6</v>
      </c>
      <c r="D895" s="4" t="b">
        <f t="shared" si="1"/>
        <v>0</v>
      </c>
      <c r="E895" s="4" t="s">
        <v>1268</v>
      </c>
    </row>
    <row r="896">
      <c r="A896" s="3" t="s">
        <v>1269</v>
      </c>
      <c r="B896" s="3">
        <v>800.0</v>
      </c>
      <c r="C896" s="4"/>
      <c r="D896" s="4" t="b">
        <f t="shared" si="1"/>
        <v>0</v>
      </c>
      <c r="E896" s="4" t="s">
        <v>1269</v>
      </c>
    </row>
    <row r="897">
      <c r="A897" s="3" t="s">
        <v>1270</v>
      </c>
      <c r="B897" s="3">
        <v>478850.0</v>
      </c>
      <c r="C897" s="3" t="s">
        <v>32</v>
      </c>
      <c r="D897" s="4" t="b">
        <f t="shared" si="1"/>
        <v>0</v>
      </c>
      <c r="E897" s="4" t="s">
        <v>1270</v>
      </c>
    </row>
    <row r="898">
      <c r="A898" s="3" t="s">
        <v>1272</v>
      </c>
      <c r="B898" s="3">
        <v>700.0</v>
      </c>
      <c r="C898" s="3" t="s">
        <v>3</v>
      </c>
      <c r="D898" s="4" t="b">
        <f t="shared" si="1"/>
        <v>0</v>
      </c>
      <c r="E898" s="4" t="s">
        <v>1272</v>
      </c>
    </row>
    <row r="899">
      <c r="A899" s="3" t="s">
        <v>1273</v>
      </c>
      <c r="B899" s="3">
        <v>24500.0</v>
      </c>
      <c r="C899" s="3" t="s">
        <v>3</v>
      </c>
      <c r="D899" s="4" t="b">
        <f t="shared" si="1"/>
        <v>0</v>
      </c>
      <c r="E899" s="4" t="s">
        <v>1273</v>
      </c>
    </row>
    <row r="900">
      <c r="A900" s="3" t="s">
        <v>1275</v>
      </c>
      <c r="B900" s="3">
        <v>0.0</v>
      </c>
      <c r="C900" s="3" t="s">
        <v>29</v>
      </c>
      <c r="D900" s="4" t="b">
        <f t="shared" si="1"/>
        <v>0</v>
      </c>
      <c r="E900" s="4" t="s">
        <v>1275</v>
      </c>
    </row>
    <row r="901">
      <c r="A901" s="3" t="s">
        <v>1276</v>
      </c>
      <c r="B901" s="3">
        <v>0.0</v>
      </c>
      <c r="C901" s="3" t="s">
        <v>3</v>
      </c>
      <c r="D901" s="4" t="b">
        <f t="shared" si="1"/>
        <v>0</v>
      </c>
      <c r="E901" s="4" t="s">
        <v>1276</v>
      </c>
    </row>
    <row r="902">
      <c r="A902" s="3" t="s">
        <v>1277</v>
      </c>
      <c r="B902" s="3">
        <v>14000.0</v>
      </c>
      <c r="C902" s="3" t="s">
        <v>16</v>
      </c>
      <c r="D902" s="4" t="b">
        <f t="shared" si="1"/>
        <v>0</v>
      </c>
      <c r="E902" s="4" t="s">
        <v>1277</v>
      </c>
    </row>
    <row r="903">
      <c r="A903" s="3" t="s">
        <v>1278</v>
      </c>
      <c r="B903" s="3">
        <v>10000.0</v>
      </c>
      <c r="C903" s="4"/>
      <c r="D903" s="4" t="b">
        <f t="shared" si="1"/>
        <v>0</v>
      </c>
      <c r="E903" s="4" t="s">
        <v>1278</v>
      </c>
    </row>
    <row r="904">
      <c r="A904" s="3" t="s">
        <v>1279</v>
      </c>
      <c r="B904" s="3">
        <v>6000.0</v>
      </c>
      <c r="C904" s="4"/>
      <c r="D904" s="4" t="b">
        <f t="shared" si="1"/>
        <v>0</v>
      </c>
      <c r="E904" s="4" t="s">
        <v>1279</v>
      </c>
    </row>
    <row r="905">
      <c r="A905" s="3" t="s">
        <v>1280</v>
      </c>
      <c r="B905" s="3">
        <v>0.0</v>
      </c>
      <c r="C905" s="3" t="s">
        <v>3</v>
      </c>
      <c r="D905" s="4" t="b">
        <f t="shared" si="1"/>
        <v>0</v>
      </c>
      <c r="E905" s="4" t="s">
        <v>1280</v>
      </c>
    </row>
    <row r="906">
      <c r="A906" s="3" t="s">
        <v>1281</v>
      </c>
      <c r="B906" s="3">
        <v>3000.0</v>
      </c>
      <c r="C906" s="3" t="s">
        <v>3</v>
      </c>
      <c r="D906" s="4" t="b">
        <f t="shared" si="1"/>
        <v>0</v>
      </c>
      <c r="E906" s="4" t="s">
        <v>1281</v>
      </c>
    </row>
    <row r="907">
      <c r="A907" s="3" t="s">
        <v>1282</v>
      </c>
      <c r="B907" s="3">
        <v>0.0</v>
      </c>
      <c r="C907" s="3" t="s">
        <v>3</v>
      </c>
      <c r="D907" s="4" t="b">
        <f t="shared" si="1"/>
        <v>0</v>
      </c>
      <c r="E907" s="4" t="s">
        <v>1282</v>
      </c>
    </row>
    <row r="908">
      <c r="A908" s="3" t="s">
        <v>1283</v>
      </c>
      <c r="B908" s="3">
        <v>0.0</v>
      </c>
      <c r="C908" s="3" t="s">
        <v>3</v>
      </c>
      <c r="D908" s="4" t="b">
        <f t="shared" si="1"/>
        <v>0</v>
      </c>
      <c r="E908" s="4" t="s">
        <v>1283</v>
      </c>
    </row>
    <row r="909">
      <c r="A909" s="3" t="s">
        <v>1284</v>
      </c>
      <c r="B909" s="3">
        <v>0.0</v>
      </c>
      <c r="C909" s="3" t="s">
        <v>32</v>
      </c>
      <c r="D909" s="4" t="b">
        <f t="shared" si="1"/>
        <v>0</v>
      </c>
      <c r="E909" s="4" t="s">
        <v>1284</v>
      </c>
    </row>
    <row r="910">
      <c r="A910" s="3" t="s">
        <v>1285</v>
      </c>
      <c r="B910" s="3">
        <v>3300.0</v>
      </c>
      <c r="C910" s="4"/>
      <c r="D910" s="4" t="b">
        <f t="shared" si="1"/>
        <v>0</v>
      </c>
      <c r="E910" s="4" t="s">
        <v>1285</v>
      </c>
    </row>
    <row r="911">
      <c r="A911" s="3" t="s">
        <v>1287</v>
      </c>
      <c r="B911" s="3">
        <v>4000.0</v>
      </c>
      <c r="C911" s="3" t="s">
        <v>3</v>
      </c>
      <c r="D911" s="4" t="b">
        <f t="shared" si="1"/>
        <v>0</v>
      </c>
      <c r="E911" s="4" t="s">
        <v>1287</v>
      </c>
    </row>
    <row r="912">
      <c r="A912" s="3" t="s">
        <v>1288</v>
      </c>
      <c r="B912" s="3">
        <v>10083.0</v>
      </c>
      <c r="C912" s="3" t="s">
        <v>32</v>
      </c>
      <c r="D912" s="4" t="b">
        <f t="shared" si="1"/>
        <v>0</v>
      </c>
      <c r="E912" s="4" t="s">
        <v>1288</v>
      </c>
    </row>
    <row r="913">
      <c r="A913" s="3" t="s">
        <v>1290</v>
      </c>
      <c r="B913" s="3">
        <v>3000.0</v>
      </c>
      <c r="C913" s="3" t="s">
        <v>3</v>
      </c>
      <c r="D913" s="4" t="b">
        <f t="shared" si="1"/>
        <v>0</v>
      </c>
      <c r="E913" s="4" t="s">
        <v>1290</v>
      </c>
    </row>
    <row r="914">
      <c r="A914" s="3" t="s">
        <v>1291</v>
      </c>
      <c r="B914" s="3">
        <v>0.0</v>
      </c>
      <c r="C914" s="3" t="s">
        <v>29</v>
      </c>
      <c r="D914" s="4" t="b">
        <f t="shared" si="1"/>
        <v>0</v>
      </c>
      <c r="E914" s="4" t="s">
        <v>1291</v>
      </c>
    </row>
    <row r="915">
      <c r="A915" s="3" t="s">
        <v>1292</v>
      </c>
      <c r="B915" s="3">
        <v>0.0</v>
      </c>
      <c r="C915" s="3" t="s">
        <v>3</v>
      </c>
      <c r="D915" s="4" t="b">
        <f t="shared" si="1"/>
        <v>0</v>
      </c>
      <c r="E915" s="4" t="s">
        <v>1292</v>
      </c>
    </row>
    <row r="916">
      <c r="A916" s="3" t="s">
        <v>1293</v>
      </c>
      <c r="B916" s="3">
        <v>7370.0</v>
      </c>
      <c r="C916" s="3" t="s">
        <v>29</v>
      </c>
      <c r="D916" s="4" t="b">
        <f t="shared" si="1"/>
        <v>0</v>
      </c>
      <c r="E916" s="4" t="s">
        <v>1293</v>
      </c>
    </row>
    <row r="917">
      <c r="A917" s="3" t="s">
        <v>1295</v>
      </c>
      <c r="B917" s="3">
        <v>0.0</v>
      </c>
      <c r="C917" s="3" t="s">
        <v>3</v>
      </c>
      <c r="D917" s="4" t="b">
        <f t="shared" si="1"/>
        <v>0</v>
      </c>
      <c r="E917" s="4" t="s">
        <v>1295</v>
      </c>
    </row>
    <row r="918">
      <c r="A918" s="3" t="s">
        <v>1296</v>
      </c>
      <c r="B918" s="3">
        <v>0.0</v>
      </c>
      <c r="C918" s="3" t="s">
        <v>3</v>
      </c>
      <c r="D918" s="4" t="b">
        <f t="shared" si="1"/>
        <v>0</v>
      </c>
      <c r="E918" s="4" t="s">
        <v>1296</v>
      </c>
    </row>
    <row r="919">
      <c r="A919" s="3" t="s">
        <v>1297</v>
      </c>
      <c r="B919" s="3">
        <v>0.0</v>
      </c>
      <c r="C919" s="3" t="s">
        <v>3</v>
      </c>
      <c r="D919" s="4" t="b">
        <f t="shared" si="1"/>
        <v>0</v>
      </c>
      <c r="E919" s="4" t="s">
        <v>1297</v>
      </c>
    </row>
    <row r="920">
      <c r="A920" s="3" t="s">
        <v>1298</v>
      </c>
      <c r="B920" s="3">
        <v>0.0</v>
      </c>
      <c r="C920" s="3" t="s">
        <v>3</v>
      </c>
      <c r="D920" s="4" t="b">
        <f t="shared" si="1"/>
        <v>0</v>
      </c>
      <c r="E920" s="4" t="s">
        <v>1298</v>
      </c>
    </row>
    <row r="921">
      <c r="A921" s="3" t="s">
        <v>1299</v>
      </c>
      <c r="B921" s="3">
        <v>0.0</v>
      </c>
      <c r="C921" s="3" t="s">
        <v>3</v>
      </c>
      <c r="D921" s="4" t="b">
        <f t="shared" si="1"/>
        <v>0</v>
      </c>
      <c r="E921" s="4" t="s">
        <v>1299</v>
      </c>
    </row>
    <row r="922">
      <c r="A922" s="3" t="s">
        <v>1300</v>
      </c>
      <c r="B922" s="3">
        <v>2000.0</v>
      </c>
      <c r="C922" s="3" t="s">
        <v>6</v>
      </c>
      <c r="D922" s="4" t="b">
        <f t="shared" si="1"/>
        <v>0</v>
      </c>
      <c r="E922" s="4" t="s">
        <v>1300</v>
      </c>
    </row>
    <row r="923">
      <c r="A923" s="3" t="s">
        <v>1301</v>
      </c>
      <c r="B923" s="3">
        <v>0.0</v>
      </c>
      <c r="C923" s="3" t="s">
        <v>3</v>
      </c>
      <c r="D923" s="4" t="b">
        <f t="shared" si="1"/>
        <v>0</v>
      </c>
      <c r="E923" s="4" t="s">
        <v>1301</v>
      </c>
    </row>
    <row r="924">
      <c r="A924" s="3" t="s">
        <v>1302</v>
      </c>
      <c r="B924" s="3">
        <v>0.0</v>
      </c>
      <c r="C924" s="3" t="s">
        <v>29</v>
      </c>
      <c r="D924" s="4" t="b">
        <f t="shared" si="1"/>
        <v>0</v>
      </c>
      <c r="E924" s="4" t="s">
        <v>1302</v>
      </c>
    </row>
    <row r="925">
      <c r="A925" s="3" t="s">
        <v>1303</v>
      </c>
      <c r="B925" s="3">
        <v>500.0</v>
      </c>
      <c r="C925" s="3" t="s">
        <v>6</v>
      </c>
      <c r="D925" s="4" t="b">
        <f t="shared" si="1"/>
        <v>0</v>
      </c>
      <c r="E925" s="4" t="s">
        <v>1303</v>
      </c>
    </row>
    <row r="926">
      <c r="A926" s="3" t="s">
        <v>1304</v>
      </c>
      <c r="B926" s="3">
        <v>9000.0</v>
      </c>
      <c r="C926" s="3" t="s">
        <v>3</v>
      </c>
      <c r="D926" s="4" t="b">
        <f t="shared" si="1"/>
        <v>0</v>
      </c>
      <c r="E926" s="4" t="s">
        <v>1304</v>
      </c>
    </row>
    <row r="927">
      <c r="A927" s="3" t="s">
        <v>1305</v>
      </c>
      <c r="B927" s="3">
        <v>2000.0</v>
      </c>
      <c r="C927" s="3" t="s">
        <v>3</v>
      </c>
      <c r="D927" s="4" t="b">
        <f t="shared" si="1"/>
        <v>0</v>
      </c>
      <c r="E927" s="4" t="s">
        <v>1305</v>
      </c>
    </row>
    <row r="928">
      <c r="A928" s="3" t="s">
        <v>1306</v>
      </c>
      <c r="B928" s="3">
        <v>1700.0</v>
      </c>
      <c r="C928" s="4"/>
      <c r="D928" s="4" t="b">
        <f t="shared" si="1"/>
        <v>0</v>
      </c>
      <c r="E928" s="4" t="s">
        <v>1306</v>
      </c>
    </row>
    <row r="929">
      <c r="A929" s="3" t="s">
        <v>1307</v>
      </c>
      <c r="B929" s="3">
        <v>0.0</v>
      </c>
      <c r="C929" s="3" t="s">
        <v>32</v>
      </c>
      <c r="D929" s="4" t="b">
        <f t="shared" si="1"/>
        <v>0</v>
      </c>
      <c r="E929" s="4" t="s">
        <v>1307</v>
      </c>
    </row>
    <row r="930">
      <c r="A930" s="3" t="s">
        <v>1308</v>
      </c>
      <c r="B930" s="3">
        <v>3000.0</v>
      </c>
      <c r="C930" s="4"/>
      <c r="D930" s="4" t="b">
        <f t="shared" si="1"/>
        <v>0</v>
      </c>
      <c r="E930" s="4" t="s">
        <v>1308</v>
      </c>
    </row>
    <row r="931">
      <c r="A931" s="3" t="s">
        <v>1309</v>
      </c>
      <c r="B931" s="3">
        <v>0.0</v>
      </c>
      <c r="C931" s="3" t="s">
        <v>3</v>
      </c>
      <c r="D931" s="4" t="b">
        <f t="shared" si="1"/>
        <v>0</v>
      </c>
      <c r="E931" s="4" t="s">
        <v>1309</v>
      </c>
    </row>
    <row r="932">
      <c r="A932" s="3" t="s">
        <v>1310</v>
      </c>
      <c r="B932" s="3">
        <v>0.0</v>
      </c>
      <c r="C932" s="3" t="s">
        <v>6</v>
      </c>
      <c r="D932" s="4" t="b">
        <f t="shared" si="1"/>
        <v>0</v>
      </c>
      <c r="E932" s="4" t="s">
        <v>1310</v>
      </c>
    </row>
    <row r="933">
      <c r="A933" s="3" t="s">
        <v>1311</v>
      </c>
      <c r="B933" s="3">
        <v>0.0</v>
      </c>
      <c r="C933" s="3" t="s">
        <v>3</v>
      </c>
      <c r="D933" s="4" t="b">
        <f t="shared" si="1"/>
        <v>0</v>
      </c>
      <c r="E933" s="4" t="s">
        <v>1311</v>
      </c>
    </row>
    <row r="934">
      <c r="A934" s="3" t="s">
        <v>1312</v>
      </c>
      <c r="B934" s="3">
        <v>500.0</v>
      </c>
      <c r="C934" s="3" t="s">
        <v>3</v>
      </c>
      <c r="D934" s="4" t="b">
        <f t="shared" si="1"/>
        <v>0</v>
      </c>
      <c r="E934" s="4" t="s">
        <v>1312</v>
      </c>
    </row>
    <row r="935">
      <c r="A935" s="3" t="s">
        <v>1313</v>
      </c>
      <c r="B935" s="3">
        <v>0.0</v>
      </c>
      <c r="C935" s="3" t="s">
        <v>3</v>
      </c>
      <c r="D935" s="4" t="b">
        <f t="shared" si="1"/>
        <v>0</v>
      </c>
      <c r="E935" s="4" t="s">
        <v>1313</v>
      </c>
    </row>
    <row r="936">
      <c r="A936" s="3" t="s">
        <v>1314</v>
      </c>
      <c r="B936" s="3">
        <v>4000.0</v>
      </c>
      <c r="C936" s="4"/>
      <c r="D936" s="4" t="b">
        <f t="shared" si="1"/>
        <v>0</v>
      </c>
      <c r="E936" s="4" t="s">
        <v>1314</v>
      </c>
    </row>
    <row r="937">
      <c r="A937" s="3" t="s">
        <v>1315</v>
      </c>
      <c r="B937" s="3">
        <v>16000.0</v>
      </c>
      <c r="C937" s="3" t="s">
        <v>3</v>
      </c>
      <c r="D937" s="4" t="b">
        <f t="shared" si="1"/>
        <v>0</v>
      </c>
      <c r="E937" s="4" t="s">
        <v>1315</v>
      </c>
    </row>
    <row r="938">
      <c r="A938" s="3" t="s">
        <v>1316</v>
      </c>
      <c r="B938" s="3">
        <v>0.0</v>
      </c>
      <c r="C938" s="3" t="s">
        <v>3</v>
      </c>
      <c r="D938" s="4" t="b">
        <f t="shared" si="1"/>
        <v>0</v>
      </c>
      <c r="E938" s="4" t="s">
        <v>1316</v>
      </c>
    </row>
    <row r="939">
      <c r="A939" s="3" t="s">
        <v>1317</v>
      </c>
      <c r="B939" s="3">
        <v>0.0</v>
      </c>
      <c r="C939" s="3" t="s">
        <v>6</v>
      </c>
      <c r="D939" s="4" t="b">
        <f t="shared" si="1"/>
        <v>0</v>
      </c>
      <c r="E939" s="4" t="s">
        <v>1317</v>
      </c>
    </row>
    <row r="940">
      <c r="A940" s="3" t="s">
        <v>1318</v>
      </c>
      <c r="B940" s="3">
        <v>2000.0</v>
      </c>
      <c r="C940" s="4"/>
      <c r="D940" s="4" t="b">
        <f t="shared" si="1"/>
        <v>0</v>
      </c>
      <c r="E940" s="4" t="s">
        <v>1318</v>
      </c>
    </row>
    <row r="941">
      <c r="A941" s="3" t="s">
        <v>1319</v>
      </c>
      <c r="B941" s="3">
        <v>0.0</v>
      </c>
      <c r="C941" s="3" t="s">
        <v>3</v>
      </c>
      <c r="D941" s="4" t="b">
        <f t="shared" si="1"/>
        <v>0</v>
      </c>
      <c r="E941" s="4" t="s">
        <v>2269</v>
      </c>
    </row>
    <row r="942">
      <c r="A942" s="3" t="s">
        <v>1321</v>
      </c>
      <c r="B942" s="3">
        <v>8000.0</v>
      </c>
      <c r="C942" s="4"/>
      <c r="D942" s="4" t="b">
        <f t="shared" si="1"/>
        <v>0</v>
      </c>
      <c r="E942" s="4" t="s">
        <v>1321</v>
      </c>
    </row>
    <row r="943">
      <c r="A943" s="3" t="s">
        <v>1322</v>
      </c>
      <c r="B943" s="3">
        <v>23000.0</v>
      </c>
      <c r="C943" s="3" t="s">
        <v>3</v>
      </c>
      <c r="D943" s="4" t="b">
        <f t="shared" si="1"/>
        <v>0</v>
      </c>
      <c r="E943" s="4" t="s">
        <v>1322</v>
      </c>
    </row>
    <row r="944">
      <c r="A944" s="3" t="s">
        <v>1323</v>
      </c>
      <c r="B944" s="3">
        <v>0.0</v>
      </c>
      <c r="C944" s="3" t="s">
        <v>3</v>
      </c>
      <c r="D944" s="4" t="b">
        <f t="shared" si="1"/>
        <v>0</v>
      </c>
      <c r="E944" s="4" t="s">
        <v>1323</v>
      </c>
    </row>
    <row r="945">
      <c r="A945" s="3" t="s">
        <v>1324</v>
      </c>
      <c r="B945" s="3">
        <v>4500.0</v>
      </c>
      <c r="C945" s="3" t="s">
        <v>16</v>
      </c>
      <c r="D945" s="4" t="b">
        <f t="shared" si="1"/>
        <v>0</v>
      </c>
      <c r="E945" s="4" t="s">
        <v>1324</v>
      </c>
    </row>
    <row r="946">
      <c r="A946" s="3" t="s">
        <v>1325</v>
      </c>
      <c r="B946" s="3">
        <v>0.0</v>
      </c>
      <c r="C946" s="3" t="s">
        <v>3</v>
      </c>
      <c r="D946" s="4" t="b">
        <f t="shared" si="1"/>
        <v>0</v>
      </c>
      <c r="E946" s="4" t="s">
        <v>1325</v>
      </c>
    </row>
    <row r="947">
      <c r="A947" s="3" t="s">
        <v>1326</v>
      </c>
      <c r="B947" s="3">
        <v>3000.0</v>
      </c>
      <c r="C947" s="4"/>
      <c r="D947" s="4" t="b">
        <f t="shared" si="1"/>
        <v>0</v>
      </c>
      <c r="E947" s="4" t="s">
        <v>1326</v>
      </c>
    </row>
    <row r="948">
      <c r="A948" s="3" t="s">
        <v>1327</v>
      </c>
      <c r="B948" s="3">
        <v>0.0</v>
      </c>
      <c r="C948" s="3" t="s">
        <v>6</v>
      </c>
      <c r="D948" s="4" t="b">
        <f t="shared" si="1"/>
        <v>0</v>
      </c>
      <c r="E948" s="4" t="s">
        <v>1327</v>
      </c>
    </row>
    <row r="949">
      <c r="A949" s="3" t="s">
        <v>1328</v>
      </c>
      <c r="B949" s="3">
        <v>0.0</v>
      </c>
      <c r="C949" s="3" t="s">
        <v>29</v>
      </c>
      <c r="D949" s="4" t="b">
        <f t="shared" si="1"/>
        <v>0</v>
      </c>
      <c r="E949" s="4" t="s">
        <v>1328</v>
      </c>
    </row>
    <row r="950">
      <c r="A950" s="3" t="s">
        <v>1329</v>
      </c>
      <c r="B950" s="3">
        <v>0.0</v>
      </c>
      <c r="C950" s="3" t="s">
        <v>6</v>
      </c>
      <c r="D950" s="4" t="b">
        <f t="shared" si="1"/>
        <v>0</v>
      </c>
      <c r="E950" s="4" t="s">
        <v>1329</v>
      </c>
    </row>
    <row r="951">
      <c r="A951" s="3" t="s">
        <v>1330</v>
      </c>
      <c r="B951" s="3">
        <v>0.0</v>
      </c>
      <c r="C951" s="3" t="s">
        <v>6</v>
      </c>
      <c r="D951" s="4" t="b">
        <f t="shared" si="1"/>
        <v>0</v>
      </c>
      <c r="E951" s="4" t="s">
        <v>1330</v>
      </c>
    </row>
    <row r="952">
      <c r="A952" s="3" t="s">
        <v>1331</v>
      </c>
      <c r="B952" s="3">
        <v>10000.0</v>
      </c>
      <c r="C952" s="3" t="s">
        <v>32</v>
      </c>
      <c r="D952" s="4" t="b">
        <f t="shared" si="1"/>
        <v>0</v>
      </c>
      <c r="E952" s="4" t="s">
        <v>1331</v>
      </c>
    </row>
    <row r="953">
      <c r="A953" s="3" t="s">
        <v>1332</v>
      </c>
      <c r="B953" s="3">
        <v>500.0</v>
      </c>
      <c r="C953" s="4"/>
      <c r="D953" s="4" t="b">
        <f t="shared" si="1"/>
        <v>0</v>
      </c>
      <c r="E953" s="4" t="s">
        <v>1332</v>
      </c>
    </row>
    <row r="954">
      <c r="A954" s="3" t="s">
        <v>1333</v>
      </c>
      <c r="B954" s="3">
        <v>1500.0</v>
      </c>
      <c r="C954" s="4"/>
      <c r="D954" s="4" t="b">
        <f t="shared" si="1"/>
        <v>0</v>
      </c>
      <c r="E954" s="4" t="s">
        <v>1333</v>
      </c>
    </row>
    <row r="955">
      <c r="A955" s="3" t="s">
        <v>1334</v>
      </c>
      <c r="B955" s="3">
        <v>1000.0</v>
      </c>
      <c r="C955" s="4"/>
      <c r="D955" s="4" t="b">
        <f t="shared" si="1"/>
        <v>0</v>
      </c>
      <c r="E955" s="4" t="s">
        <v>1334</v>
      </c>
    </row>
    <row r="956">
      <c r="A956" s="3" t="s">
        <v>1335</v>
      </c>
      <c r="B956" s="3">
        <v>1200.0</v>
      </c>
      <c r="C956" s="3" t="s">
        <v>32</v>
      </c>
      <c r="D956" s="4" t="b">
        <f t="shared" si="1"/>
        <v>0</v>
      </c>
      <c r="E956" s="4" t="s">
        <v>1335</v>
      </c>
    </row>
    <row r="957">
      <c r="A957" s="3" t="s">
        <v>1336</v>
      </c>
      <c r="B957" s="3">
        <v>22000.0</v>
      </c>
      <c r="C957" s="4"/>
      <c r="D957" s="4" t="b">
        <f t="shared" si="1"/>
        <v>0</v>
      </c>
      <c r="E957" s="4" t="s">
        <v>1336</v>
      </c>
    </row>
    <row r="958">
      <c r="A958" s="3" t="s">
        <v>1337</v>
      </c>
      <c r="B958" s="3">
        <v>3000.0</v>
      </c>
      <c r="C958" s="4"/>
      <c r="D958" s="4" t="b">
        <f t="shared" si="1"/>
        <v>0</v>
      </c>
      <c r="E958" s="4" t="s">
        <v>1337</v>
      </c>
    </row>
    <row r="959">
      <c r="A959" s="3" t="s">
        <v>1338</v>
      </c>
      <c r="B959" s="3">
        <v>3200.0</v>
      </c>
      <c r="C959" s="3" t="s">
        <v>3</v>
      </c>
      <c r="D959" s="4" t="b">
        <f t="shared" si="1"/>
        <v>0</v>
      </c>
      <c r="E959" s="4" t="s">
        <v>1338</v>
      </c>
    </row>
    <row r="960">
      <c r="A960" s="3" t="s">
        <v>1339</v>
      </c>
      <c r="B960" s="3">
        <v>57005.0</v>
      </c>
      <c r="C960" s="4"/>
      <c r="D960" s="4" t="b">
        <f t="shared" si="1"/>
        <v>0</v>
      </c>
      <c r="E960" s="4" t="s">
        <v>1339</v>
      </c>
    </row>
    <row r="961">
      <c r="A961" s="3" t="s">
        <v>1341</v>
      </c>
      <c r="B961" s="3">
        <v>2000.0</v>
      </c>
      <c r="C961" s="3" t="s">
        <v>6</v>
      </c>
      <c r="D961" s="4" t="b">
        <f t="shared" si="1"/>
        <v>0</v>
      </c>
      <c r="E961" s="4" t="s">
        <v>1341</v>
      </c>
    </row>
    <row r="962">
      <c r="A962" s="3" t="s">
        <v>1342</v>
      </c>
      <c r="B962" s="3">
        <v>3500.0</v>
      </c>
      <c r="C962" s="4"/>
      <c r="D962" s="4" t="b">
        <f t="shared" si="1"/>
        <v>0</v>
      </c>
      <c r="E962" s="4" t="s">
        <v>1342</v>
      </c>
    </row>
    <row r="963">
      <c r="A963" s="3" t="s">
        <v>1343</v>
      </c>
      <c r="B963" s="3">
        <v>6000.0</v>
      </c>
      <c r="C963" s="4"/>
      <c r="D963" s="4" t="b">
        <f t="shared" si="1"/>
        <v>0</v>
      </c>
      <c r="E963" s="4" t="s">
        <v>1343</v>
      </c>
    </row>
    <row r="964">
      <c r="A964" s="3" t="s">
        <v>1344</v>
      </c>
      <c r="B964" s="3">
        <v>0.0</v>
      </c>
      <c r="C964" s="3" t="s">
        <v>3</v>
      </c>
      <c r="D964" s="4" t="b">
        <f t="shared" si="1"/>
        <v>0</v>
      </c>
      <c r="E964" s="4" t="s">
        <v>1344</v>
      </c>
    </row>
    <row r="965">
      <c r="A965" s="3" t="s">
        <v>1345</v>
      </c>
      <c r="B965" s="3">
        <v>600.0</v>
      </c>
      <c r="C965" s="4"/>
      <c r="D965" s="4" t="b">
        <f t="shared" si="1"/>
        <v>0</v>
      </c>
      <c r="E965" s="4" t="s">
        <v>1345</v>
      </c>
    </row>
    <row r="966">
      <c r="A966" s="3" t="s">
        <v>1346</v>
      </c>
      <c r="B966" s="3">
        <v>50000.0</v>
      </c>
      <c r="C966" s="4"/>
      <c r="D966" s="4" t="b">
        <f t="shared" si="1"/>
        <v>0</v>
      </c>
      <c r="E966" s="4" t="s">
        <v>1346</v>
      </c>
    </row>
    <row r="967">
      <c r="A967" s="3" t="s">
        <v>1347</v>
      </c>
      <c r="B967" s="3">
        <v>0.0</v>
      </c>
      <c r="C967" s="3" t="s">
        <v>3</v>
      </c>
      <c r="D967" s="4" t="b">
        <f t="shared" si="1"/>
        <v>0</v>
      </c>
      <c r="E967" s="4" t="s">
        <v>1347</v>
      </c>
    </row>
    <row r="968">
      <c r="A968" s="3" t="s">
        <v>1348</v>
      </c>
      <c r="B968" s="3">
        <v>13000.0</v>
      </c>
      <c r="C968" s="4"/>
      <c r="D968" s="4" t="b">
        <f t="shared" si="1"/>
        <v>0</v>
      </c>
      <c r="E968" s="4" t="s">
        <v>1348</v>
      </c>
    </row>
    <row r="969">
      <c r="A969" s="3" t="s">
        <v>1350</v>
      </c>
      <c r="B969" s="3">
        <v>0.0</v>
      </c>
      <c r="C969" s="3" t="s">
        <v>3</v>
      </c>
      <c r="D969" s="4" t="b">
        <f t="shared" si="1"/>
        <v>0</v>
      </c>
      <c r="E969" s="4" t="s">
        <v>1350</v>
      </c>
    </row>
    <row r="970">
      <c r="A970" s="3" t="s">
        <v>1351</v>
      </c>
      <c r="B970" s="3">
        <v>8000.0</v>
      </c>
      <c r="C970" s="4"/>
      <c r="D970" s="4" t="b">
        <f t="shared" si="1"/>
        <v>0</v>
      </c>
      <c r="E970" s="4" t="s">
        <v>1351</v>
      </c>
    </row>
    <row r="971">
      <c r="A971" s="3" t="s">
        <v>1352</v>
      </c>
      <c r="B971" s="3">
        <v>0.0</v>
      </c>
      <c r="C971" s="3" t="s">
        <v>3</v>
      </c>
      <c r="D971" s="4" t="b">
        <f t="shared" si="1"/>
        <v>0</v>
      </c>
      <c r="E971" s="4" t="s">
        <v>1352</v>
      </c>
    </row>
    <row r="972">
      <c r="A972" s="3" t="s">
        <v>1353</v>
      </c>
      <c r="B972" s="3">
        <v>0.0</v>
      </c>
      <c r="C972" s="3" t="s">
        <v>3</v>
      </c>
      <c r="D972" s="4" t="b">
        <f t="shared" si="1"/>
        <v>0</v>
      </c>
      <c r="E972" s="4" t="s">
        <v>1353</v>
      </c>
    </row>
    <row r="973">
      <c r="A973" s="3" t="s">
        <v>1354</v>
      </c>
      <c r="B973" s="3">
        <v>2500.0</v>
      </c>
      <c r="C973" s="3" t="s">
        <v>3</v>
      </c>
      <c r="D973" s="4" t="b">
        <f t="shared" si="1"/>
        <v>0</v>
      </c>
      <c r="E973" s="4" t="s">
        <v>1354</v>
      </c>
    </row>
    <row r="974">
      <c r="A974" s="3" t="s">
        <v>1355</v>
      </c>
      <c r="B974" s="3">
        <v>0.0</v>
      </c>
      <c r="C974" s="3" t="s">
        <v>3</v>
      </c>
      <c r="D974" s="4" t="b">
        <f t="shared" si="1"/>
        <v>0</v>
      </c>
      <c r="E974" s="4" t="s">
        <v>1355</v>
      </c>
    </row>
    <row r="975">
      <c r="A975" s="3" t="s">
        <v>1356</v>
      </c>
      <c r="B975" s="3">
        <v>0.0</v>
      </c>
      <c r="C975" s="3" t="s">
        <v>3</v>
      </c>
      <c r="D975" s="4" t="b">
        <f t="shared" si="1"/>
        <v>0</v>
      </c>
      <c r="E975" s="4" t="s">
        <v>1356</v>
      </c>
    </row>
    <row r="976">
      <c r="A976" s="3" t="s">
        <v>1357</v>
      </c>
      <c r="B976" s="3">
        <v>0.0</v>
      </c>
      <c r="C976" s="3" t="s">
        <v>3</v>
      </c>
      <c r="D976" s="4" t="b">
        <f t="shared" si="1"/>
        <v>0</v>
      </c>
      <c r="E976" s="4" t="s">
        <v>1357</v>
      </c>
    </row>
    <row r="977">
      <c r="A977" s="3" t="s">
        <v>1358</v>
      </c>
      <c r="B977" s="3">
        <v>15000.0</v>
      </c>
      <c r="C977" s="3" t="s">
        <v>32</v>
      </c>
      <c r="D977" s="4" t="b">
        <f t="shared" si="1"/>
        <v>0</v>
      </c>
      <c r="E977" s="4" t="s">
        <v>1358</v>
      </c>
    </row>
    <row r="978">
      <c r="A978" s="3" t="s">
        <v>1359</v>
      </c>
      <c r="B978" s="3">
        <v>9000.0</v>
      </c>
      <c r="C978" s="3" t="s">
        <v>37</v>
      </c>
      <c r="D978" s="4" t="b">
        <f t="shared" si="1"/>
        <v>0</v>
      </c>
      <c r="E978" s="4" t="s">
        <v>2270</v>
      </c>
    </row>
    <row r="979">
      <c r="A979" s="3" t="s">
        <v>1360</v>
      </c>
      <c r="B979" s="3">
        <v>0.0</v>
      </c>
      <c r="C979" s="3" t="s">
        <v>3</v>
      </c>
      <c r="D979" s="4" t="b">
        <f t="shared" si="1"/>
        <v>0</v>
      </c>
      <c r="E979" s="4" t="s">
        <v>1360</v>
      </c>
    </row>
    <row r="980">
      <c r="A980" s="3" t="s">
        <v>1361</v>
      </c>
      <c r="B980" s="3">
        <v>2000.0</v>
      </c>
      <c r="C980" s="4"/>
      <c r="D980" s="4" t="b">
        <f t="shared" si="1"/>
        <v>0</v>
      </c>
      <c r="E980" s="4" t="s">
        <v>1361</v>
      </c>
    </row>
    <row r="981">
      <c r="A981" s="3" t="s">
        <v>1362</v>
      </c>
      <c r="B981" s="3">
        <v>0.0</v>
      </c>
      <c r="C981" s="3" t="s">
        <v>29</v>
      </c>
      <c r="D981" s="4" t="b">
        <f t="shared" si="1"/>
        <v>0</v>
      </c>
      <c r="E981" s="4" t="s">
        <v>1362</v>
      </c>
    </row>
    <row r="982">
      <c r="A982" s="3" t="s">
        <v>1363</v>
      </c>
      <c r="B982" s="3">
        <v>80000.0</v>
      </c>
      <c r="C982" s="3" t="s">
        <v>3</v>
      </c>
      <c r="D982" s="4" t="b">
        <f t="shared" si="1"/>
        <v>0</v>
      </c>
      <c r="E982" s="4" t="s">
        <v>1363</v>
      </c>
    </row>
    <row r="983">
      <c r="A983" s="3" t="s">
        <v>1364</v>
      </c>
      <c r="B983" s="3">
        <v>0.0</v>
      </c>
      <c r="C983" s="3" t="s">
        <v>6</v>
      </c>
      <c r="D983" s="4" t="b">
        <f t="shared" si="1"/>
        <v>0</v>
      </c>
      <c r="E983" s="4" t="s">
        <v>1364</v>
      </c>
    </row>
    <row r="984">
      <c r="A984" s="3" t="s">
        <v>1365</v>
      </c>
      <c r="B984" s="3">
        <v>0.0</v>
      </c>
      <c r="C984" s="3" t="s">
        <v>3</v>
      </c>
      <c r="D984" s="4" t="b">
        <f t="shared" si="1"/>
        <v>0</v>
      </c>
      <c r="E984" s="4" t="s">
        <v>1365</v>
      </c>
    </row>
    <row r="985">
      <c r="A985" s="3" t="s">
        <v>1366</v>
      </c>
      <c r="B985" s="3">
        <v>0.0</v>
      </c>
      <c r="C985" s="3" t="s">
        <v>6</v>
      </c>
      <c r="D985" s="4" t="b">
        <f t="shared" si="1"/>
        <v>0</v>
      </c>
      <c r="E985" s="4" t="s">
        <v>1366</v>
      </c>
    </row>
    <row r="986">
      <c r="A986" s="3" t="s">
        <v>1367</v>
      </c>
      <c r="B986" s="3">
        <v>6000.0</v>
      </c>
      <c r="C986" s="3" t="s">
        <v>3</v>
      </c>
      <c r="D986" s="4" t="b">
        <f t="shared" si="1"/>
        <v>0</v>
      </c>
      <c r="E986" s="4" t="s">
        <v>1367</v>
      </c>
    </row>
    <row r="987">
      <c r="A987" s="3" t="s">
        <v>1368</v>
      </c>
      <c r="B987" s="3">
        <v>3000.0</v>
      </c>
      <c r="C987" s="4"/>
      <c r="D987" s="4" t="b">
        <f t="shared" si="1"/>
        <v>0</v>
      </c>
      <c r="E987" s="4" t="s">
        <v>1368</v>
      </c>
    </row>
    <row r="988">
      <c r="A988" s="3" t="s">
        <v>1369</v>
      </c>
      <c r="B988" s="3">
        <v>0.0</v>
      </c>
      <c r="C988" s="3" t="s">
        <v>3</v>
      </c>
      <c r="D988" s="4" t="b">
        <f t="shared" si="1"/>
        <v>0</v>
      </c>
      <c r="E988" s="4" t="s">
        <v>1369</v>
      </c>
    </row>
    <row r="989">
      <c r="A989" s="3" t="s">
        <v>1370</v>
      </c>
      <c r="B989" s="3">
        <v>2000.0</v>
      </c>
      <c r="C989" s="3" t="s">
        <v>32</v>
      </c>
      <c r="D989" s="4" t="b">
        <f t="shared" si="1"/>
        <v>0</v>
      </c>
      <c r="E989" s="4" t="s">
        <v>1370</v>
      </c>
    </row>
    <row r="990">
      <c r="A990" s="3" t="s">
        <v>1371</v>
      </c>
      <c r="B990" s="3">
        <v>198000.0</v>
      </c>
      <c r="C990" s="3" t="s">
        <v>1373</v>
      </c>
      <c r="D990" s="4" t="b">
        <f t="shared" si="1"/>
        <v>0</v>
      </c>
      <c r="E990" s="4" t="s">
        <v>2271</v>
      </c>
    </row>
    <row r="991">
      <c r="A991" s="3" t="s">
        <v>1375</v>
      </c>
      <c r="B991" s="3">
        <v>2000.0</v>
      </c>
      <c r="C991" s="3" t="s">
        <v>32</v>
      </c>
      <c r="D991" s="4" t="b">
        <f t="shared" si="1"/>
        <v>0</v>
      </c>
      <c r="E991" s="4" t="s">
        <v>1375</v>
      </c>
    </row>
    <row r="992">
      <c r="A992" s="3" t="s">
        <v>1376</v>
      </c>
      <c r="B992" s="3">
        <v>0.0</v>
      </c>
      <c r="C992" s="3" t="s">
        <v>3</v>
      </c>
      <c r="D992" s="4" t="b">
        <f t="shared" si="1"/>
        <v>0</v>
      </c>
      <c r="E992" s="4" t="s">
        <v>1376</v>
      </c>
    </row>
    <row r="993">
      <c r="A993" s="3" t="s">
        <v>1377</v>
      </c>
      <c r="B993" s="3">
        <v>56105.0</v>
      </c>
      <c r="C993" s="3" t="s">
        <v>1379</v>
      </c>
      <c r="D993" s="4" t="b">
        <f t="shared" si="1"/>
        <v>0</v>
      </c>
      <c r="E993" s="4" t="s">
        <v>1377</v>
      </c>
    </row>
    <row r="994">
      <c r="A994" s="3" t="s">
        <v>1380</v>
      </c>
      <c r="B994" s="3">
        <v>0.0</v>
      </c>
      <c r="C994" s="3" t="s">
        <v>3</v>
      </c>
      <c r="D994" s="4" t="b">
        <f t="shared" si="1"/>
        <v>0</v>
      </c>
      <c r="E994" s="4" t="s">
        <v>1380</v>
      </c>
    </row>
    <row r="995">
      <c r="A995" s="3" t="s">
        <v>1381</v>
      </c>
      <c r="B995" s="3">
        <v>3000.0</v>
      </c>
      <c r="C995" s="3" t="s">
        <v>1379</v>
      </c>
      <c r="D995" s="4" t="b">
        <f t="shared" si="1"/>
        <v>0</v>
      </c>
      <c r="E995" s="4" t="s">
        <v>1381</v>
      </c>
    </row>
    <row r="996">
      <c r="A996" s="3" t="s">
        <v>1382</v>
      </c>
      <c r="B996" s="3">
        <v>0.0</v>
      </c>
      <c r="C996" s="3" t="s">
        <v>6</v>
      </c>
      <c r="D996" s="4" t="b">
        <f t="shared" si="1"/>
        <v>0</v>
      </c>
      <c r="E996" s="4" t="s">
        <v>1382</v>
      </c>
    </row>
    <row r="997">
      <c r="A997" s="3" t="s">
        <v>1383</v>
      </c>
      <c r="B997" s="3">
        <v>3000.0</v>
      </c>
      <c r="C997" s="4"/>
      <c r="D997" s="4" t="b">
        <f t="shared" si="1"/>
        <v>0</v>
      </c>
      <c r="E997" s="4" t="s">
        <v>1383</v>
      </c>
    </row>
    <row r="998">
      <c r="A998" s="3" t="s">
        <v>1384</v>
      </c>
      <c r="B998" s="3">
        <v>0.0</v>
      </c>
      <c r="C998" s="3" t="s">
        <v>3</v>
      </c>
      <c r="D998" s="4" t="b">
        <f t="shared" si="1"/>
        <v>0</v>
      </c>
      <c r="E998" s="4" t="s">
        <v>1384</v>
      </c>
    </row>
    <row r="999">
      <c r="A999" s="3" t="s">
        <v>1385</v>
      </c>
      <c r="B999" s="3">
        <v>800.0</v>
      </c>
      <c r="C999" s="3" t="s">
        <v>3</v>
      </c>
      <c r="D999" s="4" t="b">
        <f t="shared" si="1"/>
        <v>0</v>
      </c>
      <c r="E999" s="4" t="s">
        <v>1385</v>
      </c>
    </row>
    <row r="1000">
      <c r="A1000" s="3" t="s">
        <v>1386</v>
      </c>
      <c r="B1000" s="3">
        <v>2500.0</v>
      </c>
      <c r="C1000" s="3" t="s">
        <v>32</v>
      </c>
      <c r="D1000" s="4" t="b">
        <f t="shared" si="1"/>
        <v>0</v>
      </c>
      <c r="E1000" s="4" t="s">
        <v>1386</v>
      </c>
    </row>
    <row r="1001">
      <c r="A1001" s="3" t="s">
        <v>1387</v>
      </c>
      <c r="B1001" s="3">
        <v>2000.0</v>
      </c>
      <c r="C1001" s="4"/>
      <c r="D1001" s="4" t="b">
        <f t="shared" si="1"/>
        <v>0</v>
      </c>
      <c r="E1001" s="4" t="s">
        <v>1387</v>
      </c>
    </row>
    <row r="1002">
      <c r="A1002" s="3" t="s">
        <v>1388</v>
      </c>
      <c r="B1002" s="3">
        <v>500.0</v>
      </c>
      <c r="C1002" s="3" t="s">
        <v>32</v>
      </c>
      <c r="D1002" s="4" t="b">
        <f t="shared" si="1"/>
        <v>0</v>
      </c>
      <c r="E1002" s="4" t="s">
        <v>1388</v>
      </c>
    </row>
    <row r="1003">
      <c r="A1003" s="3" t="s">
        <v>1389</v>
      </c>
      <c r="B1003" s="3">
        <v>119100.0</v>
      </c>
      <c r="C1003" s="3" t="s">
        <v>280</v>
      </c>
      <c r="D1003" s="4" t="b">
        <f t="shared" si="1"/>
        <v>0</v>
      </c>
      <c r="E1003" s="4" t="s">
        <v>1389</v>
      </c>
    </row>
    <row r="1004">
      <c r="A1004" s="3" t="s">
        <v>1391</v>
      </c>
      <c r="B1004" s="3">
        <v>0.0</v>
      </c>
      <c r="C1004" s="3" t="s">
        <v>29</v>
      </c>
      <c r="D1004" s="4" t="b">
        <f t="shared" si="1"/>
        <v>0</v>
      </c>
      <c r="E1004" s="4" t="s">
        <v>1391</v>
      </c>
    </row>
    <row r="1005">
      <c r="A1005" s="3" t="s">
        <v>1392</v>
      </c>
      <c r="B1005" s="3">
        <v>7000.0</v>
      </c>
      <c r="C1005" s="4"/>
      <c r="D1005" s="4" t="b">
        <f t="shared" si="1"/>
        <v>0</v>
      </c>
      <c r="E1005" s="4" t="s">
        <v>1392</v>
      </c>
    </row>
    <row r="1006">
      <c r="A1006" s="3" t="s">
        <v>1393</v>
      </c>
      <c r="B1006" s="3">
        <v>4500.0</v>
      </c>
      <c r="C1006" s="3" t="s">
        <v>6</v>
      </c>
      <c r="D1006" s="4" t="b">
        <f t="shared" si="1"/>
        <v>0</v>
      </c>
      <c r="E1006" s="4" t="s">
        <v>1393</v>
      </c>
    </row>
    <row r="1007">
      <c r="A1007" s="3" t="s">
        <v>1394</v>
      </c>
      <c r="B1007" s="3">
        <v>0.0</v>
      </c>
      <c r="C1007" s="3" t="s">
        <v>6</v>
      </c>
      <c r="D1007" s="4" t="b">
        <f t="shared" si="1"/>
        <v>0</v>
      </c>
      <c r="E1007" s="4" t="s">
        <v>1394</v>
      </c>
    </row>
    <row r="1008">
      <c r="A1008" s="3" t="s">
        <v>1395</v>
      </c>
      <c r="B1008" s="3">
        <v>420.0</v>
      </c>
      <c r="C1008" s="4"/>
      <c r="D1008" s="4" t="b">
        <f t="shared" si="1"/>
        <v>0</v>
      </c>
      <c r="E1008" s="4" t="s">
        <v>1395</v>
      </c>
    </row>
    <row r="1009">
      <c r="A1009" s="3" t="s">
        <v>1397</v>
      </c>
      <c r="B1009" s="3">
        <v>0.0</v>
      </c>
      <c r="C1009" s="3" t="s">
        <v>3</v>
      </c>
      <c r="D1009" s="4" t="b">
        <f t="shared" si="1"/>
        <v>0</v>
      </c>
      <c r="E1009" s="4" t="s">
        <v>1397</v>
      </c>
    </row>
    <row r="1010">
      <c r="A1010" s="3" t="s">
        <v>1398</v>
      </c>
      <c r="B1010" s="3">
        <v>0.0</v>
      </c>
      <c r="C1010" s="3" t="s">
        <v>3</v>
      </c>
      <c r="D1010" s="4" t="b">
        <f t="shared" si="1"/>
        <v>0</v>
      </c>
      <c r="E1010" s="4" t="s">
        <v>1398</v>
      </c>
    </row>
    <row r="1011">
      <c r="A1011" s="3" t="s">
        <v>1399</v>
      </c>
      <c r="B1011" s="3">
        <v>0.0</v>
      </c>
      <c r="C1011" s="3" t="s">
        <v>3</v>
      </c>
      <c r="D1011" s="4" t="b">
        <f t="shared" si="1"/>
        <v>0</v>
      </c>
      <c r="E1011" s="4" t="s">
        <v>1399</v>
      </c>
    </row>
    <row r="1012">
      <c r="A1012" s="3" t="s">
        <v>1400</v>
      </c>
      <c r="B1012" s="3">
        <v>0.0</v>
      </c>
      <c r="C1012" s="3" t="s">
        <v>3</v>
      </c>
      <c r="D1012" s="4" t="b">
        <f t="shared" si="1"/>
        <v>0</v>
      </c>
      <c r="E1012" s="4" t="s">
        <v>1400</v>
      </c>
    </row>
    <row r="1013">
      <c r="A1013" s="3" t="s">
        <v>1401</v>
      </c>
      <c r="B1013" s="3">
        <v>8640.0</v>
      </c>
      <c r="C1013" s="4"/>
      <c r="D1013" s="4" t="b">
        <f t="shared" si="1"/>
        <v>0</v>
      </c>
      <c r="E1013" s="4" t="s">
        <v>1401</v>
      </c>
    </row>
    <row r="1014">
      <c r="A1014" s="3" t="s">
        <v>1403</v>
      </c>
      <c r="B1014" s="3">
        <v>0.0</v>
      </c>
      <c r="C1014" s="3" t="s">
        <v>3</v>
      </c>
      <c r="D1014" s="4" t="b">
        <f t="shared" si="1"/>
        <v>0</v>
      </c>
      <c r="E1014" s="4" t="s">
        <v>1403</v>
      </c>
    </row>
    <row r="1015">
      <c r="A1015" s="3" t="s">
        <v>1404</v>
      </c>
      <c r="B1015" s="3">
        <v>0.0</v>
      </c>
      <c r="C1015" s="3" t="s">
        <v>32</v>
      </c>
      <c r="D1015" s="4" t="b">
        <f t="shared" si="1"/>
        <v>0</v>
      </c>
      <c r="E1015" s="4" t="s">
        <v>1404</v>
      </c>
    </row>
    <row r="1016">
      <c r="A1016" s="3" t="s">
        <v>1405</v>
      </c>
      <c r="B1016" s="3">
        <v>14000.0</v>
      </c>
      <c r="C1016" s="4"/>
      <c r="D1016" s="4" t="b">
        <f t="shared" si="1"/>
        <v>0</v>
      </c>
      <c r="E1016" s="4" t="s">
        <v>1405</v>
      </c>
    </row>
    <row r="1017">
      <c r="A1017" s="3" t="s">
        <v>1406</v>
      </c>
      <c r="B1017" s="3">
        <v>11950.0</v>
      </c>
      <c r="C1017" s="3" t="s">
        <v>32</v>
      </c>
      <c r="D1017" s="4" t="b">
        <f t="shared" si="1"/>
        <v>0</v>
      </c>
      <c r="E1017" s="4" t="s">
        <v>1406</v>
      </c>
    </row>
    <row r="1018">
      <c r="A1018" s="3" t="s">
        <v>1408</v>
      </c>
      <c r="B1018" s="3">
        <v>1500.0</v>
      </c>
      <c r="C1018" s="4"/>
      <c r="D1018" s="4" t="b">
        <f t="shared" si="1"/>
        <v>0</v>
      </c>
      <c r="E1018" s="4" t="s">
        <v>1408</v>
      </c>
    </row>
    <row r="1019">
      <c r="A1019" s="3" t="s">
        <v>1409</v>
      </c>
      <c r="B1019" s="3">
        <v>0.0</v>
      </c>
      <c r="C1019" s="3" t="s">
        <v>6</v>
      </c>
      <c r="D1019" s="4" t="b">
        <f t="shared" si="1"/>
        <v>0</v>
      </c>
      <c r="E1019" s="4" t="s">
        <v>1409</v>
      </c>
    </row>
    <row r="1020">
      <c r="A1020" s="3" t="s">
        <v>1410</v>
      </c>
      <c r="B1020" s="3">
        <v>0.0</v>
      </c>
      <c r="C1020" s="3" t="s">
        <v>6</v>
      </c>
      <c r="D1020" s="4" t="b">
        <f t="shared" si="1"/>
        <v>0</v>
      </c>
      <c r="E1020" s="4" t="s">
        <v>1410</v>
      </c>
    </row>
    <row r="1021">
      <c r="A1021" s="3" t="s">
        <v>1411</v>
      </c>
      <c r="B1021" s="3">
        <v>800.0</v>
      </c>
      <c r="C1021" s="3" t="s">
        <v>3</v>
      </c>
      <c r="D1021" s="4" t="b">
        <f t="shared" si="1"/>
        <v>0</v>
      </c>
      <c r="E1021" s="4" t="s">
        <v>1411</v>
      </c>
    </row>
    <row r="1022">
      <c r="A1022" s="3" t="s">
        <v>1412</v>
      </c>
      <c r="B1022" s="3">
        <v>800.0</v>
      </c>
      <c r="C1022" s="4"/>
      <c r="D1022" s="4" t="b">
        <f t="shared" si="1"/>
        <v>0</v>
      </c>
      <c r="E1022" s="4" t="s">
        <v>1412</v>
      </c>
    </row>
    <row r="1023">
      <c r="A1023" s="3" t="s">
        <v>1413</v>
      </c>
      <c r="B1023" s="3">
        <v>0.0</v>
      </c>
      <c r="C1023" s="3" t="s">
        <v>32</v>
      </c>
      <c r="D1023" s="4" t="b">
        <f t="shared" si="1"/>
        <v>0</v>
      </c>
      <c r="E1023" s="4" t="s">
        <v>1413</v>
      </c>
    </row>
    <row r="1024">
      <c r="A1024" s="3" t="s">
        <v>1414</v>
      </c>
      <c r="B1024" s="3">
        <v>8000.0</v>
      </c>
      <c r="C1024" s="4"/>
      <c r="D1024" s="4" t="b">
        <f t="shared" si="1"/>
        <v>0</v>
      </c>
      <c r="E1024" s="4" t="s">
        <v>1414</v>
      </c>
    </row>
    <row r="1025">
      <c r="A1025" s="3" t="s">
        <v>1415</v>
      </c>
      <c r="B1025" s="3">
        <v>500.0</v>
      </c>
      <c r="C1025" s="4"/>
      <c r="D1025" s="4" t="b">
        <f t="shared" si="1"/>
        <v>0</v>
      </c>
      <c r="E1025" s="4" t="s">
        <v>1415</v>
      </c>
    </row>
    <row r="1026">
      <c r="A1026" s="3" t="s">
        <v>1416</v>
      </c>
      <c r="B1026" s="3">
        <v>1000.0</v>
      </c>
      <c r="C1026" s="4"/>
      <c r="D1026" s="4" t="b">
        <f t="shared" si="1"/>
        <v>0</v>
      </c>
      <c r="E1026" s="4" t="s">
        <v>1416</v>
      </c>
    </row>
    <row r="1027">
      <c r="A1027" s="3" t="s">
        <v>1417</v>
      </c>
      <c r="B1027" s="3">
        <v>5000.0</v>
      </c>
      <c r="C1027" s="4"/>
      <c r="D1027" s="4" t="b">
        <f t="shared" si="1"/>
        <v>0</v>
      </c>
      <c r="E1027" s="4" t="s">
        <v>1417</v>
      </c>
    </row>
    <row r="1028">
      <c r="A1028" s="3" t="s">
        <v>1418</v>
      </c>
      <c r="B1028" s="3">
        <v>6400.0</v>
      </c>
      <c r="C1028" s="3" t="s">
        <v>580</v>
      </c>
      <c r="D1028" s="4" t="b">
        <f t="shared" si="1"/>
        <v>0</v>
      </c>
      <c r="E1028" s="4" t="s">
        <v>2272</v>
      </c>
    </row>
    <row r="1029">
      <c r="A1029" s="3" t="s">
        <v>1420</v>
      </c>
      <c r="B1029" s="3">
        <v>7500.0</v>
      </c>
      <c r="C1029" s="3" t="s">
        <v>6</v>
      </c>
      <c r="D1029" s="4" t="b">
        <f t="shared" si="1"/>
        <v>0</v>
      </c>
      <c r="E1029" s="4" t="s">
        <v>1420</v>
      </c>
    </row>
    <row r="1030">
      <c r="A1030" s="3" t="s">
        <v>1421</v>
      </c>
      <c r="B1030" s="3">
        <v>18800.0</v>
      </c>
      <c r="C1030" s="3" t="s">
        <v>6</v>
      </c>
      <c r="D1030" s="4" t="b">
        <f t="shared" si="1"/>
        <v>0</v>
      </c>
      <c r="E1030" s="4" t="s">
        <v>1421</v>
      </c>
    </row>
    <row r="1031">
      <c r="A1031" s="3" t="s">
        <v>1423</v>
      </c>
      <c r="B1031" s="3">
        <v>22500.0</v>
      </c>
      <c r="C1031" s="3" t="s">
        <v>3</v>
      </c>
      <c r="D1031" s="4" t="b">
        <f t="shared" si="1"/>
        <v>0</v>
      </c>
      <c r="E1031" s="4" t="s">
        <v>1423</v>
      </c>
    </row>
    <row r="1032">
      <c r="A1032" s="3" t="s">
        <v>1425</v>
      </c>
      <c r="B1032" s="3">
        <v>0.0</v>
      </c>
      <c r="C1032" s="3" t="s">
        <v>3</v>
      </c>
      <c r="D1032" s="4" t="b">
        <f t="shared" si="1"/>
        <v>0</v>
      </c>
      <c r="E1032" s="4" t="s">
        <v>1425</v>
      </c>
    </row>
    <row r="1033">
      <c r="A1033" s="3" t="s">
        <v>1426</v>
      </c>
      <c r="B1033" s="3">
        <v>0.0</v>
      </c>
      <c r="C1033" s="3" t="s">
        <v>3</v>
      </c>
      <c r="D1033" s="4" t="b">
        <f t="shared" si="1"/>
        <v>0</v>
      </c>
      <c r="E1033" s="4" t="s">
        <v>1426</v>
      </c>
    </row>
    <row r="1034">
      <c r="A1034" s="3" t="s">
        <v>1427</v>
      </c>
      <c r="B1034" s="3">
        <v>4634.0</v>
      </c>
      <c r="C1034" s="3" t="s">
        <v>6</v>
      </c>
      <c r="D1034" s="4" t="b">
        <f t="shared" si="1"/>
        <v>0</v>
      </c>
      <c r="E1034" s="4" t="s">
        <v>1427</v>
      </c>
    </row>
    <row r="1035">
      <c r="A1035" s="3" t="s">
        <v>1429</v>
      </c>
      <c r="B1035" s="3">
        <v>0.0</v>
      </c>
      <c r="C1035" s="3" t="s">
        <v>3</v>
      </c>
      <c r="D1035" s="4" t="b">
        <f t="shared" si="1"/>
        <v>0</v>
      </c>
      <c r="E1035" s="4" t="s">
        <v>1429</v>
      </c>
    </row>
    <row r="1036">
      <c r="A1036" s="3" t="s">
        <v>1430</v>
      </c>
      <c r="B1036" s="3">
        <v>0.0</v>
      </c>
      <c r="C1036" s="3" t="s">
        <v>6</v>
      </c>
      <c r="D1036" s="4" t="b">
        <f t="shared" si="1"/>
        <v>0</v>
      </c>
      <c r="E1036" s="4" t="s">
        <v>1430</v>
      </c>
    </row>
    <row r="1037">
      <c r="A1037" s="3" t="s">
        <v>1431</v>
      </c>
      <c r="B1037" s="3">
        <v>5000.0</v>
      </c>
      <c r="C1037" s="4"/>
      <c r="D1037" s="4" t="b">
        <f t="shared" si="1"/>
        <v>0</v>
      </c>
      <c r="E1037" s="4" t="s">
        <v>1431</v>
      </c>
    </row>
    <row r="1038">
      <c r="A1038" s="3" t="s">
        <v>1432</v>
      </c>
      <c r="B1038" s="3">
        <v>0.0</v>
      </c>
      <c r="C1038" s="3" t="s">
        <v>484</v>
      </c>
      <c r="D1038" s="4" t="b">
        <f t="shared" si="1"/>
        <v>0</v>
      </c>
      <c r="E1038" s="4" t="s">
        <v>2273</v>
      </c>
    </row>
    <row r="1039">
      <c r="A1039" s="3" t="s">
        <v>1434</v>
      </c>
      <c r="B1039" s="3">
        <v>120.0</v>
      </c>
      <c r="C1039" s="3" t="s">
        <v>32</v>
      </c>
      <c r="D1039" s="4" t="b">
        <f t="shared" si="1"/>
        <v>0</v>
      </c>
      <c r="E1039" s="4" t="s">
        <v>1434</v>
      </c>
    </row>
    <row r="1040">
      <c r="A1040" s="3" t="s">
        <v>1436</v>
      </c>
      <c r="B1040" s="3">
        <v>4000.0</v>
      </c>
      <c r="C1040" s="4"/>
      <c r="D1040" s="4" t="b">
        <f t="shared" si="1"/>
        <v>0</v>
      </c>
      <c r="E1040" s="4" t="s">
        <v>1436</v>
      </c>
    </row>
    <row r="1041">
      <c r="A1041" s="3" t="s">
        <v>1437</v>
      </c>
      <c r="B1041" s="3">
        <v>0.0</v>
      </c>
      <c r="C1041" s="3" t="s">
        <v>6</v>
      </c>
      <c r="D1041" s="4" t="b">
        <f t="shared" si="1"/>
        <v>0</v>
      </c>
      <c r="E1041" s="4" t="s">
        <v>1437</v>
      </c>
    </row>
    <row r="1042">
      <c r="A1042" s="3" t="s">
        <v>1438</v>
      </c>
      <c r="B1042" s="3">
        <v>50000.0</v>
      </c>
      <c r="C1042" s="4"/>
      <c r="D1042" s="4" t="b">
        <f t="shared" si="1"/>
        <v>0</v>
      </c>
      <c r="E1042" s="4" t="s">
        <v>1438</v>
      </c>
    </row>
    <row r="1043">
      <c r="A1043" s="3" t="s">
        <v>1439</v>
      </c>
      <c r="B1043" s="3">
        <v>23000.0</v>
      </c>
      <c r="C1043" s="3" t="s">
        <v>37</v>
      </c>
      <c r="D1043" s="4" t="b">
        <f t="shared" si="1"/>
        <v>0</v>
      </c>
      <c r="E1043" s="4" t="s">
        <v>2274</v>
      </c>
    </row>
    <row r="1044">
      <c r="A1044" s="3" t="s">
        <v>1440</v>
      </c>
      <c r="B1044" s="3">
        <v>400.0</v>
      </c>
      <c r="C1044" s="4"/>
      <c r="D1044" s="4" t="b">
        <f t="shared" si="1"/>
        <v>0</v>
      </c>
      <c r="E1044" s="4" t="s">
        <v>1440</v>
      </c>
    </row>
    <row r="1045">
      <c r="A1045" s="3" t="s">
        <v>1441</v>
      </c>
      <c r="B1045" s="3">
        <v>0.0</v>
      </c>
      <c r="C1045" s="3" t="s">
        <v>3</v>
      </c>
      <c r="D1045" s="4" t="b">
        <f t="shared" si="1"/>
        <v>0</v>
      </c>
      <c r="E1045" s="4" t="s">
        <v>1441</v>
      </c>
    </row>
    <row r="1046">
      <c r="A1046" s="3" t="s">
        <v>1442</v>
      </c>
      <c r="B1046" s="3">
        <v>0.0</v>
      </c>
      <c r="C1046" s="3" t="s">
        <v>3</v>
      </c>
      <c r="D1046" s="4" t="b">
        <f t="shared" si="1"/>
        <v>0</v>
      </c>
      <c r="E1046" s="4" t="s">
        <v>1442</v>
      </c>
    </row>
    <row r="1047">
      <c r="A1047" s="3" t="s">
        <v>1443</v>
      </c>
      <c r="B1047" s="3">
        <v>0.0</v>
      </c>
      <c r="C1047" s="3" t="s">
        <v>3</v>
      </c>
      <c r="D1047" s="4" t="b">
        <f t="shared" si="1"/>
        <v>0</v>
      </c>
      <c r="E1047" s="4" t="s">
        <v>1443</v>
      </c>
    </row>
    <row r="1048">
      <c r="A1048" s="3" t="s">
        <v>1444</v>
      </c>
      <c r="B1048" s="3">
        <v>500.0</v>
      </c>
      <c r="C1048" s="4"/>
      <c r="D1048" s="4" t="b">
        <f t="shared" si="1"/>
        <v>0</v>
      </c>
      <c r="E1048" s="4" t="s">
        <v>1444</v>
      </c>
    </row>
    <row r="1049">
      <c r="A1049" s="3" t="s">
        <v>1445</v>
      </c>
      <c r="B1049" s="3">
        <v>0.0</v>
      </c>
      <c r="C1049" s="3" t="s">
        <v>3</v>
      </c>
      <c r="D1049" s="4" t="b">
        <f t="shared" si="1"/>
        <v>0</v>
      </c>
      <c r="E1049" s="4" t="s">
        <v>1445</v>
      </c>
    </row>
    <row r="1050">
      <c r="A1050" s="3" t="s">
        <v>1446</v>
      </c>
      <c r="B1050" s="3">
        <v>0.0</v>
      </c>
      <c r="C1050" s="3" t="s">
        <v>3</v>
      </c>
      <c r="D1050" s="4" t="b">
        <f t="shared" si="1"/>
        <v>0</v>
      </c>
      <c r="E1050" s="4" t="s">
        <v>1446</v>
      </c>
    </row>
    <row r="1051">
      <c r="A1051" s="3" t="s">
        <v>1447</v>
      </c>
      <c r="B1051" s="3">
        <v>0.0</v>
      </c>
      <c r="C1051" s="3" t="s">
        <v>3</v>
      </c>
      <c r="D1051" s="4" t="b">
        <f t="shared" si="1"/>
        <v>0</v>
      </c>
      <c r="E1051" s="4" t="s">
        <v>1447</v>
      </c>
    </row>
    <row r="1052">
      <c r="A1052" s="3" t="s">
        <v>1448</v>
      </c>
      <c r="B1052" s="3">
        <v>0.0</v>
      </c>
      <c r="C1052" s="3" t="s">
        <v>3</v>
      </c>
      <c r="D1052" s="4" t="b">
        <f t="shared" si="1"/>
        <v>0</v>
      </c>
      <c r="E1052" s="4" t="s">
        <v>1448</v>
      </c>
    </row>
    <row r="1053">
      <c r="A1053" s="3" t="s">
        <v>1449</v>
      </c>
      <c r="B1053" s="3">
        <v>1800.0</v>
      </c>
      <c r="C1053" s="3" t="s">
        <v>6</v>
      </c>
      <c r="D1053" s="4" t="b">
        <f t="shared" si="1"/>
        <v>0</v>
      </c>
      <c r="E1053" s="4" t="s">
        <v>1449</v>
      </c>
    </row>
    <row r="1054">
      <c r="A1054" s="3" t="s">
        <v>1450</v>
      </c>
      <c r="B1054" s="3">
        <v>2500.0</v>
      </c>
      <c r="C1054" s="3" t="s">
        <v>3</v>
      </c>
      <c r="D1054" s="4" t="b">
        <f t="shared" si="1"/>
        <v>0</v>
      </c>
      <c r="E1054" s="4" t="s">
        <v>1450</v>
      </c>
    </row>
    <row r="1055">
      <c r="A1055" s="3" t="s">
        <v>1451</v>
      </c>
      <c r="B1055" s="3">
        <v>4000.0</v>
      </c>
      <c r="C1055" s="3" t="s">
        <v>32</v>
      </c>
      <c r="D1055" s="4" t="b">
        <f t="shared" si="1"/>
        <v>0</v>
      </c>
      <c r="E1055" s="4" t="s">
        <v>1451</v>
      </c>
    </row>
    <row r="1056">
      <c r="A1056" s="3" t="s">
        <v>1452</v>
      </c>
      <c r="B1056" s="3">
        <v>0.0</v>
      </c>
      <c r="C1056" s="3" t="s">
        <v>32</v>
      </c>
      <c r="D1056" s="4" t="b">
        <f t="shared" si="1"/>
        <v>0</v>
      </c>
      <c r="E1056" s="4" t="s">
        <v>1452</v>
      </c>
    </row>
    <row r="1057">
      <c r="A1057" s="3" t="s">
        <v>1453</v>
      </c>
      <c r="B1057" s="3">
        <v>0.0</v>
      </c>
      <c r="C1057" s="3" t="s">
        <v>3</v>
      </c>
      <c r="D1057" s="4" t="b">
        <f t="shared" si="1"/>
        <v>0</v>
      </c>
      <c r="E1057" s="4" t="s">
        <v>1453</v>
      </c>
    </row>
    <row r="1058">
      <c r="A1058" s="3" t="s">
        <v>1454</v>
      </c>
      <c r="B1058" s="3">
        <v>500.0</v>
      </c>
      <c r="C1058" s="3" t="s">
        <v>484</v>
      </c>
      <c r="D1058" s="4" t="b">
        <f t="shared" si="1"/>
        <v>0</v>
      </c>
      <c r="E1058" s="4" t="s">
        <v>1454</v>
      </c>
    </row>
    <row r="1059">
      <c r="A1059" s="3" t="s">
        <v>1455</v>
      </c>
      <c r="B1059" s="3">
        <v>500.0</v>
      </c>
      <c r="C1059" s="4"/>
      <c r="D1059" s="4" t="b">
        <f t="shared" si="1"/>
        <v>0</v>
      </c>
      <c r="E1059" s="4" t="s">
        <v>2275</v>
      </c>
    </row>
    <row r="1060">
      <c r="A1060" s="3" t="s">
        <v>1457</v>
      </c>
      <c r="B1060" s="3">
        <v>800.0</v>
      </c>
      <c r="C1060" s="4"/>
      <c r="D1060" s="4" t="b">
        <f t="shared" si="1"/>
        <v>0</v>
      </c>
      <c r="E1060" s="4" t="s">
        <v>1457</v>
      </c>
    </row>
    <row r="1061">
      <c r="A1061" s="3" t="s">
        <v>1458</v>
      </c>
      <c r="B1061" s="3">
        <v>0.0</v>
      </c>
      <c r="C1061" s="3" t="s">
        <v>3</v>
      </c>
      <c r="D1061" s="4" t="b">
        <f t="shared" si="1"/>
        <v>0</v>
      </c>
      <c r="E1061" s="4" t="s">
        <v>1458</v>
      </c>
    </row>
    <row r="1062">
      <c r="A1062" s="3" t="s">
        <v>1459</v>
      </c>
      <c r="B1062" s="3">
        <v>0.0</v>
      </c>
      <c r="C1062" s="3" t="s">
        <v>3</v>
      </c>
      <c r="D1062" s="4" t="b">
        <f t="shared" si="1"/>
        <v>0</v>
      </c>
      <c r="E1062" s="4" t="s">
        <v>1459</v>
      </c>
    </row>
    <row r="1063">
      <c r="A1063" s="3" t="s">
        <v>1460</v>
      </c>
      <c r="B1063" s="3">
        <v>6500.0</v>
      </c>
      <c r="C1063" s="4"/>
      <c r="D1063" s="4" t="b">
        <f t="shared" si="1"/>
        <v>0</v>
      </c>
      <c r="E1063" s="4" t="s">
        <v>1460</v>
      </c>
    </row>
    <row r="1064">
      <c r="A1064" s="3" t="s">
        <v>1461</v>
      </c>
      <c r="B1064" s="3">
        <v>1000.0</v>
      </c>
      <c r="C1064" s="3" t="s">
        <v>6</v>
      </c>
      <c r="D1064" s="4" t="b">
        <f t="shared" si="1"/>
        <v>0</v>
      </c>
      <c r="E1064" s="4" t="s">
        <v>1461</v>
      </c>
    </row>
    <row r="1065">
      <c r="A1065" s="3" t="s">
        <v>1462</v>
      </c>
      <c r="B1065" s="3">
        <v>1200.0</v>
      </c>
      <c r="C1065" s="3" t="s">
        <v>3</v>
      </c>
      <c r="D1065" s="4" t="b">
        <f t="shared" si="1"/>
        <v>0</v>
      </c>
      <c r="E1065" s="4" t="s">
        <v>1462</v>
      </c>
    </row>
    <row r="1066">
      <c r="A1066" s="3" t="s">
        <v>1463</v>
      </c>
      <c r="B1066" s="3">
        <v>343924.0</v>
      </c>
      <c r="C1066" s="3" t="s">
        <v>484</v>
      </c>
      <c r="D1066" s="4" t="b">
        <f t="shared" si="1"/>
        <v>0</v>
      </c>
      <c r="E1066" s="4" t="s">
        <v>1463</v>
      </c>
    </row>
    <row r="1067">
      <c r="A1067" s="3" t="s">
        <v>1465</v>
      </c>
      <c r="B1067" s="3">
        <v>0.0</v>
      </c>
      <c r="C1067" s="3" t="s">
        <v>3</v>
      </c>
      <c r="D1067" s="4" t="b">
        <f t="shared" si="1"/>
        <v>0</v>
      </c>
      <c r="E1067" s="4" t="s">
        <v>1465</v>
      </c>
    </row>
    <row r="1068">
      <c r="A1068" s="3" t="s">
        <v>1466</v>
      </c>
      <c r="B1068" s="3">
        <v>0.0</v>
      </c>
      <c r="C1068" s="3" t="s">
        <v>3</v>
      </c>
      <c r="D1068" s="4" t="b">
        <f t="shared" si="1"/>
        <v>0</v>
      </c>
      <c r="E1068" s="4" t="s">
        <v>1466</v>
      </c>
    </row>
    <row r="1069">
      <c r="A1069" s="3" t="s">
        <v>1467</v>
      </c>
      <c r="B1069" s="3">
        <v>900.0</v>
      </c>
      <c r="C1069" s="4"/>
      <c r="D1069" s="4" t="b">
        <f t="shared" si="1"/>
        <v>0</v>
      </c>
      <c r="E1069" s="4" t="s">
        <v>1467</v>
      </c>
    </row>
    <row r="1070">
      <c r="A1070" s="3" t="s">
        <v>1468</v>
      </c>
      <c r="B1070" s="3">
        <v>5000.0</v>
      </c>
      <c r="C1070" s="4"/>
      <c r="D1070" s="4" t="b">
        <f t="shared" si="1"/>
        <v>0</v>
      </c>
      <c r="E1070" s="4" t="s">
        <v>1468</v>
      </c>
    </row>
    <row r="1071">
      <c r="A1071" s="3" t="s">
        <v>1469</v>
      </c>
      <c r="B1071" s="3">
        <v>0.0</v>
      </c>
      <c r="C1071" s="3" t="s">
        <v>6</v>
      </c>
      <c r="D1071" s="4" t="b">
        <f t="shared" si="1"/>
        <v>0</v>
      </c>
      <c r="E1071" s="4" t="s">
        <v>1469</v>
      </c>
    </row>
    <row r="1072">
      <c r="A1072" s="3" t="s">
        <v>1470</v>
      </c>
      <c r="B1072" s="3">
        <v>2250.0</v>
      </c>
      <c r="C1072" s="4"/>
      <c r="D1072" s="4" t="b">
        <f t="shared" si="1"/>
        <v>0</v>
      </c>
      <c r="E1072" s="4" t="s">
        <v>1470</v>
      </c>
    </row>
    <row r="1073">
      <c r="A1073" s="3" t="s">
        <v>1472</v>
      </c>
      <c r="B1073" s="3">
        <v>240000.0</v>
      </c>
      <c r="C1073" s="4"/>
      <c r="D1073" s="4" t="b">
        <f t="shared" si="1"/>
        <v>0</v>
      </c>
      <c r="E1073" s="4" t="s">
        <v>1472</v>
      </c>
    </row>
    <row r="1074">
      <c r="A1074" s="3" t="s">
        <v>1474</v>
      </c>
      <c r="B1074" s="3">
        <v>0.0</v>
      </c>
      <c r="C1074" s="3" t="s">
        <v>3</v>
      </c>
      <c r="D1074" s="4" t="b">
        <f t="shared" si="1"/>
        <v>0</v>
      </c>
      <c r="E1074" s="4" t="s">
        <v>1474</v>
      </c>
    </row>
    <row r="1075">
      <c r="A1075" s="3" t="s">
        <v>1475</v>
      </c>
      <c r="B1075" s="3">
        <v>6000.0</v>
      </c>
      <c r="C1075" s="4"/>
      <c r="D1075" s="4" t="b">
        <f t="shared" si="1"/>
        <v>0</v>
      </c>
      <c r="E1075" s="4" t="s">
        <v>1475</v>
      </c>
    </row>
    <row r="1076">
      <c r="A1076" s="3" t="s">
        <v>1476</v>
      </c>
      <c r="B1076" s="3">
        <v>0.0</v>
      </c>
      <c r="C1076" s="3" t="s">
        <v>3</v>
      </c>
      <c r="D1076" s="4" t="b">
        <f t="shared" si="1"/>
        <v>0</v>
      </c>
      <c r="E1076" s="4" t="s">
        <v>1476</v>
      </c>
    </row>
    <row r="1077">
      <c r="A1077" s="3" t="s">
        <v>1477</v>
      </c>
      <c r="B1077" s="3">
        <v>0.0</v>
      </c>
      <c r="C1077" s="3" t="s">
        <v>6</v>
      </c>
      <c r="D1077" s="4" t="b">
        <f t="shared" si="1"/>
        <v>0</v>
      </c>
      <c r="E1077" s="4" t="s">
        <v>1477</v>
      </c>
    </row>
    <row r="1078">
      <c r="A1078" s="3" t="s">
        <v>1478</v>
      </c>
      <c r="B1078" s="3">
        <v>0.0</v>
      </c>
      <c r="C1078" s="3" t="s">
        <v>3</v>
      </c>
      <c r="D1078" s="4" t="b">
        <f t="shared" si="1"/>
        <v>0</v>
      </c>
      <c r="E1078" s="4" t="s">
        <v>1478</v>
      </c>
    </row>
    <row r="1079">
      <c r="A1079" s="3" t="s">
        <v>1479</v>
      </c>
      <c r="B1079" s="3">
        <v>800.0</v>
      </c>
      <c r="C1079" s="4"/>
      <c r="D1079" s="4" t="b">
        <f t="shared" si="1"/>
        <v>0</v>
      </c>
      <c r="E1079" s="4" t="s">
        <v>1479</v>
      </c>
    </row>
    <row r="1080">
      <c r="A1080" s="3" t="s">
        <v>1480</v>
      </c>
      <c r="B1080" s="3">
        <v>3000.0</v>
      </c>
      <c r="C1080" s="4"/>
      <c r="D1080" s="4" t="b">
        <f t="shared" si="1"/>
        <v>0</v>
      </c>
      <c r="E1080" s="4" t="s">
        <v>1480</v>
      </c>
    </row>
    <row r="1081">
      <c r="A1081" s="3" t="s">
        <v>1481</v>
      </c>
      <c r="B1081" s="3">
        <v>132000.0</v>
      </c>
      <c r="C1081" s="3" t="s">
        <v>37</v>
      </c>
      <c r="D1081" s="4" t="b">
        <f t="shared" si="1"/>
        <v>0</v>
      </c>
      <c r="E1081" s="4" t="s">
        <v>2276</v>
      </c>
    </row>
    <row r="1082">
      <c r="A1082" s="3" t="s">
        <v>1483</v>
      </c>
      <c r="B1082" s="3">
        <v>0.0</v>
      </c>
      <c r="C1082" s="3" t="s">
        <v>3</v>
      </c>
      <c r="D1082" s="4" t="b">
        <f t="shared" si="1"/>
        <v>0</v>
      </c>
      <c r="E1082" s="4" t="s">
        <v>1483</v>
      </c>
    </row>
    <row r="1083">
      <c r="A1083" s="3" t="s">
        <v>1484</v>
      </c>
      <c r="B1083" s="3">
        <v>0.0</v>
      </c>
      <c r="C1083" s="3" t="s">
        <v>6</v>
      </c>
      <c r="D1083" s="4" t="b">
        <f t="shared" si="1"/>
        <v>0</v>
      </c>
      <c r="E1083" s="4" t="s">
        <v>2277</v>
      </c>
    </row>
    <row r="1084">
      <c r="A1084" s="3" t="s">
        <v>1486</v>
      </c>
      <c r="B1084" s="3">
        <v>0.0</v>
      </c>
      <c r="C1084" s="3" t="s">
        <v>3</v>
      </c>
      <c r="D1084" s="4" t="b">
        <f t="shared" si="1"/>
        <v>0</v>
      </c>
      <c r="E1084" s="4" t="s">
        <v>1486</v>
      </c>
    </row>
    <row r="1085">
      <c r="A1085" s="3" t="s">
        <v>1487</v>
      </c>
      <c r="B1085" s="3">
        <v>0.0</v>
      </c>
      <c r="C1085" s="3" t="s">
        <v>3</v>
      </c>
      <c r="D1085" s="4" t="b">
        <f t="shared" si="1"/>
        <v>0</v>
      </c>
      <c r="E1085" s="4" t="s">
        <v>1487</v>
      </c>
    </row>
    <row r="1086">
      <c r="A1086" s="3" t="s">
        <v>1488</v>
      </c>
      <c r="B1086" s="3">
        <v>0.0</v>
      </c>
      <c r="C1086" s="3" t="s">
        <v>3</v>
      </c>
      <c r="D1086" s="4" t="b">
        <f t="shared" si="1"/>
        <v>0</v>
      </c>
      <c r="E1086" s="4" t="s">
        <v>1488</v>
      </c>
    </row>
    <row r="1087">
      <c r="A1087" s="3" t="s">
        <v>1489</v>
      </c>
      <c r="B1087" s="3">
        <v>29750.0</v>
      </c>
      <c r="C1087" s="3" t="s">
        <v>32</v>
      </c>
      <c r="D1087" s="4" t="b">
        <f t="shared" si="1"/>
        <v>0</v>
      </c>
      <c r="E1087" s="4" t="s">
        <v>1489</v>
      </c>
    </row>
    <row r="1088">
      <c r="A1088" s="3" t="s">
        <v>1491</v>
      </c>
      <c r="B1088" s="3">
        <v>500.0</v>
      </c>
      <c r="C1088" s="4"/>
      <c r="D1088" s="4" t="b">
        <f t="shared" si="1"/>
        <v>0</v>
      </c>
      <c r="E1088" s="4" t="s">
        <v>1491</v>
      </c>
    </row>
    <row r="1089">
      <c r="A1089" s="3" t="s">
        <v>1492</v>
      </c>
      <c r="B1089" s="3">
        <v>892663.0</v>
      </c>
      <c r="C1089" s="3" t="s">
        <v>37</v>
      </c>
      <c r="D1089" s="4" t="b">
        <f t="shared" si="1"/>
        <v>0</v>
      </c>
      <c r="E1089" s="4" t="s">
        <v>2278</v>
      </c>
    </row>
    <row r="1090">
      <c r="A1090" s="3" t="s">
        <v>1494</v>
      </c>
      <c r="B1090" s="3">
        <v>0.0</v>
      </c>
      <c r="C1090" s="3" t="s">
        <v>3</v>
      </c>
      <c r="D1090" s="4" t="b">
        <f t="shared" si="1"/>
        <v>0</v>
      </c>
      <c r="E1090" s="4" t="s">
        <v>1494</v>
      </c>
    </row>
    <row r="1091">
      <c r="A1091" s="3" t="s">
        <v>1495</v>
      </c>
      <c r="B1091" s="3">
        <v>1500.0</v>
      </c>
      <c r="C1091" s="4"/>
      <c r="D1091" s="4" t="b">
        <f t="shared" si="1"/>
        <v>0</v>
      </c>
      <c r="E1091" s="4" t="s">
        <v>1495</v>
      </c>
    </row>
    <row r="1092">
      <c r="A1092" s="3" t="s">
        <v>1496</v>
      </c>
      <c r="B1092" s="3">
        <v>14000.0</v>
      </c>
      <c r="C1092" s="3" t="s">
        <v>29</v>
      </c>
      <c r="D1092" s="4" t="b">
        <f t="shared" si="1"/>
        <v>0</v>
      </c>
      <c r="E1092" s="4" t="s">
        <v>1496</v>
      </c>
    </row>
    <row r="1093">
      <c r="A1093" s="3" t="s">
        <v>1497</v>
      </c>
      <c r="B1093" s="3">
        <v>0.0</v>
      </c>
      <c r="C1093" s="3" t="s">
        <v>3</v>
      </c>
      <c r="D1093" s="4" t="b">
        <f t="shared" si="1"/>
        <v>0</v>
      </c>
      <c r="E1093" s="4" t="s">
        <v>1497</v>
      </c>
    </row>
    <row r="1094">
      <c r="A1094" s="3" t="s">
        <v>1498</v>
      </c>
      <c r="B1094" s="3">
        <v>0.0</v>
      </c>
      <c r="C1094" s="3" t="s">
        <v>29</v>
      </c>
      <c r="D1094" s="4" t="b">
        <f t="shared" si="1"/>
        <v>0</v>
      </c>
      <c r="E1094" s="4" t="s">
        <v>1498</v>
      </c>
    </row>
    <row r="1095">
      <c r="A1095" s="3" t="s">
        <v>1499</v>
      </c>
      <c r="B1095" s="3">
        <v>9000.0</v>
      </c>
      <c r="C1095" s="3" t="s">
        <v>32</v>
      </c>
      <c r="D1095" s="4" t="b">
        <f t="shared" si="1"/>
        <v>0</v>
      </c>
      <c r="E1095" s="4" t="s">
        <v>1499</v>
      </c>
    </row>
    <row r="1096">
      <c r="A1096" s="3" t="s">
        <v>1500</v>
      </c>
      <c r="B1096" s="3">
        <v>205000.0</v>
      </c>
      <c r="C1096" s="4"/>
      <c r="D1096" s="4" t="b">
        <f t="shared" si="1"/>
        <v>0</v>
      </c>
      <c r="E1096" s="4" t="s">
        <v>1500</v>
      </c>
    </row>
    <row r="1097">
      <c r="A1097" s="3" t="s">
        <v>1502</v>
      </c>
      <c r="B1097" s="3">
        <v>54201.0</v>
      </c>
      <c r="C1097" s="3" t="s">
        <v>6</v>
      </c>
      <c r="D1097" s="4" t="b">
        <f t="shared" si="1"/>
        <v>0</v>
      </c>
      <c r="E1097" s="4" t="s">
        <v>1502</v>
      </c>
    </row>
    <row r="1098">
      <c r="A1098" s="3" t="s">
        <v>1504</v>
      </c>
      <c r="B1098" s="3">
        <v>2800.0</v>
      </c>
      <c r="C1098" s="3" t="s">
        <v>3</v>
      </c>
      <c r="D1098" s="4" t="b">
        <f t="shared" si="1"/>
        <v>0</v>
      </c>
      <c r="E1098" s="4" t="s">
        <v>1504</v>
      </c>
    </row>
    <row r="1099">
      <c r="A1099" s="3" t="s">
        <v>1505</v>
      </c>
      <c r="B1099" s="3">
        <v>0.0</v>
      </c>
      <c r="C1099" s="3" t="s">
        <v>3</v>
      </c>
      <c r="D1099" s="4" t="b">
        <f t="shared" si="1"/>
        <v>0</v>
      </c>
      <c r="E1099" s="4" t="s">
        <v>1505</v>
      </c>
    </row>
    <row r="1100">
      <c r="A1100" s="3" t="s">
        <v>1506</v>
      </c>
      <c r="B1100" s="3">
        <v>0.0</v>
      </c>
      <c r="C1100" s="3" t="s">
        <v>3</v>
      </c>
      <c r="D1100" s="4" t="b">
        <f t="shared" si="1"/>
        <v>0</v>
      </c>
      <c r="E1100" s="4" t="s">
        <v>1506</v>
      </c>
    </row>
    <row r="1101">
      <c r="A1101" s="3" t="s">
        <v>1507</v>
      </c>
      <c r="B1101" s="3">
        <v>0.0</v>
      </c>
      <c r="C1101" s="3" t="s">
        <v>3</v>
      </c>
      <c r="D1101" s="4" t="b">
        <f t="shared" si="1"/>
        <v>0</v>
      </c>
      <c r="E1101" s="4" t="s">
        <v>1507</v>
      </c>
    </row>
    <row r="1102">
      <c r="A1102" s="3" t="s">
        <v>1508</v>
      </c>
      <c r="B1102" s="3">
        <v>0.0</v>
      </c>
      <c r="C1102" s="3" t="s">
        <v>3</v>
      </c>
      <c r="D1102" s="4" t="b">
        <f t="shared" si="1"/>
        <v>0</v>
      </c>
      <c r="E1102" s="4" t="s">
        <v>1508</v>
      </c>
    </row>
    <row r="1103">
      <c r="A1103" s="3" t="s">
        <v>1509</v>
      </c>
      <c r="B1103" s="3">
        <v>0.0</v>
      </c>
      <c r="C1103" s="3" t="s">
        <v>3</v>
      </c>
      <c r="D1103" s="4" t="b">
        <f t="shared" si="1"/>
        <v>0</v>
      </c>
      <c r="E1103" s="4" t="s">
        <v>1509</v>
      </c>
    </row>
    <row r="1104">
      <c r="A1104" s="3" t="s">
        <v>1510</v>
      </c>
      <c r="B1104" s="3">
        <v>3000.0</v>
      </c>
      <c r="C1104" s="3" t="s">
        <v>3</v>
      </c>
      <c r="D1104" s="4" t="b">
        <f t="shared" si="1"/>
        <v>0</v>
      </c>
      <c r="E1104" s="4" t="s">
        <v>1510</v>
      </c>
    </row>
    <row r="1105">
      <c r="A1105" s="3" t="s">
        <v>1511</v>
      </c>
      <c r="B1105" s="3">
        <v>0.0</v>
      </c>
      <c r="C1105" s="3" t="s">
        <v>6</v>
      </c>
      <c r="D1105" s="4" t="b">
        <f t="shared" si="1"/>
        <v>0</v>
      </c>
      <c r="E1105" s="4" t="s">
        <v>1511</v>
      </c>
    </row>
    <row r="1106">
      <c r="A1106" s="3" t="s">
        <v>1512</v>
      </c>
      <c r="B1106" s="3">
        <v>9500.0</v>
      </c>
      <c r="C1106" s="3" t="s">
        <v>6</v>
      </c>
      <c r="D1106" s="4" t="b">
        <f t="shared" si="1"/>
        <v>0</v>
      </c>
      <c r="E1106" s="4" t="s">
        <v>1512</v>
      </c>
    </row>
    <row r="1107">
      <c r="A1107" s="3" t="s">
        <v>1513</v>
      </c>
      <c r="B1107" s="3">
        <v>0.0</v>
      </c>
      <c r="C1107" s="3" t="s">
        <v>6</v>
      </c>
      <c r="D1107" s="4" t="b">
        <f t="shared" si="1"/>
        <v>0</v>
      </c>
      <c r="E1107" s="4" t="s">
        <v>1513</v>
      </c>
    </row>
    <row r="1108">
      <c r="A1108" s="3" t="s">
        <v>1514</v>
      </c>
      <c r="B1108" s="3">
        <v>0.0</v>
      </c>
      <c r="C1108" s="3" t="s">
        <v>6</v>
      </c>
      <c r="D1108" s="4" t="b">
        <f t="shared" si="1"/>
        <v>0</v>
      </c>
      <c r="E1108" s="4" t="s">
        <v>1514</v>
      </c>
    </row>
    <row r="1109">
      <c r="A1109" s="3" t="s">
        <v>1515</v>
      </c>
      <c r="B1109" s="3">
        <v>11500.0</v>
      </c>
      <c r="C1109" s="3" t="s">
        <v>16</v>
      </c>
      <c r="D1109" s="4" t="b">
        <f t="shared" si="1"/>
        <v>0</v>
      </c>
      <c r="E1109" s="4" t="s">
        <v>1515</v>
      </c>
    </row>
    <row r="1110">
      <c r="A1110" s="3" t="s">
        <v>1516</v>
      </c>
      <c r="B1110" s="3">
        <v>741.0</v>
      </c>
      <c r="C1110" s="4"/>
      <c r="D1110" s="4" t="b">
        <f t="shared" si="1"/>
        <v>0</v>
      </c>
      <c r="E1110" s="4" t="s">
        <v>1516</v>
      </c>
    </row>
    <row r="1111">
      <c r="A1111" s="3" t="s">
        <v>1518</v>
      </c>
      <c r="B1111" s="3">
        <v>0.0</v>
      </c>
      <c r="C1111" s="3" t="s">
        <v>3</v>
      </c>
      <c r="D1111" s="4" t="b">
        <f t="shared" si="1"/>
        <v>0</v>
      </c>
      <c r="E1111" s="4" t="s">
        <v>1518</v>
      </c>
    </row>
    <row r="1112">
      <c r="A1112" s="3" t="s">
        <v>1519</v>
      </c>
      <c r="B1112" s="3">
        <v>0.0</v>
      </c>
      <c r="C1112" s="3" t="s">
        <v>3</v>
      </c>
      <c r="D1112" s="4" t="b">
        <f t="shared" si="1"/>
        <v>0</v>
      </c>
      <c r="E1112" s="4" t="s">
        <v>1519</v>
      </c>
    </row>
    <row r="1113">
      <c r="A1113" s="3" t="s">
        <v>1520</v>
      </c>
      <c r="B1113" s="3">
        <v>0.0</v>
      </c>
      <c r="C1113" s="3" t="s">
        <v>32</v>
      </c>
      <c r="D1113" s="4" t="b">
        <f t="shared" si="1"/>
        <v>0</v>
      </c>
      <c r="E1113" s="4" t="s">
        <v>1520</v>
      </c>
    </row>
    <row r="1114">
      <c r="A1114" s="3" t="s">
        <v>1521</v>
      </c>
      <c r="B1114" s="3">
        <v>0.0</v>
      </c>
      <c r="C1114" s="3" t="s">
        <v>6</v>
      </c>
      <c r="D1114" s="4" t="b">
        <f t="shared" si="1"/>
        <v>0</v>
      </c>
      <c r="E1114" s="4" t="s">
        <v>1521</v>
      </c>
    </row>
    <row r="1115">
      <c r="A1115" s="3" t="s">
        <v>1522</v>
      </c>
      <c r="B1115" s="3">
        <v>0.0</v>
      </c>
      <c r="C1115" s="3" t="s">
        <v>6</v>
      </c>
      <c r="D1115" s="4" t="b">
        <f t="shared" si="1"/>
        <v>0</v>
      </c>
      <c r="E1115" s="4" t="s">
        <v>1522</v>
      </c>
    </row>
    <row r="1116">
      <c r="A1116" s="3" t="s">
        <v>1523</v>
      </c>
      <c r="B1116" s="3">
        <v>3000.0</v>
      </c>
      <c r="C1116" s="3" t="s">
        <v>32</v>
      </c>
      <c r="D1116" s="4" t="b">
        <f t="shared" si="1"/>
        <v>0</v>
      </c>
      <c r="E1116" s="4" t="s">
        <v>1523</v>
      </c>
    </row>
    <row r="1117">
      <c r="A1117" s="3" t="s">
        <v>1524</v>
      </c>
      <c r="B1117" s="3">
        <v>0.0</v>
      </c>
      <c r="C1117" s="3" t="s">
        <v>3</v>
      </c>
      <c r="D1117" s="4" t="b">
        <f t="shared" si="1"/>
        <v>0</v>
      </c>
      <c r="E1117" s="4" t="s">
        <v>2279</v>
      </c>
    </row>
    <row r="1118">
      <c r="A1118" s="3" t="s">
        <v>1526</v>
      </c>
      <c r="B1118" s="3">
        <v>9000.0</v>
      </c>
      <c r="C1118" s="3" t="s">
        <v>6</v>
      </c>
      <c r="D1118" s="4" t="b">
        <f t="shared" si="1"/>
        <v>0</v>
      </c>
      <c r="E1118" s="4" t="s">
        <v>2280</v>
      </c>
    </row>
    <row r="1119">
      <c r="A1119" s="3" t="s">
        <v>1528</v>
      </c>
      <c r="B1119" s="3">
        <v>0.0</v>
      </c>
      <c r="C1119" s="3" t="s">
        <v>29</v>
      </c>
      <c r="D1119" s="4" t="b">
        <f t="shared" si="1"/>
        <v>0</v>
      </c>
      <c r="E1119" s="4" t="s">
        <v>1528</v>
      </c>
    </row>
    <row r="1120">
      <c r="A1120" s="3" t="s">
        <v>1529</v>
      </c>
      <c r="B1120" s="3">
        <v>0.0</v>
      </c>
      <c r="C1120" s="3" t="s">
        <v>32</v>
      </c>
      <c r="D1120" s="4" t="b">
        <f t="shared" si="1"/>
        <v>0</v>
      </c>
      <c r="E1120" s="4" t="s">
        <v>1529</v>
      </c>
    </row>
    <row r="1121">
      <c r="A1121" s="3" t="s">
        <v>1530</v>
      </c>
      <c r="B1121" s="3">
        <v>0.0</v>
      </c>
      <c r="C1121" s="3" t="s">
        <v>32</v>
      </c>
      <c r="D1121" s="4" t="b">
        <f t="shared" si="1"/>
        <v>0</v>
      </c>
      <c r="E1121" s="4" t="s">
        <v>1530</v>
      </c>
    </row>
    <row r="1122">
      <c r="A1122" s="3" t="s">
        <v>1531</v>
      </c>
      <c r="B1122" s="3">
        <v>0.0</v>
      </c>
      <c r="C1122" s="3" t="s">
        <v>3</v>
      </c>
      <c r="D1122" s="4" t="b">
        <f t="shared" si="1"/>
        <v>0</v>
      </c>
      <c r="E1122" s="4" t="s">
        <v>1531</v>
      </c>
    </row>
    <row r="1123">
      <c r="A1123" s="3" t="s">
        <v>1532</v>
      </c>
      <c r="B1123" s="3">
        <v>0.0</v>
      </c>
      <c r="C1123" s="3" t="s">
        <v>6</v>
      </c>
      <c r="D1123" s="4" t="b">
        <f t="shared" si="1"/>
        <v>0</v>
      </c>
      <c r="E1123" s="4" t="s">
        <v>1532</v>
      </c>
    </row>
    <row r="1124">
      <c r="A1124" s="3" t="s">
        <v>1533</v>
      </c>
      <c r="B1124" s="3">
        <v>0.0</v>
      </c>
      <c r="C1124" s="3" t="s">
        <v>32</v>
      </c>
      <c r="D1124" s="4" t="b">
        <f t="shared" si="1"/>
        <v>0</v>
      </c>
      <c r="E1124" s="4" t="s">
        <v>1533</v>
      </c>
    </row>
    <row r="1125">
      <c r="A1125" s="3" t="s">
        <v>1534</v>
      </c>
      <c r="B1125" s="3">
        <v>0.0</v>
      </c>
      <c r="C1125" s="3" t="s">
        <v>6</v>
      </c>
      <c r="D1125" s="4" t="b">
        <f t="shared" si="1"/>
        <v>0</v>
      </c>
      <c r="E1125" s="4" t="s">
        <v>1534</v>
      </c>
    </row>
    <row r="1126">
      <c r="A1126" s="3" t="s">
        <v>1535</v>
      </c>
      <c r="B1126" s="3">
        <v>0.0</v>
      </c>
      <c r="C1126" s="3" t="s">
        <v>6</v>
      </c>
      <c r="D1126" s="4" t="b">
        <f t="shared" si="1"/>
        <v>0</v>
      </c>
      <c r="E1126" s="4" t="s">
        <v>1535</v>
      </c>
    </row>
    <row r="1127">
      <c r="A1127" s="3" t="s">
        <v>1536</v>
      </c>
      <c r="B1127" s="3">
        <v>7000.0</v>
      </c>
      <c r="C1127" s="4"/>
      <c r="D1127" s="4" t="b">
        <f t="shared" si="1"/>
        <v>0</v>
      </c>
      <c r="E1127" s="4" t="s">
        <v>1536</v>
      </c>
    </row>
    <row r="1128">
      <c r="A1128" s="3" t="s">
        <v>1537</v>
      </c>
      <c r="B1128" s="3">
        <v>0.0</v>
      </c>
      <c r="C1128" s="3" t="s">
        <v>32</v>
      </c>
      <c r="D1128" s="4" t="b">
        <f t="shared" si="1"/>
        <v>0</v>
      </c>
      <c r="E1128" s="4" t="s">
        <v>1537</v>
      </c>
    </row>
    <row r="1129">
      <c r="A1129" s="3" t="s">
        <v>1538</v>
      </c>
      <c r="B1129" s="3">
        <v>0.0</v>
      </c>
      <c r="C1129" s="3" t="s">
        <v>3</v>
      </c>
      <c r="D1129" s="4" t="b">
        <f t="shared" si="1"/>
        <v>0</v>
      </c>
      <c r="E1129" s="4" t="s">
        <v>1538</v>
      </c>
    </row>
    <row r="1130">
      <c r="A1130" s="3" t="s">
        <v>1539</v>
      </c>
      <c r="B1130" s="3">
        <v>200000.0</v>
      </c>
      <c r="C1130" s="4"/>
      <c r="D1130" s="4" t="b">
        <f t="shared" si="1"/>
        <v>0</v>
      </c>
      <c r="E1130" s="4" t="s">
        <v>1539</v>
      </c>
    </row>
    <row r="1131">
      <c r="A1131" s="3" t="s">
        <v>1541</v>
      </c>
      <c r="B1131" s="3">
        <v>4500.0</v>
      </c>
      <c r="C1131" s="3" t="s">
        <v>6</v>
      </c>
      <c r="D1131" s="4" t="b">
        <f t="shared" si="1"/>
        <v>0</v>
      </c>
      <c r="E1131" s="4" t="s">
        <v>1541</v>
      </c>
    </row>
    <row r="1132">
      <c r="A1132" s="3" t="s">
        <v>1542</v>
      </c>
      <c r="B1132" s="3">
        <v>0.0</v>
      </c>
      <c r="C1132" s="3" t="s">
        <v>3</v>
      </c>
      <c r="D1132" s="4" t="b">
        <f t="shared" si="1"/>
        <v>0</v>
      </c>
      <c r="E1132" s="4" t="s">
        <v>1542</v>
      </c>
    </row>
    <row r="1133">
      <c r="A1133" s="3" t="s">
        <v>1543</v>
      </c>
      <c r="B1133" s="3">
        <v>0.0</v>
      </c>
      <c r="C1133" s="3" t="s">
        <v>3</v>
      </c>
      <c r="D1133" s="4" t="b">
        <f t="shared" si="1"/>
        <v>0</v>
      </c>
      <c r="E1133" s="4" t="s">
        <v>1543</v>
      </c>
    </row>
    <row r="1134">
      <c r="A1134" s="3" t="s">
        <v>1544</v>
      </c>
      <c r="B1134" s="3">
        <v>400.0</v>
      </c>
      <c r="C1134" s="4"/>
      <c r="D1134" s="4" t="b">
        <f t="shared" si="1"/>
        <v>0</v>
      </c>
      <c r="E1134" s="4" t="s">
        <v>1544</v>
      </c>
    </row>
    <row r="1135">
      <c r="A1135" s="3" t="s">
        <v>1545</v>
      </c>
      <c r="B1135" s="3">
        <v>0.0</v>
      </c>
      <c r="C1135" s="3" t="s">
        <v>3</v>
      </c>
      <c r="D1135" s="4" t="b">
        <f t="shared" si="1"/>
        <v>0</v>
      </c>
      <c r="E1135" s="4" t="s">
        <v>2281</v>
      </c>
    </row>
    <row r="1136">
      <c r="A1136" s="3" t="s">
        <v>1547</v>
      </c>
      <c r="B1136" s="3">
        <v>4000.0</v>
      </c>
      <c r="C1136" s="4"/>
      <c r="D1136" s="4" t="b">
        <f t="shared" si="1"/>
        <v>0</v>
      </c>
      <c r="E1136" s="4" t="s">
        <v>1547</v>
      </c>
    </row>
    <row r="1137">
      <c r="A1137" s="3" t="s">
        <v>1548</v>
      </c>
      <c r="B1137" s="3">
        <v>0.0</v>
      </c>
      <c r="C1137" s="3" t="s">
        <v>484</v>
      </c>
      <c r="D1137" s="4" t="b">
        <f t="shared" si="1"/>
        <v>0</v>
      </c>
      <c r="E1137" s="4" t="s">
        <v>1548</v>
      </c>
    </row>
    <row r="1138">
      <c r="A1138" s="3" t="s">
        <v>1549</v>
      </c>
      <c r="B1138" s="3">
        <v>0.0</v>
      </c>
      <c r="C1138" s="3" t="s">
        <v>3</v>
      </c>
      <c r="D1138" s="4" t="b">
        <f t="shared" si="1"/>
        <v>0</v>
      </c>
      <c r="E1138" s="4" t="s">
        <v>1549</v>
      </c>
    </row>
    <row r="1139">
      <c r="A1139" s="3" t="s">
        <v>1550</v>
      </c>
      <c r="B1139" s="3">
        <v>1000.0</v>
      </c>
      <c r="C1139" s="4"/>
      <c r="D1139" s="4" t="b">
        <f t="shared" si="1"/>
        <v>0</v>
      </c>
      <c r="E1139" s="4" t="s">
        <v>1550</v>
      </c>
    </row>
    <row r="1140">
      <c r="A1140" s="3" t="s">
        <v>1551</v>
      </c>
      <c r="B1140" s="3">
        <v>0.0</v>
      </c>
      <c r="C1140" s="3" t="s">
        <v>3</v>
      </c>
      <c r="D1140" s="4" t="b">
        <f t="shared" si="1"/>
        <v>0</v>
      </c>
      <c r="E1140" s="4" t="s">
        <v>1551</v>
      </c>
    </row>
    <row r="1141">
      <c r="A1141" s="3" t="s">
        <v>1552</v>
      </c>
      <c r="B1141" s="3">
        <v>50000.0</v>
      </c>
      <c r="C1141" s="4"/>
      <c r="D1141" s="4" t="b">
        <f t="shared" si="1"/>
        <v>0</v>
      </c>
      <c r="E1141" s="4" t="s">
        <v>1552</v>
      </c>
    </row>
    <row r="1142">
      <c r="A1142" s="3" t="s">
        <v>1553</v>
      </c>
      <c r="B1142" s="3">
        <v>300.0</v>
      </c>
      <c r="C1142" s="4"/>
      <c r="D1142" s="4" t="b">
        <f t="shared" si="1"/>
        <v>0</v>
      </c>
      <c r="E1142" s="4" t="s">
        <v>1553</v>
      </c>
    </row>
    <row r="1143">
      <c r="A1143" s="3" t="s">
        <v>1554</v>
      </c>
      <c r="B1143" s="3">
        <v>1800.0</v>
      </c>
      <c r="C1143" s="4"/>
      <c r="D1143" s="4" t="b">
        <f t="shared" si="1"/>
        <v>0</v>
      </c>
      <c r="E1143" s="4" t="s">
        <v>1554</v>
      </c>
    </row>
    <row r="1144">
      <c r="A1144" s="3" t="s">
        <v>1555</v>
      </c>
      <c r="B1144" s="3">
        <v>0.0</v>
      </c>
      <c r="C1144" s="3" t="s">
        <v>32</v>
      </c>
      <c r="D1144" s="4" t="b">
        <f t="shared" si="1"/>
        <v>0</v>
      </c>
      <c r="E1144" s="4" t="s">
        <v>1555</v>
      </c>
    </row>
    <row r="1145">
      <c r="A1145" s="3" t="s">
        <v>1556</v>
      </c>
      <c r="B1145" s="3">
        <v>678000.0</v>
      </c>
      <c r="C1145" s="4"/>
      <c r="D1145" s="4" t="b">
        <f t="shared" si="1"/>
        <v>0</v>
      </c>
      <c r="E1145" s="4" t="s">
        <v>2282</v>
      </c>
    </row>
    <row r="1146">
      <c r="A1146" s="3" t="s">
        <v>1559</v>
      </c>
      <c r="B1146" s="3">
        <v>56000.0</v>
      </c>
      <c r="C1146" s="3" t="s">
        <v>3</v>
      </c>
      <c r="D1146" s="4" t="b">
        <f t="shared" si="1"/>
        <v>0</v>
      </c>
      <c r="E1146" s="4" t="s">
        <v>1559</v>
      </c>
    </row>
    <row r="1147">
      <c r="A1147" s="3" t="s">
        <v>1561</v>
      </c>
      <c r="B1147" s="3">
        <v>12000.0</v>
      </c>
      <c r="C1147" s="3" t="s">
        <v>6</v>
      </c>
      <c r="D1147" s="4" t="b">
        <f t="shared" si="1"/>
        <v>0</v>
      </c>
      <c r="E1147" s="4" t="s">
        <v>1561</v>
      </c>
    </row>
    <row r="1148">
      <c r="A1148" s="3" t="s">
        <v>1562</v>
      </c>
      <c r="B1148" s="3">
        <v>0.0</v>
      </c>
      <c r="C1148" s="3" t="s">
        <v>3</v>
      </c>
      <c r="D1148" s="4" t="b">
        <f t="shared" si="1"/>
        <v>0</v>
      </c>
      <c r="E1148" s="4" t="s">
        <v>1562</v>
      </c>
    </row>
    <row r="1149">
      <c r="A1149" s="3" t="s">
        <v>1563</v>
      </c>
      <c r="B1149" s="3">
        <v>46000.0</v>
      </c>
      <c r="C1149" s="4"/>
      <c r="D1149" s="4" t="b">
        <f t="shared" si="1"/>
        <v>0</v>
      </c>
      <c r="E1149" s="4" t="s">
        <v>1563</v>
      </c>
    </row>
    <row r="1150">
      <c r="A1150" s="3" t="s">
        <v>1565</v>
      </c>
      <c r="B1150" s="3">
        <v>5000.0</v>
      </c>
      <c r="C1150" s="4"/>
      <c r="D1150" s="4" t="b">
        <f t="shared" si="1"/>
        <v>0</v>
      </c>
      <c r="E1150" s="4" t="s">
        <v>1565</v>
      </c>
    </row>
    <row r="1151">
      <c r="A1151" s="3" t="s">
        <v>1566</v>
      </c>
      <c r="B1151" s="3">
        <v>14653.49</v>
      </c>
      <c r="C1151" s="3" t="s">
        <v>32</v>
      </c>
      <c r="D1151" s="4" t="b">
        <f t="shared" si="1"/>
        <v>0</v>
      </c>
      <c r="E1151" s="4" t="s">
        <v>1566</v>
      </c>
    </row>
    <row r="1152">
      <c r="A1152" s="3" t="s">
        <v>1568</v>
      </c>
      <c r="B1152" s="3">
        <v>6000.0</v>
      </c>
      <c r="C1152" s="3" t="s">
        <v>32</v>
      </c>
      <c r="D1152" s="4" t="b">
        <f t="shared" si="1"/>
        <v>0</v>
      </c>
      <c r="E1152" s="4" t="s">
        <v>1568</v>
      </c>
    </row>
    <row r="1153">
      <c r="A1153" s="3" t="s">
        <v>1569</v>
      </c>
      <c r="B1153" s="3">
        <v>110350.0</v>
      </c>
      <c r="C1153" s="3" t="s">
        <v>6</v>
      </c>
      <c r="D1153" s="4" t="b">
        <f t="shared" si="1"/>
        <v>0</v>
      </c>
      <c r="E1153" s="4" t="s">
        <v>2283</v>
      </c>
    </row>
    <row r="1154">
      <c r="A1154" s="3" t="s">
        <v>1572</v>
      </c>
      <c r="B1154" s="3">
        <v>0.0</v>
      </c>
      <c r="C1154" s="3" t="s">
        <v>3</v>
      </c>
      <c r="D1154" s="4" t="b">
        <f t="shared" si="1"/>
        <v>0</v>
      </c>
      <c r="E1154" s="4" t="s">
        <v>1572</v>
      </c>
    </row>
    <row r="1155">
      <c r="A1155" s="3" t="s">
        <v>1573</v>
      </c>
      <c r="B1155" s="3">
        <v>0.0</v>
      </c>
      <c r="C1155" s="3" t="s">
        <v>3</v>
      </c>
      <c r="D1155" s="4" t="b">
        <f t="shared" si="1"/>
        <v>0</v>
      </c>
      <c r="E1155" s="4" t="s">
        <v>1573</v>
      </c>
    </row>
    <row r="1156">
      <c r="A1156" s="3" t="s">
        <v>1574</v>
      </c>
      <c r="B1156" s="3">
        <v>1500.0</v>
      </c>
      <c r="C1156" s="3" t="s">
        <v>6</v>
      </c>
      <c r="D1156" s="4" t="b">
        <f t="shared" si="1"/>
        <v>0</v>
      </c>
      <c r="E1156" s="4" t="s">
        <v>1574</v>
      </c>
    </row>
    <row r="1157">
      <c r="A1157" s="3" t="s">
        <v>1575</v>
      </c>
      <c r="B1157" s="3">
        <v>1700.0</v>
      </c>
      <c r="C1157" s="4"/>
      <c r="D1157" s="4" t="b">
        <f t="shared" si="1"/>
        <v>0</v>
      </c>
      <c r="E1157" s="4" t="s">
        <v>1575</v>
      </c>
    </row>
    <row r="1158">
      <c r="A1158" s="3" t="s">
        <v>1576</v>
      </c>
      <c r="B1158" s="3">
        <v>0.0</v>
      </c>
      <c r="C1158" s="3" t="s">
        <v>3</v>
      </c>
      <c r="D1158" s="4" t="b">
        <f t="shared" si="1"/>
        <v>0</v>
      </c>
      <c r="E1158" s="4" t="s">
        <v>1576</v>
      </c>
    </row>
    <row r="1159">
      <c r="A1159" s="3" t="s">
        <v>1577</v>
      </c>
      <c r="B1159" s="3">
        <v>4500.0</v>
      </c>
      <c r="C1159" s="4"/>
      <c r="D1159" s="4" t="b">
        <f t="shared" si="1"/>
        <v>0</v>
      </c>
      <c r="E1159" s="4" t="s">
        <v>1577</v>
      </c>
    </row>
    <row r="1160">
      <c r="A1160" s="3" t="s">
        <v>1578</v>
      </c>
      <c r="B1160" s="3">
        <v>0.0</v>
      </c>
      <c r="C1160" s="3" t="s">
        <v>6</v>
      </c>
      <c r="D1160" s="4" t="b">
        <f t="shared" si="1"/>
        <v>0</v>
      </c>
      <c r="E1160" s="4" t="s">
        <v>1578</v>
      </c>
    </row>
    <row r="1161">
      <c r="A1161" s="3" t="s">
        <v>1579</v>
      </c>
      <c r="B1161" s="3">
        <v>35500.0</v>
      </c>
      <c r="C1161" s="3" t="s">
        <v>32</v>
      </c>
      <c r="D1161" s="4" t="b">
        <f t="shared" si="1"/>
        <v>0</v>
      </c>
      <c r="E1161" s="4" t="s">
        <v>1579</v>
      </c>
    </row>
    <row r="1162">
      <c r="A1162" s="3" t="s">
        <v>1581</v>
      </c>
      <c r="B1162" s="3">
        <v>6000.0</v>
      </c>
      <c r="C1162" s="3" t="s">
        <v>32</v>
      </c>
      <c r="D1162" s="4" t="b">
        <f t="shared" si="1"/>
        <v>0</v>
      </c>
      <c r="E1162" s="4" t="s">
        <v>1581</v>
      </c>
    </row>
    <row r="1163">
      <c r="A1163" s="3" t="s">
        <v>1582</v>
      </c>
      <c r="B1163" s="3">
        <v>0.0</v>
      </c>
      <c r="C1163" s="3" t="s">
        <v>29</v>
      </c>
      <c r="D1163" s="4" t="b">
        <f t="shared" si="1"/>
        <v>0</v>
      </c>
      <c r="E1163" s="4" t="s">
        <v>1582</v>
      </c>
    </row>
    <row r="1164">
      <c r="A1164" s="3" t="s">
        <v>1583</v>
      </c>
      <c r="B1164" s="3">
        <v>0.0</v>
      </c>
      <c r="C1164" s="3" t="s">
        <v>6</v>
      </c>
      <c r="D1164" s="4" t="b">
        <f t="shared" si="1"/>
        <v>0</v>
      </c>
      <c r="E1164" s="4" t="s">
        <v>1583</v>
      </c>
    </row>
    <row r="1165">
      <c r="A1165" s="3" t="s">
        <v>1584</v>
      </c>
      <c r="B1165" s="3">
        <v>0.0</v>
      </c>
      <c r="C1165" s="3" t="s">
        <v>6</v>
      </c>
      <c r="D1165" s="4" t="b">
        <f t="shared" si="1"/>
        <v>0</v>
      </c>
      <c r="E1165" s="4" t="s">
        <v>1584</v>
      </c>
    </row>
    <row r="1166">
      <c r="A1166" s="3" t="s">
        <v>1585</v>
      </c>
      <c r="B1166" s="3">
        <v>29000.0</v>
      </c>
      <c r="C1166" s="3" t="s">
        <v>32</v>
      </c>
      <c r="D1166" s="4" t="b">
        <f t="shared" si="1"/>
        <v>0</v>
      </c>
      <c r="E1166" s="4" t="s">
        <v>1585</v>
      </c>
    </row>
    <row r="1167">
      <c r="A1167" s="3" t="s">
        <v>1587</v>
      </c>
      <c r="B1167" s="3">
        <v>0.0</v>
      </c>
      <c r="C1167" s="3" t="s">
        <v>3</v>
      </c>
      <c r="D1167" s="4" t="b">
        <f t="shared" si="1"/>
        <v>0</v>
      </c>
      <c r="E1167" s="4" t="s">
        <v>1587</v>
      </c>
    </row>
    <row r="1168">
      <c r="A1168" s="3" t="s">
        <v>1588</v>
      </c>
      <c r="B1168" s="3">
        <v>0.0</v>
      </c>
      <c r="C1168" s="3" t="s">
        <v>3</v>
      </c>
      <c r="D1168" s="4" t="b">
        <f t="shared" si="1"/>
        <v>0</v>
      </c>
      <c r="E1168" s="4" t="s">
        <v>1588</v>
      </c>
    </row>
    <row r="1169">
      <c r="A1169" s="3" t="s">
        <v>1589</v>
      </c>
      <c r="B1169" s="3">
        <v>3000.0</v>
      </c>
      <c r="C1169" s="3" t="s">
        <v>32</v>
      </c>
      <c r="D1169" s="4" t="b">
        <f t="shared" si="1"/>
        <v>0</v>
      </c>
      <c r="E1169" s="4" t="s">
        <v>1589</v>
      </c>
    </row>
    <row r="1170">
      <c r="A1170" s="3" t="s">
        <v>1590</v>
      </c>
      <c r="B1170" s="3">
        <v>2500.0</v>
      </c>
      <c r="C1170" s="4"/>
      <c r="D1170" s="4" t="b">
        <f t="shared" si="1"/>
        <v>0</v>
      </c>
      <c r="E1170" s="4" t="s">
        <v>1590</v>
      </c>
    </row>
    <row r="1171">
      <c r="A1171" s="3" t="s">
        <v>1591</v>
      </c>
      <c r="B1171" s="3">
        <v>0.0</v>
      </c>
      <c r="C1171" s="3" t="s">
        <v>3</v>
      </c>
      <c r="D1171" s="4" t="b">
        <f t="shared" si="1"/>
        <v>0</v>
      </c>
      <c r="E1171" s="4" t="s">
        <v>1591</v>
      </c>
    </row>
    <row r="1172">
      <c r="A1172" s="3" t="s">
        <v>1592</v>
      </c>
      <c r="B1172" s="3">
        <v>2000.0</v>
      </c>
      <c r="C1172" s="4"/>
      <c r="D1172" s="4" t="b">
        <f t="shared" si="1"/>
        <v>0</v>
      </c>
      <c r="E1172" s="4" t="s">
        <v>1592</v>
      </c>
    </row>
    <row r="1173">
      <c r="A1173" s="3" t="s">
        <v>1593</v>
      </c>
      <c r="B1173" s="3">
        <v>0.0</v>
      </c>
      <c r="C1173" s="3" t="s">
        <v>3</v>
      </c>
      <c r="D1173" s="4" t="b">
        <f t="shared" si="1"/>
        <v>0</v>
      </c>
      <c r="E1173" s="4" t="s">
        <v>1593</v>
      </c>
    </row>
    <row r="1174">
      <c r="A1174" s="3" t="s">
        <v>1594</v>
      </c>
      <c r="B1174" s="3">
        <v>5500.0</v>
      </c>
      <c r="C1174" s="3" t="s">
        <v>6</v>
      </c>
      <c r="D1174" s="4" t="b">
        <f t="shared" si="1"/>
        <v>0</v>
      </c>
      <c r="E1174" s="4" t="s">
        <v>1594</v>
      </c>
    </row>
    <row r="1175">
      <c r="A1175" s="3" t="s">
        <v>1595</v>
      </c>
      <c r="B1175" s="3">
        <v>0.0</v>
      </c>
      <c r="C1175" s="3" t="s">
        <v>6</v>
      </c>
      <c r="D1175" s="4" t="b">
        <f t="shared" si="1"/>
        <v>0</v>
      </c>
      <c r="E1175" s="4" t="s">
        <v>1595</v>
      </c>
    </row>
    <row r="1176">
      <c r="A1176" s="3" t="s">
        <v>1596</v>
      </c>
      <c r="B1176" s="3">
        <v>37500.0</v>
      </c>
      <c r="C1176" s="3" t="s">
        <v>580</v>
      </c>
      <c r="D1176" s="4" t="b">
        <f t="shared" si="1"/>
        <v>0</v>
      </c>
      <c r="E1176" s="4" t="s">
        <v>2284</v>
      </c>
    </row>
    <row r="1177">
      <c r="A1177" s="3" t="s">
        <v>1598</v>
      </c>
      <c r="B1177" s="3">
        <v>0.0</v>
      </c>
      <c r="C1177" s="3" t="s">
        <v>32</v>
      </c>
      <c r="D1177" s="4" t="b">
        <f t="shared" si="1"/>
        <v>0</v>
      </c>
      <c r="E1177" s="4" t="s">
        <v>1598</v>
      </c>
    </row>
    <row r="1178">
      <c r="A1178" s="3" t="s">
        <v>1599</v>
      </c>
      <c r="B1178" s="3">
        <v>0.0</v>
      </c>
      <c r="C1178" s="3" t="s">
        <v>6</v>
      </c>
      <c r="D1178" s="4" t="b">
        <f t="shared" si="1"/>
        <v>0</v>
      </c>
      <c r="E1178" s="4" t="s">
        <v>1599</v>
      </c>
    </row>
    <row r="1179">
      <c r="A1179" s="3" t="s">
        <v>1600</v>
      </c>
      <c r="B1179" s="3">
        <v>494000.0</v>
      </c>
      <c r="C1179" s="3" t="s">
        <v>32</v>
      </c>
      <c r="D1179" s="4" t="b">
        <f t="shared" si="1"/>
        <v>0</v>
      </c>
      <c r="E1179" s="4" t="s">
        <v>1600</v>
      </c>
    </row>
    <row r="1180">
      <c r="A1180" s="3" t="s">
        <v>1602</v>
      </c>
      <c r="B1180" s="3">
        <v>800.0</v>
      </c>
      <c r="C1180" s="4"/>
      <c r="D1180" s="4" t="b">
        <f t="shared" si="1"/>
        <v>0</v>
      </c>
      <c r="E1180" s="4" t="s">
        <v>1602</v>
      </c>
    </row>
    <row r="1181">
      <c r="A1181" s="3" t="s">
        <v>1603</v>
      </c>
      <c r="B1181" s="3">
        <v>2500.0</v>
      </c>
      <c r="C1181" s="3" t="s">
        <v>3</v>
      </c>
      <c r="D1181" s="4" t="b">
        <f t="shared" si="1"/>
        <v>0</v>
      </c>
      <c r="E1181" s="4" t="s">
        <v>1603</v>
      </c>
    </row>
    <row r="1182">
      <c r="A1182" s="3" t="s">
        <v>1604</v>
      </c>
      <c r="B1182" s="3">
        <v>17528.0</v>
      </c>
      <c r="C1182" s="4"/>
      <c r="D1182" s="4" t="b">
        <f t="shared" si="1"/>
        <v>0</v>
      </c>
      <c r="E1182" s="4" t="s">
        <v>1604</v>
      </c>
    </row>
    <row r="1183">
      <c r="A1183" s="3" t="s">
        <v>1606</v>
      </c>
      <c r="B1183" s="3">
        <v>7800.0</v>
      </c>
      <c r="C1183" s="3" t="s">
        <v>3</v>
      </c>
      <c r="D1183" s="4" t="b">
        <f t="shared" si="1"/>
        <v>0</v>
      </c>
      <c r="E1183" s="4" t="s">
        <v>1606</v>
      </c>
    </row>
    <row r="1184">
      <c r="A1184" s="3" t="s">
        <v>1607</v>
      </c>
      <c r="B1184" s="3">
        <v>0.0</v>
      </c>
      <c r="C1184" s="3" t="s">
        <v>3</v>
      </c>
      <c r="D1184" s="4" t="b">
        <f t="shared" si="1"/>
        <v>0</v>
      </c>
      <c r="E1184" s="4" t="s">
        <v>1607</v>
      </c>
    </row>
    <row r="1185">
      <c r="A1185" s="3" t="s">
        <v>1608</v>
      </c>
      <c r="B1185" s="3">
        <v>0.0</v>
      </c>
      <c r="C1185" s="3" t="s">
        <v>3</v>
      </c>
      <c r="D1185" s="4" t="b">
        <f t="shared" si="1"/>
        <v>0</v>
      </c>
      <c r="E1185" s="4" t="s">
        <v>1608</v>
      </c>
    </row>
    <row r="1186">
      <c r="A1186" s="3" t="s">
        <v>1609</v>
      </c>
      <c r="B1186" s="3">
        <v>10000.0</v>
      </c>
      <c r="C1186" s="3" t="s">
        <v>32</v>
      </c>
      <c r="D1186" s="4" t="b">
        <f t="shared" si="1"/>
        <v>0</v>
      </c>
      <c r="E1186" s="4" t="s">
        <v>1609</v>
      </c>
    </row>
    <row r="1187">
      <c r="A1187" s="3" t="s">
        <v>1610</v>
      </c>
      <c r="B1187" s="3">
        <v>4000.0</v>
      </c>
      <c r="C1187" s="4"/>
      <c r="D1187" s="4" t="b">
        <f t="shared" si="1"/>
        <v>0</v>
      </c>
      <c r="E1187" s="4" t="s">
        <v>1610</v>
      </c>
    </row>
    <row r="1188">
      <c r="A1188" s="3" t="s">
        <v>1611</v>
      </c>
      <c r="B1188" s="3">
        <v>4000.0</v>
      </c>
      <c r="C1188" s="4"/>
      <c r="D1188" s="4" t="b">
        <f t="shared" si="1"/>
        <v>0</v>
      </c>
      <c r="E1188" s="4" t="s">
        <v>1611</v>
      </c>
    </row>
    <row r="1189">
      <c r="A1189" s="3" t="s">
        <v>1612</v>
      </c>
      <c r="B1189" s="3">
        <v>800.0</v>
      </c>
      <c r="C1189" s="3" t="s">
        <v>3</v>
      </c>
      <c r="D1189" s="4" t="b">
        <f t="shared" si="1"/>
        <v>0</v>
      </c>
      <c r="E1189" s="4" t="s">
        <v>2285</v>
      </c>
    </row>
    <row r="1190">
      <c r="A1190" s="3" t="s">
        <v>1614</v>
      </c>
      <c r="B1190" s="3">
        <v>0.0</v>
      </c>
      <c r="C1190" s="3" t="s">
        <v>3</v>
      </c>
      <c r="D1190" s="4" t="b">
        <f t="shared" si="1"/>
        <v>0</v>
      </c>
      <c r="E1190" s="4" t="s">
        <v>1614</v>
      </c>
    </row>
    <row r="1191">
      <c r="A1191" s="3" t="s">
        <v>1615</v>
      </c>
      <c r="B1191" s="3">
        <v>2000.0</v>
      </c>
      <c r="C1191" s="3" t="s">
        <v>3</v>
      </c>
      <c r="D1191" s="4" t="b">
        <f t="shared" si="1"/>
        <v>0</v>
      </c>
      <c r="E1191" s="4" t="s">
        <v>2286</v>
      </c>
    </row>
    <row r="1192">
      <c r="A1192" s="3" t="s">
        <v>1617</v>
      </c>
      <c r="B1192" s="3">
        <v>0.0</v>
      </c>
      <c r="C1192" s="3" t="s">
        <v>3</v>
      </c>
      <c r="D1192" s="4" t="b">
        <f t="shared" si="1"/>
        <v>0</v>
      </c>
      <c r="E1192" s="4" t="s">
        <v>1617</v>
      </c>
    </row>
    <row r="1193">
      <c r="A1193" s="3" t="s">
        <v>1618</v>
      </c>
      <c r="B1193" s="3">
        <v>0.0</v>
      </c>
      <c r="C1193" s="3" t="s">
        <v>3</v>
      </c>
      <c r="D1193" s="4" t="b">
        <f t="shared" si="1"/>
        <v>0</v>
      </c>
      <c r="E1193" s="4" t="s">
        <v>1618</v>
      </c>
    </row>
    <row r="1194">
      <c r="A1194" s="3" t="s">
        <v>1619</v>
      </c>
      <c r="B1194" s="3">
        <v>0.0</v>
      </c>
      <c r="C1194" s="3" t="s">
        <v>29</v>
      </c>
      <c r="D1194" s="4" t="b">
        <f t="shared" si="1"/>
        <v>0</v>
      </c>
      <c r="E1194" s="4" t="s">
        <v>1619</v>
      </c>
    </row>
    <row r="1195">
      <c r="A1195" s="3" t="s">
        <v>1620</v>
      </c>
      <c r="B1195" s="3">
        <v>40700.0</v>
      </c>
      <c r="C1195" s="3" t="s">
        <v>216</v>
      </c>
      <c r="D1195" s="4" t="b">
        <f t="shared" si="1"/>
        <v>0</v>
      </c>
      <c r="E1195" s="4" t="s">
        <v>1620</v>
      </c>
    </row>
    <row r="1196">
      <c r="A1196" s="3" t="s">
        <v>1622</v>
      </c>
      <c r="B1196" s="3">
        <v>0.0</v>
      </c>
      <c r="C1196" s="3" t="s">
        <v>3</v>
      </c>
      <c r="D1196" s="4" t="b">
        <f t="shared" si="1"/>
        <v>0</v>
      </c>
      <c r="E1196" s="4" t="s">
        <v>1622</v>
      </c>
    </row>
    <row r="1197">
      <c r="A1197" s="3" t="s">
        <v>1623</v>
      </c>
      <c r="B1197" s="3">
        <v>0.0</v>
      </c>
      <c r="C1197" s="3" t="s">
        <v>6</v>
      </c>
      <c r="D1197" s="4" t="b">
        <f t="shared" si="1"/>
        <v>0</v>
      </c>
      <c r="E1197" s="4" t="s">
        <v>1623</v>
      </c>
    </row>
    <row r="1198">
      <c r="A1198" s="3" t="s">
        <v>1624</v>
      </c>
      <c r="B1198" s="3">
        <v>17000.0</v>
      </c>
      <c r="C1198" s="4"/>
      <c r="D1198" s="4" t="b">
        <f t="shared" si="1"/>
        <v>0</v>
      </c>
      <c r="E1198" s="4" t="s">
        <v>1624</v>
      </c>
    </row>
    <row r="1199">
      <c r="A1199" s="3" t="s">
        <v>1625</v>
      </c>
      <c r="B1199" s="3">
        <v>0.0</v>
      </c>
      <c r="C1199" s="3" t="s">
        <v>29</v>
      </c>
      <c r="D1199" s="4" t="b">
        <f t="shared" si="1"/>
        <v>0</v>
      </c>
      <c r="E1199" s="4" t="s">
        <v>1625</v>
      </c>
    </row>
    <row r="1200">
      <c r="A1200" s="3" t="s">
        <v>1626</v>
      </c>
      <c r="B1200" s="3">
        <v>10000.0</v>
      </c>
      <c r="C1200" s="3" t="s">
        <v>29</v>
      </c>
      <c r="D1200" s="4" t="b">
        <f t="shared" si="1"/>
        <v>0</v>
      </c>
      <c r="E1200" s="4" t="s">
        <v>1626</v>
      </c>
    </row>
    <row r="1201">
      <c r="A1201" s="3" t="s">
        <v>1627</v>
      </c>
      <c r="B1201" s="3">
        <v>0.0</v>
      </c>
      <c r="C1201" s="3" t="s">
        <v>6</v>
      </c>
      <c r="D1201" s="4" t="b">
        <f t="shared" si="1"/>
        <v>0</v>
      </c>
      <c r="E1201" s="4" t="s">
        <v>1627</v>
      </c>
    </row>
    <row r="1202">
      <c r="A1202" s="3" t="s">
        <v>1628</v>
      </c>
      <c r="B1202" s="3">
        <v>4000.0</v>
      </c>
      <c r="C1202" s="4"/>
      <c r="D1202" s="4" t="b">
        <f t="shared" si="1"/>
        <v>0</v>
      </c>
      <c r="E1202" s="4" t="s">
        <v>1628</v>
      </c>
    </row>
    <row r="1203">
      <c r="A1203" s="3" t="s">
        <v>1629</v>
      </c>
      <c r="B1203" s="3">
        <v>0.0</v>
      </c>
      <c r="C1203" s="3" t="s">
        <v>3</v>
      </c>
      <c r="D1203" s="4" t="b">
        <f t="shared" si="1"/>
        <v>0</v>
      </c>
      <c r="E1203" s="4" t="s">
        <v>1629</v>
      </c>
    </row>
    <row r="1204">
      <c r="A1204" s="3" t="s">
        <v>1630</v>
      </c>
      <c r="B1204" s="3">
        <v>0.0</v>
      </c>
      <c r="C1204" s="3" t="s">
        <v>3</v>
      </c>
      <c r="D1204" s="4" t="b">
        <f t="shared" si="1"/>
        <v>0</v>
      </c>
      <c r="E1204" s="4" t="s">
        <v>1630</v>
      </c>
    </row>
    <row r="1205">
      <c r="A1205" s="3" t="s">
        <v>1631</v>
      </c>
      <c r="B1205" s="3">
        <v>0.0</v>
      </c>
      <c r="C1205" s="3" t="s">
        <v>3</v>
      </c>
      <c r="D1205" s="4" t="b">
        <f t="shared" si="1"/>
        <v>0</v>
      </c>
      <c r="E1205" s="4" t="s">
        <v>1631</v>
      </c>
    </row>
    <row r="1206">
      <c r="A1206" s="3" t="s">
        <v>1632</v>
      </c>
      <c r="B1206" s="3">
        <v>0.0</v>
      </c>
      <c r="C1206" s="3" t="s">
        <v>3</v>
      </c>
      <c r="D1206" s="4" t="b">
        <f t="shared" si="1"/>
        <v>0</v>
      </c>
      <c r="E1206" s="4" t="s">
        <v>1632</v>
      </c>
    </row>
    <row r="1207">
      <c r="A1207" s="3" t="s">
        <v>1633</v>
      </c>
      <c r="B1207" s="3">
        <v>0.0</v>
      </c>
      <c r="C1207" s="3" t="s">
        <v>668</v>
      </c>
      <c r="D1207" s="4" t="b">
        <f t="shared" si="1"/>
        <v>0</v>
      </c>
      <c r="E1207" s="4" t="s">
        <v>1633</v>
      </c>
    </row>
    <row r="1208">
      <c r="A1208" s="3" t="s">
        <v>1634</v>
      </c>
      <c r="B1208" s="3">
        <v>0.0</v>
      </c>
      <c r="C1208" s="3" t="s">
        <v>3</v>
      </c>
      <c r="D1208" s="4" t="b">
        <f t="shared" si="1"/>
        <v>0</v>
      </c>
      <c r="E1208" s="4" t="s">
        <v>1634</v>
      </c>
    </row>
    <row r="1209">
      <c r="A1209" s="3" t="s">
        <v>1635</v>
      </c>
      <c r="B1209" s="3">
        <v>130000.0</v>
      </c>
      <c r="C1209" s="3" t="s">
        <v>3</v>
      </c>
      <c r="D1209" s="4" t="b">
        <f t="shared" si="1"/>
        <v>0</v>
      </c>
      <c r="E1209" s="4" t="s">
        <v>1635</v>
      </c>
    </row>
    <row r="1210">
      <c r="A1210" s="3" t="s">
        <v>1637</v>
      </c>
      <c r="B1210" s="3">
        <v>20686.0</v>
      </c>
      <c r="C1210" s="4"/>
      <c r="D1210" s="4" t="b">
        <f t="shared" si="1"/>
        <v>0</v>
      </c>
      <c r="E1210" s="4" t="s">
        <v>1637</v>
      </c>
    </row>
    <row r="1211">
      <c r="A1211" s="3" t="s">
        <v>1639</v>
      </c>
      <c r="B1211" s="3">
        <v>170592.0</v>
      </c>
      <c r="C1211" s="4"/>
      <c r="D1211" s="4" t="b">
        <f t="shared" si="1"/>
        <v>0</v>
      </c>
      <c r="E1211" s="4" t="s">
        <v>1639</v>
      </c>
    </row>
    <row r="1212">
      <c r="A1212" s="3" t="s">
        <v>1641</v>
      </c>
      <c r="B1212" s="3">
        <v>500.0</v>
      </c>
      <c r="C1212" s="4"/>
      <c r="D1212" s="4" t="b">
        <f t="shared" si="1"/>
        <v>0</v>
      </c>
      <c r="E1212" s="4" t="s">
        <v>1641</v>
      </c>
    </row>
    <row r="1213">
      <c r="A1213" s="3" t="s">
        <v>1642</v>
      </c>
      <c r="B1213" s="3">
        <v>2000.0</v>
      </c>
      <c r="C1213" s="4"/>
      <c r="D1213" s="4" t="b">
        <f t="shared" si="1"/>
        <v>0</v>
      </c>
      <c r="E1213" s="4" t="s">
        <v>1642</v>
      </c>
    </row>
    <row r="1214">
      <c r="A1214" s="3" t="s">
        <v>1643</v>
      </c>
      <c r="B1214" s="3">
        <v>865.0</v>
      </c>
      <c r="C1214" s="4"/>
      <c r="D1214" s="4" t="b">
        <f t="shared" si="1"/>
        <v>0</v>
      </c>
      <c r="E1214" s="4" t="s">
        <v>1643</v>
      </c>
    </row>
    <row r="1215">
      <c r="A1215" s="3" t="s">
        <v>1645</v>
      </c>
      <c r="B1215" s="3">
        <v>0.0</v>
      </c>
      <c r="C1215" s="3" t="s">
        <v>3</v>
      </c>
      <c r="D1215" s="4" t="b">
        <f t="shared" si="1"/>
        <v>0</v>
      </c>
      <c r="E1215" s="4" t="s">
        <v>1645</v>
      </c>
    </row>
    <row r="1216">
      <c r="A1216" s="3" t="s">
        <v>1646</v>
      </c>
      <c r="B1216" s="3">
        <v>0.0</v>
      </c>
      <c r="C1216" s="3" t="s">
        <v>32</v>
      </c>
      <c r="D1216" s="4" t="b">
        <f t="shared" si="1"/>
        <v>0</v>
      </c>
      <c r="E1216" s="4" t="s">
        <v>1646</v>
      </c>
    </row>
    <row r="1217">
      <c r="A1217" s="3" t="s">
        <v>1647</v>
      </c>
      <c r="B1217" s="3">
        <v>200.0</v>
      </c>
      <c r="C1217" s="3" t="s">
        <v>3</v>
      </c>
      <c r="D1217" s="4" t="b">
        <f t="shared" si="1"/>
        <v>0</v>
      </c>
      <c r="E1217" s="4" t="s">
        <v>2287</v>
      </c>
    </row>
    <row r="1218">
      <c r="A1218" s="3" t="s">
        <v>1650</v>
      </c>
      <c r="B1218" s="3">
        <v>0.0</v>
      </c>
      <c r="C1218" s="3" t="s">
        <v>1651</v>
      </c>
      <c r="D1218" s="4" t="b">
        <f t="shared" si="1"/>
        <v>0</v>
      </c>
      <c r="E1218" s="4" t="s">
        <v>1650</v>
      </c>
    </row>
    <row r="1219">
      <c r="A1219" s="3" t="s">
        <v>1652</v>
      </c>
      <c r="B1219" s="3">
        <v>0.0</v>
      </c>
      <c r="C1219" s="3" t="s">
        <v>3</v>
      </c>
      <c r="D1219" s="4" t="b">
        <f t="shared" si="1"/>
        <v>0</v>
      </c>
      <c r="E1219" s="4" t="s">
        <v>1652</v>
      </c>
    </row>
    <row r="1220">
      <c r="A1220" s="3" t="s">
        <v>1653</v>
      </c>
      <c r="B1220" s="3">
        <v>1000.0</v>
      </c>
      <c r="C1220" s="4"/>
      <c r="D1220" s="4" t="b">
        <f t="shared" si="1"/>
        <v>0</v>
      </c>
      <c r="E1220" s="4" t="s">
        <v>1653</v>
      </c>
    </row>
    <row r="1221">
      <c r="A1221" s="3" t="s">
        <v>1654</v>
      </c>
      <c r="B1221" s="3">
        <v>120000.0</v>
      </c>
      <c r="C1221" s="4"/>
      <c r="D1221" s="4" t="b">
        <f t="shared" si="1"/>
        <v>0</v>
      </c>
      <c r="E1221" s="4" t="s">
        <v>1654</v>
      </c>
    </row>
    <row r="1222">
      <c r="A1222" s="3" t="s">
        <v>1656</v>
      </c>
      <c r="B1222" s="3">
        <v>1500.0</v>
      </c>
      <c r="C1222" s="4"/>
      <c r="D1222" s="4" t="b">
        <f t="shared" si="1"/>
        <v>0</v>
      </c>
      <c r="E1222" s="4" t="s">
        <v>1656</v>
      </c>
    </row>
    <row r="1223">
      <c r="A1223" s="3" t="s">
        <v>1657</v>
      </c>
      <c r="B1223" s="3">
        <v>0.0</v>
      </c>
      <c r="C1223" s="3" t="s">
        <v>3</v>
      </c>
      <c r="D1223" s="4" t="b">
        <f t="shared" si="1"/>
        <v>0</v>
      </c>
      <c r="E1223" s="4" t="s">
        <v>1657</v>
      </c>
    </row>
    <row r="1224">
      <c r="A1224" s="3" t="s">
        <v>1658</v>
      </c>
      <c r="B1224" s="3">
        <v>4000.0</v>
      </c>
      <c r="C1224" s="4"/>
      <c r="D1224" s="4" t="b">
        <f t="shared" si="1"/>
        <v>0</v>
      </c>
      <c r="E1224" s="4" t="s">
        <v>1658</v>
      </c>
    </row>
    <row r="1225">
      <c r="A1225" s="3" t="s">
        <v>1659</v>
      </c>
      <c r="B1225" s="3">
        <v>600.0</v>
      </c>
      <c r="C1225" s="4"/>
      <c r="D1225" s="4" t="b">
        <f t="shared" si="1"/>
        <v>0</v>
      </c>
      <c r="E1225" s="4" t="s">
        <v>1659</v>
      </c>
    </row>
    <row r="1226">
      <c r="A1226" s="3" t="s">
        <v>1660</v>
      </c>
      <c r="B1226" s="3">
        <v>0.0</v>
      </c>
      <c r="C1226" s="3" t="s">
        <v>3</v>
      </c>
      <c r="D1226" s="4" t="b">
        <f t="shared" si="1"/>
        <v>0</v>
      </c>
      <c r="E1226" s="4" t="s">
        <v>1660</v>
      </c>
    </row>
    <row r="1227">
      <c r="A1227" s="3" t="s">
        <v>1661</v>
      </c>
      <c r="B1227" s="3">
        <v>0.0</v>
      </c>
      <c r="C1227" s="3" t="s">
        <v>3</v>
      </c>
      <c r="D1227" s="4" t="b">
        <f t="shared" si="1"/>
        <v>0</v>
      </c>
      <c r="E1227" s="4" t="s">
        <v>1661</v>
      </c>
    </row>
    <row r="1228">
      <c r="A1228" s="3" t="s">
        <v>1662</v>
      </c>
      <c r="B1228" s="3">
        <v>14000.0</v>
      </c>
      <c r="C1228" s="4"/>
      <c r="D1228" s="4" t="b">
        <f t="shared" si="1"/>
        <v>0</v>
      </c>
      <c r="E1228" s="4" t="s">
        <v>1662</v>
      </c>
    </row>
    <row r="1229">
      <c r="A1229" s="3" t="s">
        <v>1663</v>
      </c>
      <c r="B1229" s="3">
        <v>600.0</v>
      </c>
      <c r="C1229" s="4"/>
      <c r="D1229" s="4" t="b">
        <f t="shared" si="1"/>
        <v>0</v>
      </c>
      <c r="E1229" s="4" t="s">
        <v>1663</v>
      </c>
    </row>
    <row r="1230">
      <c r="A1230" s="3" t="s">
        <v>1664</v>
      </c>
      <c r="B1230" s="3">
        <v>0.0</v>
      </c>
      <c r="C1230" s="3" t="s">
        <v>3</v>
      </c>
      <c r="D1230" s="4" t="b">
        <f t="shared" si="1"/>
        <v>0</v>
      </c>
      <c r="E1230" s="4" t="s">
        <v>1664</v>
      </c>
    </row>
    <row r="1231">
      <c r="A1231" s="3" t="s">
        <v>1665</v>
      </c>
      <c r="B1231" s="3">
        <v>27000.0</v>
      </c>
      <c r="C1231" s="3" t="s">
        <v>580</v>
      </c>
      <c r="D1231" s="4" t="b">
        <f t="shared" si="1"/>
        <v>0</v>
      </c>
      <c r="E1231" s="4" t="s">
        <v>2288</v>
      </c>
    </row>
    <row r="1232">
      <c r="A1232" s="3" t="s">
        <v>1666</v>
      </c>
      <c r="B1232" s="3">
        <v>0.0</v>
      </c>
      <c r="C1232" s="3" t="s">
        <v>6</v>
      </c>
      <c r="D1232" s="4" t="b">
        <f t="shared" si="1"/>
        <v>0</v>
      </c>
      <c r="E1232" s="4" t="s">
        <v>1666</v>
      </c>
    </row>
    <row r="1233">
      <c r="A1233" s="3" t="s">
        <v>1667</v>
      </c>
      <c r="B1233" s="3">
        <v>2500.0</v>
      </c>
      <c r="C1233" s="4"/>
      <c r="D1233" s="4" t="b">
        <f t="shared" si="1"/>
        <v>0</v>
      </c>
      <c r="E1233" s="4" t="s">
        <v>1667</v>
      </c>
    </row>
    <row r="1234">
      <c r="A1234" s="3" t="s">
        <v>1668</v>
      </c>
      <c r="B1234" s="3">
        <v>0.0</v>
      </c>
      <c r="C1234" s="3" t="s">
        <v>3</v>
      </c>
      <c r="D1234" s="4" t="b">
        <f t="shared" si="1"/>
        <v>0</v>
      </c>
      <c r="E1234" s="4" t="s">
        <v>1668</v>
      </c>
    </row>
    <row r="1235">
      <c r="A1235" s="3" t="s">
        <v>1669</v>
      </c>
      <c r="B1235" s="3">
        <v>1000.0</v>
      </c>
      <c r="C1235" s="3" t="s">
        <v>32</v>
      </c>
      <c r="D1235" s="4" t="b">
        <f t="shared" si="1"/>
        <v>0</v>
      </c>
      <c r="E1235" s="4" t="s">
        <v>1669</v>
      </c>
    </row>
    <row r="1236">
      <c r="A1236" s="3" t="s">
        <v>1670</v>
      </c>
      <c r="B1236" s="3">
        <v>0.0</v>
      </c>
      <c r="C1236" s="3" t="s">
        <v>3</v>
      </c>
      <c r="D1236" s="4" t="b">
        <f t="shared" si="1"/>
        <v>0</v>
      </c>
      <c r="E1236" s="4" t="s">
        <v>1670</v>
      </c>
    </row>
    <row r="1237">
      <c r="A1237" s="3" t="s">
        <v>1671</v>
      </c>
      <c r="B1237" s="3">
        <v>22500.0</v>
      </c>
      <c r="C1237" s="4"/>
      <c r="D1237" s="4" t="b">
        <f t="shared" si="1"/>
        <v>0</v>
      </c>
      <c r="E1237" s="4" t="s">
        <v>1671</v>
      </c>
    </row>
    <row r="1238">
      <c r="A1238" s="3" t="s">
        <v>1672</v>
      </c>
      <c r="B1238" s="3">
        <v>2500.0</v>
      </c>
      <c r="C1238" s="4"/>
      <c r="D1238" s="4" t="b">
        <f t="shared" si="1"/>
        <v>0</v>
      </c>
      <c r="E1238" s="4" t="s">
        <v>1672</v>
      </c>
    </row>
    <row r="1239">
      <c r="A1239" s="3" t="s">
        <v>1673</v>
      </c>
      <c r="B1239" s="3">
        <v>567000.0</v>
      </c>
      <c r="C1239" s="3" t="s">
        <v>6</v>
      </c>
      <c r="D1239" s="4" t="b">
        <f t="shared" si="1"/>
        <v>0</v>
      </c>
      <c r="E1239" s="4" t="s">
        <v>1673</v>
      </c>
    </row>
    <row r="1240">
      <c r="A1240" s="3" t="s">
        <v>1675</v>
      </c>
      <c r="B1240" s="3">
        <v>0.0</v>
      </c>
      <c r="C1240" s="3" t="s">
        <v>3</v>
      </c>
      <c r="D1240" s="4" t="b">
        <f t="shared" si="1"/>
        <v>0</v>
      </c>
      <c r="E1240" s="4" t="s">
        <v>1675</v>
      </c>
    </row>
    <row r="1241">
      <c r="A1241" s="3" t="s">
        <v>1676</v>
      </c>
      <c r="B1241" s="3">
        <v>237000.0</v>
      </c>
      <c r="C1241" s="3" t="s">
        <v>580</v>
      </c>
      <c r="D1241" s="4" t="b">
        <f t="shared" si="1"/>
        <v>0</v>
      </c>
      <c r="E1241" s="4" t="s">
        <v>2289</v>
      </c>
    </row>
    <row r="1242">
      <c r="A1242" s="3" t="s">
        <v>1678</v>
      </c>
      <c r="B1242" s="3">
        <v>1000.0</v>
      </c>
      <c r="C1242" s="3" t="s">
        <v>32</v>
      </c>
      <c r="D1242" s="4" t="b">
        <f t="shared" si="1"/>
        <v>0</v>
      </c>
      <c r="E1242" s="4" t="s">
        <v>1678</v>
      </c>
    </row>
    <row r="1243">
      <c r="A1243" s="3" t="s">
        <v>1679</v>
      </c>
      <c r="B1243" s="3">
        <v>1800.0</v>
      </c>
      <c r="C1243" s="4"/>
      <c r="D1243" s="4" t="b">
        <f t="shared" si="1"/>
        <v>0</v>
      </c>
      <c r="E1243" s="4" t="s">
        <v>1679</v>
      </c>
    </row>
    <row r="1244">
      <c r="A1244" s="3" t="s">
        <v>1680</v>
      </c>
      <c r="B1244" s="3">
        <v>0.0</v>
      </c>
      <c r="C1244" s="3" t="s">
        <v>3</v>
      </c>
      <c r="D1244" s="4" t="b">
        <f t="shared" si="1"/>
        <v>0</v>
      </c>
      <c r="E1244" s="4" t="s">
        <v>2290</v>
      </c>
    </row>
    <row r="1245">
      <c r="A1245" s="3" t="s">
        <v>1682</v>
      </c>
      <c r="B1245" s="3">
        <v>0.0</v>
      </c>
      <c r="C1245" s="3" t="s">
        <v>3</v>
      </c>
      <c r="D1245" s="4" t="b">
        <f t="shared" si="1"/>
        <v>0</v>
      </c>
      <c r="E1245" s="4" t="s">
        <v>1682</v>
      </c>
    </row>
    <row r="1246">
      <c r="A1246" s="3" t="s">
        <v>1683</v>
      </c>
      <c r="B1246" s="3">
        <v>1650.0</v>
      </c>
      <c r="C1246" s="4"/>
      <c r="D1246" s="4" t="b">
        <f t="shared" si="1"/>
        <v>0</v>
      </c>
      <c r="E1246" s="4" t="s">
        <v>1683</v>
      </c>
    </row>
    <row r="1247">
      <c r="A1247" s="3" t="s">
        <v>1685</v>
      </c>
      <c r="B1247" s="3">
        <v>0.0</v>
      </c>
      <c r="C1247" s="3" t="s">
        <v>3</v>
      </c>
      <c r="D1247" s="4" t="b">
        <f t="shared" si="1"/>
        <v>0</v>
      </c>
      <c r="E1247" s="4" t="s">
        <v>1685</v>
      </c>
    </row>
    <row r="1248">
      <c r="A1248" s="3" t="s">
        <v>1686</v>
      </c>
      <c r="B1248" s="3">
        <v>0.0</v>
      </c>
      <c r="C1248" s="3" t="s">
        <v>3</v>
      </c>
      <c r="D1248" s="4" t="b">
        <f t="shared" si="1"/>
        <v>0</v>
      </c>
      <c r="E1248" s="4" t="s">
        <v>1686</v>
      </c>
    </row>
    <row r="1249">
      <c r="A1249" s="3" t="s">
        <v>1687</v>
      </c>
      <c r="B1249" s="3">
        <v>0.0</v>
      </c>
      <c r="C1249" s="3" t="s">
        <v>29</v>
      </c>
      <c r="D1249" s="4" t="b">
        <f t="shared" si="1"/>
        <v>0</v>
      </c>
      <c r="E1249" s="4" t="s">
        <v>1687</v>
      </c>
    </row>
    <row r="1250">
      <c r="A1250" s="3" t="s">
        <v>1688</v>
      </c>
      <c r="B1250" s="3">
        <v>2000.0</v>
      </c>
      <c r="C1250" s="3" t="s">
        <v>3</v>
      </c>
      <c r="D1250" s="4" t="b">
        <f t="shared" si="1"/>
        <v>0</v>
      </c>
      <c r="E1250" s="4" t="s">
        <v>1688</v>
      </c>
    </row>
    <row r="1251">
      <c r="A1251" s="3" t="s">
        <v>1689</v>
      </c>
      <c r="B1251" s="3">
        <v>700.0</v>
      </c>
      <c r="C1251" s="4"/>
      <c r="D1251" s="4" t="b">
        <f t="shared" si="1"/>
        <v>0</v>
      </c>
      <c r="E1251" s="4" t="s">
        <v>1689</v>
      </c>
    </row>
    <row r="1252">
      <c r="A1252" s="3" t="s">
        <v>1690</v>
      </c>
      <c r="B1252" s="3">
        <v>0.0</v>
      </c>
      <c r="C1252" s="3" t="s">
        <v>29</v>
      </c>
      <c r="D1252" s="4" t="b">
        <f t="shared" si="1"/>
        <v>0</v>
      </c>
      <c r="E1252" s="4" t="s">
        <v>1690</v>
      </c>
    </row>
    <row r="1253">
      <c r="A1253" s="3" t="s">
        <v>1691</v>
      </c>
      <c r="B1253" s="3">
        <v>0.0</v>
      </c>
      <c r="C1253" s="3" t="s">
        <v>484</v>
      </c>
      <c r="D1253" s="4" t="b">
        <f t="shared" si="1"/>
        <v>0</v>
      </c>
      <c r="E1253" s="4" t="s">
        <v>1691</v>
      </c>
    </row>
    <row r="1254">
      <c r="A1254" s="3" t="s">
        <v>1692</v>
      </c>
      <c r="B1254" s="3">
        <v>10000.0</v>
      </c>
      <c r="C1254" s="3" t="s">
        <v>1693</v>
      </c>
      <c r="D1254" s="4" t="b">
        <f t="shared" si="1"/>
        <v>0</v>
      </c>
      <c r="E1254" s="4" t="s">
        <v>1692</v>
      </c>
    </row>
    <row r="1255">
      <c r="A1255" s="3" t="s">
        <v>1694</v>
      </c>
      <c r="B1255" s="3">
        <v>0.0</v>
      </c>
      <c r="C1255" s="3" t="s">
        <v>32</v>
      </c>
      <c r="D1255" s="4" t="b">
        <f t="shared" si="1"/>
        <v>0</v>
      </c>
      <c r="E1255" s="4" t="s">
        <v>1694</v>
      </c>
    </row>
    <row r="1256">
      <c r="A1256" s="3" t="s">
        <v>1695</v>
      </c>
      <c r="B1256" s="3">
        <v>0.0</v>
      </c>
      <c r="C1256" s="3" t="s">
        <v>3</v>
      </c>
      <c r="D1256" s="4" t="b">
        <f t="shared" si="1"/>
        <v>0</v>
      </c>
      <c r="E1256" s="4" t="s">
        <v>1695</v>
      </c>
    </row>
    <row r="1257">
      <c r="A1257" s="3" t="s">
        <v>1696</v>
      </c>
      <c r="B1257" s="3">
        <v>800.0</v>
      </c>
      <c r="C1257" s="4"/>
      <c r="D1257" s="4" t="b">
        <f t="shared" si="1"/>
        <v>0</v>
      </c>
      <c r="E1257" s="4" t="s">
        <v>1696</v>
      </c>
    </row>
    <row r="1258">
      <c r="A1258" s="3" t="s">
        <v>1697</v>
      </c>
      <c r="B1258" s="3">
        <v>500.0</v>
      </c>
      <c r="C1258" s="3" t="s">
        <v>32</v>
      </c>
      <c r="D1258" s="4" t="b">
        <f t="shared" si="1"/>
        <v>0</v>
      </c>
      <c r="E1258" s="4" t="s">
        <v>1697</v>
      </c>
    </row>
    <row r="1259">
      <c r="A1259" s="3" t="s">
        <v>1698</v>
      </c>
      <c r="B1259" s="3">
        <v>1500.0</v>
      </c>
      <c r="C1259" s="3" t="s">
        <v>6</v>
      </c>
      <c r="D1259" s="4" t="b">
        <f t="shared" si="1"/>
        <v>0</v>
      </c>
      <c r="E1259" s="4" t="s">
        <v>1698</v>
      </c>
    </row>
    <row r="1260">
      <c r="A1260" s="3" t="s">
        <v>1699</v>
      </c>
      <c r="B1260" s="3">
        <v>0.0</v>
      </c>
      <c r="C1260" s="3" t="s">
        <v>3</v>
      </c>
      <c r="D1260" s="4" t="b">
        <f t="shared" si="1"/>
        <v>0</v>
      </c>
      <c r="E1260" s="4" t="s">
        <v>1699</v>
      </c>
    </row>
    <row r="1261">
      <c r="A1261" s="3" t="s">
        <v>1700</v>
      </c>
      <c r="B1261" s="3">
        <v>0.0</v>
      </c>
      <c r="C1261" s="3" t="s">
        <v>3</v>
      </c>
      <c r="D1261" s="4" t="b">
        <f t="shared" si="1"/>
        <v>0</v>
      </c>
      <c r="E1261" s="4" t="s">
        <v>1700</v>
      </c>
    </row>
    <row r="1262">
      <c r="A1262" s="3" t="s">
        <v>1701</v>
      </c>
      <c r="B1262" s="3">
        <v>2500.0</v>
      </c>
      <c r="C1262" s="3" t="s">
        <v>3</v>
      </c>
      <c r="D1262" s="4" t="b">
        <f t="shared" si="1"/>
        <v>0</v>
      </c>
      <c r="E1262" s="4" t="s">
        <v>1701</v>
      </c>
    </row>
    <row r="1263">
      <c r="A1263" s="3" t="s">
        <v>1702</v>
      </c>
      <c r="B1263" s="3">
        <v>1000.0</v>
      </c>
      <c r="C1263" s="3" t="s">
        <v>3</v>
      </c>
      <c r="D1263" s="4" t="b">
        <f t="shared" si="1"/>
        <v>0</v>
      </c>
      <c r="E1263" s="4" t="s">
        <v>1702</v>
      </c>
    </row>
    <row r="1264">
      <c r="A1264" s="3" t="s">
        <v>1703</v>
      </c>
      <c r="B1264" s="3">
        <v>0.0</v>
      </c>
      <c r="C1264" s="3" t="s">
        <v>3</v>
      </c>
      <c r="D1264" s="4" t="b">
        <f t="shared" si="1"/>
        <v>0</v>
      </c>
      <c r="E1264" s="4" t="s">
        <v>1703</v>
      </c>
    </row>
    <row r="1265">
      <c r="A1265" s="3" t="s">
        <v>1704</v>
      </c>
      <c r="B1265" s="3">
        <v>0.0</v>
      </c>
      <c r="C1265" s="3" t="s">
        <v>3</v>
      </c>
      <c r="D1265" s="4" t="b">
        <f t="shared" si="1"/>
        <v>0</v>
      </c>
      <c r="E1265" s="4" t="s">
        <v>1704</v>
      </c>
    </row>
    <row r="1266">
      <c r="A1266" s="3" t="s">
        <v>1705</v>
      </c>
      <c r="B1266" s="3">
        <v>0.0</v>
      </c>
      <c r="C1266" s="3" t="s">
        <v>3</v>
      </c>
      <c r="D1266" s="4" t="b">
        <f t="shared" si="1"/>
        <v>0</v>
      </c>
      <c r="E1266" s="4" t="s">
        <v>1705</v>
      </c>
    </row>
    <row r="1267">
      <c r="A1267" s="3" t="s">
        <v>1706</v>
      </c>
      <c r="B1267" s="3">
        <v>0.0</v>
      </c>
      <c r="C1267" s="3" t="s">
        <v>6</v>
      </c>
      <c r="D1267" s="4" t="b">
        <f t="shared" si="1"/>
        <v>0</v>
      </c>
      <c r="E1267" s="4" t="s">
        <v>1706</v>
      </c>
    </row>
    <row r="1268">
      <c r="A1268" s="3" t="s">
        <v>1707</v>
      </c>
      <c r="B1268" s="3">
        <v>0.0</v>
      </c>
      <c r="C1268" s="3" t="s">
        <v>6</v>
      </c>
      <c r="D1268" s="4" t="b">
        <f t="shared" si="1"/>
        <v>0</v>
      </c>
      <c r="E1268" s="4" t="s">
        <v>1707</v>
      </c>
    </row>
    <row r="1269">
      <c r="A1269" s="3" t="s">
        <v>1708</v>
      </c>
      <c r="B1269" s="3">
        <v>0.0</v>
      </c>
      <c r="C1269" s="3" t="s">
        <v>3</v>
      </c>
      <c r="D1269" s="4" t="b">
        <f t="shared" si="1"/>
        <v>0</v>
      </c>
      <c r="E1269" s="4" t="s">
        <v>1708</v>
      </c>
    </row>
    <row r="1270">
      <c r="A1270" s="3" t="s">
        <v>1709</v>
      </c>
      <c r="B1270" s="3">
        <v>4000.0</v>
      </c>
      <c r="C1270" s="4"/>
      <c r="D1270" s="4" t="b">
        <f t="shared" si="1"/>
        <v>0</v>
      </c>
      <c r="E1270" s="4" t="s">
        <v>1709</v>
      </c>
    </row>
    <row r="1271">
      <c r="A1271" s="3" t="s">
        <v>1710</v>
      </c>
      <c r="B1271" s="3">
        <v>3000.0</v>
      </c>
      <c r="C1271" s="3" t="s">
        <v>6</v>
      </c>
      <c r="D1271" s="4" t="b">
        <f t="shared" si="1"/>
        <v>0</v>
      </c>
      <c r="E1271" s="4" t="s">
        <v>1710</v>
      </c>
    </row>
    <row r="1272">
      <c r="A1272" s="3" t="s">
        <v>1711</v>
      </c>
      <c r="B1272" s="3">
        <v>0.0</v>
      </c>
      <c r="C1272" s="3" t="s">
        <v>3</v>
      </c>
      <c r="D1272" s="4" t="b">
        <f t="shared" si="1"/>
        <v>0</v>
      </c>
      <c r="E1272" s="4" t="s">
        <v>1711</v>
      </c>
    </row>
    <row r="1273">
      <c r="A1273" s="3" t="s">
        <v>1712</v>
      </c>
      <c r="B1273" s="3">
        <v>500.0</v>
      </c>
      <c r="C1273" s="4"/>
      <c r="D1273" s="4" t="b">
        <f t="shared" si="1"/>
        <v>0</v>
      </c>
      <c r="E1273" s="4" t="s">
        <v>1712</v>
      </c>
    </row>
    <row r="1274">
      <c r="A1274" s="3" t="s">
        <v>1713</v>
      </c>
      <c r="B1274" s="3">
        <v>1000.0</v>
      </c>
      <c r="C1274" s="3" t="s">
        <v>668</v>
      </c>
      <c r="D1274" s="4" t="b">
        <f t="shared" si="1"/>
        <v>0</v>
      </c>
      <c r="E1274" s="4" t="s">
        <v>2291</v>
      </c>
    </row>
    <row r="1275">
      <c r="A1275" s="3" t="s">
        <v>1715</v>
      </c>
      <c r="B1275" s="3">
        <v>357672.0</v>
      </c>
      <c r="C1275" s="3" t="s">
        <v>3</v>
      </c>
      <c r="D1275" s="4" t="b">
        <f t="shared" si="1"/>
        <v>0</v>
      </c>
      <c r="E1275" s="4" t="s">
        <v>2292</v>
      </c>
    </row>
    <row r="1276">
      <c r="A1276" s="3" t="s">
        <v>1718</v>
      </c>
      <c r="B1276" s="3">
        <v>21350.0</v>
      </c>
      <c r="C1276" s="3" t="s">
        <v>32</v>
      </c>
      <c r="D1276" s="4" t="b">
        <f t="shared" si="1"/>
        <v>0</v>
      </c>
      <c r="E1276" s="4" t="s">
        <v>1718</v>
      </c>
    </row>
    <row r="1277">
      <c r="A1277" s="3" t="s">
        <v>1720</v>
      </c>
      <c r="B1277" s="3">
        <v>0.0</v>
      </c>
      <c r="C1277" s="3" t="s">
        <v>3</v>
      </c>
      <c r="D1277" s="4" t="b">
        <f t="shared" si="1"/>
        <v>0</v>
      </c>
      <c r="E1277" s="4" t="s">
        <v>1720</v>
      </c>
    </row>
    <row r="1278">
      <c r="A1278" s="3" t="s">
        <v>1721</v>
      </c>
      <c r="B1278" s="3">
        <v>0.0</v>
      </c>
      <c r="C1278" s="3" t="s">
        <v>3</v>
      </c>
      <c r="D1278" s="4" t="b">
        <f t="shared" si="1"/>
        <v>0</v>
      </c>
      <c r="E1278" s="4" t="s">
        <v>1721</v>
      </c>
    </row>
    <row r="1279">
      <c r="A1279" s="3" t="s">
        <v>1722</v>
      </c>
      <c r="B1279" s="3">
        <v>0.0</v>
      </c>
      <c r="C1279" s="3" t="s">
        <v>3</v>
      </c>
      <c r="D1279" s="4" t="b">
        <f t="shared" si="1"/>
        <v>0</v>
      </c>
      <c r="E1279" s="4" t="s">
        <v>1722</v>
      </c>
    </row>
    <row r="1280">
      <c r="A1280" s="3" t="s">
        <v>1723</v>
      </c>
      <c r="B1280" s="3">
        <v>3800.0</v>
      </c>
      <c r="C1280" s="4"/>
      <c r="D1280" s="4" t="b">
        <f t="shared" si="1"/>
        <v>0</v>
      </c>
      <c r="E1280" s="4" t="s">
        <v>1723</v>
      </c>
    </row>
    <row r="1281">
      <c r="A1281" s="3" t="s">
        <v>1725</v>
      </c>
      <c r="B1281" s="3">
        <v>150.0</v>
      </c>
      <c r="C1281" s="4"/>
      <c r="D1281" s="4" t="b">
        <f t="shared" si="1"/>
        <v>0</v>
      </c>
      <c r="E1281" s="4" t="s">
        <v>1725</v>
      </c>
    </row>
    <row r="1282">
      <c r="A1282" s="3" t="s">
        <v>1726</v>
      </c>
      <c r="B1282" s="3">
        <v>0.0</v>
      </c>
      <c r="C1282" s="3" t="s">
        <v>32</v>
      </c>
      <c r="D1282" s="4" t="b">
        <f t="shared" si="1"/>
        <v>0</v>
      </c>
      <c r="E1282" s="4" t="s">
        <v>2293</v>
      </c>
    </row>
    <row r="1283">
      <c r="A1283" s="3" t="s">
        <v>1728</v>
      </c>
      <c r="B1283" s="3">
        <v>0.0</v>
      </c>
      <c r="C1283" s="3" t="s">
        <v>3</v>
      </c>
      <c r="D1283" s="4" t="b">
        <f t="shared" si="1"/>
        <v>0</v>
      </c>
      <c r="E1283" s="4" t="s">
        <v>1728</v>
      </c>
    </row>
    <row r="1284">
      <c r="A1284" s="3" t="s">
        <v>1729</v>
      </c>
      <c r="B1284" s="3">
        <v>0.0</v>
      </c>
      <c r="C1284" s="3" t="s">
        <v>3</v>
      </c>
      <c r="D1284" s="4" t="b">
        <f t="shared" si="1"/>
        <v>0</v>
      </c>
      <c r="E1284" s="4" t="s">
        <v>1729</v>
      </c>
    </row>
    <row r="1285">
      <c r="A1285" s="3" t="s">
        <v>1730</v>
      </c>
      <c r="B1285" s="3">
        <v>0.0</v>
      </c>
      <c r="C1285" s="3" t="s">
        <v>29</v>
      </c>
      <c r="D1285" s="4" t="b">
        <f t="shared" si="1"/>
        <v>0</v>
      </c>
      <c r="E1285" s="4" t="s">
        <v>1730</v>
      </c>
    </row>
    <row r="1286">
      <c r="A1286" s="3" t="s">
        <v>1731</v>
      </c>
      <c r="B1286" s="3">
        <v>0.0</v>
      </c>
      <c r="C1286" s="3" t="s">
        <v>6</v>
      </c>
      <c r="D1286" s="4" t="b">
        <f t="shared" si="1"/>
        <v>0</v>
      </c>
      <c r="E1286" s="4" t="s">
        <v>1731</v>
      </c>
    </row>
    <row r="1287">
      <c r="A1287" s="3" t="s">
        <v>1732</v>
      </c>
      <c r="B1287" s="3">
        <v>0.0</v>
      </c>
      <c r="C1287" s="3" t="s">
        <v>3</v>
      </c>
      <c r="D1287" s="4" t="b">
        <f t="shared" si="1"/>
        <v>0</v>
      </c>
      <c r="E1287" s="4" t="s">
        <v>1732</v>
      </c>
    </row>
    <row r="1288">
      <c r="A1288" s="3" t="s">
        <v>1733</v>
      </c>
      <c r="B1288" s="3">
        <v>31500.0</v>
      </c>
      <c r="C1288" s="3" t="s">
        <v>3</v>
      </c>
      <c r="D1288" s="4" t="b">
        <f t="shared" si="1"/>
        <v>0</v>
      </c>
      <c r="E1288" s="4" t="s">
        <v>1733</v>
      </c>
    </row>
    <row r="1289">
      <c r="A1289" s="3" t="s">
        <v>1735</v>
      </c>
      <c r="B1289" s="3">
        <v>10000.0</v>
      </c>
      <c r="C1289" s="4"/>
      <c r="D1289" s="4" t="b">
        <f t="shared" si="1"/>
        <v>0</v>
      </c>
      <c r="E1289" s="4" t="s">
        <v>1735</v>
      </c>
    </row>
    <row r="1290">
      <c r="A1290" s="3" t="s">
        <v>1736</v>
      </c>
      <c r="B1290" s="3">
        <v>35000.0</v>
      </c>
      <c r="C1290" s="3" t="s">
        <v>280</v>
      </c>
      <c r="D1290" s="4" t="b">
        <f t="shared" si="1"/>
        <v>0</v>
      </c>
      <c r="E1290" s="4" t="s">
        <v>1736</v>
      </c>
    </row>
    <row r="1291">
      <c r="A1291" s="3" t="s">
        <v>1737</v>
      </c>
      <c r="B1291" s="3">
        <v>0.0</v>
      </c>
      <c r="C1291" s="3" t="s">
        <v>3</v>
      </c>
      <c r="D1291" s="4" t="b">
        <f t="shared" si="1"/>
        <v>0</v>
      </c>
      <c r="E1291" s="4" t="s">
        <v>1737</v>
      </c>
    </row>
    <row r="1292">
      <c r="A1292" s="3" t="s">
        <v>1738</v>
      </c>
      <c r="B1292" s="3">
        <v>1500.0</v>
      </c>
      <c r="C1292" s="4"/>
      <c r="D1292" s="4" t="b">
        <f t="shared" si="1"/>
        <v>0</v>
      </c>
      <c r="E1292" s="4" t="s">
        <v>1738</v>
      </c>
    </row>
    <row r="1293">
      <c r="A1293" s="3" t="s">
        <v>1739</v>
      </c>
      <c r="B1293" s="3">
        <v>22000.0</v>
      </c>
      <c r="C1293" s="3" t="s">
        <v>484</v>
      </c>
      <c r="D1293" s="4" t="b">
        <f t="shared" si="1"/>
        <v>0</v>
      </c>
      <c r="E1293" s="4" t="s">
        <v>1739</v>
      </c>
    </row>
    <row r="1294">
      <c r="A1294" s="3" t="s">
        <v>1740</v>
      </c>
      <c r="B1294" s="3">
        <v>0.0</v>
      </c>
      <c r="C1294" s="3" t="s">
        <v>3</v>
      </c>
      <c r="D1294" s="4" t="b">
        <f t="shared" si="1"/>
        <v>0</v>
      </c>
      <c r="E1294" s="4" t="s">
        <v>1740</v>
      </c>
    </row>
    <row r="1295">
      <c r="A1295" s="3" t="s">
        <v>1741</v>
      </c>
      <c r="B1295" s="3">
        <v>0.0</v>
      </c>
      <c r="C1295" s="3" t="s">
        <v>3</v>
      </c>
      <c r="D1295" s="4" t="b">
        <f t="shared" si="1"/>
        <v>0</v>
      </c>
      <c r="E1295" s="4" t="s">
        <v>2294</v>
      </c>
    </row>
    <row r="1296">
      <c r="A1296" s="3" t="s">
        <v>1743</v>
      </c>
      <c r="B1296" s="3">
        <v>0.0</v>
      </c>
      <c r="C1296" s="3" t="s">
        <v>3</v>
      </c>
      <c r="D1296" s="4" t="b">
        <f t="shared" si="1"/>
        <v>0</v>
      </c>
      <c r="E1296" s="4" t="s">
        <v>1743</v>
      </c>
    </row>
    <row r="1297">
      <c r="A1297" s="3" t="s">
        <v>1744</v>
      </c>
      <c r="B1297" s="3">
        <v>9520.0</v>
      </c>
      <c r="C1297" s="4"/>
      <c r="D1297" s="4" t="b">
        <f t="shared" si="1"/>
        <v>0</v>
      </c>
      <c r="E1297" s="4" t="s">
        <v>1744</v>
      </c>
    </row>
    <row r="1298">
      <c r="A1298" s="3" t="s">
        <v>1746</v>
      </c>
      <c r="B1298" s="3">
        <v>900.0</v>
      </c>
      <c r="C1298" s="4"/>
      <c r="D1298" s="4" t="b">
        <f t="shared" si="1"/>
        <v>0</v>
      </c>
      <c r="E1298" s="4" t="s">
        <v>1746</v>
      </c>
    </row>
    <row r="1299">
      <c r="A1299" s="3" t="s">
        <v>1747</v>
      </c>
      <c r="B1299" s="3">
        <v>7100.0</v>
      </c>
      <c r="C1299" s="3" t="s">
        <v>6</v>
      </c>
      <c r="D1299" s="4" t="b">
        <f t="shared" si="1"/>
        <v>0</v>
      </c>
      <c r="E1299" s="4" t="s">
        <v>1747</v>
      </c>
    </row>
    <row r="1300">
      <c r="A1300" s="3" t="s">
        <v>1749</v>
      </c>
      <c r="B1300" s="3">
        <v>0.0</v>
      </c>
      <c r="C1300" s="3" t="s">
        <v>6</v>
      </c>
      <c r="D1300" s="4" t="b">
        <f t="shared" si="1"/>
        <v>0</v>
      </c>
      <c r="E1300" s="4" t="s">
        <v>1749</v>
      </c>
    </row>
    <row r="1301">
      <c r="A1301" s="3" t="s">
        <v>1750</v>
      </c>
      <c r="B1301" s="3">
        <v>0.0</v>
      </c>
      <c r="C1301" s="3" t="s">
        <v>6</v>
      </c>
      <c r="D1301" s="4" t="b">
        <f t="shared" si="1"/>
        <v>0</v>
      </c>
      <c r="E1301" s="4" t="s">
        <v>1750</v>
      </c>
    </row>
    <row r="1302">
      <c r="A1302" s="3" t="s">
        <v>1751</v>
      </c>
      <c r="B1302" s="3">
        <v>51000.0</v>
      </c>
      <c r="C1302" s="3" t="s">
        <v>3</v>
      </c>
      <c r="D1302" s="4" t="b">
        <f t="shared" si="1"/>
        <v>0</v>
      </c>
      <c r="E1302" s="4" t="s">
        <v>1751</v>
      </c>
    </row>
    <row r="1303">
      <c r="A1303" s="3" t="s">
        <v>1753</v>
      </c>
      <c r="B1303" s="3">
        <v>0.0</v>
      </c>
      <c r="C1303" s="3" t="s">
        <v>32</v>
      </c>
      <c r="D1303" s="4" t="b">
        <f t="shared" si="1"/>
        <v>0</v>
      </c>
      <c r="E1303" s="4" t="s">
        <v>1753</v>
      </c>
    </row>
    <row r="1304">
      <c r="A1304" s="3" t="s">
        <v>1754</v>
      </c>
      <c r="B1304" s="3">
        <v>6000.0</v>
      </c>
      <c r="C1304" s="3" t="s">
        <v>32</v>
      </c>
      <c r="D1304" s="4" t="b">
        <f t="shared" si="1"/>
        <v>0</v>
      </c>
      <c r="E1304" s="4" t="s">
        <v>1754</v>
      </c>
    </row>
    <row r="1305">
      <c r="A1305" s="3" t="s">
        <v>1755</v>
      </c>
      <c r="B1305" s="3">
        <v>0.0</v>
      </c>
      <c r="C1305" s="3" t="s">
        <v>3</v>
      </c>
      <c r="D1305" s="4" t="b">
        <f t="shared" si="1"/>
        <v>0</v>
      </c>
      <c r="E1305" s="4" t="s">
        <v>1755</v>
      </c>
    </row>
    <row r="1306">
      <c r="A1306" s="3" t="s">
        <v>1756</v>
      </c>
      <c r="B1306" s="3">
        <v>29985.0</v>
      </c>
      <c r="C1306" s="4"/>
      <c r="D1306" s="4" t="b">
        <f t="shared" si="1"/>
        <v>0</v>
      </c>
      <c r="E1306" s="4" t="s">
        <v>1756</v>
      </c>
    </row>
    <row r="1307">
      <c r="A1307" s="3" t="s">
        <v>1758</v>
      </c>
      <c r="B1307" s="3">
        <v>2000.0</v>
      </c>
      <c r="C1307" s="4"/>
      <c r="D1307" s="4" t="b">
        <f t="shared" si="1"/>
        <v>0</v>
      </c>
      <c r="E1307" s="4" t="s">
        <v>1758</v>
      </c>
    </row>
    <row r="1308">
      <c r="A1308" s="3" t="s">
        <v>1759</v>
      </c>
      <c r="B1308" s="3">
        <v>10000.0</v>
      </c>
      <c r="C1308" s="3" t="s">
        <v>6</v>
      </c>
      <c r="D1308" s="4" t="b">
        <f t="shared" si="1"/>
        <v>0</v>
      </c>
      <c r="E1308" s="4" t="s">
        <v>1759</v>
      </c>
    </row>
    <row r="1309">
      <c r="A1309" s="3" t="s">
        <v>1760</v>
      </c>
      <c r="B1309" s="3">
        <v>0.0</v>
      </c>
      <c r="C1309" s="3" t="s">
        <v>3</v>
      </c>
      <c r="D1309" s="4" t="b">
        <f t="shared" si="1"/>
        <v>0</v>
      </c>
      <c r="E1309" s="4" t="s">
        <v>1760</v>
      </c>
    </row>
    <row r="1310">
      <c r="A1310" s="3" t="s">
        <v>1761</v>
      </c>
      <c r="B1310" s="3">
        <v>64000.0</v>
      </c>
      <c r="C1310" s="4"/>
      <c r="D1310" s="4" t="b">
        <f t="shared" si="1"/>
        <v>0</v>
      </c>
      <c r="E1310" s="4" t="s">
        <v>1761</v>
      </c>
    </row>
    <row r="1311">
      <c r="A1311" s="3" t="s">
        <v>1763</v>
      </c>
      <c r="B1311" s="3">
        <v>0.0</v>
      </c>
      <c r="C1311" s="3" t="s">
        <v>3</v>
      </c>
      <c r="D1311" s="4" t="b">
        <f t="shared" si="1"/>
        <v>0</v>
      </c>
      <c r="E1311" s="4" t="s">
        <v>1763</v>
      </c>
    </row>
    <row r="1312">
      <c r="A1312" s="3" t="s">
        <v>1764</v>
      </c>
      <c r="B1312" s="3">
        <v>10000.0</v>
      </c>
      <c r="C1312" s="3" t="s">
        <v>3</v>
      </c>
      <c r="D1312" s="4" t="b">
        <f t="shared" si="1"/>
        <v>0</v>
      </c>
      <c r="E1312" s="4" t="s">
        <v>1764</v>
      </c>
    </row>
    <row r="1313">
      <c r="A1313" s="3" t="s">
        <v>1765</v>
      </c>
      <c r="B1313" s="3">
        <v>600.0</v>
      </c>
      <c r="C1313" s="3" t="s">
        <v>32</v>
      </c>
      <c r="D1313" s="4" t="b">
        <f t="shared" si="1"/>
        <v>0</v>
      </c>
      <c r="E1313" s="4" t="s">
        <v>1765</v>
      </c>
    </row>
    <row r="1314">
      <c r="A1314" s="3" t="s">
        <v>1766</v>
      </c>
      <c r="B1314" s="3">
        <v>9750.0</v>
      </c>
      <c r="C1314" s="3" t="s">
        <v>32</v>
      </c>
      <c r="D1314" s="4" t="b">
        <f t="shared" si="1"/>
        <v>0</v>
      </c>
      <c r="E1314" s="4" t="s">
        <v>1766</v>
      </c>
    </row>
    <row r="1315">
      <c r="A1315" s="3" t="s">
        <v>1768</v>
      </c>
      <c r="B1315" s="3">
        <v>0.0</v>
      </c>
      <c r="C1315" s="3" t="s">
        <v>6</v>
      </c>
      <c r="D1315" s="4" t="b">
        <f t="shared" si="1"/>
        <v>0</v>
      </c>
      <c r="E1315" s="4" t="s">
        <v>1768</v>
      </c>
    </row>
    <row r="1316">
      <c r="A1316" s="3" t="s">
        <v>1769</v>
      </c>
      <c r="B1316" s="3">
        <v>0.0</v>
      </c>
      <c r="C1316" s="3" t="s">
        <v>3</v>
      </c>
      <c r="D1316" s="4" t="b">
        <f t="shared" si="1"/>
        <v>0</v>
      </c>
      <c r="E1316" s="4" t="s">
        <v>1769</v>
      </c>
    </row>
    <row r="1317">
      <c r="A1317" s="3" t="s">
        <v>1770</v>
      </c>
      <c r="B1317" s="3">
        <v>0.0</v>
      </c>
      <c r="C1317" s="3" t="s">
        <v>29</v>
      </c>
      <c r="D1317" s="4" t="b">
        <f t="shared" si="1"/>
        <v>0</v>
      </c>
      <c r="E1317" s="4" t="s">
        <v>1770</v>
      </c>
    </row>
    <row r="1318">
      <c r="A1318" s="3" t="s">
        <v>1771</v>
      </c>
      <c r="B1318" s="3">
        <v>0.0</v>
      </c>
      <c r="C1318" s="3" t="s">
        <v>3</v>
      </c>
      <c r="D1318" s="4" t="b">
        <f t="shared" si="1"/>
        <v>0</v>
      </c>
      <c r="E1318" s="4" t="s">
        <v>1771</v>
      </c>
    </row>
    <row r="1319">
      <c r="A1319" s="3" t="s">
        <v>1772</v>
      </c>
      <c r="B1319" s="3">
        <v>0.0</v>
      </c>
      <c r="C1319" s="3" t="s">
        <v>32</v>
      </c>
      <c r="D1319" s="4" t="b">
        <f t="shared" si="1"/>
        <v>0</v>
      </c>
      <c r="E1319" s="4" t="s">
        <v>1772</v>
      </c>
    </row>
    <row r="1320">
      <c r="A1320" s="3" t="s">
        <v>1773</v>
      </c>
      <c r="B1320" s="3">
        <v>6182.0</v>
      </c>
      <c r="C1320" s="4"/>
      <c r="D1320" s="4" t="b">
        <f t="shared" si="1"/>
        <v>0</v>
      </c>
      <c r="E1320" s="4" t="s">
        <v>1773</v>
      </c>
    </row>
    <row r="1321">
      <c r="A1321" s="3" t="s">
        <v>1775</v>
      </c>
      <c r="B1321" s="3">
        <v>2000.0</v>
      </c>
      <c r="C1321" s="3" t="s">
        <v>3</v>
      </c>
      <c r="D1321" s="4" t="b">
        <f t="shared" si="1"/>
        <v>0</v>
      </c>
      <c r="E1321" s="4" t="s">
        <v>2295</v>
      </c>
    </row>
    <row r="1322">
      <c r="A1322" s="3" t="s">
        <v>1777</v>
      </c>
      <c r="B1322" s="3">
        <v>800.0</v>
      </c>
      <c r="C1322" s="3" t="s">
        <v>29</v>
      </c>
      <c r="D1322" s="4" t="b">
        <f t="shared" si="1"/>
        <v>0</v>
      </c>
      <c r="E1322" s="4" t="s">
        <v>1777</v>
      </c>
    </row>
    <row r="1323">
      <c r="A1323" s="3" t="s">
        <v>1778</v>
      </c>
      <c r="B1323" s="3">
        <v>650.0</v>
      </c>
      <c r="C1323" s="4"/>
      <c r="D1323" s="4" t="b">
        <f t="shared" si="1"/>
        <v>0</v>
      </c>
      <c r="E1323" s="4" t="s">
        <v>1778</v>
      </c>
    </row>
    <row r="1324">
      <c r="A1324" s="3" t="s">
        <v>1780</v>
      </c>
      <c r="B1324" s="3">
        <v>0.0</v>
      </c>
      <c r="C1324" s="3" t="s">
        <v>32</v>
      </c>
      <c r="D1324" s="4" t="b">
        <f t="shared" si="1"/>
        <v>0</v>
      </c>
      <c r="E1324" s="4" t="s">
        <v>1780</v>
      </c>
    </row>
    <row r="1325">
      <c r="A1325" s="3" t="s">
        <v>1781</v>
      </c>
      <c r="B1325" s="3">
        <v>3000.0</v>
      </c>
      <c r="C1325" s="4"/>
      <c r="D1325" s="4" t="b">
        <f t="shared" si="1"/>
        <v>0</v>
      </c>
      <c r="E1325" s="4" t="s">
        <v>1781</v>
      </c>
    </row>
    <row r="1326">
      <c r="A1326" s="3" t="s">
        <v>1782</v>
      </c>
      <c r="B1326" s="3">
        <v>3700.0</v>
      </c>
      <c r="C1326" s="3" t="s">
        <v>32</v>
      </c>
      <c r="D1326" s="4" t="b">
        <f t="shared" si="1"/>
        <v>0</v>
      </c>
      <c r="E1326" s="4" t="s">
        <v>1782</v>
      </c>
    </row>
    <row r="1327">
      <c r="A1327" s="3" t="s">
        <v>1783</v>
      </c>
      <c r="B1327" s="3">
        <v>4400.0</v>
      </c>
      <c r="C1327" s="4"/>
      <c r="D1327" s="4" t="b">
        <f t="shared" si="1"/>
        <v>0</v>
      </c>
      <c r="E1327" s="4" t="s">
        <v>1783</v>
      </c>
    </row>
    <row r="1328">
      <c r="A1328" s="3" t="s">
        <v>1784</v>
      </c>
      <c r="B1328" s="3">
        <v>0.0</v>
      </c>
      <c r="C1328" s="3" t="s">
        <v>3</v>
      </c>
      <c r="D1328" s="4" t="b">
        <f t="shared" si="1"/>
        <v>0</v>
      </c>
      <c r="E1328" s="4" t="s">
        <v>1784</v>
      </c>
    </row>
    <row r="1329">
      <c r="A1329" s="3" t="s">
        <v>1785</v>
      </c>
      <c r="B1329" s="3">
        <v>0.0</v>
      </c>
      <c r="C1329" s="3" t="s">
        <v>3</v>
      </c>
      <c r="D1329" s="4" t="b">
        <f t="shared" si="1"/>
        <v>0</v>
      </c>
      <c r="E1329" s="4" t="s">
        <v>1785</v>
      </c>
    </row>
    <row r="1330">
      <c r="A1330" s="3" t="s">
        <v>1786</v>
      </c>
      <c r="B1330" s="3">
        <v>0.0</v>
      </c>
      <c r="C1330" s="3" t="s">
        <v>6</v>
      </c>
      <c r="D1330" s="4" t="b">
        <f t="shared" si="1"/>
        <v>0</v>
      </c>
      <c r="E1330" s="4" t="s">
        <v>1786</v>
      </c>
    </row>
    <row r="1331">
      <c r="A1331" s="3" t="s">
        <v>1787</v>
      </c>
      <c r="B1331" s="3">
        <v>280000.0</v>
      </c>
      <c r="C1331" s="3" t="s">
        <v>6</v>
      </c>
      <c r="D1331" s="4" t="b">
        <f t="shared" si="1"/>
        <v>0</v>
      </c>
      <c r="E1331" s="4" t="s">
        <v>1787</v>
      </c>
    </row>
    <row r="1332">
      <c r="A1332" s="3" t="s">
        <v>1789</v>
      </c>
      <c r="B1332" s="3">
        <v>450000.0</v>
      </c>
      <c r="C1332" s="3" t="s">
        <v>6</v>
      </c>
      <c r="D1332" s="4" t="b">
        <f t="shared" si="1"/>
        <v>0</v>
      </c>
      <c r="E1332" s="4" t="s">
        <v>1789</v>
      </c>
    </row>
    <row r="1333">
      <c r="A1333" s="3" t="s">
        <v>1791</v>
      </c>
      <c r="B1333" s="3">
        <v>2000.0</v>
      </c>
      <c r="C1333" s="3" t="s">
        <v>29</v>
      </c>
      <c r="D1333" s="4" t="b">
        <f t="shared" si="1"/>
        <v>0</v>
      </c>
      <c r="E1333" s="4" t="s">
        <v>1791</v>
      </c>
    </row>
    <row r="1334">
      <c r="A1334" s="3" t="s">
        <v>1792</v>
      </c>
      <c r="B1334" s="3">
        <v>2000.0</v>
      </c>
      <c r="C1334" s="4"/>
      <c r="D1334" s="4" t="b">
        <f t="shared" si="1"/>
        <v>0</v>
      </c>
      <c r="E1334" s="4" t="s">
        <v>2296</v>
      </c>
    </row>
    <row r="1335">
      <c r="A1335" s="3" t="s">
        <v>1794</v>
      </c>
      <c r="B1335" s="3">
        <v>0.0</v>
      </c>
      <c r="C1335" s="3" t="s">
        <v>3</v>
      </c>
      <c r="D1335" s="4" t="b">
        <f t="shared" si="1"/>
        <v>0</v>
      </c>
      <c r="E1335" s="4" t="s">
        <v>1794</v>
      </c>
    </row>
    <row r="1336">
      <c r="A1336" s="3" t="s">
        <v>1795</v>
      </c>
      <c r="B1336" s="3">
        <v>3500.0</v>
      </c>
      <c r="C1336" s="4"/>
      <c r="D1336" s="4" t="b">
        <f t="shared" si="1"/>
        <v>0</v>
      </c>
      <c r="E1336" s="4" t="s">
        <v>1795</v>
      </c>
    </row>
    <row r="1337">
      <c r="A1337" s="3" t="s">
        <v>1796</v>
      </c>
      <c r="B1337" s="3">
        <v>0.0</v>
      </c>
      <c r="C1337" s="3" t="s">
        <v>3</v>
      </c>
      <c r="D1337" s="4" t="b">
        <f t="shared" si="1"/>
        <v>0</v>
      </c>
      <c r="E1337" s="4" t="s">
        <v>1796</v>
      </c>
    </row>
    <row r="1338">
      <c r="A1338" s="3" t="s">
        <v>1797</v>
      </c>
      <c r="B1338" s="3">
        <v>0.0</v>
      </c>
      <c r="C1338" s="3" t="s">
        <v>32</v>
      </c>
      <c r="D1338" s="4" t="b">
        <f t="shared" si="1"/>
        <v>0</v>
      </c>
      <c r="E1338" s="4" t="s">
        <v>2297</v>
      </c>
    </row>
    <row r="1339">
      <c r="A1339" s="3" t="s">
        <v>1799</v>
      </c>
      <c r="B1339" s="3">
        <v>0.0</v>
      </c>
      <c r="C1339" s="3" t="s">
        <v>29</v>
      </c>
      <c r="D1339" s="4" t="b">
        <f t="shared" si="1"/>
        <v>0</v>
      </c>
      <c r="E1339" s="4" t="s">
        <v>1799</v>
      </c>
    </row>
    <row r="1340">
      <c r="A1340" s="3" t="s">
        <v>1800</v>
      </c>
      <c r="B1340" s="3">
        <v>73250.0</v>
      </c>
      <c r="C1340" s="3" t="s">
        <v>1373</v>
      </c>
      <c r="D1340" s="4" t="b">
        <f t="shared" si="1"/>
        <v>0</v>
      </c>
      <c r="E1340" s="4" t="s">
        <v>2298</v>
      </c>
    </row>
    <row r="1341">
      <c r="A1341" s="3" t="s">
        <v>1802</v>
      </c>
      <c r="B1341" s="3">
        <v>0.0</v>
      </c>
      <c r="C1341" s="3" t="s">
        <v>6</v>
      </c>
      <c r="D1341" s="4" t="b">
        <f t="shared" si="1"/>
        <v>0</v>
      </c>
      <c r="E1341" s="4" t="s">
        <v>2299</v>
      </c>
    </row>
    <row r="1342">
      <c r="A1342" s="3" t="s">
        <v>1803</v>
      </c>
      <c r="B1342" s="3">
        <v>0.0</v>
      </c>
      <c r="C1342" s="3" t="s">
        <v>29</v>
      </c>
      <c r="D1342" s="4" t="b">
        <f t="shared" si="1"/>
        <v>0</v>
      </c>
      <c r="E1342" s="4" t="s">
        <v>2300</v>
      </c>
    </row>
    <row r="1343">
      <c r="A1343" s="3" t="s">
        <v>1805</v>
      </c>
      <c r="B1343" s="3">
        <v>9980.0</v>
      </c>
      <c r="C1343" s="3" t="s">
        <v>32</v>
      </c>
      <c r="D1343" s="4" t="b">
        <f t="shared" si="1"/>
        <v>0</v>
      </c>
      <c r="E1343" s="4" t="s">
        <v>1805</v>
      </c>
    </row>
    <row r="1344">
      <c r="A1344" s="3" t="s">
        <v>1807</v>
      </c>
      <c r="B1344" s="3">
        <v>0.0</v>
      </c>
      <c r="C1344" s="3" t="s">
        <v>668</v>
      </c>
      <c r="D1344" s="4" t="b">
        <f t="shared" si="1"/>
        <v>0</v>
      </c>
      <c r="E1344" s="4" t="s">
        <v>1807</v>
      </c>
    </row>
    <row r="1345">
      <c r="A1345" s="3" t="s">
        <v>1808</v>
      </c>
      <c r="B1345" s="3">
        <v>4000.0</v>
      </c>
      <c r="C1345" s="4"/>
      <c r="D1345" s="4" t="b">
        <f t="shared" si="1"/>
        <v>0</v>
      </c>
      <c r="E1345" s="4" t="s">
        <v>1808</v>
      </c>
    </row>
    <row r="1346">
      <c r="A1346" s="3" t="s">
        <v>1809</v>
      </c>
      <c r="B1346" s="3">
        <v>1000.0</v>
      </c>
      <c r="C1346" s="4"/>
      <c r="D1346" s="4" t="b">
        <f t="shared" si="1"/>
        <v>0</v>
      </c>
      <c r="E1346" s="4" t="s">
        <v>1809</v>
      </c>
    </row>
    <row r="1347">
      <c r="A1347" s="3" t="s">
        <v>1810</v>
      </c>
      <c r="B1347" s="3">
        <v>2000.0</v>
      </c>
      <c r="C1347" s="3" t="s">
        <v>3</v>
      </c>
      <c r="D1347" s="4" t="b">
        <f t="shared" si="1"/>
        <v>0</v>
      </c>
      <c r="E1347" s="4" t="s">
        <v>1810</v>
      </c>
    </row>
    <row r="1348">
      <c r="A1348" s="3" t="s">
        <v>1811</v>
      </c>
      <c r="B1348" s="3">
        <v>16770.0</v>
      </c>
      <c r="C1348" s="3" t="s">
        <v>3</v>
      </c>
      <c r="D1348" s="4" t="b">
        <f t="shared" si="1"/>
        <v>0</v>
      </c>
      <c r="E1348" s="4" t="s">
        <v>1811</v>
      </c>
    </row>
    <row r="1349">
      <c r="A1349" s="3" t="s">
        <v>1813</v>
      </c>
      <c r="B1349" s="3">
        <v>300.0</v>
      </c>
      <c r="C1349" s="4"/>
      <c r="D1349" s="4" t="b">
        <f t="shared" si="1"/>
        <v>0</v>
      </c>
      <c r="E1349" s="4" t="s">
        <v>1813</v>
      </c>
    </row>
    <row r="1350">
      <c r="A1350" s="3" t="s">
        <v>1814</v>
      </c>
      <c r="B1350" s="3">
        <v>0.0</v>
      </c>
      <c r="C1350" s="3" t="s">
        <v>3</v>
      </c>
      <c r="D1350" s="4" t="b">
        <f t="shared" si="1"/>
        <v>0</v>
      </c>
      <c r="E1350" s="4" t="s">
        <v>1814</v>
      </c>
    </row>
    <row r="1351">
      <c r="A1351" s="3" t="s">
        <v>1815</v>
      </c>
      <c r="B1351" s="3">
        <v>500.0</v>
      </c>
      <c r="C1351" s="4"/>
      <c r="D1351" s="4" t="b">
        <f t="shared" si="1"/>
        <v>0</v>
      </c>
      <c r="E1351" s="4" t="s">
        <v>2301</v>
      </c>
    </row>
    <row r="1352">
      <c r="A1352" s="3" t="s">
        <v>1816</v>
      </c>
      <c r="B1352" s="3">
        <v>0.0</v>
      </c>
      <c r="C1352" s="3" t="s">
        <v>3</v>
      </c>
      <c r="D1352" s="4" t="b">
        <f t="shared" si="1"/>
        <v>0</v>
      </c>
      <c r="E1352" s="4" t="s">
        <v>2302</v>
      </c>
    </row>
    <row r="1353">
      <c r="A1353" s="3" t="s">
        <v>1818</v>
      </c>
      <c r="B1353" s="3">
        <v>0.0</v>
      </c>
      <c r="C1353" s="3" t="s">
        <v>3</v>
      </c>
      <c r="D1353" s="4" t="b">
        <f t="shared" si="1"/>
        <v>0</v>
      </c>
      <c r="E1353" s="4" t="s">
        <v>1818</v>
      </c>
    </row>
    <row r="1354">
      <c r="A1354" s="3" t="s">
        <v>1819</v>
      </c>
      <c r="B1354" s="3">
        <v>2500.0</v>
      </c>
      <c r="C1354" s="3" t="s">
        <v>3</v>
      </c>
      <c r="D1354" s="4" t="b">
        <f t="shared" si="1"/>
        <v>0</v>
      </c>
      <c r="E1354" s="4" t="s">
        <v>2303</v>
      </c>
    </row>
    <row r="1355">
      <c r="A1355" s="3" t="s">
        <v>1821</v>
      </c>
      <c r="B1355" s="3">
        <v>0.0</v>
      </c>
      <c r="C1355" s="3" t="s">
        <v>3</v>
      </c>
      <c r="D1355" s="4" t="b">
        <f t="shared" si="1"/>
        <v>0</v>
      </c>
      <c r="E1355" s="4" t="s">
        <v>1821</v>
      </c>
    </row>
    <row r="1356">
      <c r="A1356" s="3" t="s">
        <v>1822</v>
      </c>
      <c r="B1356" s="3">
        <v>300.0</v>
      </c>
      <c r="C1356" s="4"/>
      <c r="D1356" s="4" t="b">
        <f t="shared" si="1"/>
        <v>0</v>
      </c>
      <c r="E1356" s="4" t="s">
        <v>1822</v>
      </c>
    </row>
    <row r="1357">
      <c r="A1357" s="3" t="s">
        <v>1823</v>
      </c>
      <c r="B1357" s="3">
        <v>9500.0</v>
      </c>
      <c r="C1357" s="3" t="s">
        <v>3</v>
      </c>
      <c r="D1357" s="4" t="b">
        <f t="shared" si="1"/>
        <v>0</v>
      </c>
      <c r="E1357" s="4" t="s">
        <v>2304</v>
      </c>
    </row>
    <row r="1358">
      <c r="A1358" s="3" t="s">
        <v>1825</v>
      </c>
      <c r="B1358" s="3">
        <v>0.0</v>
      </c>
      <c r="C1358" s="3" t="s">
        <v>3</v>
      </c>
      <c r="D1358" s="4" t="b">
        <f t="shared" si="1"/>
        <v>0</v>
      </c>
      <c r="E1358" s="4" t="s">
        <v>1825</v>
      </c>
    </row>
    <row r="1359">
      <c r="A1359" s="3" t="s">
        <v>1826</v>
      </c>
      <c r="B1359" s="3">
        <v>0.0</v>
      </c>
      <c r="C1359" s="3" t="s">
        <v>3</v>
      </c>
      <c r="D1359" s="4" t="b">
        <f t="shared" si="1"/>
        <v>0</v>
      </c>
      <c r="E1359" s="4" t="s">
        <v>1826</v>
      </c>
    </row>
    <row r="1360">
      <c r="A1360" s="3" t="s">
        <v>1827</v>
      </c>
      <c r="B1360" s="3">
        <v>0.0</v>
      </c>
      <c r="C1360" s="3" t="s">
        <v>3</v>
      </c>
      <c r="D1360" s="4" t="b">
        <f t="shared" si="1"/>
        <v>0</v>
      </c>
      <c r="E1360" s="4" t="s">
        <v>2305</v>
      </c>
    </row>
    <row r="1361">
      <c r="A1361" s="3" t="s">
        <v>1829</v>
      </c>
      <c r="B1361" s="3">
        <v>0.0</v>
      </c>
      <c r="C1361" s="3" t="s">
        <v>3</v>
      </c>
      <c r="D1361" s="4" t="b">
        <f t="shared" si="1"/>
        <v>0</v>
      </c>
      <c r="E1361" s="4" t="s">
        <v>1829</v>
      </c>
    </row>
    <row r="1362">
      <c r="A1362" s="3" t="s">
        <v>1830</v>
      </c>
      <c r="B1362" s="3">
        <v>2100.0</v>
      </c>
      <c r="C1362" s="4"/>
      <c r="D1362" s="4" t="b">
        <f t="shared" si="1"/>
        <v>0</v>
      </c>
      <c r="E1362" s="4" t="s">
        <v>2306</v>
      </c>
    </row>
    <row r="1363">
      <c r="A1363" s="3" t="s">
        <v>1831</v>
      </c>
      <c r="B1363" s="3">
        <v>0.0</v>
      </c>
      <c r="C1363" s="3" t="s">
        <v>3</v>
      </c>
      <c r="D1363" s="4" t="b">
        <f t="shared" si="1"/>
        <v>0</v>
      </c>
      <c r="E1363" s="4" t="s">
        <v>1831</v>
      </c>
    </row>
    <row r="1364">
      <c r="A1364" s="3" t="s">
        <v>1832</v>
      </c>
      <c r="B1364" s="3">
        <v>2000.0</v>
      </c>
      <c r="C1364" s="4"/>
      <c r="D1364" s="4" t="b">
        <f t="shared" si="1"/>
        <v>0</v>
      </c>
      <c r="E1364" s="4" t="s">
        <v>1832</v>
      </c>
    </row>
    <row r="1365">
      <c r="A1365" s="3" t="s">
        <v>1833</v>
      </c>
      <c r="B1365" s="3">
        <v>10000.0</v>
      </c>
      <c r="C1365" s="3" t="s">
        <v>3</v>
      </c>
      <c r="D1365" s="4" t="b">
        <f t="shared" si="1"/>
        <v>0</v>
      </c>
      <c r="E1365" s="4" t="s">
        <v>1833</v>
      </c>
    </row>
    <row r="1366">
      <c r="A1366" s="3" t="s">
        <v>1834</v>
      </c>
      <c r="B1366" s="3">
        <v>0.0</v>
      </c>
      <c r="C1366" s="3" t="s">
        <v>29</v>
      </c>
      <c r="D1366" s="4" t="b">
        <f t="shared" si="1"/>
        <v>0</v>
      </c>
      <c r="E1366" s="4" t="s">
        <v>1834</v>
      </c>
    </row>
    <row r="1367">
      <c r="A1367" s="3" t="s">
        <v>1835</v>
      </c>
      <c r="B1367" s="3">
        <v>200.0</v>
      </c>
      <c r="C1367" s="3" t="s">
        <v>6</v>
      </c>
      <c r="D1367" s="4" t="b">
        <f t="shared" si="1"/>
        <v>0</v>
      </c>
      <c r="E1367" s="4" t="s">
        <v>1835</v>
      </c>
    </row>
    <row r="1368">
      <c r="A1368" s="3" t="s">
        <v>1836</v>
      </c>
      <c r="B1368" s="3">
        <v>1500.0</v>
      </c>
      <c r="C1368" s="4"/>
      <c r="D1368" s="4" t="b">
        <f t="shared" si="1"/>
        <v>0</v>
      </c>
      <c r="E1368" s="4" t="s">
        <v>1836</v>
      </c>
    </row>
    <row r="1369">
      <c r="A1369" s="3" t="s">
        <v>1837</v>
      </c>
      <c r="B1369" s="3">
        <v>0.0</v>
      </c>
      <c r="C1369" s="3" t="s">
        <v>3</v>
      </c>
      <c r="D1369" s="4" t="b">
        <f t="shared" si="1"/>
        <v>0</v>
      </c>
      <c r="E1369" s="4" t="s">
        <v>1837</v>
      </c>
    </row>
    <row r="1370">
      <c r="A1370" s="3" t="s">
        <v>1838</v>
      </c>
      <c r="B1370" s="3">
        <v>73900.0</v>
      </c>
      <c r="C1370" s="3" t="s">
        <v>3</v>
      </c>
      <c r="D1370" s="4" t="b">
        <f t="shared" si="1"/>
        <v>0</v>
      </c>
      <c r="E1370" s="4" t="s">
        <v>1838</v>
      </c>
    </row>
    <row r="1371">
      <c r="A1371" s="3" t="s">
        <v>1840</v>
      </c>
      <c r="B1371" s="3">
        <v>0.0</v>
      </c>
      <c r="C1371" s="3" t="s">
        <v>3</v>
      </c>
      <c r="D1371" s="4" t="b">
        <f t="shared" si="1"/>
        <v>0</v>
      </c>
      <c r="E1371" s="4" t="s">
        <v>1840</v>
      </c>
    </row>
    <row r="1372">
      <c r="A1372" s="3" t="s">
        <v>1841</v>
      </c>
      <c r="B1372" s="3">
        <v>0.0</v>
      </c>
      <c r="C1372" s="3" t="s">
        <v>29</v>
      </c>
      <c r="D1372" s="4" t="b">
        <f t="shared" si="1"/>
        <v>0</v>
      </c>
      <c r="E1372" s="4" t="s">
        <v>1841</v>
      </c>
    </row>
    <row r="1373">
      <c r="A1373" s="3" t="s">
        <v>1842</v>
      </c>
      <c r="B1373" s="3">
        <v>2500.0</v>
      </c>
      <c r="C1373" s="3" t="s">
        <v>3</v>
      </c>
      <c r="D1373" s="4" t="b">
        <f t="shared" si="1"/>
        <v>0</v>
      </c>
      <c r="E1373" s="4" t="s">
        <v>1842</v>
      </c>
    </row>
    <row r="1374">
      <c r="A1374" s="3" t="s">
        <v>1843</v>
      </c>
      <c r="B1374" s="3">
        <v>0.0</v>
      </c>
      <c r="C1374" s="3" t="s">
        <v>3</v>
      </c>
      <c r="D1374" s="4" t="b">
        <f t="shared" si="1"/>
        <v>0</v>
      </c>
      <c r="E1374" s="4" t="s">
        <v>1843</v>
      </c>
    </row>
    <row r="1375">
      <c r="A1375" s="3" t="s">
        <v>1844</v>
      </c>
      <c r="B1375" s="3">
        <v>0.0</v>
      </c>
      <c r="C1375" s="3" t="s">
        <v>32</v>
      </c>
      <c r="D1375" s="4" t="b">
        <f t="shared" si="1"/>
        <v>0</v>
      </c>
      <c r="E1375" s="4" t="s">
        <v>2307</v>
      </c>
    </row>
    <row r="1376">
      <c r="A1376" s="3" t="s">
        <v>1846</v>
      </c>
      <c r="B1376" s="3">
        <v>0.0</v>
      </c>
      <c r="C1376" s="3" t="s">
        <v>6</v>
      </c>
      <c r="D1376" s="4" t="b">
        <f t="shared" si="1"/>
        <v>0</v>
      </c>
      <c r="E1376" s="4" t="s">
        <v>1846</v>
      </c>
    </row>
    <row r="1377">
      <c r="A1377" s="3" t="s">
        <v>1847</v>
      </c>
      <c r="B1377" s="3">
        <v>0.0</v>
      </c>
      <c r="C1377" s="3" t="s">
        <v>6</v>
      </c>
      <c r="D1377" s="4" t="b">
        <f t="shared" si="1"/>
        <v>0</v>
      </c>
      <c r="E1377" s="4" t="s">
        <v>1847</v>
      </c>
    </row>
    <row r="1378">
      <c r="A1378" s="3" t="s">
        <v>1848</v>
      </c>
      <c r="B1378" s="3">
        <v>1128560.0</v>
      </c>
      <c r="C1378" s="3" t="s">
        <v>37</v>
      </c>
      <c r="D1378" s="4" t="b">
        <f t="shared" si="1"/>
        <v>0</v>
      </c>
      <c r="E1378" s="4" t="s">
        <v>2308</v>
      </c>
    </row>
    <row r="1379">
      <c r="A1379" s="3" t="s">
        <v>1850</v>
      </c>
      <c r="B1379" s="3">
        <v>10000.0</v>
      </c>
      <c r="C1379" s="3" t="s">
        <v>26</v>
      </c>
      <c r="D1379" s="4" t="b">
        <f t="shared" si="1"/>
        <v>0</v>
      </c>
      <c r="E1379" s="4" t="s">
        <v>1850</v>
      </c>
    </row>
    <row r="1380">
      <c r="A1380" s="3" t="s">
        <v>1851</v>
      </c>
      <c r="B1380" s="3">
        <v>819458.0</v>
      </c>
      <c r="C1380" s="3" t="s">
        <v>37</v>
      </c>
      <c r="D1380" s="4" t="b">
        <f t="shared" si="1"/>
        <v>0</v>
      </c>
      <c r="E1380" s="4" t="s">
        <v>2309</v>
      </c>
    </row>
    <row r="1381">
      <c r="A1381" s="3" t="s">
        <v>1853</v>
      </c>
      <c r="B1381" s="3">
        <v>1000.0</v>
      </c>
      <c r="C1381" s="4"/>
      <c r="D1381" s="4" t="b">
        <f t="shared" si="1"/>
        <v>0</v>
      </c>
      <c r="E1381" s="4" t="s">
        <v>1853</v>
      </c>
    </row>
    <row r="1382">
      <c r="A1382" s="3" t="s">
        <v>1854</v>
      </c>
      <c r="B1382" s="3">
        <v>0.0</v>
      </c>
      <c r="C1382" s="3" t="s">
        <v>6</v>
      </c>
      <c r="D1382" s="4" t="b">
        <f t="shared" si="1"/>
        <v>0</v>
      </c>
      <c r="E1382" s="4" t="s">
        <v>1854</v>
      </c>
    </row>
    <row r="1383">
      <c r="A1383" s="3" t="s">
        <v>1855</v>
      </c>
      <c r="B1383" s="3">
        <v>0.0</v>
      </c>
      <c r="C1383" s="3" t="s">
        <v>29</v>
      </c>
      <c r="D1383" s="4" t="b">
        <f t="shared" si="1"/>
        <v>0</v>
      </c>
      <c r="E1383" s="4" t="s">
        <v>1855</v>
      </c>
    </row>
    <row r="1384">
      <c r="A1384" s="3" t="s">
        <v>1856</v>
      </c>
      <c r="B1384" s="3">
        <v>0.0</v>
      </c>
      <c r="C1384" s="3" t="s">
        <v>3</v>
      </c>
      <c r="D1384" s="4" t="b">
        <f t="shared" si="1"/>
        <v>0</v>
      </c>
      <c r="E1384" s="4" t="s">
        <v>2310</v>
      </c>
    </row>
    <row r="1385">
      <c r="A1385" s="3" t="s">
        <v>1858</v>
      </c>
      <c r="B1385" s="3">
        <v>4000.0</v>
      </c>
      <c r="C1385" s="4"/>
      <c r="D1385" s="4" t="b">
        <f t="shared" si="1"/>
        <v>0</v>
      </c>
      <c r="E1385" s="4" t="s">
        <v>1858</v>
      </c>
    </row>
    <row r="1386">
      <c r="A1386" s="3" t="s">
        <v>1859</v>
      </c>
      <c r="B1386" s="3">
        <v>19000.0</v>
      </c>
      <c r="C1386" s="4"/>
      <c r="D1386" s="4" t="b">
        <f t="shared" si="1"/>
        <v>0</v>
      </c>
      <c r="E1386" s="4" t="s">
        <v>1859</v>
      </c>
    </row>
    <row r="1387">
      <c r="A1387" s="3" t="s">
        <v>1860</v>
      </c>
      <c r="B1387" s="3">
        <v>2000.0</v>
      </c>
      <c r="C1387" s="4"/>
      <c r="D1387" s="4" t="b">
        <f t="shared" si="1"/>
        <v>0</v>
      </c>
      <c r="E1387" s="4" t="s">
        <v>1860</v>
      </c>
    </row>
    <row r="1388">
      <c r="A1388" s="3" t="s">
        <v>1861</v>
      </c>
      <c r="B1388" s="3">
        <v>0.0</v>
      </c>
      <c r="C1388" s="3" t="s">
        <v>3</v>
      </c>
      <c r="D1388" s="4" t="b">
        <f t="shared" si="1"/>
        <v>0</v>
      </c>
      <c r="E1388" s="4" t="s">
        <v>1861</v>
      </c>
    </row>
    <row r="1389">
      <c r="A1389" s="3" t="s">
        <v>1862</v>
      </c>
      <c r="B1389" s="3">
        <v>2000.0</v>
      </c>
      <c r="C1389" s="3" t="s">
        <v>32</v>
      </c>
      <c r="D1389" s="4" t="b">
        <f t="shared" si="1"/>
        <v>0</v>
      </c>
      <c r="E1389" s="4" t="s">
        <v>1862</v>
      </c>
    </row>
    <row r="1390">
      <c r="A1390" s="3" t="s">
        <v>1863</v>
      </c>
      <c r="B1390" s="3">
        <v>0.0</v>
      </c>
      <c r="C1390" s="3" t="s">
        <v>6</v>
      </c>
      <c r="D1390" s="4" t="b">
        <f t="shared" si="1"/>
        <v>0</v>
      </c>
      <c r="E1390" s="4" t="s">
        <v>1863</v>
      </c>
    </row>
    <row r="1391">
      <c r="A1391" s="3" t="s">
        <v>1864</v>
      </c>
      <c r="B1391" s="3">
        <v>0.0</v>
      </c>
      <c r="C1391" s="3" t="s">
        <v>6</v>
      </c>
      <c r="D1391" s="4" t="b">
        <f t="shared" si="1"/>
        <v>0</v>
      </c>
      <c r="E1391" s="4" t="s">
        <v>1864</v>
      </c>
    </row>
    <row r="1392">
      <c r="A1392" s="3" t="s">
        <v>1865</v>
      </c>
      <c r="B1392" s="3">
        <v>0.0</v>
      </c>
      <c r="C1392" s="3" t="s">
        <v>32</v>
      </c>
      <c r="D1392" s="4" t="b">
        <f t="shared" si="1"/>
        <v>0</v>
      </c>
      <c r="E1392" s="4" t="s">
        <v>1865</v>
      </c>
    </row>
    <row r="1393">
      <c r="A1393" s="3" t="s">
        <v>1866</v>
      </c>
      <c r="B1393" s="3">
        <v>0.0</v>
      </c>
      <c r="C1393" s="3" t="s">
        <v>3</v>
      </c>
      <c r="D1393" s="4" t="b">
        <f t="shared" si="1"/>
        <v>0</v>
      </c>
      <c r="E1393" s="4" t="s">
        <v>1866</v>
      </c>
    </row>
    <row r="1394">
      <c r="A1394" s="3" t="s">
        <v>1867</v>
      </c>
      <c r="B1394" s="3">
        <v>0.0</v>
      </c>
      <c r="C1394" s="3" t="s">
        <v>3</v>
      </c>
      <c r="D1394" s="4" t="b">
        <f t="shared" si="1"/>
        <v>0</v>
      </c>
      <c r="E1394" s="4" t="s">
        <v>1867</v>
      </c>
    </row>
    <row r="1395">
      <c r="A1395" s="3" t="s">
        <v>1868</v>
      </c>
      <c r="B1395" s="3">
        <v>0.0</v>
      </c>
      <c r="C1395" s="3" t="s">
        <v>26</v>
      </c>
      <c r="D1395" s="4" t="b">
        <f t="shared" si="1"/>
        <v>0</v>
      </c>
      <c r="E1395" s="4" t="s">
        <v>1868</v>
      </c>
    </row>
    <row r="1396">
      <c r="A1396" s="3" t="s">
        <v>1869</v>
      </c>
      <c r="B1396" s="3">
        <v>0.0</v>
      </c>
      <c r="C1396" s="3" t="s">
        <v>3</v>
      </c>
      <c r="D1396" s="4" t="b">
        <f t="shared" si="1"/>
        <v>0</v>
      </c>
      <c r="E1396" s="4" t="s">
        <v>1869</v>
      </c>
    </row>
    <row r="1397">
      <c r="A1397" s="3" t="s">
        <v>1870</v>
      </c>
      <c r="B1397" s="3">
        <v>0.0</v>
      </c>
      <c r="C1397" s="3" t="s">
        <v>3</v>
      </c>
      <c r="D1397" s="4" t="b">
        <f t="shared" si="1"/>
        <v>0</v>
      </c>
      <c r="E1397" s="4" t="s">
        <v>1870</v>
      </c>
    </row>
    <row r="1398">
      <c r="A1398" s="3" t="s">
        <v>1871</v>
      </c>
      <c r="B1398" s="3">
        <v>0.0</v>
      </c>
      <c r="C1398" s="3" t="s">
        <v>3</v>
      </c>
      <c r="D1398" s="4" t="b">
        <f t="shared" si="1"/>
        <v>0</v>
      </c>
      <c r="E1398" s="4" t="s">
        <v>1871</v>
      </c>
    </row>
    <row r="1399">
      <c r="A1399" s="3" t="s">
        <v>1872</v>
      </c>
      <c r="B1399" s="3">
        <v>0.0</v>
      </c>
      <c r="C1399" s="3" t="s">
        <v>3</v>
      </c>
      <c r="D1399" s="4" t="b">
        <f t="shared" si="1"/>
        <v>0</v>
      </c>
      <c r="E1399" s="4" t="s">
        <v>2311</v>
      </c>
    </row>
    <row r="1400">
      <c r="A1400" s="3" t="s">
        <v>1874</v>
      </c>
      <c r="B1400" s="3">
        <v>3000.0</v>
      </c>
      <c r="C1400" s="3" t="s">
        <v>29</v>
      </c>
      <c r="D1400" s="4" t="b">
        <f t="shared" si="1"/>
        <v>0</v>
      </c>
      <c r="E1400" s="4" t="s">
        <v>1874</v>
      </c>
    </row>
    <row r="1401">
      <c r="A1401" s="3" t="s">
        <v>1875</v>
      </c>
      <c r="B1401" s="3">
        <v>0.0</v>
      </c>
      <c r="C1401" s="3" t="s">
        <v>32</v>
      </c>
      <c r="D1401" s="4" t="b">
        <f t="shared" si="1"/>
        <v>0</v>
      </c>
      <c r="E1401" s="4" t="s">
        <v>1875</v>
      </c>
    </row>
    <row r="1402">
      <c r="A1402" s="3" t="s">
        <v>1876</v>
      </c>
      <c r="B1402" s="3">
        <v>0.0</v>
      </c>
      <c r="C1402" s="3" t="s">
        <v>3</v>
      </c>
      <c r="D1402" s="4" t="b">
        <f t="shared" si="1"/>
        <v>0</v>
      </c>
      <c r="E1402" s="4" t="s">
        <v>1876</v>
      </c>
    </row>
    <row r="1403">
      <c r="A1403" s="3" t="s">
        <v>1877</v>
      </c>
      <c r="B1403" s="3">
        <v>0.0</v>
      </c>
      <c r="C1403" s="3" t="s">
        <v>3</v>
      </c>
      <c r="D1403" s="4" t="b">
        <f t="shared" si="1"/>
        <v>0</v>
      </c>
      <c r="E1403" s="4" t="s">
        <v>1877</v>
      </c>
    </row>
    <row r="1404">
      <c r="A1404" s="3" t="s">
        <v>1878</v>
      </c>
      <c r="B1404" s="3">
        <v>0.0</v>
      </c>
      <c r="C1404" s="3" t="s">
        <v>3</v>
      </c>
      <c r="D1404" s="4" t="b">
        <f t="shared" si="1"/>
        <v>0</v>
      </c>
      <c r="E1404" s="4" t="s">
        <v>1878</v>
      </c>
    </row>
    <row r="1405">
      <c r="A1405" s="3" t="s">
        <v>1879</v>
      </c>
      <c r="B1405" s="3">
        <v>0.0</v>
      </c>
      <c r="C1405" s="3" t="s">
        <v>6</v>
      </c>
      <c r="D1405" s="4" t="b">
        <f t="shared" si="1"/>
        <v>0</v>
      </c>
      <c r="E1405" s="4" t="s">
        <v>1879</v>
      </c>
    </row>
    <row r="1406">
      <c r="A1406" s="3" t="s">
        <v>1880</v>
      </c>
      <c r="B1406" s="3">
        <v>10000.0</v>
      </c>
      <c r="C1406" s="3" t="s">
        <v>3</v>
      </c>
      <c r="D1406" s="4" t="b">
        <f t="shared" si="1"/>
        <v>0</v>
      </c>
      <c r="E1406" s="4" t="s">
        <v>1880</v>
      </c>
    </row>
    <row r="1407">
      <c r="A1407" s="3" t="s">
        <v>1881</v>
      </c>
      <c r="B1407" s="3">
        <v>0.0</v>
      </c>
      <c r="C1407" s="3" t="s">
        <v>3</v>
      </c>
      <c r="D1407" s="4" t="b">
        <f t="shared" si="1"/>
        <v>0</v>
      </c>
      <c r="E1407" s="4" t="s">
        <v>1881</v>
      </c>
    </row>
    <row r="1408">
      <c r="A1408" s="3" t="s">
        <v>1882</v>
      </c>
      <c r="B1408" s="3">
        <v>0.0</v>
      </c>
      <c r="C1408" s="3" t="s">
        <v>32</v>
      </c>
      <c r="D1408" s="4" t="b">
        <f t="shared" si="1"/>
        <v>0</v>
      </c>
      <c r="E1408" s="4" t="s">
        <v>1882</v>
      </c>
    </row>
    <row r="1409">
      <c r="A1409" s="3" t="s">
        <v>1883</v>
      </c>
      <c r="B1409" s="3">
        <v>0.0</v>
      </c>
      <c r="C1409" s="3" t="s">
        <v>3</v>
      </c>
      <c r="D1409" s="4" t="b">
        <f t="shared" si="1"/>
        <v>0</v>
      </c>
      <c r="E1409" s="4" t="s">
        <v>1883</v>
      </c>
    </row>
    <row r="1410">
      <c r="A1410" s="3" t="s">
        <v>1884</v>
      </c>
      <c r="B1410" s="3">
        <v>52250.0</v>
      </c>
      <c r="C1410" s="4"/>
      <c r="D1410" s="4" t="b">
        <f t="shared" si="1"/>
        <v>0</v>
      </c>
      <c r="E1410" s="4" t="s">
        <v>1884</v>
      </c>
    </row>
    <row r="1411">
      <c r="A1411" s="3" t="s">
        <v>1886</v>
      </c>
      <c r="B1411" s="3">
        <v>2000.0</v>
      </c>
      <c r="C1411" s="4"/>
      <c r="D1411" s="4" t="b">
        <f t="shared" si="1"/>
        <v>0</v>
      </c>
      <c r="E1411" s="4" t="s">
        <v>1886</v>
      </c>
    </row>
    <row r="1412">
      <c r="A1412" s="3" t="s">
        <v>1887</v>
      </c>
      <c r="B1412" s="3">
        <v>0.0</v>
      </c>
      <c r="C1412" s="3" t="s">
        <v>6</v>
      </c>
      <c r="D1412" s="4" t="b">
        <f t="shared" si="1"/>
        <v>0</v>
      </c>
      <c r="E1412" s="4" t="s">
        <v>1887</v>
      </c>
    </row>
    <row r="1413">
      <c r="A1413" s="3" t="s">
        <v>1888</v>
      </c>
      <c r="B1413" s="3">
        <v>1646816.0</v>
      </c>
      <c r="C1413" s="3" t="s">
        <v>16</v>
      </c>
      <c r="D1413" s="4" t="b">
        <f t="shared" si="1"/>
        <v>0</v>
      </c>
      <c r="E1413" s="4" t="s">
        <v>1888</v>
      </c>
    </row>
    <row r="1414">
      <c r="A1414" s="3" t="s">
        <v>1890</v>
      </c>
      <c r="B1414" s="3">
        <v>8000.0</v>
      </c>
      <c r="C1414" s="3" t="s">
        <v>3</v>
      </c>
      <c r="D1414" s="4" t="b">
        <f t="shared" si="1"/>
        <v>0</v>
      </c>
      <c r="E1414" s="4" t="s">
        <v>1890</v>
      </c>
    </row>
    <row r="1415">
      <c r="A1415" s="3" t="s">
        <v>1891</v>
      </c>
      <c r="B1415" s="3">
        <v>0.0</v>
      </c>
      <c r="C1415" s="3" t="s">
        <v>3</v>
      </c>
      <c r="D1415" s="4" t="b">
        <f t="shared" si="1"/>
        <v>0</v>
      </c>
      <c r="E1415" s="4" t="s">
        <v>1891</v>
      </c>
    </row>
    <row r="1416">
      <c r="A1416" s="3" t="s">
        <v>1892</v>
      </c>
      <c r="B1416" s="3">
        <v>0.0</v>
      </c>
      <c r="C1416" s="3" t="s">
        <v>3</v>
      </c>
      <c r="D1416" s="4" t="b">
        <f t="shared" si="1"/>
        <v>0</v>
      </c>
      <c r="E1416" s="4" t="s">
        <v>1892</v>
      </c>
    </row>
    <row r="1417">
      <c r="A1417" s="3" t="s">
        <v>1893</v>
      </c>
      <c r="B1417" s="3">
        <v>0.0</v>
      </c>
      <c r="C1417" s="3" t="s">
        <v>3</v>
      </c>
      <c r="D1417" s="4" t="b">
        <f t="shared" si="1"/>
        <v>0</v>
      </c>
      <c r="E1417" s="4" t="s">
        <v>1893</v>
      </c>
    </row>
    <row r="1418">
      <c r="A1418" s="3" t="s">
        <v>1894</v>
      </c>
      <c r="B1418" s="3">
        <v>0.0</v>
      </c>
      <c r="C1418" s="3" t="s">
        <v>3</v>
      </c>
      <c r="D1418" s="4" t="b">
        <f t="shared" si="1"/>
        <v>0</v>
      </c>
      <c r="E1418" s="4" t="s">
        <v>1894</v>
      </c>
    </row>
    <row r="1419">
      <c r="A1419" s="3" t="s">
        <v>1895</v>
      </c>
      <c r="B1419" s="3">
        <v>3000.0</v>
      </c>
      <c r="C1419" s="3" t="s">
        <v>1651</v>
      </c>
      <c r="D1419" s="4" t="b">
        <f t="shared" si="1"/>
        <v>0</v>
      </c>
      <c r="E1419" s="4" t="s">
        <v>1895</v>
      </c>
    </row>
    <row r="1420">
      <c r="A1420" s="3" t="s">
        <v>1896</v>
      </c>
      <c r="B1420" s="3">
        <v>6500.0</v>
      </c>
      <c r="C1420" s="4"/>
      <c r="D1420" s="4" t="b">
        <f t="shared" si="1"/>
        <v>0</v>
      </c>
      <c r="E1420" s="4" t="s">
        <v>1896</v>
      </c>
    </row>
    <row r="1421">
      <c r="A1421" s="3" t="s">
        <v>1897</v>
      </c>
      <c r="B1421" s="3">
        <v>2200.0</v>
      </c>
      <c r="C1421" s="3" t="s">
        <v>3</v>
      </c>
      <c r="D1421" s="4" t="b">
        <f t="shared" si="1"/>
        <v>0</v>
      </c>
      <c r="E1421" s="4" t="s">
        <v>1897</v>
      </c>
    </row>
    <row r="1422">
      <c r="A1422" s="3" t="s">
        <v>1898</v>
      </c>
      <c r="B1422" s="3">
        <v>0.0</v>
      </c>
      <c r="C1422" s="3" t="s">
        <v>3</v>
      </c>
      <c r="D1422" s="4" t="b">
        <f t="shared" si="1"/>
        <v>0</v>
      </c>
      <c r="E1422" s="4" t="s">
        <v>1898</v>
      </c>
    </row>
    <row r="1423">
      <c r="A1423" s="3" t="s">
        <v>1899</v>
      </c>
      <c r="B1423" s="3">
        <v>1000.0</v>
      </c>
      <c r="C1423" s="3" t="s">
        <v>3</v>
      </c>
      <c r="D1423" s="4" t="b">
        <f t="shared" si="1"/>
        <v>0</v>
      </c>
      <c r="E1423" s="4" t="s">
        <v>1899</v>
      </c>
    </row>
    <row r="1424">
      <c r="A1424" s="3" t="s">
        <v>1900</v>
      </c>
      <c r="B1424" s="3">
        <v>0.0</v>
      </c>
      <c r="C1424" s="3" t="s">
        <v>3</v>
      </c>
      <c r="D1424" s="4" t="b">
        <f t="shared" si="1"/>
        <v>0</v>
      </c>
      <c r="E1424" s="4" t="s">
        <v>1900</v>
      </c>
    </row>
    <row r="1425">
      <c r="A1425" s="3" t="s">
        <v>1901</v>
      </c>
      <c r="B1425" s="3">
        <v>0.0</v>
      </c>
      <c r="C1425" s="3" t="s">
        <v>3</v>
      </c>
      <c r="D1425" s="4" t="b">
        <f t="shared" si="1"/>
        <v>0</v>
      </c>
      <c r="E1425" s="4" t="s">
        <v>1901</v>
      </c>
    </row>
    <row r="1426">
      <c r="A1426" s="3" t="s">
        <v>1902</v>
      </c>
      <c r="B1426" s="3">
        <v>25000.0</v>
      </c>
      <c r="C1426" s="4"/>
      <c r="D1426" s="4" t="b">
        <f t="shared" si="1"/>
        <v>0</v>
      </c>
      <c r="E1426" s="4" t="s">
        <v>1902</v>
      </c>
    </row>
    <row r="1427">
      <c r="A1427" s="3" t="s">
        <v>1903</v>
      </c>
      <c r="B1427" s="3">
        <v>32987.75</v>
      </c>
      <c r="C1427" s="3" t="s">
        <v>280</v>
      </c>
      <c r="D1427" s="4" t="b">
        <f t="shared" si="1"/>
        <v>0</v>
      </c>
      <c r="E1427" s="4" t="s">
        <v>1903</v>
      </c>
    </row>
    <row r="1428">
      <c r="A1428" s="3" t="s">
        <v>1905</v>
      </c>
      <c r="B1428" s="3">
        <v>0.0</v>
      </c>
      <c r="C1428" s="3" t="s">
        <v>3</v>
      </c>
      <c r="D1428" s="4" t="b">
        <f t="shared" si="1"/>
        <v>0</v>
      </c>
      <c r="E1428" s="4" t="s">
        <v>1905</v>
      </c>
    </row>
    <row r="1429">
      <c r="A1429" s="3" t="s">
        <v>1906</v>
      </c>
      <c r="B1429" s="3">
        <v>0.0</v>
      </c>
      <c r="C1429" s="3" t="s">
        <v>32</v>
      </c>
      <c r="D1429" s="4" t="b">
        <f t="shared" si="1"/>
        <v>0</v>
      </c>
      <c r="E1429" s="4" t="s">
        <v>1906</v>
      </c>
    </row>
    <row r="1430">
      <c r="A1430" s="3" t="s">
        <v>1907</v>
      </c>
      <c r="B1430" s="3">
        <v>12000.0</v>
      </c>
      <c r="C1430" s="4"/>
      <c r="D1430" s="4" t="b">
        <f t="shared" si="1"/>
        <v>0</v>
      </c>
      <c r="E1430" s="4" t="s">
        <v>1907</v>
      </c>
    </row>
    <row r="1431">
      <c r="A1431" s="3" t="s">
        <v>1908</v>
      </c>
      <c r="B1431" s="3">
        <v>0.0</v>
      </c>
      <c r="C1431" s="3" t="s">
        <v>3</v>
      </c>
      <c r="D1431" s="4" t="b">
        <f t="shared" si="1"/>
        <v>0</v>
      </c>
      <c r="E1431" s="4" t="s">
        <v>1908</v>
      </c>
    </row>
    <row r="1432">
      <c r="A1432" s="3" t="s">
        <v>1909</v>
      </c>
      <c r="B1432" s="3">
        <v>500.0</v>
      </c>
      <c r="C1432" s="4"/>
      <c r="D1432" s="4" t="b">
        <f t="shared" si="1"/>
        <v>0</v>
      </c>
      <c r="E1432" s="4" t="s">
        <v>1909</v>
      </c>
    </row>
    <row r="1433">
      <c r="A1433" s="3" t="s">
        <v>1910</v>
      </c>
      <c r="B1433" s="3">
        <v>500.0</v>
      </c>
      <c r="C1433" s="4"/>
      <c r="D1433" s="4" t="b">
        <f t="shared" si="1"/>
        <v>0</v>
      </c>
      <c r="E1433" s="4" t="s">
        <v>1910</v>
      </c>
    </row>
    <row r="1434">
      <c r="A1434" s="3" t="s">
        <v>1911</v>
      </c>
      <c r="B1434" s="3">
        <v>6500.0</v>
      </c>
      <c r="C1434" s="4"/>
      <c r="D1434" s="4" t="b">
        <f t="shared" si="1"/>
        <v>0</v>
      </c>
      <c r="E1434" s="4" t="s">
        <v>1911</v>
      </c>
    </row>
    <row r="1435">
      <c r="A1435" s="3" t="s">
        <v>1912</v>
      </c>
      <c r="B1435" s="3">
        <v>400.0</v>
      </c>
      <c r="C1435" s="4"/>
      <c r="D1435" s="4" t="b">
        <f t="shared" si="1"/>
        <v>0</v>
      </c>
      <c r="E1435" s="4" t="s">
        <v>1912</v>
      </c>
    </row>
    <row r="1436">
      <c r="A1436" s="3" t="s">
        <v>1913</v>
      </c>
      <c r="B1436" s="3">
        <v>0.0</v>
      </c>
      <c r="C1436" s="3" t="s">
        <v>3</v>
      </c>
      <c r="D1436" s="4" t="b">
        <f t="shared" si="1"/>
        <v>0</v>
      </c>
      <c r="E1436" s="4" t="s">
        <v>1913</v>
      </c>
    </row>
    <row r="1437">
      <c r="A1437" s="3" t="s">
        <v>1914</v>
      </c>
      <c r="B1437" s="3">
        <v>0.0</v>
      </c>
      <c r="C1437" s="3" t="s">
        <v>3</v>
      </c>
      <c r="D1437" s="4" t="b">
        <f t="shared" si="1"/>
        <v>0</v>
      </c>
      <c r="E1437" s="4" t="s">
        <v>1914</v>
      </c>
    </row>
    <row r="1438">
      <c r="A1438" s="3" t="s">
        <v>1915</v>
      </c>
      <c r="B1438" s="3">
        <v>0.0</v>
      </c>
      <c r="C1438" s="3" t="s">
        <v>3</v>
      </c>
      <c r="D1438" s="4" t="b">
        <f t="shared" si="1"/>
        <v>0</v>
      </c>
      <c r="E1438" s="4" t="s">
        <v>1915</v>
      </c>
    </row>
    <row r="1439">
      <c r="A1439" s="3" t="s">
        <v>1916</v>
      </c>
      <c r="B1439" s="3">
        <v>0.0</v>
      </c>
      <c r="C1439" s="3" t="s">
        <v>3</v>
      </c>
      <c r="D1439" s="4" t="b">
        <f t="shared" si="1"/>
        <v>0</v>
      </c>
      <c r="E1439" s="4" t="s">
        <v>1916</v>
      </c>
    </row>
    <row r="1440">
      <c r="A1440" s="3" t="s">
        <v>1917</v>
      </c>
      <c r="B1440" s="3">
        <v>0.0</v>
      </c>
      <c r="C1440" s="3" t="s">
        <v>3</v>
      </c>
      <c r="D1440" s="4" t="b">
        <f t="shared" si="1"/>
        <v>0</v>
      </c>
      <c r="E1440" s="4" t="s">
        <v>1917</v>
      </c>
    </row>
    <row r="1441">
      <c r="A1441" s="3" t="s">
        <v>1918</v>
      </c>
      <c r="B1441" s="3">
        <v>83680.0</v>
      </c>
      <c r="C1441" s="3" t="s">
        <v>26</v>
      </c>
      <c r="D1441" s="4" t="b">
        <f t="shared" si="1"/>
        <v>0</v>
      </c>
      <c r="E1441" s="4" t="s">
        <v>1918</v>
      </c>
    </row>
    <row r="1442">
      <c r="A1442" s="3" t="s">
        <v>1920</v>
      </c>
      <c r="B1442" s="3">
        <v>7800.0</v>
      </c>
      <c r="C1442" s="4"/>
      <c r="D1442" s="4" t="b">
        <f t="shared" si="1"/>
        <v>0</v>
      </c>
      <c r="E1442" s="4" t="s">
        <v>2312</v>
      </c>
    </row>
    <row r="1443">
      <c r="A1443" s="3" t="s">
        <v>1922</v>
      </c>
      <c r="B1443" s="3">
        <v>0.0</v>
      </c>
      <c r="C1443" s="3" t="s">
        <v>29</v>
      </c>
      <c r="D1443" s="4" t="b">
        <f t="shared" si="1"/>
        <v>0</v>
      </c>
      <c r="E1443" s="4" t="s">
        <v>1922</v>
      </c>
    </row>
    <row r="1444">
      <c r="A1444" s="3" t="s">
        <v>1923</v>
      </c>
      <c r="B1444" s="3">
        <v>0.0</v>
      </c>
      <c r="C1444" s="3" t="s">
        <v>6</v>
      </c>
      <c r="D1444" s="4" t="b">
        <f t="shared" si="1"/>
        <v>0</v>
      </c>
      <c r="E1444" s="4" t="s">
        <v>1923</v>
      </c>
    </row>
    <row r="1445">
      <c r="A1445" s="3" t="s">
        <v>1924</v>
      </c>
      <c r="B1445" s="3">
        <v>6800.0</v>
      </c>
      <c r="C1445" s="4"/>
      <c r="D1445" s="4" t="b">
        <f t="shared" si="1"/>
        <v>0</v>
      </c>
      <c r="E1445" s="4" t="s">
        <v>2313</v>
      </c>
    </row>
    <row r="1446">
      <c r="A1446" s="3" t="s">
        <v>1927</v>
      </c>
      <c r="B1446" s="3">
        <v>2500.0</v>
      </c>
      <c r="C1446" s="4"/>
      <c r="D1446" s="4" t="b">
        <f t="shared" si="1"/>
        <v>0</v>
      </c>
      <c r="E1446" s="4" t="s">
        <v>2314</v>
      </c>
    </row>
    <row r="1447">
      <c r="A1447" s="3" t="s">
        <v>1929</v>
      </c>
      <c r="B1447" s="3">
        <v>8000.0</v>
      </c>
      <c r="C1447" s="4"/>
      <c r="D1447" s="4" t="b">
        <f t="shared" si="1"/>
        <v>0</v>
      </c>
      <c r="E1447" s="4" t="s">
        <v>2315</v>
      </c>
    </row>
    <row r="1448">
      <c r="A1448" s="3" t="s">
        <v>1931</v>
      </c>
      <c r="B1448" s="3">
        <v>1500.0</v>
      </c>
      <c r="C1448" s="3" t="s">
        <v>3</v>
      </c>
      <c r="D1448" s="4" t="b">
        <f t="shared" si="1"/>
        <v>0</v>
      </c>
      <c r="E1448" s="4" t="s">
        <v>1931</v>
      </c>
    </row>
    <row r="1449">
      <c r="A1449" s="3" t="s">
        <v>1932</v>
      </c>
      <c r="B1449" s="3">
        <v>15000.0</v>
      </c>
      <c r="C1449" s="4"/>
      <c r="D1449" s="4" t="b">
        <f t="shared" si="1"/>
        <v>0</v>
      </c>
      <c r="E1449" s="4" t="s">
        <v>1932</v>
      </c>
    </row>
    <row r="1450">
      <c r="A1450" s="3" t="s">
        <v>1933</v>
      </c>
      <c r="B1450" s="3">
        <v>400.0</v>
      </c>
      <c r="C1450" s="4"/>
      <c r="D1450" s="4" t="b">
        <f t="shared" si="1"/>
        <v>0</v>
      </c>
      <c r="E1450" s="4" t="s">
        <v>2316</v>
      </c>
    </row>
    <row r="1451">
      <c r="A1451" s="3" t="s">
        <v>1935</v>
      </c>
      <c r="B1451" s="3">
        <v>500.0</v>
      </c>
      <c r="C1451" s="4"/>
      <c r="D1451" s="4" t="b">
        <f t="shared" si="1"/>
        <v>0</v>
      </c>
      <c r="E1451" s="4" t="s">
        <v>2317</v>
      </c>
    </row>
    <row r="1452">
      <c r="A1452" s="3" t="s">
        <v>1936</v>
      </c>
      <c r="B1452" s="3">
        <v>0.0</v>
      </c>
      <c r="C1452" s="3" t="s">
        <v>6</v>
      </c>
      <c r="D1452" s="4" t="b">
        <f t="shared" si="1"/>
        <v>0</v>
      </c>
      <c r="E1452" s="4" t="s">
        <v>1936</v>
      </c>
    </row>
    <row r="1453">
      <c r="A1453" s="3" t="s">
        <v>1937</v>
      </c>
      <c r="B1453" s="3">
        <v>0.0</v>
      </c>
      <c r="C1453" s="3" t="s">
        <v>3</v>
      </c>
      <c r="D1453" s="4" t="b">
        <f t="shared" si="1"/>
        <v>0</v>
      </c>
      <c r="E1453" s="4" t="s">
        <v>1937</v>
      </c>
    </row>
    <row r="1454">
      <c r="A1454" s="3" t="s">
        <v>1938</v>
      </c>
      <c r="B1454" s="3">
        <v>6100.0</v>
      </c>
      <c r="C1454" s="4"/>
      <c r="D1454" s="4" t="b">
        <f t="shared" si="1"/>
        <v>0</v>
      </c>
      <c r="E1454" s="4" t="s">
        <v>1938</v>
      </c>
    </row>
    <row r="1455">
      <c r="A1455" s="3" t="s">
        <v>1940</v>
      </c>
      <c r="B1455" s="3">
        <v>0.0</v>
      </c>
      <c r="C1455" s="3" t="s">
        <v>6</v>
      </c>
      <c r="D1455" s="4" t="b">
        <f t="shared" si="1"/>
        <v>0</v>
      </c>
      <c r="E1455" s="4" t="s">
        <v>2318</v>
      </c>
    </row>
    <row r="1456">
      <c r="A1456" s="3" t="s">
        <v>1941</v>
      </c>
      <c r="B1456" s="3">
        <v>0.0</v>
      </c>
      <c r="C1456" s="3" t="s">
        <v>3</v>
      </c>
      <c r="D1456" s="4" t="b">
        <f t="shared" si="1"/>
        <v>0</v>
      </c>
      <c r="E1456" s="4" t="s">
        <v>2319</v>
      </c>
    </row>
    <row r="1457">
      <c r="A1457" s="3" t="s">
        <v>1943</v>
      </c>
      <c r="B1457" s="3">
        <v>2000.0</v>
      </c>
      <c r="C1457" s="4"/>
      <c r="D1457" s="4" t="b">
        <f t="shared" si="1"/>
        <v>0</v>
      </c>
      <c r="E1457" s="4" t="s">
        <v>1943</v>
      </c>
    </row>
    <row r="1458">
      <c r="A1458" s="3" t="s">
        <v>1944</v>
      </c>
      <c r="B1458" s="3">
        <v>500.0</v>
      </c>
      <c r="C1458" s="4"/>
      <c r="D1458" s="4" t="b">
        <f t="shared" si="1"/>
        <v>0</v>
      </c>
      <c r="E1458" s="4" t="s">
        <v>1944</v>
      </c>
    </row>
    <row r="1459">
      <c r="A1459" s="3" t="s">
        <v>1945</v>
      </c>
      <c r="B1459" s="3">
        <v>0.0</v>
      </c>
      <c r="C1459" s="3" t="s">
        <v>3</v>
      </c>
      <c r="D1459" s="4" t="b">
        <f t="shared" si="1"/>
        <v>0</v>
      </c>
      <c r="E1459" s="4" t="s">
        <v>2320</v>
      </c>
    </row>
    <row r="1460">
      <c r="A1460" s="3" t="s">
        <v>1947</v>
      </c>
      <c r="B1460" s="3">
        <v>400.0</v>
      </c>
      <c r="C1460" s="3" t="s">
        <v>6</v>
      </c>
      <c r="D1460" s="4" t="b">
        <f t="shared" si="1"/>
        <v>0</v>
      </c>
      <c r="E1460" s="4" t="s">
        <v>2321</v>
      </c>
    </row>
    <row r="1461">
      <c r="A1461" s="3" t="s">
        <v>1949</v>
      </c>
      <c r="B1461" s="3">
        <v>700.0</v>
      </c>
      <c r="C1461" s="3" t="s">
        <v>3</v>
      </c>
      <c r="D1461" s="4" t="b">
        <f t="shared" si="1"/>
        <v>0</v>
      </c>
      <c r="E1461" s="4" t="s">
        <v>2322</v>
      </c>
    </row>
    <row r="1462">
      <c r="A1462" s="3" t="s">
        <v>1951</v>
      </c>
      <c r="B1462" s="3">
        <v>0.0</v>
      </c>
      <c r="C1462" s="3" t="s">
        <v>484</v>
      </c>
      <c r="D1462" s="4" t="b">
        <f t="shared" si="1"/>
        <v>0</v>
      </c>
      <c r="E1462" s="4" t="s">
        <v>1951</v>
      </c>
    </row>
    <row r="1463">
      <c r="A1463" s="3" t="s">
        <v>1952</v>
      </c>
      <c r="B1463" s="3">
        <v>900.0</v>
      </c>
      <c r="C1463" s="3" t="s">
        <v>3</v>
      </c>
      <c r="D1463" s="4" t="b">
        <f t="shared" si="1"/>
        <v>0</v>
      </c>
      <c r="E1463" s="4" t="s">
        <v>2323</v>
      </c>
    </row>
    <row r="1464">
      <c r="A1464" s="3" t="s">
        <v>1954</v>
      </c>
      <c r="B1464" s="3">
        <v>1500.0</v>
      </c>
      <c r="C1464" s="3" t="s">
        <v>3</v>
      </c>
      <c r="D1464" s="4" t="b">
        <f t="shared" si="1"/>
        <v>0</v>
      </c>
      <c r="E1464" s="4" t="s">
        <v>2324</v>
      </c>
    </row>
    <row r="1465">
      <c r="A1465" s="3" t="s">
        <v>1956</v>
      </c>
      <c r="B1465" s="3">
        <v>0.0</v>
      </c>
      <c r="C1465" s="3" t="s">
        <v>3</v>
      </c>
      <c r="D1465" s="4" t="b">
        <f t="shared" si="1"/>
        <v>0</v>
      </c>
      <c r="E1465" s="4" t="s">
        <v>2325</v>
      </c>
    </row>
    <row r="1466">
      <c r="A1466" s="3" t="s">
        <v>1957</v>
      </c>
      <c r="B1466" s="3">
        <v>879983.0</v>
      </c>
      <c r="C1466" s="3" t="s">
        <v>37</v>
      </c>
      <c r="D1466" s="4" t="b">
        <f t="shared" si="1"/>
        <v>0</v>
      </c>
      <c r="E1466" s="4" t="s">
        <v>2326</v>
      </c>
    </row>
    <row r="1467">
      <c r="A1467" s="3" t="s">
        <v>1959</v>
      </c>
      <c r="B1467" s="3">
        <v>1537650.0</v>
      </c>
      <c r="C1467" s="3" t="s">
        <v>37</v>
      </c>
      <c r="D1467" s="4" t="b">
        <f t="shared" si="1"/>
        <v>0</v>
      </c>
      <c r="E1467" s="4" t="s">
        <v>2327</v>
      </c>
    </row>
    <row r="1468">
      <c r="A1468" s="3" t="s">
        <v>1961</v>
      </c>
      <c r="B1468" s="3">
        <v>19500.0</v>
      </c>
      <c r="C1468" s="3" t="s">
        <v>6</v>
      </c>
      <c r="D1468" s="4" t="b">
        <f t="shared" si="1"/>
        <v>0</v>
      </c>
      <c r="E1468" s="4" t="s">
        <v>2328</v>
      </c>
    </row>
    <row r="1469">
      <c r="A1469" s="3" t="s">
        <v>1964</v>
      </c>
      <c r="B1469" s="3">
        <v>896350.0</v>
      </c>
      <c r="C1469" s="3" t="s">
        <v>37</v>
      </c>
      <c r="D1469" s="4" t="b">
        <f t="shared" si="1"/>
        <v>0</v>
      </c>
      <c r="E1469" s="4" t="s">
        <v>2329</v>
      </c>
    </row>
    <row r="1470">
      <c r="A1470" s="3" t="s">
        <v>1966</v>
      </c>
      <c r="B1470" s="3">
        <v>3500.0</v>
      </c>
      <c r="C1470" s="4"/>
      <c r="D1470" s="4" t="b">
        <f t="shared" si="1"/>
        <v>0</v>
      </c>
      <c r="E1470" s="4" t="s">
        <v>1966</v>
      </c>
    </row>
    <row r="1471">
      <c r="A1471" s="3" t="s">
        <v>1967</v>
      </c>
      <c r="B1471" s="3">
        <v>105000.0</v>
      </c>
      <c r="C1471" s="3" t="s">
        <v>32</v>
      </c>
      <c r="D1471" s="4" t="b">
        <f t="shared" si="1"/>
        <v>0</v>
      </c>
      <c r="E1471" s="4" t="s">
        <v>1967</v>
      </c>
    </row>
    <row r="1472">
      <c r="A1472" s="3" t="s">
        <v>1969</v>
      </c>
      <c r="B1472" s="3">
        <v>4000.0</v>
      </c>
      <c r="C1472" s="4"/>
      <c r="D1472" s="4" t="b">
        <f t="shared" si="1"/>
        <v>0</v>
      </c>
      <c r="E1472" s="4" t="s">
        <v>1969</v>
      </c>
    </row>
    <row r="1473">
      <c r="A1473" s="3" t="s">
        <v>1970</v>
      </c>
      <c r="B1473" s="3">
        <v>0.0</v>
      </c>
      <c r="C1473" s="3" t="s">
        <v>6</v>
      </c>
      <c r="D1473" s="4" t="b">
        <f t="shared" si="1"/>
        <v>0</v>
      </c>
      <c r="E1473" s="4" t="s">
        <v>1970</v>
      </c>
    </row>
    <row r="1474">
      <c r="A1474" s="3" t="s">
        <v>1971</v>
      </c>
      <c r="B1474" s="3">
        <v>0.0</v>
      </c>
      <c r="C1474" s="3" t="s">
        <v>6</v>
      </c>
      <c r="D1474" s="4" t="b">
        <f t="shared" si="1"/>
        <v>0</v>
      </c>
      <c r="E1474" s="4" t="s">
        <v>2330</v>
      </c>
    </row>
    <row r="1475">
      <c r="A1475" s="3" t="s">
        <v>1973</v>
      </c>
      <c r="B1475" s="3">
        <v>3500.0</v>
      </c>
      <c r="C1475" s="3" t="s">
        <v>484</v>
      </c>
      <c r="D1475" s="4" t="b">
        <f t="shared" si="1"/>
        <v>0</v>
      </c>
      <c r="E1475" s="4" t="s">
        <v>1973</v>
      </c>
    </row>
    <row r="1476">
      <c r="A1476" s="3" t="s">
        <v>1974</v>
      </c>
      <c r="B1476" s="3">
        <v>0.0</v>
      </c>
      <c r="C1476" s="3" t="s">
        <v>3</v>
      </c>
      <c r="D1476" s="4" t="b">
        <f t="shared" si="1"/>
        <v>0</v>
      </c>
      <c r="E1476" s="4" t="s">
        <v>1974</v>
      </c>
    </row>
    <row r="1477">
      <c r="A1477" s="3" t="s">
        <v>1975</v>
      </c>
      <c r="B1477" s="3">
        <v>5000.0</v>
      </c>
      <c r="C1477" s="4"/>
      <c r="D1477" s="4" t="b">
        <f t="shared" si="1"/>
        <v>0</v>
      </c>
      <c r="E1477" s="4" t="s">
        <v>1975</v>
      </c>
    </row>
    <row r="1478">
      <c r="A1478" s="3" t="s">
        <v>1976</v>
      </c>
      <c r="B1478" s="3">
        <v>28500.0</v>
      </c>
      <c r="C1478" s="3" t="s">
        <v>32</v>
      </c>
      <c r="D1478" s="4" t="b">
        <f t="shared" si="1"/>
        <v>0</v>
      </c>
      <c r="E1478" s="4" t="s">
        <v>1976</v>
      </c>
    </row>
    <row r="1479">
      <c r="A1479" s="3" t="s">
        <v>1978</v>
      </c>
      <c r="B1479" s="3">
        <v>0.0</v>
      </c>
      <c r="C1479" s="3" t="s">
        <v>3</v>
      </c>
      <c r="D1479" s="4" t="b">
        <f t="shared" si="1"/>
        <v>0</v>
      </c>
      <c r="E1479" s="4" t="s">
        <v>1978</v>
      </c>
    </row>
    <row r="1480">
      <c r="A1480" s="3" t="s">
        <v>1979</v>
      </c>
      <c r="B1480" s="3">
        <v>1300.0</v>
      </c>
      <c r="C1480" s="4"/>
      <c r="D1480" s="4" t="b">
        <f t="shared" si="1"/>
        <v>0</v>
      </c>
      <c r="E1480" s="4" t="s">
        <v>1979</v>
      </c>
    </row>
    <row r="1481">
      <c r="A1481" s="3" t="s">
        <v>1980</v>
      </c>
      <c r="B1481" s="3">
        <v>2450.0</v>
      </c>
      <c r="C1481" s="4"/>
      <c r="D1481" s="4" t="b">
        <f t="shared" si="1"/>
        <v>0</v>
      </c>
      <c r="E1481" s="4" t="s">
        <v>1980</v>
      </c>
    </row>
    <row r="1482">
      <c r="A1482" s="3" t="s">
        <v>1982</v>
      </c>
      <c r="B1482" s="3">
        <v>0.0</v>
      </c>
      <c r="C1482" s="3" t="s">
        <v>3</v>
      </c>
      <c r="D1482" s="4" t="b">
        <f t="shared" si="1"/>
        <v>0</v>
      </c>
      <c r="E1482" s="4" t="s">
        <v>1982</v>
      </c>
    </row>
    <row r="1483">
      <c r="A1483" s="3" t="s">
        <v>1983</v>
      </c>
      <c r="B1483" s="3">
        <v>0.0</v>
      </c>
      <c r="C1483" s="3" t="s">
        <v>6</v>
      </c>
      <c r="D1483" s="4" t="b">
        <f t="shared" si="1"/>
        <v>0</v>
      </c>
      <c r="E1483" s="4" t="s">
        <v>1983</v>
      </c>
    </row>
    <row r="1484">
      <c r="A1484" s="3" t="s">
        <v>1984</v>
      </c>
      <c r="B1484" s="3">
        <v>0.0</v>
      </c>
      <c r="C1484" s="3" t="s">
        <v>3</v>
      </c>
      <c r="D1484" s="4" t="b">
        <f t="shared" si="1"/>
        <v>0</v>
      </c>
      <c r="E1484" s="4" t="s">
        <v>1984</v>
      </c>
    </row>
    <row r="1485">
      <c r="A1485" s="3" t="s">
        <v>1985</v>
      </c>
      <c r="B1485" s="3">
        <v>0.0</v>
      </c>
      <c r="C1485" s="3" t="s">
        <v>3</v>
      </c>
      <c r="D1485" s="4" t="b">
        <f t="shared" si="1"/>
        <v>0</v>
      </c>
      <c r="E1485" s="4" t="s">
        <v>1985</v>
      </c>
    </row>
    <row r="1486">
      <c r="A1486" s="3" t="s">
        <v>1986</v>
      </c>
      <c r="B1486" s="3">
        <v>0.0</v>
      </c>
      <c r="C1486" s="3" t="s">
        <v>3</v>
      </c>
      <c r="D1486" s="4" t="b">
        <f t="shared" si="1"/>
        <v>0</v>
      </c>
      <c r="E1486" s="4" t="s">
        <v>1986</v>
      </c>
    </row>
    <row r="1487">
      <c r="A1487" s="3" t="s">
        <v>1987</v>
      </c>
      <c r="B1487" s="3">
        <v>0.0</v>
      </c>
      <c r="C1487" s="3" t="s">
        <v>3</v>
      </c>
      <c r="D1487" s="4" t="b">
        <f t="shared" si="1"/>
        <v>0</v>
      </c>
      <c r="E1487" s="4" t="s">
        <v>1987</v>
      </c>
    </row>
    <row r="1488">
      <c r="A1488" s="3" t="s">
        <v>1988</v>
      </c>
      <c r="B1488" s="3">
        <v>0.0</v>
      </c>
      <c r="C1488" s="3" t="s">
        <v>3</v>
      </c>
      <c r="D1488" s="4" t="b">
        <f t="shared" si="1"/>
        <v>0</v>
      </c>
      <c r="E1488" s="4" t="s">
        <v>1988</v>
      </c>
    </row>
    <row r="1489">
      <c r="A1489" s="3" t="s">
        <v>1989</v>
      </c>
      <c r="B1489" s="3">
        <v>5394.0</v>
      </c>
      <c r="C1489" s="3" t="s">
        <v>6</v>
      </c>
      <c r="D1489" s="4" t="b">
        <f t="shared" si="1"/>
        <v>0</v>
      </c>
      <c r="E1489" s="4" t="s">
        <v>1989</v>
      </c>
    </row>
    <row r="1490">
      <c r="A1490" s="3" t="s">
        <v>1991</v>
      </c>
      <c r="B1490" s="3">
        <v>1000.0</v>
      </c>
      <c r="C1490" s="4"/>
      <c r="D1490" s="4" t="b">
        <f t="shared" si="1"/>
        <v>0</v>
      </c>
      <c r="E1490" s="4" t="s">
        <v>1991</v>
      </c>
    </row>
    <row r="1491">
      <c r="A1491" s="3" t="s">
        <v>1992</v>
      </c>
      <c r="B1491" s="3">
        <v>21500.0</v>
      </c>
      <c r="C1491" s="4"/>
      <c r="D1491" s="4" t="b">
        <f t="shared" si="1"/>
        <v>0</v>
      </c>
      <c r="E1491" s="4" t="s">
        <v>1992</v>
      </c>
    </row>
    <row r="1492">
      <c r="A1492" s="3" t="s">
        <v>1994</v>
      </c>
      <c r="B1492" s="3">
        <v>6500.0</v>
      </c>
      <c r="C1492" s="4"/>
      <c r="D1492" s="4" t="b">
        <f t="shared" si="1"/>
        <v>0</v>
      </c>
      <c r="E1492" s="4" t="s">
        <v>1994</v>
      </c>
    </row>
    <row r="1493">
      <c r="A1493" s="3" t="s">
        <v>1995</v>
      </c>
      <c r="B1493" s="3">
        <v>500.0</v>
      </c>
      <c r="C1493" s="3" t="s">
        <v>3</v>
      </c>
      <c r="D1493" s="4" t="b">
        <f t="shared" si="1"/>
        <v>0</v>
      </c>
      <c r="E1493" s="4" t="s">
        <v>1995</v>
      </c>
    </row>
    <row r="1494">
      <c r="A1494" s="3" t="s">
        <v>1996</v>
      </c>
      <c r="B1494" s="3">
        <v>500.0</v>
      </c>
      <c r="C1494" s="3" t="s">
        <v>3</v>
      </c>
      <c r="D1494" s="4" t="b">
        <f t="shared" si="1"/>
        <v>0</v>
      </c>
      <c r="E1494" s="4" t="s">
        <v>1996</v>
      </c>
    </row>
    <row r="1495">
      <c r="A1495" s="3" t="s">
        <v>1997</v>
      </c>
      <c r="B1495" s="3">
        <v>0.0</v>
      </c>
      <c r="C1495" s="3" t="s">
        <v>6</v>
      </c>
      <c r="D1495" s="4" t="b">
        <f t="shared" si="1"/>
        <v>0</v>
      </c>
      <c r="E1495" s="4" t="s">
        <v>1997</v>
      </c>
    </row>
    <row r="1496">
      <c r="A1496" s="3" t="s">
        <v>1998</v>
      </c>
      <c r="B1496" s="3">
        <v>119000.0</v>
      </c>
      <c r="C1496" s="3" t="s">
        <v>2000</v>
      </c>
      <c r="D1496" s="4" t="b">
        <f t="shared" si="1"/>
        <v>0</v>
      </c>
      <c r="E1496" s="4" t="s">
        <v>2331</v>
      </c>
    </row>
    <row r="1497">
      <c r="A1497" s="3" t="s">
        <v>2001</v>
      </c>
      <c r="B1497" s="3">
        <v>0.0</v>
      </c>
      <c r="C1497" s="3" t="s">
        <v>6</v>
      </c>
      <c r="D1497" s="4" t="b">
        <f t="shared" si="1"/>
        <v>0</v>
      </c>
      <c r="E1497" s="4" t="s">
        <v>2001</v>
      </c>
    </row>
    <row r="1498">
      <c r="A1498" s="3" t="s">
        <v>2002</v>
      </c>
      <c r="B1498" s="3">
        <v>8300.0</v>
      </c>
      <c r="C1498" s="3" t="s">
        <v>6</v>
      </c>
      <c r="D1498" s="4" t="b">
        <f t="shared" si="1"/>
        <v>0</v>
      </c>
      <c r="E1498" s="4" t="s">
        <v>2002</v>
      </c>
    </row>
    <row r="1499">
      <c r="A1499" s="3" t="s">
        <v>2004</v>
      </c>
      <c r="B1499" s="3">
        <v>0.0</v>
      </c>
      <c r="C1499" s="3" t="s">
        <v>3</v>
      </c>
      <c r="D1499" s="4" t="b">
        <f t="shared" si="1"/>
        <v>0</v>
      </c>
      <c r="E1499" s="4" t="s">
        <v>2004</v>
      </c>
    </row>
    <row r="1500">
      <c r="A1500" s="3" t="s">
        <v>2005</v>
      </c>
      <c r="B1500" s="3">
        <v>0.0</v>
      </c>
      <c r="C1500" s="3" t="s">
        <v>3</v>
      </c>
      <c r="D1500" s="4" t="b">
        <f t="shared" si="1"/>
        <v>0</v>
      </c>
      <c r="E1500" s="4" t="s">
        <v>2005</v>
      </c>
    </row>
    <row r="1501">
      <c r="A1501" s="3" t="s">
        <v>2006</v>
      </c>
      <c r="B1501" s="3">
        <v>0.0</v>
      </c>
      <c r="C1501" s="3" t="s">
        <v>3</v>
      </c>
      <c r="D1501" s="4" t="b">
        <f t="shared" si="1"/>
        <v>0</v>
      </c>
      <c r="E1501" s="4" t="s">
        <v>2332</v>
      </c>
    </row>
    <row r="1502">
      <c r="A1502" s="3" t="s">
        <v>2008</v>
      </c>
      <c r="B1502" s="3">
        <v>800.0</v>
      </c>
      <c r="C1502" s="3" t="s">
        <v>32</v>
      </c>
      <c r="D1502" s="4" t="b">
        <f t="shared" si="1"/>
        <v>0</v>
      </c>
      <c r="E1502" s="4" t="s">
        <v>2008</v>
      </c>
    </row>
    <row r="1503">
      <c r="A1503" s="3" t="s">
        <v>2009</v>
      </c>
      <c r="B1503" s="3">
        <v>6900.0</v>
      </c>
      <c r="C1503" s="3" t="s">
        <v>6</v>
      </c>
      <c r="D1503" s="4" t="b">
        <f t="shared" si="1"/>
        <v>0</v>
      </c>
      <c r="E1503" s="4" t="s">
        <v>2009</v>
      </c>
    </row>
    <row r="1504">
      <c r="A1504" s="3" t="s">
        <v>2011</v>
      </c>
      <c r="B1504" s="3">
        <v>3000.0</v>
      </c>
      <c r="C1504" s="3" t="s">
        <v>3</v>
      </c>
      <c r="D1504" s="4" t="b">
        <f t="shared" si="1"/>
        <v>0</v>
      </c>
      <c r="E1504" s="4" t="s">
        <v>2011</v>
      </c>
    </row>
    <row r="1505">
      <c r="A1505" s="3" t="s">
        <v>2012</v>
      </c>
      <c r="B1505" s="3">
        <v>0.0</v>
      </c>
      <c r="C1505" s="3" t="s">
        <v>3</v>
      </c>
      <c r="D1505" s="4" t="b">
        <f t="shared" si="1"/>
        <v>0</v>
      </c>
      <c r="E1505" s="4" t="s">
        <v>2012</v>
      </c>
    </row>
    <row r="1506">
      <c r="A1506" s="3" t="s">
        <v>2013</v>
      </c>
      <c r="B1506" s="3">
        <v>0.0</v>
      </c>
      <c r="C1506" s="3" t="s">
        <v>6</v>
      </c>
      <c r="D1506" s="4" t="b">
        <f t="shared" si="1"/>
        <v>0</v>
      </c>
      <c r="E1506" s="4" t="s">
        <v>2013</v>
      </c>
    </row>
    <row r="1507">
      <c r="A1507" s="3" t="s">
        <v>2014</v>
      </c>
      <c r="B1507" s="3">
        <v>3400.0</v>
      </c>
      <c r="C1507" s="4"/>
      <c r="D1507" s="4" t="b">
        <f t="shared" si="1"/>
        <v>0</v>
      </c>
      <c r="E1507" s="4" t="s">
        <v>2014</v>
      </c>
    </row>
    <row r="1508">
      <c r="A1508" s="3" t="s">
        <v>2016</v>
      </c>
      <c r="B1508" s="3">
        <v>0.0</v>
      </c>
      <c r="C1508" s="3" t="s">
        <v>29</v>
      </c>
      <c r="D1508" s="4" t="b">
        <f t="shared" si="1"/>
        <v>0</v>
      </c>
      <c r="E1508" s="4" t="s">
        <v>2016</v>
      </c>
    </row>
    <row r="1509">
      <c r="A1509" s="3" t="s">
        <v>2017</v>
      </c>
      <c r="B1509" s="3">
        <v>0.0</v>
      </c>
      <c r="C1509" s="3" t="s">
        <v>3</v>
      </c>
      <c r="D1509" s="4" t="b">
        <f t="shared" si="1"/>
        <v>0</v>
      </c>
      <c r="E1509" s="4" t="s">
        <v>2017</v>
      </c>
    </row>
    <row r="1510">
      <c r="A1510" s="3" t="s">
        <v>2018</v>
      </c>
      <c r="B1510" s="3">
        <v>5000.0</v>
      </c>
      <c r="C1510" s="4"/>
      <c r="D1510" s="4" t="b">
        <f t="shared" si="1"/>
        <v>0</v>
      </c>
      <c r="E1510" s="4" t="s">
        <v>2018</v>
      </c>
    </row>
    <row r="1511">
      <c r="A1511" s="3" t="s">
        <v>2019</v>
      </c>
      <c r="B1511" s="3">
        <v>0.0</v>
      </c>
      <c r="C1511" s="3" t="s">
        <v>29</v>
      </c>
      <c r="D1511" s="4" t="b">
        <f t="shared" si="1"/>
        <v>0</v>
      </c>
      <c r="E1511" s="4" t="s">
        <v>2019</v>
      </c>
    </row>
    <row r="1512">
      <c r="A1512" s="3" t="s">
        <v>2020</v>
      </c>
      <c r="B1512" s="3">
        <v>0.0</v>
      </c>
      <c r="C1512" s="3" t="s">
        <v>29</v>
      </c>
      <c r="D1512" s="4" t="b">
        <f t="shared" si="1"/>
        <v>0</v>
      </c>
      <c r="E1512" s="4" t="s">
        <v>2020</v>
      </c>
    </row>
    <row r="1513">
      <c r="A1513" s="3" t="s">
        <v>2021</v>
      </c>
      <c r="B1513" s="3">
        <v>0.0</v>
      </c>
      <c r="C1513" s="3" t="s">
        <v>3</v>
      </c>
      <c r="D1513" s="4" t="b">
        <f t="shared" si="1"/>
        <v>0</v>
      </c>
      <c r="E1513" s="4" t="s">
        <v>2021</v>
      </c>
    </row>
    <row r="1514">
      <c r="A1514" s="3" t="s">
        <v>2022</v>
      </c>
      <c r="B1514" s="3">
        <v>17000.0</v>
      </c>
      <c r="C1514" s="3" t="s">
        <v>32</v>
      </c>
      <c r="D1514" s="4" t="b">
        <f t="shared" si="1"/>
        <v>0</v>
      </c>
      <c r="E1514" s="4" t="s">
        <v>2022</v>
      </c>
    </row>
    <row r="1515">
      <c r="A1515" s="3" t="s">
        <v>2023</v>
      </c>
      <c r="B1515" s="3">
        <v>13000.0</v>
      </c>
      <c r="C1515" s="3" t="s">
        <v>6</v>
      </c>
      <c r="D1515" s="4" t="b">
        <f t="shared" si="1"/>
        <v>0</v>
      </c>
      <c r="E1515" s="4" t="s">
        <v>2333</v>
      </c>
    </row>
    <row r="1516">
      <c r="A1516" s="3" t="s">
        <v>2025</v>
      </c>
      <c r="B1516" s="3">
        <v>0.0</v>
      </c>
      <c r="C1516" s="3" t="s">
        <v>32</v>
      </c>
      <c r="D1516" s="4" t="b">
        <f t="shared" si="1"/>
        <v>0</v>
      </c>
      <c r="E1516" s="4" t="s">
        <v>2025</v>
      </c>
    </row>
    <row r="1517">
      <c r="A1517" s="3" t="s">
        <v>2026</v>
      </c>
      <c r="B1517" s="3">
        <v>0.0</v>
      </c>
      <c r="C1517" s="3" t="s">
        <v>3</v>
      </c>
      <c r="D1517" s="4" t="b">
        <f t="shared" si="1"/>
        <v>0</v>
      </c>
      <c r="E1517" s="4" t="s">
        <v>2026</v>
      </c>
    </row>
    <row r="1518">
      <c r="A1518" s="3" t="s">
        <v>2027</v>
      </c>
      <c r="B1518" s="3">
        <v>0.0</v>
      </c>
      <c r="C1518" s="3" t="s">
        <v>3</v>
      </c>
      <c r="D1518" s="4" t="b">
        <f t="shared" si="1"/>
        <v>0</v>
      </c>
      <c r="E1518" s="4" t="s">
        <v>2027</v>
      </c>
    </row>
    <row r="1519">
      <c r="A1519" s="3" t="s">
        <v>2028</v>
      </c>
      <c r="B1519" s="3">
        <v>0.0</v>
      </c>
      <c r="C1519" s="3" t="s">
        <v>29</v>
      </c>
      <c r="D1519" s="4" t="b">
        <f t="shared" si="1"/>
        <v>0</v>
      </c>
      <c r="E1519" s="4" t="s">
        <v>2028</v>
      </c>
    </row>
    <row r="1520">
      <c r="A1520" s="3" t="s">
        <v>2029</v>
      </c>
      <c r="B1520" s="3">
        <v>0.0</v>
      </c>
      <c r="C1520" s="3" t="s">
        <v>29</v>
      </c>
      <c r="D1520" s="4" t="b">
        <f t="shared" si="1"/>
        <v>0</v>
      </c>
      <c r="E1520" s="4" t="s">
        <v>2029</v>
      </c>
    </row>
    <row r="1521">
      <c r="A1521" s="3" t="s">
        <v>2030</v>
      </c>
      <c r="B1521" s="3">
        <v>23000.0</v>
      </c>
      <c r="C1521" s="3" t="s">
        <v>3</v>
      </c>
      <c r="D1521" s="4" t="b">
        <f t="shared" si="1"/>
        <v>0</v>
      </c>
      <c r="E1521" s="4" t="s">
        <v>2030</v>
      </c>
    </row>
    <row r="1522">
      <c r="A1522" s="3" t="s">
        <v>2031</v>
      </c>
      <c r="B1522" s="3">
        <v>9000.0</v>
      </c>
      <c r="C1522" s="4"/>
      <c r="D1522" s="4" t="b">
        <f t="shared" si="1"/>
        <v>0</v>
      </c>
      <c r="E1522" s="4" t="s">
        <v>2031</v>
      </c>
    </row>
    <row r="1523">
      <c r="A1523" s="3" t="s">
        <v>2032</v>
      </c>
      <c r="B1523" s="3">
        <v>4300.0</v>
      </c>
      <c r="C1523" s="3" t="s">
        <v>6</v>
      </c>
      <c r="D1523" s="4" t="b">
        <f t="shared" si="1"/>
        <v>0</v>
      </c>
      <c r="E1523" s="4" t="s">
        <v>2334</v>
      </c>
    </row>
    <row r="1524">
      <c r="A1524" s="3" t="s">
        <v>283</v>
      </c>
      <c r="B1524" s="3">
        <v>5000.0</v>
      </c>
      <c r="C1524" s="4"/>
      <c r="D1524" s="4" t="b">
        <f t="shared" si="1"/>
        <v>0</v>
      </c>
      <c r="E1524" s="4" t="s">
        <v>283</v>
      </c>
    </row>
    <row r="1525">
      <c r="A1525" s="3" t="s">
        <v>2043</v>
      </c>
      <c r="B1525" s="3">
        <v>3120000.0</v>
      </c>
      <c r="C1525" s="4"/>
      <c r="D1525" s="4" t="b">
        <f t="shared" si="1"/>
        <v>0</v>
      </c>
      <c r="E1525" s="4" t="s">
        <v>2043</v>
      </c>
    </row>
    <row r="1526">
      <c r="A1526" s="3" t="s">
        <v>2045</v>
      </c>
      <c r="B1526" s="3">
        <v>52500.0</v>
      </c>
      <c r="C1526" s="3" t="s">
        <v>3</v>
      </c>
      <c r="D1526" s="4" t="b">
        <f t="shared" si="1"/>
        <v>0</v>
      </c>
      <c r="E1526" s="4" t="s">
        <v>2045</v>
      </c>
    </row>
    <row r="1527">
      <c r="A1527" s="3" t="s">
        <v>2047</v>
      </c>
      <c r="B1527" s="3">
        <v>7000.0</v>
      </c>
      <c r="C1527" s="4"/>
      <c r="D1527" s="4" t="b">
        <f t="shared" si="1"/>
        <v>0</v>
      </c>
      <c r="E1527" s="4" t="s">
        <v>2047</v>
      </c>
    </row>
    <row r="1528">
      <c r="A1528" s="3" t="s">
        <v>2048</v>
      </c>
      <c r="B1528" s="3">
        <v>7600.0</v>
      </c>
      <c r="C1528" s="4"/>
      <c r="D1528" s="4" t="b">
        <f t="shared" si="1"/>
        <v>0</v>
      </c>
      <c r="E1528" s="4" t="s">
        <v>2048</v>
      </c>
    </row>
    <row r="1529">
      <c r="A1529" s="3" t="s">
        <v>2049</v>
      </c>
      <c r="B1529" s="3">
        <v>16628.76</v>
      </c>
      <c r="C1529" s="4"/>
      <c r="D1529" s="4" t="b">
        <f t="shared" si="1"/>
        <v>0</v>
      </c>
      <c r="E1529" s="4" t="s">
        <v>2049</v>
      </c>
    </row>
    <row r="1530">
      <c r="A1530" s="3" t="s">
        <v>2051</v>
      </c>
      <c r="B1530" s="3">
        <v>15920.46</v>
      </c>
      <c r="C1530" s="4"/>
      <c r="D1530" s="4" t="b">
        <f t="shared" si="1"/>
        <v>0</v>
      </c>
      <c r="E1530" s="4" t="s">
        <v>2051</v>
      </c>
    </row>
    <row r="1531">
      <c r="A1531" s="3" t="s">
        <v>2053</v>
      </c>
      <c r="B1531" s="3">
        <v>1.616767E7</v>
      </c>
      <c r="C1531" s="4"/>
      <c r="D1531" s="4" t="b">
        <f t="shared" si="1"/>
        <v>0</v>
      </c>
      <c r="E1531" s="4" t="s">
        <v>2053</v>
      </c>
    </row>
    <row r="1532">
      <c r="A1532" s="3" t="s">
        <v>2055</v>
      </c>
      <c r="B1532" s="3">
        <v>82.0</v>
      </c>
      <c r="C1532" s="4"/>
      <c r="D1532" s="4" t="b">
        <f t="shared" si="1"/>
        <v>0</v>
      </c>
      <c r="E1532" s="4" t="s">
        <v>2343</v>
      </c>
    </row>
    <row r="1533">
      <c r="A1533" s="3" t="s">
        <v>2057</v>
      </c>
      <c r="B1533" s="3">
        <v>7912204.0</v>
      </c>
      <c r="C1533" s="4"/>
      <c r="D1533" s="4" t="b">
        <f t="shared" si="1"/>
        <v>0</v>
      </c>
      <c r="E1533" s="4" t="s">
        <v>2057</v>
      </c>
    </row>
    <row r="1534">
      <c r="A1534" s="3" t="s">
        <v>2059</v>
      </c>
      <c r="B1534" s="3">
        <v>10536.77</v>
      </c>
      <c r="C1534" s="4"/>
      <c r="D1534" s="4" t="b">
        <f t="shared" si="1"/>
        <v>0</v>
      </c>
      <c r="E1534" s="4" t="s">
        <v>2059</v>
      </c>
    </row>
    <row r="1535">
      <c r="A1535" s="3" t="s">
        <v>2061</v>
      </c>
      <c r="B1535" s="3">
        <v>13000.0</v>
      </c>
      <c r="C1535" s="4"/>
      <c r="D1535" s="4" t="b">
        <f t="shared" si="1"/>
        <v>0</v>
      </c>
      <c r="E1535" s="4" t="s">
        <v>2061</v>
      </c>
    </row>
    <row r="1536">
      <c r="A1536" s="4"/>
      <c r="B1536" s="4"/>
      <c r="C1536" s="4"/>
      <c r="D1536" s="4"/>
      <c r="E1536" s="4"/>
    </row>
    <row r="1537">
      <c r="A1537" s="4"/>
      <c r="B1537" s="4"/>
      <c r="C1537" s="4"/>
      <c r="D1537" s="4"/>
      <c r="E1537" s="4" t="str">
        <f>if(D1537=TRUE, CONCATENATE(A1536," ",A1537),A1536)</f>
        <v/>
      </c>
    </row>
  </sheetData>
  <autoFilter ref="$A$2:$E$1535"/>
  <mergeCells count="1">
    <mergeCell ref="A1:E1"/>
  </mergeCells>
  <conditionalFormatting sqref="D2:D1537">
    <cfRule type="cellIs" dxfId="0" priority="1" operator="equal">
      <formula>"TRUE"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1.38"/>
    <col customWidth="1" min="3" max="3" width="26.38"/>
  </cols>
  <sheetData>
    <row r="1" ht="82.5" customHeight="1">
      <c r="A1" s="1" t="s">
        <v>2345</v>
      </c>
    </row>
    <row r="2">
      <c r="A2" s="6" t="s">
        <v>2068</v>
      </c>
      <c r="B2" s="5" t="s">
        <v>2065</v>
      </c>
      <c r="C2" s="5" t="s">
        <v>2066</v>
      </c>
    </row>
    <row r="3">
      <c r="A3" s="4" t="s">
        <v>2069</v>
      </c>
      <c r="B3" s="3">
        <v>0.0</v>
      </c>
      <c r="C3" s="3" t="s">
        <v>3</v>
      </c>
    </row>
    <row r="4">
      <c r="A4" s="4" t="s">
        <v>5</v>
      </c>
      <c r="B4" s="3">
        <v>0.0</v>
      </c>
      <c r="C4" s="3" t="s">
        <v>6</v>
      </c>
    </row>
    <row r="5">
      <c r="A5" s="4" t="s">
        <v>7</v>
      </c>
      <c r="B5" s="3">
        <v>0.0</v>
      </c>
      <c r="C5" s="3" t="s">
        <v>3</v>
      </c>
    </row>
    <row r="6">
      <c r="A6" s="4" t="s">
        <v>8</v>
      </c>
      <c r="B6" s="3">
        <v>0.0</v>
      </c>
      <c r="C6" s="3" t="s">
        <v>3</v>
      </c>
    </row>
    <row r="7">
      <c r="A7" s="4" t="s">
        <v>9</v>
      </c>
      <c r="B7" s="3">
        <v>0.0</v>
      </c>
      <c r="C7" s="3" t="s">
        <v>3</v>
      </c>
    </row>
    <row r="8">
      <c r="A8" s="4" t="s">
        <v>10</v>
      </c>
      <c r="B8" s="3">
        <v>1000.0</v>
      </c>
      <c r="C8" s="4"/>
    </row>
    <row r="9">
      <c r="A9" s="4" t="s">
        <v>12</v>
      </c>
      <c r="B9" s="3">
        <v>1800.0</v>
      </c>
      <c r="C9" s="4"/>
    </row>
    <row r="10">
      <c r="A10" s="4" t="s">
        <v>14</v>
      </c>
      <c r="B10" s="3">
        <v>19000.0</v>
      </c>
      <c r="C10" s="3" t="s">
        <v>16</v>
      </c>
    </row>
    <row r="11">
      <c r="A11" s="4" t="s">
        <v>17</v>
      </c>
      <c r="B11" s="3">
        <v>500.0</v>
      </c>
      <c r="C11" s="4"/>
    </row>
    <row r="12">
      <c r="A12" s="4" t="s">
        <v>19</v>
      </c>
      <c r="B12" s="3">
        <v>2000.0</v>
      </c>
      <c r="C12" s="4"/>
    </row>
    <row r="13">
      <c r="A13" s="4" t="s">
        <v>21</v>
      </c>
      <c r="B13" s="3">
        <v>3000.0</v>
      </c>
      <c r="C13" s="4"/>
    </row>
    <row r="14">
      <c r="A14" s="4" t="s">
        <v>23</v>
      </c>
      <c r="B14" s="3">
        <v>0.0</v>
      </c>
      <c r="C14" s="3" t="s">
        <v>3</v>
      </c>
    </row>
    <row r="15">
      <c r="A15" s="4" t="s">
        <v>24</v>
      </c>
      <c r="B15" s="3">
        <v>0.0</v>
      </c>
      <c r="C15" s="3" t="s">
        <v>3</v>
      </c>
    </row>
    <row r="16">
      <c r="A16" s="4" t="s">
        <v>25</v>
      </c>
      <c r="B16" s="3">
        <v>0.0</v>
      </c>
      <c r="C16" s="3" t="s">
        <v>26</v>
      </c>
    </row>
    <row r="17">
      <c r="A17" s="4" t="s">
        <v>27</v>
      </c>
      <c r="B17" s="3">
        <v>0.0</v>
      </c>
      <c r="C17" s="3" t="s">
        <v>3</v>
      </c>
    </row>
    <row r="18">
      <c r="A18" s="4" t="s">
        <v>28</v>
      </c>
      <c r="B18" s="3">
        <v>0.0</v>
      </c>
      <c r="C18" s="3" t="s">
        <v>29</v>
      </c>
    </row>
    <row r="19">
      <c r="A19" s="4" t="s">
        <v>2070</v>
      </c>
      <c r="B19" s="3">
        <v>7600.0</v>
      </c>
      <c r="C19" s="3" t="s">
        <v>32</v>
      </c>
    </row>
    <row r="20">
      <c r="A20" s="4" t="s">
        <v>34</v>
      </c>
      <c r="B20" s="3">
        <v>0.0</v>
      </c>
      <c r="C20" s="3" t="s">
        <v>3</v>
      </c>
    </row>
    <row r="21">
      <c r="A21" s="4" t="s">
        <v>2071</v>
      </c>
      <c r="B21" s="3">
        <v>22000.0</v>
      </c>
      <c r="C21" s="3" t="s">
        <v>37</v>
      </c>
    </row>
    <row r="22">
      <c r="A22" s="4" t="s">
        <v>2072</v>
      </c>
      <c r="B22" s="3">
        <v>0.0</v>
      </c>
      <c r="C22" s="3" t="s">
        <v>3</v>
      </c>
    </row>
    <row r="23">
      <c r="A23" s="4" t="s">
        <v>2073</v>
      </c>
      <c r="B23" s="3">
        <v>5000.0</v>
      </c>
      <c r="C23" s="4"/>
    </row>
    <row r="24">
      <c r="A24" s="4" t="s">
        <v>44</v>
      </c>
      <c r="B24" s="3">
        <v>300.0</v>
      </c>
      <c r="C24" s="3" t="s">
        <v>3</v>
      </c>
    </row>
    <row r="25">
      <c r="A25" s="4" t="s">
        <v>46</v>
      </c>
      <c r="B25" s="3">
        <v>4500.0</v>
      </c>
      <c r="C25" s="3" t="s">
        <v>3</v>
      </c>
    </row>
    <row r="26">
      <c r="A26" s="4" t="s">
        <v>2074</v>
      </c>
      <c r="B26" s="3">
        <v>0.0</v>
      </c>
      <c r="C26" s="3" t="s">
        <v>3</v>
      </c>
    </row>
    <row r="27">
      <c r="A27" s="4" t="s">
        <v>2075</v>
      </c>
      <c r="B27" s="3">
        <v>10000.0</v>
      </c>
      <c r="C27" s="3" t="s">
        <v>3</v>
      </c>
    </row>
    <row r="28">
      <c r="A28" s="4" t="s">
        <v>53</v>
      </c>
      <c r="B28" s="3">
        <v>22000.0</v>
      </c>
      <c r="C28" s="4"/>
    </row>
    <row r="29">
      <c r="A29" s="4" t="s">
        <v>54</v>
      </c>
      <c r="B29" s="3">
        <v>0.0</v>
      </c>
      <c r="C29" s="3" t="s">
        <v>3</v>
      </c>
    </row>
    <row r="30">
      <c r="A30" s="4" t="s">
        <v>55</v>
      </c>
      <c r="B30" s="3">
        <v>2400.0</v>
      </c>
      <c r="C30" s="4"/>
    </row>
    <row r="31">
      <c r="A31" s="4" t="s">
        <v>57</v>
      </c>
      <c r="B31" s="3">
        <v>6500.0</v>
      </c>
      <c r="C31" s="4"/>
    </row>
    <row r="32">
      <c r="A32" s="4" t="s">
        <v>59</v>
      </c>
      <c r="B32" s="3">
        <v>0.0</v>
      </c>
      <c r="C32" s="3" t="s">
        <v>3</v>
      </c>
    </row>
    <row r="33">
      <c r="A33" s="4" t="s">
        <v>60</v>
      </c>
      <c r="B33" s="3">
        <v>0.0</v>
      </c>
      <c r="C33" s="3" t="s">
        <v>3</v>
      </c>
    </row>
    <row r="34">
      <c r="A34" s="4" t="s">
        <v>61</v>
      </c>
      <c r="B34" s="3">
        <v>0.0</v>
      </c>
      <c r="C34" s="3" t="s">
        <v>3</v>
      </c>
    </row>
    <row r="35">
      <c r="A35" s="4" t="s">
        <v>62</v>
      </c>
      <c r="B35" s="3">
        <v>500.0</v>
      </c>
      <c r="C35" s="4"/>
    </row>
    <row r="36">
      <c r="A36" s="4" t="s">
        <v>63</v>
      </c>
      <c r="B36" s="3">
        <v>5000.0</v>
      </c>
      <c r="C36" s="3" t="s">
        <v>3</v>
      </c>
    </row>
    <row r="37">
      <c r="A37" s="4" t="s">
        <v>64</v>
      </c>
      <c r="B37" s="3">
        <v>1500.0</v>
      </c>
      <c r="C37" s="4"/>
    </row>
    <row r="38">
      <c r="A38" s="4" t="s">
        <v>66</v>
      </c>
      <c r="B38" s="3">
        <v>0.0</v>
      </c>
      <c r="C38" s="3" t="s">
        <v>6</v>
      </c>
    </row>
    <row r="39">
      <c r="A39" s="4" t="s">
        <v>67</v>
      </c>
      <c r="B39" s="3">
        <v>1500.0</v>
      </c>
      <c r="C39" s="4"/>
    </row>
    <row r="40">
      <c r="A40" s="4" t="s">
        <v>2076</v>
      </c>
      <c r="B40" s="3">
        <v>60000.0</v>
      </c>
      <c r="C40" s="4"/>
    </row>
    <row r="41">
      <c r="A41" s="4" t="s">
        <v>71</v>
      </c>
      <c r="B41" s="3">
        <v>6000.0</v>
      </c>
      <c r="C41" s="3" t="s">
        <v>3</v>
      </c>
    </row>
    <row r="42">
      <c r="A42" s="4" t="s">
        <v>73</v>
      </c>
      <c r="B42" s="3">
        <v>0.0</v>
      </c>
      <c r="C42" s="3" t="s">
        <v>6</v>
      </c>
    </row>
    <row r="43">
      <c r="A43" s="4" t="s">
        <v>2077</v>
      </c>
      <c r="B43" s="3">
        <v>500.0</v>
      </c>
      <c r="C43" s="4"/>
    </row>
    <row r="44">
      <c r="A44" s="4" t="s">
        <v>76</v>
      </c>
      <c r="B44" s="3">
        <v>5000.0</v>
      </c>
      <c r="C44" s="3" t="s">
        <v>6</v>
      </c>
    </row>
    <row r="45">
      <c r="A45" s="4" t="s">
        <v>77</v>
      </c>
      <c r="B45" s="3">
        <v>2000.0</v>
      </c>
      <c r="C45" s="4"/>
    </row>
    <row r="46">
      <c r="A46" s="4" t="s">
        <v>78</v>
      </c>
      <c r="B46" s="3">
        <v>5500.0</v>
      </c>
      <c r="C46" s="4"/>
    </row>
    <row r="47">
      <c r="A47" s="4" t="s">
        <v>80</v>
      </c>
      <c r="B47" s="3">
        <v>0.0</v>
      </c>
      <c r="C47" s="3" t="s">
        <v>3</v>
      </c>
    </row>
    <row r="48">
      <c r="A48" s="4" t="s">
        <v>81</v>
      </c>
      <c r="B48" s="3">
        <v>2000.0</v>
      </c>
      <c r="C48" s="3" t="s">
        <v>29</v>
      </c>
    </row>
    <row r="49">
      <c r="A49" s="4" t="s">
        <v>82</v>
      </c>
      <c r="B49" s="3">
        <v>20060.0</v>
      </c>
      <c r="C49" s="4"/>
    </row>
    <row r="50">
      <c r="A50" s="4" t="s">
        <v>84</v>
      </c>
      <c r="B50" s="3">
        <v>11000.0</v>
      </c>
      <c r="C50" s="3" t="s">
        <v>26</v>
      </c>
    </row>
    <row r="51">
      <c r="A51" s="4" t="s">
        <v>86</v>
      </c>
      <c r="B51" s="3">
        <v>0.0</v>
      </c>
      <c r="C51" s="3" t="s">
        <v>32</v>
      </c>
    </row>
    <row r="52">
      <c r="A52" s="4" t="s">
        <v>87</v>
      </c>
      <c r="B52" s="3">
        <v>0.0</v>
      </c>
      <c r="C52" s="3" t="s">
        <v>3</v>
      </c>
    </row>
    <row r="53">
      <c r="A53" s="4" t="s">
        <v>2078</v>
      </c>
      <c r="B53" s="3">
        <v>4500.0</v>
      </c>
      <c r="C53" s="3" t="s">
        <v>3</v>
      </c>
    </row>
    <row r="54">
      <c r="A54" s="4" t="s">
        <v>90</v>
      </c>
      <c r="B54" s="3">
        <v>0.0</v>
      </c>
      <c r="C54" s="3" t="s">
        <v>3</v>
      </c>
    </row>
    <row r="55">
      <c r="A55" s="4" t="s">
        <v>91</v>
      </c>
      <c r="B55" s="3">
        <v>0.0</v>
      </c>
      <c r="C55" s="3" t="s">
        <v>3</v>
      </c>
    </row>
    <row r="56">
      <c r="A56" s="4" t="s">
        <v>92</v>
      </c>
      <c r="B56" s="3">
        <v>0.0</v>
      </c>
      <c r="C56" s="3" t="s">
        <v>6</v>
      </c>
    </row>
    <row r="57">
      <c r="A57" s="4" t="s">
        <v>93</v>
      </c>
      <c r="B57" s="3">
        <v>1000.0</v>
      </c>
      <c r="C57" s="4"/>
    </row>
    <row r="58">
      <c r="A58" s="4" t="s">
        <v>2079</v>
      </c>
      <c r="B58" s="3">
        <v>500.0</v>
      </c>
      <c r="C58" s="4"/>
    </row>
    <row r="59">
      <c r="A59" s="4" t="s">
        <v>2080</v>
      </c>
      <c r="B59" s="3">
        <v>571.0</v>
      </c>
      <c r="C59" s="4"/>
    </row>
    <row r="60">
      <c r="A60" s="4" t="s">
        <v>99</v>
      </c>
      <c r="B60" s="3">
        <v>0.0</v>
      </c>
      <c r="C60" s="3" t="s">
        <v>3</v>
      </c>
    </row>
    <row r="61">
      <c r="A61" s="4" t="s">
        <v>100</v>
      </c>
      <c r="B61" s="3">
        <v>0.0</v>
      </c>
      <c r="C61" s="3" t="s">
        <v>3</v>
      </c>
    </row>
    <row r="62">
      <c r="A62" s="4" t="s">
        <v>101</v>
      </c>
      <c r="B62" s="3">
        <v>0.0</v>
      </c>
      <c r="C62" s="3" t="s">
        <v>3</v>
      </c>
    </row>
    <row r="63">
      <c r="A63" s="4" t="s">
        <v>102</v>
      </c>
      <c r="B63" s="3">
        <v>0.0</v>
      </c>
      <c r="C63" s="3" t="s">
        <v>3</v>
      </c>
    </row>
    <row r="64">
      <c r="A64" s="4" t="s">
        <v>103</v>
      </c>
      <c r="B64" s="3">
        <v>1000.0</v>
      </c>
      <c r="C64" s="4"/>
    </row>
    <row r="65">
      <c r="A65" s="4" t="s">
        <v>104</v>
      </c>
      <c r="B65" s="3">
        <v>0.0</v>
      </c>
      <c r="C65" s="3" t="s">
        <v>3</v>
      </c>
    </row>
    <row r="66">
      <c r="A66" s="4" t="s">
        <v>105</v>
      </c>
      <c r="B66" s="3">
        <v>0.0</v>
      </c>
      <c r="C66" s="3" t="s">
        <v>3</v>
      </c>
    </row>
    <row r="67">
      <c r="A67" s="4" t="s">
        <v>2081</v>
      </c>
      <c r="B67" s="3">
        <v>500.0</v>
      </c>
      <c r="C67" s="4"/>
    </row>
    <row r="68">
      <c r="A68" s="4" t="s">
        <v>2082</v>
      </c>
      <c r="B68" s="3">
        <v>0.0</v>
      </c>
      <c r="C68" s="3" t="s">
        <v>3</v>
      </c>
    </row>
    <row r="69">
      <c r="A69" s="4" t="s">
        <v>110</v>
      </c>
      <c r="B69" s="3">
        <v>0.0</v>
      </c>
      <c r="C69" s="3" t="s">
        <v>3</v>
      </c>
    </row>
    <row r="70">
      <c r="A70" s="4" t="s">
        <v>2083</v>
      </c>
      <c r="B70" s="3">
        <v>82238.0</v>
      </c>
      <c r="C70" s="3" t="s">
        <v>37</v>
      </c>
    </row>
    <row r="71">
      <c r="A71" s="4" t="s">
        <v>114</v>
      </c>
      <c r="B71" s="3">
        <v>4000.0</v>
      </c>
      <c r="C71" s="4"/>
    </row>
    <row r="72">
      <c r="A72" s="4" t="s">
        <v>116</v>
      </c>
      <c r="B72" s="3">
        <v>300.0</v>
      </c>
      <c r="C72" s="4"/>
    </row>
    <row r="73">
      <c r="A73" s="4" t="s">
        <v>117</v>
      </c>
      <c r="B73" s="3">
        <v>8605.0</v>
      </c>
      <c r="C73" s="4"/>
    </row>
    <row r="74">
      <c r="A74" s="4" t="s">
        <v>2084</v>
      </c>
      <c r="B74" s="3">
        <v>0.0</v>
      </c>
      <c r="C74" s="3" t="s">
        <v>3</v>
      </c>
    </row>
    <row r="75">
      <c r="A75" s="4" t="s">
        <v>121</v>
      </c>
      <c r="B75" s="3">
        <v>0.0</v>
      </c>
      <c r="C75" s="3" t="s">
        <v>3</v>
      </c>
    </row>
    <row r="76">
      <c r="A76" s="4" t="s">
        <v>2085</v>
      </c>
      <c r="B76" s="3">
        <v>1000.0</v>
      </c>
      <c r="C76" s="3" t="s">
        <v>6</v>
      </c>
    </row>
    <row r="77">
      <c r="A77" s="4" t="s">
        <v>124</v>
      </c>
      <c r="B77" s="3">
        <v>2500.0</v>
      </c>
      <c r="C77" s="3" t="s">
        <v>26</v>
      </c>
    </row>
    <row r="78">
      <c r="A78" s="4" t="s">
        <v>2086</v>
      </c>
      <c r="B78" s="3">
        <v>450195.0</v>
      </c>
      <c r="C78" s="3" t="s">
        <v>29</v>
      </c>
    </row>
    <row r="79">
      <c r="A79" s="4" t="s">
        <v>2087</v>
      </c>
      <c r="B79" s="3">
        <v>0.0</v>
      </c>
      <c r="C79" s="3" t="s">
        <v>29</v>
      </c>
    </row>
    <row r="80">
      <c r="A80" s="4" t="s">
        <v>131</v>
      </c>
      <c r="B80" s="3">
        <v>0.0</v>
      </c>
      <c r="C80" s="3" t="s">
        <v>3</v>
      </c>
    </row>
    <row r="81">
      <c r="A81" s="4" t="s">
        <v>132</v>
      </c>
      <c r="B81" s="3">
        <v>0.0</v>
      </c>
      <c r="C81" s="3" t="s">
        <v>3</v>
      </c>
    </row>
    <row r="82">
      <c r="A82" s="4" t="s">
        <v>133</v>
      </c>
      <c r="B82" s="3">
        <v>2000.0</v>
      </c>
      <c r="C82" s="3" t="s">
        <v>3</v>
      </c>
    </row>
    <row r="83">
      <c r="A83" s="4" t="s">
        <v>134</v>
      </c>
      <c r="B83" s="3">
        <v>750.0</v>
      </c>
      <c r="C83" s="3" t="s">
        <v>3</v>
      </c>
    </row>
    <row r="84">
      <c r="A84" s="4" t="s">
        <v>136</v>
      </c>
      <c r="B84" s="3">
        <v>3109.0</v>
      </c>
      <c r="C84" s="4"/>
    </row>
    <row r="85">
      <c r="A85" s="4" t="s">
        <v>138</v>
      </c>
      <c r="B85" s="3">
        <v>11011.0</v>
      </c>
      <c r="C85" s="4"/>
    </row>
    <row r="86">
      <c r="A86" s="4" t="s">
        <v>140</v>
      </c>
      <c r="B86" s="3">
        <v>0.0</v>
      </c>
      <c r="C86" s="3" t="s">
        <v>6</v>
      </c>
    </row>
    <row r="87">
      <c r="A87" s="4" t="s">
        <v>141</v>
      </c>
      <c r="B87" s="3">
        <v>0.0</v>
      </c>
      <c r="C87" s="3" t="s">
        <v>3</v>
      </c>
    </row>
    <row r="88">
      <c r="A88" s="4" t="s">
        <v>142</v>
      </c>
      <c r="B88" s="3">
        <v>0.0</v>
      </c>
      <c r="C88" s="3" t="s">
        <v>3</v>
      </c>
    </row>
    <row r="89">
      <c r="A89" s="4" t="s">
        <v>143</v>
      </c>
      <c r="B89" s="3">
        <v>0.0</v>
      </c>
      <c r="C89" s="3" t="s">
        <v>32</v>
      </c>
    </row>
    <row r="90">
      <c r="A90" s="4" t="s">
        <v>144</v>
      </c>
      <c r="B90" s="3">
        <v>0.0</v>
      </c>
      <c r="C90" s="3" t="s">
        <v>3</v>
      </c>
    </row>
    <row r="91">
      <c r="A91" s="4" t="s">
        <v>145</v>
      </c>
      <c r="B91" s="3">
        <v>15000.0</v>
      </c>
      <c r="C91" s="4"/>
    </row>
    <row r="92">
      <c r="A92" s="4" t="s">
        <v>147</v>
      </c>
      <c r="B92" s="3">
        <v>0.0</v>
      </c>
      <c r="C92" s="3" t="s">
        <v>3</v>
      </c>
    </row>
    <row r="93">
      <c r="A93" s="4" t="s">
        <v>148</v>
      </c>
      <c r="B93" s="3">
        <v>0.0</v>
      </c>
      <c r="C93" s="3" t="s">
        <v>6</v>
      </c>
    </row>
    <row r="94">
      <c r="A94" s="4" t="s">
        <v>2088</v>
      </c>
      <c r="B94" s="3">
        <v>30000.0</v>
      </c>
      <c r="C94" s="3" t="s">
        <v>3</v>
      </c>
    </row>
    <row r="95">
      <c r="A95" s="4" t="s">
        <v>152</v>
      </c>
      <c r="B95" s="3">
        <v>1500.0</v>
      </c>
      <c r="C95" s="4"/>
    </row>
    <row r="96">
      <c r="A96" s="4" t="s">
        <v>153</v>
      </c>
      <c r="B96" s="3">
        <v>0.0</v>
      </c>
      <c r="C96" s="3" t="s">
        <v>29</v>
      </c>
    </row>
    <row r="97">
      <c r="A97" s="4" t="s">
        <v>154</v>
      </c>
      <c r="B97" s="3">
        <v>0.0</v>
      </c>
      <c r="C97" s="3" t="s">
        <v>32</v>
      </c>
    </row>
    <row r="98">
      <c r="A98" s="4" t="s">
        <v>155</v>
      </c>
      <c r="B98" s="3">
        <v>0.0</v>
      </c>
      <c r="C98" s="3" t="s">
        <v>3</v>
      </c>
    </row>
    <row r="99">
      <c r="A99" s="4" t="s">
        <v>156</v>
      </c>
      <c r="B99" s="3">
        <v>0.0</v>
      </c>
      <c r="C99" s="3" t="s">
        <v>6</v>
      </c>
    </row>
    <row r="100">
      <c r="A100" s="4" t="s">
        <v>157</v>
      </c>
      <c r="B100" s="3">
        <v>3000.0</v>
      </c>
      <c r="C100" s="4"/>
    </row>
    <row r="101">
      <c r="A101" s="4" t="s">
        <v>158</v>
      </c>
      <c r="B101" s="3">
        <v>7932.0</v>
      </c>
      <c r="C101" s="4"/>
    </row>
    <row r="102">
      <c r="A102" s="4" t="s">
        <v>160</v>
      </c>
      <c r="B102" s="3">
        <v>0.0</v>
      </c>
      <c r="C102" s="3" t="s">
        <v>26</v>
      </c>
    </row>
    <row r="103">
      <c r="A103" s="4" t="s">
        <v>2089</v>
      </c>
      <c r="B103" s="3">
        <v>21000.0</v>
      </c>
      <c r="C103" s="3" t="s">
        <v>32</v>
      </c>
    </row>
    <row r="104">
      <c r="A104" s="4" t="s">
        <v>164</v>
      </c>
      <c r="B104" s="3">
        <v>7500.0</v>
      </c>
      <c r="C104" s="4"/>
    </row>
    <row r="105">
      <c r="A105" s="4" t="s">
        <v>166</v>
      </c>
      <c r="B105" s="3">
        <v>2700.0</v>
      </c>
      <c r="C105" s="4"/>
    </row>
    <row r="106">
      <c r="A106" s="4" t="s">
        <v>168</v>
      </c>
      <c r="B106" s="3">
        <v>2500.0</v>
      </c>
      <c r="C106" s="4"/>
    </row>
    <row r="107">
      <c r="A107" s="4" t="s">
        <v>169</v>
      </c>
      <c r="B107" s="3">
        <v>0.0</v>
      </c>
      <c r="C107" s="3" t="s">
        <v>29</v>
      </c>
    </row>
    <row r="108">
      <c r="A108" s="4" t="s">
        <v>170</v>
      </c>
      <c r="B108" s="3">
        <v>0.0</v>
      </c>
      <c r="C108" s="3" t="s">
        <v>3</v>
      </c>
    </row>
    <row r="109">
      <c r="A109" s="4" t="s">
        <v>171</v>
      </c>
      <c r="B109" s="3">
        <v>12000.0</v>
      </c>
      <c r="C109" s="3" t="s">
        <v>6</v>
      </c>
    </row>
    <row r="110">
      <c r="A110" s="4" t="s">
        <v>173</v>
      </c>
      <c r="B110" s="3">
        <v>4000.0</v>
      </c>
      <c r="C110" s="4"/>
    </row>
    <row r="111">
      <c r="A111" s="4" t="s">
        <v>174</v>
      </c>
      <c r="B111" s="3">
        <v>752250.0</v>
      </c>
      <c r="C111" s="3" t="s">
        <v>176</v>
      </c>
    </row>
    <row r="112">
      <c r="A112" s="4" t="s">
        <v>177</v>
      </c>
      <c r="B112" s="3">
        <v>0.0</v>
      </c>
      <c r="C112" s="3" t="s">
        <v>3</v>
      </c>
    </row>
    <row r="113">
      <c r="A113" s="4" t="s">
        <v>178</v>
      </c>
      <c r="B113" s="3">
        <v>0.0</v>
      </c>
      <c r="C113" s="3" t="s">
        <v>6</v>
      </c>
    </row>
    <row r="114">
      <c r="A114" s="4" t="s">
        <v>179</v>
      </c>
      <c r="B114" s="3">
        <v>0.0</v>
      </c>
      <c r="C114" s="3" t="s">
        <v>3</v>
      </c>
    </row>
    <row r="115">
      <c r="A115" s="4" t="s">
        <v>180</v>
      </c>
      <c r="B115" s="3">
        <v>9880.0</v>
      </c>
      <c r="C115" s="4"/>
    </row>
    <row r="116">
      <c r="A116" s="4" t="s">
        <v>182</v>
      </c>
      <c r="B116" s="3">
        <v>0.0</v>
      </c>
      <c r="C116" s="3" t="s">
        <v>3</v>
      </c>
    </row>
    <row r="117">
      <c r="A117" s="4" t="s">
        <v>183</v>
      </c>
      <c r="B117" s="3">
        <v>0.0</v>
      </c>
      <c r="C117" s="3" t="s">
        <v>3</v>
      </c>
    </row>
    <row r="118">
      <c r="A118" s="4" t="s">
        <v>184</v>
      </c>
      <c r="B118" s="3">
        <v>0.0</v>
      </c>
      <c r="C118" s="3" t="s">
        <v>3</v>
      </c>
    </row>
    <row r="119">
      <c r="A119" s="4" t="s">
        <v>185</v>
      </c>
      <c r="B119" s="3">
        <v>0.0</v>
      </c>
      <c r="C119" s="3" t="s">
        <v>6</v>
      </c>
    </row>
    <row r="120">
      <c r="A120" s="4" t="s">
        <v>186</v>
      </c>
      <c r="B120" s="3">
        <v>0.0</v>
      </c>
      <c r="C120" s="3" t="s">
        <v>6</v>
      </c>
    </row>
    <row r="121">
      <c r="A121" s="4" t="s">
        <v>187</v>
      </c>
      <c r="B121" s="3">
        <v>0.0</v>
      </c>
      <c r="C121" s="3" t="s">
        <v>3</v>
      </c>
    </row>
    <row r="122">
      <c r="A122" s="4" t="s">
        <v>188</v>
      </c>
      <c r="B122" s="3">
        <v>0.0</v>
      </c>
      <c r="C122" s="3" t="s">
        <v>32</v>
      </c>
    </row>
    <row r="123">
      <c r="A123" s="4" t="s">
        <v>2090</v>
      </c>
      <c r="B123" s="3">
        <v>0.0</v>
      </c>
      <c r="C123" s="3" t="s">
        <v>3</v>
      </c>
    </row>
    <row r="124">
      <c r="A124" s="4" t="s">
        <v>191</v>
      </c>
      <c r="B124" s="3">
        <v>0.0</v>
      </c>
      <c r="C124" s="3" t="s">
        <v>3</v>
      </c>
    </row>
    <row r="125">
      <c r="A125" s="4" t="s">
        <v>192</v>
      </c>
      <c r="B125" s="3">
        <v>0.0</v>
      </c>
      <c r="C125" s="3" t="s">
        <v>26</v>
      </c>
    </row>
    <row r="126">
      <c r="A126" s="4" t="s">
        <v>193</v>
      </c>
      <c r="B126" s="3">
        <v>1000.0</v>
      </c>
      <c r="C126" s="3" t="s">
        <v>29</v>
      </c>
    </row>
    <row r="127">
      <c r="A127" s="4" t="s">
        <v>194</v>
      </c>
      <c r="B127" s="3">
        <v>0.0</v>
      </c>
      <c r="C127" s="3" t="s">
        <v>29</v>
      </c>
    </row>
    <row r="128">
      <c r="A128" s="4" t="s">
        <v>2091</v>
      </c>
      <c r="B128" s="3">
        <v>0.0</v>
      </c>
      <c r="C128" s="3" t="s">
        <v>3</v>
      </c>
    </row>
    <row r="129">
      <c r="A129" s="4" t="s">
        <v>197</v>
      </c>
      <c r="B129" s="3">
        <v>0.0</v>
      </c>
      <c r="C129" s="3" t="s">
        <v>29</v>
      </c>
    </row>
    <row r="130">
      <c r="A130" s="4" t="s">
        <v>198</v>
      </c>
      <c r="B130" s="3">
        <v>0.0</v>
      </c>
      <c r="C130" s="3" t="s">
        <v>3</v>
      </c>
    </row>
    <row r="131">
      <c r="A131" s="4" t="s">
        <v>199</v>
      </c>
      <c r="B131" s="3">
        <v>4850.0</v>
      </c>
      <c r="C131" s="4"/>
    </row>
    <row r="132">
      <c r="A132" s="4" t="s">
        <v>201</v>
      </c>
      <c r="B132" s="3">
        <v>0.0</v>
      </c>
      <c r="C132" s="3" t="s">
        <v>32</v>
      </c>
    </row>
    <row r="133">
      <c r="A133" s="4" t="s">
        <v>202</v>
      </c>
      <c r="B133" s="3">
        <v>0.0</v>
      </c>
      <c r="C133" s="3" t="s">
        <v>3</v>
      </c>
    </row>
    <row r="134">
      <c r="A134" s="4" t="s">
        <v>203</v>
      </c>
      <c r="B134" s="3">
        <v>15280.0</v>
      </c>
      <c r="C134" s="4"/>
    </row>
    <row r="135">
      <c r="A135" s="4" t="s">
        <v>205</v>
      </c>
      <c r="B135" s="3">
        <v>0.0</v>
      </c>
      <c r="C135" s="3" t="s">
        <v>3</v>
      </c>
    </row>
    <row r="136">
      <c r="A136" s="4" t="s">
        <v>206</v>
      </c>
      <c r="B136" s="3">
        <v>0.0</v>
      </c>
      <c r="C136" s="3" t="s">
        <v>3</v>
      </c>
    </row>
    <row r="137">
      <c r="A137" s="4" t="s">
        <v>207</v>
      </c>
      <c r="B137" s="3">
        <v>0.0</v>
      </c>
      <c r="C137" s="3" t="s">
        <v>3</v>
      </c>
    </row>
    <row r="138">
      <c r="A138" s="4" t="s">
        <v>2092</v>
      </c>
      <c r="B138" s="3">
        <v>0.0</v>
      </c>
      <c r="C138" s="3" t="s">
        <v>3</v>
      </c>
    </row>
    <row r="139">
      <c r="A139" s="4" t="s">
        <v>210</v>
      </c>
      <c r="B139" s="3">
        <v>0.0</v>
      </c>
      <c r="C139" s="3" t="s">
        <v>3</v>
      </c>
    </row>
    <row r="140">
      <c r="A140" s="4" t="s">
        <v>211</v>
      </c>
      <c r="B140" s="3">
        <v>0.0</v>
      </c>
      <c r="C140" s="3" t="s">
        <v>6</v>
      </c>
    </row>
    <row r="141">
      <c r="A141" s="4" t="s">
        <v>212</v>
      </c>
      <c r="B141" s="3">
        <v>0.0</v>
      </c>
      <c r="C141" s="3" t="s">
        <v>29</v>
      </c>
    </row>
    <row r="142">
      <c r="A142" s="4" t="s">
        <v>213</v>
      </c>
      <c r="B142" s="3">
        <v>3220.0</v>
      </c>
      <c r="C142" s="4"/>
    </row>
    <row r="143">
      <c r="A143" s="4" t="s">
        <v>215</v>
      </c>
      <c r="B143" s="3">
        <v>0.0</v>
      </c>
      <c r="C143" s="3" t="s">
        <v>216</v>
      </c>
    </row>
    <row r="144">
      <c r="A144" s="4" t="s">
        <v>2093</v>
      </c>
      <c r="B144" s="3">
        <v>3500.0</v>
      </c>
      <c r="C144" s="3" t="s">
        <v>3</v>
      </c>
    </row>
    <row r="145">
      <c r="A145" s="4" t="s">
        <v>220</v>
      </c>
      <c r="B145" s="3">
        <v>0.0</v>
      </c>
      <c r="C145" s="3" t="s">
        <v>6</v>
      </c>
    </row>
    <row r="146">
      <c r="A146" s="4" t="s">
        <v>2094</v>
      </c>
      <c r="B146" s="3">
        <v>0.0</v>
      </c>
      <c r="C146" s="3" t="s">
        <v>29</v>
      </c>
    </row>
    <row r="147">
      <c r="A147" s="4" t="s">
        <v>223</v>
      </c>
      <c r="B147" s="3">
        <v>532800.0</v>
      </c>
      <c r="C147" s="4"/>
    </row>
    <row r="148">
      <c r="A148" s="4" t="s">
        <v>225</v>
      </c>
      <c r="B148" s="3">
        <v>0.0</v>
      </c>
      <c r="C148" s="3" t="s">
        <v>3</v>
      </c>
    </row>
    <row r="149">
      <c r="A149" s="4" t="s">
        <v>226</v>
      </c>
      <c r="B149" s="3">
        <v>2000.0</v>
      </c>
      <c r="C149" s="3" t="s">
        <v>3</v>
      </c>
    </row>
    <row r="150">
      <c r="A150" s="4" t="s">
        <v>227</v>
      </c>
      <c r="B150" s="3">
        <v>0.0</v>
      </c>
      <c r="C150" s="3" t="s">
        <v>3</v>
      </c>
    </row>
    <row r="151">
      <c r="A151" s="4" t="s">
        <v>2095</v>
      </c>
      <c r="B151" s="3">
        <v>0.0</v>
      </c>
      <c r="C151" s="3" t="s">
        <v>32</v>
      </c>
    </row>
    <row r="152">
      <c r="A152" s="4" t="s">
        <v>2096</v>
      </c>
      <c r="B152" s="3">
        <v>0.0</v>
      </c>
      <c r="C152" s="3" t="s">
        <v>3</v>
      </c>
    </row>
    <row r="153">
      <c r="A153" s="4" t="s">
        <v>232</v>
      </c>
      <c r="B153" s="3">
        <v>0.0</v>
      </c>
      <c r="C153" s="3" t="s">
        <v>6</v>
      </c>
    </row>
    <row r="154">
      <c r="A154" s="4" t="s">
        <v>233</v>
      </c>
      <c r="B154" s="3">
        <v>0.0</v>
      </c>
      <c r="C154" s="3" t="s">
        <v>6</v>
      </c>
    </row>
    <row r="155">
      <c r="A155" s="4" t="s">
        <v>234</v>
      </c>
      <c r="B155" s="3">
        <v>0.0</v>
      </c>
      <c r="C155" s="3" t="s">
        <v>3</v>
      </c>
    </row>
    <row r="156">
      <c r="A156" s="4" t="s">
        <v>2097</v>
      </c>
      <c r="B156" s="3">
        <v>0.0</v>
      </c>
      <c r="C156" s="3" t="s">
        <v>3</v>
      </c>
    </row>
    <row r="157">
      <c r="A157" s="4" t="s">
        <v>237</v>
      </c>
      <c r="B157" s="3">
        <v>0.0</v>
      </c>
      <c r="C157" s="3" t="s">
        <v>3</v>
      </c>
    </row>
    <row r="158">
      <c r="A158" s="4" t="s">
        <v>238</v>
      </c>
      <c r="B158" s="3">
        <v>5500.0</v>
      </c>
      <c r="C158" s="3" t="s">
        <v>3</v>
      </c>
    </row>
    <row r="159">
      <c r="A159" s="4" t="s">
        <v>239</v>
      </c>
      <c r="B159" s="3">
        <v>0.0</v>
      </c>
      <c r="C159" s="3" t="s">
        <v>3</v>
      </c>
    </row>
    <row r="160">
      <c r="A160" s="4" t="s">
        <v>240</v>
      </c>
      <c r="B160" s="3">
        <v>0.0</v>
      </c>
      <c r="C160" s="3" t="s">
        <v>3</v>
      </c>
    </row>
    <row r="161">
      <c r="A161" s="4" t="s">
        <v>241</v>
      </c>
      <c r="B161" s="3">
        <v>0.0</v>
      </c>
      <c r="C161" s="3" t="s">
        <v>6</v>
      </c>
    </row>
    <row r="162">
      <c r="A162" s="4" t="s">
        <v>2098</v>
      </c>
      <c r="B162" s="3">
        <v>300.0</v>
      </c>
      <c r="C162" s="3" t="s">
        <v>3</v>
      </c>
    </row>
    <row r="163">
      <c r="A163" s="4" t="s">
        <v>2099</v>
      </c>
      <c r="B163" s="3">
        <v>50580.0</v>
      </c>
      <c r="C163" s="3" t="s">
        <v>216</v>
      </c>
    </row>
    <row r="164">
      <c r="A164" s="4" t="s">
        <v>2100</v>
      </c>
      <c r="B164" s="3">
        <v>0.0</v>
      </c>
      <c r="C164" s="3" t="s">
        <v>3</v>
      </c>
    </row>
    <row r="165">
      <c r="A165" s="4" t="s">
        <v>249</v>
      </c>
      <c r="B165" s="3">
        <v>0.0</v>
      </c>
      <c r="C165" s="3" t="s">
        <v>3</v>
      </c>
    </row>
    <row r="166">
      <c r="A166" s="4" t="s">
        <v>2101</v>
      </c>
      <c r="B166" s="3">
        <v>0.0</v>
      </c>
      <c r="C166" s="3" t="s">
        <v>32</v>
      </c>
    </row>
    <row r="167">
      <c r="A167" s="4" t="s">
        <v>2102</v>
      </c>
      <c r="B167" s="3">
        <v>4000.0</v>
      </c>
      <c r="C167" s="3" t="s">
        <v>3</v>
      </c>
    </row>
    <row r="168">
      <c r="A168" s="4" t="s">
        <v>2103</v>
      </c>
      <c r="B168" s="3">
        <v>512833.33</v>
      </c>
      <c r="C168" s="4"/>
    </row>
    <row r="169">
      <c r="A169" s="4" t="s">
        <v>257</v>
      </c>
      <c r="B169" s="3">
        <v>0.0</v>
      </c>
      <c r="C169" s="3" t="s">
        <v>3</v>
      </c>
    </row>
    <row r="170">
      <c r="A170" s="4" t="s">
        <v>258</v>
      </c>
      <c r="B170" s="3">
        <v>0.0</v>
      </c>
      <c r="C170" s="3" t="s">
        <v>3</v>
      </c>
    </row>
    <row r="171">
      <c r="A171" s="4" t="s">
        <v>259</v>
      </c>
      <c r="B171" s="3">
        <v>0.0</v>
      </c>
      <c r="C171" s="3" t="s">
        <v>3</v>
      </c>
    </row>
    <row r="172">
      <c r="A172" s="4" t="s">
        <v>260</v>
      </c>
      <c r="B172" s="3">
        <v>2064.0</v>
      </c>
      <c r="C172" s="3" t="s">
        <v>32</v>
      </c>
    </row>
    <row r="173">
      <c r="A173" s="4" t="s">
        <v>262</v>
      </c>
      <c r="B173" s="3">
        <v>0.0</v>
      </c>
      <c r="C173" s="3" t="s">
        <v>3</v>
      </c>
    </row>
    <row r="174">
      <c r="A174" s="4" t="s">
        <v>2104</v>
      </c>
      <c r="B174" s="3">
        <v>0.0</v>
      </c>
      <c r="C174" s="3" t="s">
        <v>3</v>
      </c>
    </row>
    <row r="175">
      <c r="A175" s="4" t="s">
        <v>2105</v>
      </c>
      <c r="B175" s="3">
        <v>0.0</v>
      </c>
      <c r="C175" s="3" t="s">
        <v>3</v>
      </c>
    </row>
    <row r="176">
      <c r="A176" s="4" t="s">
        <v>2106</v>
      </c>
      <c r="B176" s="3">
        <v>0.0</v>
      </c>
      <c r="C176" s="3" t="s">
        <v>3</v>
      </c>
    </row>
    <row r="177">
      <c r="A177" s="4" t="s">
        <v>2107</v>
      </c>
      <c r="B177" s="3">
        <v>0.0</v>
      </c>
      <c r="C177" s="3" t="s">
        <v>3</v>
      </c>
    </row>
    <row r="178">
      <c r="A178" s="4" t="s">
        <v>2108</v>
      </c>
      <c r="B178" s="3">
        <v>0.0</v>
      </c>
      <c r="C178" s="3" t="s">
        <v>3</v>
      </c>
    </row>
    <row r="179">
      <c r="A179" s="4" t="s">
        <v>273</v>
      </c>
      <c r="B179" s="3">
        <v>0.0</v>
      </c>
      <c r="C179" s="3" t="s">
        <v>3</v>
      </c>
    </row>
    <row r="180">
      <c r="A180" s="4" t="s">
        <v>2109</v>
      </c>
      <c r="B180" s="3">
        <v>4000.0</v>
      </c>
      <c r="C180" s="3" t="s">
        <v>3</v>
      </c>
    </row>
    <row r="181">
      <c r="A181" s="4" t="s">
        <v>276</v>
      </c>
      <c r="B181" s="3">
        <v>0.0</v>
      </c>
      <c r="C181" s="3" t="s">
        <v>3</v>
      </c>
    </row>
    <row r="182">
      <c r="A182" s="4" t="s">
        <v>277</v>
      </c>
      <c r="B182" s="3">
        <v>0.0</v>
      </c>
      <c r="C182" s="3" t="s">
        <v>3</v>
      </c>
    </row>
    <row r="183">
      <c r="A183" s="4" t="s">
        <v>278</v>
      </c>
      <c r="B183" s="3">
        <v>15500.0</v>
      </c>
      <c r="C183" s="3" t="s">
        <v>280</v>
      </c>
    </row>
    <row r="184">
      <c r="A184" s="4" t="s">
        <v>2110</v>
      </c>
      <c r="B184" s="3">
        <v>600.0</v>
      </c>
      <c r="C184" s="4"/>
    </row>
    <row r="185">
      <c r="A185" s="4" t="s">
        <v>2111</v>
      </c>
      <c r="B185" s="3">
        <v>0.0</v>
      </c>
      <c r="C185" s="3" t="s">
        <v>6</v>
      </c>
    </row>
    <row r="186">
      <c r="A186" s="4" t="s">
        <v>286</v>
      </c>
      <c r="B186" s="3">
        <v>0.0</v>
      </c>
      <c r="C186" s="3" t="s">
        <v>3</v>
      </c>
    </row>
    <row r="187">
      <c r="A187" s="4" t="s">
        <v>2112</v>
      </c>
      <c r="B187" s="3">
        <v>0.0</v>
      </c>
      <c r="C187" s="3" t="s">
        <v>3</v>
      </c>
    </row>
    <row r="188">
      <c r="A188" s="4" t="s">
        <v>2113</v>
      </c>
      <c r="B188" s="3">
        <v>0.0</v>
      </c>
      <c r="C188" s="3" t="s">
        <v>3</v>
      </c>
    </row>
    <row r="189">
      <c r="A189" s="4" t="s">
        <v>2114</v>
      </c>
      <c r="B189" s="3">
        <v>0.0</v>
      </c>
      <c r="C189" s="3" t="s">
        <v>3</v>
      </c>
    </row>
    <row r="190">
      <c r="A190" s="4" t="s">
        <v>2115</v>
      </c>
      <c r="B190" s="3">
        <v>3030.0</v>
      </c>
      <c r="C190" s="4"/>
    </row>
    <row r="191">
      <c r="A191" s="4" t="s">
        <v>296</v>
      </c>
      <c r="B191" s="3">
        <v>0.0</v>
      </c>
      <c r="C191" s="3" t="s">
        <v>3</v>
      </c>
    </row>
    <row r="192">
      <c r="A192" s="4" t="s">
        <v>2116</v>
      </c>
      <c r="B192" s="3">
        <v>1000.0</v>
      </c>
      <c r="C192" s="3" t="s">
        <v>3</v>
      </c>
    </row>
    <row r="193">
      <c r="A193" s="4" t="s">
        <v>299</v>
      </c>
      <c r="B193" s="3">
        <v>8907.0</v>
      </c>
      <c r="C193" s="3" t="s">
        <v>6</v>
      </c>
    </row>
    <row r="194">
      <c r="A194" s="4" t="s">
        <v>2117</v>
      </c>
      <c r="B194" s="3">
        <v>8060927.5</v>
      </c>
      <c r="C194" s="3" t="s">
        <v>303</v>
      </c>
    </row>
    <row r="195">
      <c r="A195" s="4" t="s">
        <v>2118</v>
      </c>
      <c r="B195" s="3">
        <v>0.0</v>
      </c>
      <c r="C195" s="3" t="s">
        <v>3</v>
      </c>
    </row>
    <row r="196">
      <c r="A196" s="4" t="s">
        <v>2119</v>
      </c>
      <c r="B196" s="3">
        <v>8400.0</v>
      </c>
      <c r="C196" s="4"/>
    </row>
    <row r="197">
      <c r="A197" s="4" t="s">
        <v>310</v>
      </c>
      <c r="B197" s="3">
        <v>0.0</v>
      </c>
      <c r="C197" s="3" t="s">
        <v>3</v>
      </c>
    </row>
    <row r="198">
      <c r="A198" s="4" t="s">
        <v>311</v>
      </c>
      <c r="B198" s="3">
        <v>0.0</v>
      </c>
      <c r="C198" s="3" t="s">
        <v>6</v>
      </c>
    </row>
    <row r="199">
      <c r="A199" s="4" t="s">
        <v>312</v>
      </c>
      <c r="B199" s="3">
        <v>9400.0</v>
      </c>
      <c r="C199" s="4"/>
    </row>
    <row r="200">
      <c r="A200" s="4" t="s">
        <v>314</v>
      </c>
      <c r="B200" s="3">
        <v>4880.0</v>
      </c>
      <c r="C200" s="3" t="s">
        <v>6</v>
      </c>
    </row>
    <row r="201">
      <c r="A201" s="4" t="s">
        <v>316</v>
      </c>
      <c r="B201" s="3">
        <v>4420.0</v>
      </c>
      <c r="C201" s="4"/>
    </row>
    <row r="202">
      <c r="A202" s="4" t="s">
        <v>318</v>
      </c>
      <c r="B202" s="3">
        <v>2055.0</v>
      </c>
      <c r="C202" s="4"/>
    </row>
    <row r="203">
      <c r="A203" s="4" t="s">
        <v>320</v>
      </c>
      <c r="B203" s="3">
        <v>2150.0</v>
      </c>
      <c r="C203" s="3" t="s">
        <v>6</v>
      </c>
    </row>
    <row r="204">
      <c r="A204" s="4" t="s">
        <v>322</v>
      </c>
      <c r="B204" s="3">
        <v>7475.0</v>
      </c>
      <c r="C204" s="3" t="s">
        <v>32</v>
      </c>
    </row>
    <row r="205">
      <c r="A205" s="4" t="s">
        <v>2120</v>
      </c>
      <c r="B205" s="3">
        <v>920.0</v>
      </c>
      <c r="C205" s="4"/>
    </row>
    <row r="206">
      <c r="A206" s="4" t="s">
        <v>2121</v>
      </c>
      <c r="B206" s="3">
        <v>4700.0</v>
      </c>
      <c r="C206" s="4"/>
    </row>
    <row r="207">
      <c r="A207" s="4" t="s">
        <v>330</v>
      </c>
      <c r="B207" s="3">
        <v>5688.0</v>
      </c>
      <c r="C207" s="3" t="s">
        <v>6</v>
      </c>
    </row>
    <row r="208">
      <c r="A208" s="4" t="s">
        <v>2122</v>
      </c>
      <c r="B208" s="3">
        <v>1500.0</v>
      </c>
      <c r="C208" s="4"/>
    </row>
    <row r="209">
      <c r="A209" s="4" t="s">
        <v>2123</v>
      </c>
      <c r="B209" s="3">
        <v>0.0</v>
      </c>
      <c r="C209" s="3" t="s">
        <v>32</v>
      </c>
    </row>
    <row r="210">
      <c r="A210" s="4" t="s">
        <v>2124</v>
      </c>
      <c r="B210" s="3">
        <v>0.0</v>
      </c>
      <c r="C210" s="3" t="s">
        <v>6</v>
      </c>
    </row>
    <row r="211">
      <c r="A211" s="4" t="s">
        <v>2125</v>
      </c>
      <c r="B211" s="3">
        <v>3000.0</v>
      </c>
      <c r="C211" s="3" t="s">
        <v>6</v>
      </c>
    </row>
    <row r="212">
      <c r="A212" s="4" t="s">
        <v>2126</v>
      </c>
      <c r="B212" s="3">
        <v>0.0</v>
      </c>
      <c r="C212" s="3" t="s">
        <v>6</v>
      </c>
    </row>
    <row r="213">
      <c r="A213" s="4" t="s">
        <v>2127</v>
      </c>
      <c r="B213" s="3">
        <v>11000.0</v>
      </c>
      <c r="C213" s="3" t="s">
        <v>6</v>
      </c>
    </row>
    <row r="214">
      <c r="A214" s="4" t="s">
        <v>342</v>
      </c>
      <c r="B214" s="3">
        <v>1500.0</v>
      </c>
      <c r="C214" s="3" t="s">
        <v>6</v>
      </c>
    </row>
    <row r="215">
      <c r="A215" s="4" t="s">
        <v>343</v>
      </c>
      <c r="B215" s="3">
        <v>2670.0</v>
      </c>
      <c r="C215" s="4"/>
    </row>
    <row r="216">
      <c r="A216" s="4" t="s">
        <v>2128</v>
      </c>
      <c r="B216" s="3">
        <v>4000.0</v>
      </c>
      <c r="C216" s="4"/>
    </row>
    <row r="217">
      <c r="A217" s="4" t="s">
        <v>347</v>
      </c>
      <c r="B217" s="3">
        <v>0.0</v>
      </c>
      <c r="C217" s="3" t="s">
        <v>32</v>
      </c>
    </row>
    <row r="218">
      <c r="A218" s="4" t="s">
        <v>2129</v>
      </c>
      <c r="B218" s="3">
        <v>0.0</v>
      </c>
      <c r="C218" s="3" t="s">
        <v>3</v>
      </c>
    </row>
    <row r="219">
      <c r="A219" s="4" t="s">
        <v>350</v>
      </c>
      <c r="B219" s="3">
        <v>0.0</v>
      </c>
      <c r="C219" s="3" t="s">
        <v>3</v>
      </c>
    </row>
    <row r="220">
      <c r="A220" s="4" t="s">
        <v>2130</v>
      </c>
      <c r="B220" s="3">
        <v>4072.0</v>
      </c>
      <c r="C220" s="3" t="s">
        <v>6</v>
      </c>
    </row>
    <row r="221">
      <c r="A221" s="4" t="s">
        <v>354</v>
      </c>
      <c r="B221" s="3">
        <v>0.0</v>
      </c>
      <c r="C221" s="3" t="s">
        <v>3</v>
      </c>
    </row>
    <row r="222">
      <c r="A222" s="4" t="s">
        <v>2131</v>
      </c>
      <c r="B222" s="3">
        <v>0.0</v>
      </c>
      <c r="C222" s="3" t="s">
        <v>6</v>
      </c>
    </row>
    <row r="223">
      <c r="A223" s="4" t="s">
        <v>357</v>
      </c>
      <c r="B223" s="3">
        <v>0.0</v>
      </c>
      <c r="C223" s="3" t="s">
        <v>3</v>
      </c>
    </row>
    <row r="224">
      <c r="A224" s="4" t="s">
        <v>2132</v>
      </c>
      <c r="B224" s="3">
        <v>0.0</v>
      </c>
      <c r="C224" s="3" t="s">
        <v>3</v>
      </c>
    </row>
    <row r="225">
      <c r="A225" s="4" t="s">
        <v>360</v>
      </c>
      <c r="B225" s="3">
        <v>0.0</v>
      </c>
      <c r="C225" s="3" t="s">
        <v>3</v>
      </c>
    </row>
    <row r="226">
      <c r="A226" s="4" t="s">
        <v>2133</v>
      </c>
      <c r="B226" s="3">
        <v>4400.0</v>
      </c>
      <c r="C226" s="4"/>
    </row>
    <row r="227">
      <c r="A227" s="4" t="s">
        <v>2134</v>
      </c>
      <c r="B227" s="3">
        <v>0.0</v>
      </c>
      <c r="C227" s="3" t="s">
        <v>3</v>
      </c>
    </row>
    <row r="228">
      <c r="A228" s="4" t="s">
        <v>2135</v>
      </c>
      <c r="B228" s="3">
        <v>0.0</v>
      </c>
      <c r="C228" s="3" t="s">
        <v>3</v>
      </c>
    </row>
    <row r="229">
      <c r="A229" s="4" t="s">
        <v>2136</v>
      </c>
      <c r="B229" s="3">
        <v>0.0</v>
      </c>
      <c r="C229" s="3" t="s">
        <v>3</v>
      </c>
    </row>
    <row r="230">
      <c r="A230" s="4" t="s">
        <v>370</v>
      </c>
      <c r="B230" s="3">
        <v>0.0</v>
      </c>
      <c r="C230" s="3" t="s">
        <v>6</v>
      </c>
    </row>
    <row r="231">
      <c r="A231" s="4" t="s">
        <v>2137</v>
      </c>
      <c r="B231" s="3">
        <v>500.0</v>
      </c>
      <c r="C231" s="4"/>
    </row>
    <row r="232">
      <c r="A232" s="4" t="s">
        <v>373</v>
      </c>
      <c r="B232" s="3">
        <v>0.0</v>
      </c>
      <c r="C232" s="3" t="s">
        <v>6</v>
      </c>
    </row>
    <row r="233">
      <c r="A233" s="4" t="s">
        <v>374</v>
      </c>
      <c r="B233" s="3">
        <v>0.0</v>
      </c>
      <c r="C233" s="3" t="s">
        <v>3</v>
      </c>
    </row>
    <row r="234">
      <c r="A234" s="4" t="s">
        <v>375</v>
      </c>
      <c r="B234" s="3">
        <v>3200.0</v>
      </c>
      <c r="C234" s="3" t="s">
        <v>6</v>
      </c>
    </row>
    <row r="235">
      <c r="A235" s="4" t="s">
        <v>2138</v>
      </c>
      <c r="B235" s="3">
        <v>0.0</v>
      </c>
      <c r="C235" s="3" t="s">
        <v>3</v>
      </c>
    </row>
    <row r="236">
      <c r="A236" s="4" t="s">
        <v>2139</v>
      </c>
      <c r="B236" s="3">
        <v>0.0</v>
      </c>
      <c r="C236" s="3" t="s">
        <v>3</v>
      </c>
    </row>
    <row r="237">
      <c r="A237" s="4" t="s">
        <v>381</v>
      </c>
      <c r="B237" s="3">
        <v>400.0</v>
      </c>
      <c r="C237" s="3" t="s">
        <v>6</v>
      </c>
    </row>
    <row r="238">
      <c r="A238" s="4" t="s">
        <v>383</v>
      </c>
      <c r="B238" s="3">
        <v>0.0</v>
      </c>
      <c r="C238" s="3" t="s">
        <v>3</v>
      </c>
    </row>
    <row r="239">
      <c r="A239" s="4" t="s">
        <v>384</v>
      </c>
      <c r="B239" s="3">
        <v>0.0</v>
      </c>
      <c r="C239" s="3" t="s">
        <v>3</v>
      </c>
    </row>
    <row r="240">
      <c r="A240" s="4" t="s">
        <v>385</v>
      </c>
      <c r="B240" s="3">
        <v>0.0</v>
      </c>
      <c r="C240" s="3" t="s">
        <v>32</v>
      </c>
    </row>
    <row r="241">
      <c r="A241" s="4" t="s">
        <v>386</v>
      </c>
      <c r="B241" s="3">
        <v>0.0</v>
      </c>
      <c r="C241" s="3" t="s">
        <v>6</v>
      </c>
    </row>
    <row r="242">
      <c r="A242" s="4" t="s">
        <v>387</v>
      </c>
      <c r="B242" s="3">
        <v>0.0</v>
      </c>
      <c r="C242" s="3" t="s">
        <v>6</v>
      </c>
    </row>
    <row r="243">
      <c r="A243" s="4" t="s">
        <v>2140</v>
      </c>
      <c r="B243" s="3">
        <v>0.0</v>
      </c>
      <c r="C243" s="3" t="s">
        <v>3</v>
      </c>
    </row>
    <row r="244">
      <c r="A244" s="4" t="s">
        <v>2141</v>
      </c>
      <c r="B244" s="3">
        <v>0.0</v>
      </c>
      <c r="C244" s="3" t="s">
        <v>3</v>
      </c>
    </row>
    <row r="245">
      <c r="A245" s="4" t="s">
        <v>2142</v>
      </c>
      <c r="B245" s="3">
        <v>380000.0</v>
      </c>
      <c r="C245" s="3" t="s">
        <v>6</v>
      </c>
    </row>
    <row r="246">
      <c r="A246" s="4" t="s">
        <v>395</v>
      </c>
      <c r="B246" s="3">
        <v>37000.0</v>
      </c>
      <c r="C246" s="3" t="s">
        <v>32</v>
      </c>
    </row>
    <row r="247">
      <c r="A247" s="4" t="s">
        <v>397</v>
      </c>
      <c r="B247" s="3">
        <v>2800.0</v>
      </c>
      <c r="C247" s="4"/>
    </row>
    <row r="248">
      <c r="A248" s="4" t="s">
        <v>399</v>
      </c>
      <c r="B248" s="3">
        <v>5000.0</v>
      </c>
      <c r="C248" s="4"/>
    </row>
    <row r="249">
      <c r="A249" s="4" t="s">
        <v>2143</v>
      </c>
      <c r="B249" s="3">
        <v>0.0</v>
      </c>
      <c r="C249" s="3" t="s">
        <v>26</v>
      </c>
    </row>
    <row r="250">
      <c r="A250" s="4" t="s">
        <v>401</v>
      </c>
      <c r="B250" s="3">
        <v>0.0</v>
      </c>
      <c r="C250" s="3" t="s">
        <v>32</v>
      </c>
    </row>
    <row r="251">
      <c r="A251" s="4" t="s">
        <v>402</v>
      </c>
      <c r="B251" s="3">
        <v>0.0</v>
      </c>
      <c r="C251" s="3" t="s">
        <v>6</v>
      </c>
    </row>
    <row r="252">
      <c r="A252" s="4" t="s">
        <v>403</v>
      </c>
      <c r="B252" s="3">
        <v>0.0</v>
      </c>
      <c r="C252" s="3" t="s">
        <v>3</v>
      </c>
    </row>
    <row r="253">
      <c r="A253" s="4" t="s">
        <v>404</v>
      </c>
      <c r="B253" s="3">
        <v>0.0</v>
      </c>
      <c r="C253" s="3" t="s">
        <v>3</v>
      </c>
    </row>
    <row r="254">
      <c r="A254" s="4" t="s">
        <v>405</v>
      </c>
      <c r="B254" s="3">
        <v>800.0</v>
      </c>
      <c r="C254" s="4"/>
    </row>
    <row r="255">
      <c r="A255" s="4" t="s">
        <v>2144</v>
      </c>
      <c r="B255" s="3">
        <v>10000.0</v>
      </c>
      <c r="C255" s="3" t="s">
        <v>16</v>
      </c>
    </row>
    <row r="256">
      <c r="A256" s="4" t="s">
        <v>409</v>
      </c>
      <c r="B256" s="3">
        <v>0.0</v>
      </c>
      <c r="C256" s="3" t="s">
        <v>6</v>
      </c>
    </row>
    <row r="257">
      <c r="A257" s="4" t="s">
        <v>410</v>
      </c>
      <c r="B257" s="3">
        <v>2000.0</v>
      </c>
      <c r="C257" s="4"/>
    </row>
    <row r="258">
      <c r="A258" s="4" t="s">
        <v>411</v>
      </c>
      <c r="B258" s="3">
        <v>0.0</v>
      </c>
      <c r="C258" s="3" t="s">
        <v>3</v>
      </c>
    </row>
    <row r="259">
      <c r="A259" s="4" t="s">
        <v>2145</v>
      </c>
      <c r="B259" s="3">
        <v>0.0</v>
      </c>
      <c r="C259" s="3" t="s">
        <v>6</v>
      </c>
    </row>
    <row r="260">
      <c r="A260" s="4" t="s">
        <v>413</v>
      </c>
      <c r="B260" s="3">
        <v>27500.0</v>
      </c>
      <c r="C260" s="3" t="s">
        <v>32</v>
      </c>
    </row>
    <row r="261">
      <c r="A261" s="4" t="s">
        <v>2146</v>
      </c>
      <c r="B261" s="3">
        <v>0.0</v>
      </c>
      <c r="C261" s="3" t="s">
        <v>3</v>
      </c>
    </row>
    <row r="262">
      <c r="A262" s="4" t="s">
        <v>2147</v>
      </c>
      <c r="B262" s="3">
        <v>0.0</v>
      </c>
      <c r="C262" s="3" t="s">
        <v>3</v>
      </c>
    </row>
    <row r="263">
      <c r="A263" s="4" t="s">
        <v>419</v>
      </c>
      <c r="B263" s="3">
        <v>0.0</v>
      </c>
      <c r="C263" s="3" t="s">
        <v>3</v>
      </c>
    </row>
    <row r="264">
      <c r="A264" s="4" t="s">
        <v>2148</v>
      </c>
      <c r="B264" s="3">
        <v>0.0</v>
      </c>
      <c r="C264" s="3" t="s">
        <v>29</v>
      </c>
    </row>
    <row r="265">
      <c r="A265" s="4" t="s">
        <v>422</v>
      </c>
      <c r="B265" s="3">
        <v>0.0</v>
      </c>
      <c r="C265" s="3" t="s">
        <v>29</v>
      </c>
    </row>
    <row r="266">
      <c r="A266" s="4" t="s">
        <v>423</v>
      </c>
      <c r="B266" s="3">
        <v>0.0</v>
      </c>
      <c r="C266" s="3" t="s">
        <v>3</v>
      </c>
    </row>
    <row r="267">
      <c r="A267" s="4" t="s">
        <v>424</v>
      </c>
      <c r="B267" s="3">
        <v>0.0</v>
      </c>
      <c r="C267" s="3" t="s">
        <v>3</v>
      </c>
    </row>
    <row r="268">
      <c r="A268" s="4" t="s">
        <v>2149</v>
      </c>
      <c r="B268" s="3">
        <v>0.0</v>
      </c>
      <c r="C268" s="3" t="s">
        <v>3</v>
      </c>
    </row>
    <row r="269">
      <c r="A269" s="4" t="s">
        <v>427</v>
      </c>
      <c r="B269" s="3">
        <v>5000.0</v>
      </c>
      <c r="C269" s="3" t="s">
        <v>29</v>
      </c>
    </row>
    <row r="270">
      <c r="A270" s="4" t="s">
        <v>2150</v>
      </c>
      <c r="B270" s="3">
        <v>45400.0</v>
      </c>
      <c r="C270" s="3" t="s">
        <v>3</v>
      </c>
    </row>
    <row r="271">
      <c r="A271" s="4" t="s">
        <v>2151</v>
      </c>
      <c r="B271" s="3">
        <v>0.0</v>
      </c>
      <c r="C271" s="3" t="s">
        <v>29</v>
      </c>
    </row>
    <row r="272">
      <c r="A272" s="4" t="s">
        <v>2152</v>
      </c>
      <c r="B272" s="3">
        <v>0.0</v>
      </c>
      <c r="C272" s="3" t="s">
        <v>3</v>
      </c>
    </row>
    <row r="273">
      <c r="A273" s="4" t="s">
        <v>2153</v>
      </c>
      <c r="B273" s="3">
        <v>2500.0</v>
      </c>
      <c r="C273" s="4"/>
    </row>
    <row r="274">
      <c r="A274" s="4" t="s">
        <v>2154</v>
      </c>
      <c r="B274" s="3">
        <v>0.0</v>
      </c>
      <c r="C274" s="3" t="s">
        <v>3</v>
      </c>
    </row>
    <row r="275">
      <c r="A275" s="4" t="s">
        <v>2155</v>
      </c>
      <c r="B275" s="3">
        <v>0.0</v>
      </c>
      <c r="C275" s="3" t="s">
        <v>6</v>
      </c>
    </row>
    <row r="276">
      <c r="A276" s="4" t="s">
        <v>441</v>
      </c>
      <c r="B276" s="3">
        <v>0.0</v>
      </c>
      <c r="C276" s="3" t="s">
        <v>29</v>
      </c>
    </row>
    <row r="277">
      <c r="A277" s="4" t="s">
        <v>442</v>
      </c>
      <c r="B277" s="3">
        <v>5900.0</v>
      </c>
      <c r="C277" s="4"/>
    </row>
    <row r="278">
      <c r="A278" s="4" t="s">
        <v>444</v>
      </c>
      <c r="B278" s="3">
        <v>3000.0</v>
      </c>
      <c r="C278" s="4"/>
    </row>
    <row r="279">
      <c r="A279" s="4" t="s">
        <v>445</v>
      </c>
      <c r="B279" s="3">
        <v>180000.0</v>
      </c>
      <c r="C279" s="4"/>
    </row>
    <row r="280">
      <c r="A280" s="4" t="s">
        <v>447</v>
      </c>
      <c r="B280" s="3">
        <v>55000.0</v>
      </c>
      <c r="C280" s="4"/>
    </row>
    <row r="281">
      <c r="A281" s="4" t="s">
        <v>449</v>
      </c>
      <c r="B281" s="3">
        <v>0.0</v>
      </c>
      <c r="C281" s="3" t="s">
        <v>32</v>
      </c>
    </row>
    <row r="282">
      <c r="A282" s="4" t="s">
        <v>450</v>
      </c>
      <c r="B282" s="3">
        <v>800.0</v>
      </c>
      <c r="C282" s="3" t="s">
        <v>6</v>
      </c>
    </row>
    <row r="283">
      <c r="A283" s="4" t="s">
        <v>451</v>
      </c>
      <c r="B283" s="3">
        <v>0.0</v>
      </c>
      <c r="C283" s="3" t="s">
        <v>3</v>
      </c>
    </row>
    <row r="284">
      <c r="A284" s="4" t="s">
        <v>452</v>
      </c>
      <c r="B284" s="3">
        <v>4000.0</v>
      </c>
      <c r="C284" s="3" t="s">
        <v>3</v>
      </c>
    </row>
    <row r="285">
      <c r="A285" s="4" t="s">
        <v>453</v>
      </c>
      <c r="B285" s="3">
        <v>0.0</v>
      </c>
      <c r="C285" s="3" t="s">
        <v>3</v>
      </c>
    </row>
    <row r="286">
      <c r="A286" s="4" t="s">
        <v>454</v>
      </c>
      <c r="B286" s="3">
        <v>0.0</v>
      </c>
      <c r="C286" s="3" t="s">
        <v>3</v>
      </c>
    </row>
    <row r="287">
      <c r="A287" s="4" t="s">
        <v>455</v>
      </c>
      <c r="B287" s="3">
        <v>0.0</v>
      </c>
      <c r="C287" s="3" t="s">
        <v>3</v>
      </c>
    </row>
    <row r="288">
      <c r="A288" s="4" t="s">
        <v>456</v>
      </c>
      <c r="B288" s="3">
        <v>0.0</v>
      </c>
      <c r="C288" s="3" t="s">
        <v>6</v>
      </c>
    </row>
    <row r="289">
      <c r="A289" s="4" t="s">
        <v>457</v>
      </c>
      <c r="B289" s="3">
        <v>2000.0</v>
      </c>
      <c r="C289" s="3" t="s">
        <v>3</v>
      </c>
    </row>
    <row r="290">
      <c r="A290" s="4" t="s">
        <v>2156</v>
      </c>
      <c r="B290" s="3">
        <v>0.0</v>
      </c>
      <c r="C290" s="3" t="s">
        <v>3</v>
      </c>
    </row>
    <row r="291">
      <c r="A291" s="4" t="s">
        <v>2157</v>
      </c>
      <c r="B291" s="3">
        <v>3000.0</v>
      </c>
      <c r="C291" s="4"/>
    </row>
    <row r="292">
      <c r="A292" s="4" t="s">
        <v>2158</v>
      </c>
      <c r="B292" s="3">
        <v>0.0</v>
      </c>
      <c r="C292" s="3" t="s">
        <v>3</v>
      </c>
    </row>
    <row r="293">
      <c r="A293" s="4" t="s">
        <v>464</v>
      </c>
      <c r="B293" s="3">
        <v>0.0</v>
      </c>
      <c r="C293" s="3" t="s">
        <v>3</v>
      </c>
    </row>
    <row r="294">
      <c r="A294" s="4" t="s">
        <v>465</v>
      </c>
      <c r="B294" s="3">
        <v>300.0</v>
      </c>
      <c r="C294" s="3" t="s">
        <v>3</v>
      </c>
    </row>
    <row r="295">
      <c r="A295" s="4" t="s">
        <v>466</v>
      </c>
      <c r="B295" s="3">
        <v>3000.0</v>
      </c>
      <c r="C295" s="3" t="s">
        <v>3</v>
      </c>
    </row>
    <row r="296">
      <c r="A296" s="4" t="s">
        <v>2159</v>
      </c>
      <c r="B296" s="3">
        <v>250.0</v>
      </c>
      <c r="C296" s="3" t="s">
        <v>3</v>
      </c>
    </row>
    <row r="297">
      <c r="A297" s="4" t="s">
        <v>2160</v>
      </c>
      <c r="B297" s="3">
        <v>0.0</v>
      </c>
      <c r="C297" s="3" t="s">
        <v>3</v>
      </c>
    </row>
    <row r="298">
      <c r="A298" s="4" t="s">
        <v>472</v>
      </c>
      <c r="B298" s="3">
        <v>5000.0</v>
      </c>
      <c r="C298" s="3" t="s">
        <v>32</v>
      </c>
    </row>
    <row r="299">
      <c r="A299" s="4" t="s">
        <v>473</v>
      </c>
      <c r="B299" s="3">
        <v>2500.0</v>
      </c>
      <c r="C299" s="3" t="s">
        <v>3</v>
      </c>
    </row>
    <row r="300">
      <c r="A300" s="4" t="s">
        <v>2161</v>
      </c>
      <c r="B300" s="3">
        <v>0.0</v>
      </c>
      <c r="C300" s="3" t="s">
        <v>3</v>
      </c>
    </row>
    <row r="301">
      <c r="A301" s="4" t="s">
        <v>476</v>
      </c>
      <c r="B301" s="3">
        <v>1578403.0</v>
      </c>
      <c r="C301" s="3" t="s">
        <v>32</v>
      </c>
    </row>
    <row r="302">
      <c r="A302" s="4" t="s">
        <v>478</v>
      </c>
      <c r="B302" s="3">
        <v>311500.0</v>
      </c>
      <c r="C302" s="4"/>
    </row>
    <row r="303">
      <c r="A303" s="4" t="s">
        <v>480</v>
      </c>
      <c r="B303" s="3">
        <v>3000.0</v>
      </c>
      <c r="C303" s="4"/>
    </row>
    <row r="304">
      <c r="A304" s="4" t="s">
        <v>481</v>
      </c>
      <c r="B304" s="3">
        <v>1735000.0</v>
      </c>
      <c r="C304" s="3" t="s">
        <v>3</v>
      </c>
    </row>
    <row r="305">
      <c r="A305" s="4" t="s">
        <v>2162</v>
      </c>
      <c r="B305" s="3">
        <v>1500.0</v>
      </c>
      <c r="C305" s="3" t="s">
        <v>484</v>
      </c>
    </row>
    <row r="306">
      <c r="A306" s="4" t="s">
        <v>2163</v>
      </c>
      <c r="B306" s="3">
        <v>0.0</v>
      </c>
      <c r="C306" s="3" t="s">
        <v>3</v>
      </c>
    </row>
    <row r="307">
      <c r="A307" s="4" t="s">
        <v>2164</v>
      </c>
      <c r="B307" s="3">
        <v>0.0</v>
      </c>
      <c r="C307" s="3" t="s">
        <v>3</v>
      </c>
    </row>
    <row r="308">
      <c r="A308" s="4" t="s">
        <v>2165</v>
      </c>
      <c r="B308" s="3">
        <v>2500.0</v>
      </c>
      <c r="C308" s="4"/>
    </row>
    <row r="309">
      <c r="A309" s="4" t="s">
        <v>491</v>
      </c>
      <c r="B309" s="3">
        <v>300000.0</v>
      </c>
      <c r="C309" s="4"/>
    </row>
    <row r="310">
      <c r="A310" s="4" t="s">
        <v>2166</v>
      </c>
      <c r="B310" s="3">
        <v>0.0</v>
      </c>
      <c r="C310" s="3" t="s">
        <v>3</v>
      </c>
    </row>
    <row r="311">
      <c r="A311" s="4" t="s">
        <v>495</v>
      </c>
      <c r="B311" s="3">
        <v>1000.0</v>
      </c>
      <c r="C311" s="4"/>
    </row>
    <row r="312">
      <c r="A312" s="4" t="s">
        <v>2167</v>
      </c>
      <c r="B312" s="3">
        <v>0.0</v>
      </c>
      <c r="C312" s="3" t="s">
        <v>3</v>
      </c>
    </row>
    <row r="313">
      <c r="A313" s="4" t="s">
        <v>2168</v>
      </c>
      <c r="B313" s="3">
        <v>400.0</v>
      </c>
      <c r="C313" s="3" t="s">
        <v>3</v>
      </c>
    </row>
    <row r="314">
      <c r="A314" s="4" t="s">
        <v>2169</v>
      </c>
      <c r="B314" s="3">
        <v>0.0</v>
      </c>
      <c r="C314" s="3" t="s">
        <v>6</v>
      </c>
    </row>
    <row r="315">
      <c r="A315" s="4" t="s">
        <v>502</v>
      </c>
      <c r="B315" s="3">
        <v>500.0</v>
      </c>
      <c r="C315" s="3" t="s">
        <v>26</v>
      </c>
    </row>
    <row r="316">
      <c r="A316" s="4" t="s">
        <v>2170</v>
      </c>
      <c r="B316" s="3">
        <v>0.0</v>
      </c>
      <c r="C316" s="3" t="s">
        <v>3</v>
      </c>
    </row>
    <row r="317">
      <c r="A317" s="4" t="s">
        <v>2171</v>
      </c>
      <c r="B317" s="3">
        <v>0.0</v>
      </c>
      <c r="C317" s="3" t="s">
        <v>3</v>
      </c>
    </row>
    <row r="318">
      <c r="A318" s="4" t="s">
        <v>2172</v>
      </c>
      <c r="B318" s="3">
        <v>0.0</v>
      </c>
      <c r="C318" s="3" t="s">
        <v>3</v>
      </c>
    </row>
    <row r="319">
      <c r="A319" s="4" t="s">
        <v>2173</v>
      </c>
      <c r="B319" s="3">
        <v>0.0</v>
      </c>
      <c r="C319" s="3" t="s">
        <v>6</v>
      </c>
    </row>
    <row r="320">
      <c r="A320" s="4" t="s">
        <v>2174</v>
      </c>
      <c r="B320" s="3">
        <v>0.0</v>
      </c>
      <c r="C320" s="3" t="s">
        <v>3</v>
      </c>
    </row>
    <row r="321">
      <c r="A321" s="4" t="s">
        <v>2175</v>
      </c>
      <c r="B321" s="3">
        <v>0.0</v>
      </c>
      <c r="C321" s="3" t="s">
        <v>3</v>
      </c>
    </row>
    <row r="322">
      <c r="A322" s="4" t="s">
        <v>515</v>
      </c>
      <c r="B322" s="3">
        <v>0.0</v>
      </c>
      <c r="C322" s="3" t="s">
        <v>6</v>
      </c>
    </row>
    <row r="323">
      <c r="A323" s="4" t="s">
        <v>2176</v>
      </c>
      <c r="B323" s="3">
        <v>0.0</v>
      </c>
      <c r="C323" s="3" t="s">
        <v>3</v>
      </c>
    </row>
    <row r="324">
      <c r="A324" s="4" t="s">
        <v>518</v>
      </c>
      <c r="B324" s="3">
        <v>25062.0</v>
      </c>
      <c r="C324" s="4"/>
    </row>
    <row r="325">
      <c r="A325" s="4" t="s">
        <v>520</v>
      </c>
      <c r="B325" s="3">
        <v>1500.0</v>
      </c>
      <c r="C325" s="3" t="s">
        <v>6</v>
      </c>
    </row>
    <row r="326">
      <c r="A326" s="4" t="s">
        <v>521</v>
      </c>
      <c r="B326" s="3">
        <v>3500.0</v>
      </c>
      <c r="C326" s="4"/>
    </row>
    <row r="327">
      <c r="A327" s="4" t="s">
        <v>522</v>
      </c>
      <c r="B327" s="3">
        <v>37754.0</v>
      </c>
      <c r="C327" s="3" t="s">
        <v>484</v>
      </c>
    </row>
    <row r="328">
      <c r="A328" s="4" t="s">
        <v>2177</v>
      </c>
      <c r="B328" s="3">
        <v>0.0</v>
      </c>
      <c r="C328" s="3" t="s">
        <v>3</v>
      </c>
    </row>
    <row r="329">
      <c r="A329" s="4" t="s">
        <v>526</v>
      </c>
      <c r="B329" s="3">
        <v>3000.0</v>
      </c>
      <c r="C329" s="4"/>
    </row>
    <row r="330">
      <c r="A330" s="4" t="s">
        <v>527</v>
      </c>
      <c r="B330" s="3">
        <v>1000.0</v>
      </c>
      <c r="C330" s="4"/>
    </row>
    <row r="331">
      <c r="A331" s="4" t="s">
        <v>2178</v>
      </c>
      <c r="B331" s="3">
        <v>250.0</v>
      </c>
      <c r="C331" s="4"/>
    </row>
    <row r="332">
      <c r="A332" s="4" t="s">
        <v>2179</v>
      </c>
      <c r="B332" s="3">
        <v>500.0</v>
      </c>
      <c r="C332" s="3" t="s">
        <v>3</v>
      </c>
    </row>
    <row r="333">
      <c r="A333" s="4" t="s">
        <v>532</v>
      </c>
      <c r="B333" s="3">
        <v>7000.0</v>
      </c>
      <c r="C333" s="3" t="s">
        <v>3</v>
      </c>
    </row>
    <row r="334">
      <c r="A334" s="4" t="s">
        <v>534</v>
      </c>
      <c r="B334" s="3">
        <v>0.0</v>
      </c>
      <c r="C334" s="3" t="s">
        <v>26</v>
      </c>
    </row>
    <row r="335">
      <c r="A335" s="4" t="s">
        <v>2180</v>
      </c>
      <c r="B335" s="3">
        <v>400.0</v>
      </c>
      <c r="C335" s="3" t="s">
        <v>3</v>
      </c>
    </row>
    <row r="336">
      <c r="A336" s="4" t="s">
        <v>2181</v>
      </c>
      <c r="B336" s="3">
        <v>750.0</v>
      </c>
      <c r="C336" s="4"/>
    </row>
    <row r="337">
      <c r="A337" s="4" t="s">
        <v>539</v>
      </c>
      <c r="B337" s="3">
        <v>0.0</v>
      </c>
      <c r="C337" s="3" t="s">
        <v>6</v>
      </c>
    </row>
    <row r="338">
      <c r="A338" s="4" t="s">
        <v>540</v>
      </c>
      <c r="B338" s="3">
        <v>800.0</v>
      </c>
      <c r="C338" s="4"/>
    </row>
    <row r="339">
      <c r="A339" s="4" t="s">
        <v>541</v>
      </c>
      <c r="B339" s="3">
        <v>500.0</v>
      </c>
      <c r="C339" s="4"/>
    </row>
    <row r="340">
      <c r="A340" s="4" t="s">
        <v>542</v>
      </c>
      <c r="B340" s="3">
        <v>0.0</v>
      </c>
      <c r="C340" s="3" t="s">
        <v>3</v>
      </c>
    </row>
    <row r="341">
      <c r="A341" s="4" t="s">
        <v>2182</v>
      </c>
      <c r="B341" s="3">
        <v>0.0</v>
      </c>
      <c r="C341" s="3" t="s">
        <v>3</v>
      </c>
    </row>
    <row r="342">
      <c r="A342" s="4" t="s">
        <v>545</v>
      </c>
      <c r="B342" s="3">
        <v>0.0</v>
      </c>
      <c r="C342" s="3" t="s">
        <v>3</v>
      </c>
    </row>
    <row r="343">
      <c r="A343" s="4" t="s">
        <v>546</v>
      </c>
      <c r="B343" s="3">
        <v>0.0</v>
      </c>
      <c r="C343" s="3" t="s">
        <v>3</v>
      </c>
    </row>
    <row r="344">
      <c r="A344" s="4" t="s">
        <v>547</v>
      </c>
      <c r="B344" s="3">
        <v>4000.0</v>
      </c>
      <c r="C344" s="4"/>
    </row>
    <row r="345">
      <c r="A345" s="4" t="s">
        <v>548</v>
      </c>
      <c r="B345" s="3">
        <v>0.0</v>
      </c>
      <c r="C345" s="3" t="s">
        <v>29</v>
      </c>
    </row>
    <row r="346">
      <c r="A346" s="4" t="s">
        <v>549</v>
      </c>
      <c r="B346" s="3">
        <v>27778.0</v>
      </c>
      <c r="C346" s="4"/>
    </row>
    <row r="347">
      <c r="A347" s="4" t="s">
        <v>551</v>
      </c>
      <c r="B347" s="3">
        <v>0.0</v>
      </c>
      <c r="C347" s="3" t="s">
        <v>29</v>
      </c>
    </row>
    <row r="348">
      <c r="A348" s="4" t="s">
        <v>552</v>
      </c>
      <c r="B348" s="3">
        <v>500.0</v>
      </c>
      <c r="C348" s="4"/>
    </row>
    <row r="349">
      <c r="A349" s="4" t="s">
        <v>553</v>
      </c>
      <c r="B349" s="3">
        <v>0.0</v>
      </c>
      <c r="C349" s="3" t="s">
        <v>29</v>
      </c>
    </row>
    <row r="350">
      <c r="A350" s="4" t="s">
        <v>554</v>
      </c>
      <c r="B350" s="3">
        <v>0.0</v>
      </c>
      <c r="C350" s="3" t="s">
        <v>29</v>
      </c>
    </row>
    <row r="351">
      <c r="A351" s="4" t="s">
        <v>2183</v>
      </c>
      <c r="B351" s="3">
        <v>0.0</v>
      </c>
      <c r="C351" s="3" t="s">
        <v>29</v>
      </c>
    </row>
    <row r="352">
      <c r="A352" s="4" t="s">
        <v>557</v>
      </c>
      <c r="B352" s="3">
        <v>1500.0</v>
      </c>
      <c r="C352" s="3" t="s">
        <v>29</v>
      </c>
    </row>
    <row r="353">
      <c r="A353" s="4" t="s">
        <v>558</v>
      </c>
      <c r="B353" s="3">
        <v>1000.0</v>
      </c>
      <c r="C353" s="3" t="s">
        <v>484</v>
      </c>
    </row>
    <row r="354">
      <c r="A354" s="4" t="s">
        <v>559</v>
      </c>
      <c r="B354" s="3">
        <v>4600.0</v>
      </c>
      <c r="C354" s="3" t="s">
        <v>6</v>
      </c>
    </row>
    <row r="355">
      <c r="A355" s="4" t="s">
        <v>561</v>
      </c>
      <c r="B355" s="3">
        <v>0.0</v>
      </c>
      <c r="C355" s="3" t="s">
        <v>29</v>
      </c>
    </row>
    <row r="356">
      <c r="A356" s="4" t="s">
        <v>562</v>
      </c>
      <c r="B356" s="3">
        <v>0.0</v>
      </c>
      <c r="C356" s="3" t="s">
        <v>29</v>
      </c>
    </row>
    <row r="357">
      <c r="A357" s="4" t="s">
        <v>563</v>
      </c>
      <c r="B357" s="3">
        <v>0.0</v>
      </c>
      <c r="C357" s="3" t="s">
        <v>29</v>
      </c>
    </row>
    <row r="358">
      <c r="A358" s="4" t="s">
        <v>564</v>
      </c>
      <c r="B358" s="3">
        <v>0.0</v>
      </c>
      <c r="C358" s="3" t="s">
        <v>484</v>
      </c>
    </row>
    <row r="359">
      <c r="A359" s="4" t="s">
        <v>565</v>
      </c>
      <c r="B359" s="3">
        <v>0.0</v>
      </c>
      <c r="C359" s="3" t="s">
        <v>29</v>
      </c>
    </row>
    <row r="360">
      <c r="A360" s="4" t="s">
        <v>566</v>
      </c>
      <c r="B360" s="3">
        <v>0.0</v>
      </c>
      <c r="C360" s="3" t="s">
        <v>29</v>
      </c>
    </row>
    <row r="361">
      <c r="A361" s="4" t="s">
        <v>567</v>
      </c>
      <c r="B361" s="3">
        <v>0.0</v>
      </c>
      <c r="C361" s="3" t="s">
        <v>3</v>
      </c>
    </row>
    <row r="362">
      <c r="A362" s="4" t="s">
        <v>568</v>
      </c>
      <c r="B362" s="3">
        <v>0.0</v>
      </c>
      <c r="C362" s="3" t="s">
        <v>3</v>
      </c>
    </row>
    <row r="363">
      <c r="A363" s="4" t="s">
        <v>569</v>
      </c>
      <c r="B363" s="3">
        <v>50000.0</v>
      </c>
      <c r="C363" s="3" t="s">
        <v>6</v>
      </c>
    </row>
    <row r="364">
      <c r="A364" s="4" t="s">
        <v>2184</v>
      </c>
      <c r="B364" s="3">
        <v>500.0</v>
      </c>
      <c r="C364" s="3" t="s">
        <v>6</v>
      </c>
    </row>
    <row r="365">
      <c r="A365" s="4" t="s">
        <v>573</v>
      </c>
      <c r="B365" s="3">
        <v>0.0</v>
      </c>
      <c r="C365" s="3" t="s">
        <v>3</v>
      </c>
    </row>
    <row r="366">
      <c r="A366" s="4" t="s">
        <v>2185</v>
      </c>
      <c r="B366" s="3">
        <v>700.0</v>
      </c>
      <c r="C366" s="4"/>
    </row>
    <row r="367">
      <c r="A367" s="4" t="s">
        <v>577</v>
      </c>
      <c r="B367" s="3">
        <v>0.0</v>
      </c>
      <c r="C367" s="3" t="s">
        <v>32</v>
      </c>
    </row>
    <row r="368">
      <c r="A368" s="4" t="s">
        <v>2186</v>
      </c>
      <c r="B368" s="3">
        <v>1700.0</v>
      </c>
      <c r="C368" s="3" t="s">
        <v>580</v>
      </c>
    </row>
    <row r="369">
      <c r="A369" s="4" t="s">
        <v>582</v>
      </c>
      <c r="B369" s="3">
        <v>153407.0</v>
      </c>
      <c r="C369" s="3" t="s">
        <v>32</v>
      </c>
    </row>
    <row r="370">
      <c r="A370" s="4" t="s">
        <v>2187</v>
      </c>
      <c r="B370" s="3">
        <v>0.0</v>
      </c>
      <c r="C370" s="3" t="s">
        <v>6</v>
      </c>
    </row>
    <row r="371">
      <c r="A371" s="4" t="s">
        <v>586</v>
      </c>
      <c r="B371" s="3">
        <v>4550.0</v>
      </c>
      <c r="C371" s="3" t="s">
        <v>6</v>
      </c>
    </row>
    <row r="372">
      <c r="A372" s="4" t="s">
        <v>588</v>
      </c>
      <c r="B372" s="3">
        <v>0.0</v>
      </c>
      <c r="C372" s="3" t="s">
        <v>3</v>
      </c>
    </row>
    <row r="373">
      <c r="A373" s="4" t="s">
        <v>589</v>
      </c>
      <c r="B373" s="3">
        <v>44200.0</v>
      </c>
      <c r="C373" s="3" t="s">
        <v>3</v>
      </c>
    </row>
    <row r="374">
      <c r="A374" s="4" t="s">
        <v>591</v>
      </c>
      <c r="B374" s="3">
        <v>0.0</v>
      </c>
      <c r="C374" s="3" t="s">
        <v>3</v>
      </c>
    </row>
    <row r="375">
      <c r="A375" s="4" t="s">
        <v>592</v>
      </c>
      <c r="B375" s="3">
        <v>0.0</v>
      </c>
      <c r="C375" s="3" t="s">
        <v>3</v>
      </c>
    </row>
    <row r="376">
      <c r="A376" s="4" t="s">
        <v>593</v>
      </c>
      <c r="B376" s="3">
        <v>0.0</v>
      </c>
      <c r="C376" s="3" t="s">
        <v>3</v>
      </c>
    </row>
    <row r="377">
      <c r="A377" s="4" t="s">
        <v>594</v>
      </c>
      <c r="B377" s="3">
        <v>0.0</v>
      </c>
      <c r="C377" s="3" t="s">
        <v>6</v>
      </c>
    </row>
    <row r="378">
      <c r="A378" s="4" t="s">
        <v>595</v>
      </c>
      <c r="B378" s="3">
        <v>0.0</v>
      </c>
      <c r="C378" s="3" t="s">
        <v>3</v>
      </c>
    </row>
    <row r="379">
      <c r="A379" s="4" t="s">
        <v>2188</v>
      </c>
      <c r="B379" s="3">
        <v>0.0</v>
      </c>
      <c r="C379" s="3" t="s">
        <v>3</v>
      </c>
    </row>
    <row r="380">
      <c r="A380" s="4" t="s">
        <v>598</v>
      </c>
      <c r="B380" s="3">
        <v>0.0</v>
      </c>
      <c r="C380" s="3" t="s">
        <v>3</v>
      </c>
    </row>
    <row r="381">
      <c r="A381" s="4" t="s">
        <v>599</v>
      </c>
      <c r="B381" s="3">
        <v>347000.0</v>
      </c>
      <c r="C381" s="4"/>
    </row>
    <row r="382">
      <c r="A382" s="4" t="s">
        <v>601</v>
      </c>
      <c r="B382" s="3">
        <v>2000.0</v>
      </c>
      <c r="C382" s="4"/>
    </row>
    <row r="383">
      <c r="A383" s="4" t="s">
        <v>2189</v>
      </c>
      <c r="B383" s="3">
        <v>1089439.0</v>
      </c>
      <c r="C383" s="3" t="s">
        <v>37</v>
      </c>
    </row>
    <row r="384">
      <c r="A384" s="4" t="s">
        <v>605</v>
      </c>
      <c r="B384" s="3">
        <v>3000.0</v>
      </c>
      <c r="C384" s="3" t="s">
        <v>29</v>
      </c>
    </row>
    <row r="385">
      <c r="A385" s="4" t="s">
        <v>606</v>
      </c>
      <c r="B385" s="3">
        <v>3000.0</v>
      </c>
      <c r="C385" s="3" t="s">
        <v>484</v>
      </c>
    </row>
    <row r="386">
      <c r="A386" s="4" t="s">
        <v>607</v>
      </c>
      <c r="B386" s="3">
        <v>30500.0</v>
      </c>
      <c r="C386" s="3" t="s">
        <v>32</v>
      </c>
    </row>
    <row r="387">
      <c r="A387" s="4" t="s">
        <v>609</v>
      </c>
      <c r="B387" s="3">
        <v>3500.0</v>
      </c>
      <c r="C387" s="3" t="s">
        <v>29</v>
      </c>
    </row>
    <row r="388">
      <c r="A388" s="4" t="s">
        <v>610</v>
      </c>
      <c r="B388" s="3">
        <v>0.0</v>
      </c>
      <c r="C388" s="3" t="s">
        <v>6</v>
      </c>
    </row>
    <row r="389">
      <c r="A389" s="4" t="s">
        <v>611</v>
      </c>
      <c r="B389" s="3">
        <v>2500.0</v>
      </c>
      <c r="C389" s="4"/>
    </row>
    <row r="390">
      <c r="A390" s="4" t="s">
        <v>612</v>
      </c>
      <c r="B390" s="3">
        <v>0.0</v>
      </c>
      <c r="C390" s="3" t="s">
        <v>6</v>
      </c>
    </row>
    <row r="391">
      <c r="A391" s="4" t="s">
        <v>613</v>
      </c>
      <c r="B391" s="3">
        <v>0.0</v>
      </c>
      <c r="C391" s="3" t="s">
        <v>3</v>
      </c>
    </row>
    <row r="392">
      <c r="A392" s="4" t="s">
        <v>614</v>
      </c>
      <c r="B392" s="3">
        <v>1500.0</v>
      </c>
      <c r="C392" s="4"/>
    </row>
    <row r="393">
      <c r="A393" s="4" t="s">
        <v>615</v>
      </c>
      <c r="B393" s="3">
        <v>0.0</v>
      </c>
      <c r="C393" s="3" t="s">
        <v>3</v>
      </c>
    </row>
    <row r="394">
      <c r="A394" s="4" t="s">
        <v>616</v>
      </c>
      <c r="B394" s="3">
        <v>0.0</v>
      </c>
      <c r="C394" s="3" t="s">
        <v>3</v>
      </c>
    </row>
    <row r="395">
      <c r="A395" s="4" t="s">
        <v>617</v>
      </c>
      <c r="B395" s="3">
        <v>0.0</v>
      </c>
      <c r="C395" s="3" t="s">
        <v>3</v>
      </c>
    </row>
    <row r="396">
      <c r="A396" s="4" t="s">
        <v>618</v>
      </c>
      <c r="B396" s="3">
        <v>0.0</v>
      </c>
      <c r="C396" s="3" t="s">
        <v>3</v>
      </c>
    </row>
    <row r="397">
      <c r="A397" s="4" t="s">
        <v>619</v>
      </c>
      <c r="B397" s="3">
        <v>0.0</v>
      </c>
      <c r="C397" s="3" t="s">
        <v>3</v>
      </c>
    </row>
    <row r="398">
      <c r="A398" s="4" t="s">
        <v>620</v>
      </c>
      <c r="B398" s="3">
        <v>0.0</v>
      </c>
      <c r="C398" s="3" t="s">
        <v>6</v>
      </c>
    </row>
    <row r="399">
      <c r="A399" s="4" t="s">
        <v>621</v>
      </c>
      <c r="B399" s="3">
        <v>1500.0</v>
      </c>
      <c r="C399" s="3" t="s">
        <v>32</v>
      </c>
    </row>
    <row r="400">
      <c r="A400" s="4" t="s">
        <v>622</v>
      </c>
      <c r="B400" s="3">
        <v>8000.0</v>
      </c>
      <c r="C400" s="3" t="s">
        <v>32</v>
      </c>
    </row>
    <row r="401">
      <c r="A401" s="4" t="s">
        <v>624</v>
      </c>
      <c r="B401" s="3">
        <v>0.0</v>
      </c>
      <c r="C401" s="3" t="s">
        <v>3</v>
      </c>
    </row>
    <row r="402">
      <c r="A402" s="4" t="s">
        <v>2190</v>
      </c>
      <c r="B402" s="3">
        <v>13600.0</v>
      </c>
      <c r="C402" s="3" t="s">
        <v>37</v>
      </c>
    </row>
    <row r="403">
      <c r="A403" s="4" t="s">
        <v>627</v>
      </c>
      <c r="B403" s="3">
        <v>0.0</v>
      </c>
      <c r="C403" s="3" t="s">
        <v>3</v>
      </c>
    </row>
    <row r="404">
      <c r="A404" s="4" t="s">
        <v>628</v>
      </c>
      <c r="B404" s="3">
        <v>35895.0</v>
      </c>
      <c r="C404" s="3" t="s">
        <v>484</v>
      </c>
    </row>
    <row r="405">
      <c r="A405" s="4" t="s">
        <v>630</v>
      </c>
      <c r="B405" s="3">
        <v>2500.0</v>
      </c>
      <c r="C405" s="4"/>
    </row>
    <row r="406">
      <c r="A406" s="4" t="s">
        <v>631</v>
      </c>
      <c r="B406" s="3">
        <v>1000.0</v>
      </c>
      <c r="C406" s="4"/>
    </row>
    <row r="407">
      <c r="A407" s="4" t="s">
        <v>632</v>
      </c>
      <c r="B407" s="3">
        <v>0.0</v>
      </c>
      <c r="C407" s="3" t="s">
        <v>3</v>
      </c>
    </row>
    <row r="408">
      <c r="A408" s="4" t="s">
        <v>633</v>
      </c>
      <c r="B408" s="3">
        <v>8500.0</v>
      </c>
      <c r="C408" s="3" t="s">
        <v>3</v>
      </c>
    </row>
    <row r="409">
      <c r="A409" s="4" t="s">
        <v>635</v>
      </c>
      <c r="B409" s="3">
        <v>1000.0</v>
      </c>
      <c r="C409" s="3" t="s">
        <v>32</v>
      </c>
    </row>
    <row r="410">
      <c r="A410" s="4" t="s">
        <v>636</v>
      </c>
      <c r="B410" s="3">
        <v>2500.0</v>
      </c>
      <c r="C410" s="3" t="s">
        <v>6</v>
      </c>
    </row>
    <row r="411">
      <c r="A411" s="4" t="s">
        <v>2191</v>
      </c>
      <c r="B411" s="3">
        <v>0.0</v>
      </c>
      <c r="C411" s="3" t="s">
        <v>37</v>
      </c>
    </row>
    <row r="412">
      <c r="A412" s="4" t="s">
        <v>638</v>
      </c>
      <c r="B412" s="3">
        <v>0.0</v>
      </c>
      <c r="C412" s="3" t="s">
        <v>3</v>
      </c>
    </row>
    <row r="413">
      <c r="A413" s="4" t="s">
        <v>639</v>
      </c>
      <c r="B413" s="3">
        <v>21600.0</v>
      </c>
      <c r="C413" s="3" t="s">
        <v>3</v>
      </c>
    </row>
    <row r="414">
      <c r="A414" s="4" t="s">
        <v>2192</v>
      </c>
      <c r="B414" s="3">
        <v>223734.0</v>
      </c>
      <c r="C414" s="3" t="s">
        <v>37</v>
      </c>
    </row>
    <row r="415">
      <c r="A415" s="4" t="s">
        <v>643</v>
      </c>
      <c r="B415" s="3">
        <v>3000.0</v>
      </c>
      <c r="C415" s="3" t="s">
        <v>29</v>
      </c>
    </row>
    <row r="416">
      <c r="A416" s="4" t="s">
        <v>644</v>
      </c>
      <c r="B416" s="3">
        <v>0.0</v>
      </c>
      <c r="C416" s="3" t="s">
        <v>3</v>
      </c>
    </row>
    <row r="417">
      <c r="A417" s="4" t="s">
        <v>645</v>
      </c>
      <c r="B417" s="3">
        <v>30000.0</v>
      </c>
      <c r="C417" s="4"/>
    </row>
    <row r="418">
      <c r="A418" s="4" t="s">
        <v>646</v>
      </c>
      <c r="B418" s="3">
        <v>198775.0</v>
      </c>
      <c r="C418" s="3" t="s">
        <v>6</v>
      </c>
    </row>
    <row r="419">
      <c r="A419" s="4" t="s">
        <v>648</v>
      </c>
      <c r="B419" s="3">
        <v>339500.0</v>
      </c>
      <c r="C419" s="3" t="s">
        <v>16</v>
      </c>
    </row>
    <row r="420">
      <c r="A420" s="4" t="s">
        <v>650</v>
      </c>
      <c r="B420" s="3">
        <v>1000.0</v>
      </c>
      <c r="C420" s="4"/>
    </row>
    <row r="421">
      <c r="A421" s="4" t="s">
        <v>651</v>
      </c>
      <c r="B421" s="3">
        <v>0.0</v>
      </c>
      <c r="C421" s="3" t="s">
        <v>3</v>
      </c>
    </row>
    <row r="422">
      <c r="A422" s="4" t="s">
        <v>652</v>
      </c>
      <c r="B422" s="3">
        <v>3700.0</v>
      </c>
      <c r="C422" s="3" t="s">
        <v>29</v>
      </c>
    </row>
    <row r="423">
      <c r="A423" s="4" t="s">
        <v>654</v>
      </c>
      <c r="B423" s="3">
        <v>0.0</v>
      </c>
      <c r="C423" s="3" t="s">
        <v>29</v>
      </c>
    </row>
    <row r="424">
      <c r="A424" s="4" t="s">
        <v>655</v>
      </c>
      <c r="B424" s="3">
        <v>80000.0</v>
      </c>
      <c r="C424" s="3" t="s">
        <v>29</v>
      </c>
    </row>
    <row r="425">
      <c r="A425" s="4" t="s">
        <v>2193</v>
      </c>
      <c r="B425" s="3">
        <v>0.0</v>
      </c>
      <c r="C425" s="3" t="s">
        <v>32</v>
      </c>
    </row>
    <row r="426">
      <c r="A426" s="4" t="s">
        <v>659</v>
      </c>
      <c r="B426" s="3">
        <v>7000.0</v>
      </c>
      <c r="C426" s="3" t="s">
        <v>6</v>
      </c>
    </row>
    <row r="427">
      <c r="A427" s="4" t="s">
        <v>660</v>
      </c>
      <c r="B427" s="3">
        <v>300.0</v>
      </c>
      <c r="C427" s="4"/>
    </row>
    <row r="428">
      <c r="A428" s="4" t="s">
        <v>661</v>
      </c>
      <c r="B428" s="3">
        <v>0.0</v>
      </c>
      <c r="C428" s="3" t="s">
        <v>29</v>
      </c>
    </row>
    <row r="429">
      <c r="A429" s="4" t="s">
        <v>662</v>
      </c>
      <c r="B429" s="3">
        <v>500.0</v>
      </c>
      <c r="C429" s="4"/>
    </row>
    <row r="430">
      <c r="A430" s="4" t="s">
        <v>663</v>
      </c>
      <c r="B430" s="3">
        <v>14500.0</v>
      </c>
      <c r="C430" s="3" t="s">
        <v>176</v>
      </c>
    </row>
    <row r="431">
      <c r="A431" s="4" t="s">
        <v>665</v>
      </c>
      <c r="B431" s="3">
        <v>600.0</v>
      </c>
      <c r="C431" s="3" t="s">
        <v>6</v>
      </c>
    </row>
    <row r="432">
      <c r="A432" s="4" t="s">
        <v>666</v>
      </c>
      <c r="B432" s="3">
        <v>21000.0</v>
      </c>
      <c r="C432" s="4"/>
    </row>
    <row r="433">
      <c r="A433" s="4" t="s">
        <v>667</v>
      </c>
      <c r="B433" s="3">
        <v>0.0</v>
      </c>
      <c r="C433" s="3" t="s">
        <v>668</v>
      </c>
    </row>
    <row r="434">
      <c r="A434" s="4" t="s">
        <v>669</v>
      </c>
      <c r="B434" s="3">
        <v>28000.0</v>
      </c>
      <c r="C434" s="3" t="s">
        <v>3</v>
      </c>
    </row>
    <row r="435">
      <c r="A435" s="4" t="s">
        <v>671</v>
      </c>
      <c r="B435" s="3">
        <v>0.0</v>
      </c>
      <c r="C435" s="3" t="s">
        <v>32</v>
      </c>
    </row>
    <row r="436">
      <c r="A436" s="4" t="s">
        <v>672</v>
      </c>
      <c r="B436" s="3">
        <v>0.0</v>
      </c>
      <c r="C436" s="3" t="s">
        <v>3</v>
      </c>
    </row>
    <row r="437">
      <c r="A437" s="4" t="s">
        <v>673</v>
      </c>
      <c r="B437" s="3">
        <v>0.0</v>
      </c>
      <c r="C437" s="3" t="s">
        <v>29</v>
      </c>
    </row>
    <row r="438">
      <c r="A438" s="4" t="s">
        <v>674</v>
      </c>
      <c r="B438" s="3">
        <v>1000.0</v>
      </c>
      <c r="C438" s="3" t="s">
        <v>3</v>
      </c>
    </row>
    <row r="439">
      <c r="A439" s="4" t="s">
        <v>675</v>
      </c>
      <c r="B439" s="3">
        <v>4000.0</v>
      </c>
      <c r="C439" s="3" t="s">
        <v>484</v>
      </c>
    </row>
    <row r="440">
      <c r="A440" s="4" t="s">
        <v>676</v>
      </c>
      <c r="B440" s="3">
        <v>3200.0</v>
      </c>
      <c r="C440" s="3" t="s">
        <v>3</v>
      </c>
    </row>
    <row r="441">
      <c r="A441" s="4" t="s">
        <v>677</v>
      </c>
      <c r="B441" s="3">
        <v>0.0</v>
      </c>
      <c r="C441" s="3" t="s">
        <v>3</v>
      </c>
    </row>
    <row r="442">
      <c r="A442" s="4" t="s">
        <v>678</v>
      </c>
      <c r="B442" s="3">
        <v>0.0</v>
      </c>
      <c r="C442" s="3" t="s">
        <v>32</v>
      </c>
    </row>
    <row r="443">
      <c r="A443" s="4" t="s">
        <v>679</v>
      </c>
      <c r="B443" s="3">
        <v>283000.0</v>
      </c>
      <c r="C443" s="4"/>
    </row>
    <row r="444">
      <c r="A444" s="4" t="s">
        <v>681</v>
      </c>
      <c r="B444" s="3">
        <v>5000.0</v>
      </c>
      <c r="C444" s="4"/>
    </row>
    <row r="445">
      <c r="A445" s="4" t="s">
        <v>682</v>
      </c>
      <c r="B445" s="3">
        <v>0.0</v>
      </c>
      <c r="C445" s="3" t="s">
        <v>26</v>
      </c>
    </row>
    <row r="446">
      <c r="A446" s="4" t="s">
        <v>683</v>
      </c>
      <c r="B446" s="3">
        <v>11500.0</v>
      </c>
      <c r="C446" s="3" t="s">
        <v>29</v>
      </c>
    </row>
    <row r="447">
      <c r="A447" s="4" t="s">
        <v>685</v>
      </c>
      <c r="B447" s="3">
        <v>0.0</v>
      </c>
      <c r="C447" s="3" t="s">
        <v>6</v>
      </c>
    </row>
    <row r="448">
      <c r="A448" s="4" t="s">
        <v>2194</v>
      </c>
      <c r="B448" s="3">
        <v>4000.0</v>
      </c>
      <c r="C448" s="3" t="s">
        <v>580</v>
      </c>
    </row>
    <row r="449">
      <c r="A449" s="4" t="s">
        <v>687</v>
      </c>
      <c r="B449" s="3">
        <v>15000.0</v>
      </c>
      <c r="C449" s="3" t="s">
        <v>6</v>
      </c>
    </row>
    <row r="450">
      <c r="A450" s="4" t="s">
        <v>688</v>
      </c>
      <c r="B450" s="3">
        <v>0.0</v>
      </c>
      <c r="C450" s="3" t="s">
        <v>6</v>
      </c>
    </row>
    <row r="451">
      <c r="A451" s="4" t="s">
        <v>689</v>
      </c>
      <c r="B451" s="3">
        <v>800.0</v>
      </c>
      <c r="C451" s="3" t="s">
        <v>32</v>
      </c>
    </row>
    <row r="452">
      <c r="A452" s="4" t="s">
        <v>690</v>
      </c>
      <c r="B452" s="3">
        <v>0.0</v>
      </c>
      <c r="C452" s="3" t="s">
        <v>29</v>
      </c>
    </row>
    <row r="453">
      <c r="A453" s="4" t="s">
        <v>2195</v>
      </c>
      <c r="B453" s="3">
        <v>400.0</v>
      </c>
      <c r="C453" s="3" t="s">
        <v>3</v>
      </c>
    </row>
    <row r="454">
      <c r="A454" s="4" t="s">
        <v>693</v>
      </c>
      <c r="B454" s="3">
        <v>0.0</v>
      </c>
      <c r="C454" s="3" t="s">
        <v>3</v>
      </c>
    </row>
    <row r="455">
      <c r="A455" s="4" t="s">
        <v>694</v>
      </c>
      <c r="B455" s="3">
        <v>0.0</v>
      </c>
      <c r="C455" s="3" t="s">
        <v>6</v>
      </c>
    </row>
    <row r="456">
      <c r="A456" s="4" t="s">
        <v>695</v>
      </c>
      <c r="B456" s="3">
        <v>0.0</v>
      </c>
      <c r="C456" s="3" t="s">
        <v>3</v>
      </c>
    </row>
    <row r="457">
      <c r="A457" s="4" t="s">
        <v>696</v>
      </c>
      <c r="B457" s="3">
        <v>0.0</v>
      </c>
      <c r="C457" s="3" t="s">
        <v>3</v>
      </c>
    </row>
    <row r="458">
      <c r="A458" s="4" t="s">
        <v>697</v>
      </c>
      <c r="B458" s="3">
        <v>115000.0</v>
      </c>
      <c r="C458" s="4"/>
    </row>
    <row r="459">
      <c r="A459" s="4" t="s">
        <v>699</v>
      </c>
      <c r="B459" s="3">
        <v>0.0</v>
      </c>
      <c r="C459" s="3" t="s">
        <v>3</v>
      </c>
    </row>
    <row r="460">
      <c r="A460" s="4" t="s">
        <v>700</v>
      </c>
      <c r="B460" s="3">
        <v>1080.0</v>
      </c>
      <c r="C460" s="4"/>
    </row>
    <row r="461">
      <c r="A461" s="4" t="s">
        <v>702</v>
      </c>
      <c r="B461" s="3">
        <v>7300.0</v>
      </c>
      <c r="C461" s="3" t="s">
        <v>32</v>
      </c>
    </row>
    <row r="462">
      <c r="A462" s="4" t="s">
        <v>704</v>
      </c>
      <c r="B462" s="3">
        <v>2000.0</v>
      </c>
      <c r="C462" s="4"/>
    </row>
    <row r="463">
      <c r="A463" s="4" t="s">
        <v>705</v>
      </c>
      <c r="B463" s="3">
        <v>900.0</v>
      </c>
      <c r="C463" s="4"/>
    </row>
    <row r="464">
      <c r="A464" s="4" t="s">
        <v>2196</v>
      </c>
      <c r="B464" s="3">
        <v>0.0</v>
      </c>
      <c r="C464" s="3" t="s">
        <v>3</v>
      </c>
    </row>
    <row r="465">
      <c r="A465" s="4" t="s">
        <v>709</v>
      </c>
      <c r="B465" s="3">
        <v>0.0</v>
      </c>
      <c r="C465" s="3" t="s">
        <v>29</v>
      </c>
    </row>
    <row r="466">
      <c r="A466" s="4" t="s">
        <v>710</v>
      </c>
      <c r="B466" s="3">
        <v>0.0</v>
      </c>
      <c r="C466" s="3" t="s">
        <v>6</v>
      </c>
    </row>
    <row r="467">
      <c r="A467" s="4" t="s">
        <v>711</v>
      </c>
      <c r="B467" s="3">
        <v>0.0</v>
      </c>
      <c r="C467" s="3" t="s">
        <v>3</v>
      </c>
    </row>
    <row r="468">
      <c r="A468" s="4" t="s">
        <v>712</v>
      </c>
      <c r="B468" s="3">
        <v>81568.0</v>
      </c>
      <c r="C468" s="4"/>
    </row>
    <row r="469">
      <c r="A469" s="4" t="s">
        <v>714</v>
      </c>
      <c r="B469" s="3">
        <v>0.0</v>
      </c>
      <c r="C469" s="3" t="s">
        <v>6</v>
      </c>
    </row>
    <row r="470">
      <c r="A470" s="4" t="s">
        <v>715</v>
      </c>
      <c r="B470" s="3">
        <v>15000.0</v>
      </c>
      <c r="C470" s="4"/>
    </row>
    <row r="471">
      <c r="A471" s="4" t="s">
        <v>716</v>
      </c>
      <c r="B471" s="3">
        <v>3000.0</v>
      </c>
      <c r="C471" s="3" t="s">
        <v>32</v>
      </c>
    </row>
    <row r="472">
      <c r="A472" s="4" t="s">
        <v>717</v>
      </c>
      <c r="B472" s="3">
        <v>5750.0</v>
      </c>
      <c r="C472" s="3" t="s">
        <v>3</v>
      </c>
    </row>
    <row r="473">
      <c r="A473" s="4" t="s">
        <v>719</v>
      </c>
      <c r="B473" s="3">
        <v>0.0</v>
      </c>
      <c r="C473" s="3" t="s">
        <v>29</v>
      </c>
    </row>
    <row r="474">
      <c r="A474" s="4" t="s">
        <v>720</v>
      </c>
      <c r="B474" s="3">
        <v>2000.0</v>
      </c>
      <c r="C474" s="4"/>
    </row>
    <row r="475">
      <c r="A475" s="4" t="s">
        <v>721</v>
      </c>
      <c r="B475" s="3">
        <v>0.0</v>
      </c>
      <c r="C475" s="3" t="s">
        <v>3</v>
      </c>
    </row>
    <row r="476">
      <c r="A476" s="4" t="s">
        <v>722</v>
      </c>
      <c r="B476" s="3">
        <v>11620.0</v>
      </c>
      <c r="C476" s="4"/>
    </row>
    <row r="477">
      <c r="A477" s="4" t="s">
        <v>724</v>
      </c>
      <c r="B477" s="3">
        <v>0.0</v>
      </c>
      <c r="C477" s="3" t="s">
        <v>29</v>
      </c>
    </row>
    <row r="478">
      <c r="A478" s="4" t="s">
        <v>725</v>
      </c>
      <c r="B478" s="3">
        <v>30000.0</v>
      </c>
      <c r="C478" s="3" t="s">
        <v>6</v>
      </c>
    </row>
    <row r="479">
      <c r="A479" s="4" t="s">
        <v>2197</v>
      </c>
      <c r="B479" s="3">
        <v>10000.0</v>
      </c>
      <c r="C479" s="3" t="s">
        <v>3</v>
      </c>
    </row>
    <row r="480">
      <c r="A480" s="4" t="s">
        <v>728</v>
      </c>
      <c r="B480" s="3">
        <v>0.0</v>
      </c>
      <c r="C480" s="3" t="s">
        <v>3</v>
      </c>
    </row>
    <row r="481">
      <c r="A481" s="4" t="s">
        <v>729</v>
      </c>
      <c r="B481" s="3">
        <v>49000.0</v>
      </c>
      <c r="C481" s="3" t="s">
        <v>32</v>
      </c>
    </row>
    <row r="482">
      <c r="A482" s="4" t="s">
        <v>731</v>
      </c>
      <c r="B482" s="3">
        <v>0.0</v>
      </c>
      <c r="C482" s="3" t="s">
        <v>3</v>
      </c>
    </row>
    <row r="483">
      <c r="A483" s="4" t="s">
        <v>2198</v>
      </c>
      <c r="B483" s="3">
        <v>7000.0</v>
      </c>
      <c r="C483" s="4"/>
    </row>
    <row r="484">
      <c r="A484" s="4" t="s">
        <v>2199</v>
      </c>
      <c r="B484" s="3">
        <v>0.0</v>
      </c>
      <c r="C484" s="3" t="s">
        <v>3</v>
      </c>
    </row>
    <row r="485">
      <c r="A485" s="4" t="s">
        <v>736</v>
      </c>
      <c r="B485" s="3">
        <v>0.0</v>
      </c>
      <c r="C485" s="3" t="s">
        <v>3</v>
      </c>
    </row>
    <row r="486">
      <c r="A486" s="4" t="s">
        <v>2200</v>
      </c>
      <c r="B486" s="3">
        <v>11500.0</v>
      </c>
      <c r="C486" s="3" t="s">
        <v>3</v>
      </c>
    </row>
    <row r="487">
      <c r="A487" s="4" t="s">
        <v>2201</v>
      </c>
      <c r="B487" s="3">
        <v>0.0</v>
      </c>
      <c r="C487" s="3" t="s">
        <v>3</v>
      </c>
    </row>
    <row r="488">
      <c r="A488" s="4" t="s">
        <v>2202</v>
      </c>
      <c r="B488" s="3">
        <v>1300.0</v>
      </c>
      <c r="C488" s="3" t="s">
        <v>3</v>
      </c>
    </row>
    <row r="489">
      <c r="A489" s="4" t="s">
        <v>744</v>
      </c>
      <c r="B489" s="3">
        <v>0.0</v>
      </c>
      <c r="C489" s="3" t="s">
        <v>3</v>
      </c>
    </row>
    <row r="490">
      <c r="A490" s="4" t="s">
        <v>745</v>
      </c>
      <c r="B490" s="3">
        <v>8200.0</v>
      </c>
      <c r="C490" s="3" t="s">
        <v>3</v>
      </c>
    </row>
    <row r="491">
      <c r="A491" s="4" t="s">
        <v>747</v>
      </c>
      <c r="B491" s="3">
        <v>0.0</v>
      </c>
      <c r="C491" s="3" t="s">
        <v>3</v>
      </c>
    </row>
    <row r="492">
      <c r="A492" s="4" t="s">
        <v>748</v>
      </c>
      <c r="B492" s="3">
        <v>0.0</v>
      </c>
      <c r="C492" s="3" t="s">
        <v>32</v>
      </c>
    </row>
    <row r="493">
      <c r="A493" s="4" t="s">
        <v>749</v>
      </c>
      <c r="B493" s="3">
        <v>0.0</v>
      </c>
      <c r="C493" s="3" t="s">
        <v>6</v>
      </c>
    </row>
    <row r="494">
      <c r="A494" s="4" t="s">
        <v>750</v>
      </c>
      <c r="B494" s="3">
        <v>1000.0</v>
      </c>
      <c r="C494" s="4"/>
    </row>
    <row r="495">
      <c r="A495" s="4" t="s">
        <v>751</v>
      </c>
      <c r="B495" s="3">
        <v>20500.0</v>
      </c>
      <c r="C495" s="3" t="s">
        <v>280</v>
      </c>
    </row>
    <row r="496">
      <c r="A496" s="4" t="s">
        <v>2203</v>
      </c>
      <c r="B496" s="3">
        <v>0.0</v>
      </c>
      <c r="C496" s="3" t="s">
        <v>3</v>
      </c>
    </row>
    <row r="497">
      <c r="A497" s="4" t="s">
        <v>755</v>
      </c>
      <c r="B497" s="3">
        <v>7000.0</v>
      </c>
      <c r="C497" s="3" t="s">
        <v>3</v>
      </c>
    </row>
    <row r="498">
      <c r="A498" s="4" t="s">
        <v>756</v>
      </c>
      <c r="B498" s="3">
        <v>10000.0</v>
      </c>
      <c r="C498" s="4"/>
    </row>
    <row r="499">
      <c r="A499" s="4" t="s">
        <v>757</v>
      </c>
      <c r="B499" s="3">
        <v>14800.0</v>
      </c>
      <c r="C499" s="4"/>
    </row>
    <row r="500">
      <c r="A500" s="4" t="s">
        <v>2204</v>
      </c>
      <c r="B500" s="3">
        <v>461165.0</v>
      </c>
      <c r="C500" s="3" t="s">
        <v>37</v>
      </c>
    </row>
    <row r="501">
      <c r="A501" s="4" t="s">
        <v>761</v>
      </c>
      <c r="B501" s="3">
        <v>2500.0</v>
      </c>
      <c r="C501" s="4"/>
    </row>
    <row r="502">
      <c r="A502" s="4" t="s">
        <v>762</v>
      </c>
      <c r="B502" s="3">
        <v>0.0</v>
      </c>
      <c r="C502" s="3" t="s">
        <v>3</v>
      </c>
    </row>
    <row r="503">
      <c r="A503" s="4" t="s">
        <v>763</v>
      </c>
      <c r="B503" s="3">
        <v>0.0</v>
      </c>
      <c r="C503" s="3" t="s">
        <v>3</v>
      </c>
    </row>
    <row r="504">
      <c r="A504" s="4" t="s">
        <v>764</v>
      </c>
      <c r="B504" s="3">
        <v>150.0</v>
      </c>
      <c r="C504" s="3" t="s">
        <v>3</v>
      </c>
    </row>
    <row r="505">
      <c r="A505" s="4" t="s">
        <v>766</v>
      </c>
      <c r="B505" s="3">
        <v>0.0</v>
      </c>
      <c r="C505" s="3" t="s">
        <v>3</v>
      </c>
    </row>
    <row r="506">
      <c r="A506" s="4" t="s">
        <v>767</v>
      </c>
      <c r="B506" s="3">
        <v>0.0</v>
      </c>
      <c r="C506" s="3" t="s">
        <v>3</v>
      </c>
    </row>
    <row r="507">
      <c r="A507" s="4" t="s">
        <v>768</v>
      </c>
      <c r="B507" s="3">
        <v>0.0</v>
      </c>
      <c r="C507" s="3" t="s">
        <v>3</v>
      </c>
    </row>
    <row r="508">
      <c r="A508" s="4" t="s">
        <v>769</v>
      </c>
      <c r="B508" s="3">
        <v>0.0</v>
      </c>
      <c r="C508" s="3" t="s">
        <v>3</v>
      </c>
    </row>
    <row r="509">
      <c r="A509" s="4" t="s">
        <v>770</v>
      </c>
      <c r="B509" s="3">
        <v>0.0</v>
      </c>
      <c r="C509" s="3" t="s">
        <v>3</v>
      </c>
    </row>
    <row r="510">
      <c r="A510" s="4" t="s">
        <v>771</v>
      </c>
      <c r="B510" s="3">
        <v>0.0</v>
      </c>
      <c r="C510" s="3" t="s">
        <v>3</v>
      </c>
    </row>
    <row r="511">
      <c r="A511" s="4" t="s">
        <v>772</v>
      </c>
      <c r="B511" s="3">
        <v>0.0</v>
      </c>
      <c r="C511" s="3" t="s">
        <v>3</v>
      </c>
    </row>
    <row r="512">
      <c r="A512" s="4" t="s">
        <v>773</v>
      </c>
      <c r="B512" s="3">
        <v>0.0</v>
      </c>
      <c r="C512" s="3" t="s">
        <v>3</v>
      </c>
    </row>
    <row r="513">
      <c r="A513" s="4" t="s">
        <v>774</v>
      </c>
      <c r="B513" s="3">
        <v>57500.0</v>
      </c>
      <c r="C513" s="3" t="s">
        <v>280</v>
      </c>
    </row>
    <row r="514">
      <c r="A514" s="4" t="s">
        <v>2205</v>
      </c>
      <c r="B514" s="3">
        <v>0.0</v>
      </c>
      <c r="C514" s="3" t="s">
        <v>3</v>
      </c>
    </row>
    <row r="515">
      <c r="A515" s="4" t="s">
        <v>778</v>
      </c>
      <c r="B515" s="3">
        <v>800.0</v>
      </c>
      <c r="C515" s="3" t="s">
        <v>32</v>
      </c>
    </row>
    <row r="516">
      <c r="A516" s="4" t="s">
        <v>779</v>
      </c>
      <c r="B516" s="3">
        <v>800.0</v>
      </c>
      <c r="C516" s="4"/>
    </row>
    <row r="517">
      <c r="A517" s="4" t="s">
        <v>780</v>
      </c>
      <c r="B517" s="3">
        <v>2000.0</v>
      </c>
      <c r="C517" s="4"/>
    </row>
    <row r="518">
      <c r="A518" s="4" t="s">
        <v>781</v>
      </c>
      <c r="B518" s="3">
        <v>0.0</v>
      </c>
      <c r="C518" s="3" t="s">
        <v>6</v>
      </c>
    </row>
    <row r="519">
      <c r="A519" s="4" t="s">
        <v>782</v>
      </c>
      <c r="B519" s="3">
        <v>0.0</v>
      </c>
      <c r="C519" s="3" t="s">
        <v>3</v>
      </c>
    </row>
    <row r="520">
      <c r="A520" s="4" t="s">
        <v>783</v>
      </c>
      <c r="B520" s="3">
        <v>0.0</v>
      </c>
      <c r="C520" s="3" t="s">
        <v>29</v>
      </c>
    </row>
    <row r="521">
      <c r="A521" s="4" t="s">
        <v>784</v>
      </c>
      <c r="B521" s="3">
        <v>1500.0</v>
      </c>
      <c r="C521" s="4"/>
    </row>
    <row r="522">
      <c r="A522" s="4" t="s">
        <v>785</v>
      </c>
      <c r="B522" s="3">
        <v>3000.0</v>
      </c>
      <c r="C522" s="4"/>
    </row>
    <row r="523">
      <c r="A523" s="4" t="s">
        <v>786</v>
      </c>
      <c r="B523" s="3">
        <v>32500.0</v>
      </c>
      <c r="C523" s="4"/>
    </row>
    <row r="524">
      <c r="A524" s="4" t="s">
        <v>788</v>
      </c>
      <c r="B524" s="3">
        <v>3000.0</v>
      </c>
      <c r="C524" s="3" t="s">
        <v>3</v>
      </c>
    </row>
    <row r="525">
      <c r="A525" s="4" t="s">
        <v>789</v>
      </c>
      <c r="B525" s="3">
        <v>0.0</v>
      </c>
      <c r="C525" s="3" t="s">
        <v>3</v>
      </c>
    </row>
    <row r="526">
      <c r="A526" s="4" t="s">
        <v>790</v>
      </c>
      <c r="B526" s="3">
        <v>19000.0</v>
      </c>
      <c r="C526" s="4"/>
    </row>
    <row r="527">
      <c r="A527" s="4" t="s">
        <v>791</v>
      </c>
      <c r="B527" s="3">
        <v>0.0</v>
      </c>
      <c r="C527" s="3" t="s">
        <v>3</v>
      </c>
    </row>
    <row r="528">
      <c r="A528" s="4" t="s">
        <v>792</v>
      </c>
      <c r="B528" s="3">
        <v>0.0</v>
      </c>
      <c r="C528" s="3" t="s">
        <v>3</v>
      </c>
    </row>
    <row r="529">
      <c r="A529" s="4" t="s">
        <v>793</v>
      </c>
      <c r="B529" s="3">
        <v>6000.0</v>
      </c>
      <c r="C529" s="4"/>
    </row>
    <row r="530">
      <c r="A530" s="4" t="s">
        <v>794</v>
      </c>
      <c r="B530" s="3">
        <v>0.0</v>
      </c>
      <c r="C530" s="3" t="s">
        <v>3</v>
      </c>
    </row>
    <row r="531">
      <c r="A531" s="4" t="s">
        <v>795</v>
      </c>
      <c r="B531" s="3">
        <v>0.0</v>
      </c>
      <c r="C531" s="3" t="s">
        <v>3</v>
      </c>
    </row>
    <row r="532">
      <c r="A532" s="4" t="s">
        <v>796</v>
      </c>
      <c r="B532" s="3">
        <v>0.0</v>
      </c>
      <c r="C532" s="3" t="s">
        <v>3</v>
      </c>
    </row>
    <row r="533">
      <c r="A533" s="4" t="s">
        <v>797</v>
      </c>
      <c r="B533" s="3">
        <v>3000.0</v>
      </c>
      <c r="C533" s="3" t="s">
        <v>32</v>
      </c>
    </row>
    <row r="534">
      <c r="A534" s="4" t="s">
        <v>798</v>
      </c>
      <c r="B534" s="3">
        <v>0.0</v>
      </c>
      <c r="C534" s="3" t="s">
        <v>29</v>
      </c>
    </row>
    <row r="535">
      <c r="A535" s="4" t="s">
        <v>799</v>
      </c>
      <c r="B535" s="3">
        <v>0.0</v>
      </c>
      <c r="C535" s="3" t="s">
        <v>29</v>
      </c>
    </row>
    <row r="536">
      <c r="A536" s="4" t="s">
        <v>2206</v>
      </c>
      <c r="B536" s="3">
        <v>243834.0</v>
      </c>
      <c r="C536" s="3" t="s">
        <v>37</v>
      </c>
    </row>
    <row r="537">
      <c r="A537" s="4" t="s">
        <v>802</v>
      </c>
      <c r="B537" s="3">
        <v>0.0</v>
      </c>
      <c r="C537" s="3" t="s">
        <v>3</v>
      </c>
    </row>
    <row r="538">
      <c r="A538" s="4" t="s">
        <v>803</v>
      </c>
      <c r="B538" s="3">
        <v>0.0</v>
      </c>
      <c r="C538" s="3" t="s">
        <v>3</v>
      </c>
    </row>
    <row r="539">
      <c r="A539" s="4" t="s">
        <v>804</v>
      </c>
      <c r="B539" s="3">
        <v>0.0</v>
      </c>
      <c r="C539" s="3" t="s">
        <v>32</v>
      </c>
    </row>
    <row r="540">
      <c r="A540" s="4" t="s">
        <v>805</v>
      </c>
      <c r="B540" s="3">
        <v>0.0</v>
      </c>
      <c r="C540" s="3" t="s">
        <v>6</v>
      </c>
    </row>
    <row r="541">
      <c r="A541" s="4" t="s">
        <v>806</v>
      </c>
      <c r="B541" s="3">
        <v>1500.0</v>
      </c>
      <c r="C541" s="4"/>
    </row>
    <row r="542">
      <c r="A542" s="4" t="s">
        <v>807</v>
      </c>
      <c r="B542" s="3">
        <v>0.0</v>
      </c>
      <c r="C542" s="3" t="s">
        <v>484</v>
      </c>
    </row>
    <row r="543">
      <c r="A543" s="4" t="s">
        <v>808</v>
      </c>
      <c r="B543" s="3">
        <v>0.0</v>
      </c>
      <c r="C543" s="3" t="s">
        <v>6</v>
      </c>
    </row>
    <row r="544">
      <c r="A544" s="4" t="s">
        <v>809</v>
      </c>
      <c r="B544" s="3">
        <v>0.0</v>
      </c>
      <c r="C544" s="3" t="s">
        <v>29</v>
      </c>
    </row>
    <row r="545">
      <c r="A545" s="4" t="s">
        <v>810</v>
      </c>
      <c r="B545" s="3">
        <v>0.0</v>
      </c>
      <c r="C545" s="3" t="s">
        <v>32</v>
      </c>
    </row>
    <row r="546">
      <c r="A546" s="4" t="s">
        <v>811</v>
      </c>
      <c r="B546" s="3">
        <v>15800.0</v>
      </c>
      <c r="C546" s="3" t="s">
        <v>6</v>
      </c>
    </row>
    <row r="547">
      <c r="A547" s="4" t="s">
        <v>813</v>
      </c>
      <c r="B547" s="3">
        <v>1700.0</v>
      </c>
      <c r="C547" s="4"/>
    </row>
    <row r="548">
      <c r="A548" s="4" t="s">
        <v>814</v>
      </c>
      <c r="B548" s="3">
        <v>0.0</v>
      </c>
      <c r="C548" s="3" t="s">
        <v>3</v>
      </c>
    </row>
    <row r="549">
      <c r="A549" s="4" t="s">
        <v>815</v>
      </c>
      <c r="B549" s="3">
        <v>0.0</v>
      </c>
      <c r="C549" s="3" t="s">
        <v>3</v>
      </c>
    </row>
    <row r="550">
      <c r="A550" s="4" t="s">
        <v>816</v>
      </c>
      <c r="B550" s="3">
        <v>0.0</v>
      </c>
      <c r="C550" s="3" t="s">
        <v>3</v>
      </c>
    </row>
    <row r="551">
      <c r="A551" s="4" t="s">
        <v>817</v>
      </c>
      <c r="B551" s="3">
        <v>1000.0</v>
      </c>
      <c r="C551" s="3" t="s">
        <v>3</v>
      </c>
    </row>
    <row r="552">
      <c r="A552" s="4" t="s">
        <v>818</v>
      </c>
      <c r="B552" s="3">
        <v>0.0</v>
      </c>
      <c r="C552" s="3" t="s">
        <v>3</v>
      </c>
    </row>
    <row r="553">
      <c r="A553" s="4" t="s">
        <v>2207</v>
      </c>
      <c r="B553" s="3">
        <v>634600.0</v>
      </c>
      <c r="C553" s="3" t="s">
        <v>37</v>
      </c>
    </row>
    <row r="554">
      <c r="A554" s="4" t="s">
        <v>2208</v>
      </c>
      <c r="B554" s="3">
        <v>5000.0</v>
      </c>
      <c r="C554" s="4"/>
    </row>
    <row r="555">
      <c r="A555" s="4" t="s">
        <v>824</v>
      </c>
      <c r="B555" s="3">
        <v>8800.0</v>
      </c>
      <c r="C555" s="4"/>
    </row>
    <row r="556">
      <c r="A556" s="4" t="s">
        <v>826</v>
      </c>
      <c r="B556" s="3">
        <v>0.0</v>
      </c>
      <c r="C556" s="3" t="s">
        <v>668</v>
      </c>
    </row>
    <row r="557">
      <c r="A557" s="4" t="s">
        <v>2209</v>
      </c>
      <c r="B557" s="3">
        <v>0.0</v>
      </c>
      <c r="C557" s="3" t="s">
        <v>3</v>
      </c>
    </row>
    <row r="558">
      <c r="A558" s="4" t="s">
        <v>829</v>
      </c>
      <c r="B558" s="3">
        <v>0.0</v>
      </c>
      <c r="C558" s="3" t="s">
        <v>3</v>
      </c>
    </row>
    <row r="559">
      <c r="A559" s="4" t="s">
        <v>830</v>
      </c>
      <c r="B559" s="3">
        <v>0.0</v>
      </c>
      <c r="C559" s="3" t="s">
        <v>3</v>
      </c>
    </row>
    <row r="560">
      <c r="A560" s="4" t="s">
        <v>831</v>
      </c>
      <c r="B560" s="3">
        <v>100.0</v>
      </c>
      <c r="C560" s="3" t="s">
        <v>3</v>
      </c>
    </row>
    <row r="561">
      <c r="A561" s="4" t="s">
        <v>833</v>
      </c>
      <c r="B561" s="3">
        <v>500.0</v>
      </c>
      <c r="C561" s="4"/>
    </row>
    <row r="562">
      <c r="A562" s="4" t="s">
        <v>834</v>
      </c>
      <c r="B562" s="3">
        <v>28000.0</v>
      </c>
      <c r="C562" s="3" t="s">
        <v>6</v>
      </c>
    </row>
    <row r="563">
      <c r="A563" s="4" t="s">
        <v>2210</v>
      </c>
      <c r="B563" s="3">
        <v>0.0</v>
      </c>
      <c r="C563" s="3" t="s">
        <v>6</v>
      </c>
    </row>
    <row r="564">
      <c r="A564" s="4" t="s">
        <v>2211</v>
      </c>
      <c r="B564" s="3">
        <v>800.0</v>
      </c>
      <c r="C564" s="3" t="s">
        <v>3</v>
      </c>
    </row>
    <row r="565">
      <c r="A565" s="4" t="s">
        <v>839</v>
      </c>
      <c r="B565" s="3">
        <v>1000.0</v>
      </c>
      <c r="C565" s="3" t="s">
        <v>6</v>
      </c>
    </row>
    <row r="566">
      <c r="A566" s="4" t="s">
        <v>2212</v>
      </c>
      <c r="B566" s="3">
        <v>0.0</v>
      </c>
      <c r="C566" s="3" t="s">
        <v>3</v>
      </c>
    </row>
    <row r="567">
      <c r="A567" s="4" t="s">
        <v>842</v>
      </c>
      <c r="B567" s="3">
        <v>2500.0</v>
      </c>
      <c r="C567" s="4"/>
    </row>
    <row r="568">
      <c r="A568" s="4" t="s">
        <v>843</v>
      </c>
      <c r="B568" s="3">
        <v>2300.0</v>
      </c>
      <c r="C568" s="3" t="s">
        <v>32</v>
      </c>
    </row>
    <row r="569">
      <c r="A569" s="4" t="s">
        <v>845</v>
      </c>
      <c r="B569" s="3">
        <v>11000.0</v>
      </c>
      <c r="C569" s="4"/>
    </row>
    <row r="570">
      <c r="A570" s="4" t="s">
        <v>2213</v>
      </c>
      <c r="B570" s="3">
        <v>800.0</v>
      </c>
      <c r="C570" s="4"/>
    </row>
    <row r="571">
      <c r="A571" s="4" t="s">
        <v>847</v>
      </c>
      <c r="B571" s="3">
        <v>2000.0</v>
      </c>
      <c r="C571" s="4"/>
    </row>
    <row r="572">
      <c r="A572" s="4" t="s">
        <v>848</v>
      </c>
      <c r="B572" s="3">
        <v>0.0</v>
      </c>
      <c r="C572" s="3" t="s">
        <v>3</v>
      </c>
    </row>
    <row r="573">
      <c r="A573" s="4" t="s">
        <v>849</v>
      </c>
      <c r="B573" s="3">
        <v>0.0</v>
      </c>
      <c r="C573" s="3" t="s">
        <v>3</v>
      </c>
    </row>
    <row r="574">
      <c r="A574" s="4" t="s">
        <v>850</v>
      </c>
      <c r="B574" s="3">
        <v>0.0</v>
      </c>
      <c r="C574" s="3" t="s">
        <v>3</v>
      </c>
    </row>
    <row r="575">
      <c r="A575" s="4" t="s">
        <v>851</v>
      </c>
      <c r="B575" s="3">
        <v>1000.0</v>
      </c>
      <c r="C575" s="4"/>
    </row>
    <row r="576">
      <c r="A576" s="4" t="s">
        <v>852</v>
      </c>
      <c r="B576" s="3">
        <v>0.0</v>
      </c>
      <c r="C576" s="3" t="s">
        <v>3</v>
      </c>
    </row>
    <row r="577">
      <c r="A577" s="4" t="s">
        <v>853</v>
      </c>
      <c r="B577" s="3">
        <v>0.0</v>
      </c>
      <c r="C577" s="3" t="s">
        <v>32</v>
      </c>
    </row>
    <row r="578">
      <c r="A578" s="4" t="s">
        <v>854</v>
      </c>
      <c r="B578" s="3">
        <v>0.0</v>
      </c>
      <c r="C578" s="3" t="s">
        <v>3</v>
      </c>
    </row>
    <row r="579">
      <c r="A579" s="4" t="s">
        <v>2214</v>
      </c>
      <c r="B579" s="3">
        <v>0.0</v>
      </c>
      <c r="C579" s="3" t="s">
        <v>37</v>
      </c>
    </row>
    <row r="580">
      <c r="A580" s="4" t="s">
        <v>2215</v>
      </c>
      <c r="B580" s="3">
        <v>20500.0</v>
      </c>
      <c r="C580" s="3" t="s">
        <v>37</v>
      </c>
    </row>
    <row r="581">
      <c r="A581" s="4" t="s">
        <v>2216</v>
      </c>
      <c r="B581" s="3">
        <v>2000.0</v>
      </c>
      <c r="C581" s="3" t="s">
        <v>3</v>
      </c>
    </row>
    <row r="582">
      <c r="A582" s="4" t="s">
        <v>861</v>
      </c>
      <c r="B582" s="3">
        <v>1000.0</v>
      </c>
      <c r="C582" s="4"/>
    </row>
    <row r="583">
      <c r="A583" s="4" t="s">
        <v>2217</v>
      </c>
      <c r="B583" s="3">
        <v>0.0</v>
      </c>
      <c r="C583" s="3" t="s">
        <v>6</v>
      </c>
    </row>
    <row r="584">
      <c r="A584" s="4" t="s">
        <v>864</v>
      </c>
      <c r="B584" s="3">
        <v>0.0</v>
      </c>
      <c r="C584" s="3" t="s">
        <v>3</v>
      </c>
    </row>
    <row r="585">
      <c r="A585" s="4" t="s">
        <v>2218</v>
      </c>
      <c r="B585" s="3">
        <v>750.0</v>
      </c>
      <c r="C585" s="3" t="s">
        <v>6</v>
      </c>
    </row>
    <row r="586">
      <c r="A586" s="4" t="s">
        <v>2219</v>
      </c>
      <c r="B586" s="3">
        <v>0.0</v>
      </c>
      <c r="C586" s="3" t="s">
        <v>3</v>
      </c>
    </row>
    <row r="587">
      <c r="A587" s="4" t="s">
        <v>869</v>
      </c>
      <c r="B587" s="3">
        <v>1600.0</v>
      </c>
      <c r="C587" s="4"/>
    </row>
    <row r="588">
      <c r="A588" s="4" t="s">
        <v>2220</v>
      </c>
      <c r="B588" s="3">
        <v>500.0</v>
      </c>
      <c r="C588" s="4"/>
    </row>
    <row r="589">
      <c r="A589" s="4" t="s">
        <v>873</v>
      </c>
      <c r="B589" s="3">
        <v>0.0</v>
      </c>
      <c r="C589" s="3" t="s">
        <v>26</v>
      </c>
    </row>
    <row r="590">
      <c r="A590" s="4" t="s">
        <v>874</v>
      </c>
      <c r="B590" s="3">
        <v>1500.0</v>
      </c>
      <c r="C590" s="3" t="s">
        <v>3</v>
      </c>
    </row>
    <row r="591">
      <c r="A591" s="4" t="s">
        <v>875</v>
      </c>
      <c r="B591" s="3">
        <v>0.0</v>
      </c>
      <c r="C591" s="3" t="s">
        <v>6</v>
      </c>
    </row>
    <row r="592">
      <c r="A592" s="4" t="s">
        <v>2221</v>
      </c>
      <c r="B592" s="3">
        <v>750.0</v>
      </c>
      <c r="C592" s="4"/>
    </row>
    <row r="593">
      <c r="A593" s="4" t="s">
        <v>2222</v>
      </c>
      <c r="B593" s="3">
        <v>0.0</v>
      </c>
      <c r="C593" s="3" t="s">
        <v>29</v>
      </c>
    </row>
    <row r="594">
      <c r="A594" s="4" t="s">
        <v>2223</v>
      </c>
      <c r="B594" s="3">
        <v>0.0</v>
      </c>
      <c r="C594" s="3" t="s">
        <v>29</v>
      </c>
    </row>
    <row r="595">
      <c r="A595" s="4" t="s">
        <v>882</v>
      </c>
      <c r="B595" s="3">
        <v>0.0</v>
      </c>
      <c r="C595" s="3" t="s">
        <v>6</v>
      </c>
    </row>
    <row r="596">
      <c r="A596" s="4" t="s">
        <v>2224</v>
      </c>
      <c r="B596" s="3">
        <v>0.0</v>
      </c>
      <c r="C596" s="3" t="s">
        <v>29</v>
      </c>
    </row>
    <row r="597">
      <c r="A597" s="4" t="s">
        <v>885</v>
      </c>
      <c r="B597" s="3">
        <v>1000.0</v>
      </c>
      <c r="C597" s="3" t="s">
        <v>6</v>
      </c>
    </row>
    <row r="598">
      <c r="A598" s="4" t="s">
        <v>886</v>
      </c>
      <c r="B598" s="3">
        <v>1000.0</v>
      </c>
      <c r="C598" s="3" t="s">
        <v>32</v>
      </c>
    </row>
    <row r="599">
      <c r="A599" s="4" t="s">
        <v>2225</v>
      </c>
      <c r="B599" s="3">
        <v>500.0</v>
      </c>
      <c r="C599" s="4"/>
    </row>
    <row r="600">
      <c r="A600" s="4" t="s">
        <v>889</v>
      </c>
      <c r="B600" s="3">
        <v>1600.0</v>
      </c>
      <c r="C600" s="4"/>
    </row>
    <row r="601">
      <c r="A601" s="4" t="s">
        <v>2226</v>
      </c>
      <c r="B601" s="3">
        <v>1000.0</v>
      </c>
      <c r="C601" s="3" t="s">
        <v>6</v>
      </c>
    </row>
    <row r="602">
      <c r="A602" s="4" t="s">
        <v>2227</v>
      </c>
      <c r="B602" s="3">
        <v>1300.0</v>
      </c>
      <c r="C602" s="4"/>
    </row>
    <row r="603">
      <c r="A603" s="4" t="s">
        <v>894</v>
      </c>
      <c r="B603" s="3">
        <v>0.0</v>
      </c>
      <c r="C603" s="3" t="s">
        <v>6</v>
      </c>
    </row>
    <row r="604">
      <c r="A604" s="4" t="s">
        <v>895</v>
      </c>
      <c r="B604" s="3">
        <v>0.0</v>
      </c>
      <c r="C604" s="3" t="s">
        <v>3</v>
      </c>
    </row>
    <row r="605">
      <c r="A605" s="4" t="s">
        <v>896</v>
      </c>
      <c r="B605" s="3">
        <v>0.0</v>
      </c>
      <c r="C605" s="3" t="s">
        <v>32</v>
      </c>
    </row>
    <row r="606">
      <c r="A606" s="4" t="s">
        <v>2228</v>
      </c>
      <c r="B606" s="3">
        <v>0.0</v>
      </c>
      <c r="C606" s="3" t="s">
        <v>3</v>
      </c>
    </row>
    <row r="607">
      <c r="A607" s="4" t="s">
        <v>899</v>
      </c>
      <c r="B607" s="3">
        <v>0.0</v>
      </c>
      <c r="C607" s="3" t="s">
        <v>3</v>
      </c>
    </row>
    <row r="608">
      <c r="A608" s="4" t="s">
        <v>900</v>
      </c>
      <c r="B608" s="3">
        <v>8000.0</v>
      </c>
      <c r="C608" s="4"/>
    </row>
    <row r="609">
      <c r="A609" s="4" t="s">
        <v>901</v>
      </c>
      <c r="B609" s="3">
        <v>0.0</v>
      </c>
      <c r="C609" s="3" t="s">
        <v>32</v>
      </c>
    </row>
    <row r="610">
      <c r="A610" s="4" t="s">
        <v>2229</v>
      </c>
      <c r="B610" s="3">
        <v>0.0</v>
      </c>
      <c r="C610" s="3" t="s">
        <v>6</v>
      </c>
    </row>
    <row r="611">
      <c r="A611" s="4" t="s">
        <v>904</v>
      </c>
      <c r="B611" s="3">
        <v>2635.0</v>
      </c>
      <c r="C611" s="4"/>
    </row>
    <row r="612">
      <c r="A612" s="4" t="s">
        <v>906</v>
      </c>
      <c r="B612" s="3">
        <v>3917.0</v>
      </c>
      <c r="C612" s="4"/>
    </row>
    <row r="613">
      <c r="A613" s="4" t="s">
        <v>2230</v>
      </c>
      <c r="B613" s="3">
        <v>1728.0</v>
      </c>
      <c r="C613" s="4"/>
    </row>
    <row r="614">
      <c r="A614" s="4" t="s">
        <v>911</v>
      </c>
      <c r="B614" s="3">
        <v>0.0</v>
      </c>
      <c r="C614" s="3" t="s">
        <v>3</v>
      </c>
    </row>
    <row r="615">
      <c r="A615" s="4" t="s">
        <v>912</v>
      </c>
      <c r="B615" s="3">
        <v>0.0</v>
      </c>
      <c r="C615" s="3" t="s">
        <v>3</v>
      </c>
    </row>
    <row r="616">
      <c r="A616" s="4" t="s">
        <v>913</v>
      </c>
      <c r="B616" s="3">
        <v>3000.0</v>
      </c>
      <c r="C616" s="4"/>
    </row>
    <row r="617">
      <c r="A617" s="4" t="s">
        <v>914</v>
      </c>
      <c r="B617" s="3">
        <v>3500.0</v>
      </c>
      <c r="C617" s="4"/>
    </row>
    <row r="618">
      <c r="A618" s="4" t="s">
        <v>915</v>
      </c>
      <c r="B618" s="3">
        <v>8000.0</v>
      </c>
      <c r="C618" s="4"/>
    </row>
    <row r="619">
      <c r="A619" s="4" t="s">
        <v>916</v>
      </c>
      <c r="B619" s="3">
        <v>41500.0</v>
      </c>
      <c r="C619" s="3" t="s">
        <v>280</v>
      </c>
    </row>
    <row r="620">
      <c r="A620" s="4" t="s">
        <v>918</v>
      </c>
      <c r="B620" s="3">
        <v>0.0</v>
      </c>
      <c r="C620" s="3" t="s">
        <v>32</v>
      </c>
    </row>
    <row r="621">
      <c r="A621" s="4" t="s">
        <v>919</v>
      </c>
      <c r="B621" s="3">
        <v>0.0</v>
      </c>
      <c r="C621" s="3" t="s">
        <v>3</v>
      </c>
    </row>
    <row r="622">
      <c r="A622" s="4" t="s">
        <v>920</v>
      </c>
      <c r="B622" s="3">
        <v>0.0</v>
      </c>
      <c r="C622" s="3" t="s">
        <v>3</v>
      </c>
    </row>
    <row r="623">
      <c r="A623" s="4" t="s">
        <v>921</v>
      </c>
      <c r="B623" s="3">
        <v>6000.0</v>
      </c>
      <c r="C623" s="4"/>
    </row>
    <row r="624">
      <c r="A624" s="4" t="s">
        <v>922</v>
      </c>
      <c r="B624" s="3">
        <v>5000.0</v>
      </c>
      <c r="C624" s="4"/>
    </row>
    <row r="625">
      <c r="A625" s="4" t="s">
        <v>923</v>
      </c>
      <c r="B625" s="3">
        <v>3000.0</v>
      </c>
      <c r="C625" s="4"/>
    </row>
    <row r="626">
      <c r="A626" s="4" t="s">
        <v>924</v>
      </c>
      <c r="B626" s="3">
        <v>0.0</v>
      </c>
      <c r="C626" s="3" t="s">
        <v>3</v>
      </c>
    </row>
    <row r="627">
      <c r="A627" s="4" t="s">
        <v>925</v>
      </c>
      <c r="B627" s="3">
        <v>2000.0</v>
      </c>
      <c r="C627" s="4"/>
    </row>
    <row r="628">
      <c r="A628" s="4" t="s">
        <v>926</v>
      </c>
      <c r="B628" s="3">
        <v>0.0</v>
      </c>
      <c r="C628" s="3" t="s">
        <v>3</v>
      </c>
    </row>
    <row r="629">
      <c r="A629" s="4" t="s">
        <v>927</v>
      </c>
      <c r="B629" s="3">
        <v>6000.0</v>
      </c>
      <c r="C629" s="4"/>
    </row>
    <row r="630">
      <c r="A630" s="4" t="s">
        <v>928</v>
      </c>
      <c r="B630" s="3">
        <v>0.0</v>
      </c>
      <c r="C630" s="3" t="s">
        <v>32</v>
      </c>
    </row>
    <row r="631">
      <c r="A631" s="4" t="s">
        <v>929</v>
      </c>
      <c r="B631" s="3">
        <v>17500.0</v>
      </c>
      <c r="C631" s="4"/>
    </row>
    <row r="632">
      <c r="A632" s="4" t="s">
        <v>931</v>
      </c>
      <c r="B632" s="3">
        <v>11380.0</v>
      </c>
      <c r="C632" s="3" t="s">
        <v>3</v>
      </c>
    </row>
    <row r="633">
      <c r="A633" s="4" t="s">
        <v>933</v>
      </c>
      <c r="B633" s="3">
        <v>3000.0</v>
      </c>
      <c r="C633" s="4"/>
    </row>
    <row r="634">
      <c r="A634" s="4" t="s">
        <v>934</v>
      </c>
      <c r="B634" s="3">
        <v>0.0</v>
      </c>
      <c r="C634" s="3" t="s">
        <v>3</v>
      </c>
    </row>
    <row r="635">
      <c r="A635" s="4" t="s">
        <v>935</v>
      </c>
      <c r="B635" s="3">
        <v>23000.0</v>
      </c>
      <c r="C635" s="4"/>
    </row>
    <row r="636">
      <c r="A636" s="4" t="s">
        <v>937</v>
      </c>
      <c r="B636" s="3">
        <v>17000.0</v>
      </c>
      <c r="C636" s="4"/>
    </row>
    <row r="637">
      <c r="A637" s="4" t="s">
        <v>939</v>
      </c>
      <c r="B637" s="3">
        <v>16000.0</v>
      </c>
      <c r="C637" s="4"/>
    </row>
    <row r="638">
      <c r="A638" s="4" t="s">
        <v>941</v>
      </c>
      <c r="B638" s="3">
        <v>2100.0</v>
      </c>
      <c r="C638" s="4"/>
    </row>
    <row r="639">
      <c r="A639" s="4" t="s">
        <v>943</v>
      </c>
      <c r="B639" s="3">
        <v>0.0</v>
      </c>
      <c r="C639" s="3" t="s">
        <v>3</v>
      </c>
    </row>
    <row r="640">
      <c r="A640" s="4" t="s">
        <v>944</v>
      </c>
      <c r="B640" s="3">
        <v>0.0</v>
      </c>
      <c r="C640" s="3" t="s">
        <v>3</v>
      </c>
    </row>
    <row r="641">
      <c r="A641" s="4" t="s">
        <v>945</v>
      </c>
      <c r="B641" s="3">
        <v>40000.0</v>
      </c>
      <c r="C641" s="3" t="s">
        <v>216</v>
      </c>
    </row>
    <row r="642">
      <c r="A642" s="4" t="s">
        <v>947</v>
      </c>
      <c r="B642" s="3">
        <v>0.0</v>
      </c>
      <c r="C642" s="3" t="s">
        <v>29</v>
      </c>
    </row>
    <row r="643">
      <c r="A643" s="4" t="s">
        <v>2231</v>
      </c>
      <c r="B643" s="3">
        <v>15000.0</v>
      </c>
      <c r="C643" s="3" t="s">
        <v>3</v>
      </c>
    </row>
    <row r="644">
      <c r="A644" s="4" t="s">
        <v>2232</v>
      </c>
      <c r="B644" s="3">
        <v>500.0</v>
      </c>
      <c r="C644" s="3" t="s">
        <v>3</v>
      </c>
    </row>
    <row r="645">
      <c r="A645" s="4" t="s">
        <v>2233</v>
      </c>
      <c r="B645" s="3">
        <v>1000.0</v>
      </c>
      <c r="C645" s="4"/>
    </row>
    <row r="646">
      <c r="A646" s="4" t="s">
        <v>954</v>
      </c>
      <c r="B646" s="3">
        <v>1400.0</v>
      </c>
      <c r="C646" s="4"/>
    </row>
    <row r="647">
      <c r="A647" s="4" t="s">
        <v>956</v>
      </c>
      <c r="B647" s="3">
        <v>10730.0</v>
      </c>
      <c r="C647" s="4"/>
    </row>
    <row r="648">
      <c r="A648" s="4" t="s">
        <v>958</v>
      </c>
      <c r="B648" s="3">
        <v>0.0</v>
      </c>
      <c r="C648" s="3" t="s">
        <v>3</v>
      </c>
    </row>
    <row r="649">
      <c r="A649" s="4" t="s">
        <v>959</v>
      </c>
      <c r="B649" s="3">
        <v>1500.0</v>
      </c>
      <c r="C649" s="4"/>
    </row>
    <row r="650">
      <c r="A650" s="4" t="s">
        <v>2234</v>
      </c>
      <c r="B650" s="3">
        <v>0.0</v>
      </c>
      <c r="C650" s="3" t="s">
        <v>3</v>
      </c>
    </row>
    <row r="651">
      <c r="A651" s="4" t="s">
        <v>962</v>
      </c>
      <c r="B651" s="3">
        <v>2000.0</v>
      </c>
      <c r="C651" s="3" t="s">
        <v>6</v>
      </c>
    </row>
    <row r="652">
      <c r="A652" s="4" t="s">
        <v>963</v>
      </c>
      <c r="B652" s="3">
        <v>115000.0</v>
      </c>
      <c r="C652" s="3" t="s">
        <v>6</v>
      </c>
    </row>
    <row r="653">
      <c r="A653" s="4" t="s">
        <v>964</v>
      </c>
      <c r="B653" s="3">
        <v>0.0</v>
      </c>
      <c r="C653" s="3" t="s">
        <v>3</v>
      </c>
    </row>
    <row r="654">
      <c r="A654" s="4" t="s">
        <v>965</v>
      </c>
      <c r="B654" s="3">
        <v>11176.0</v>
      </c>
      <c r="C654" s="4"/>
    </row>
    <row r="655">
      <c r="A655" s="4" t="s">
        <v>967</v>
      </c>
      <c r="B655" s="3">
        <v>1500.0</v>
      </c>
      <c r="C655" s="3" t="s">
        <v>32</v>
      </c>
    </row>
    <row r="656">
      <c r="A656" s="4" t="s">
        <v>968</v>
      </c>
      <c r="B656" s="3">
        <v>1000.0</v>
      </c>
      <c r="C656" s="4"/>
    </row>
    <row r="657">
      <c r="A657" s="4" t="s">
        <v>969</v>
      </c>
      <c r="B657" s="3">
        <v>0.0</v>
      </c>
      <c r="C657" s="3" t="s">
        <v>3</v>
      </c>
    </row>
    <row r="658">
      <c r="A658" s="4" t="s">
        <v>970</v>
      </c>
      <c r="B658" s="3">
        <v>0.0</v>
      </c>
      <c r="C658" s="3" t="s">
        <v>3</v>
      </c>
    </row>
    <row r="659">
      <c r="A659" s="4" t="s">
        <v>971</v>
      </c>
      <c r="B659" s="3">
        <v>0.0</v>
      </c>
      <c r="C659" s="3" t="s">
        <v>3</v>
      </c>
    </row>
    <row r="660">
      <c r="A660" s="4" t="s">
        <v>972</v>
      </c>
      <c r="B660" s="3">
        <v>0.0</v>
      </c>
      <c r="C660" s="3" t="s">
        <v>32</v>
      </c>
    </row>
    <row r="661">
      <c r="A661" s="4" t="s">
        <v>973</v>
      </c>
      <c r="B661" s="3">
        <v>400.0</v>
      </c>
      <c r="C661" s="4"/>
    </row>
    <row r="662">
      <c r="A662" s="4" t="s">
        <v>974</v>
      </c>
      <c r="B662" s="3">
        <v>0.0</v>
      </c>
      <c r="C662" s="3" t="s">
        <v>3</v>
      </c>
    </row>
    <row r="663">
      <c r="A663" s="4" t="s">
        <v>2235</v>
      </c>
      <c r="B663" s="3">
        <v>5000.0</v>
      </c>
      <c r="C663" s="4"/>
    </row>
    <row r="664">
      <c r="A664" s="4" t="s">
        <v>977</v>
      </c>
      <c r="B664" s="3">
        <v>8000.0</v>
      </c>
      <c r="C664" s="4"/>
    </row>
    <row r="665">
      <c r="A665" s="4" t="s">
        <v>978</v>
      </c>
      <c r="B665" s="3">
        <v>0.0</v>
      </c>
      <c r="C665" s="3" t="s">
        <v>29</v>
      </c>
    </row>
    <row r="666">
      <c r="A666" s="4" t="s">
        <v>979</v>
      </c>
      <c r="B666" s="3">
        <v>700.0</v>
      </c>
      <c r="C666" s="3" t="s">
        <v>3</v>
      </c>
    </row>
    <row r="667">
      <c r="A667" s="4" t="s">
        <v>980</v>
      </c>
      <c r="B667" s="3">
        <v>0.0</v>
      </c>
      <c r="C667" s="3" t="s">
        <v>3</v>
      </c>
    </row>
    <row r="668">
      <c r="A668" s="4" t="s">
        <v>981</v>
      </c>
      <c r="B668" s="3">
        <v>1000.0</v>
      </c>
      <c r="C668" s="4"/>
    </row>
    <row r="669">
      <c r="A669" s="4" t="s">
        <v>982</v>
      </c>
      <c r="B669" s="3">
        <v>0.0</v>
      </c>
      <c r="C669" s="3" t="s">
        <v>6</v>
      </c>
    </row>
    <row r="670">
      <c r="A670" s="4" t="s">
        <v>983</v>
      </c>
      <c r="B670" s="3">
        <v>0.0</v>
      </c>
      <c r="C670" s="3" t="s">
        <v>3</v>
      </c>
    </row>
    <row r="671">
      <c r="A671" s="4" t="s">
        <v>984</v>
      </c>
      <c r="B671" s="3">
        <v>9600.0</v>
      </c>
      <c r="C671" s="4"/>
    </row>
    <row r="672">
      <c r="A672" s="4" t="s">
        <v>986</v>
      </c>
      <c r="B672" s="3">
        <v>3000.0</v>
      </c>
      <c r="C672" s="4"/>
    </row>
    <row r="673">
      <c r="A673" s="4" t="s">
        <v>987</v>
      </c>
      <c r="B673" s="3">
        <v>0.0</v>
      </c>
      <c r="C673" s="3" t="s">
        <v>3</v>
      </c>
    </row>
    <row r="674">
      <c r="A674" s="4" t="s">
        <v>988</v>
      </c>
      <c r="B674" s="3">
        <v>7800.0</v>
      </c>
      <c r="C674" s="3" t="s">
        <v>280</v>
      </c>
    </row>
    <row r="675">
      <c r="A675" s="4" t="s">
        <v>990</v>
      </c>
      <c r="B675" s="3">
        <v>4000.0</v>
      </c>
      <c r="C675" s="4"/>
    </row>
    <row r="676">
      <c r="A676" s="4" t="s">
        <v>991</v>
      </c>
      <c r="B676" s="3">
        <v>0.0</v>
      </c>
      <c r="C676" s="3" t="s">
        <v>3</v>
      </c>
    </row>
    <row r="677">
      <c r="A677" s="4" t="s">
        <v>992</v>
      </c>
      <c r="B677" s="3">
        <v>0.0</v>
      </c>
      <c r="C677" s="3" t="s">
        <v>3</v>
      </c>
    </row>
    <row r="678">
      <c r="A678" s="4" t="s">
        <v>993</v>
      </c>
      <c r="B678" s="3">
        <v>0.0</v>
      </c>
      <c r="C678" s="3" t="s">
        <v>3</v>
      </c>
    </row>
    <row r="679">
      <c r="A679" s="4" t="s">
        <v>994</v>
      </c>
      <c r="B679" s="3">
        <v>8000.0</v>
      </c>
      <c r="C679" s="4"/>
    </row>
    <row r="680">
      <c r="A680" s="4" t="s">
        <v>995</v>
      </c>
      <c r="B680" s="3">
        <v>1200.0</v>
      </c>
      <c r="C680" s="3" t="s">
        <v>6</v>
      </c>
    </row>
    <row r="681">
      <c r="A681" s="4" t="s">
        <v>997</v>
      </c>
      <c r="B681" s="3">
        <v>950.0</v>
      </c>
      <c r="C681" s="4"/>
    </row>
    <row r="682">
      <c r="A682" s="4" t="s">
        <v>999</v>
      </c>
      <c r="B682" s="3">
        <v>0.0</v>
      </c>
      <c r="C682" s="3" t="s">
        <v>3</v>
      </c>
    </row>
    <row r="683">
      <c r="A683" s="4" t="s">
        <v>1000</v>
      </c>
      <c r="B683" s="3">
        <v>30000.0</v>
      </c>
      <c r="C683" s="3" t="s">
        <v>3</v>
      </c>
    </row>
    <row r="684">
      <c r="A684" s="4" t="s">
        <v>1001</v>
      </c>
      <c r="B684" s="3">
        <v>0.0</v>
      </c>
      <c r="C684" s="3" t="s">
        <v>6</v>
      </c>
    </row>
    <row r="685">
      <c r="A685" s="4" t="s">
        <v>1002</v>
      </c>
      <c r="B685" s="3">
        <v>10000.0</v>
      </c>
      <c r="C685" s="3" t="s">
        <v>3</v>
      </c>
    </row>
    <row r="686">
      <c r="A686" s="4" t="s">
        <v>1003</v>
      </c>
      <c r="B686" s="3">
        <v>0.0</v>
      </c>
      <c r="C686" s="3" t="s">
        <v>3</v>
      </c>
    </row>
    <row r="687">
      <c r="A687" s="4" t="s">
        <v>1004</v>
      </c>
      <c r="B687" s="3">
        <v>0.0</v>
      </c>
      <c r="C687" s="3" t="s">
        <v>3</v>
      </c>
    </row>
    <row r="688">
      <c r="A688" s="4" t="s">
        <v>1005</v>
      </c>
      <c r="B688" s="3">
        <v>500.0</v>
      </c>
      <c r="C688" s="4"/>
    </row>
    <row r="689">
      <c r="A689" s="4" t="s">
        <v>1006</v>
      </c>
      <c r="B689" s="3">
        <v>0.0</v>
      </c>
      <c r="C689" s="3" t="s">
        <v>3</v>
      </c>
    </row>
    <row r="690">
      <c r="A690" s="4" t="s">
        <v>1007</v>
      </c>
      <c r="B690" s="3">
        <v>3000.0</v>
      </c>
      <c r="C690" s="4"/>
    </row>
    <row r="691">
      <c r="A691" s="4" t="s">
        <v>1008</v>
      </c>
      <c r="B691" s="3">
        <v>0.0</v>
      </c>
      <c r="C691" s="3" t="s">
        <v>484</v>
      </c>
    </row>
    <row r="692">
      <c r="A692" s="4" t="s">
        <v>1009</v>
      </c>
      <c r="B692" s="3">
        <v>0.0</v>
      </c>
      <c r="C692" s="3" t="s">
        <v>3</v>
      </c>
    </row>
    <row r="693">
      <c r="A693" s="4" t="s">
        <v>1010</v>
      </c>
      <c r="B693" s="3">
        <v>0.0</v>
      </c>
      <c r="C693" s="3" t="s">
        <v>6</v>
      </c>
    </row>
    <row r="694">
      <c r="A694" s="4" t="s">
        <v>1011</v>
      </c>
      <c r="B694" s="3">
        <v>4000.0</v>
      </c>
      <c r="C694" s="4"/>
    </row>
    <row r="695">
      <c r="A695" s="4" t="s">
        <v>1012</v>
      </c>
      <c r="B695" s="3">
        <v>2100.0</v>
      </c>
      <c r="C695" s="3" t="s">
        <v>3</v>
      </c>
    </row>
    <row r="696">
      <c r="A696" s="4" t="s">
        <v>1013</v>
      </c>
      <c r="B696" s="3">
        <v>9500.0</v>
      </c>
      <c r="C696" s="3" t="s">
        <v>6</v>
      </c>
    </row>
    <row r="697">
      <c r="A697" s="4" t="s">
        <v>1015</v>
      </c>
      <c r="B697" s="3">
        <v>0.0</v>
      </c>
      <c r="C697" s="3" t="s">
        <v>3</v>
      </c>
    </row>
    <row r="698">
      <c r="A698" s="4" t="s">
        <v>1016</v>
      </c>
      <c r="B698" s="3">
        <v>0.0</v>
      </c>
      <c r="C698" s="3" t="s">
        <v>6</v>
      </c>
    </row>
    <row r="699">
      <c r="A699" s="4" t="s">
        <v>1017</v>
      </c>
      <c r="B699" s="3">
        <v>1200.0</v>
      </c>
      <c r="C699" s="4"/>
    </row>
    <row r="700">
      <c r="A700" s="4" t="s">
        <v>1018</v>
      </c>
      <c r="B700" s="3">
        <v>0.0</v>
      </c>
      <c r="C700" s="3" t="s">
        <v>32</v>
      </c>
    </row>
    <row r="701">
      <c r="A701" s="4" t="s">
        <v>1019</v>
      </c>
      <c r="B701" s="3">
        <v>0.0</v>
      </c>
      <c r="C701" s="3" t="s">
        <v>6</v>
      </c>
    </row>
    <row r="702">
      <c r="A702" s="4" t="s">
        <v>1020</v>
      </c>
      <c r="B702" s="3">
        <v>1534.0</v>
      </c>
      <c r="C702" s="4"/>
    </row>
    <row r="703">
      <c r="A703" s="4" t="s">
        <v>1022</v>
      </c>
      <c r="B703" s="3">
        <v>0.0</v>
      </c>
      <c r="C703" s="3" t="s">
        <v>6</v>
      </c>
    </row>
    <row r="704">
      <c r="A704" s="4" t="s">
        <v>1023</v>
      </c>
      <c r="B704" s="3">
        <v>27000.0</v>
      </c>
      <c r="C704" s="3" t="s">
        <v>3</v>
      </c>
    </row>
    <row r="705">
      <c r="A705" s="4" t="s">
        <v>1025</v>
      </c>
      <c r="B705" s="3">
        <v>0.0</v>
      </c>
      <c r="C705" s="3" t="s">
        <v>3</v>
      </c>
    </row>
    <row r="706">
      <c r="A706" s="4" t="s">
        <v>2236</v>
      </c>
      <c r="B706" s="3">
        <v>46500.0</v>
      </c>
      <c r="C706" s="3" t="s">
        <v>3</v>
      </c>
    </row>
    <row r="707">
      <c r="A707" s="4" t="s">
        <v>2237</v>
      </c>
      <c r="B707" s="3">
        <v>0.0</v>
      </c>
      <c r="C707" s="3" t="s">
        <v>3</v>
      </c>
    </row>
    <row r="708">
      <c r="A708" s="4" t="s">
        <v>1031</v>
      </c>
      <c r="B708" s="3">
        <v>0.0</v>
      </c>
      <c r="C708" s="3" t="s">
        <v>3</v>
      </c>
    </row>
    <row r="709">
      <c r="A709" s="4" t="s">
        <v>1032</v>
      </c>
      <c r="B709" s="3">
        <v>0.0</v>
      </c>
      <c r="C709" s="3" t="s">
        <v>29</v>
      </c>
    </row>
    <row r="710">
      <c r="A710" s="4" t="s">
        <v>1033</v>
      </c>
      <c r="B710" s="3">
        <v>109834.0</v>
      </c>
      <c r="C710" s="4"/>
    </row>
    <row r="711">
      <c r="A711" s="4" t="s">
        <v>1035</v>
      </c>
      <c r="B711" s="3">
        <v>4000.0</v>
      </c>
      <c r="C711" s="4"/>
    </row>
    <row r="712">
      <c r="A712" s="4" t="s">
        <v>1036</v>
      </c>
      <c r="B712" s="3">
        <v>0.0</v>
      </c>
      <c r="C712" s="3" t="s">
        <v>3</v>
      </c>
    </row>
    <row r="713">
      <c r="A713" s="4" t="s">
        <v>1037</v>
      </c>
      <c r="B713" s="3">
        <v>0.0</v>
      </c>
      <c r="C713" s="3" t="s">
        <v>26</v>
      </c>
    </row>
    <row r="714">
      <c r="A714" s="4" t="s">
        <v>1038</v>
      </c>
      <c r="B714" s="3">
        <v>0.0</v>
      </c>
      <c r="C714" s="3" t="s">
        <v>3</v>
      </c>
    </row>
    <row r="715">
      <c r="A715" s="4" t="s">
        <v>1039</v>
      </c>
      <c r="B715" s="3">
        <v>14000.0</v>
      </c>
      <c r="C715" s="3" t="s">
        <v>3</v>
      </c>
    </row>
    <row r="716">
      <c r="A716" s="4" t="s">
        <v>1041</v>
      </c>
      <c r="B716" s="3">
        <v>500.0</v>
      </c>
      <c r="C716" s="4"/>
    </row>
    <row r="717">
      <c r="A717" s="4" t="s">
        <v>1042</v>
      </c>
      <c r="B717" s="3">
        <v>0.0</v>
      </c>
      <c r="C717" s="3" t="s">
        <v>3</v>
      </c>
    </row>
    <row r="718">
      <c r="A718" s="4" t="s">
        <v>1043</v>
      </c>
      <c r="B718" s="3">
        <v>4000.0</v>
      </c>
      <c r="C718" s="4"/>
    </row>
    <row r="719">
      <c r="A719" s="4" t="s">
        <v>2238</v>
      </c>
      <c r="B719" s="3">
        <v>118603.0</v>
      </c>
      <c r="C719" s="3" t="s">
        <v>37</v>
      </c>
    </row>
    <row r="720">
      <c r="A720" s="4" t="s">
        <v>1046</v>
      </c>
      <c r="B720" s="3">
        <v>0.0</v>
      </c>
      <c r="C720" s="3" t="s">
        <v>3</v>
      </c>
    </row>
    <row r="721">
      <c r="A721" s="4" t="s">
        <v>1047</v>
      </c>
      <c r="B721" s="3">
        <v>4500.0</v>
      </c>
      <c r="C721" s="4"/>
    </row>
    <row r="722">
      <c r="A722" s="4" t="s">
        <v>1048</v>
      </c>
      <c r="B722" s="3">
        <v>0.0</v>
      </c>
      <c r="C722" s="3" t="s">
        <v>3</v>
      </c>
    </row>
    <row r="723">
      <c r="A723" s="4" t="s">
        <v>2239</v>
      </c>
      <c r="B723" s="3">
        <v>0.0</v>
      </c>
      <c r="C723" s="3" t="s">
        <v>3</v>
      </c>
    </row>
    <row r="724">
      <c r="A724" s="4" t="s">
        <v>1051</v>
      </c>
      <c r="B724" s="3">
        <v>1410.0</v>
      </c>
      <c r="C724" s="4"/>
    </row>
    <row r="725">
      <c r="A725" s="4" t="s">
        <v>1053</v>
      </c>
      <c r="B725" s="3">
        <v>1000.0</v>
      </c>
      <c r="C725" s="3" t="s">
        <v>32</v>
      </c>
    </row>
    <row r="726">
      <c r="A726" s="4" t="s">
        <v>1054</v>
      </c>
      <c r="B726" s="3">
        <v>0.0</v>
      </c>
      <c r="C726" s="3" t="s">
        <v>3</v>
      </c>
    </row>
    <row r="727">
      <c r="A727" s="4" t="s">
        <v>1055</v>
      </c>
      <c r="B727" s="3">
        <v>31000.0</v>
      </c>
      <c r="C727" s="4"/>
    </row>
    <row r="728">
      <c r="A728" s="4" t="s">
        <v>1057</v>
      </c>
      <c r="B728" s="3">
        <v>0.0</v>
      </c>
      <c r="C728" s="3" t="s">
        <v>32</v>
      </c>
    </row>
    <row r="729">
      <c r="A729" s="4" t="s">
        <v>1058</v>
      </c>
      <c r="B729" s="3">
        <v>1000.0</v>
      </c>
      <c r="C729" s="4"/>
    </row>
    <row r="730">
      <c r="A730" s="4" t="s">
        <v>1059</v>
      </c>
      <c r="B730" s="3">
        <v>0.0</v>
      </c>
      <c r="C730" s="3" t="s">
        <v>3</v>
      </c>
    </row>
    <row r="731">
      <c r="A731" s="4" t="s">
        <v>1060</v>
      </c>
      <c r="B731" s="3">
        <v>3000.0</v>
      </c>
      <c r="C731" s="4"/>
    </row>
    <row r="732">
      <c r="A732" s="4" t="s">
        <v>2240</v>
      </c>
      <c r="B732" s="3">
        <v>2000.0</v>
      </c>
      <c r="C732" s="3" t="s">
        <v>3</v>
      </c>
    </row>
    <row r="733">
      <c r="A733" s="4" t="s">
        <v>1063</v>
      </c>
      <c r="B733" s="3">
        <v>14800.0</v>
      </c>
      <c r="C733" s="4"/>
    </row>
    <row r="734">
      <c r="A734" s="4" t="s">
        <v>1064</v>
      </c>
      <c r="B734" s="3">
        <v>0.0</v>
      </c>
      <c r="C734" s="3" t="s">
        <v>3</v>
      </c>
    </row>
    <row r="735">
      <c r="A735" s="4" t="s">
        <v>2241</v>
      </c>
      <c r="B735" s="3">
        <v>15000.0</v>
      </c>
      <c r="C735" s="3" t="s">
        <v>3</v>
      </c>
    </row>
    <row r="736">
      <c r="A736" s="4" t="s">
        <v>2242</v>
      </c>
      <c r="B736" s="3">
        <v>13050.0</v>
      </c>
      <c r="C736" s="3" t="s">
        <v>37</v>
      </c>
    </row>
    <row r="737">
      <c r="A737" s="4" t="s">
        <v>1069</v>
      </c>
      <c r="B737" s="3">
        <v>4000.0</v>
      </c>
      <c r="C737" s="4"/>
    </row>
    <row r="738">
      <c r="A738" s="4" t="s">
        <v>1070</v>
      </c>
      <c r="B738" s="3">
        <v>185000.0</v>
      </c>
      <c r="C738" s="3" t="s">
        <v>280</v>
      </c>
    </row>
    <row r="739">
      <c r="A739" s="4" t="s">
        <v>1072</v>
      </c>
      <c r="B739" s="3">
        <v>0.0</v>
      </c>
      <c r="C739" s="3" t="s">
        <v>3</v>
      </c>
    </row>
    <row r="740">
      <c r="A740" s="4" t="s">
        <v>2243</v>
      </c>
      <c r="B740" s="3">
        <v>0.0</v>
      </c>
      <c r="C740" s="3" t="s">
        <v>484</v>
      </c>
    </row>
    <row r="741">
      <c r="A741" s="4" t="s">
        <v>1075</v>
      </c>
      <c r="B741" s="3">
        <v>0.0</v>
      </c>
      <c r="C741" s="3" t="s">
        <v>3</v>
      </c>
    </row>
    <row r="742">
      <c r="A742" s="4" t="s">
        <v>1076</v>
      </c>
      <c r="B742" s="3">
        <v>0.0</v>
      </c>
      <c r="C742" s="3" t="s">
        <v>3</v>
      </c>
    </row>
    <row r="743">
      <c r="A743" s="4" t="s">
        <v>2244</v>
      </c>
      <c r="B743" s="3">
        <v>0.0</v>
      </c>
      <c r="C743" s="3" t="s">
        <v>3</v>
      </c>
    </row>
    <row r="744">
      <c r="A744" s="4" t="s">
        <v>1079</v>
      </c>
      <c r="B744" s="3">
        <v>0.0</v>
      </c>
      <c r="C744" s="3" t="s">
        <v>3</v>
      </c>
    </row>
    <row r="745">
      <c r="A745" s="4" t="s">
        <v>1080</v>
      </c>
      <c r="B745" s="3">
        <v>3500.0</v>
      </c>
      <c r="C745" s="3" t="s">
        <v>32</v>
      </c>
    </row>
    <row r="746">
      <c r="A746" s="4" t="s">
        <v>1081</v>
      </c>
      <c r="B746" s="3">
        <v>0.0</v>
      </c>
      <c r="C746" s="3" t="s">
        <v>6</v>
      </c>
    </row>
    <row r="747">
      <c r="A747" s="4" t="s">
        <v>1082</v>
      </c>
      <c r="B747" s="3">
        <v>0.0</v>
      </c>
      <c r="C747" s="3" t="s">
        <v>3</v>
      </c>
    </row>
    <row r="748">
      <c r="A748" s="4" t="s">
        <v>1083</v>
      </c>
      <c r="B748" s="3">
        <v>500.0</v>
      </c>
      <c r="C748" s="3" t="s">
        <v>32</v>
      </c>
    </row>
    <row r="749">
      <c r="A749" s="4" t="s">
        <v>1084</v>
      </c>
      <c r="B749" s="3">
        <v>0.0</v>
      </c>
      <c r="C749" s="3" t="s">
        <v>3</v>
      </c>
    </row>
    <row r="750">
      <c r="A750" s="4" t="s">
        <v>1085</v>
      </c>
      <c r="B750" s="3">
        <v>700.0</v>
      </c>
      <c r="C750" s="4"/>
    </row>
    <row r="751">
      <c r="A751" s="4" t="s">
        <v>2245</v>
      </c>
      <c r="B751" s="3">
        <v>0.0</v>
      </c>
      <c r="C751" s="3" t="s">
        <v>3</v>
      </c>
    </row>
    <row r="752">
      <c r="A752" s="4" t="s">
        <v>1088</v>
      </c>
      <c r="B752" s="3">
        <v>3000.0</v>
      </c>
      <c r="C752" s="3" t="s">
        <v>3</v>
      </c>
    </row>
    <row r="753">
      <c r="A753" s="4" t="s">
        <v>1089</v>
      </c>
      <c r="B753" s="3">
        <v>210000.0</v>
      </c>
      <c r="C753" s="4"/>
    </row>
    <row r="754">
      <c r="A754" s="4" t="s">
        <v>1091</v>
      </c>
      <c r="B754" s="3">
        <v>0.0</v>
      </c>
      <c r="C754" s="3" t="s">
        <v>3</v>
      </c>
    </row>
    <row r="755">
      <c r="A755" s="4" t="s">
        <v>1092</v>
      </c>
      <c r="B755" s="3">
        <v>2200.0</v>
      </c>
      <c r="C755" s="4"/>
    </row>
    <row r="756">
      <c r="A756" s="4" t="s">
        <v>1094</v>
      </c>
      <c r="B756" s="3">
        <v>0.0</v>
      </c>
      <c r="C756" s="3" t="s">
        <v>3</v>
      </c>
    </row>
    <row r="757">
      <c r="A757" s="4" t="s">
        <v>1095</v>
      </c>
      <c r="B757" s="3">
        <v>0.0</v>
      </c>
      <c r="C757" s="3" t="s">
        <v>6</v>
      </c>
    </row>
    <row r="758">
      <c r="A758" s="4" t="s">
        <v>1096</v>
      </c>
      <c r="B758" s="3">
        <v>15500.0</v>
      </c>
      <c r="C758" s="3" t="s">
        <v>3</v>
      </c>
    </row>
    <row r="759">
      <c r="A759" s="4" t="s">
        <v>1097</v>
      </c>
      <c r="B759" s="3">
        <v>0.0</v>
      </c>
      <c r="C759" s="3" t="s">
        <v>29</v>
      </c>
    </row>
    <row r="760">
      <c r="A760" s="4" t="s">
        <v>1098</v>
      </c>
      <c r="B760" s="3">
        <v>500.0</v>
      </c>
      <c r="C760" s="4"/>
    </row>
    <row r="761">
      <c r="A761" s="4" t="s">
        <v>1099</v>
      </c>
      <c r="B761" s="3">
        <v>0.0</v>
      </c>
      <c r="C761" s="3" t="s">
        <v>3</v>
      </c>
    </row>
    <row r="762">
      <c r="A762" s="4" t="s">
        <v>1100</v>
      </c>
      <c r="B762" s="3">
        <v>0.0</v>
      </c>
      <c r="C762" s="3" t="s">
        <v>3</v>
      </c>
    </row>
    <row r="763">
      <c r="A763" s="4" t="s">
        <v>2246</v>
      </c>
      <c r="B763" s="3">
        <v>0.0</v>
      </c>
      <c r="C763" s="3" t="s">
        <v>3</v>
      </c>
    </row>
    <row r="764">
      <c r="A764" s="4" t="s">
        <v>1103</v>
      </c>
      <c r="B764" s="3">
        <v>0.0</v>
      </c>
      <c r="C764" s="3" t="s">
        <v>3</v>
      </c>
    </row>
    <row r="765">
      <c r="A765" s="4" t="s">
        <v>2247</v>
      </c>
      <c r="B765" s="3">
        <v>0.0</v>
      </c>
      <c r="C765" s="3" t="s">
        <v>32</v>
      </c>
    </row>
    <row r="766">
      <c r="A766" s="4" t="s">
        <v>1106</v>
      </c>
      <c r="B766" s="3">
        <v>750.0</v>
      </c>
      <c r="C766" s="3" t="s">
        <v>3</v>
      </c>
    </row>
    <row r="767">
      <c r="A767" s="4" t="s">
        <v>1107</v>
      </c>
      <c r="B767" s="3">
        <v>0.0</v>
      </c>
      <c r="C767" s="3" t="s">
        <v>3</v>
      </c>
    </row>
    <row r="768">
      <c r="A768" s="4" t="s">
        <v>2248</v>
      </c>
      <c r="B768" s="3">
        <v>0.0</v>
      </c>
      <c r="C768" s="3" t="s">
        <v>3</v>
      </c>
    </row>
    <row r="769">
      <c r="A769" s="4" t="s">
        <v>2249</v>
      </c>
      <c r="B769" s="3">
        <v>1000.0</v>
      </c>
      <c r="C769" s="3" t="s">
        <v>32</v>
      </c>
    </row>
    <row r="770">
      <c r="A770" s="4" t="s">
        <v>2250</v>
      </c>
      <c r="B770" s="3">
        <v>16000.0</v>
      </c>
      <c r="C770" s="3" t="s">
        <v>6</v>
      </c>
    </row>
    <row r="771">
      <c r="A771" s="4" t="s">
        <v>1113</v>
      </c>
      <c r="B771" s="3">
        <v>5000.0</v>
      </c>
      <c r="C771" s="4"/>
    </row>
    <row r="772">
      <c r="A772" s="4" t="s">
        <v>1114</v>
      </c>
      <c r="B772" s="3">
        <v>0.0</v>
      </c>
      <c r="C772" s="3" t="s">
        <v>6</v>
      </c>
    </row>
    <row r="773">
      <c r="A773" s="4" t="s">
        <v>2251</v>
      </c>
      <c r="B773" s="3">
        <v>0.0</v>
      </c>
      <c r="C773" s="3" t="s">
        <v>3</v>
      </c>
    </row>
    <row r="774">
      <c r="A774" s="4" t="s">
        <v>1117</v>
      </c>
      <c r="B774" s="3">
        <v>0.0</v>
      </c>
      <c r="C774" s="3" t="s">
        <v>3</v>
      </c>
    </row>
    <row r="775">
      <c r="A775" s="4" t="s">
        <v>1118</v>
      </c>
      <c r="B775" s="3">
        <v>0.0</v>
      </c>
      <c r="C775" s="3" t="s">
        <v>6</v>
      </c>
    </row>
    <row r="776">
      <c r="A776" s="4" t="s">
        <v>2252</v>
      </c>
      <c r="B776" s="3">
        <v>0.0</v>
      </c>
      <c r="C776" s="3" t="s">
        <v>3</v>
      </c>
    </row>
    <row r="777">
      <c r="A777" s="4" t="s">
        <v>2253</v>
      </c>
      <c r="B777" s="3">
        <v>2000.0</v>
      </c>
      <c r="C777" s="4"/>
    </row>
    <row r="778">
      <c r="A778" s="4" t="s">
        <v>2254</v>
      </c>
      <c r="B778" s="3">
        <v>0.0</v>
      </c>
      <c r="C778" s="3" t="s">
        <v>3</v>
      </c>
    </row>
    <row r="779">
      <c r="A779" s="4" t="s">
        <v>2255</v>
      </c>
      <c r="B779" s="3">
        <v>0.0</v>
      </c>
      <c r="C779" s="3" t="s">
        <v>3</v>
      </c>
    </row>
    <row r="780">
      <c r="A780" s="4" t="s">
        <v>2256</v>
      </c>
      <c r="B780" s="3">
        <v>0.0</v>
      </c>
      <c r="C780" s="3" t="s">
        <v>32</v>
      </c>
    </row>
    <row r="781">
      <c r="A781" s="4" t="s">
        <v>2257</v>
      </c>
      <c r="B781" s="3">
        <v>800.0</v>
      </c>
      <c r="C781" s="4"/>
    </row>
    <row r="782">
      <c r="A782" s="4" t="s">
        <v>1131</v>
      </c>
      <c r="B782" s="3">
        <v>2000.0</v>
      </c>
      <c r="C782" s="3" t="s">
        <v>6</v>
      </c>
    </row>
    <row r="783">
      <c r="A783" s="4" t="s">
        <v>1132</v>
      </c>
      <c r="B783" s="3">
        <v>0.0</v>
      </c>
      <c r="C783" s="3" t="s">
        <v>6</v>
      </c>
    </row>
    <row r="784">
      <c r="A784" s="4" t="s">
        <v>1133</v>
      </c>
      <c r="B784" s="3">
        <v>0.0</v>
      </c>
      <c r="C784" s="3" t="s">
        <v>32</v>
      </c>
    </row>
    <row r="785">
      <c r="A785" s="4" t="s">
        <v>1134</v>
      </c>
      <c r="B785" s="3">
        <v>500.0</v>
      </c>
      <c r="C785" s="4"/>
    </row>
    <row r="786">
      <c r="A786" s="4" t="s">
        <v>1135</v>
      </c>
      <c r="B786" s="3">
        <v>3000.0</v>
      </c>
      <c r="C786" s="3" t="s">
        <v>6</v>
      </c>
    </row>
    <row r="787">
      <c r="A787" s="4" t="s">
        <v>1136</v>
      </c>
      <c r="B787" s="3">
        <v>402000.0</v>
      </c>
      <c r="C787" s="3" t="s">
        <v>16</v>
      </c>
    </row>
    <row r="788">
      <c r="A788" s="4" t="s">
        <v>1138</v>
      </c>
      <c r="B788" s="3">
        <v>0.0</v>
      </c>
      <c r="C788" s="3" t="s">
        <v>3</v>
      </c>
    </row>
    <row r="789">
      <c r="A789" s="4" t="s">
        <v>1139</v>
      </c>
      <c r="B789" s="3">
        <v>0.0</v>
      </c>
      <c r="C789" s="3" t="s">
        <v>3</v>
      </c>
    </row>
    <row r="790">
      <c r="A790" s="4" t="s">
        <v>1140</v>
      </c>
      <c r="B790" s="3">
        <v>0.0</v>
      </c>
      <c r="C790" s="3" t="s">
        <v>6</v>
      </c>
    </row>
    <row r="791">
      <c r="A791" s="4" t="s">
        <v>1141</v>
      </c>
      <c r="B791" s="3">
        <v>0.0</v>
      </c>
      <c r="C791" s="3" t="s">
        <v>3</v>
      </c>
    </row>
    <row r="792">
      <c r="A792" s="4" t="s">
        <v>1142</v>
      </c>
      <c r="B792" s="3">
        <v>0.0</v>
      </c>
      <c r="C792" s="3" t="s">
        <v>6</v>
      </c>
    </row>
    <row r="793">
      <c r="A793" s="4" t="s">
        <v>1143</v>
      </c>
      <c r="B793" s="3">
        <v>0.0</v>
      </c>
      <c r="C793" s="3" t="s">
        <v>3</v>
      </c>
    </row>
    <row r="794">
      <c r="A794" s="4" t="s">
        <v>1144</v>
      </c>
      <c r="B794" s="3">
        <v>2000.0</v>
      </c>
      <c r="C794" s="4"/>
    </row>
    <row r="795">
      <c r="A795" s="4" t="s">
        <v>1145</v>
      </c>
      <c r="B795" s="3">
        <v>15000.0</v>
      </c>
      <c r="C795" s="3" t="s">
        <v>668</v>
      </c>
    </row>
    <row r="796">
      <c r="A796" s="4" t="s">
        <v>1146</v>
      </c>
      <c r="B796" s="3">
        <v>4250.0</v>
      </c>
      <c r="C796" s="3" t="s">
        <v>29</v>
      </c>
    </row>
    <row r="797">
      <c r="A797" s="4" t="s">
        <v>1148</v>
      </c>
      <c r="B797" s="3">
        <v>0.0</v>
      </c>
      <c r="C797" s="3" t="s">
        <v>26</v>
      </c>
    </row>
    <row r="798">
      <c r="A798" s="4" t="s">
        <v>1149</v>
      </c>
      <c r="B798" s="3">
        <v>0.0</v>
      </c>
      <c r="C798" s="3" t="s">
        <v>29</v>
      </c>
    </row>
    <row r="799">
      <c r="A799" s="4" t="s">
        <v>1150</v>
      </c>
      <c r="B799" s="3">
        <v>100000.0</v>
      </c>
      <c r="C799" s="3" t="s">
        <v>29</v>
      </c>
    </row>
    <row r="800">
      <c r="A800" s="4" t="s">
        <v>1152</v>
      </c>
      <c r="B800" s="3">
        <v>0.0</v>
      </c>
      <c r="C800" s="3" t="s">
        <v>29</v>
      </c>
    </row>
    <row r="801">
      <c r="A801" s="4" t="s">
        <v>1153</v>
      </c>
      <c r="B801" s="3">
        <v>0.0</v>
      </c>
      <c r="C801" s="3" t="s">
        <v>29</v>
      </c>
    </row>
    <row r="802">
      <c r="A802" s="4" t="s">
        <v>1154</v>
      </c>
      <c r="B802" s="3">
        <v>0.0</v>
      </c>
      <c r="C802" s="3" t="s">
        <v>3</v>
      </c>
    </row>
    <row r="803">
      <c r="A803" s="4" t="s">
        <v>1155</v>
      </c>
      <c r="B803" s="3">
        <v>0.0</v>
      </c>
      <c r="C803" s="3" t="s">
        <v>3</v>
      </c>
    </row>
    <row r="804">
      <c r="A804" s="4" t="s">
        <v>1156</v>
      </c>
      <c r="B804" s="3">
        <v>33251.0</v>
      </c>
      <c r="C804" s="4"/>
    </row>
    <row r="805">
      <c r="A805" s="4" t="s">
        <v>1158</v>
      </c>
      <c r="B805" s="3">
        <v>0.0</v>
      </c>
      <c r="C805" s="3" t="s">
        <v>3</v>
      </c>
    </row>
    <row r="806">
      <c r="A806" s="4" t="s">
        <v>1159</v>
      </c>
      <c r="B806" s="3">
        <v>426565.0</v>
      </c>
      <c r="C806" s="3" t="s">
        <v>32</v>
      </c>
    </row>
    <row r="807">
      <c r="A807" s="4" t="s">
        <v>1161</v>
      </c>
      <c r="B807" s="3">
        <v>500.0</v>
      </c>
      <c r="C807" s="4"/>
    </row>
    <row r="808">
      <c r="A808" s="4" t="s">
        <v>1162</v>
      </c>
      <c r="B808" s="3">
        <v>0.0</v>
      </c>
      <c r="C808" s="3" t="s">
        <v>3</v>
      </c>
    </row>
    <row r="809">
      <c r="A809" s="4" t="s">
        <v>1163</v>
      </c>
      <c r="B809" s="3">
        <v>0.0</v>
      </c>
      <c r="C809" s="3" t="s">
        <v>3</v>
      </c>
    </row>
    <row r="810">
      <c r="A810" s="4" t="s">
        <v>1164</v>
      </c>
      <c r="B810" s="3">
        <v>0.0</v>
      </c>
      <c r="C810" s="3" t="s">
        <v>3</v>
      </c>
    </row>
    <row r="811">
      <c r="A811" s="4" t="s">
        <v>1165</v>
      </c>
      <c r="B811" s="3">
        <v>3000.0</v>
      </c>
      <c r="C811" s="3" t="s">
        <v>3</v>
      </c>
    </row>
    <row r="812">
      <c r="A812" s="4" t="s">
        <v>1166</v>
      </c>
      <c r="B812" s="3">
        <v>0.0</v>
      </c>
      <c r="C812" s="3" t="s">
        <v>3</v>
      </c>
    </row>
    <row r="813">
      <c r="A813" s="4" t="s">
        <v>1167</v>
      </c>
      <c r="B813" s="3">
        <v>0.0</v>
      </c>
      <c r="C813" s="3" t="s">
        <v>3</v>
      </c>
    </row>
    <row r="814">
      <c r="A814" s="4" t="s">
        <v>1168</v>
      </c>
      <c r="B814" s="3">
        <v>0.0</v>
      </c>
      <c r="C814" s="3" t="s">
        <v>3</v>
      </c>
    </row>
    <row r="815">
      <c r="A815" s="4" t="s">
        <v>1169</v>
      </c>
      <c r="B815" s="3">
        <v>0.0</v>
      </c>
      <c r="C815" s="3" t="s">
        <v>3</v>
      </c>
    </row>
    <row r="816">
      <c r="A816" s="4" t="s">
        <v>1170</v>
      </c>
      <c r="B816" s="3">
        <v>0.0</v>
      </c>
      <c r="C816" s="3" t="s">
        <v>3</v>
      </c>
    </row>
    <row r="817">
      <c r="A817" s="4" t="s">
        <v>1171</v>
      </c>
      <c r="B817" s="3">
        <v>0.0</v>
      </c>
      <c r="C817" s="3" t="s">
        <v>3</v>
      </c>
    </row>
    <row r="818">
      <c r="A818" s="4" t="s">
        <v>1172</v>
      </c>
      <c r="B818" s="3">
        <v>0.0</v>
      </c>
      <c r="C818" s="3" t="s">
        <v>6</v>
      </c>
    </row>
    <row r="819">
      <c r="A819" s="4" t="s">
        <v>1173</v>
      </c>
      <c r="B819" s="3">
        <v>0.0</v>
      </c>
      <c r="C819" s="3" t="s">
        <v>3</v>
      </c>
    </row>
    <row r="820">
      <c r="A820" s="4" t="s">
        <v>1174</v>
      </c>
      <c r="B820" s="3">
        <v>0.0</v>
      </c>
      <c r="C820" s="3" t="s">
        <v>3</v>
      </c>
    </row>
    <row r="821">
      <c r="A821" s="4" t="s">
        <v>2258</v>
      </c>
      <c r="B821" s="3">
        <v>500.0</v>
      </c>
      <c r="C821" s="4"/>
    </row>
    <row r="822">
      <c r="A822" s="4" t="s">
        <v>1177</v>
      </c>
      <c r="B822" s="3">
        <v>2800.0</v>
      </c>
      <c r="C822" s="3" t="s">
        <v>3</v>
      </c>
    </row>
    <row r="823">
      <c r="A823" s="4" t="s">
        <v>1178</v>
      </c>
      <c r="B823" s="3">
        <v>1800.0</v>
      </c>
      <c r="C823" s="4"/>
    </row>
    <row r="824">
      <c r="A824" s="4" t="s">
        <v>1179</v>
      </c>
      <c r="B824" s="3">
        <v>334000.0</v>
      </c>
      <c r="C824" s="4"/>
    </row>
    <row r="825">
      <c r="A825" s="4" t="s">
        <v>1181</v>
      </c>
      <c r="B825" s="3">
        <v>1000.0</v>
      </c>
      <c r="C825" s="4"/>
    </row>
    <row r="826">
      <c r="A826" s="4" t="s">
        <v>1182</v>
      </c>
      <c r="B826" s="3">
        <v>500.0</v>
      </c>
      <c r="C826" s="4"/>
    </row>
    <row r="827">
      <c r="A827" s="4" t="s">
        <v>1183</v>
      </c>
      <c r="B827" s="3">
        <v>0.0</v>
      </c>
      <c r="C827" s="3" t="s">
        <v>3</v>
      </c>
    </row>
    <row r="828">
      <c r="A828" s="4" t="s">
        <v>2259</v>
      </c>
      <c r="B828" s="3">
        <v>141174.0</v>
      </c>
      <c r="C828" s="3" t="s">
        <v>37</v>
      </c>
    </row>
    <row r="829">
      <c r="A829" s="4" t="s">
        <v>1186</v>
      </c>
      <c r="B829" s="3">
        <v>0.0</v>
      </c>
      <c r="C829" s="3" t="s">
        <v>6</v>
      </c>
    </row>
    <row r="830">
      <c r="A830" s="4" t="s">
        <v>1187</v>
      </c>
      <c r="B830" s="3">
        <v>115000.0</v>
      </c>
      <c r="C830" s="3" t="s">
        <v>32</v>
      </c>
    </row>
    <row r="831">
      <c r="A831" s="4" t="s">
        <v>1188</v>
      </c>
      <c r="B831" s="3">
        <v>492222.0</v>
      </c>
      <c r="C831" s="3" t="s">
        <v>32</v>
      </c>
    </row>
    <row r="832">
      <c r="A832" s="4" t="s">
        <v>1190</v>
      </c>
      <c r="B832" s="3">
        <v>0.0</v>
      </c>
      <c r="C832" s="3" t="s">
        <v>3</v>
      </c>
    </row>
    <row r="833">
      <c r="A833" s="4" t="s">
        <v>1191</v>
      </c>
      <c r="B833" s="3">
        <v>0.0</v>
      </c>
      <c r="C833" s="3" t="s">
        <v>6</v>
      </c>
    </row>
    <row r="834">
      <c r="A834" s="4" t="s">
        <v>1192</v>
      </c>
      <c r="B834" s="3">
        <v>5500.0</v>
      </c>
      <c r="C834" s="3" t="s">
        <v>29</v>
      </c>
    </row>
    <row r="835">
      <c r="A835" s="4" t="s">
        <v>1193</v>
      </c>
      <c r="B835" s="3">
        <v>4000.0</v>
      </c>
      <c r="C835" s="4"/>
    </row>
    <row r="836">
      <c r="A836" s="4" t="s">
        <v>1194</v>
      </c>
      <c r="B836" s="3">
        <v>16000.0</v>
      </c>
      <c r="C836" s="4"/>
    </row>
    <row r="837">
      <c r="A837" s="4" t="s">
        <v>1195</v>
      </c>
      <c r="B837" s="3">
        <v>0.0</v>
      </c>
      <c r="C837" s="3" t="s">
        <v>3</v>
      </c>
    </row>
    <row r="838">
      <c r="A838" s="4" t="s">
        <v>1196</v>
      </c>
      <c r="B838" s="3">
        <v>500.0</v>
      </c>
      <c r="C838" s="4"/>
    </row>
    <row r="839">
      <c r="A839" s="4" t="s">
        <v>2260</v>
      </c>
      <c r="B839" s="3">
        <v>0.0</v>
      </c>
      <c r="C839" s="3" t="s">
        <v>3</v>
      </c>
    </row>
    <row r="840">
      <c r="A840" s="4" t="s">
        <v>2261</v>
      </c>
      <c r="B840" s="3">
        <v>0.0</v>
      </c>
      <c r="C840" s="3" t="s">
        <v>3</v>
      </c>
    </row>
    <row r="841">
      <c r="A841" s="4" t="s">
        <v>1201</v>
      </c>
      <c r="B841" s="3">
        <v>0.0</v>
      </c>
      <c r="C841" s="3" t="s">
        <v>16</v>
      </c>
    </row>
    <row r="842">
      <c r="A842" s="4" t="s">
        <v>1202</v>
      </c>
      <c r="B842" s="3">
        <v>0.0</v>
      </c>
      <c r="C842" s="3" t="s">
        <v>32</v>
      </c>
    </row>
    <row r="843">
      <c r="A843" s="4" t="s">
        <v>1203</v>
      </c>
      <c r="B843" s="3">
        <v>190000.0</v>
      </c>
      <c r="C843" s="4"/>
    </row>
    <row r="844">
      <c r="A844" s="4" t="s">
        <v>2262</v>
      </c>
      <c r="B844" s="3">
        <v>35000.0</v>
      </c>
      <c r="C844" s="4"/>
    </row>
    <row r="845">
      <c r="A845" s="4" t="s">
        <v>2263</v>
      </c>
      <c r="B845" s="3">
        <v>1000.0</v>
      </c>
      <c r="C845" s="4"/>
    </row>
    <row r="846">
      <c r="A846" s="4" t="s">
        <v>1209</v>
      </c>
      <c r="B846" s="3">
        <v>1500.0</v>
      </c>
      <c r="C846" s="4"/>
    </row>
    <row r="847">
      <c r="A847" s="4" t="s">
        <v>2264</v>
      </c>
      <c r="B847" s="3">
        <v>0.0</v>
      </c>
      <c r="C847" s="3" t="s">
        <v>3</v>
      </c>
    </row>
    <row r="848">
      <c r="A848" s="4" t="s">
        <v>2265</v>
      </c>
      <c r="B848" s="3">
        <v>2500.0</v>
      </c>
      <c r="C848" s="3" t="s">
        <v>3</v>
      </c>
    </row>
    <row r="849">
      <c r="A849" s="4" t="s">
        <v>1214</v>
      </c>
      <c r="B849" s="3">
        <v>5000.0</v>
      </c>
      <c r="C849" s="3" t="s">
        <v>29</v>
      </c>
    </row>
    <row r="850">
      <c r="A850" s="4" t="s">
        <v>1215</v>
      </c>
      <c r="B850" s="3">
        <v>0.0</v>
      </c>
      <c r="C850" s="3" t="s">
        <v>29</v>
      </c>
    </row>
    <row r="851">
      <c r="A851" s="4" t="s">
        <v>1216</v>
      </c>
      <c r="B851" s="3">
        <v>0.0</v>
      </c>
      <c r="C851" s="3" t="s">
        <v>3</v>
      </c>
    </row>
    <row r="852">
      <c r="A852" s="4" t="s">
        <v>1217</v>
      </c>
      <c r="B852" s="3">
        <v>0.0</v>
      </c>
      <c r="C852" s="3" t="s">
        <v>29</v>
      </c>
    </row>
    <row r="853">
      <c r="A853" s="4" t="s">
        <v>1218</v>
      </c>
      <c r="B853" s="3">
        <v>0.0</v>
      </c>
      <c r="C853" s="3" t="s">
        <v>29</v>
      </c>
    </row>
    <row r="854">
      <c r="A854" s="4" t="s">
        <v>1219</v>
      </c>
      <c r="B854" s="3">
        <v>0.0</v>
      </c>
      <c r="C854" s="3" t="s">
        <v>26</v>
      </c>
    </row>
    <row r="855">
      <c r="A855" s="4" t="s">
        <v>1220</v>
      </c>
      <c r="B855" s="3">
        <v>0.0</v>
      </c>
      <c r="C855" s="3" t="s">
        <v>3</v>
      </c>
    </row>
    <row r="856">
      <c r="A856" s="4" t="s">
        <v>1221</v>
      </c>
      <c r="B856" s="3">
        <v>0.0</v>
      </c>
      <c r="C856" s="3" t="s">
        <v>3</v>
      </c>
    </row>
    <row r="857">
      <c r="A857" s="4" t="s">
        <v>1222</v>
      </c>
      <c r="B857" s="3">
        <v>0.0</v>
      </c>
      <c r="C857" s="3" t="s">
        <v>6</v>
      </c>
    </row>
    <row r="858">
      <c r="A858" s="4" t="s">
        <v>1223</v>
      </c>
      <c r="B858" s="3">
        <v>3000.0</v>
      </c>
      <c r="C858" s="3" t="s">
        <v>3</v>
      </c>
    </row>
    <row r="859">
      <c r="A859" s="4" t="s">
        <v>1224</v>
      </c>
      <c r="B859" s="3">
        <v>0.0</v>
      </c>
      <c r="C859" s="3" t="s">
        <v>6</v>
      </c>
    </row>
    <row r="860">
      <c r="A860" s="4" t="s">
        <v>1225</v>
      </c>
      <c r="B860" s="3">
        <v>0.0</v>
      </c>
      <c r="C860" s="3" t="s">
        <v>3</v>
      </c>
    </row>
    <row r="861">
      <c r="A861" s="4" t="s">
        <v>1226</v>
      </c>
      <c r="B861" s="3">
        <v>0.0</v>
      </c>
      <c r="C861" s="3" t="s">
        <v>29</v>
      </c>
    </row>
    <row r="862">
      <c r="A862" s="4" t="s">
        <v>1227</v>
      </c>
      <c r="B862" s="3">
        <v>66000.0</v>
      </c>
      <c r="C862" s="4"/>
    </row>
    <row r="863">
      <c r="A863" s="4" t="s">
        <v>1229</v>
      </c>
      <c r="B863" s="3">
        <v>0.0</v>
      </c>
      <c r="C863" s="3" t="s">
        <v>6</v>
      </c>
    </row>
    <row r="864">
      <c r="A864" s="4" t="s">
        <v>2266</v>
      </c>
      <c r="B864" s="3">
        <v>0.0</v>
      </c>
      <c r="C864" s="3" t="s">
        <v>3</v>
      </c>
    </row>
    <row r="865">
      <c r="A865" s="4" t="s">
        <v>1232</v>
      </c>
      <c r="B865" s="3">
        <v>0.0</v>
      </c>
      <c r="C865" s="3" t="s">
        <v>29</v>
      </c>
    </row>
    <row r="866">
      <c r="A866" s="4" t="s">
        <v>1233</v>
      </c>
      <c r="B866" s="3">
        <v>0.0</v>
      </c>
      <c r="C866" s="3" t="s">
        <v>3</v>
      </c>
    </row>
    <row r="867">
      <c r="A867" s="4" t="s">
        <v>1234</v>
      </c>
      <c r="B867" s="3">
        <v>8308.0</v>
      </c>
      <c r="C867" s="3" t="s">
        <v>26</v>
      </c>
    </row>
    <row r="868">
      <c r="A868" s="4" t="s">
        <v>1236</v>
      </c>
      <c r="B868" s="3">
        <v>0.0</v>
      </c>
      <c r="C868" s="3" t="s">
        <v>6</v>
      </c>
    </row>
    <row r="869">
      <c r="A869" s="4" t="s">
        <v>1237</v>
      </c>
      <c r="B869" s="3">
        <v>0.0</v>
      </c>
      <c r="C869" s="3" t="s">
        <v>32</v>
      </c>
    </row>
    <row r="870">
      <c r="A870" s="4" t="s">
        <v>1238</v>
      </c>
      <c r="B870" s="3">
        <v>1500.0</v>
      </c>
      <c r="C870" s="4"/>
    </row>
    <row r="871">
      <c r="A871" s="4" t="s">
        <v>1239</v>
      </c>
      <c r="B871" s="3">
        <v>0.0</v>
      </c>
      <c r="C871" s="3" t="s">
        <v>3</v>
      </c>
    </row>
    <row r="872">
      <c r="A872" s="4" t="s">
        <v>1240</v>
      </c>
      <c r="B872" s="3">
        <v>0.0</v>
      </c>
      <c r="C872" s="3" t="s">
        <v>3</v>
      </c>
    </row>
    <row r="873">
      <c r="A873" s="4" t="s">
        <v>1241</v>
      </c>
      <c r="B873" s="3">
        <v>300.0</v>
      </c>
      <c r="C873" s="4"/>
    </row>
    <row r="874">
      <c r="A874" s="4" t="s">
        <v>1242</v>
      </c>
      <c r="B874" s="3">
        <v>4500.0</v>
      </c>
      <c r="C874" s="3" t="s">
        <v>3</v>
      </c>
    </row>
    <row r="875">
      <c r="A875" s="4" t="s">
        <v>1243</v>
      </c>
      <c r="B875" s="3">
        <v>7000.0</v>
      </c>
      <c r="C875" s="3" t="s">
        <v>26</v>
      </c>
    </row>
    <row r="876">
      <c r="A876" s="4" t="s">
        <v>1244</v>
      </c>
      <c r="B876" s="3">
        <v>3000.0</v>
      </c>
      <c r="C876" s="4"/>
    </row>
    <row r="877">
      <c r="A877" s="4" t="s">
        <v>1245</v>
      </c>
      <c r="B877" s="3">
        <v>500.0</v>
      </c>
      <c r="C877" s="4"/>
    </row>
    <row r="878">
      <c r="A878" s="4" t="s">
        <v>1246</v>
      </c>
      <c r="B878" s="3">
        <v>21000.0</v>
      </c>
      <c r="C878" s="4"/>
    </row>
    <row r="879">
      <c r="A879" s="4" t="s">
        <v>1247</v>
      </c>
      <c r="B879" s="3">
        <v>3000.0</v>
      </c>
      <c r="C879" s="4"/>
    </row>
    <row r="880">
      <c r="A880" s="4" t="s">
        <v>1248</v>
      </c>
      <c r="B880" s="3">
        <v>12000.0</v>
      </c>
      <c r="C880" s="4"/>
    </row>
    <row r="881">
      <c r="A881" s="4" t="s">
        <v>1249</v>
      </c>
      <c r="B881" s="3">
        <v>0.0</v>
      </c>
      <c r="C881" s="3" t="s">
        <v>3</v>
      </c>
    </row>
    <row r="882">
      <c r="A882" s="4" t="s">
        <v>2267</v>
      </c>
      <c r="B882" s="3">
        <v>0.0</v>
      </c>
      <c r="C882" s="3" t="s">
        <v>3</v>
      </c>
    </row>
    <row r="883">
      <c r="A883" s="4" t="s">
        <v>1252</v>
      </c>
      <c r="B883" s="3">
        <v>2500.0</v>
      </c>
      <c r="C883" s="4"/>
    </row>
    <row r="884">
      <c r="A884" s="4" t="s">
        <v>1253</v>
      </c>
      <c r="B884" s="3">
        <v>0.0</v>
      </c>
      <c r="C884" s="3" t="s">
        <v>6</v>
      </c>
    </row>
    <row r="885">
      <c r="A885" s="4" t="s">
        <v>1254</v>
      </c>
      <c r="B885" s="3">
        <v>0.0</v>
      </c>
      <c r="C885" s="3" t="s">
        <v>484</v>
      </c>
    </row>
    <row r="886">
      <c r="A886" s="4" t="s">
        <v>2268</v>
      </c>
      <c r="B886" s="3">
        <v>0.0</v>
      </c>
      <c r="C886" s="3" t="s">
        <v>3</v>
      </c>
    </row>
    <row r="887">
      <c r="A887" s="4" t="s">
        <v>1257</v>
      </c>
      <c r="B887" s="3">
        <v>0.0</v>
      </c>
      <c r="C887" s="3" t="s">
        <v>29</v>
      </c>
    </row>
    <row r="888">
      <c r="A888" s="4" t="s">
        <v>1258</v>
      </c>
      <c r="B888" s="3">
        <v>1500.0</v>
      </c>
      <c r="C888" s="4"/>
    </row>
    <row r="889">
      <c r="A889" s="4" t="s">
        <v>1259</v>
      </c>
      <c r="B889" s="3">
        <v>1000.0</v>
      </c>
      <c r="C889" s="3" t="s">
        <v>6</v>
      </c>
    </row>
    <row r="890">
      <c r="A890" s="4" t="s">
        <v>1260</v>
      </c>
      <c r="B890" s="3">
        <v>1550.0</v>
      </c>
      <c r="C890" s="4"/>
    </row>
    <row r="891">
      <c r="A891" s="4" t="s">
        <v>1262</v>
      </c>
      <c r="B891" s="3">
        <v>25000.0</v>
      </c>
      <c r="C891" s="4"/>
    </row>
    <row r="892">
      <c r="A892" s="4" t="s">
        <v>1264</v>
      </c>
      <c r="B892" s="3">
        <v>9000.0</v>
      </c>
      <c r="C892" s="4"/>
    </row>
    <row r="893">
      <c r="A893" s="4" t="s">
        <v>1266</v>
      </c>
      <c r="B893" s="3">
        <v>0.0</v>
      </c>
      <c r="C893" s="3" t="s">
        <v>3</v>
      </c>
    </row>
    <row r="894">
      <c r="A894" s="4" t="s">
        <v>1267</v>
      </c>
      <c r="B894" s="3">
        <v>0.0</v>
      </c>
      <c r="C894" s="3" t="s">
        <v>29</v>
      </c>
    </row>
    <row r="895">
      <c r="A895" s="4" t="s">
        <v>1268</v>
      </c>
      <c r="B895" s="3">
        <v>0.0</v>
      </c>
      <c r="C895" s="3" t="s">
        <v>6</v>
      </c>
    </row>
    <row r="896">
      <c r="A896" s="4" t="s">
        <v>1269</v>
      </c>
      <c r="B896" s="3">
        <v>800.0</v>
      </c>
      <c r="C896" s="4"/>
    </row>
    <row r="897">
      <c r="A897" s="4" t="s">
        <v>1270</v>
      </c>
      <c r="B897" s="3">
        <v>478850.0</v>
      </c>
      <c r="C897" s="3" t="s">
        <v>32</v>
      </c>
    </row>
    <row r="898">
      <c r="A898" s="4" t="s">
        <v>1272</v>
      </c>
      <c r="B898" s="3">
        <v>700.0</v>
      </c>
      <c r="C898" s="3" t="s">
        <v>3</v>
      </c>
    </row>
    <row r="899">
      <c r="A899" s="4" t="s">
        <v>1273</v>
      </c>
      <c r="B899" s="3">
        <v>24500.0</v>
      </c>
      <c r="C899" s="3" t="s">
        <v>3</v>
      </c>
    </row>
    <row r="900">
      <c r="A900" s="4" t="s">
        <v>1275</v>
      </c>
      <c r="B900" s="3">
        <v>0.0</v>
      </c>
      <c r="C900" s="3" t="s">
        <v>29</v>
      </c>
    </row>
    <row r="901">
      <c r="A901" s="4" t="s">
        <v>1276</v>
      </c>
      <c r="B901" s="3">
        <v>0.0</v>
      </c>
      <c r="C901" s="3" t="s">
        <v>3</v>
      </c>
    </row>
    <row r="902">
      <c r="A902" s="4" t="s">
        <v>1277</v>
      </c>
      <c r="B902" s="3">
        <v>14000.0</v>
      </c>
      <c r="C902" s="3" t="s">
        <v>16</v>
      </c>
    </row>
    <row r="903">
      <c r="A903" s="4" t="s">
        <v>1278</v>
      </c>
      <c r="B903" s="3">
        <v>10000.0</v>
      </c>
      <c r="C903" s="4"/>
    </row>
    <row r="904">
      <c r="A904" s="4" t="s">
        <v>1279</v>
      </c>
      <c r="B904" s="3">
        <v>6000.0</v>
      </c>
      <c r="C904" s="4"/>
    </row>
    <row r="905">
      <c r="A905" s="4" t="s">
        <v>1280</v>
      </c>
      <c r="B905" s="3">
        <v>0.0</v>
      </c>
      <c r="C905" s="3" t="s">
        <v>3</v>
      </c>
    </row>
    <row r="906">
      <c r="A906" s="4" t="s">
        <v>1281</v>
      </c>
      <c r="B906" s="3">
        <v>3000.0</v>
      </c>
      <c r="C906" s="3" t="s">
        <v>3</v>
      </c>
    </row>
    <row r="907">
      <c r="A907" s="4" t="s">
        <v>1282</v>
      </c>
      <c r="B907" s="3">
        <v>0.0</v>
      </c>
      <c r="C907" s="3" t="s">
        <v>3</v>
      </c>
    </row>
    <row r="908">
      <c r="A908" s="4" t="s">
        <v>1283</v>
      </c>
      <c r="B908" s="3">
        <v>0.0</v>
      </c>
      <c r="C908" s="3" t="s">
        <v>3</v>
      </c>
    </row>
    <row r="909">
      <c r="A909" s="4" t="s">
        <v>1284</v>
      </c>
      <c r="B909" s="3">
        <v>0.0</v>
      </c>
      <c r="C909" s="3" t="s">
        <v>32</v>
      </c>
    </row>
    <row r="910">
      <c r="A910" s="4" t="s">
        <v>1285</v>
      </c>
      <c r="B910" s="3">
        <v>3300.0</v>
      </c>
      <c r="C910" s="4"/>
    </row>
    <row r="911">
      <c r="A911" s="4" t="s">
        <v>1287</v>
      </c>
      <c r="B911" s="3">
        <v>4000.0</v>
      </c>
      <c r="C911" s="3" t="s">
        <v>3</v>
      </c>
    </row>
    <row r="912">
      <c r="A912" s="4" t="s">
        <v>1288</v>
      </c>
      <c r="B912" s="3">
        <v>10083.0</v>
      </c>
      <c r="C912" s="3" t="s">
        <v>32</v>
      </c>
    </row>
    <row r="913">
      <c r="A913" s="4" t="s">
        <v>1290</v>
      </c>
      <c r="B913" s="3">
        <v>3000.0</v>
      </c>
      <c r="C913" s="3" t="s">
        <v>3</v>
      </c>
    </row>
    <row r="914">
      <c r="A914" s="4" t="s">
        <v>1291</v>
      </c>
      <c r="B914" s="3">
        <v>0.0</v>
      </c>
      <c r="C914" s="3" t="s">
        <v>29</v>
      </c>
    </row>
    <row r="915">
      <c r="A915" s="4" t="s">
        <v>1292</v>
      </c>
      <c r="B915" s="3">
        <v>0.0</v>
      </c>
      <c r="C915" s="3" t="s">
        <v>3</v>
      </c>
    </row>
    <row r="916">
      <c r="A916" s="4" t="s">
        <v>1293</v>
      </c>
      <c r="B916" s="3">
        <v>7370.0</v>
      </c>
      <c r="C916" s="3" t="s">
        <v>29</v>
      </c>
    </row>
    <row r="917">
      <c r="A917" s="4" t="s">
        <v>1295</v>
      </c>
      <c r="B917" s="3">
        <v>0.0</v>
      </c>
      <c r="C917" s="3" t="s">
        <v>3</v>
      </c>
    </row>
    <row r="918">
      <c r="A918" s="4" t="s">
        <v>1296</v>
      </c>
      <c r="B918" s="3">
        <v>0.0</v>
      </c>
      <c r="C918" s="3" t="s">
        <v>3</v>
      </c>
    </row>
    <row r="919">
      <c r="A919" s="4" t="s">
        <v>1297</v>
      </c>
      <c r="B919" s="3">
        <v>0.0</v>
      </c>
      <c r="C919" s="3" t="s">
        <v>3</v>
      </c>
    </row>
    <row r="920">
      <c r="A920" s="4" t="s">
        <v>1298</v>
      </c>
      <c r="B920" s="3">
        <v>0.0</v>
      </c>
      <c r="C920" s="3" t="s">
        <v>3</v>
      </c>
    </row>
    <row r="921">
      <c r="A921" s="4" t="s">
        <v>1299</v>
      </c>
      <c r="B921" s="3">
        <v>0.0</v>
      </c>
      <c r="C921" s="3" t="s">
        <v>3</v>
      </c>
    </row>
    <row r="922">
      <c r="A922" s="4" t="s">
        <v>1300</v>
      </c>
      <c r="B922" s="3">
        <v>2000.0</v>
      </c>
      <c r="C922" s="3" t="s">
        <v>6</v>
      </c>
    </row>
    <row r="923">
      <c r="A923" s="4" t="s">
        <v>1301</v>
      </c>
      <c r="B923" s="3">
        <v>0.0</v>
      </c>
      <c r="C923" s="3" t="s">
        <v>3</v>
      </c>
    </row>
    <row r="924">
      <c r="A924" s="4" t="s">
        <v>1302</v>
      </c>
      <c r="B924" s="3">
        <v>0.0</v>
      </c>
      <c r="C924" s="3" t="s">
        <v>29</v>
      </c>
    </row>
    <row r="925">
      <c r="A925" s="4" t="s">
        <v>1303</v>
      </c>
      <c r="B925" s="3">
        <v>500.0</v>
      </c>
      <c r="C925" s="3" t="s">
        <v>6</v>
      </c>
    </row>
    <row r="926">
      <c r="A926" s="4" t="s">
        <v>1304</v>
      </c>
      <c r="B926" s="3">
        <v>9000.0</v>
      </c>
      <c r="C926" s="3" t="s">
        <v>3</v>
      </c>
    </row>
    <row r="927">
      <c r="A927" s="4" t="s">
        <v>1305</v>
      </c>
      <c r="B927" s="3">
        <v>2000.0</v>
      </c>
      <c r="C927" s="3" t="s">
        <v>3</v>
      </c>
    </row>
    <row r="928">
      <c r="A928" s="4" t="s">
        <v>1306</v>
      </c>
      <c r="B928" s="3">
        <v>1700.0</v>
      </c>
      <c r="C928" s="4"/>
    </row>
    <row r="929">
      <c r="A929" s="4" t="s">
        <v>1307</v>
      </c>
      <c r="B929" s="3">
        <v>0.0</v>
      </c>
      <c r="C929" s="3" t="s">
        <v>32</v>
      </c>
    </row>
    <row r="930">
      <c r="A930" s="4" t="s">
        <v>1308</v>
      </c>
      <c r="B930" s="3">
        <v>3000.0</v>
      </c>
      <c r="C930" s="4"/>
    </row>
    <row r="931">
      <c r="A931" s="4" t="s">
        <v>1309</v>
      </c>
      <c r="B931" s="3">
        <v>0.0</v>
      </c>
      <c r="C931" s="3" t="s">
        <v>3</v>
      </c>
    </row>
    <row r="932">
      <c r="A932" s="4" t="s">
        <v>1310</v>
      </c>
      <c r="B932" s="3">
        <v>0.0</v>
      </c>
      <c r="C932" s="3" t="s">
        <v>6</v>
      </c>
    </row>
    <row r="933">
      <c r="A933" s="4" t="s">
        <v>1311</v>
      </c>
      <c r="B933" s="3">
        <v>0.0</v>
      </c>
      <c r="C933" s="3" t="s">
        <v>3</v>
      </c>
    </row>
    <row r="934">
      <c r="A934" s="4" t="s">
        <v>1312</v>
      </c>
      <c r="B934" s="3">
        <v>500.0</v>
      </c>
      <c r="C934" s="3" t="s">
        <v>3</v>
      </c>
    </row>
    <row r="935">
      <c r="A935" s="4" t="s">
        <v>1313</v>
      </c>
      <c r="B935" s="3">
        <v>0.0</v>
      </c>
      <c r="C935" s="3" t="s">
        <v>3</v>
      </c>
    </row>
    <row r="936">
      <c r="A936" s="4" t="s">
        <v>1314</v>
      </c>
      <c r="B936" s="3">
        <v>4000.0</v>
      </c>
      <c r="C936" s="4"/>
    </row>
    <row r="937">
      <c r="A937" s="4" t="s">
        <v>1315</v>
      </c>
      <c r="B937" s="3">
        <v>16000.0</v>
      </c>
      <c r="C937" s="3" t="s">
        <v>3</v>
      </c>
    </row>
    <row r="938">
      <c r="A938" s="4" t="s">
        <v>1316</v>
      </c>
      <c r="B938" s="3">
        <v>0.0</v>
      </c>
      <c r="C938" s="3" t="s">
        <v>3</v>
      </c>
    </row>
    <row r="939">
      <c r="A939" s="4" t="s">
        <v>1317</v>
      </c>
      <c r="B939" s="3">
        <v>0.0</v>
      </c>
      <c r="C939" s="3" t="s">
        <v>6</v>
      </c>
    </row>
    <row r="940">
      <c r="A940" s="4" t="s">
        <v>1318</v>
      </c>
      <c r="B940" s="3">
        <v>2000.0</v>
      </c>
      <c r="C940" s="4"/>
    </row>
    <row r="941">
      <c r="A941" s="4" t="s">
        <v>2269</v>
      </c>
      <c r="B941" s="3">
        <v>0.0</v>
      </c>
      <c r="C941" s="3" t="s">
        <v>3</v>
      </c>
    </row>
    <row r="942">
      <c r="A942" s="4" t="s">
        <v>1321</v>
      </c>
      <c r="B942" s="3">
        <v>8000.0</v>
      </c>
      <c r="C942" s="4"/>
    </row>
    <row r="943">
      <c r="A943" s="4" t="s">
        <v>1322</v>
      </c>
      <c r="B943" s="3">
        <v>23000.0</v>
      </c>
      <c r="C943" s="3" t="s">
        <v>3</v>
      </c>
    </row>
    <row r="944">
      <c r="A944" s="4" t="s">
        <v>1323</v>
      </c>
      <c r="B944" s="3">
        <v>0.0</v>
      </c>
      <c r="C944" s="3" t="s">
        <v>3</v>
      </c>
    </row>
    <row r="945">
      <c r="A945" s="4" t="s">
        <v>1324</v>
      </c>
      <c r="B945" s="3">
        <v>4500.0</v>
      </c>
      <c r="C945" s="3" t="s">
        <v>16</v>
      </c>
    </row>
    <row r="946">
      <c r="A946" s="4" t="s">
        <v>1325</v>
      </c>
      <c r="B946" s="3">
        <v>0.0</v>
      </c>
      <c r="C946" s="3" t="s">
        <v>3</v>
      </c>
    </row>
    <row r="947">
      <c r="A947" s="4" t="s">
        <v>1326</v>
      </c>
      <c r="B947" s="3">
        <v>3000.0</v>
      </c>
      <c r="C947" s="4"/>
    </row>
    <row r="948">
      <c r="A948" s="4" t="s">
        <v>1327</v>
      </c>
      <c r="B948" s="3">
        <v>0.0</v>
      </c>
      <c r="C948" s="3" t="s">
        <v>6</v>
      </c>
    </row>
    <row r="949">
      <c r="A949" s="4" t="s">
        <v>1328</v>
      </c>
      <c r="B949" s="3">
        <v>0.0</v>
      </c>
      <c r="C949" s="3" t="s">
        <v>29</v>
      </c>
    </row>
    <row r="950">
      <c r="A950" s="4" t="s">
        <v>1329</v>
      </c>
      <c r="B950" s="3">
        <v>0.0</v>
      </c>
      <c r="C950" s="3" t="s">
        <v>6</v>
      </c>
    </row>
    <row r="951">
      <c r="A951" s="4" t="s">
        <v>1330</v>
      </c>
      <c r="B951" s="3">
        <v>0.0</v>
      </c>
      <c r="C951" s="3" t="s">
        <v>6</v>
      </c>
    </row>
    <row r="952">
      <c r="A952" s="4" t="s">
        <v>1331</v>
      </c>
      <c r="B952" s="3">
        <v>10000.0</v>
      </c>
      <c r="C952" s="3" t="s">
        <v>32</v>
      </c>
    </row>
    <row r="953">
      <c r="A953" s="4" t="s">
        <v>1332</v>
      </c>
      <c r="B953" s="3">
        <v>500.0</v>
      </c>
      <c r="C953" s="4"/>
    </row>
    <row r="954">
      <c r="A954" s="4" t="s">
        <v>1333</v>
      </c>
      <c r="B954" s="3">
        <v>1500.0</v>
      </c>
      <c r="C954" s="4"/>
    </row>
    <row r="955">
      <c r="A955" s="4" t="s">
        <v>1334</v>
      </c>
      <c r="B955" s="3">
        <v>1000.0</v>
      </c>
      <c r="C955" s="4"/>
    </row>
    <row r="956">
      <c r="A956" s="4" t="s">
        <v>1335</v>
      </c>
      <c r="B956" s="3">
        <v>1200.0</v>
      </c>
      <c r="C956" s="3" t="s">
        <v>32</v>
      </c>
    </row>
    <row r="957">
      <c r="A957" s="4" t="s">
        <v>1336</v>
      </c>
      <c r="B957" s="3">
        <v>22000.0</v>
      </c>
      <c r="C957" s="4"/>
    </row>
    <row r="958">
      <c r="A958" s="4" t="s">
        <v>1337</v>
      </c>
      <c r="B958" s="3">
        <v>3000.0</v>
      </c>
      <c r="C958" s="4"/>
    </row>
    <row r="959">
      <c r="A959" s="4" t="s">
        <v>1338</v>
      </c>
      <c r="B959" s="3">
        <v>3200.0</v>
      </c>
      <c r="C959" s="3" t="s">
        <v>3</v>
      </c>
    </row>
    <row r="960">
      <c r="A960" s="4" t="s">
        <v>1339</v>
      </c>
      <c r="B960" s="3">
        <v>57005.0</v>
      </c>
      <c r="C960" s="4"/>
    </row>
    <row r="961">
      <c r="A961" s="4" t="s">
        <v>1341</v>
      </c>
      <c r="B961" s="3">
        <v>2000.0</v>
      </c>
      <c r="C961" s="3" t="s">
        <v>6</v>
      </c>
    </row>
    <row r="962">
      <c r="A962" s="4" t="s">
        <v>1342</v>
      </c>
      <c r="B962" s="3">
        <v>3500.0</v>
      </c>
      <c r="C962" s="4"/>
    </row>
    <row r="963">
      <c r="A963" s="4" t="s">
        <v>1343</v>
      </c>
      <c r="B963" s="3">
        <v>6000.0</v>
      </c>
      <c r="C963" s="4"/>
    </row>
    <row r="964">
      <c r="A964" s="4" t="s">
        <v>1344</v>
      </c>
      <c r="B964" s="3">
        <v>0.0</v>
      </c>
      <c r="C964" s="3" t="s">
        <v>3</v>
      </c>
    </row>
    <row r="965">
      <c r="A965" s="4" t="s">
        <v>1345</v>
      </c>
      <c r="B965" s="3">
        <v>600.0</v>
      </c>
      <c r="C965" s="4"/>
    </row>
    <row r="966">
      <c r="A966" s="4" t="s">
        <v>1346</v>
      </c>
      <c r="B966" s="3">
        <v>50000.0</v>
      </c>
      <c r="C966" s="4"/>
    </row>
    <row r="967">
      <c r="A967" s="4" t="s">
        <v>1347</v>
      </c>
      <c r="B967" s="3">
        <v>0.0</v>
      </c>
      <c r="C967" s="3" t="s">
        <v>3</v>
      </c>
    </row>
    <row r="968">
      <c r="A968" s="4" t="s">
        <v>1348</v>
      </c>
      <c r="B968" s="3">
        <v>13000.0</v>
      </c>
      <c r="C968" s="4"/>
    </row>
    <row r="969">
      <c r="A969" s="4" t="s">
        <v>1350</v>
      </c>
      <c r="B969" s="3">
        <v>0.0</v>
      </c>
      <c r="C969" s="3" t="s">
        <v>3</v>
      </c>
    </row>
    <row r="970">
      <c r="A970" s="4" t="s">
        <v>1351</v>
      </c>
      <c r="B970" s="3">
        <v>8000.0</v>
      </c>
      <c r="C970" s="4"/>
    </row>
    <row r="971">
      <c r="A971" s="4" t="s">
        <v>1352</v>
      </c>
      <c r="B971" s="3">
        <v>0.0</v>
      </c>
      <c r="C971" s="3" t="s">
        <v>3</v>
      </c>
    </row>
    <row r="972">
      <c r="A972" s="4" t="s">
        <v>1353</v>
      </c>
      <c r="B972" s="3">
        <v>0.0</v>
      </c>
      <c r="C972" s="3" t="s">
        <v>3</v>
      </c>
    </row>
    <row r="973">
      <c r="A973" s="4" t="s">
        <v>1354</v>
      </c>
      <c r="B973" s="3">
        <v>2500.0</v>
      </c>
      <c r="C973" s="3" t="s">
        <v>3</v>
      </c>
    </row>
    <row r="974">
      <c r="A974" s="4" t="s">
        <v>1355</v>
      </c>
      <c r="B974" s="3">
        <v>0.0</v>
      </c>
      <c r="C974" s="3" t="s">
        <v>3</v>
      </c>
    </row>
    <row r="975">
      <c r="A975" s="4" t="s">
        <v>1356</v>
      </c>
      <c r="B975" s="3">
        <v>0.0</v>
      </c>
      <c r="C975" s="3" t="s">
        <v>3</v>
      </c>
    </row>
    <row r="976">
      <c r="A976" s="4" t="s">
        <v>1357</v>
      </c>
      <c r="B976" s="3">
        <v>0.0</v>
      </c>
      <c r="C976" s="3" t="s">
        <v>3</v>
      </c>
    </row>
    <row r="977">
      <c r="A977" s="4" t="s">
        <v>1358</v>
      </c>
      <c r="B977" s="3">
        <v>15000.0</v>
      </c>
      <c r="C977" s="3" t="s">
        <v>32</v>
      </c>
    </row>
    <row r="978">
      <c r="A978" s="4" t="s">
        <v>2270</v>
      </c>
      <c r="B978" s="3">
        <v>9000.0</v>
      </c>
      <c r="C978" s="3" t="s">
        <v>37</v>
      </c>
    </row>
    <row r="979">
      <c r="A979" s="4" t="s">
        <v>1360</v>
      </c>
      <c r="B979" s="3">
        <v>0.0</v>
      </c>
      <c r="C979" s="3" t="s">
        <v>3</v>
      </c>
    </row>
    <row r="980">
      <c r="A980" s="4" t="s">
        <v>1361</v>
      </c>
      <c r="B980" s="3">
        <v>2000.0</v>
      </c>
      <c r="C980" s="4"/>
    </row>
    <row r="981">
      <c r="A981" s="4" t="s">
        <v>1362</v>
      </c>
      <c r="B981" s="3">
        <v>0.0</v>
      </c>
      <c r="C981" s="3" t="s">
        <v>29</v>
      </c>
    </row>
    <row r="982">
      <c r="A982" s="4" t="s">
        <v>1363</v>
      </c>
      <c r="B982" s="3">
        <v>80000.0</v>
      </c>
      <c r="C982" s="3" t="s">
        <v>3</v>
      </c>
    </row>
    <row r="983">
      <c r="A983" s="4" t="s">
        <v>1364</v>
      </c>
      <c r="B983" s="3">
        <v>0.0</v>
      </c>
      <c r="C983" s="3" t="s">
        <v>6</v>
      </c>
    </row>
    <row r="984">
      <c r="A984" s="4" t="s">
        <v>1365</v>
      </c>
      <c r="B984" s="3">
        <v>0.0</v>
      </c>
      <c r="C984" s="3" t="s">
        <v>3</v>
      </c>
    </row>
    <row r="985">
      <c r="A985" s="4" t="s">
        <v>1366</v>
      </c>
      <c r="B985" s="3">
        <v>0.0</v>
      </c>
      <c r="C985" s="3" t="s">
        <v>6</v>
      </c>
    </row>
    <row r="986">
      <c r="A986" s="4" t="s">
        <v>1367</v>
      </c>
      <c r="B986" s="3">
        <v>6000.0</v>
      </c>
      <c r="C986" s="3" t="s">
        <v>3</v>
      </c>
    </row>
    <row r="987">
      <c r="A987" s="4" t="s">
        <v>1368</v>
      </c>
      <c r="B987" s="3">
        <v>3000.0</v>
      </c>
      <c r="C987" s="4"/>
    </row>
    <row r="988">
      <c r="A988" s="4" t="s">
        <v>1369</v>
      </c>
      <c r="B988" s="3">
        <v>0.0</v>
      </c>
      <c r="C988" s="3" t="s">
        <v>3</v>
      </c>
    </row>
    <row r="989">
      <c r="A989" s="4" t="s">
        <v>1370</v>
      </c>
      <c r="B989" s="3">
        <v>2000.0</v>
      </c>
      <c r="C989" s="3" t="s">
        <v>32</v>
      </c>
    </row>
    <row r="990">
      <c r="A990" s="4" t="s">
        <v>2271</v>
      </c>
      <c r="B990" s="3">
        <v>198000.0</v>
      </c>
      <c r="C990" s="3" t="s">
        <v>1373</v>
      </c>
    </row>
    <row r="991">
      <c r="A991" s="4" t="s">
        <v>1375</v>
      </c>
      <c r="B991" s="3">
        <v>2000.0</v>
      </c>
      <c r="C991" s="3" t="s">
        <v>32</v>
      </c>
    </row>
    <row r="992">
      <c r="A992" s="4" t="s">
        <v>1376</v>
      </c>
      <c r="B992" s="3">
        <v>0.0</v>
      </c>
      <c r="C992" s="3" t="s">
        <v>3</v>
      </c>
    </row>
    <row r="993">
      <c r="A993" s="4" t="s">
        <v>1377</v>
      </c>
      <c r="B993" s="3">
        <v>56105.0</v>
      </c>
      <c r="C993" s="3" t="s">
        <v>1379</v>
      </c>
    </row>
    <row r="994">
      <c r="A994" s="4" t="s">
        <v>1380</v>
      </c>
      <c r="B994" s="3">
        <v>0.0</v>
      </c>
      <c r="C994" s="3" t="s">
        <v>3</v>
      </c>
    </row>
    <row r="995">
      <c r="A995" s="4" t="s">
        <v>1381</v>
      </c>
      <c r="B995" s="3">
        <v>3000.0</v>
      </c>
      <c r="C995" s="3" t="s">
        <v>1379</v>
      </c>
    </row>
    <row r="996">
      <c r="A996" s="4" t="s">
        <v>1382</v>
      </c>
      <c r="B996" s="3">
        <v>0.0</v>
      </c>
      <c r="C996" s="3" t="s">
        <v>6</v>
      </c>
    </row>
    <row r="997">
      <c r="A997" s="4" t="s">
        <v>1383</v>
      </c>
      <c r="B997" s="3">
        <v>3000.0</v>
      </c>
      <c r="C997" s="4"/>
    </row>
    <row r="998">
      <c r="A998" s="4" t="s">
        <v>1384</v>
      </c>
      <c r="B998" s="3">
        <v>0.0</v>
      </c>
      <c r="C998" s="3" t="s">
        <v>3</v>
      </c>
    </row>
    <row r="999">
      <c r="A999" s="4" t="s">
        <v>1385</v>
      </c>
      <c r="B999" s="3">
        <v>800.0</v>
      </c>
      <c r="C999" s="3" t="s">
        <v>3</v>
      </c>
    </row>
    <row r="1000">
      <c r="A1000" s="4" t="s">
        <v>1386</v>
      </c>
      <c r="B1000" s="3">
        <v>2500.0</v>
      </c>
      <c r="C1000" s="3" t="s">
        <v>32</v>
      </c>
    </row>
    <row r="1001">
      <c r="A1001" s="4" t="s">
        <v>1387</v>
      </c>
      <c r="B1001" s="3">
        <v>2000.0</v>
      </c>
      <c r="C1001" s="4"/>
    </row>
    <row r="1002">
      <c r="A1002" s="4" t="s">
        <v>1388</v>
      </c>
      <c r="B1002" s="3">
        <v>500.0</v>
      </c>
      <c r="C1002" s="3" t="s">
        <v>32</v>
      </c>
    </row>
    <row r="1003">
      <c r="A1003" s="4" t="s">
        <v>1389</v>
      </c>
      <c r="B1003" s="3">
        <v>119100.0</v>
      </c>
      <c r="C1003" s="3" t="s">
        <v>280</v>
      </c>
    </row>
    <row r="1004">
      <c r="A1004" s="4" t="s">
        <v>1391</v>
      </c>
      <c r="B1004" s="3">
        <v>0.0</v>
      </c>
      <c r="C1004" s="3" t="s">
        <v>29</v>
      </c>
    </row>
    <row r="1005">
      <c r="A1005" s="4" t="s">
        <v>1392</v>
      </c>
      <c r="B1005" s="3">
        <v>7000.0</v>
      </c>
      <c r="C1005" s="4"/>
    </row>
    <row r="1006">
      <c r="A1006" s="4" t="s">
        <v>1393</v>
      </c>
      <c r="B1006" s="3">
        <v>4500.0</v>
      </c>
      <c r="C1006" s="3" t="s">
        <v>6</v>
      </c>
    </row>
    <row r="1007">
      <c r="A1007" s="4" t="s">
        <v>1394</v>
      </c>
      <c r="B1007" s="3">
        <v>0.0</v>
      </c>
      <c r="C1007" s="3" t="s">
        <v>6</v>
      </c>
    </row>
    <row r="1008">
      <c r="A1008" s="4" t="s">
        <v>1395</v>
      </c>
      <c r="B1008" s="3">
        <v>420.0</v>
      </c>
      <c r="C1008" s="4"/>
    </row>
    <row r="1009">
      <c r="A1009" s="4" t="s">
        <v>1397</v>
      </c>
      <c r="B1009" s="3">
        <v>0.0</v>
      </c>
      <c r="C1009" s="3" t="s">
        <v>3</v>
      </c>
    </row>
    <row r="1010">
      <c r="A1010" s="4" t="s">
        <v>1398</v>
      </c>
      <c r="B1010" s="3">
        <v>0.0</v>
      </c>
      <c r="C1010" s="3" t="s">
        <v>3</v>
      </c>
    </row>
    <row r="1011">
      <c r="A1011" s="4" t="s">
        <v>1399</v>
      </c>
      <c r="B1011" s="3">
        <v>0.0</v>
      </c>
      <c r="C1011" s="3" t="s">
        <v>3</v>
      </c>
    </row>
    <row r="1012">
      <c r="A1012" s="4" t="s">
        <v>1400</v>
      </c>
      <c r="B1012" s="3">
        <v>0.0</v>
      </c>
      <c r="C1012" s="3" t="s">
        <v>3</v>
      </c>
    </row>
    <row r="1013">
      <c r="A1013" s="4" t="s">
        <v>1401</v>
      </c>
      <c r="B1013" s="3">
        <v>8640.0</v>
      </c>
      <c r="C1013" s="4"/>
    </row>
    <row r="1014">
      <c r="A1014" s="4" t="s">
        <v>1403</v>
      </c>
      <c r="B1014" s="3">
        <v>0.0</v>
      </c>
      <c r="C1014" s="3" t="s">
        <v>3</v>
      </c>
    </row>
    <row r="1015">
      <c r="A1015" s="4" t="s">
        <v>1404</v>
      </c>
      <c r="B1015" s="3">
        <v>0.0</v>
      </c>
      <c r="C1015" s="3" t="s">
        <v>32</v>
      </c>
    </row>
    <row r="1016">
      <c r="A1016" s="4" t="s">
        <v>1405</v>
      </c>
      <c r="B1016" s="3">
        <v>14000.0</v>
      </c>
      <c r="C1016" s="4"/>
    </row>
    <row r="1017">
      <c r="A1017" s="4" t="s">
        <v>1406</v>
      </c>
      <c r="B1017" s="3">
        <v>11950.0</v>
      </c>
      <c r="C1017" s="3" t="s">
        <v>32</v>
      </c>
    </row>
    <row r="1018">
      <c r="A1018" s="4" t="s">
        <v>1408</v>
      </c>
      <c r="B1018" s="3">
        <v>1500.0</v>
      </c>
      <c r="C1018" s="4"/>
    </row>
    <row r="1019">
      <c r="A1019" s="4" t="s">
        <v>1409</v>
      </c>
      <c r="B1019" s="3">
        <v>0.0</v>
      </c>
      <c r="C1019" s="3" t="s">
        <v>6</v>
      </c>
    </row>
    <row r="1020">
      <c r="A1020" s="4" t="s">
        <v>1410</v>
      </c>
      <c r="B1020" s="3">
        <v>0.0</v>
      </c>
      <c r="C1020" s="3" t="s">
        <v>6</v>
      </c>
    </row>
    <row r="1021">
      <c r="A1021" s="4" t="s">
        <v>1411</v>
      </c>
      <c r="B1021" s="3">
        <v>800.0</v>
      </c>
      <c r="C1021" s="3" t="s">
        <v>3</v>
      </c>
    </row>
    <row r="1022">
      <c r="A1022" s="4" t="s">
        <v>1412</v>
      </c>
      <c r="B1022" s="3">
        <v>800.0</v>
      </c>
      <c r="C1022" s="4"/>
    </row>
    <row r="1023">
      <c r="A1023" s="4" t="s">
        <v>1413</v>
      </c>
      <c r="B1023" s="3">
        <v>0.0</v>
      </c>
      <c r="C1023" s="3" t="s">
        <v>32</v>
      </c>
    </row>
    <row r="1024">
      <c r="A1024" s="4" t="s">
        <v>1414</v>
      </c>
      <c r="B1024" s="3">
        <v>8000.0</v>
      </c>
      <c r="C1024" s="4"/>
    </row>
    <row r="1025">
      <c r="A1025" s="4" t="s">
        <v>1415</v>
      </c>
      <c r="B1025" s="3">
        <v>500.0</v>
      </c>
      <c r="C1025" s="4"/>
    </row>
    <row r="1026">
      <c r="A1026" s="4" t="s">
        <v>1416</v>
      </c>
      <c r="B1026" s="3">
        <v>1000.0</v>
      </c>
      <c r="C1026" s="4"/>
    </row>
    <row r="1027">
      <c r="A1027" s="4" t="s">
        <v>1417</v>
      </c>
      <c r="B1027" s="3">
        <v>5000.0</v>
      </c>
      <c r="C1027" s="4"/>
    </row>
    <row r="1028">
      <c r="A1028" s="4" t="s">
        <v>2272</v>
      </c>
      <c r="B1028" s="3">
        <v>6400.0</v>
      </c>
      <c r="C1028" s="3" t="s">
        <v>580</v>
      </c>
    </row>
    <row r="1029">
      <c r="A1029" s="4" t="s">
        <v>1420</v>
      </c>
      <c r="B1029" s="3">
        <v>7500.0</v>
      </c>
      <c r="C1029" s="3" t="s">
        <v>6</v>
      </c>
    </row>
    <row r="1030">
      <c r="A1030" s="4" t="s">
        <v>1421</v>
      </c>
      <c r="B1030" s="3">
        <v>18800.0</v>
      </c>
      <c r="C1030" s="3" t="s">
        <v>6</v>
      </c>
    </row>
    <row r="1031">
      <c r="A1031" s="4" t="s">
        <v>1423</v>
      </c>
      <c r="B1031" s="3">
        <v>22500.0</v>
      </c>
      <c r="C1031" s="3" t="s">
        <v>3</v>
      </c>
    </row>
    <row r="1032">
      <c r="A1032" s="4" t="s">
        <v>1425</v>
      </c>
      <c r="B1032" s="3">
        <v>0.0</v>
      </c>
      <c r="C1032" s="3" t="s">
        <v>3</v>
      </c>
    </row>
    <row r="1033">
      <c r="A1033" s="4" t="s">
        <v>1426</v>
      </c>
      <c r="B1033" s="3">
        <v>0.0</v>
      </c>
      <c r="C1033" s="3" t="s">
        <v>3</v>
      </c>
    </row>
    <row r="1034">
      <c r="A1034" s="4" t="s">
        <v>1427</v>
      </c>
      <c r="B1034" s="3">
        <v>4634.0</v>
      </c>
      <c r="C1034" s="3" t="s">
        <v>6</v>
      </c>
    </row>
    <row r="1035">
      <c r="A1035" s="4" t="s">
        <v>1429</v>
      </c>
      <c r="B1035" s="3">
        <v>0.0</v>
      </c>
      <c r="C1035" s="3" t="s">
        <v>3</v>
      </c>
    </row>
    <row r="1036">
      <c r="A1036" s="4" t="s">
        <v>1430</v>
      </c>
      <c r="B1036" s="3">
        <v>0.0</v>
      </c>
      <c r="C1036" s="3" t="s">
        <v>6</v>
      </c>
    </row>
    <row r="1037">
      <c r="A1037" s="4" t="s">
        <v>1431</v>
      </c>
      <c r="B1037" s="3">
        <v>5000.0</v>
      </c>
      <c r="C1037" s="4"/>
    </row>
    <row r="1038">
      <c r="A1038" s="4" t="s">
        <v>2273</v>
      </c>
      <c r="B1038" s="3">
        <v>0.0</v>
      </c>
      <c r="C1038" s="3" t="s">
        <v>484</v>
      </c>
    </row>
    <row r="1039">
      <c r="A1039" s="4" t="s">
        <v>1434</v>
      </c>
      <c r="B1039" s="3">
        <v>120.0</v>
      </c>
      <c r="C1039" s="3" t="s">
        <v>32</v>
      </c>
    </row>
    <row r="1040">
      <c r="A1040" s="4" t="s">
        <v>1436</v>
      </c>
      <c r="B1040" s="3">
        <v>4000.0</v>
      </c>
      <c r="C1040" s="4"/>
    </row>
    <row r="1041">
      <c r="A1041" s="4" t="s">
        <v>1437</v>
      </c>
      <c r="B1041" s="3">
        <v>0.0</v>
      </c>
      <c r="C1041" s="3" t="s">
        <v>6</v>
      </c>
    </row>
    <row r="1042">
      <c r="A1042" s="4" t="s">
        <v>1438</v>
      </c>
      <c r="B1042" s="3">
        <v>50000.0</v>
      </c>
      <c r="C1042" s="4"/>
    </row>
    <row r="1043">
      <c r="A1043" s="4" t="s">
        <v>2274</v>
      </c>
      <c r="B1043" s="3">
        <v>23000.0</v>
      </c>
      <c r="C1043" s="3" t="s">
        <v>37</v>
      </c>
    </row>
    <row r="1044">
      <c r="A1044" s="4" t="s">
        <v>1440</v>
      </c>
      <c r="B1044" s="3">
        <v>400.0</v>
      </c>
      <c r="C1044" s="4"/>
    </row>
    <row r="1045">
      <c r="A1045" s="4" t="s">
        <v>1441</v>
      </c>
      <c r="B1045" s="3">
        <v>0.0</v>
      </c>
      <c r="C1045" s="3" t="s">
        <v>3</v>
      </c>
    </row>
    <row r="1046">
      <c r="A1046" s="4" t="s">
        <v>1442</v>
      </c>
      <c r="B1046" s="3">
        <v>0.0</v>
      </c>
      <c r="C1046" s="3" t="s">
        <v>3</v>
      </c>
    </row>
    <row r="1047">
      <c r="A1047" s="4" t="s">
        <v>1443</v>
      </c>
      <c r="B1047" s="3">
        <v>0.0</v>
      </c>
      <c r="C1047" s="3" t="s">
        <v>3</v>
      </c>
    </row>
    <row r="1048">
      <c r="A1048" s="4" t="s">
        <v>1444</v>
      </c>
      <c r="B1048" s="3">
        <v>500.0</v>
      </c>
      <c r="C1048" s="4"/>
    </row>
    <row r="1049">
      <c r="A1049" s="4" t="s">
        <v>1445</v>
      </c>
      <c r="B1049" s="3">
        <v>0.0</v>
      </c>
      <c r="C1049" s="3" t="s">
        <v>3</v>
      </c>
    </row>
    <row r="1050">
      <c r="A1050" s="4" t="s">
        <v>1446</v>
      </c>
      <c r="B1050" s="3">
        <v>0.0</v>
      </c>
      <c r="C1050" s="3" t="s">
        <v>3</v>
      </c>
    </row>
    <row r="1051">
      <c r="A1051" s="4" t="s">
        <v>1447</v>
      </c>
      <c r="B1051" s="3">
        <v>0.0</v>
      </c>
      <c r="C1051" s="3" t="s">
        <v>3</v>
      </c>
    </row>
    <row r="1052">
      <c r="A1052" s="4" t="s">
        <v>1448</v>
      </c>
      <c r="B1052" s="3">
        <v>0.0</v>
      </c>
      <c r="C1052" s="3" t="s">
        <v>3</v>
      </c>
    </row>
    <row r="1053">
      <c r="A1053" s="4" t="s">
        <v>1449</v>
      </c>
      <c r="B1053" s="3">
        <v>1800.0</v>
      </c>
      <c r="C1053" s="3" t="s">
        <v>6</v>
      </c>
    </row>
    <row r="1054">
      <c r="A1054" s="4" t="s">
        <v>1450</v>
      </c>
      <c r="B1054" s="3">
        <v>2500.0</v>
      </c>
      <c r="C1054" s="3" t="s">
        <v>3</v>
      </c>
    </row>
    <row r="1055">
      <c r="A1055" s="4" t="s">
        <v>1451</v>
      </c>
      <c r="B1055" s="3">
        <v>4000.0</v>
      </c>
      <c r="C1055" s="3" t="s">
        <v>32</v>
      </c>
    </row>
    <row r="1056">
      <c r="A1056" s="4" t="s">
        <v>1452</v>
      </c>
      <c r="B1056" s="3">
        <v>0.0</v>
      </c>
      <c r="C1056" s="3" t="s">
        <v>32</v>
      </c>
    </row>
    <row r="1057">
      <c r="A1057" s="4" t="s">
        <v>1453</v>
      </c>
      <c r="B1057" s="3">
        <v>0.0</v>
      </c>
      <c r="C1057" s="3" t="s">
        <v>3</v>
      </c>
    </row>
    <row r="1058">
      <c r="A1058" s="4" t="s">
        <v>1454</v>
      </c>
      <c r="B1058" s="3">
        <v>500.0</v>
      </c>
      <c r="C1058" s="3" t="s">
        <v>484</v>
      </c>
    </row>
    <row r="1059">
      <c r="A1059" s="4" t="s">
        <v>2275</v>
      </c>
      <c r="B1059" s="3">
        <v>500.0</v>
      </c>
      <c r="C1059" s="4"/>
    </row>
    <row r="1060">
      <c r="A1060" s="4" t="s">
        <v>1457</v>
      </c>
      <c r="B1060" s="3">
        <v>800.0</v>
      </c>
      <c r="C1060" s="4"/>
    </row>
    <row r="1061">
      <c r="A1061" s="4" t="s">
        <v>1458</v>
      </c>
      <c r="B1061" s="3">
        <v>0.0</v>
      </c>
      <c r="C1061" s="3" t="s">
        <v>3</v>
      </c>
    </row>
    <row r="1062">
      <c r="A1062" s="4" t="s">
        <v>1459</v>
      </c>
      <c r="B1062" s="3">
        <v>0.0</v>
      </c>
      <c r="C1062" s="3" t="s">
        <v>3</v>
      </c>
    </row>
    <row r="1063">
      <c r="A1063" s="4" t="s">
        <v>1460</v>
      </c>
      <c r="B1063" s="3">
        <v>6500.0</v>
      </c>
      <c r="C1063" s="4"/>
    </row>
    <row r="1064">
      <c r="A1064" s="4" t="s">
        <v>1461</v>
      </c>
      <c r="B1064" s="3">
        <v>1000.0</v>
      </c>
      <c r="C1064" s="3" t="s">
        <v>6</v>
      </c>
    </row>
    <row r="1065">
      <c r="A1065" s="4" t="s">
        <v>1462</v>
      </c>
      <c r="B1065" s="3">
        <v>1200.0</v>
      </c>
      <c r="C1065" s="3" t="s">
        <v>3</v>
      </c>
    </row>
    <row r="1066">
      <c r="A1066" s="4" t="s">
        <v>1463</v>
      </c>
      <c r="B1066" s="3">
        <v>343924.0</v>
      </c>
      <c r="C1066" s="3" t="s">
        <v>484</v>
      </c>
    </row>
    <row r="1067">
      <c r="A1067" s="4" t="s">
        <v>1465</v>
      </c>
      <c r="B1067" s="3">
        <v>0.0</v>
      </c>
      <c r="C1067" s="3" t="s">
        <v>3</v>
      </c>
    </row>
    <row r="1068">
      <c r="A1068" s="4" t="s">
        <v>1466</v>
      </c>
      <c r="B1068" s="3">
        <v>0.0</v>
      </c>
      <c r="C1068" s="3" t="s">
        <v>3</v>
      </c>
    </row>
    <row r="1069">
      <c r="A1069" s="4" t="s">
        <v>1467</v>
      </c>
      <c r="B1069" s="3">
        <v>900.0</v>
      </c>
      <c r="C1069" s="4"/>
    </row>
    <row r="1070">
      <c r="A1070" s="4" t="s">
        <v>1468</v>
      </c>
      <c r="B1070" s="3">
        <v>5000.0</v>
      </c>
      <c r="C1070" s="4"/>
    </row>
    <row r="1071">
      <c r="A1071" s="4" t="s">
        <v>1469</v>
      </c>
      <c r="B1071" s="3">
        <v>0.0</v>
      </c>
      <c r="C1071" s="3" t="s">
        <v>6</v>
      </c>
    </row>
    <row r="1072">
      <c r="A1072" s="4" t="s">
        <v>1470</v>
      </c>
      <c r="B1072" s="3">
        <v>2250.0</v>
      </c>
      <c r="C1072" s="4"/>
    </row>
    <row r="1073">
      <c r="A1073" s="4" t="s">
        <v>1472</v>
      </c>
      <c r="B1073" s="3">
        <v>240000.0</v>
      </c>
      <c r="C1073" s="4"/>
    </row>
    <row r="1074">
      <c r="A1074" s="4" t="s">
        <v>1474</v>
      </c>
      <c r="B1074" s="3">
        <v>0.0</v>
      </c>
      <c r="C1074" s="3" t="s">
        <v>3</v>
      </c>
    </row>
    <row r="1075">
      <c r="A1075" s="4" t="s">
        <v>1475</v>
      </c>
      <c r="B1075" s="3">
        <v>6000.0</v>
      </c>
      <c r="C1075" s="4"/>
    </row>
    <row r="1076">
      <c r="A1076" s="4" t="s">
        <v>1476</v>
      </c>
      <c r="B1076" s="3">
        <v>0.0</v>
      </c>
      <c r="C1076" s="3" t="s">
        <v>3</v>
      </c>
    </row>
    <row r="1077">
      <c r="A1077" s="4" t="s">
        <v>1477</v>
      </c>
      <c r="B1077" s="3">
        <v>0.0</v>
      </c>
      <c r="C1077" s="3" t="s">
        <v>6</v>
      </c>
    </row>
    <row r="1078">
      <c r="A1078" s="4" t="s">
        <v>1478</v>
      </c>
      <c r="B1078" s="3">
        <v>0.0</v>
      </c>
      <c r="C1078" s="3" t="s">
        <v>3</v>
      </c>
    </row>
    <row r="1079">
      <c r="A1079" s="4" t="s">
        <v>1479</v>
      </c>
      <c r="B1079" s="3">
        <v>800.0</v>
      </c>
      <c r="C1079" s="4"/>
    </row>
    <row r="1080">
      <c r="A1080" s="4" t="s">
        <v>1480</v>
      </c>
      <c r="B1080" s="3">
        <v>3000.0</v>
      </c>
      <c r="C1080" s="4"/>
    </row>
    <row r="1081">
      <c r="A1081" s="4" t="s">
        <v>2276</v>
      </c>
      <c r="B1081" s="3">
        <v>132000.0</v>
      </c>
      <c r="C1081" s="3" t="s">
        <v>37</v>
      </c>
    </row>
    <row r="1082">
      <c r="A1082" s="4" t="s">
        <v>1483</v>
      </c>
      <c r="B1082" s="3">
        <v>0.0</v>
      </c>
      <c r="C1082" s="3" t="s">
        <v>3</v>
      </c>
    </row>
    <row r="1083">
      <c r="A1083" s="4" t="s">
        <v>2277</v>
      </c>
      <c r="B1083" s="3">
        <v>0.0</v>
      </c>
      <c r="C1083" s="3" t="s">
        <v>6</v>
      </c>
    </row>
    <row r="1084">
      <c r="A1084" s="4" t="s">
        <v>1486</v>
      </c>
      <c r="B1084" s="3">
        <v>0.0</v>
      </c>
      <c r="C1084" s="3" t="s">
        <v>3</v>
      </c>
    </row>
    <row r="1085">
      <c r="A1085" s="4" t="s">
        <v>1487</v>
      </c>
      <c r="B1085" s="3">
        <v>0.0</v>
      </c>
      <c r="C1085" s="3" t="s">
        <v>3</v>
      </c>
    </row>
    <row r="1086">
      <c r="A1086" s="4" t="s">
        <v>1488</v>
      </c>
      <c r="B1086" s="3">
        <v>0.0</v>
      </c>
      <c r="C1086" s="3" t="s">
        <v>3</v>
      </c>
    </row>
    <row r="1087">
      <c r="A1087" s="4" t="s">
        <v>1489</v>
      </c>
      <c r="B1087" s="3">
        <v>29750.0</v>
      </c>
      <c r="C1087" s="3" t="s">
        <v>32</v>
      </c>
    </row>
    <row r="1088">
      <c r="A1088" s="4" t="s">
        <v>1491</v>
      </c>
      <c r="B1088" s="3">
        <v>500.0</v>
      </c>
      <c r="C1088" s="4"/>
    </row>
    <row r="1089">
      <c r="A1089" s="4" t="s">
        <v>2278</v>
      </c>
      <c r="B1089" s="3">
        <v>892663.0</v>
      </c>
      <c r="C1089" s="3" t="s">
        <v>37</v>
      </c>
    </row>
    <row r="1090">
      <c r="A1090" s="4" t="s">
        <v>1494</v>
      </c>
      <c r="B1090" s="3">
        <v>0.0</v>
      </c>
      <c r="C1090" s="3" t="s">
        <v>3</v>
      </c>
    </row>
    <row r="1091">
      <c r="A1091" s="4" t="s">
        <v>1495</v>
      </c>
      <c r="B1091" s="3">
        <v>1500.0</v>
      </c>
      <c r="C1091" s="4"/>
    </row>
    <row r="1092">
      <c r="A1092" s="4" t="s">
        <v>1496</v>
      </c>
      <c r="B1092" s="3">
        <v>14000.0</v>
      </c>
      <c r="C1092" s="3" t="s">
        <v>29</v>
      </c>
    </row>
    <row r="1093">
      <c r="A1093" s="4" t="s">
        <v>1497</v>
      </c>
      <c r="B1093" s="3">
        <v>0.0</v>
      </c>
      <c r="C1093" s="3" t="s">
        <v>3</v>
      </c>
    </row>
    <row r="1094">
      <c r="A1094" s="4" t="s">
        <v>1498</v>
      </c>
      <c r="B1094" s="3">
        <v>0.0</v>
      </c>
      <c r="C1094" s="3" t="s">
        <v>29</v>
      </c>
    </row>
    <row r="1095">
      <c r="A1095" s="4" t="s">
        <v>1499</v>
      </c>
      <c r="B1095" s="3">
        <v>9000.0</v>
      </c>
      <c r="C1095" s="3" t="s">
        <v>32</v>
      </c>
    </row>
    <row r="1096">
      <c r="A1096" s="4" t="s">
        <v>1500</v>
      </c>
      <c r="B1096" s="3">
        <v>205000.0</v>
      </c>
      <c r="C1096" s="4"/>
    </row>
    <row r="1097">
      <c r="A1097" s="4" t="s">
        <v>1502</v>
      </c>
      <c r="B1097" s="3">
        <v>54201.0</v>
      </c>
      <c r="C1097" s="3" t="s">
        <v>6</v>
      </c>
    </row>
    <row r="1098">
      <c r="A1098" s="4" t="s">
        <v>1504</v>
      </c>
      <c r="B1098" s="3">
        <v>2800.0</v>
      </c>
      <c r="C1098" s="3" t="s">
        <v>3</v>
      </c>
    </row>
    <row r="1099">
      <c r="A1099" s="4" t="s">
        <v>1505</v>
      </c>
      <c r="B1099" s="3">
        <v>0.0</v>
      </c>
      <c r="C1099" s="3" t="s">
        <v>3</v>
      </c>
    </row>
    <row r="1100">
      <c r="A1100" s="4" t="s">
        <v>1506</v>
      </c>
      <c r="B1100" s="3">
        <v>0.0</v>
      </c>
      <c r="C1100" s="3" t="s">
        <v>3</v>
      </c>
    </row>
    <row r="1101">
      <c r="A1101" s="4" t="s">
        <v>1507</v>
      </c>
      <c r="B1101" s="3">
        <v>0.0</v>
      </c>
      <c r="C1101" s="3" t="s">
        <v>3</v>
      </c>
    </row>
    <row r="1102">
      <c r="A1102" s="4" t="s">
        <v>1508</v>
      </c>
      <c r="B1102" s="3">
        <v>0.0</v>
      </c>
      <c r="C1102" s="3" t="s">
        <v>3</v>
      </c>
    </row>
    <row r="1103">
      <c r="A1103" s="4" t="s">
        <v>1509</v>
      </c>
      <c r="B1103" s="3">
        <v>0.0</v>
      </c>
      <c r="C1103" s="3" t="s">
        <v>3</v>
      </c>
    </row>
    <row r="1104">
      <c r="A1104" s="4" t="s">
        <v>1510</v>
      </c>
      <c r="B1104" s="3">
        <v>3000.0</v>
      </c>
      <c r="C1104" s="3" t="s">
        <v>3</v>
      </c>
    </row>
    <row r="1105">
      <c r="A1105" s="4" t="s">
        <v>1511</v>
      </c>
      <c r="B1105" s="3">
        <v>0.0</v>
      </c>
      <c r="C1105" s="3" t="s">
        <v>6</v>
      </c>
    </row>
    <row r="1106">
      <c r="A1106" s="4" t="s">
        <v>1512</v>
      </c>
      <c r="B1106" s="3">
        <v>9500.0</v>
      </c>
      <c r="C1106" s="3" t="s">
        <v>6</v>
      </c>
    </row>
    <row r="1107">
      <c r="A1107" s="4" t="s">
        <v>1513</v>
      </c>
      <c r="B1107" s="3">
        <v>0.0</v>
      </c>
      <c r="C1107" s="3" t="s">
        <v>6</v>
      </c>
    </row>
    <row r="1108">
      <c r="A1108" s="4" t="s">
        <v>1514</v>
      </c>
      <c r="B1108" s="3">
        <v>0.0</v>
      </c>
      <c r="C1108" s="3" t="s">
        <v>6</v>
      </c>
    </row>
    <row r="1109">
      <c r="A1109" s="4" t="s">
        <v>1515</v>
      </c>
      <c r="B1109" s="3">
        <v>11500.0</v>
      </c>
      <c r="C1109" s="3" t="s">
        <v>16</v>
      </c>
    </row>
    <row r="1110">
      <c r="A1110" s="4" t="s">
        <v>1516</v>
      </c>
      <c r="B1110" s="3">
        <v>741.0</v>
      </c>
      <c r="C1110" s="4"/>
    </row>
    <row r="1111">
      <c r="A1111" s="4" t="s">
        <v>1518</v>
      </c>
      <c r="B1111" s="3">
        <v>0.0</v>
      </c>
      <c r="C1111" s="3" t="s">
        <v>3</v>
      </c>
    </row>
    <row r="1112">
      <c r="A1112" s="4" t="s">
        <v>1519</v>
      </c>
      <c r="B1112" s="3">
        <v>0.0</v>
      </c>
      <c r="C1112" s="3" t="s">
        <v>3</v>
      </c>
    </row>
    <row r="1113">
      <c r="A1113" s="4" t="s">
        <v>1520</v>
      </c>
      <c r="B1113" s="3">
        <v>0.0</v>
      </c>
      <c r="C1113" s="3" t="s">
        <v>32</v>
      </c>
    </row>
    <row r="1114">
      <c r="A1114" s="4" t="s">
        <v>1521</v>
      </c>
      <c r="B1114" s="3">
        <v>0.0</v>
      </c>
      <c r="C1114" s="3" t="s">
        <v>6</v>
      </c>
    </row>
    <row r="1115">
      <c r="A1115" s="4" t="s">
        <v>1522</v>
      </c>
      <c r="B1115" s="3">
        <v>0.0</v>
      </c>
      <c r="C1115" s="3" t="s">
        <v>6</v>
      </c>
    </row>
    <row r="1116">
      <c r="A1116" s="4" t="s">
        <v>1523</v>
      </c>
      <c r="B1116" s="3">
        <v>3000.0</v>
      </c>
      <c r="C1116" s="3" t="s">
        <v>32</v>
      </c>
    </row>
    <row r="1117">
      <c r="A1117" s="4" t="s">
        <v>2279</v>
      </c>
      <c r="B1117" s="3">
        <v>0.0</v>
      </c>
      <c r="C1117" s="3" t="s">
        <v>3</v>
      </c>
    </row>
    <row r="1118">
      <c r="A1118" s="4" t="s">
        <v>2280</v>
      </c>
      <c r="B1118" s="3">
        <v>9000.0</v>
      </c>
      <c r="C1118" s="3" t="s">
        <v>6</v>
      </c>
    </row>
    <row r="1119">
      <c r="A1119" s="4" t="s">
        <v>1528</v>
      </c>
      <c r="B1119" s="3">
        <v>0.0</v>
      </c>
      <c r="C1119" s="3" t="s">
        <v>29</v>
      </c>
    </row>
    <row r="1120">
      <c r="A1120" s="4" t="s">
        <v>1529</v>
      </c>
      <c r="B1120" s="3">
        <v>0.0</v>
      </c>
      <c r="C1120" s="3" t="s">
        <v>32</v>
      </c>
    </row>
    <row r="1121">
      <c r="A1121" s="4" t="s">
        <v>1530</v>
      </c>
      <c r="B1121" s="3">
        <v>0.0</v>
      </c>
      <c r="C1121" s="3" t="s">
        <v>32</v>
      </c>
    </row>
    <row r="1122">
      <c r="A1122" s="4" t="s">
        <v>1531</v>
      </c>
      <c r="B1122" s="3">
        <v>0.0</v>
      </c>
      <c r="C1122" s="3" t="s">
        <v>3</v>
      </c>
    </row>
    <row r="1123">
      <c r="A1123" s="4" t="s">
        <v>1532</v>
      </c>
      <c r="B1123" s="3">
        <v>0.0</v>
      </c>
      <c r="C1123" s="3" t="s">
        <v>6</v>
      </c>
    </row>
    <row r="1124">
      <c r="A1124" s="4" t="s">
        <v>1533</v>
      </c>
      <c r="B1124" s="3">
        <v>0.0</v>
      </c>
      <c r="C1124" s="3" t="s">
        <v>32</v>
      </c>
    </row>
    <row r="1125">
      <c r="A1125" s="4" t="s">
        <v>1534</v>
      </c>
      <c r="B1125" s="3">
        <v>0.0</v>
      </c>
      <c r="C1125" s="3" t="s">
        <v>6</v>
      </c>
    </row>
    <row r="1126">
      <c r="A1126" s="4" t="s">
        <v>1535</v>
      </c>
      <c r="B1126" s="3">
        <v>0.0</v>
      </c>
      <c r="C1126" s="3" t="s">
        <v>6</v>
      </c>
    </row>
    <row r="1127">
      <c r="A1127" s="4" t="s">
        <v>1536</v>
      </c>
      <c r="B1127" s="3">
        <v>7000.0</v>
      </c>
      <c r="C1127" s="4"/>
    </row>
    <row r="1128">
      <c r="A1128" s="4" t="s">
        <v>1537</v>
      </c>
      <c r="B1128" s="3">
        <v>0.0</v>
      </c>
      <c r="C1128" s="3" t="s">
        <v>32</v>
      </c>
    </row>
    <row r="1129">
      <c r="A1129" s="4" t="s">
        <v>1538</v>
      </c>
      <c r="B1129" s="3">
        <v>0.0</v>
      </c>
      <c r="C1129" s="3" t="s">
        <v>3</v>
      </c>
    </row>
    <row r="1130">
      <c r="A1130" s="4" t="s">
        <v>1539</v>
      </c>
      <c r="B1130" s="3">
        <v>200000.0</v>
      </c>
      <c r="C1130" s="4"/>
    </row>
    <row r="1131">
      <c r="A1131" s="4" t="s">
        <v>1541</v>
      </c>
      <c r="B1131" s="3">
        <v>4500.0</v>
      </c>
      <c r="C1131" s="3" t="s">
        <v>6</v>
      </c>
    </row>
    <row r="1132">
      <c r="A1132" s="4" t="s">
        <v>1542</v>
      </c>
      <c r="B1132" s="3">
        <v>0.0</v>
      </c>
      <c r="C1132" s="3" t="s">
        <v>3</v>
      </c>
    </row>
    <row r="1133">
      <c r="A1133" s="4" t="s">
        <v>1543</v>
      </c>
      <c r="B1133" s="3">
        <v>0.0</v>
      </c>
      <c r="C1133" s="3" t="s">
        <v>3</v>
      </c>
    </row>
    <row r="1134">
      <c r="A1134" s="4" t="s">
        <v>1544</v>
      </c>
      <c r="B1134" s="3">
        <v>400.0</v>
      </c>
      <c r="C1134" s="4"/>
    </row>
    <row r="1135">
      <c r="A1135" s="4" t="s">
        <v>2281</v>
      </c>
      <c r="B1135" s="3">
        <v>0.0</v>
      </c>
      <c r="C1135" s="3" t="s">
        <v>3</v>
      </c>
    </row>
    <row r="1136">
      <c r="A1136" s="4" t="s">
        <v>1547</v>
      </c>
      <c r="B1136" s="3">
        <v>4000.0</v>
      </c>
      <c r="C1136" s="4"/>
    </row>
    <row r="1137">
      <c r="A1137" s="4" t="s">
        <v>1548</v>
      </c>
      <c r="B1137" s="3">
        <v>0.0</v>
      </c>
      <c r="C1137" s="3" t="s">
        <v>484</v>
      </c>
    </row>
    <row r="1138">
      <c r="A1138" s="4" t="s">
        <v>1549</v>
      </c>
      <c r="B1138" s="3">
        <v>0.0</v>
      </c>
      <c r="C1138" s="3" t="s">
        <v>3</v>
      </c>
    </row>
    <row r="1139">
      <c r="A1139" s="4" t="s">
        <v>1550</v>
      </c>
      <c r="B1139" s="3">
        <v>1000.0</v>
      </c>
      <c r="C1139" s="4"/>
    </row>
    <row r="1140">
      <c r="A1140" s="4" t="s">
        <v>1551</v>
      </c>
      <c r="B1140" s="3">
        <v>0.0</v>
      </c>
      <c r="C1140" s="3" t="s">
        <v>3</v>
      </c>
    </row>
    <row r="1141">
      <c r="A1141" s="4" t="s">
        <v>1552</v>
      </c>
      <c r="B1141" s="3">
        <v>50000.0</v>
      </c>
      <c r="C1141" s="4"/>
    </row>
    <row r="1142">
      <c r="A1142" s="4" t="s">
        <v>1553</v>
      </c>
      <c r="B1142" s="3">
        <v>300.0</v>
      </c>
      <c r="C1142" s="4"/>
    </row>
    <row r="1143">
      <c r="A1143" s="4" t="s">
        <v>1554</v>
      </c>
      <c r="B1143" s="3">
        <v>1800.0</v>
      </c>
      <c r="C1143" s="4"/>
    </row>
    <row r="1144">
      <c r="A1144" s="4" t="s">
        <v>1555</v>
      </c>
      <c r="B1144" s="3">
        <v>0.0</v>
      </c>
      <c r="C1144" s="3" t="s">
        <v>32</v>
      </c>
    </row>
    <row r="1145">
      <c r="A1145" s="4" t="s">
        <v>2282</v>
      </c>
      <c r="B1145" s="3">
        <v>678000.0</v>
      </c>
      <c r="C1145" s="4"/>
    </row>
    <row r="1146">
      <c r="A1146" s="4" t="s">
        <v>1559</v>
      </c>
      <c r="B1146" s="3">
        <v>56000.0</v>
      </c>
      <c r="C1146" s="3" t="s">
        <v>3</v>
      </c>
    </row>
    <row r="1147">
      <c r="A1147" s="4" t="s">
        <v>1561</v>
      </c>
      <c r="B1147" s="3">
        <v>12000.0</v>
      </c>
      <c r="C1147" s="3" t="s">
        <v>6</v>
      </c>
    </row>
    <row r="1148">
      <c r="A1148" s="4" t="s">
        <v>1562</v>
      </c>
      <c r="B1148" s="3">
        <v>0.0</v>
      </c>
      <c r="C1148" s="3" t="s">
        <v>3</v>
      </c>
    </row>
    <row r="1149">
      <c r="A1149" s="4" t="s">
        <v>1563</v>
      </c>
      <c r="B1149" s="3">
        <v>46000.0</v>
      </c>
      <c r="C1149" s="4"/>
    </row>
    <row r="1150">
      <c r="A1150" s="4" t="s">
        <v>1565</v>
      </c>
      <c r="B1150" s="3">
        <v>5000.0</v>
      </c>
      <c r="C1150" s="4"/>
    </row>
    <row r="1151">
      <c r="A1151" s="4" t="s">
        <v>1566</v>
      </c>
      <c r="B1151" s="3">
        <v>14653.49</v>
      </c>
      <c r="C1151" s="3" t="s">
        <v>32</v>
      </c>
    </row>
    <row r="1152">
      <c r="A1152" s="4" t="s">
        <v>1568</v>
      </c>
      <c r="B1152" s="3">
        <v>6000.0</v>
      </c>
      <c r="C1152" s="3" t="s">
        <v>32</v>
      </c>
    </row>
    <row r="1153">
      <c r="A1153" s="4" t="s">
        <v>2283</v>
      </c>
      <c r="B1153" s="3">
        <v>110350.0</v>
      </c>
      <c r="C1153" s="3" t="s">
        <v>6</v>
      </c>
    </row>
    <row r="1154">
      <c r="A1154" s="4" t="s">
        <v>1572</v>
      </c>
      <c r="B1154" s="3">
        <v>0.0</v>
      </c>
      <c r="C1154" s="3" t="s">
        <v>3</v>
      </c>
    </row>
    <row r="1155">
      <c r="A1155" s="4" t="s">
        <v>1573</v>
      </c>
      <c r="B1155" s="3">
        <v>0.0</v>
      </c>
      <c r="C1155" s="3" t="s">
        <v>3</v>
      </c>
    </row>
    <row r="1156">
      <c r="A1156" s="4" t="s">
        <v>1574</v>
      </c>
      <c r="B1156" s="3">
        <v>1500.0</v>
      </c>
      <c r="C1156" s="3" t="s">
        <v>6</v>
      </c>
    </row>
    <row r="1157">
      <c r="A1157" s="4" t="s">
        <v>1575</v>
      </c>
      <c r="B1157" s="3">
        <v>1700.0</v>
      </c>
      <c r="C1157" s="4"/>
    </row>
    <row r="1158">
      <c r="A1158" s="4" t="s">
        <v>1576</v>
      </c>
      <c r="B1158" s="3">
        <v>0.0</v>
      </c>
      <c r="C1158" s="3" t="s">
        <v>3</v>
      </c>
    </row>
    <row r="1159">
      <c r="A1159" s="4" t="s">
        <v>1577</v>
      </c>
      <c r="B1159" s="3">
        <v>4500.0</v>
      </c>
      <c r="C1159" s="4"/>
    </row>
    <row r="1160">
      <c r="A1160" s="4" t="s">
        <v>1578</v>
      </c>
      <c r="B1160" s="3">
        <v>0.0</v>
      </c>
      <c r="C1160" s="3" t="s">
        <v>6</v>
      </c>
    </row>
    <row r="1161">
      <c r="A1161" s="4" t="s">
        <v>1579</v>
      </c>
      <c r="B1161" s="3">
        <v>35500.0</v>
      </c>
      <c r="C1161" s="3" t="s">
        <v>32</v>
      </c>
    </row>
    <row r="1162">
      <c r="A1162" s="4" t="s">
        <v>1581</v>
      </c>
      <c r="B1162" s="3">
        <v>6000.0</v>
      </c>
      <c r="C1162" s="3" t="s">
        <v>32</v>
      </c>
    </row>
    <row r="1163">
      <c r="A1163" s="4" t="s">
        <v>1582</v>
      </c>
      <c r="B1163" s="3">
        <v>0.0</v>
      </c>
      <c r="C1163" s="3" t="s">
        <v>29</v>
      </c>
    </row>
    <row r="1164">
      <c r="A1164" s="4" t="s">
        <v>1583</v>
      </c>
      <c r="B1164" s="3">
        <v>0.0</v>
      </c>
      <c r="C1164" s="3" t="s">
        <v>6</v>
      </c>
    </row>
    <row r="1165">
      <c r="A1165" s="4" t="s">
        <v>1584</v>
      </c>
      <c r="B1165" s="3">
        <v>0.0</v>
      </c>
      <c r="C1165" s="3" t="s">
        <v>6</v>
      </c>
    </row>
    <row r="1166">
      <c r="A1166" s="4" t="s">
        <v>1585</v>
      </c>
      <c r="B1166" s="3">
        <v>29000.0</v>
      </c>
      <c r="C1166" s="3" t="s">
        <v>32</v>
      </c>
    </row>
    <row r="1167">
      <c r="A1167" s="4" t="s">
        <v>1587</v>
      </c>
      <c r="B1167" s="3">
        <v>0.0</v>
      </c>
      <c r="C1167" s="3" t="s">
        <v>3</v>
      </c>
    </row>
    <row r="1168">
      <c r="A1168" s="4" t="s">
        <v>1588</v>
      </c>
      <c r="B1168" s="3">
        <v>0.0</v>
      </c>
      <c r="C1168" s="3" t="s">
        <v>3</v>
      </c>
    </row>
    <row r="1169">
      <c r="A1169" s="4" t="s">
        <v>1589</v>
      </c>
      <c r="B1169" s="3">
        <v>3000.0</v>
      </c>
      <c r="C1169" s="3" t="s">
        <v>32</v>
      </c>
    </row>
    <row r="1170">
      <c r="A1170" s="4" t="s">
        <v>1590</v>
      </c>
      <c r="B1170" s="3">
        <v>2500.0</v>
      </c>
      <c r="C1170" s="4"/>
    </row>
    <row r="1171">
      <c r="A1171" s="4" t="s">
        <v>1591</v>
      </c>
      <c r="B1171" s="3">
        <v>0.0</v>
      </c>
      <c r="C1171" s="3" t="s">
        <v>3</v>
      </c>
    </row>
    <row r="1172">
      <c r="A1172" s="4" t="s">
        <v>1592</v>
      </c>
      <c r="B1172" s="3">
        <v>2000.0</v>
      </c>
      <c r="C1172" s="4"/>
    </row>
    <row r="1173">
      <c r="A1173" s="4" t="s">
        <v>1593</v>
      </c>
      <c r="B1173" s="3">
        <v>0.0</v>
      </c>
      <c r="C1173" s="3" t="s">
        <v>3</v>
      </c>
    </row>
    <row r="1174">
      <c r="A1174" s="4" t="s">
        <v>1594</v>
      </c>
      <c r="B1174" s="3">
        <v>5500.0</v>
      </c>
      <c r="C1174" s="3" t="s">
        <v>6</v>
      </c>
    </row>
    <row r="1175">
      <c r="A1175" s="4" t="s">
        <v>1595</v>
      </c>
      <c r="B1175" s="3">
        <v>0.0</v>
      </c>
      <c r="C1175" s="3" t="s">
        <v>6</v>
      </c>
    </row>
    <row r="1176">
      <c r="A1176" s="4" t="s">
        <v>2284</v>
      </c>
      <c r="B1176" s="3">
        <v>37500.0</v>
      </c>
      <c r="C1176" s="3" t="s">
        <v>580</v>
      </c>
    </row>
    <row r="1177">
      <c r="A1177" s="4" t="s">
        <v>1598</v>
      </c>
      <c r="B1177" s="3">
        <v>0.0</v>
      </c>
      <c r="C1177" s="3" t="s">
        <v>32</v>
      </c>
    </row>
    <row r="1178">
      <c r="A1178" s="4" t="s">
        <v>1599</v>
      </c>
      <c r="B1178" s="3">
        <v>0.0</v>
      </c>
      <c r="C1178" s="3" t="s">
        <v>6</v>
      </c>
    </row>
    <row r="1179">
      <c r="A1179" s="4" t="s">
        <v>1600</v>
      </c>
      <c r="B1179" s="3">
        <v>494000.0</v>
      </c>
      <c r="C1179" s="3" t="s">
        <v>32</v>
      </c>
    </row>
    <row r="1180">
      <c r="A1180" s="4" t="s">
        <v>1602</v>
      </c>
      <c r="B1180" s="3">
        <v>800.0</v>
      </c>
      <c r="C1180" s="4"/>
    </row>
    <row r="1181">
      <c r="A1181" s="4" t="s">
        <v>1603</v>
      </c>
      <c r="B1181" s="3">
        <v>2500.0</v>
      </c>
      <c r="C1181" s="3" t="s">
        <v>3</v>
      </c>
    </row>
    <row r="1182">
      <c r="A1182" s="4" t="s">
        <v>1604</v>
      </c>
      <c r="B1182" s="3">
        <v>17528.0</v>
      </c>
      <c r="C1182" s="4"/>
    </row>
    <row r="1183">
      <c r="A1183" s="4" t="s">
        <v>1606</v>
      </c>
      <c r="B1183" s="3">
        <v>7800.0</v>
      </c>
      <c r="C1183" s="3" t="s">
        <v>3</v>
      </c>
    </row>
    <row r="1184">
      <c r="A1184" s="4" t="s">
        <v>1607</v>
      </c>
      <c r="B1184" s="3">
        <v>0.0</v>
      </c>
      <c r="C1184" s="3" t="s">
        <v>3</v>
      </c>
    </row>
    <row r="1185">
      <c r="A1185" s="4" t="s">
        <v>1608</v>
      </c>
      <c r="B1185" s="3">
        <v>0.0</v>
      </c>
      <c r="C1185" s="3" t="s">
        <v>3</v>
      </c>
    </row>
    <row r="1186">
      <c r="A1186" s="4" t="s">
        <v>1609</v>
      </c>
      <c r="B1186" s="3">
        <v>10000.0</v>
      </c>
      <c r="C1186" s="3" t="s">
        <v>32</v>
      </c>
    </row>
    <row r="1187">
      <c r="A1187" s="4" t="s">
        <v>1610</v>
      </c>
      <c r="B1187" s="3">
        <v>4000.0</v>
      </c>
      <c r="C1187" s="4"/>
    </row>
    <row r="1188">
      <c r="A1188" s="4" t="s">
        <v>1611</v>
      </c>
      <c r="B1188" s="3">
        <v>4000.0</v>
      </c>
      <c r="C1188" s="4"/>
    </row>
    <row r="1189">
      <c r="A1189" s="4" t="s">
        <v>2285</v>
      </c>
      <c r="B1189" s="3">
        <v>800.0</v>
      </c>
      <c r="C1189" s="3" t="s">
        <v>3</v>
      </c>
    </row>
    <row r="1190">
      <c r="A1190" s="4" t="s">
        <v>1614</v>
      </c>
      <c r="B1190" s="3">
        <v>0.0</v>
      </c>
      <c r="C1190" s="3" t="s">
        <v>3</v>
      </c>
    </row>
    <row r="1191">
      <c r="A1191" s="4" t="s">
        <v>2286</v>
      </c>
      <c r="B1191" s="3">
        <v>2000.0</v>
      </c>
      <c r="C1191" s="3" t="s">
        <v>3</v>
      </c>
    </row>
    <row r="1192">
      <c r="A1192" s="4" t="s">
        <v>1617</v>
      </c>
      <c r="B1192" s="3">
        <v>0.0</v>
      </c>
      <c r="C1192" s="3" t="s">
        <v>3</v>
      </c>
    </row>
    <row r="1193">
      <c r="A1193" s="4" t="s">
        <v>1618</v>
      </c>
      <c r="B1193" s="3">
        <v>0.0</v>
      </c>
      <c r="C1193" s="3" t="s">
        <v>3</v>
      </c>
    </row>
    <row r="1194">
      <c r="A1194" s="4" t="s">
        <v>1619</v>
      </c>
      <c r="B1194" s="3">
        <v>0.0</v>
      </c>
      <c r="C1194" s="3" t="s">
        <v>29</v>
      </c>
    </row>
    <row r="1195">
      <c r="A1195" s="4" t="s">
        <v>1620</v>
      </c>
      <c r="B1195" s="3">
        <v>40700.0</v>
      </c>
      <c r="C1195" s="3" t="s">
        <v>216</v>
      </c>
    </row>
    <row r="1196">
      <c r="A1196" s="4" t="s">
        <v>1622</v>
      </c>
      <c r="B1196" s="3">
        <v>0.0</v>
      </c>
      <c r="C1196" s="3" t="s">
        <v>3</v>
      </c>
    </row>
    <row r="1197">
      <c r="A1197" s="4" t="s">
        <v>1623</v>
      </c>
      <c r="B1197" s="3">
        <v>0.0</v>
      </c>
      <c r="C1197" s="3" t="s">
        <v>6</v>
      </c>
    </row>
    <row r="1198">
      <c r="A1198" s="4" t="s">
        <v>1624</v>
      </c>
      <c r="B1198" s="3">
        <v>17000.0</v>
      </c>
      <c r="C1198" s="4"/>
    </row>
    <row r="1199">
      <c r="A1199" s="4" t="s">
        <v>1625</v>
      </c>
      <c r="B1199" s="3">
        <v>0.0</v>
      </c>
      <c r="C1199" s="3" t="s">
        <v>29</v>
      </c>
    </row>
    <row r="1200">
      <c r="A1200" s="4" t="s">
        <v>1626</v>
      </c>
      <c r="B1200" s="3">
        <v>10000.0</v>
      </c>
      <c r="C1200" s="3" t="s">
        <v>29</v>
      </c>
    </row>
    <row r="1201">
      <c r="A1201" s="4" t="s">
        <v>1627</v>
      </c>
      <c r="B1201" s="3">
        <v>0.0</v>
      </c>
      <c r="C1201" s="3" t="s">
        <v>6</v>
      </c>
    </row>
    <row r="1202">
      <c r="A1202" s="4" t="s">
        <v>1628</v>
      </c>
      <c r="B1202" s="3">
        <v>4000.0</v>
      </c>
      <c r="C1202" s="4"/>
    </row>
    <row r="1203">
      <c r="A1203" s="4" t="s">
        <v>1629</v>
      </c>
      <c r="B1203" s="3">
        <v>0.0</v>
      </c>
      <c r="C1203" s="3" t="s">
        <v>3</v>
      </c>
    </row>
    <row r="1204">
      <c r="A1204" s="4" t="s">
        <v>1630</v>
      </c>
      <c r="B1204" s="3">
        <v>0.0</v>
      </c>
      <c r="C1204" s="3" t="s">
        <v>3</v>
      </c>
    </row>
    <row r="1205">
      <c r="A1205" s="4" t="s">
        <v>1631</v>
      </c>
      <c r="B1205" s="3">
        <v>0.0</v>
      </c>
      <c r="C1205" s="3" t="s">
        <v>3</v>
      </c>
    </row>
    <row r="1206">
      <c r="A1206" s="4" t="s">
        <v>1632</v>
      </c>
      <c r="B1206" s="3">
        <v>0.0</v>
      </c>
      <c r="C1206" s="3" t="s">
        <v>3</v>
      </c>
    </row>
    <row r="1207">
      <c r="A1207" s="4" t="s">
        <v>1633</v>
      </c>
      <c r="B1207" s="3">
        <v>0.0</v>
      </c>
      <c r="C1207" s="3" t="s">
        <v>668</v>
      </c>
    </row>
    <row r="1208">
      <c r="A1208" s="4" t="s">
        <v>1634</v>
      </c>
      <c r="B1208" s="3">
        <v>0.0</v>
      </c>
      <c r="C1208" s="3" t="s">
        <v>3</v>
      </c>
    </row>
    <row r="1209">
      <c r="A1209" s="4" t="s">
        <v>1635</v>
      </c>
      <c r="B1209" s="3">
        <v>130000.0</v>
      </c>
      <c r="C1209" s="3" t="s">
        <v>3</v>
      </c>
    </row>
    <row r="1210">
      <c r="A1210" s="4" t="s">
        <v>1637</v>
      </c>
      <c r="B1210" s="3">
        <v>20686.0</v>
      </c>
      <c r="C1210" s="4"/>
    </row>
    <row r="1211">
      <c r="A1211" s="4" t="s">
        <v>1639</v>
      </c>
      <c r="B1211" s="3">
        <v>170592.0</v>
      </c>
      <c r="C1211" s="4"/>
    </row>
    <row r="1212">
      <c r="A1212" s="4" t="s">
        <v>1641</v>
      </c>
      <c r="B1212" s="3">
        <v>500.0</v>
      </c>
      <c r="C1212" s="4"/>
    </row>
    <row r="1213">
      <c r="A1213" s="4" t="s">
        <v>1642</v>
      </c>
      <c r="B1213" s="3">
        <v>2000.0</v>
      </c>
      <c r="C1213" s="4"/>
    </row>
    <row r="1214">
      <c r="A1214" s="4" t="s">
        <v>1643</v>
      </c>
      <c r="B1214" s="3">
        <v>865.0</v>
      </c>
      <c r="C1214" s="4"/>
    </row>
    <row r="1215">
      <c r="A1215" s="4" t="s">
        <v>1645</v>
      </c>
      <c r="B1215" s="3">
        <v>0.0</v>
      </c>
      <c r="C1215" s="3" t="s">
        <v>3</v>
      </c>
    </row>
    <row r="1216">
      <c r="A1216" s="4" t="s">
        <v>1646</v>
      </c>
      <c r="B1216" s="3">
        <v>0.0</v>
      </c>
      <c r="C1216" s="3" t="s">
        <v>32</v>
      </c>
    </row>
    <row r="1217">
      <c r="A1217" s="4" t="s">
        <v>2287</v>
      </c>
      <c r="B1217" s="3">
        <v>200.0</v>
      </c>
      <c r="C1217" s="3" t="s">
        <v>3</v>
      </c>
    </row>
    <row r="1218">
      <c r="A1218" s="4" t="s">
        <v>1650</v>
      </c>
      <c r="B1218" s="3">
        <v>0.0</v>
      </c>
      <c r="C1218" s="3" t="s">
        <v>1651</v>
      </c>
    </row>
    <row r="1219">
      <c r="A1219" s="4" t="s">
        <v>1652</v>
      </c>
      <c r="B1219" s="3">
        <v>0.0</v>
      </c>
      <c r="C1219" s="3" t="s">
        <v>3</v>
      </c>
    </row>
    <row r="1220">
      <c r="A1220" s="4" t="s">
        <v>1653</v>
      </c>
      <c r="B1220" s="3">
        <v>1000.0</v>
      </c>
      <c r="C1220" s="4"/>
    </row>
    <row r="1221">
      <c r="A1221" s="4" t="s">
        <v>1654</v>
      </c>
      <c r="B1221" s="3">
        <v>120000.0</v>
      </c>
      <c r="C1221" s="4"/>
    </row>
    <row r="1222">
      <c r="A1222" s="4" t="s">
        <v>1656</v>
      </c>
      <c r="B1222" s="3">
        <v>1500.0</v>
      </c>
      <c r="C1222" s="4"/>
    </row>
    <row r="1223">
      <c r="A1223" s="4" t="s">
        <v>1657</v>
      </c>
      <c r="B1223" s="3">
        <v>0.0</v>
      </c>
      <c r="C1223" s="3" t="s">
        <v>3</v>
      </c>
    </row>
    <row r="1224">
      <c r="A1224" s="4" t="s">
        <v>1658</v>
      </c>
      <c r="B1224" s="3">
        <v>4000.0</v>
      </c>
      <c r="C1224" s="4"/>
    </row>
    <row r="1225">
      <c r="A1225" s="4" t="s">
        <v>1659</v>
      </c>
      <c r="B1225" s="3">
        <v>600.0</v>
      </c>
      <c r="C1225" s="4"/>
    </row>
    <row r="1226">
      <c r="A1226" s="4" t="s">
        <v>1660</v>
      </c>
      <c r="B1226" s="3">
        <v>0.0</v>
      </c>
      <c r="C1226" s="3" t="s">
        <v>3</v>
      </c>
    </row>
    <row r="1227">
      <c r="A1227" s="4" t="s">
        <v>1661</v>
      </c>
      <c r="B1227" s="3">
        <v>0.0</v>
      </c>
      <c r="C1227" s="3" t="s">
        <v>3</v>
      </c>
    </row>
    <row r="1228">
      <c r="A1228" s="4" t="s">
        <v>1662</v>
      </c>
      <c r="B1228" s="3">
        <v>14000.0</v>
      </c>
      <c r="C1228" s="4"/>
    </row>
    <row r="1229">
      <c r="A1229" s="4" t="s">
        <v>1663</v>
      </c>
      <c r="B1229" s="3">
        <v>600.0</v>
      </c>
      <c r="C1229" s="4"/>
    </row>
    <row r="1230">
      <c r="A1230" s="4" t="s">
        <v>1664</v>
      </c>
      <c r="B1230" s="3">
        <v>0.0</v>
      </c>
      <c r="C1230" s="3" t="s">
        <v>3</v>
      </c>
    </row>
    <row r="1231">
      <c r="A1231" s="4" t="s">
        <v>2288</v>
      </c>
      <c r="B1231" s="3">
        <v>27000.0</v>
      </c>
      <c r="C1231" s="3" t="s">
        <v>580</v>
      </c>
    </row>
    <row r="1232">
      <c r="A1232" s="4" t="s">
        <v>1666</v>
      </c>
      <c r="B1232" s="3">
        <v>0.0</v>
      </c>
      <c r="C1232" s="3" t="s">
        <v>6</v>
      </c>
    </row>
    <row r="1233">
      <c r="A1233" s="4" t="s">
        <v>1667</v>
      </c>
      <c r="B1233" s="3">
        <v>2500.0</v>
      </c>
      <c r="C1233" s="4"/>
    </row>
    <row r="1234">
      <c r="A1234" s="4" t="s">
        <v>1668</v>
      </c>
      <c r="B1234" s="3">
        <v>0.0</v>
      </c>
      <c r="C1234" s="3" t="s">
        <v>3</v>
      </c>
    </row>
    <row r="1235">
      <c r="A1235" s="4" t="s">
        <v>1669</v>
      </c>
      <c r="B1235" s="3">
        <v>1000.0</v>
      </c>
      <c r="C1235" s="3" t="s">
        <v>32</v>
      </c>
    </row>
    <row r="1236">
      <c r="A1236" s="4" t="s">
        <v>1670</v>
      </c>
      <c r="B1236" s="3">
        <v>0.0</v>
      </c>
      <c r="C1236" s="3" t="s">
        <v>3</v>
      </c>
    </row>
    <row r="1237">
      <c r="A1237" s="4" t="s">
        <v>1671</v>
      </c>
      <c r="B1237" s="3">
        <v>22500.0</v>
      </c>
      <c r="C1237" s="4"/>
    </row>
    <row r="1238">
      <c r="A1238" s="4" t="s">
        <v>1672</v>
      </c>
      <c r="B1238" s="3">
        <v>2500.0</v>
      </c>
      <c r="C1238" s="4"/>
    </row>
    <row r="1239">
      <c r="A1239" s="4" t="s">
        <v>1673</v>
      </c>
      <c r="B1239" s="3">
        <v>567000.0</v>
      </c>
      <c r="C1239" s="3" t="s">
        <v>6</v>
      </c>
    </row>
    <row r="1240">
      <c r="A1240" s="4" t="s">
        <v>1675</v>
      </c>
      <c r="B1240" s="3">
        <v>0.0</v>
      </c>
      <c r="C1240" s="3" t="s">
        <v>3</v>
      </c>
    </row>
    <row r="1241">
      <c r="A1241" s="4" t="s">
        <v>2289</v>
      </c>
      <c r="B1241" s="3">
        <v>237000.0</v>
      </c>
      <c r="C1241" s="3" t="s">
        <v>580</v>
      </c>
    </row>
    <row r="1242">
      <c r="A1242" s="4" t="s">
        <v>1678</v>
      </c>
      <c r="B1242" s="3">
        <v>1000.0</v>
      </c>
      <c r="C1242" s="3" t="s">
        <v>32</v>
      </c>
    </row>
    <row r="1243">
      <c r="A1243" s="4" t="s">
        <v>1679</v>
      </c>
      <c r="B1243" s="3">
        <v>1800.0</v>
      </c>
      <c r="C1243" s="4"/>
    </row>
    <row r="1244">
      <c r="A1244" s="4" t="s">
        <v>2290</v>
      </c>
      <c r="B1244" s="3">
        <v>0.0</v>
      </c>
      <c r="C1244" s="3" t="s">
        <v>3</v>
      </c>
    </row>
    <row r="1245">
      <c r="A1245" s="4" t="s">
        <v>1682</v>
      </c>
      <c r="B1245" s="3">
        <v>0.0</v>
      </c>
      <c r="C1245" s="3" t="s">
        <v>3</v>
      </c>
    </row>
    <row r="1246">
      <c r="A1246" s="4" t="s">
        <v>1683</v>
      </c>
      <c r="B1246" s="3">
        <v>1650.0</v>
      </c>
      <c r="C1246" s="4"/>
    </row>
    <row r="1247">
      <c r="A1247" s="4" t="s">
        <v>1685</v>
      </c>
      <c r="B1247" s="3">
        <v>0.0</v>
      </c>
      <c r="C1247" s="3" t="s">
        <v>3</v>
      </c>
    </row>
    <row r="1248">
      <c r="A1248" s="4" t="s">
        <v>1686</v>
      </c>
      <c r="B1248" s="3">
        <v>0.0</v>
      </c>
      <c r="C1248" s="3" t="s">
        <v>3</v>
      </c>
    </row>
    <row r="1249">
      <c r="A1249" s="4" t="s">
        <v>1687</v>
      </c>
      <c r="B1249" s="3">
        <v>0.0</v>
      </c>
      <c r="C1249" s="3" t="s">
        <v>29</v>
      </c>
    </row>
    <row r="1250">
      <c r="A1250" s="4" t="s">
        <v>1688</v>
      </c>
      <c r="B1250" s="3">
        <v>2000.0</v>
      </c>
      <c r="C1250" s="3" t="s">
        <v>3</v>
      </c>
    </row>
    <row r="1251">
      <c r="A1251" s="4" t="s">
        <v>1689</v>
      </c>
      <c r="B1251" s="3">
        <v>700.0</v>
      </c>
      <c r="C1251" s="4"/>
    </row>
    <row r="1252">
      <c r="A1252" s="4" t="s">
        <v>1690</v>
      </c>
      <c r="B1252" s="3">
        <v>0.0</v>
      </c>
      <c r="C1252" s="3" t="s">
        <v>29</v>
      </c>
    </row>
    <row r="1253">
      <c r="A1253" s="4" t="s">
        <v>1691</v>
      </c>
      <c r="B1253" s="3">
        <v>0.0</v>
      </c>
      <c r="C1253" s="3" t="s">
        <v>484</v>
      </c>
    </row>
    <row r="1254">
      <c r="A1254" s="4" t="s">
        <v>1692</v>
      </c>
      <c r="B1254" s="3">
        <v>10000.0</v>
      </c>
      <c r="C1254" s="3" t="s">
        <v>1693</v>
      </c>
    </row>
    <row r="1255">
      <c r="A1255" s="4" t="s">
        <v>1694</v>
      </c>
      <c r="B1255" s="3">
        <v>0.0</v>
      </c>
      <c r="C1255" s="3" t="s">
        <v>32</v>
      </c>
    </row>
    <row r="1256">
      <c r="A1256" s="4" t="s">
        <v>1695</v>
      </c>
      <c r="B1256" s="3">
        <v>0.0</v>
      </c>
      <c r="C1256" s="3" t="s">
        <v>3</v>
      </c>
    </row>
    <row r="1257">
      <c r="A1257" s="4" t="s">
        <v>1696</v>
      </c>
      <c r="B1257" s="3">
        <v>800.0</v>
      </c>
      <c r="C1257" s="4"/>
    </row>
    <row r="1258">
      <c r="A1258" s="4" t="s">
        <v>1697</v>
      </c>
      <c r="B1258" s="3">
        <v>500.0</v>
      </c>
      <c r="C1258" s="3" t="s">
        <v>32</v>
      </c>
    </row>
    <row r="1259">
      <c r="A1259" s="4" t="s">
        <v>1698</v>
      </c>
      <c r="B1259" s="3">
        <v>1500.0</v>
      </c>
      <c r="C1259" s="3" t="s">
        <v>6</v>
      </c>
    </row>
    <row r="1260">
      <c r="A1260" s="4" t="s">
        <v>1699</v>
      </c>
      <c r="B1260" s="3">
        <v>0.0</v>
      </c>
      <c r="C1260" s="3" t="s">
        <v>3</v>
      </c>
    </row>
    <row r="1261">
      <c r="A1261" s="4" t="s">
        <v>1700</v>
      </c>
      <c r="B1261" s="3">
        <v>0.0</v>
      </c>
      <c r="C1261" s="3" t="s">
        <v>3</v>
      </c>
    </row>
    <row r="1262">
      <c r="A1262" s="4" t="s">
        <v>1701</v>
      </c>
      <c r="B1262" s="3">
        <v>2500.0</v>
      </c>
      <c r="C1262" s="3" t="s">
        <v>3</v>
      </c>
    </row>
    <row r="1263">
      <c r="A1263" s="4" t="s">
        <v>1702</v>
      </c>
      <c r="B1263" s="3">
        <v>1000.0</v>
      </c>
      <c r="C1263" s="3" t="s">
        <v>3</v>
      </c>
    </row>
    <row r="1264">
      <c r="A1264" s="4" t="s">
        <v>1703</v>
      </c>
      <c r="B1264" s="3">
        <v>0.0</v>
      </c>
      <c r="C1264" s="3" t="s">
        <v>3</v>
      </c>
    </row>
    <row r="1265">
      <c r="A1265" s="4" t="s">
        <v>1704</v>
      </c>
      <c r="B1265" s="3">
        <v>0.0</v>
      </c>
      <c r="C1265" s="3" t="s">
        <v>3</v>
      </c>
    </row>
    <row r="1266">
      <c r="A1266" s="4" t="s">
        <v>1705</v>
      </c>
      <c r="B1266" s="3">
        <v>0.0</v>
      </c>
      <c r="C1266" s="3" t="s">
        <v>3</v>
      </c>
    </row>
    <row r="1267">
      <c r="A1267" s="4" t="s">
        <v>1706</v>
      </c>
      <c r="B1267" s="3">
        <v>0.0</v>
      </c>
      <c r="C1267" s="3" t="s">
        <v>6</v>
      </c>
    </row>
    <row r="1268">
      <c r="A1268" s="4" t="s">
        <v>1707</v>
      </c>
      <c r="B1268" s="3">
        <v>0.0</v>
      </c>
      <c r="C1268" s="3" t="s">
        <v>6</v>
      </c>
    </row>
    <row r="1269">
      <c r="A1269" s="4" t="s">
        <v>1708</v>
      </c>
      <c r="B1269" s="3">
        <v>0.0</v>
      </c>
      <c r="C1269" s="3" t="s">
        <v>3</v>
      </c>
    </row>
    <row r="1270">
      <c r="A1270" s="4" t="s">
        <v>1709</v>
      </c>
      <c r="B1270" s="3">
        <v>4000.0</v>
      </c>
      <c r="C1270" s="4"/>
    </row>
    <row r="1271">
      <c r="A1271" s="4" t="s">
        <v>1710</v>
      </c>
      <c r="B1271" s="3">
        <v>3000.0</v>
      </c>
      <c r="C1271" s="3" t="s">
        <v>6</v>
      </c>
    </row>
    <row r="1272">
      <c r="A1272" s="4" t="s">
        <v>1711</v>
      </c>
      <c r="B1272" s="3">
        <v>0.0</v>
      </c>
      <c r="C1272" s="3" t="s">
        <v>3</v>
      </c>
    </row>
    <row r="1273">
      <c r="A1273" s="4" t="s">
        <v>1712</v>
      </c>
      <c r="B1273" s="3">
        <v>500.0</v>
      </c>
      <c r="C1273" s="4"/>
    </row>
    <row r="1274">
      <c r="A1274" s="4" t="s">
        <v>2291</v>
      </c>
      <c r="B1274" s="3">
        <v>1000.0</v>
      </c>
      <c r="C1274" s="3" t="s">
        <v>668</v>
      </c>
    </row>
    <row r="1275">
      <c r="A1275" s="4" t="s">
        <v>2292</v>
      </c>
      <c r="B1275" s="3">
        <v>357672.0</v>
      </c>
      <c r="C1275" s="3" t="s">
        <v>3</v>
      </c>
    </row>
    <row r="1276">
      <c r="A1276" s="4" t="s">
        <v>1718</v>
      </c>
      <c r="B1276" s="3">
        <v>21350.0</v>
      </c>
      <c r="C1276" s="3" t="s">
        <v>32</v>
      </c>
    </row>
    <row r="1277">
      <c r="A1277" s="4" t="s">
        <v>1720</v>
      </c>
      <c r="B1277" s="3">
        <v>0.0</v>
      </c>
      <c r="C1277" s="3" t="s">
        <v>3</v>
      </c>
    </row>
    <row r="1278">
      <c r="A1278" s="4" t="s">
        <v>1721</v>
      </c>
      <c r="B1278" s="3">
        <v>0.0</v>
      </c>
      <c r="C1278" s="3" t="s">
        <v>3</v>
      </c>
    </row>
    <row r="1279">
      <c r="A1279" s="4" t="s">
        <v>1722</v>
      </c>
      <c r="B1279" s="3">
        <v>0.0</v>
      </c>
      <c r="C1279" s="3" t="s">
        <v>3</v>
      </c>
    </row>
    <row r="1280">
      <c r="A1280" s="4" t="s">
        <v>1723</v>
      </c>
      <c r="B1280" s="3">
        <v>3800.0</v>
      </c>
      <c r="C1280" s="4"/>
    </row>
    <row r="1281">
      <c r="A1281" s="4" t="s">
        <v>1725</v>
      </c>
      <c r="B1281" s="3">
        <v>150.0</v>
      </c>
      <c r="C1281" s="4"/>
    </row>
    <row r="1282">
      <c r="A1282" s="4" t="s">
        <v>2293</v>
      </c>
      <c r="B1282" s="3">
        <v>0.0</v>
      </c>
      <c r="C1282" s="3" t="s">
        <v>32</v>
      </c>
    </row>
    <row r="1283">
      <c r="A1283" s="4" t="s">
        <v>1728</v>
      </c>
      <c r="B1283" s="3">
        <v>0.0</v>
      </c>
      <c r="C1283" s="3" t="s">
        <v>3</v>
      </c>
    </row>
    <row r="1284">
      <c r="A1284" s="4" t="s">
        <v>1729</v>
      </c>
      <c r="B1284" s="3">
        <v>0.0</v>
      </c>
      <c r="C1284" s="3" t="s">
        <v>3</v>
      </c>
    </row>
    <row r="1285">
      <c r="A1285" s="4" t="s">
        <v>1730</v>
      </c>
      <c r="B1285" s="3">
        <v>0.0</v>
      </c>
      <c r="C1285" s="3" t="s">
        <v>29</v>
      </c>
    </row>
    <row r="1286">
      <c r="A1286" s="4" t="s">
        <v>1731</v>
      </c>
      <c r="B1286" s="3">
        <v>0.0</v>
      </c>
      <c r="C1286" s="3" t="s">
        <v>6</v>
      </c>
    </row>
    <row r="1287">
      <c r="A1287" s="4" t="s">
        <v>1732</v>
      </c>
      <c r="B1287" s="3">
        <v>0.0</v>
      </c>
      <c r="C1287" s="3" t="s">
        <v>3</v>
      </c>
    </row>
    <row r="1288">
      <c r="A1288" s="4" t="s">
        <v>1733</v>
      </c>
      <c r="B1288" s="3">
        <v>31500.0</v>
      </c>
      <c r="C1288" s="3" t="s">
        <v>3</v>
      </c>
    </row>
    <row r="1289">
      <c r="A1289" s="4" t="s">
        <v>1735</v>
      </c>
      <c r="B1289" s="3">
        <v>10000.0</v>
      </c>
      <c r="C1289" s="4"/>
    </row>
    <row r="1290">
      <c r="A1290" s="4" t="s">
        <v>1736</v>
      </c>
      <c r="B1290" s="3">
        <v>35000.0</v>
      </c>
      <c r="C1290" s="3" t="s">
        <v>280</v>
      </c>
    </row>
    <row r="1291">
      <c r="A1291" s="4" t="s">
        <v>1737</v>
      </c>
      <c r="B1291" s="3">
        <v>0.0</v>
      </c>
      <c r="C1291" s="3" t="s">
        <v>3</v>
      </c>
    </row>
    <row r="1292">
      <c r="A1292" s="4" t="s">
        <v>1738</v>
      </c>
      <c r="B1292" s="3">
        <v>1500.0</v>
      </c>
      <c r="C1292" s="4"/>
    </row>
    <row r="1293">
      <c r="A1293" s="4" t="s">
        <v>1739</v>
      </c>
      <c r="B1293" s="3">
        <v>22000.0</v>
      </c>
      <c r="C1293" s="3" t="s">
        <v>484</v>
      </c>
    </row>
    <row r="1294">
      <c r="A1294" s="4" t="s">
        <v>1740</v>
      </c>
      <c r="B1294" s="3">
        <v>0.0</v>
      </c>
      <c r="C1294" s="3" t="s">
        <v>3</v>
      </c>
    </row>
    <row r="1295">
      <c r="A1295" s="4" t="s">
        <v>2294</v>
      </c>
      <c r="B1295" s="3">
        <v>0.0</v>
      </c>
      <c r="C1295" s="3" t="s">
        <v>3</v>
      </c>
    </row>
    <row r="1296">
      <c r="A1296" s="4" t="s">
        <v>1743</v>
      </c>
      <c r="B1296" s="3">
        <v>0.0</v>
      </c>
      <c r="C1296" s="3" t="s">
        <v>3</v>
      </c>
    </row>
    <row r="1297">
      <c r="A1297" s="4" t="s">
        <v>1744</v>
      </c>
      <c r="B1297" s="3">
        <v>9520.0</v>
      </c>
      <c r="C1297" s="4"/>
    </row>
    <row r="1298">
      <c r="A1298" s="4" t="s">
        <v>1746</v>
      </c>
      <c r="B1298" s="3">
        <v>900.0</v>
      </c>
      <c r="C1298" s="4"/>
    </row>
    <row r="1299">
      <c r="A1299" s="4" t="s">
        <v>1747</v>
      </c>
      <c r="B1299" s="3">
        <v>7100.0</v>
      </c>
      <c r="C1299" s="3" t="s">
        <v>6</v>
      </c>
    </row>
    <row r="1300">
      <c r="A1300" s="4" t="s">
        <v>1749</v>
      </c>
      <c r="B1300" s="3">
        <v>0.0</v>
      </c>
      <c r="C1300" s="3" t="s">
        <v>6</v>
      </c>
    </row>
    <row r="1301">
      <c r="A1301" s="4" t="s">
        <v>1750</v>
      </c>
      <c r="B1301" s="3">
        <v>0.0</v>
      </c>
      <c r="C1301" s="3" t="s">
        <v>6</v>
      </c>
    </row>
    <row r="1302">
      <c r="A1302" s="4" t="s">
        <v>1751</v>
      </c>
      <c r="B1302" s="3">
        <v>51000.0</v>
      </c>
      <c r="C1302" s="3" t="s">
        <v>3</v>
      </c>
    </row>
    <row r="1303">
      <c r="A1303" s="4" t="s">
        <v>1753</v>
      </c>
      <c r="B1303" s="3">
        <v>0.0</v>
      </c>
      <c r="C1303" s="3" t="s">
        <v>32</v>
      </c>
    </row>
    <row r="1304">
      <c r="A1304" s="4" t="s">
        <v>1754</v>
      </c>
      <c r="B1304" s="3">
        <v>6000.0</v>
      </c>
      <c r="C1304" s="3" t="s">
        <v>32</v>
      </c>
    </row>
    <row r="1305">
      <c r="A1305" s="4" t="s">
        <v>1755</v>
      </c>
      <c r="B1305" s="3">
        <v>0.0</v>
      </c>
      <c r="C1305" s="3" t="s">
        <v>3</v>
      </c>
    </row>
    <row r="1306">
      <c r="A1306" s="4" t="s">
        <v>1756</v>
      </c>
      <c r="B1306" s="3">
        <v>29985.0</v>
      </c>
      <c r="C1306" s="4"/>
    </row>
    <row r="1307">
      <c r="A1307" s="4" t="s">
        <v>1758</v>
      </c>
      <c r="B1307" s="3">
        <v>2000.0</v>
      </c>
      <c r="C1307" s="4"/>
    </row>
    <row r="1308">
      <c r="A1308" s="4" t="s">
        <v>1759</v>
      </c>
      <c r="B1308" s="3">
        <v>10000.0</v>
      </c>
      <c r="C1308" s="3" t="s">
        <v>6</v>
      </c>
    </row>
    <row r="1309">
      <c r="A1309" s="4" t="s">
        <v>1760</v>
      </c>
      <c r="B1309" s="3">
        <v>0.0</v>
      </c>
      <c r="C1309" s="3" t="s">
        <v>3</v>
      </c>
    </row>
    <row r="1310">
      <c r="A1310" s="4" t="s">
        <v>1761</v>
      </c>
      <c r="B1310" s="3">
        <v>64000.0</v>
      </c>
      <c r="C1310" s="4"/>
    </row>
    <row r="1311">
      <c r="A1311" s="4" t="s">
        <v>1763</v>
      </c>
      <c r="B1311" s="3">
        <v>0.0</v>
      </c>
      <c r="C1311" s="3" t="s">
        <v>3</v>
      </c>
    </row>
    <row r="1312">
      <c r="A1312" s="4" t="s">
        <v>1764</v>
      </c>
      <c r="B1312" s="3">
        <v>10000.0</v>
      </c>
      <c r="C1312" s="3" t="s">
        <v>3</v>
      </c>
    </row>
    <row r="1313">
      <c r="A1313" s="4" t="s">
        <v>1765</v>
      </c>
      <c r="B1313" s="3">
        <v>600.0</v>
      </c>
      <c r="C1313" s="3" t="s">
        <v>32</v>
      </c>
    </row>
    <row r="1314">
      <c r="A1314" s="4" t="s">
        <v>1766</v>
      </c>
      <c r="B1314" s="3">
        <v>9750.0</v>
      </c>
      <c r="C1314" s="3" t="s">
        <v>32</v>
      </c>
    </row>
    <row r="1315">
      <c r="A1315" s="4" t="s">
        <v>1768</v>
      </c>
      <c r="B1315" s="3">
        <v>0.0</v>
      </c>
      <c r="C1315" s="3" t="s">
        <v>6</v>
      </c>
    </row>
    <row r="1316">
      <c r="A1316" s="4" t="s">
        <v>1769</v>
      </c>
      <c r="B1316" s="3">
        <v>0.0</v>
      </c>
      <c r="C1316" s="3" t="s">
        <v>3</v>
      </c>
    </row>
    <row r="1317">
      <c r="A1317" s="4" t="s">
        <v>1770</v>
      </c>
      <c r="B1317" s="3">
        <v>0.0</v>
      </c>
      <c r="C1317" s="3" t="s">
        <v>29</v>
      </c>
    </row>
    <row r="1318">
      <c r="A1318" s="4" t="s">
        <v>1771</v>
      </c>
      <c r="B1318" s="3">
        <v>0.0</v>
      </c>
      <c r="C1318" s="3" t="s">
        <v>3</v>
      </c>
    </row>
    <row r="1319">
      <c r="A1319" s="4" t="s">
        <v>1772</v>
      </c>
      <c r="B1319" s="3">
        <v>0.0</v>
      </c>
      <c r="C1319" s="3" t="s">
        <v>32</v>
      </c>
    </row>
    <row r="1320">
      <c r="A1320" s="4" t="s">
        <v>1773</v>
      </c>
      <c r="B1320" s="3">
        <v>6182.0</v>
      </c>
      <c r="C1320" s="4"/>
    </row>
    <row r="1321">
      <c r="A1321" s="4" t="s">
        <v>2295</v>
      </c>
      <c r="B1321" s="3">
        <v>2000.0</v>
      </c>
      <c r="C1321" s="3" t="s">
        <v>3</v>
      </c>
    </row>
    <row r="1322">
      <c r="A1322" s="4" t="s">
        <v>1777</v>
      </c>
      <c r="B1322" s="3">
        <v>800.0</v>
      </c>
      <c r="C1322" s="3" t="s">
        <v>29</v>
      </c>
    </row>
    <row r="1323">
      <c r="A1323" s="4" t="s">
        <v>1778</v>
      </c>
      <c r="B1323" s="3">
        <v>650.0</v>
      </c>
      <c r="C1323" s="4"/>
    </row>
    <row r="1324">
      <c r="A1324" s="4" t="s">
        <v>1780</v>
      </c>
      <c r="B1324" s="3">
        <v>0.0</v>
      </c>
      <c r="C1324" s="3" t="s">
        <v>32</v>
      </c>
    </row>
    <row r="1325">
      <c r="A1325" s="4" t="s">
        <v>1781</v>
      </c>
      <c r="B1325" s="3">
        <v>3000.0</v>
      </c>
      <c r="C1325" s="4"/>
    </row>
    <row r="1326">
      <c r="A1326" s="4" t="s">
        <v>1782</v>
      </c>
      <c r="B1326" s="3">
        <v>3700.0</v>
      </c>
      <c r="C1326" s="3" t="s">
        <v>32</v>
      </c>
    </row>
    <row r="1327">
      <c r="A1327" s="4" t="s">
        <v>1783</v>
      </c>
      <c r="B1327" s="3">
        <v>4400.0</v>
      </c>
      <c r="C1327" s="4"/>
    </row>
    <row r="1328">
      <c r="A1328" s="4" t="s">
        <v>1784</v>
      </c>
      <c r="B1328" s="3">
        <v>0.0</v>
      </c>
      <c r="C1328" s="3" t="s">
        <v>3</v>
      </c>
    </row>
    <row r="1329">
      <c r="A1329" s="4" t="s">
        <v>1785</v>
      </c>
      <c r="B1329" s="3">
        <v>0.0</v>
      </c>
      <c r="C1329" s="3" t="s">
        <v>3</v>
      </c>
    </row>
    <row r="1330">
      <c r="A1330" s="4" t="s">
        <v>1786</v>
      </c>
      <c r="B1330" s="3">
        <v>0.0</v>
      </c>
      <c r="C1330" s="3" t="s">
        <v>6</v>
      </c>
    </row>
    <row r="1331">
      <c r="A1331" s="4" t="s">
        <v>1787</v>
      </c>
      <c r="B1331" s="3">
        <v>280000.0</v>
      </c>
      <c r="C1331" s="3" t="s">
        <v>6</v>
      </c>
    </row>
    <row r="1332">
      <c r="A1332" s="4" t="s">
        <v>1789</v>
      </c>
      <c r="B1332" s="3">
        <v>450000.0</v>
      </c>
      <c r="C1332" s="3" t="s">
        <v>6</v>
      </c>
    </row>
    <row r="1333">
      <c r="A1333" s="4" t="s">
        <v>1791</v>
      </c>
      <c r="B1333" s="3">
        <v>2000.0</v>
      </c>
      <c r="C1333" s="3" t="s">
        <v>29</v>
      </c>
    </row>
    <row r="1334">
      <c r="A1334" s="4" t="s">
        <v>2296</v>
      </c>
      <c r="B1334" s="3">
        <v>2000.0</v>
      </c>
      <c r="C1334" s="4"/>
    </row>
    <row r="1335">
      <c r="A1335" s="4" t="s">
        <v>1794</v>
      </c>
      <c r="B1335" s="3">
        <v>0.0</v>
      </c>
      <c r="C1335" s="3" t="s">
        <v>3</v>
      </c>
    </row>
    <row r="1336">
      <c r="A1336" s="4" t="s">
        <v>1795</v>
      </c>
      <c r="B1336" s="3">
        <v>3500.0</v>
      </c>
      <c r="C1336" s="4"/>
    </row>
    <row r="1337">
      <c r="A1337" s="4" t="s">
        <v>1796</v>
      </c>
      <c r="B1337" s="3">
        <v>0.0</v>
      </c>
      <c r="C1337" s="3" t="s">
        <v>3</v>
      </c>
    </row>
    <row r="1338">
      <c r="A1338" s="4" t="s">
        <v>2297</v>
      </c>
      <c r="B1338" s="3">
        <v>0.0</v>
      </c>
      <c r="C1338" s="3" t="s">
        <v>32</v>
      </c>
    </row>
    <row r="1339">
      <c r="A1339" s="4" t="s">
        <v>1799</v>
      </c>
      <c r="B1339" s="3">
        <v>0.0</v>
      </c>
      <c r="C1339" s="3" t="s">
        <v>29</v>
      </c>
    </row>
    <row r="1340">
      <c r="A1340" s="4" t="s">
        <v>2298</v>
      </c>
      <c r="B1340" s="3">
        <v>73250.0</v>
      </c>
      <c r="C1340" s="3" t="s">
        <v>1373</v>
      </c>
    </row>
    <row r="1341">
      <c r="A1341" s="4" t="s">
        <v>2299</v>
      </c>
      <c r="B1341" s="3">
        <v>0.0</v>
      </c>
      <c r="C1341" s="3" t="s">
        <v>6</v>
      </c>
    </row>
    <row r="1342">
      <c r="A1342" s="4" t="s">
        <v>2300</v>
      </c>
      <c r="B1342" s="3">
        <v>0.0</v>
      </c>
      <c r="C1342" s="3" t="s">
        <v>29</v>
      </c>
    </row>
    <row r="1343">
      <c r="A1343" s="4" t="s">
        <v>1805</v>
      </c>
      <c r="B1343" s="3">
        <v>9980.0</v>
      </c>
      <c r="C1343" s="3" t="s">
        <v>32</v>
      </c>
    </row>
    <row r="1344">
      <c r="A1344" s="4" t="s">
        <v>1807</v>
      </c>
      <c r="B1344" s="3">
        <v>0.0</v>
      </c>
      <c r="C1344" s="3" t="s">
        <v>668</v>
      </c>
    </row>
    <row r="1345">
      <c r="A1345" s="4" t="s">
        <v>1808</v>
      </c>
      <c r="B1345" s="3">
        <v>4000.0</v>
      </c>
      <c r="C1345" s="4"/>
    </row>
    <row r="1346">
      <c r="A1346" s="4" t="s">
        <v>1809</v>
      </c>
      <c r="B1346" s="3">
        <v>1000.0</v>
      </c>
      <c r="C1346" s="4"/>
    </row>
    <row r="1347">
      <c r="A1347" s="4" t="s">
        <v>1810</v>
      </c>
      <c r="B1347" s="3">
        <v>2000.0</v>
      </c>
      <c r="C1347" s="3" t="s">
        <v>3</v>
      </c>
    </row>
    <row r="1348">
      <c r="A1348" s="4" t="s">
        <v>1811</v>
      </c>
      <c r="B1348" s="3">
        <v>16770.0</v>
      </c>
      <c r="C1348" s="3" t="s">
        <v>3</v>
      </c>
    </row>
    <row r="1349">
      <c r="A1349" s="4" t="s">
        <v>1813</v>
      </c>
      <c r="B1349" s="3">
        <v>300.0</v>
      </c>
      <c r="C1349" s="4"/>
    </row>
    <row r="1350">
      <c r="A1350" s="4" t="s">
        <v>1814</v>
      </c>
      <c r="B1350" s="3">
        <v>0.0</v>
      </c>
      <c r="C1350" s="3" t="s">
        <v>3</v>
      </c>
    </row>
    <row r="1351">
      <c r="A1351" s="4" t="s">
        <v>2301</v>
      </c>
      <c r="B1351" s="3">
        <v>500.0</v>
      </c>
      <c r="C1351" s="4"/>
    </row>
    <row r="1352">
      <c r="A1352" s="4" t="s">
        <v>2302</v>
      </c>
      <c r="B1352" s="3">
        <v>0.0</v>
      </c>
      <c r="C1352" s="3" t="s">
        <v>3</v>
      </c>
    </row>
    <row r="1353">
      <c r="A1353" s="4" t="s">
        <v>1818</v>
      </c>
      <c r="B1353" s="3">
        <v>0.0</v>
      </c>
      <c r="C1353" s="3" t="s">
        <v>3</v>
      </c>
    </row>
    <row r="1354">
      <c r="A1354" s="4" t="s">
        <v>2303</v>
      </c>
      <c r="B1354" s="3">
        <v>2500.0</v>
      </c>
      <c r="C1354" s="3" t="s">
        <v>3</v>
      </c>
    </row>
    <row r="1355">
      <c r="A1355" s="4" t="s">
        <v>1821</v>
      </c>
      <c r="B1355" s="3">
        <v>0.0</v>
      </c>
      <c r="C1355" s="3" t="s">
        <v>3</v>
      </c>
    </row>
    <row r="1356">
      <c r="A1356" s="4" t="s">
        <v>1822</v>
      </c>
      <c r="B1356" s="3">
        <v>300.0</v>
      </c>
      <c r="C1356" s="4"/>
    </row>
    <row r="1357">
      <c r="A1357" s="4" t="s">
        <v>2304</v>
      </c>
      <c r="B1357" s="3">
        <v>9500.0</v>
      </c>
      <c r="C1357" s="3" t="s">
        <v>3</v>
      </c>
    </row>
    <row r="1358">
      <c r="A1358" s="4" t="s">
        <v>1825</v>
      </c>
      <c r="B1358" s="3">
        <v>0.0</v>
      </c>
      <c r="C1358" s="3" t="s">
        <v>3</v>
      </c>
    </row>
    <row r="1359">
      <c r="A1359" s="4" t="s">
        <v>1826</v>
      </c>
      <c r="B1359" s="3">
        <v>0.0</v>
      </c>
      <c r="C1359" s="3" t="s">
        <v>3</v>
      </c>
    </row>
    <row r="1360">
      <c r="A1360" s="4" t="s">
        <v>2305</v>
      </c>
      <c r="B1360" s="3">
        <v>0.0</v>
      </c>
      <c r="C1360" s="3" t="s">
        <v>3</v>
      </c>
    </row>
    <row r="1361">
      <c r="A1361" s="4" t="s">
        <v>1829</v>
      </c>
      <c r="B1361" s="3">
        <v>0.0</v>
      </c>
      <c r="C1361" s="3" t="s">
        <v>3</v>
      </c>
    </row>
    <row r="1362">
      <c r="A1362" s="4" t="s">
        <v>2306</v>
      </c>
      <c r="B1362" s="3">
        <v>2100.0</v>
      </c>
      <c r="C1362" s="4"/>
    </row>
    <row r="1363">
      <c r="A1363" s="4" t="s">
        <v>1831</v>
      </c>
      <c r="B1363" s="3">
        <v>0.0</v>
      </c>
      <c r="C1363" s="3" t="s">
        <v>3</v>
      </c>
    </row>
    <row r="1364">
      <c r="A1364" s="4" t="s">
        <v>1832</v>
      </c>
      <c r="B1364" s="3">
        <v>2000.0</v>
      </c>
      <c r="C1364" s="4"/>
    </row>
    <row r="1365">
      <c r="A1365" s="4" t="s">
        <v>1833</v>
      </c>
      <c r="B1365" s="3">
        <v>10000.0</v>
      </c>
      <c r="C1365" s="3" t="s">
        <v>3</v>
      </c>
    </row>
    <row r="1366">
      <c r="A1366" s="4" t="s">
        <v>1834</v>
      </c>
      <c r="B1366" s="3">
        <v>0.0</v>
      </c>
      <c r="C1366" s="3" t="s">
        <v>29</v>
      </c>
    </row>
    <row r="1367">
      <c r="A1367" s="4" t="s">
        <v>1835</v>
      </c>
      <c r="B1367" s="3">
        <v>200.0</v>
      </c>
      <c r="C1367" s="3" t="s">
        <v>6</v>
      </c>
    </row>
    <row r="1368">
      <c r="A1368" s="4" t="s">
        <v>1836</v>
      </c>
      <c r="B1368" s="3">
        <v>1500.0</v>
      </c>
      <c r="C1368" s="4"/>
    </row>
    <row r="1369">
      <c r="A1369" s="4" t="s">
        <v>1837</v>
      </c>
      <c r="B1369" s="3">
        <v>0.0</v>
      </c>
      <c r="C1369" s="3" t="s">
        <v>3</v>
      </c>
    </row>
    <row r="1370">
      <c r="A1370" s="4" t="s">
        <v>1838</v>
      </c>
      <c r="B1370" s="3">
        <v>73900.0</v>
      </c>
      <c r="C1370" s="3" t="s">
        <v>3</v>
      </c>
    </row>
    <row r="1371">
      <c r="A1371" s="4" t="s">
        <v>1840</v>
      </c>
      <c r="B1371" s="3">
        <v>0.0</v>
      </c>
      <c r="C1371" s="3" t="s">
        <v>3</v>
      </c>
    </row>
    <row r="1372">
      <c r="A1372" s="4" t="s">
        <v>1841</v>
      </c>
      <c r="B1372" s="3">
        <v>0.0</v>
      </c>
      <c r="C1372" s="3" t="s">
        <v>29</v>
      </c>
    </row>
    <row r="1373">
      <c r="A1373" s="4" t="s">
        <v>1842</v>
      </c>
      <c r="B1373" s="3">
        <v>2500.0</v>
      </c>
      <c r="C1373" s="3" t="s">
        <v>3</v>
      </c>
    </row>
    <row r="1374">
      <c r="A1374" s="4" t="s">
        <v>1843</v>
      </c>
      <c r="B1374" s="3">
        <v>0.0</v>
      </c>
      <c r="C1374" s="3" t="s">
        <v>3</v>
      </c>
    </row>
    <row r="1375">
      <c r="A1375" s="4" t="s">
        <v>2307</v>
      </c>
      <c r="B1375" s="3">
        <v>0.0</v>
      </c>
      <c r="C1375" s="3" t="s">
        <v>32</v>
      </c>
    </row>
    <row r="1376">
      <c r="A1376" s="4" t="s">
        <v>1846</v>
      </c>
      <c r="B1376" s="3">
        <v>0.0</v>
      </c>
      <c r="C1376" s="3" t="s">
        <v>6</v>
      </c>
    </row>
    <row r="1377">
      <c r="A1377" s="4" t="s">
        <v>1847</v>
      </c>
      <c r="B1377" s="3">
        <v>0.0</v>
      </c>
      <c r="C1377" s="3" t="s">
        <v>6</v>
      </c>
    </row>
    <row r="1378">
      <c r="A1378" s="4" t="s">
        <v>2308</v>
      </c>
      <c r="B1378" s="3">
        <v>1128560.0</v>
      </c>
      <c r="C1378" s="3" t="s">
        <v>37</v>
      </c>
    </row>
    <row r="1379">
      <c r="A1379" s="4" t="s">
        <v>1850</v>
      </c>
      <c r="B1379" s="3">
        <v>10000.0</v>
      </c>
      <c r="C1379" s="3" t="s">
        <v>26</v>
      </c>
    </row>
    <row r="1380">
      <c r="A1380" s="4" t="s">
        <v>2309</v>
      </c>
      <c r="B1380" s="3">
        <v>819458.0</v>
      </c>
      <c r="C1380" s="3" t="s">
        <v>37</v>
      </c>
    </row>
    <row r="1381">
      <c r="A1381" s="4" t="s">
        <v>1853</v>
      </c>
      <c r="B1381" s="3">
        <v>1000.0</v>
      </c>
      <c r="C1381" s="4"/>
    </row>
    <row r="1382">
      <c r="A1382" s="4" t="s">
        <v>1854</v>
      </c>
      <c r="B1382" s="3">
        <v>0.0</v>
      </c>
      <c r="C1382" s="3" t="s">
        <v>6</v>
      </c>
    </row>
    <row r="1383">
      <c r="A1383" s="4" t="s">
        <v>1855</v>
      </c>
      <c r="B1383" s="3">
        <v>0.0</v>
      </c>
      <c r="C1383" s="3" t="s">
        <v>29</v>
      </c>
    </row>
    <row r="1384">
      <c r="A1384" s="4" t="s">
        <v>2310</v>
      </c>
      <c r="B1384" s="3">
        <v>0.0</v>
      </c>
      <c r="C1384" s="3" t="s">
        <v>3</v>
      </c>
    </row>
    <row r="1385">
      <c r="A1385" s="4" t="s">
        <v>1858</v>
      </c>
      <c r="B1385" s="3">
        <v>4000.0</v>
      </c>
      <c r="C1385" s="4"/>
    </row>
    <row r="1386">
      <c r="A1386" s="4" t="s">
        <v>1859</v>
      </c>
      <c r="B1386" s="3">
        <v>19000.0</v>
      </c>
      <c r="C1386" s="4"/>
    </row>
    <row r="1387">
      <c r="A1387" s="4" t="s">
        <v>1860</v>
      </c>
      <c r="B1387" s="3">
        <v>2000.0</v>
      </c>
      <c r="C1387" s="4"/>
    </row>
    <row r="1388">
      <c r="A1388" s="4" t="s">
        <v>1861</v>
      </c>
      <c r="B1388" s="3">
        <v>0.0</v>
      </c>
      <c r="C1388" s="3" t="s">
        <v>3</v>
      </c>
    </row>
    <row r="1389">
      <c r="A1389" s="4" t="s">
        <v>1862</v>
      </c>
      <c r="B1389" s="3">
        <v>2000.0</v>
      </c>
      <c r="C1389" s="3" t="s">
        <v>32</v>
      </c>
    </row>
    <row r="1390">
      <c r="A1390" s="4" t="s">
        <v>1863</v>
      </c>
      <c r="B1390" s="3">
        <v>0.0</v>
      </c>
      <c r="C1390" s="3" t="s">
        <v>6</v>
      </c>
    </row>
    <row r="1391">
      <c r="A1391" s="4" t="s">
        <v>1864</v>
      </c>
      <c r="B1391" s="3">
        <v>0.0</v>
      </c>
      <c r="C1391" s="3" t="s">
        <v>6</v>
      </c>
    </row>
    <row r="1392">
      <c r="A1392" s="4" t="s">
        <v>1865</v>
      </c>
      <c r="B1392" s="3">
        <v>0.0</v>
      </c>
      <c r="C1392" s="3" t="s">
        <v>32</v>
      </c>
    </row>
    <row r="1393">
      <c r="A1393" s="4" t="s">
        <v>1866</v>
      </c>
      <c r="B1393" s="3">
        <v>0.0</v>
      </c>
      <c r="C1393" s="3" t="s">
        <v>3</v>
      </c>
    </row>
    <row r="1394">
      <c r="A1394" s="4" t="s">
        <v>1867</v>
      </c>
      <c r="B1394" s="3">
        <v>0.0</v>
      </c>
      <c r="C1394" s="3" t="s">
        <v>3</v>
      </c>
    </row>
    <row r="1395">
      <c r="A1395" s="4" t="s">
        <v>1868</v>
      </c>
      <c r="B1395" s="3">
        <v>0.0</v>
      </c>
      <c r="C1395" s="3" t="s">
        <v>26</v>
      </c>
    </row>
    <row r="1396">
      <c r="A1396" s="4" t="s">
        <v>1869</v>
      </c>
      <c r="B1396" s="3">
        <v>0.0</v>
      </c>
      <c r="C1396" s="3" t="s">
        <v>3</v>
      </c>
    </row>
    <row r="1397">
      <c r="A1397" s="4" t="s">
        <v>1870</v>
      </c>
      <c r="B1397" s="3">
        <v>0.0</v>
      </c>
      <c r="C1397" s="3" t="s">
        <v>3</v>
      </c>
    </row>
    <row r="1398">
      <c r="A1398" s="4" t="s">
        <v>1871</v>
      </c>
      <c r="B1398" s="3">
        <v>0.0</v>
      </c>
      <c r="C1398" s="3" t="s">
        <v>3</v>
      </c>
    </row>
    <row r="1399">
      <c r="A1399" s="4" t="s">
        <v>2311</v>
      </c>
      <c r="B1399" s="3">
        <v>0.0</v>
      </c>
      <c r="C1399" s="3" t="s">
        <v>3</v>
      </c>
    </row>
    <row r="1400">
      <c r="A1400" s="4" t="s">
        <v>1874</v>
      </c>
      <c r="B1400" s="3">
        <v>3000.0</v>
      </c>
      <c r="C1400" s="3" t="s">
        <v>29</v>
      </c>
    </row>
    <row r="1401">
      <c r="A1401" s="4" t="s">
        <v>1875</v>
      </c>
      <c r="B1401" s="3">
        <v>0.0</v>
      </c>
      <c r="C1401" s="3" t="s">
        <v>32</v>
      </c>
    </row>
    <row r="1402">
      <c r="A1402" s="4" t="s">
        <v>1876</v>
      </c>
      <c r="B1402" s="3">
        <v>0.0</v>
      </c>
      <c r="C1402" s="3" t="s">
        <v>3</v>
      </c>
    </row>
    <row r="1403">
      <c r="A1403" s="4" t="s">
        <v>1877</v>
      </c>
      <c r="B1403" s="3">
        <v>0.0</v>
      </c>
      <c r="C1403" s="3" t="s">
        <v>3</v>
      </c>
    </row>
    <row r="1404">
      <c r="A1404" s="4" t="s">
        <v>1878</v>
      </c>
      <c r="B1404" s="3">
        <v>0.0</v>
      </c>
      <c r="C1404" s="3" t="s">
        <v>3</v>
      </c>
    </row>
    <row r="1405">
      <c r="A1405" s="4" t="s">
        <v>1879</v>
      </c>
      <c r="B1405" s="3">
        <v>0.0</v>
      </c>
      <c r="C1405" s="3" t="s">
        <v>6</v>
      </c>
    </row>
    <row r="1406">
      <c r="A1406" s="4" t="s">
        <v>1880</v>
      </c>
      <c r="B1406" s="3">
        <v>10000.0</v>
      </c>
      <c r="C1406" s="3" t="s">
        <v>3</v>
      </c>
    </row>
    <row r="1407">
      <c r="A1407" s="4" t="s">
        <v>1881</v>
      </c>
      <c r="B1407" s="3">
        <v>0.0</v>
      </c>
      <c r="C1407" s="3" t="s">
        <v>3</v>
      </c>
    </row>
    <row r="1408">
      <c r="A1408" s="4" t="s">
        <v>1882</v>
      </c>
      <c r="B1408" s="3">
        <v>0.0</v>
      </c>
      <c r="C1408" s="3" t="s">
        <v>32</v>
      </c>
    </row>
    <row r="1409">
      <c r="A1409" s="4" t="s">
        <v>1883</v>
      </c>
      <c r="B1409" s="3">
        <v>0.0</v>
      </c>
      <c r="C1409" s="3" t="s">
        <v>3</v>
      </c>
    </row>
    <row r="1410">
      <c r="A1410" s="4" t="s">
        <v>1884</v>
      </c>
      <c r="B1410" s="3">
        <v>52250.0</v>
      </c>
      <c r="C1410" s="4"/>
    </row>
    <row r="1411">
      <c r="A1411" s="4" t="s">
        <v>1886</v>
      </c>
      <c r="B1411" s="3">
        <v>2000.0</v>
      </c>
      <c r="C1411" s="4"/>
    </row>
    <row r="1412">
      <c r="A1412" s="4" t="s">
        <v>1887</v>
      </c>
      <c r="B1412" s="3">
        <v>0.0</v>
      </c>
      <c r="C1412" s="3" t="s">
        <v>6</v>
      </c>
    </row>
    <row r="1413">
      <c r="A1413" s="4" t="s">
        <v>1888</v>
      </c>
      <c r="B1413" s="3">
        <v>1646816.0</v>
      </c>
      <c r="C1413" s="3" t="s">
        <v>16</v>
      </c>
    </row>
    <row r="1414">
      <c r="A1414" s="4" t="s">
        <v>1890</v>
      </c>
      <c r="B1414" s="3">
        <v>8000.0</v>
      </c>
      <c r="C1414" s="3" t="s">
        <v>3</v>
      </c>
    </row>
    <row r="1415">
      <c r="A1415" s="4" t="s">
        <v>1891</v>
      </c>
      <c r="B1415" s="3">
        <v>0.0</v>
      </c>
      <c r="C1415" s="3" t="s">
        <v>3</v>
      </c>
    </row>
    <row r="1416">
      <c r="A1416" s="4" t="s">
        <v>1892</v>
      </c>
      <c r="B1416" s="3">
        <v>0.0</v>
      </c>
      <c r="C1416" s="3" t="s">
        <v>3</v>
      </c>
    </row>
    <row r="1417">
      <c r="A1417" s="4" t="s">
        <v>1893</v>
      </c>
      <c r="B1417" s="3">
        <v>0.0</v>
      </c>
      <c r="C1417" s="3" t="s">
        <v>3</v>
      </c>
    </row>
    <row r="1418">
      <c r="A1418" s="4" t="s">
        <v>1894</v>
      </c>
      <c r="B1418" s="3">
        <v>0.0</v>
      </c>
      <c r="C1418" s="3" t="s">
        <v>3</v>
      </c>
    </row>
    <row r="1419">
      <c r="A1419" s="4" t="s">
        <v>1895</v>
      </c>
      <c r="B1419" s="3">
        <v>3000.0</v>
      </c>
      <c r="C1419" s="3" t="s">
        <v>1651</v>
      </c>
    </row>
    <row r="1420">
      <c r="A1420" s="4" t="s">
        <v>1896</v>
      </c>
      <c r="B1420" s="3">
        <v>6500.0</v>
      </c>
      <c r="C1420" s="4"/>
    </row>
    <row r="1421">
      <c r="A1421" s="4" t="s">
        <v>1897</v>
      </c>
      <c r="B1421" s="3">
        <v>2200.0</v>
      </c>
      <c r="C1421" s="3" t="s">
        <v>3</v>
      </c>
    </row>
    <row r="1422">
      <c r="A1422" s="4" t="s">
        <v>1898</v>
      </c>
      <c r="B1422" s="3">
        <v>0.0</v>
      </c>
      <c r="C1422" s="3" t="s">
        <v>3</v>
      </c>
    </row>
    <row r="1423">
      <c r="A1423" s="4" t="s">
        <v>1899</v>
      </c>
      <c r="B1423" s="3">
        <v>1000.0</v>
      </c>
      <c r="C1423" s="3" t="s">
        <v>3</v>
      </c>
    </row>
    <row r="1424">
      <c r="A1424" s="4" t="s">
        <v>1900</v>
      </c>
      <c r="B1424" s="3">
        <v>0.0</v>
      </c>
      <c r="C1424" s="3" t="s">
        <v>3</v>
      </c>
    </row>
    <row r="1425">
      <c r="A1425" s="4" t="s">
        <v>1901</v>
      </c>
      <c r="B1425" s="3">
        <v>0.0</v>
      </c>
      <c r="C1425" s="3" t="s">
        <v>3</v>
      </c>
    </row>
    <row r="1426">
      <c r="A1426" s="4" t="s">
        <v>1902</v>
      </c>
      <c r="B1426" s="3">
        <v>25000.0</v>
      </c>
      <c r="C1426" s="4"/>
    </row>
    <row r="1427">
      <c r="A1427" s="4" t="s">
        <v>1903</v>
      </c>
      <c r="B1427" s="3">
        <v>32987.75</v>
      </c>
      <c r="C1427" s="3" t="s">
        <v>280</v>
      </c>
    </row>
    <row r="1428">
      <c r="A1428" s="4" t="s">
        <v>1905</v>
      </c>
      <c r="B1428" s="3">
        <v>0.0</v>
      </c>
      <c r="C1428" s="3" t="s">
        <v>3</v>
      </c>
    </row>
    <row r="1429">
      <c r="A1429" s="4" t="s">
        <v>1906</v>
      </c>
      <c r="B1429" s="3">
        <v>0.0</v>
      </c>
      <c r="C1429" s="3" t="s">
        <v>32</v>
      </c>
    </row>
    <row r="1430">
      <c r="A1430" s="4" t="s">
        <v>1907</v>
      </c>
      <c r="B1430" s="3">
        <v>12000.0</v>
      </c>
      <c r="C1430" s="4"/>
    </row>
    <row r="1431">
      <c r="A1431" s="4" t="s">
        <v>1908</v>
      </c>
      <c r="B1431" s="3">
        <v>0.0</v>
      </c>
      <c r="C1431" s="3" t="s">
        <v>3</v>
      </c>
    </row>
    <row r="1432">
      <c r="A1432" s="4" t="s">
        <v>1909</v>
      </c>
      <c r="B1432" s="3">
        <v>500.0</v>
      </c>
      <c r="C1432" s="4"/>
    </row>
    <row r="1433">
      <c r="A1433" s="4" t="s">
        <v>1910</v>
      </c>
      <c r="B1433" s="3">
        <v>500.0</v>
      </c>
      <c r="C1433" s="4"/>
    </row>
    <row r="1434">
      <c r="A1434" s="4" t="s">
        <v>1911</v>
      </c>
      <c r="B1434" s="3">
        <v>6500.0</v>
      </c>
      <c r="C1434" s="4"/>
    </row>
    <row r="1435">
      <c r="A1435" s="4" t="s">
        <v>1912</v>
      </c>
      <c r="B1435" s="3">
        <v>400.0</v>
      </c>
      <c r="C1435" s="4"/>
    </row>
    <row r="1436">
      <c r="A1436" s="4" t="s">
        <v>1913</v>
      </c>
      <c r="B1436" s="3">
        <v>0.0</v>
      </c>
      <c r="C1436" s="3" t="s">
        <v>3</v>
      </c>
    </row>
    <row r="1437">
      <c r="A1437" s="4" t="s">
        <v>1914</v>
      </c>
      <c r="B1437" s="3">
        <v>0.0</v>
      </c>
      <c r="C1437" s="3" t="s">
        <v>3</v>
      </c>
    </row>
    <row r="1438">
      <c r="A1438" s="4" t="s">
        <v>1915</v>
      </c>
      <c r="B1438" s="3">
        <v>0.0</v>
      </c>
      <c r="C1438" s="3" t="s">
        <v>3</v>
      </c>
    </row>
    <row r="1439">
      <c r="A1439" s="4" t="s">
        <v>1916</v>
      </c>
      <c r="B1439" s="3">
        <v>0.0</v>
      </c>
      <c r="C1439" s="3" t="s">
        <v>3</v>
      </c>
    </row>
    <row r="1440">
      <c r="A1440" s="4" t="s">
        <v>1917</v>
      </c>
      <c r="B1440" s="3">
        <v>0.0</v>
      </c>
      <c r="C1440" s="3" t="s">
        <v>3</v>
      </c>
    </row>
    <row r="1441">
      <c r="A1441" s="4" t="s">
        <v>1918</v>
      </c>
      <c r="B1441" s="3">
        <v>83680.0</v>
      </c>
      <c r="C1441" s="3" t="s">
        <v>26</v>
      </c>
    </row>
    <row r="1442">
      <c r="A1442" s="4" t="s">
        <v>2312</v>
      </c>
      <c r="B1442" s="3">
        <v>7800.0</v>
      </c>
      <c r="C1442" s="4"/>
    </row>
    <row r="1443">
      <c r="A1443" s="4" t="s">
        <v>1922</v>
      </c>
      <c r="B1443" s="3">
        <v>0.0</v>
      </c>
      <c r="C1443" s="3" t="s">
        <v>29</v>
      </c>
    </row>
    <row r="1444">
      <c r="A1444" s="4" t="s">
        <v>1923</v>
      </c>
      <c r="B1444" s="3">
        <v>0.0</v>
      </c>
      <c r="C1444" s="3" t="s">
        <v>6</v>
      </c>
    </row>
    <row r="1445">
      <c r="A1445" s="4" t="s">
        <v>2313</v>
      </c>
      <c r="B1445" s="3">
        <v>6800.0</v>
      </c>
      <c r="C1445" s="4"/>
    </row>
    <row r="1446">
      <c r="A1446" s="4" t="s">
        <v>2314</v>
      </c>
      <c r="B1446" s="3">
        <v>2500.0</v>
      </c>
      <c r="C1446" s="4"/>
    </row>
    <row r="1447">
      <c r="A1447" s="4" t="s">
        <v>2315</v>
      </c>
      <c r="B1447" s="3">
        <v>8000.0</v>
      </c>
      <c r="C1447" s="4"/>
    </row>
    <row r="1448">
      <c r="A1448" s="4" t="s">
        <v>1931</v>
      </c>
      <c r="B1448" s="3">
        <v>1500.0</v>
      </c>
      <c r="C1448" s="3" t="s">
        <v>3</v>
      </c>
    </row>
    <row r="1449">
      <c r="A1449" s="4" t="s">
        <v>1932</v>
      </c>
      <c r="B1449" s="3">
        <v>15000.0</v>
      </c>
      <c r="C1449" s="4"/>
    </row>
    <row r="1450">
      <c r="A1450" s="4" t="s">
        <v>2316</v>
      </c>
      <c r="B1450" s="3">
        <v>400.0</v>
      </c>
      <c r="C1450" s="4"/>
    </row>
    <row r="1451">
      <c r="A1451" s="4" t="s">
        <v>2317</v>
      </c>
      <c r="B1451" s="3">
        <v>500.0</v>
      </c>
      <c r="C1451" s="4"/>
    </row>
    <row r="1452">
      <c r="A1452" s="4" t="s">
        <v>1936</v>
      </c>
      <c r="B1452" s="3">
        <v>0.0</v>
      </c>
      <c r="C1452" s="3" t="s">
        <v>6</v>
      </c>
    </row>
    <row r="1453">
      <c r="A1453" s="4" t="s">
        <v>1937</v>
      </c>
      <c r="B1453" s="3">
        <v>0.0</v>
      </c>
      <c r="C1453" s="3" t="s">
        <v>3</v>
      </c>
    </row>
    <row r="1454">
      <c r="A1454" s="4" t="s">
        <v>1938</v>
      </c>
      <c r="B1454" s="3">
        <v>6100.0</v>
      </c>
      <c r="C1454" s="4"/>
    </row>
    <row r="1455">
      <c r="A1455" s="4" t="s">
        <v>2318</v>
      </c>
      <c r="B1455" s="3">
        <v>0.0</v>
      </c>
      <c r="C1455" s="3" t="s">
        <v>6</v>
      </c>
    </row>
    <row r="1456">
      <c r="A1456" s="4" t="s">
        <v>2319</v>
      </c>
      <c r="B1456" s="3">
        <v>0.0</v>
      </c>
      <c r="C1456" s="3" t="s">
        <v>3</v>
      </c>
    </row>
    <row r="1457">
      <c r="A1457" s="4" t="s">
        <v>1943</v>
      </c>
      <c r="B1457" s="3">
        <v>2000.0</v>
      </c>
      <c r="C1457" s="4"/>
    </row>
    <row r="1458">
      <c r="A1458" s="4" t="s">
        <v>1944</v>
      </c>
      <c r="B1458" s="3">
        <v>500.0</v>
      </c>
      <c r="C1458" s="4"/>
    </row>
    <row r="1459">
      <c r="A1459" s="4" t="s">
        <v>2320</v>
      </c>
      <c r="B1459" s="3">
        <v>0.0</v>
      </c>
      <c r="C1459" s="3" t="s">
        <v>3</v>
      </c>
    </row>
    <row r="1460">
      <c r="A1460" s="4" t="s">
        <v>2321</v>
      </c>
      <c r="B1460" s="3">
        <v>400.0</v>
      </c>
      <c r="C1460" s="3" t="s">
        <v>6</v>
      </c>
    </row>
    <row r="1461">
      <c r="A1461" s="4" t="s">
        <v>2322</v>
      </c>
      <c r="B1461" s="3">
        <v>700.0</v>
      </c>
      <c r="C1461" s="3" t="s">
        <v>3</v>
      </c>
    </row>
    <row r="1462">
      <c r="A1462" s="4" t="s">
        <v>1951</v>
      </c>
      <c r="B1462" s="3">
        <v>0.0</v>
      </c>
      <c r="C1462" s="3" t="s">
        <v>484</v>
      </c>
    </row>
    <row r="1463">
      <c r="A1463" s="4" t="s">
        <v>2323</v>
      </c>
      <c r="B1463" s="3">
        <v>900.0</v>
      </c>
      <c r="C1463" s="3" t="s">
        <v>3</v>
      </c>
    </row>
    <row r="1464">
      <c r="A1464" s="4" t="s">
        <v>2324</v>
      </c>
      <c r="B1464" s="3">
        <v>1500.0</v>
      </c>
      <c r="C1464" s="3" t="s">
        <v>3</v>
      </c>
    </row>
    <row r="1465">
      <c r="A1465" s="4" t="s">
        <v>2325</v>
      </c>
      <c r="B1465" s="3">
        <v>0.0</v>
      </c>
      <c r="C1465" s="3" t="s">
        <v>3</v>
      </c>
    </row>
    <row r="1466">
      <c r="A1466" s="4" t="s">
        <v>2326</v>
      </c>
      <c r="B1466" s="3">
        <v>879983.0</v>
      </c>
      <c r="C1466" s="3" t="s">
        <v>37</v>
      </c>
    </row>
    <row r="1467">
      <c r="A1467" s="4" t="s">
        <v>2327</v>
      </c>
      <c r="B1467" s="3">
        <v>1537650.0</v>
      </c>
      <c r="C1467" s="3" t="s">
        <v>37</v>
      </c>
    </row>
    <row r="1468">
      <c r="A1468" s="4" t="s">
        <v>2328</v>
      </c>
      <c r="B1468" s="3">
        <v>19500.0</v>
      </c>
      <c r="C1468" s="3" t="s">
        <v>6</v>
      </c>
    </row>
    <row r="1469">
      <c r="A1469" s="4" t="s">
        <v>2329</v>
      </c>
      <c r="B1469" s="3">
        <v>896350.0</v>
      </c>
      <c r="C1469" s="3" t="s">
        <v>37</v>
      </c>
    </row>
    <row r="1470">
      <c r="A1470" s="4" t="s">
        <v>1966</v>
      </c>
      <c r="B1470" s="3">
        <v>3500.0</v>
      </c>
      <c r="C1470" s="4"/>
    </row>
    <row r="1471">
      <c r="A1471" s="4" t="s">
        <v>1967</v>
      </c>
      <c r="B1471" s="3">
        <v>105000.0</v>
      </c>
      <c r="C1471" s="3" t="s">
        <v>32</v>
      </c>
    </row>
    <row r="1472">
      <c r="A1472" s="4" t="s">
        <v>1969</v>
      </c>
      <c r="B1472" s="3">
        <v>4000.0</v>
      </c>
      <c r="C1472" s="4"/>
    </row>
    <row r="1473">
      <c r="A1473" s="4" t="s">
        <v>1970</v>
      </c>
      <c r="B1473" s="3">
        <v>0.0</v>
      </c>
      <c r="C1473" s="3" t="s">
        <v>6</v>
      </c>
    </row>
    <row r="1474">
      <c r="A1474" s="4" t="s">
        <v>2330</v>
      </c>
      <c r="B1474" s="3">
        <v>0.0</v>
      </c>
      <c r="C1474" s="3" t="s">
        <v>6</v>
      </c>
    </row>
    <row r="1475">
      <c r="A1475" s="4" t="s">
        <v>1973</v>
      </c>
      <c r="B1475" s="3">
        <v>3500.0</v>
      </c>
      <c r="C1475" s="3" t="s">
        <v>484</v>
      </c>
    </row>
    <row r="1476">
      <c r="A1476" s="4" t="s">
        <v>1974</v>
      </c>
      <c r="B1476" s="3">
        <v>0.0</v>
      </c>
      <c r="C1476" s="3" t="s">
        <v>3</v>
      </c>
    </row>
    <row r="1477">
      <c r="A1477" s="4" t="s">
        <v>1975</v>
      </c>
      <c r="B1477" s="3">
        <v>5000.0</v>
      </c>
      <c r="C1477" s="4"/>
    </row>
    <row r="1478">
      <c r="A1478" s="4" t="s">
        <v>1976</v>
      </c>
      <c r="B1478" s="3">
        <v>28500.0</v>
      </c>
      <c r="C1478" s="3" t="s">
        <v>32</v>
      </c>
    </row>
    <row r="1479">
      <c r="A1479" s="4" t="s">
        <v>1978</v>
      </c>
      <c r="B1479" s="3">
        <v>0.0</v>
      </c>
      <c r="C1479" s="3" t="s">
        <v>3</v>
      </c>
    </row>
    <row r="1480">
      <c r="A1480" s="4" t="s">
        <v>1979</v>
      </c>
      <c r="B1480" s="3">
        <v>1300.0</v>
      </c>
      <c r="C1480" s="4"/>
    </row>
    <row r="1481">
      <c r="A1481" s="4" t="s">
        <v>1980</v>
      </c>
      <c r="B1481" s="3">
        <v>2450.0</v>
      </c>
      <c r="C1481" s="4"/>
    </row>
    <row r="1482">
      <c r="A1482" s="4" t="s">
        <v>1982</v>
      </c>
      <c r="B1482" s="3">
        <v>0.0</v>
      </c>
      <c r="C1482" s="3" t="s">
        <v>3</v>
      </c>
    </row>
    <row r="1483">
      <c r="A1483" s="4" t="s">
        <v>1983</v>
      </c>
      <c r="B1483" s="3">
        <v>0.0</v>
      </c>
      <c r="C1483" s="3" t="s">
        <v>6</v>
      </c>
    </row>
    <row r="1484">
      <c r="A1484" s="4" t="s">
        <v>1984</v>
      </c>
      <c r="B1484" s="3">
        <v>0.0</v>
      </c>
      <c r="C1484" s="3" t="s">
        <v>3</v>
      </c>
    </row>
    <row r="1485">
      <c r="A1485" s="4" t="s">
        <v>1985</v>
      </c>
      <c r="B1485" s="3">
        <v>0.0</v>
      </c>
      <c r="C1485" s="3" t="s">
        <v>3</v>
      </c>
    </row>
    <row r="1486">
      <c r="A1486" s="4" t="s">
        <v>1986</v>
      </c>
      <c r="B1486" s="3">
        <v>0.0</v>
      </c>
      <c r="C1486" s="3" t="s">
        <v>3</v>
      </c>
    </row>
    <row r="1487">
      <c r="A1487" s="4" t="s">
        <v>1987</v>
      </c>
      <c r="B1487" s="3">
        <v>0.0</v>
      </c>
      <c r="C1487" s="3" t="s">
        <v>3</v>
      </c>
    </row>
    <row r="1488">
      <c r="A1488" s="4" t="s">
        <v>1988</v>
      </c>
      <c r="B1488" s="3">
        <v>0.0</v>
      </c>
      <c r="C1488" s="3" t="s">
        <v>3</v>
      </c>
    </row>
    <row r="1489">
      <c r="A1489" s="4" t="s">
        <v>1989</v>
      </c>
      <c r="B1489" s="3">
        <v>5394.0</v>
      </c>
      <c r="C1489" s="3" t="s">
        <v>6</v>
      </c>
    </row>
    <row r="1490">
      <c r="A1490" s="4" t="s">
        <v>1991</v>
      </c>
      <c r="B1490" s="3">
        <v>1000.0</v>
      </c>
      <c r="C1490" s="4"/>
    </row>
    <row r="1491">
      <c r="A1491" s="4" t="s">
        <v>1992</v>
      </c>
      <c r="B1491" s="3">
        <v>21500.0</v>
      </c>
      <c r="C1491" s="4"/>
    </row>
    <row r="1492">
      <c r="A1492" s="4" t="s">
        <v>1994</v>
      </c>
      <c r="B1492" s="3">
        <v>6500.0</v>
      </c>
      <c r="C1492" s="4"/>
    </row>
    <row r="1493">
      <c r="A1493" s="4" t="s">
        <v>1995</v>
      </c>
      <c r="B1493" s="3">
        <v>500.0</v>
      </c>
      <c r="C1493" s="3" t="s">
        <v>3</v>
      </c>
    </row>
    <row r="1494">
      <c r="A1494" s="4" t="s">
        <v>1996</v>
      </c>
      <c r="B1494" s="3">
        <v>500.0</v>
      </c>
      <c r="C1494" s="3" t="s">
        <v>3</v>
      </c>
    </row>
    <row r="1495">
      <c r="A1495" s="4" t="s">
        <v>1997</v>
      </c>
      <c r="B1495" s="3">
        <v>0.0</v>
      </c>
      <c r="C1495" s="3" t="s">
        <v>6</v>
      </c>
    </row>
    <row r="1496">
      <c r="A1496" s="4" t="s">
        <v>2331</v>
      </c>
      <c r="B1496" s="3">
        <v>119000.0</v>
      </c>
      <c r="C1496" s="3" t="s">
        <v>2000</v>
      </c>
    </row>
    <row r="1497">
      <c r="A1497" s="4" t="s">
        <v>2001</v>
      </c>
      <c r="B1497" s="3">
        <v>0.0</v>
      </c>
      <c r="C1497" s="3" t="s">
        <v>6</v>
      </c>
    </row>
    <row r="1498">
      <c r="A1498" s="4" t="s">
        <v>2002</v>
      </c>
      <c r="B1498" s="3">
        <v>8300.0</v>
      </c>
      <c r="C1498" s="3" t="s">
        <v>6</v>
      </c>
    </row>
    <row r="1499">
      <c r="A1499" s="4" t="s">
        <v>2004</v>
      </c>
      <c r="B1499" s="3">
        <v>0.0</v>
      </c>
      <c r="C1499" s="3" t="s">
        <v>3</v>
      </c>
    </row>
    <row r="1500">
      <c r="A1500" s="4" t="s">
        <v>2005</v>
      </c>
      <c r="B1500" s="3">
        <v>0.0</v>
      </c>
      <c r="C1500" s="3" t="s">
        <v>3</v>
      </c>
    </row>
    <row r="1501">
      <c r="A1501" s="4" t="s">
        <v>2332</v>
      </c>
      <c r="B1501" s="3">
        <v>0.0</v>
      </c>
      <c r="C1501" s="3" t="s">
        <v>3</v>
      </c>
    </row>
    <row r="1502">
      <c r="A1502" s="4" t="s">
        <v>2008</v>
      </c>
      <c r="B1502" s="3">
        <v>800.0</v>
      </c>
      <c r="C1502" s="3" t="s">
        <v>32</v>
      </c>
    </row>
    <row r="1503">
      <c r="A1503" s="4" t="s">
        <v>2009</v>
      </c>
      <c r="B1503" s="3">
        <v>6900.0</v>
      </c>
      <c r="C1503" s="3" t="s">
        <v>6</v>
      </c>
    </row>
    <row r="1504">
      <c r="A1504" s="4" t="s">
        <v>2011</v>
      </c>
      <c r="B1504" s="3">
        <v>3000.0</v>
      </c>
      <c r="C1504" s="3" t="s">
        <v>3</v>
      </c>
    </row>
    <row r="1505">
      <c r="A1505" s="4" t="s">
        <v>2012</v>
      </c>
      <c r="B1505" s="3">
        <v>0.0</v>
      </c>
      <c r="C1505" s="3" t="s">
        <v>3</v>
      </c>
    </row>
    <row r="1506">
      <c r="A1506" s="4" t="s">
        <v>2013</v>
      </c>
      <c r="B1506" s="3">
        <v>0.0</v>
      </c>
      <c r="C1506" s="3" t="s">
        <v>6</v>
      </c>
    </row>
    <row r="1507">
      <c r="A1507" s="4" t="s">
        <v>2014</v>
      </c>
      <c r="B1507" s="3">
        <v>3400.0</v>
      </c>
      <c r="C1507" s="4"/>
    </row>
    <row r="1508">
      <c r="A1508" s="4" t="s">
        <v>2016</v>
      </c>
      <c r="B1508" s="3">
        <v>0.0</v>
      </c>
      <c r="C1508" s="3" t="s">
        <v>29</v>
      </c>
    </row>
    <row r="1509">
      <c r="A1509" s="4" t="s">
        <v>2017</v>
      </c>
      <c r="B1509" s="3">
        <v>0.0</v>
      </c>
      <c r="C1509" s="3" t="s">
        <v>3</v>
      </c>
    </row>
    <row r="1510">
      <c r="A1510" s="4" t="s">
        <v>2018</v>
      </c>
      <c r="B1510" s="3">
        <v>5000.0</v>
      </c>
      <c r="C1510" s="4"/>
    </row>
    <row r="1511">
      <c r="A1511" s="4" t="s">
        <v>2019</v>
      </c>
      <c r="B1511" s="3">
        <v>0.0</v>
      </c>
      <c r="C1511" s="3" t="s">
        <v>29</v>
      </c>
    </row>
    <row r="1512">
      <c r="A1512" s="4" t="s">
        <v>2020</v>
      </c>
      <c r="B1512" s="3">
        <v>0.0</v>
      </c>
      <c r="C1512" s="3" t="s">
        <v>29</v>
      </c>
    </row>
    <row r="1513">
      <c r="A1513" s="4" t="s">
        <v>2021</v>
      </c>
      <c r="B1513" s="3">
        <v>0.0</v>
      </c>
      <c r="C1513" s="3" t="s">
        <v>3</v>
      </c>
    </row>
    <row r="1514">
      <c r="A1514" s="4" t="s">
        <v>2022</v>
      </c>
      <c r="B1514" s="3">
        <v>17000.0</v>
      </c>
      <c r="C1514" s="3" t="s">
        <v>32</v>
      </c>
    </row>
    <row r="1515">
      <c r="A1515" s="4" t="s">
        <v>2333</v>
      </c>
      <c r="B1515" s="3">
        <v>13000.0</v>
      </c>
      <c r="C1515" s="3" t="s">
        <v>6</v>
      </c>
    </row>
    <row r="1516">
      <c r="A1516" s="4" t="s">
        <v>2025</v>
      </c>
      <c r="B1516" s="3">
        <v>0.0</v>
      </c>
      <c r="C1516" s="3" t="s">
        <v>32</v>
      </c>
    </row>
    <row r="1517">
      <c r="A1517" s="4" t="s">
        <v>2026</v>
      </c>
      <c r="B1517" s="3">
        <v>0.0</v>
      </c>
      <c r="C1517" s="3" t="s">
        <v>3</v>
      </c>
    </row>
    <row r="1518">
      <c r="A1518" s="4" t="s">
        <v>2027</v>
      </c>
      <c r="B1518" s="3">
        <v>0.0</v>
      </c>
      <c r="C1518" s="3" t="s">
        <v>3</v>
      </c>
    </row>
    <row r="1519">
      <c r="A1519" s="4" t="s">
        <v>2028</v>
      </c>
      <c r="B1519" s="3">
        <v>0.0</v>
      </c>
      <c r="C1519" s="3" t="s">
        <v>29</v>
      </c>
    </row>
    <row r="1520">
      <c r="A1520" s="4" t="s">
        <v>2029</v>
      </c>
      <c r="B1520" s="3">
        <v>0.0</v>
      </c>
      <c r="C1520" s="3" t="s">
        <v>29</v>
      </c>
    </row>
    <row r="1521">
      <c r="A1521" s="4" t="s">
        <v>2030</v>
      </c>
      <c r="B1521" s="3">
        <v>23000.0</v>
      </c>
      <c r="C1521" s="3" t="s">
        <v>3</v>
      </c>
    </row>
    <row r="1522">
      <c r="A1522" s="4" t="s">
        <v>2031</v>
      </c>
      <c r="B1522" s="3">
        <v>9000.0</v>
      </c>
      <c r="C1522" s="4"/>
    </row>
    <row r="1523">
      <c r="A1523" s="4" t="s">
        <v>2334</v>
      </c>
      <c r="B1523" s="3">
        <v>4300.0</v>
      </c>
      <c r="C1523" s="3" t="s">
        <v>6</v>
      </c>
    </row>
    <row r="1524">
      <c r="A1524" s="4" t="s">
        <v>283</v>
      </c>
      <c r="B1524" s="3">
        <v>5000.0</v>
      </c>
      <c r="C1524" s="4"/>
    </row>
    <row r="1525">
      <c r="A1525" s="4" t="s">
        <v>2043</v>
      </c>
      <c r="B1525" s="3">
        <v>3120000.0</v>
      </c>
      <c r="C1525" s="4"/>
    </row>
    <row r="1526">
      <c r="A1526" s="4" t="s">
        <v>2045</v>
      </c>
      <c r="B1526" s="3">
        <v>52500.0</v>
      </c>
      <c r="C1526" s="3" t="s">
        <v>3</v>
      </c>
    </row>
    <row r="1527">
      <c r="A1527" s="4" t="s">
        <v>2047</v>
      </c>
      <c r="B1527" s="3">
        <v>7000.0</v>
      </c>
      <c r="C1527" s="4"/>
    </row>
    <row r="1528">
      <c r="A1528" s="4" t="s">
        <v>2048</v>
      </c>
      <c r="B1528" s="3">
        <v>7600.0</v>
      </c>
      <c r="C1528" s="4"/>
    </row>
    <row r="1529">
      <c r="A1529" s="4" t="s">
        <v>2049</v>
      </c>
      <c r="B1529" s="3">
        <v>16628.76</v>
      </c>
      <c r="C1529" s="4"/>
    </row>
    <row r="1530">
      <c r="A1530" s="4" t="s">
        <v>2051</v>
      </c>
      <c r="B1530" s="3">
        <v>15920.46</v>
      </c>
      <c r="C1530" s="4"/>
    </row>
    <row r="1531">
      <c r="A1531" s="4" t="s">
        <v>2053</v>
      </c>
      <c r="B1531" s="3">
        <v>1.616767E7</v>
      </c>
      <c r="C1531" s="4"/>
    </row>
    <row r="1532">
      <c r="A1532" s="4" t="s">
        <v>2343</v>
      </c>
      <c r="B1532" s="3">
        <v>82.0</v>
      </c>
      <c r="C1532" s="4"/>
    </row>
    <row r="1533">
      <c r="A1533" s="4" t="s">
        <v>2057</v>
      </c>
      <c r="B1533" s="3">
        <v>7912204.0</v>
      </c>
      <c r="C1533" s="4"/>
    </row>
    <row r="1534">
      <c r="A1534" s="4" t="s">
        <v>2059</v>
      </c>
      <c r="B1534" s="3">
        <v>10536.77</v>
      </c>
      <c r="C1534" s="4"/>
    </row>
    <row r="1535">
      <c r="A1535" s="4" t="s">
        <v>2061</v>
      </c>
      <c r="B1535" s="3">
        <v>13000.0</v>
      </c>
      <c r="C1535" s="4"/>
    </row>
    <row r="1536">
      <c r="A1536" s="4"/>
      <c r="B1536" s="4"/>
      <c r="C1536" s="4"/>
    </row>
    <row r="1537">
      <c r="A1537" s="4" t="str">
        <f>if(#REF!=TRUE, CONCATENATE(#REF!," ",#REF!),#REF!)</f>
        <v>#REF!</v>
      </c>
      <c r="B1537" s="4"/>
      <c r="C1537" s="4"/>
    </row>
  </sheetData>
  <mergeCells count="1">
    <mergeCell ref="A1:C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25"/>
    <col customWidth="1" min="2" max="2" width="18.88"/>
    <col customWidth="1" min="3" max="3" width="24.88"/>
  </cols>
  <sheetData>
    <row r="1">
      <c r="A1" s="6" t="s">
        <v>2068</v>
      </c>
      <c r="B1" s="5" t="s">
        <v>2065</v>
      </c>
      <c r="C1" s="5" t="s">
        <v>2066</v>
      </c>
    </row>
    <row r="2">
      <c r="A2" s="4" t="s">
        <v>2053</v>
      </c>
      <c r="B2" s="3">
        <v>1.616767E7</v>
      </c>
      <c r="C2" s="4"/>
    </row>
    <row r="3">
      <c r="A3" s="4" t="s">
        <v>2117</v>
      </c>
      <c r="B3" s="3">
        <v>8060927.5</v>
      </c>
      <c r="C3" s="3" t="s">
        <v>303</v>
      </c>
    </row>
    <row r="4">
      <c r="A4" s="4" t="s">
        <v>2057</v>
      </c>
      <c r="B4" s="3">
        <v>7912204.0</v>
      </c>
      <c r="C4" s="4"/>
    </row>
    <row r="5">
      <c r="A5" s="4" t="s">
        <v>2043</v>
      </c>
      <c r="B5" s="3">
        <v>3120000.0</v>
      </c>
      <c r="C5" s="4"/>
    </row>
    <row r="6">
      <c r="A6" s="4" t="s">
        <v>481</v>
      </c>
      <c r="B6" s="3">
        <v>1735000.0</v>
      </c>
      <c r="C6" s="3" t="s">
        <v>3</v>
      </c>
    </row>
    <row r="7">
      <c r="A7" s="4" t="s">
        <v>1888</v>
      </c>
      <c r="B7" s="3">
        <v>1646816.0</v>
      </c>
      <c r="C7" s="3" t="s">
        <v>16</v>
      </c>
    </row>
    <row r="8">
      <c r="A8" s="4" t="s">
        <v>476</v>
      </c>
      <c r="B8" s="3">
        <v>1578403.0</v>
      </c>
      <c r="C8" s="3" t="s">
        <v>32</v>
      </c>
    </row>
    <row r="9">
      <c r="A9" s="4" t="s">
        <v>2327</v>
      </c>
      <c r="B9" s="3">
        <v>1537650.0</v>
      </c>
      <c r="C9" s="3" t="s">
        <v>37</v>
      </c>
    </row>
    <row r="10">
      <c r="A10" s="4" t="s">
        <v>2308</v>
      </c>
      <c r="B10" s="3">
        <v>1128560.0</v>
      </c>
      <c r="C10" s="3" t="s">
        <v>37</v>
      </c>
    </row>
    <row r="11">
      <c r="A11" s="4" t="s">
        <v>2189</v>
      </c>
      <c r="B11" s="3">
        <v>1089439.0</v>
      </c>
      <c r="C11" s="3" t="s">
        <v>37</v>
      </c>
    </row>
    <row r="12">
      <c r="A12" s="4" t="s">
        <v>2329</v>
      </c>
      <c r="B12" s="3">
        <v>896350.0</v>
      </c>
      <c r="C12" s="3" t="s">
        <v>37</v>
      </c>
    </row>
    <row r="13">
      <c r="A13" s="4" t="s">
        <v>2278</v>
      </c>
      <c r="B13" s="3">
        <v>892663.0</v>
      </c>
      <c r="C13" s="3" t="s">
        <v>37</v>
      </c>
    </row>
    <row r="14">
      <c r="A14" s="4" t="s">
        <v>2326</v>
      </c>
      <c r="B14" s="3">
        <v>879983.0</v>
      </c>
      <c r="C14" s="3" t="s">
        <v>37</v>
      </c>
    </row>
    <row r="15">
      <c r="A15" s="4" t="s">
        <v>2309</v>
      </c>
      <c r="B15" s="3">
        <v>819458.0</v>
      </c>
      <c r="C15" s="3" t="s">
        <v>37</v>
      </c>
    </row>
    <row r="16">
      <c r="A16" s="4" t="s">
        <v>174</v>
      </c>
      <c r="B16" s="3">
        <v>752250.0</v>
      </c>
      <c r="C16" s="3" t="s">
        <v>176</v>
      </c>
    </row>
    <row r="17">
      <c r="A17" s="4" t="s">
        <v>2282</v>
      </c>
      <c r="B17" s="3">
        <v>678000.0</v>
      </c>
      <c r="C17" s="4"/>
    </row>
    <row r="18">
      <c r="A18" s="4" t="s">
        <v>2207</v>
      </c>
      <c r="B18" s="3">
        <v>634600.0</v>
      </c>
      <c r="C18" s="3" t="s">
        <v>37</v>
      </c>
    </row>
    <row r="19">
      <c r="A19" s="4" t="s">
        <v>1673</v>
      </c>
      <c r="B19" s="3">
        <v>567000.0</v>
      </c>
      <c r="C19" s="3" t="s">
        <v>6</v>
      </c>
    </row>
    <row r="20">
      <c r="A20" s="4" t="s">
        <v>223</v>
      </c>
      <c r="B20" s="3">
        <v>532800.0</v>
      </c>
      <c r="C20" s="4"/>
    </row>
    <row r="21">
      <c r="A21" s="4" t="s">
        <v>2103</v>
      </c>
      <c r="B21" s="3">
        <v>512833.33</v>
      </c>
      <c r="C21" s="4"/>
    </row>
    <row r="22">
      <c r="A22" s="4" t="s">
        <v>1600</v>
      </c>
      <c r="B22" s="3">
        <v>494000.0</v>
      </c>
      <c r="C22" s="3" t="s">
        <v>32</v>
      </c>
    </row>
    <row r="23">
      <c r="A23" s="4" t="s">
        <v>1188</v>
      </c>
      <c r="B23" s="3">
        <v>492222.0</v>
      </c>
      <c r="C23" s="3" t="s">
        <v>32</v>
      </c>
    </row>
    <row r="24">
      <c r="A24" s="4" t="s">
        <v>1270</v>
      </c>
      <c r="B24" s="3">
        <v>478850.0</v>
      </c>
      <c r="C24" s="3" t="s">
        <v>32</v>
      </c>
    </row>
    <row r="25">
      <c r="A25" s="4" t="s">
        <v>2204</v>
      </c>
      <c r="B25" s="3">
        <v>461165.0</v>
      </c>
      <c r="C25" s="3" t="s">
        <v>37</v>
      </c>
    </row>
    <row r="26">
      <c r="A26" s="4" t="s">
        <v>2086</v>
      </c>
      <c r="B26" s="3">
        <v>450195.0</v>
      </c>
      <c r="C26" s="3" t="s">
        <v>29</v>
      </c>
    </row>
    <row r="27">
      <c r="A27" s="4" t="s">
        <v>1789</v>
      </c>
      <c r="B27" s="3">
        <v>450000.0</v>
      </c>
      <c r="C27" s="3" t="s">
        <v>6</v>
      </c>
    </row>
    <row r="28">
      <c r="A28" s="4" t="s">
        <v>1159</v>
      </c>
      <c r="B28" s="3">
        <v>426565.0</v>
      </c>
      <c r="C28" s="3" t="s">
        <v>32</v>
      </c>
    </row>
    <row r="29">
      <c r="A29" s="4" t="s">
        <v>1136</v>
      </c>
      <c r="B29" s="3">
        <v>402000.0</v>
      </c>
      <c r="C29" s="3" t="s">
        <v>16</v>
      </c>
    </row>
    <row r="30">
      <c r="A30" s="4" t="s">
        <v>2142</v>
      </c>
      <c r="B30" s="3">
        <v>380000.0</v>
      </c>
      <c r="C30" s="3" t="s">
        <v>6</v>
      </c>
    </row>
    <row r="31">
      <c r="A31" s="4" t="s">
        <v>2292</v>
      </c>
      <c r="B31" s="3">
        <v>357672.0</v>
      </c>
      <c r="C31" s="3" t="s">
        <v>3</v>
      </c>
    </row>
    <row r="32">
      <c r="A32" s="4" t="s">
        <v>599</v>
      </c>
      <c r="B32" s="3">
        <v>347000.0</v>
      </c>
      <c r="C32" s="4"/>
    </row>
    <row r="33">
      <c r="A33" s="4" t="s">
        <v>1463</v>
      </c>
      <c r="B33" s="3">
        <v>343924.0</v>
      </c>
      <c r="C33" s="3" t="s">
        <v>484</v>
      </c>
    </row>
    <row r="34">
      <c r="A34" s="4" t="s">
        <v>648</v>
      </c>
      <c r="B34" s="3">
        <v>339500.0</v>
      </c>
      <c r="C34" s="3" t="s">
        <v>16</v>
      </c>
    </row>
    <row r="35">
      <c r="A35" s="4" t="s">
        <v>1179</v>
      </c>
      <c r="B35" s="3">
        <v>334000.0</v>
      </c>
      <c r="C35" s="4"/>
    </row>
    <row r="36">
      <c r="A36" s="4" t="s">
        <v>478</v>
      </c>
      <c r="B36" s="3">
        <v>311500.0</v>
      </c>
      <c r="C36" s="4"/>
    </row>
    <row r="37">
      <c r="A37" s="4" t="s">
        <v>491</v>
      </c>
      <c r="B37" s="3">
        <v>300000.0</v>
      </c>
      <c r="C37" s="4"/>
    </row>
    <row r="38">
      <c r="A38" s="4" t="s">
        <v>679</v>
      </c>
      <c r="B38" s="3">
        <v>283000.0</v>
      </c>
      <c r="C38" s="4"/>
    </row>
    <row r="39">
      <c r="A39" s="4" t="s">
        <v>1787</v>
      </c>
      <c r="B39" s="3">
        <v>280000.0</v>
      </c>
      <c r="C39" s="3" t="s">
        <v>6</v>
      </c>
    </row>
    <row r="40">
      <c r="A40" s="4" t="s">
        <v>2206</v>
      </c>
      <c r="B40" s="3">
        <v>243834.0</v>
      </c>
      <c r="C40" s="3" t="s">
        <v>37</v>
      </c>
    </row>
    <row r="41">
      <c r="A41" s="4" t="s">
        <v>1472</v>
      </c>
      <c r="B41" s="3">
        <v>240000.0</v>
      </c>
      <c r="C41" s="4"/>
    </row>
    <row r="42">
      <c r="A42" s="4" t="s">
        <v>2289</v>
      </c>
      <c r="B42" s="3">
        <v>237000.0</v>
      </c>
      <c r="C42" s="3" t="s">
        <v>580</v>
      </c>
    </row>
    <row r="43">
      <c r="A43" s="4" t="s">
        <v>2192</v>
      </c>
      <c r="B43" s="3">
        <v>223734.0</v>
      </c>
      <c r="C43" s="3" t="s">
        <v>37</v>
      </c>
    </row>
    <row r="44">
      <c r="A44" s="4" t="s">
        <v>1089</v>
      </c>
      <c r="B44" s="3">
        <v>210000.0</v>
      </c>
      <c r="C44" s="4"/>
    </row>
    <row r="45">
      <c r="A45" s="4" t="s">
        <v>1500</v>
      </c>
      <c r="B45" s="3">
        <v>205000.0</v>
      </c>
      <c r="C45" s="4"/>
    </row>
    <row r="46">
      <c r="A46" s="4" t="s">
        <v>1539</v>
      </c>
      <c r="B46" s="3">
        <v>200000.0</v>
      </c>
      <c r="C46" s="4"/>
    </row>
    <row r="47">
      <c r="A47" s="4" t="s">
        <v>646</v>
      </c>
      <c r="B47" s="3">
        <v>198775.0</v>
      </c>
      <c r="C47" s="3" t="s">
        <v>6</v>
      </c>
    </row>
    <row r="48">
      <c r="A48" s="4" t="s">
        <v>2271</v>
      </c>
      <c r="B48" s="3">
        <v>198000.0</v>
      </c>
      <c r="C48" s="3" t="s">
        <v>1373</v>
      </c>
    </row>
    <row r="49">
      <c r="A49" s="4" t="s">
        <v>1203</v>
      </c>
      <c r="B49" s="3">
        <v>190000.0</v>
      </c>
      <c r="C49" s="4"/>
    </row>
    <row r="50">
      <c r="A50" s="4" t="s">
        <v>1070</v>
      </c>
      <c r="B50" s="3">
        <v>185000.0</v>
      </c>
      <c r="C50" s="3" t="s">
        <v>280</v>
      </c>
    </row>
    <row r="51">
      <c r="A51" s="4" t="s">
        <v>445</v>
      </c>
      <c r="B51" s="3">
        <v>180000.0</v>
      </c>
      <c r="C51" s="4"/>
    </row>
    <row r="52">
      <c r="A52" s="4" t="s">
        <v>1639</v>
      </c>
      <c r="B52" s="3">
        <v>170592.0</v>
      </c>
      <c r="C52" s="4"/>
    </row>
    <row r="53">
      <c r="A53" s="4" t="s">
        <v>582</v>
      </c>
      <c r="B53" s="3">
        <v>153407.0</v>
      </c>
      <c r="C53" s="3" t="s">
        <v>32</v>
      </c>
    </row>
    <row r="54">
      <c r="A54" s="4" t="s">
        <v>2259</v>
      </c>
      <c r="B54" s="3">
        <v>141174.0</v>
      </c>
      <c r="C54" s="3" t="s">
        <v>37</v>
      </c>
    </row>
    <row r="55">
      <c r="A55" s="4" t="s">
        <v>2276</v>
      </c>
      <c r="B55" s="3">
        <v>132000.0</v>
      </c>
      <c r="C55" s="3" t="s">
        <v>37</v>
      </c>
    </row>
    <row r="56">
      <c r="A56" s="4" t="s">
        <v>1635</v>
      </c>
      <c r="B56" s="3">
        <v>130000.0</v>
      </c>
      <c r="C56" s="3" t="s">
        <v>3</v>
      </c>
    </row>
    <row r="57">
      <c r="A57" s="4" t="s">
        <v>1654</v>
      </c>
      <c r="B57" s="3">
        <v>120000.0</v>
      </c>
      <c r="C57" s="4"/>
    </row>
    <row r="58">
      <c r="A58" s="4" t="s">
        <v>1389</v>
      </c>
      <c r="B58" s="3">
        <v>119100.0</v>
      </c>
      <c r="C58" s="3" t="s">
        <v>280</v>
      </c>
    </row>
    <row r="59">
      <c r="A59" s="4" t="s">
        <v>2331</v>
      </c>
      <c r="B59" s="3">
        <v>119000.0</v>
      </c>
      <c r="C59" s="3" t="s">
        <v>2000</v>
      </c>
    </row>
    <row r="60">
      <c r="A60" s="4" t="s">
        <v>2238</v>
      </c>
      <c r="B60" s="3">
        <v>118603.0</v>
      </c>
      <c r="C60" s="3" t="s">
        <v>37</v>
      </c>
    </row>
    <row r="61">
      <c r="A61" s="4" t="s">
        <v>697</v>
      </c>
      <c r="B61" s="3">
        <v>115000.0</v>
      </c>
      <c r="C61" s="4"/>
    </row>
    <row r="62">
      <c r="A62" s="4" t="s">
        <v>963</v>
      </c>
      <c r="B62" s="3">
        <v>115000.0</v>
      </c>
      <c r="C62" s="3" t="s">
        <v>6</v>
      </c>
    </row>
    <row r="63">
      <c r="A63" s="4" t="s">
        <v>1187</v>
      </c>
      <c r="B63" s="3">
        <v>115000.0</v>
      </c>
      <c r="C63" s="3" t="s">
        <v>32</v>
      </c>
    </row>
    <row r="64">
      <c r="A64" s="4" t="s">
        <v>2283</v>
      </c>
      <c r="B64" s="3">
        <v>110350.0</v>
      </c>
      <c r="C64" s="3" t="s">
        <v>6</v>
      </c>
    </row>
    <row r="65">
      <c r="A65" s="4" t="s">
        <v>1033</v>
      </c>
      <c r="B65" s="3">
        <v>109834.0</v>
      </c>
      <c r="C65" s="4"/>
    </row>
    <row r="66">
      <c r="A66" s="4" t="s">
        <v>1967</v>
      </c>
      <c r="B66" s="3">
        <v>105000.0</v>
      </c>
      <c r="C66" s="3" t="s">
        <v>32</v>
      </c>
    </row>
    <row r="67">
      <c r="A67" s="4" t="s">
        <v>1150</v>
      </c>
      <c r="B67" s="3">
        <v>100000.0</v>
      </c>
      <c r="C67" s="3" t="s">
        <v>29</v>
      </c>
    </row>
    <row r="68">
      <c r="A68" s="4" t="s">
        <v>1918</v>
      </c>
      <c r="B68" s="3">
        <v>83680.0</v>
      </c>
      <c r="C68" s="3" t="s">
        <v>26</v>
      </c>
    </row>
    <row r="69">
      <c r="A69" s="4" t="s">
        <v>2083</v>
      </c>
      <c r="B69" s="3">
        <v>82238.0</v>
      </c>
      <c r="C69" s="3" t="s">
        <v>37</v>
      </c>
    </row>
    <row r="70">
      <c r="A70" s="4" t="s">
        <v>712</v>
      </c>
      <c r="B70" s="3">
        <v>81568.0</v>
      </c>
      <c r="C70" s="4"/>
    </row>
    <row r="71">
      <c r="A71" s="4" t="s">
        <v>655</v>
      </c>
      <c r="B71" s="3">
        <v>80000.0</v>
      </c>
      <c r="C71" s="3" t="s">
        <v>29</v>
      </c>
    </row>
    <row r="72">
      <c r="A72" s="4" t="s">
        <v>1363</v>
      </c>
      <c r="B72" s="3">
        <v>80000.0</v>
      </c>
      <c r="C72" s="3" t="s">
        <v>3</v>
      </c>
    </row>
    <row r="73">
      <c r="A73" s="4" t="s">
        <v>1838</v>
      </c>
      <c r="B73" s="3">
        <v>73900.0</v>
      </c>
      <c r="C73" s="3" t="s">
        <v>3</v>
      </c>
    </row>
    <row r="74">
      <c r="A74" s="4" t="s">
        <v>2298</v>
      </c>
      <c r="B74" s="3">
        <v>73250.0</v>
      </c>
      <c r="C74" s="3" t="s">
        <v>1373</v>
      </c>
    </row>
    <row r="75">
      <c r="A75" s="4" t="s">
        <v>1227</v>
      </c>
      <c r="B75" s="3">
        <v>66000.0</v>
      </c>
      <c r="C75" s="4"/>
    </row>
    <row r="76">
      <c r="A76" s="4" t="s">
        <v>1761</v>
      </c>
      <c r="B76" s="3">
        <v>64000.0</v>
      </c>
      <c r="C76" s="4"/>
    </row>
    <row r="77">
      <c r="A77" s="4" t="s">
        <v>2076</v>
      </c>
      <c r="B77" s="3">
        <v>60000.0</v>
      </c>
      <c r="C77" s="4"/>
    </row>
    <row r="78">
      <c r="A78" s="4" t="s">
        <v>774</v>
      </c>
      <c r="B78" s="3">
        <v>57500.0</v>
      </c>
      <c r="C78" s="3" t="s">
        <v>280</v>
      </c>
    </row>
    <row r="79">
      <c r="A79" s="4" t="s">
        <v>1339</v>
      </c>
      <c r="B79" s="3">
        <v>57005.0</v>
      </c>
      <c r="C79" s="4"/>
    </row>
    <row r="80">
      <c r="A80" s="4" t="s">
        <v>1377</v>
      </c>
      <c r="B80" s="3">
        <v>56105.0</v>
      </c>
      <c r="C80" s="3" t="s">
        <v>1379</v>
      </c>
    </row>
    <row r="81">
      <c r="A81" s="4" t="s">
        <v>1559</v>
      </c>
      <c r="B81" s="3">
        <v>56000.0</v>
      </c>
      <c r="C81" s="3" t="s">
        <v>3</v>
      </c>
    </row>
    <row r="82">
      <c r="A82" s="4" t="s">
        <v>447</v>
      </c>
      <c r="B82" s="3">
        <v>55000.0</v>
      </c>
      <c r="C82" s="4"/>
    </row>
    <row r="83">
      <c r="A83" s="4" t="s">
        <v>1502</v>
      </c>
      <c r="B83" s="3">
        <v>54201.0</v>
      </c>
      <c r="C83" s="3" t="s">
        <v>6</v>
      </c>
    </row>
    <row r="84">
      <c r="A84" s="4" t="s">
        <v>2045</v>
      </c>
      <c r="B84" s="3">
        <v>52500.0</v>
      </c>
      <c r="C84" s="3" t="s">
        <v>3</v>
      </c>
    </row>
    <row r="85">
      <c r="A85" s="4" t="s">
        <v>1884</v>
      </c>
      <c r="B85" s="3">
        <v>52250.0</v>
      </c>
      <c r="C85" s="4"/>
    </row>
    <row r="86">
      <c r="A86" s="4" t="s">
        <v>1751</v>
      </c>
      <c r="B86" s="3">
        <v>51000.0</v>
      </c>
      <c r="C86" s="3" t="s">
        <v>3</v>
      </c>
    </row>
    <row r="87">
      <c r="A87" s="4" t="s">
        <v>2099</v>
      </c>
      <c r="B87" s="3">
        <v>50580.0</v>
      </c>
      <c r="C87" s="3" t="s">
        <v>216</v>
      </c>
    </row>
    <row r="88">
      <c r="A88" s="4" t="s">
        <v>569</v>
      </c>
      <c r="B88" s="3">
        <v>50000.0</v>
      </c>
      <c r="C88" s="3" t="s">
        <v>6</v>
      </c>
    </row>
    <row r="89">
      <c r="A89" s="4" t="s">
        <v>1346</v>
      </c>
      <c r="B89" s="3">
        <v>50000.0</v>
      </c>
      <c r="C89" s="4"/>
    </row>
    <row r="90">
      <c r="A90" s="4" t="s">
        <v>1438</v>
      </c>
      <c r="B90" s="3">
        <v>50000.0</v>
      </c>
      <c r="C90" s="4"/>
    </row>
    <row r="91">
      <c r="A91" s="4" t="s">
        <v>1552</v>
      </c>
      <c r="B91" s="3">
        <v>50000.0</v>
      </c>
      <c r="C91" s="4"/>
    </row>
    <row r="92">
      <c r="A92" s="4" t="s">
        <v>729</v>
      </c>
      <c r="B92" s="3">
        <v>49000.0</v>
      </c>
      <c r="C92" s="3" t="s">
        <v>32</v>
      </c>
    </row>
    <row r="93">
      <c r="A93" s="4" t="s">
        <v>2236</v>
      </c>
      <c r="B93" s="3">
        <v>46500.0</v>
      </c>
      <c r="C93" s="3" t="s">
        <v>3</v>
      </c>
    </row>
    <row r="94">
      <c r="A94" s="4" t="s">
        <v>1563</v>
      </c>
      <c r="B94" s="3">
        <v>46000.0</v>
      </c>
      <c r="C94" s="4"/>
    </row>
    <row r="95">
      <c r="A95" s="4" t="s">
        <v>2150</v>
      </c>
      <c r="B95" s="3">
        <v>45400.0</v>
      </c>
      <c r="C95" s="3" t="s">
        <v>3</v>
      </c>
    </row>
    <row r="96">
      <c r="A96" s="4" t="s">
        <v>589</v>
      </c>
      <c r="B96" s="3">
        <v>44200.0</v>
      </c>
      <c r="C96" s="3" t="s">
        <v>3</v>
      </c>
    </row>
    <row r="97">
      <c r="A97" s="4" t="s">
        <v>916</v>
      </c>
      <c r="B97" s="3">
        <v>41500.0</v>
      </c>
      <c r="C97" s="3" t="s">
        <v>280</v>
      </c>
    </row>
    <row r="98">
      <c r="A98" s="4" t="s">
        <v>1620</v>
      </c>
      <c r="B98" s="3">
        <v>40700.0</v>
      </c>
      <c r="C98" s="3" t="s">
        <v>216</v>
      </c>
    </row>
    <row r="99">
      <c r="A99" s="4" t="s">
        <v>945</v>
      </c>
      <c r="B99" s="3">
        <v>40000.0</v>
      </c>
      <c r="C99" s="3" t="s">
        <v>216</v>
      </c>
    </row>
    <row r="100">
      <c r="A100" s="4" t="s">
        <v>522</v>
      </c>
      <c r="B100" s="3">
        <v>37754.0</v>
      </c>
      <c r="C100" s="3" t="s">
        <v>484</v>
      </c>
    </row>
    <row r="101">
      <c r="A101" s="4" t="s">
        <v>2284</v>
      </c>
      <c r="B101" s="3">
        <v>37500.0</v>
      </c>
      <c r="C101" s="3" t="s">
        <v>580</v>
      </c>
    </row>
    <row r="102">
      <c r="A102" s="4" t="s">
        <v>395</v>
      </c>
      <c r="B102" s="3">
        <v>37000.0</v>
      </c>
      <c r="C102" s="3" t="s">
        <v>32</v>
      </c>
    </row>
    <row r="103">
      <c r="A103" s="4" t="s">
        <v>628</v>
      </c>
      <c r="B103" s="3">
        <v>35895.0</v>
      </c>
      <c r="C103" s="3" t="s">
        <v>484</v>
      </c>
    </row>
    <row r="104">
      <c r="A104" s="4" t="s">
        <v>1579</v>
      </c>
      <c r="B104" s="3">
        <v>35500.0</v>
      </c>
      <c r="C104" s="3" t="s">
        <v>32</v>
      </c>
    </row>
    <row r="105">
      <c r="A105" s="4" t="s">
        <v>2262</v>
      </c>
      <c r="B105" s="3">
        <v>35000.0</v>
      </c>
      <c r="C105" s="4"/>
    </row>
    <row r="106">
      <c r="A106" s="4" t="s">
        <v>1736</v>
      </c>
      <c r="B106" s="3">
        <v>35000.0</v>
      </c>
      <c r="C106" s="3" t="s">
        <v>280</v>
      </c>
    </row>
    <row r="107">
      <c r="A107" s="4" t="s">
        <v>1156</v>
      </c>
      <c r="B107" s="3">
        <v>33251.0</v>
      </c>
      <c r="C107" s="4"/>
    </row>
    <row r="108">
      <c r="A108" s="4" t="s">
        <v>1903</v>
      </c>
      <c r="B108" s="3">
        <v>32987.75</v>
      </c>
      <c r="C108" s="3" t="s">
        <v>280</v>
      </c>
    </row>
    <row r="109">
      <c r="A109" s="4" t="s">
        <v>786</v>
      </c>
      <c r="B109" s="3">
        <v>32500.0</v>
      </c>
      <c r="C109" s="4"/>
    </row>
    <row r="110">
      <c r="A110" s="4" t="s">
        <v>1733</v>
      </c>
      <c r="B110" s="3">
        <v>31500.0</v>
      </c>
      <c r="C110" s="3" t="s">
        <v>3</v>
      </c>
    </row>
    <row r="111">
      <c r="A111" s="4" t="s">
        <v>1055</v>
      </c>
      <c r="B111" s="3">
        <v>31000.0</v>
      </c>
      <c r="C111" s="4"/>
    </row>
    <row r="112">
      <c r="A112" s="4" t="s">
        <v>607</v>
      </c>
      <c r="B112" s="3">
        <v>30500.0</v>
      </c>
      <c r="C112" s="3" t="s">
        <v>32</v>
      </c>
    </row>
    <row r="113">
      <c r="A113" s="4" t="s">
        <v>2088</v>
      </c>
      <c r="B113" s="3">
        <v>30000.0</v>
      </c>
      <c r="C113" s="3" t="s">
        <v>3</v>
      </c>
    </row>
    <row r="114">
      <c r="A114" s="4" t="s">
        <v>645</v>
      </c>
      <c r="B114" s="3">
        <v>30000.0</v>
      </c>
      <c r="C114" s="4"/>
    </row>
    <row r="115">
      <c r="A115" s="4" t="s">
        <v>725</v>
      </c>
      <c r="B115" s="3">
        <v>30000.0</v>
      </c>
      <c r="C115" s="3" t="s">
        <v>6</v>
      </c>
    </row>
    <row r="116">
      <c r="A116" s="4" t="s">
        <v>1000</v>
      </c>
      <c r="B116" s="3">
        <v>30000.0</v>
      </c>
      <c r="C116" s="3" t="s">
        <v>3</v>
      </c>
    </row>
    <row r="117">
      <c r="A117" s="4" t="s">
        <v>1756</v>
      </c>
      <c r="B117" s="3">
        <v>29985.0</v>
      </c>
      <c r="C117" s="4"/>
    </row>
    <row r="118">
      <c r="A118" s="4" t="s">
        <v>1489</v>
      </c>
      <c r="B118" s="3">
        <v>29750.0</v>
      </c>
      <c r="C118" s="3" t="s">
        <v>32</v>
      </c>
    </row>
    <row r="119">
      <c r="A119" s="4" t="s">
        <v>1585</v>
      </c>
      <c r="B119" s="3">
        <v>29000.0</v>
      </c>
      <c r="C119" s="3" t="s">
        <v>32</v>
      </c>
    </row>
    <row r="120">
      <c r="A120" s="4" t="s">
        <v>1976</v>
      </c>
      <c r="B120" s="3">
        <v>28500.0</v>
      </c>
      <c r="C120" s="3" t="s">
        <v>32</v>
      </c>
    </row>
    <row r="121">
      <c r="A121" s="4" t="s">
        <v>669</v>
      </c>
      <c r="B121" s="3">
        <v>28000.0</v>
      </c>
      <c r="C121" s="3" t="s">
        <v>3</v>
      </c>
    </row>
    <row r="122">
      <c r="A122" s="4" t="s">
        <v>834</v>
      </c>
      <c r="B122" s="3">
        <v>28000.0</v>
      </c>
      <c r="C122" s="3" t="s">
        <v>6</v>
      </c>
    </row>
    <row r="123">
      <c r="A123" s="4" t="s">
        <v>549</v>
      </c>
      <c r="B123" s="3">
        <v>27778.0</v>
      </c>
      <c r="C123" s="4"/>
    </row>
    <row r="124">
      <c r="A124" s="4" t="s">
        <v>413</v>
      </c>
      <c r="B124" s="3">
        <v>27500.0</v>
      </c>
      <c r="C124" s="3" t="s">
        <v>32</v>
      </c>
    </row>
    <row r="125">
      <c r="A125" s="4" t="s">
        <v>1023</v>
      </c>
      <c r="B125" s="3">
        <v>27000.0</v>
      </c>
      <c r="C125" s="3" t="s">
        <v>3</v>
      </c>
    </row>
    <row r="126">
      <c r="A126" s="4" t="s">
        <v>2288</v>
      </c>
      <c r="B126" s="3">
        <v>27000.0</v>
      </c>
      <c r="C126" s="3" t="s">
        <v>580</v>
      </c>
    </row>
    <row r="127">
      <c r="A127" s="4" t="s">
        <v>518</v>
      </c>
      <c r="B127" s="3">
        <v>25062.0</v>
      </c>
      <c r="C127" s="4"/>
    </row>
    <row r="128">
      <c r="A128" s="4" t="s">
        <v>1262</v>
      </c>
      <c r="B128" s="3">
        <v>25000.0</v>
      </c>
      <c r="C128" s="4"/>
    </row>
    <row r="129">
      <c r="A129" s="4" t="s">
        <v>1902</v>
      </c>
      <c r="B129" s="3">
        <v>25000.0</v>
      </c>
      <c r="C129" s="4"/>
    </row>
    <row r="130">
      <c r="A130" s="4" t="s">
        <v>1273</v>
      </c>
      <c r="B130" s="3">
        <v>24500.0</v>
      </c>
      <c r="C130" s="3" t="s">
        <v>3</v>
      </c>
    </row>
    <row r="131">
      <c r="A131" s="4" t="s">
        <v>935</v>
      </c>
      <c r="B131" s="3">
        <v>23000.0</v>
      </c>
      <c r="C131" s="4"/>
    </row>
    <row r="132">
      <c r="A132" s="4" t="s">
        <v>1322</v>
      </c>
      <c r="B132" s="3">
        <v>23000.0</v>
      </c>
      <c r="C132" s="3" t="s">
        <v>3</v>
      </c>
    </row>
    <row r="133">
      <c r="A133" s="4" t="s">
        <v>2274</v>
      </c>
      <c r="B133" s="3">
        <v>23000.0</v>
      </c>
      <c r="C133" s="3" t="s">
        <v>37</v>
      </c>
    </row>
    <row r="134">
      <c r="A134" s="4" t="s">
        <v>2030</v>
      </c>
      <c r="B134" s="3">
        <v>23000.0</v>
      </c>
      <c r="C134" s="3" t="s">
        <v>3</v>
      </c>
    </row>
    <row r="135">
      <c r="A135" s="4" t="s">
        <v>1423</v>
      </c>
      <c r="B135" s="3">
        <v>22500.0</v>
      </c>
      <c r="C135" s="3" t="s">
        <v>3</v>
      </c>
    </row>
    <row r="136">
      <c r="A136" s="4" t="s">
        <v>1671</v>
      </c>
      <c r="B136" s="3">
        <v>22500.0</v>
      </c>
      <c r="C136" s="4"/>
    </row>
    <row r="137">
      <c r="A137" s="4" t="s">
        <v>2071</v>
      </c>
      <c r="B137" s="3">
        <v>22000.0</v>
      </c>
      <c r="C137" s="3" t="s">
        <v>37</v>
      </c>
    </row>
    <row r="138">
      <c r="A138" s="4" t="s">
        <v>53</v>
      </c>
      <c r="B138" s="3">
        <v>22000.0</v>
      </c>
      <c r="C138" s="4"/>
    </row>
    <row r="139">
      <c r="A139" s="4" t="s">
        <v>1336</v>
      </c>
      <c r="B139" s="3">
        <v>22000.0</v>
      </c>
      <c r="C139" s="4"/>
    </row>
    <row r="140">
      <c r="A140" s="4" t="s">
        <v>1739</v>
      </c>
      <c r="B140" s="3">
        <v>22000.0</v>
      </c>
      <c r="C140" s="3" t="s">
        <v>484</v>
      </c>
    </row>
    <row r="141">
      <c r="A141" s="4" t="s">
        <v>639</v>
      </c>
      <c r="B141" s="3">
        <v>21600.0</v>
      </c>
      <c r="C141" s="3" t="s">
        <v>3</v>
      </c>
    </row>
    <row r="142">
      <c r="A142" s="4" t="s">
        <v>1992</v>
      </c>
      <c r="B142" s="3">
        <v>21500.0</v>
      </c>
      <c r="C142" s="4"/>
    </row>
    <row r="143">
      <c r="A143" s="4" t="s">
        <v>1718</v>
      </c>
      <c r="B143" s="3">
        <v>21350.0</v>
      </c>
      <c r="C143" s="3" t="s">
        <v>32</v>
      </c>
    </row>
    <row r="144">
      <c r="A144" s="4" t="s">
        <v>2089</v>
      </c>
      <c r="B144" s="3">
        <v>21000.0</v>
      </c>
      <c r="C144" s="3" t="s">
        <v>32</v>
      </c>
    </row>
    <row r="145">
      <c r="A145" s="4" t="s">
        <v>666</v>
      </c>
      <c r="B145" s="3">
        <v>21000.0</v>
      </c>
      <c r="C145" s="4"/>
    </row>
    <row r="146">
      <c r="A146" s="4" t="s">
        <v>1246</v>
      </c>
      <c r="B146" s="3">
        <v>21000.0</v>
      </c>
      <c r="C146" s="4"/>
    </row>
    <row r="147">
      <c r="A147" s="4" t="s">
        <v>1637</v>
      </c>
      <c r="B147" s="3">
        <v>20686.0</v>
      </c>
      <c r="C147" s="4"/>
    </row>
    <row r="148">
      <c r="A148" s="4" t="s">
        <v>751</v>
      </c>
      <c r="B148" s="3">
        <v>20500.0</v>
      </c>
      <c r="C148" s="3" t="s">
        <v>280</v>
      </c>
    </row>
    <row r="149">
      <c r="A149" s="4" t="s">
        <v>2215</v>
      </c>
      <c r="B149" s="3">
        <v>20500.0</v>
      </c>
      <c r="C149" s="3" t="s">
        <v>37</v>
      </c>
    </row>
    <row r="150">
      <c r="A150" s="4" t="s">
        <v>82</v>
      </c>
      <c r="B150" s="3">
        <v>20060.0</v>
      </c>
      <c r="C150" s="4"/>
    </row>
    <row r="151">
      <c r="A151" s="4" t="s">
        <v>2328</v>
      </c>
      <c r="B151" s="3">
        <v>19500.0</v>
      </c>
      <c r="C151" s="3" t="s">
        <v>6</v>
      </c>
    </row>
    <row r="152">
      <c r="A152" s="4" t="s">
        <v>14</v>
      </c>
      <c r="B152" s="3">
        <v>19000.0</v>
      </c>
      <c r="C152" s="3" t="s">
        <v>16</v>
      </c>
    </row>
    <row r="153">
      <c r="A153" s="4" t="s">
        <v>790</v>
      </c>
      <c r="B153" s="3">
        <v>19000.0</v>
      </c>
      <c r="C153" s="4"/>
    </row>
    <row r="154">
      <c r="A154" s="4" t="s">
        <v>1859</v>
      </c>
      <c r="B154" s="3">
        <v>19000.0</v>
      </c>
      <c r="C154" s="4"/>
    </row>
    <row r="155">
      <c r="A155" s="4" t="s">
        <v>1421</v>
      </c>
      <c r="B155" s="3">
        <v>18800.0</v>
      </c>
      <c r="C155" s="3" t="s">
        <v>6</v>
      </c>
    </row>
    <row r="156">
      <c r="A156" s="4" t="s">
        <v>1604</v>
      </c>
      <c r="B156" s="3">
        <v>17528.0</v>
      </c>
      <c r="C156" s="4"/>
    </row>
    <row r="157">
      <c r="A157" s="4" t="s">
        <v>929</v>
      </c>
      <c r="B157" s="3">
        <v>17500.0</v>
      </c>
      <c r="C157" s="4"/>
    </row>
    <row r="158">
      <c r="A158" s="4" t="s">
        <v>937</v>
      </c>
      <c r="B158" s="3">
        <v>17000.0</v>
      </c>
      <c r="C158" s="4"/>
    </row>
    <row r="159">
      <c r="A159" s="4" t="s">
        <v>1624</v>
      </c>
      <c r="B159" s="3">
        <v>17000.0</v>
      </c>
      <c r="C159" s="4"/>
    </row>
    <row r="160">
      <c r="A160" s="4" t="s">
        <v>2022</v>
      </c>
      <c r="B160" s="3">
        <v>17000.0</v>
      </c>
      <c r="C160" s="3" t="s">
        <v>32</v>
      </c>
    </row>
    <row r="161">
      <c r="A161" s="4" t="s">
        <v>1811</v>
      </c>
      <c r="B161" s="3">
        <v>16770.0</v>
      </c>
      <c r="C161" s="3" t="s">
        <v>3</v>
      </c>
    </row>
    <row r="162">
      <c r="A162" s="4" t="s">
        <v>2049</v>
      </c>
      <c r="B162" s="3">
        <v>16628.76</v>
      </c>
      <c r="C162" s="4"/>
    </row>
    <row r="163">
      <c r="A163" s="4" t="s">
        <v>939</v>
      </c>
      <c r="B163" s="3">
        <v>16000.0</v>
      </c>
      <c r="C163" s="4"/>
    </row>
    <row r="164">
      <c r="A164" s="4" t="s">
        <v>2250</v>
      </c>
      <c r="B164" s="3">
        <v>16000.0</v>
      </c>
      <c r="C164" s="3" t="s">
        <v>6</v>
      </c>
    </row>
    <row r="165">
      <c r="A165" s="4" t="s">
        <v>1194</v>
      </c>
      <c r="B165" s="3">
        <v>16000.0</v>
      </c>
      <c r="C165" s="4"/>
    </row>
    <row r="166">
      <c r="A166" s="4" t="s">
        <v>1315</v>
      </c>
      <c r="B166" s="3">
        <v>16000.0</v>
      </c>
      <c r="C166" s="3" t="s">
        <v>3</v>
      </c>
    </row>
    <row r="167">
      <c r="A167" s="4" t="s">
        <v>2051</v>
      </c>
      <c r="B167" s="3">
        <v>15920.46</v>
      </c>
      <c r="C167" s="4"/>
    </row>
    <row r="168">
      <c r="A168" s="4" t="s">
        <v>811</v>
      </c>
      <c r="B168" s="3">
        <v>15800.0</v>
      </c>
      <c r="C168" s="3" t="s">
        <v>6</v>
      </c>
    </row>
    <row r="169">
      <c r="A169" s="4" t="s">
        <v>278</v>
      </c>
      <c r="B169" s="3">
        <v>15500.0</v>
      </c>
      <c r="C169" s="3" t="s">
        <v>280</v>
      </c>
    </row>
    <row r="170">
      <c r="A170" s="4" t="s">
        <v>1096</v>
      </c>
      <c r="B170" s="3">
        <v>15500.0</v>
      </c>
      <c r="C170" s="3" t="s">
        <v>3</v>
      </c>
    </row>
    <row r="171">
      <c r="A171" s="4" t="s">
        <v>203</v>
      </c>
      <c r="B171" s="3">
        <v>15280.0</v>
      </c>
      <c r="C171" s="4"/>
    </row>
    <row r="172">
      <c r="A172" s="4" t="s">
        <v>145</v>
      </c>
      <c r="B172" s="3">
        <v>15000.0</v>
      </c>
      <c r="C172" s="4"/>
    </row>
    <row r="173">
      <c r="A173" s="4" t="s">
        <v>687</v>
      </c>
      <c r="B173" s="3">
        <v>15000.0</v>
      </c>
      <c r="C173" s="3" t="s">
        <v>6</v>
      </c>
    </row>
    <row r="174">
      <c r="A174" s="4" t="s">
        <v>715</v>
      </c>
      <c r="B174" s="3">
        <v>15000.0</v>
      </c>
      <c r="C174" s="4"/>
    </row>
    <row r="175">
      <c r="A175" s="4" t="s">
        <v>2231</v>
      </c>
      <c r="B175" s="3">
        <v>15000.0</v>
      </c>
      <c r="C175" s="3" t="s">
        <v>3</v>
      </c>
    </row>
    <row r="176">
      <c r="A176" s="4" t="s">
        <v>2241</v>
      </c>
      <c r="B176" s="3">
        <v>15000.0</v>
      </c>
      <c r="C176" s="3" t="s">
        <v>3</v>
      </c>
    </row>
    <row r="177">
      <c r="A177" s="4" t="s">
        <v>1145</v>
      </c>
      <c r="B177" s="3">
        <v>15000.0</v>
      </c>
      <c r="C177" s="3" t="s">
        <v>668</v>
      </c>
    </row>
    <row r="178">
      <c r="A178" s="4" t="s">
        <v>1358</v>
      </c>
      <c r="B178" s="3">
        <v>15000.0</v>
      </c>
      <c r="C178" s="3" t="s">
        <v>32</v>
      </c>
    </row>
    <row r="179">
      <c r="A179" s="4" t="s">
        <v>1932</v>
      </c>
      <c r="B179" s="3">
        <v>15000.0</v>
      </c>
      <c r="C179" s="4"/>
    </row>
    <row r="180">
      <c r="A180" s="4" t="s">
        <v>757</v>
      </c>
      <c r="B180" s="3">
        <v>14800.0</v>
      </c>
      <c r="C180" s="4"/>
    </row>
    <row r="181">
      <c r="A181" s="4" t="s">
        <v>1063</v>
      </c>
      <c r="B181" s="3">
        <v>14800.0</v>
      </c>
      <c r="C181" s="4"/>
    </row>
    <row r="182">
      <c r="A182" s="4" t="s">
        <v>1566</v>
      </c>
      <c r="B182" s="3">
        <v>14653.49</v>
      </c>
      <c r="C182" s="3" t="s">
        <v>32</v>
      </c>
    </row>
    <row r="183">
      <c r="A183" s="4" t="s">
        <v>663</v>
      </c>
      <c r="B183" s="3">
        <v>14500.0</v>
      </c>
      <c r="C183" s="3" t="s">
        <v>176</v>
      </c>
    </row>
    <row r="184">
      <c r="A184" s="4" t="s">
        <v>1039</v>
      </c>
      <c r="B184" s="3">
        <v>14000.0</v>
      </c>
      <c r="C184" s="3" t="s">
        <v>3</v>
      </c>
    </row>
    <row r="185">
      <c r="A185" s="4" t="s">
        <v>1277</v>
      </c>
      <c r="B185" s="3">
        <v>14000.0</v>
      </c>
      <c r="C185" s="3" t="s">
        <v>16</v>
      </c>
    </row>
    <row r="186">
      <c r="A186" s="4" t="s">
        <v>1405</v>
      </c>
      <c r="B186" s="3">
        <v>14000.0</v>
      </c>
      <c r="C186" s="4"/>
    </row>
    <row r="187">
      <c r="A187" s="4" t="s">
        <v>1496</v>
      </c>
      <c r="B187" s="3">
        <v>14000.0</v>
      </c>
      <c r="C187" s="3" t="s">
        <v>29</v>
      </c>
    </row>
    <row r="188">
      <c r="A188" s="4" t="s">
        <v>1662</v>
      </c>
      <c r="B188" s="3">
        <v>14000.0</v>
      </c>
      <c r="C188" s="4"/>
    </row>
    <row r="189">
      <c r="A189" s="4" t="s">
        <v>2190</v>
      </c>
      <c r="B189" s="3">
        <v>13600.0</v>
      </c>
      <c r="C189" s="3" t="s">
        <v>37</v>
      </c>
    </row>
    <row r="190">
      <c r="A190" s="4" t="s">
        <v>2242</v>
      </c>
      <c r="B190" s="3">
        <v>13050.0</v>
      </c>
      <c r="C190" s="3" t="s">
        <v>37</v>
      </c>
    </row>
    <row r="191">
      <c r="A191" s="4" t="s">
        <v>1348</v>
      </c>
      <c r="B191" s="3">
        <v>13000.0</v>
      </c>
      <c r="C191" s="4"/>
    </row>
    <row r="192">
      <c r="A192" s="4" t="s">
        <v>2333</v>
      </c>
      <c r="B192" s="3">
        <v>13000.0</v>
      </c>
      <c r="C192" s="3" t="s">
        <v>6</v>
      </c>
    </row>
    <row r="193">
      <c r="A193" s="4" t="s">
        <v>2061</v>
      </c>
      <c r="B193" s="3">
        <v>13000.0</v>
      </c>
      <c r="C193" s="4"/>
    </row>
    <row r="194">
      <c r="A194" s="4" t="s">
        <v>171</v>
      </c>
      <c r="B194" s="3">
        <v>12000.0</v>
      </c>
      <c r="C194" s="3" t="s">
        <v>6</v>
      </c>
    </row>
    <row r="195">
      <c r="A195" s="4" t="s">
        <v>1248</v>
      </c>
      <c r="B195" s="3">
        <v>12000.0</v>
      </c>
      <c r="C195" s="4"/>
    </row>
    <row r="196">
      <c r="A196" s="4" t="s">
        <v>1561</v>
      </c>
      <c r="B196" s="3">
        <v>12000.0</v>
      </c>
      <c r="C196" s="3" t="s">
        <v>6</v>
      </c>
    </row>
    <row r="197">
      <c r="A197" s="4" t="s">
        <v>1907</v>
      </c>
      <c r="B197" s="3">
        <v>12000.0</v>
      </c>
      <c r="C197" s="4"/>
    </row>
    <row r="198">
      <c r="A198" s="4" t="s">
        <v>1406</v>
      </c>
      <c r="B198" s="3">
        <v>11950.0</v>
      </c>
      <c r="C198" s="3" t="s">
        <v>32</v>
      </c>
    </row>
    <row r="199">
      <c r="A199" s="4" t="s">
        <v>722</v>
      </c>
      <c r="B199" s="3">
        <v>11620.0</v>
      </c>
      <c r="C199" s="4"/>
    </row>
    <row r="200">
      <c r="A200" s="4" t="s">
        <v>683</v>
      </c>
      <c r="B200" s="3">
        <v>11500.0</v>
      </c>
      <c r="C200" s="3" t="s">
        <v>29</v>
      </c>
    </row>
    <row r="201">
      <c r="A201" s="4" t="s">
        <v>2200</v>
      </c>
      <c r="B201" s="3">
        <v>11500.0</v>
      </c>
      <c r="C201" s="3" t="s">
        <v>3</v>
      </c>
    </row>
    <row r="202">
      <c r="A202" s="4" t="s">
        <v>1515</v>
      </c>
      <c r="B202" s="3">
        <v>11500.0</v>
      </c>
      <c r="C202" s="3" t="s">
        <v>16</v>
      </c>
    </row>
    <row r="203">
      <c r="A203" s="4" t="s">
        <v>931</v>
      </c>
      <c r="B203" s="3">
        <v>11380.0</v>
      </c>
      <c r="C203" s="3" t="s">
        <v>3</v>
      </c>
    </row>
    <row r="204">
      <c r="A204" s="4" t="s">
        <v>965</v>
      </c>
      <c r="B204" s="3">
        <v>11176.0</v>
      </c>
      <c r="C204" s="4"/>
    </row>
    <row r="205">
      <c r="A205" s="4" t="s">
        <v>138</v>
      </c>
      <c r="B205" s="3">
        <v>11011.0</v>
      </c>
      <c r="C205" s="4"/>
    </row>
    <row r="206">
      <c r="A206" s="4" t="s">
        <v>84</v>
      </c>
      <c r="B206" s="3">
        <v>11000.0</v>
      </c>
      <c r="C206" s="3" t="s">
        <v>26</v>
      </c>
    </row>
    <row r="207">
      <c r="A207" s="4" t="s">
        <v>2127</v>
      </c>
      <c r="B207" s="3">
        <v>11000.0</v>
      </c>
      <c r="C207" s="3" t="s">
        <v>6</v>
      </c>
    </row>
    <row r="208">
      <c r="A208" s="4" t="s">
        <v>845</v>
      </c>
      <c r="B208" s="3">
        <v>11000.0</v>
      </c>
      <c r="C208" s="4"/>
    </row>
    <row r="209">
      <c r="A209" s="4" t="s">
        <v>956</v>
      </c>
      <c r="B209" s="3">
        <v>10730.0</v>
      </c>
      <c r="C209" s="4"/>
    </row>
    <row r="210">
      <c r="A210" s="4" t="s">
        <v>2059</v>
      </c>
      <c r="B210" s="3">
        <v>10536.77</v>
      </c>
      <c r="C210" s="4"/>
    </row>
    <row r="211">
      <c r="A211" s="4" t="s">
        <v>1288</v>
      </c>
      <c r="B211" s="3">
        <v>10083.0</v>
      </c>
      <c r="C211" s="3" t="s">
        <v>32</v>
      </c>
    </row>
    <row r="212">
      <c r="A212" s="4" t="s">
        <v>2075</v>
      </c>
      <c r="B212" s="3">
        <v>10000.0</v>
      </c>
      <c r="C212" s="3" t="s">
        <v>3</v>
      </c>
    </row>
    <row r="213">
      <c r="A213" s="4" t="s">
        <v>2144</v>
      </c>
      <c r="B213" s="3">
        <v>10000.0</v>
      </c>
      <c r="C213" s="3" t="s">
        <v>16</v>
      </c>
    </row>
    <row r="214">
      <c r="A214" s="4" t="s">
        <v>2197</v>
      </c>
      <c r="B214" s="3">
        <v>10000.0</v>
      </c>
      <c r="C214" s="3" t="s">
        <v>3</v>
      </c>
    </row>
    <row r="215">
      <c r="A215" s="4" t="s">
        <v>756</v>
      </c>
      <c r="B215" s="3">
        <v>10000.0</v>
      </c>
      <c r="C215" s="4"/>
    </row>
    <row r="216">
      <c r="A216" s="4" t="s">
        <v>1002</v>
      </c>
      <c r="B216" s="3">
        <v>10000.0</v>
      </c>
      <c r="C216" s="3" t="s">
        <v>3</v>
      </c>
    </row>
    <row r="217">
      <c r="A217" s="4" t="s">
        <v>1278</v>
      </c>
      <c r="B217" s="3">
        <v>10000.0</v>
      </c>
      <c r="C217" s="4"/>
    </row>
    <row r="218">
      <c r="A218" s="4" t="s">
        <v>1331</v>
      </c>
      <c r="B218" s="3">
        <v>10000.0</v>
      </c>
      <c r="C218" s="3" t="s">
        <v>32</v>
      </c>
    </row>
    <row r="219">
      <c r="A219" s="4" t="s">
        <v>1609</v>
      </c>
      <c r="B219" s="3">
        <v>10000.0</v>
      </c>
      <c r="C219" s="3" t="s">
        <v>32</v>
      </c>
    </row>
    <row r="220">
      <c r="A220" s="4" t="s">
        <v>1626</v>
      </c>
      <c r="B220" s="3">
        <v>10000.0</v>
      </c>
      <c r="C220" s="3" t="s">
        <v>29</v>
      </c>
    </row>
    <row r="221">
      <c r="A221" s="4" t="s">
        <v>1692</v>
      </c>
      <c r="B221" s="3">
        <v>10000.0</v>
      </c>
      <c r="C221" s="3" t="s">
        <v>1693</v>
      </c>
    </row>
    <row r="222">
      <c r="A222" s="4" t="s">
        <v>1735</v>
      </c>
      <c r="B222" s="3">
        <v>10000.0</v>
      </c>
      <c r="C222" s="4"/>
    </row>
    <row r="223">
      <c r="A223" s="4" t="s">
        <v>1759</v>
      </c>
      <c r="B223" s="3">
        <v>10000.0</v>
      </c>
      <c r="C223" s="3" t="s">
        <v>6</v>
      </c>
    </row>
    <row r="224">
      <c r="A224" s="4" t="s">
        <v>1764</v>
      </c>
      <c r="B224" s="3">
        <v>10000.0</v>
      </c>
      <c r="C224" s="3" t="s">
        <v>3</v>
      </c>
    </row>
    <row r="225">
      <c r="A225" s="4" t="s">
        <v>1833</v>
      </c>
      <c r="B225" s="3">
        <v>10000.0</v>
      </c>
      <c r="C225" s="3" t="s">
        <v>3</v>
      </c>
    </row>
    <row r="226">
      <c r="A226" s="4" t="s">
        <v>1850</v>
      </c>
      <c r="B226" s="3">
        <v>10000.0</v>
      </c>
      <c r="C226" s="3" t="s">
        <v>26</v>
      </c>
    </row>
    <row r="227">
      <c r="A227" s="4" t="s">
        <v>1880</v>
      </c>
      <c r="B227" s="3">
        <v>10000.0</v>
      </c>
      <c r="C227" s="3" t="s">
        <v>3</v>
      </c>
    </row>
    <row r="228">
      <c r="A228" s="4" t="s">
        <v>1805</v>
      </c>
      <c r="B228" s="3">
        <v>9980.0</v>
      </c>
      <c r="C228" s="3" t="s">
        <v>32</v>
      </c>
    </row>
    <row r="229">
      <c r="A229" s="4" t="s">
        <v>180</v>
      </c>
      <c r="B229" s="3">
        <v>9880.0</v>
      </c>
      <c r="C229" s="4"/>
    </row>
    <row r="230">
      <c r="A230" s="4" t="s">
        <v>1766</v>
      </c>
      <c r="B230" s="3">
        <v>9750.0</v>
      </c>
      <c r="C230" s="3" t="s">
        <v>32</v>
      </c>
    </row>
    <row r="231">
      <c r="A231" s="4" t="s">
        <v>984</v>
      </c>
      <c r="B231" s="3">
        <v>9600.0</v>
      </c>
      <c r="C231" s="4"/>
    </row>
    <row r="232">
      <c r="A232" s="4" t="s">
        <v>1744</v>
      </c>
      <c r="B232" s="3">
        <v>9520.0</v>
      </c>
      <c r="C232" s="4"/>
    </row>
    <row r="233">
      <c r="A233" s="4" t="s">
        <v>1013</v>
      </c>
      <c r="B233" s="3">
        <v>9500.0</v>
      </c>
      <c r="C233" s="3" t="s">
        <v>6</v>
      </c>
    </row>
    <row r="234">
      <c r="A234" s="4" t="s">
        <v>1512</v>
      </c>
      <c r="B234" s="3">
        <v>9500.0</v>
      </c>
      <c r="C234" s="3" t="s">
        <v>6</v>
      </c>
    </row>
    <row r="235">
      <c r="A235" s="4" t="s">
        <v>2304</v>
      </c>
      <c r="B235" s="3">
        <v>9500.0</v>
      </c>
      <c r="C235" s="3" t="s">
        <v>3</v>
      </c>
    </row>
    <row r="236">
      <c r="A236" s="4" t="s">
        <v>312</v>
      </c>
      <c r="B236" s="3">
        <v>9400.0</v>
      </c>
      <c r="C236" s="4"/>
    </row>
    <row r="237">
      <c r="A237" s="4" t="s">
        <v>1264</v>
      </c>
      <c r="B237" s="3">
        <v>9000.0</v>
      </c>
      <c r="C237" s="4"/>
    </row>
    <row r="238">
      <c r="A238" s="4" t="s">
        <v>1304</v>
      </c>
      <c r="B238" s="3">
        <v>9000.0</v>
      </c>
      <c r="C238" s="3" t="s">
        <v>3</v>
      </c>
    </row>
    <row r="239">
      <c r="A239" s="4" t="s">
        <v>2270</v>
      </c>
      <c r="B239" s="3">
        <v>9000.0</v>
      </c>
      <c r="C239" s="3" t="s">
        <v>37</v>
      </c>
    </row>
    <row r="240">
      <c r="A240" s="4" t="s">
        <v>1499</v>
      </c>
      <c r="B240" s="3">
        <v>9000.0</v>
      </c>
      <c r="C240" s="3" t="s">
        <v>32</v>
      </c>
    </row>
    <row r="241">
      <c r="A241" s="4" t="s">
        <v>2280</v>
      </c>
      <c r="B241" s="3">
        <v>9000.0</v>
      </c>
      <c r="C241" s="3" t="s">
        <v>6</v>
      </c>
    </row>
    <row r="242">
      <c r="A242" s="4" t="s">
        <v>2031</v>
      </c>
      <c r="B242" s="3">
        <v>9000.0</v>
      </c>
      <c r="C242" s="4"/>
    </row>
    <row r="243">
      <c r="A243" s="4" t="s">
        <v>299</v>
      </c>
      <c r="B243" s="3">
        <v>8907.0</v>
      </c>
      <c r="C243" s="3" t="s">
        <v>6</v>
      </c>
    </row>
    <row r="244">
      <c r="A244" s="4" t="s">
        <v>824</v>
      </c>
      <c r="B244" s="3">
        <v>8800.0</v>
      </c>
      <c r="C244" s="4"/>
    </row>
    <row r="245">
      <c r="A245" s="4" t="s">
        <v>1401</v>
      </c>
      <c r="B245" s="3">
        <v>8640.0</v>
      </c>
      <c r="C245" s="4"/>
    </row>
    <row r="246">
      <c r="A246" s="4" t="s">
        <v>117</v>
      </c>
      <c r="B246" s="3">
        <v>8605.0</v>
      </c>
      <c r="C246" s="4"/>
    </row>
    <row r="247">
      <c r="A247" s="4" t="s">
        <v>633</v>
      </c>
      <c r="B247" s="3">
        <v>8500.0</v>
      </c>
      <c r="C247" s="3" t="s">
        <v>3</v>
      </c>
    </row>
    <row r="248">
      <c r="A248" s="4" t="s">
        <v>2119</v>
      </c>
      <c r="B248" s="3">
        <v>8400.0</v>
      </c>
      <c r="C248" s="4"/>
    </row>
    <row r="249">
      <c r="A249" s="4" t="s">
        <v>1234</v>
      </c>
      <c r="B249" s="3">
        <v>8308.0</v>
      </c>
      <c r="C249" s="3" t="s">
        <v>26</v>
      </c>
    </row>
    <row r="250">
      <c r="A250" s="4" t="s">
        <v>2002</v>
      </c>
      <c r="B250" s="3">
        <v>8300.0</v>
      </c>
      <c r="C250" s="3" t="s">
        <v>6</v>
      </c>
    </row>
    <row r="251">
      <c r="A251" s="4" t="s">
        <v>745</v>
      </c>
      <c r="B251" s="3">
        <v>8200.0</v>
      </c>
      <c r="C251" s="3" t="s">
        <v>3</v>
      </c>
    </row>
    <row r="252">
      <c r="A252" s="4" t="s">
        <v>622</v>
      </c>
      <c r="B252" s="3">
        <v>8000.0</v>
      </c>
      <c r="C252" s="3" t="s">
        <v>32</v>
      </c>
    </row>
    <row r="253">
      <c r="A253" s="4" t="s">
        <v>900</v>
      </c>
      <c r="B253" s="3">
        <v>8000.0</v>
      </c>
      <c r="C253" s="4"/>
    </row>
    <row r="254">
      <c r="A254" s="4" t="s">
        <v>915</v>
      </c>
      <c r="B254" s="3">
        <v>8000.0</v>
      </c>
      <c r="C254" s="4"/>
    </row>
    <row r="255">
      <c r="A255" s="4" t="s">
        <v>977</v>
      </c>
      <c r="B255" s="3">
        <v>8000.0</v>
      </c>
      <c r="C255" s="4"/>
    </row>
    <row r="256">
      <c r="A256" s="4" t="s">
        <v>994</v>
      </c>
      <c r="B256" s="3">
        <v>8000.0</v>
      </c>
      <c r="C256" s="4"/>
    </row>
    <row r="257">
      <c r="A257" s="4" t="s">
        <v>1321</v>
      </c>
      <c r="B257" s="3">
        <v>8000.0</v>
      </c>
      <c r="C257" s="4"/>
    </row>
    <row r="258">
      <c r="A258" s="4" t="s">
        <v>1351</v>
      </c>
      <c r="B258" s="3">
        <v>8000.0</v>
      </c>
      <c r="C258" s="4"/>
    </row>
    <row r="259">
      <c r="A259" s="4" t="s">
        <v>1414</v>
      </c>
      <c r="B259" s="3">
        <v>8000.0</v>
      </c>
      <c r="C259" s="4"/>
    </row>
    <row r="260">
      <c r="A260" s="4" t="s">
        <v>1890</v>
      </c>
      <c r="B260" s="3">
        <v>8000.0</v>
      </c>
      <c r="C260" s="3" t="s">
        <v>3</v>
      </c>
    </row>
    <row r="261">
      <c r="A261" s="4" t="s">
        <v>2315</v>
      </c>
      <c r="B261" s="3">
        <v>8000.0</v>
      </c>
      <c r="C261" s="4"/>
    </row>
    <row r="262">
      <c r="A262" s="4" t="s">
        <v>158</v>
      </c>
      <c r="B262" s="3">
        <v>7932.0</v>
      </c>
      <c r="C262" s="4"/>
    </row>
    <row r="263">
      <c r="A263" s="4" t="s">
        <v>988</v>
      </c>
      <c r="B263" s="3">
        <v>7800.0</v>
      </c>
      <c r="C263" s="3" t="s">
        <v>280</v>
      </c>
    </row>
    <row r="264">
      <c r="A264" s="4" t="s">
        <v>1606</v>
      </c>
      <c r="B264" s="3">
        <v>7800.0</v>
      </c>
      <c r="C264" s="3" t="s">
        <v>3</v>
      </c>
    </row>
    <row r="265">
      <c r="A265" s="4" t="s">
        <v>2312</v>
      </c>
      <c r="B265" s="3">
        <v>7800.0</v>
      </c>
      <c r="C265" s="4"/>
    </row>
    <row r="266">
      <c r="A266" s="4" t="s">
        <v>2070</v>
      </c>
      <c r="B266" s="3">
        <v>7600.0</v>
      </c>
      <c r="C266" s="3" t="s">
        <v>32</v>
      </c>
    </row>
    <row r="267">
      <c r="A267" s="4" t="s">
        <v>2048</v>
      </c>
      <c r="B267" s="3">
        <v>7600.0</v>
      </c>
      <c r="C267" s="4"/>
    </row>
    <row r="268">
      <c r="A268" s="4" t="s">
        <v>164</v>
      </c>
      <c r="B268" s="3">
        <v>7500.0</v>
      </c>
      <c r="C268" s="4"/>
    </row>
    <row r="269">
      <c r="A269" s="4" t="s">
        <v>1420</v>
      </c>
      <c r="B269" s="3">
        <v>7500.0</v>
      </c>
      <c r="C269" s="3" t="s">
        <v>6</v>
      </c>
    </row>
    <row r="270">
      <c r="A270" s="4" t="s">
        <v>322</v>
      </c>
      <c r="B270" s="3">
        <v>7475.0</v>
      </c>
      <c r="C270" s="3" t="s">
        <v>32</v>
      </c>
    </row>
    <row r="271">
      <c r="A271" s="4" t="s">
        <v>1293</v>
      </c>
      <c r="B271" s="3">
        <v>7370.0</v>
      </c>
      <c r="C271" s="3" t="s">
        <v>29</v>
      </c>
    </row>
    <row r="272">
      <c r="A272" s="4" t="s">
        <v>702</v>
      </c>
      <c r="B272" s="3">
        <v>7300.0</v>
      </c>
      <c r="C272" s="3" t="s">
        <v>32</v>
      </c>
    </row>
    <row r="273">
      <c r="A273" s="4" t="s">
        <v>1747</v>
      </c>
      <c r="B273" s="3">
        <v>7100.0</v>
      </c>
      <c r="C273" s="3" t="s">
        <v>6</v>
      </c>
    </row>
    <row r="274">
      <c r="A274" s="4" t="s">
        <v>532</v>
      </c>
      <c r="B274" s="3">
        <v>7000.0</v>
      </c>
      <c r="C274" s="3" t="s">
        <v>3</v>
      </c>
    </row>
    <row r="275">
      <c r="A275" s="4" t="s">
        <v>659</v>
      </c>
      <c r="B275" s="3">
        <v>7000.0</v>
      </c>
      <c r="C275" s="3" t="s">
        <v>6</v>
      </c>
    </row>
    <row r="276">
      <c r="A276" s="4" t="s">
        <v>2198</v>
      </c>
      <c r="B276" s="3">
        <v>7000.0</v>
      </c>
      <c r="C276" s="4"/>
    </row>
    <row r="277">
      <c r="A277" s="4" t="s">
        <v>755</v>
      </c>
      <c r="B277" s="3">
        <v>7000.0</v>
      </c>
      <c r="C277" s="3" t="s">
        <v>3</v>
      </c>
    </row>
    <row r="278">
      <c r="A278" s="4" t="s">
        <v>1243</v>
      </c>
      <c r="B278" s="3">
        <v>7000.0</v>
      </c>
      <c r="C278" s="3" t="s">
        <v>26</v>
      </c>
    </row>
    <row r="279">
      <c r="A279" s="4" t="s">
        <v>1392</v>
      </c>
      <c r="B279" s="3">
        <v>7000.0</v>
      </c>
      <c r="C279" s="4"/>
    </row>
    <row r="280">
      <c r="A280" s="4" t="s">
        <v>1536</v>
      </c>
      <c r="B280" s="3">
        <v>7000.0</v>
      </c>
      <c r="C280" s="4"/>
    </row>
    <row r="281">
      <c r="A281" s="4" t="s">
        <v>2047</v>
      </c>
      <c r="B281" s="3">
        <v>7000.0</v>
      </c>
      <c r="C281" s="4"/>
    </row>
    <row r="282">
      <c r="A282" s="4" t="s">
        <v>2009</v>
      </c>
      <c r="B282" s="3">
        <v>6900.0</v>
      </c>
      <c r="C282" s="3" t="s">
        <v>6</v>
      </c>
    </row>
    <row r="283">
      <c r="A283" s="4" t="s">
        <v>2313</v>
      </c>
      <c r="B283" s="3">
        <v>6800.0</v>
      </c>
      <c r="C283" s="4"/>
    </row>
    <row r="284">
      <c r="A284" s="4" t="s">
        <v>57</v>
      </c>
      <c r="B284" s="3">
        <v>6500.0</v>
      </c>
      <c r="C284" s="4"/>
    </row>
    <row r="285">
      <c r="A285" s="4" t="s">
        <v>1460</v>
      </c>
      <c r="B285" s="3">
        <v>6500.0</v>
      </c>
      <c r="C285" s="4"/>
    </row>
    <row r="286">
      <c r="A286" s="4" t="s">
        <v>1896</v>
      </c>
      <c r="B286" s="3">
        <v>6500.0</v>
      </c>
      <c r="C286" s="4"/>
    </row>
    <row r="287">
      <c r="A287" s="4" t="s">
        <v>1911</v>
      </c>
      <c r="B287" s="3">
        <v>6500.0</v>
      </c>
      <c r="C287" s="4"/>
    </row>
    <row r="288">
      <c r="A288" s="4" t="s">
        <v>1994</v>
      </c>
      <c r="B288" s="3">
        <v>6500.0</v>
      </c>
      <c r="C288" s="4"/>
    </row>
    <row r="289">
      <c r="A289" s="4" t="s">
        <v>2272</v>
      </c>
      <c r="B289" s="3">
        <v>6400.0</v>
      </c>
      <c r="C289" s="3" t="s">
        <v>580</v>
      </c>
    </row>
    <row r="290">
      <c r="A290" s="4" t="s">
        <v>1773</v>
      </c>
      <c r="B290" s="3">
        <v>6182.0</v>
      </c>
      <c r="C290" s="4"/>
    </row>
    <row r="291">
      <c r="A291" s="4" t="s">
        <v>1938</v>
      </c>
      <c r="B291" s="3">
        <v>6100.0</v>
      </c>
      <c r="C291" s="4"/>
    </row>
    <row r="292">
      <c r="A292" s="4" t="s">
        <v>71</v>
      </c>
      <c r="B292" s="3">
        <v>6000.0</v>
      </c>
      <c r="C292" s="3" t="s">
        <v>3</v>
      </c>
    </row>
    <row r="293">
      <c r="A293" s="4" t="s">
        <v>793</v>
      </c>
      <c r="B293" s="3">
        <v>6000.0</v>
      </c>
      <c r="C293" s="4"/>
    </row>
    <row r="294">
      <c r="A294" s="4" t="s">
        <v>921</v>
      </c>
      <c r="B294" s="3">
        <v>6000.0</v>
      </c>
      <c r="C294" s="4"/>
    </row>
    <row r="295">
      <c r="A295" s="4" t="s">
        <v>927</v>
      </c>
      <c r="B295" s="3">
        <v>6000.0</v>
      </c>
      <c r="C295" s="4"/>
    </row>
    <row r="296">
      <c r="A296" s="4" t="s">
        <v>1279</v>
      </c>
      <c r="B296" s="3">
        <v>6000.0</v>
      </c>
      <c r="C296" s="4"/>
    </row>
    <row r="297">
      <c r="A297" s="4" t="s">
        <v>1343</v>
      </c>
      <c r="B297" s="3">
        <v>6000.0</v>
      </c>
      <c r="C297" s="4"/>
    </row>
    <row r="298">
      <c r="A298" s="4" t="s">
        <v>1367</v>
      </c>
      <c r="B298" s="3">
        <v>6000.0</v>
      </c>
      <c r="C298" s="3" t="s">
        <v>3</v>
      </c>
    </row>
    <row r="299">
      <c r="A299" s="4" t="s">
        <v>1475</v>
      </c>
      <c r="B299" s="3">
        <v>6000.0</v>
      </c>
      <c r="C299" s="4"/>
    </row>
    <row r="300">
      <c r="A300" s="4" t="s">
        <v>1568</v>
      </c>
      <c r="B300" s="3">
        <v>6000.0</v>
      </c>
      <c r="C300" s="3" t="s">
        <v>32</v>
      </c>
    </row>
    <row r="301">
      <c r="A301" s="4" t="s">
        <v>1581</v>
      </c>
      <c r="B301" s="3">
        <v>6000.0</v>
      </c>
      <c r="C301" s="3" t="s">
        <v>32</v>
      </c>
    </row>
    <row r="302">
      <c r="A302" s="4" t="s">
        <v>1754</v>
      </c>
      <c r="B302" s="3">
        <v>6000.0</v>
      </c>
      <c r="C302" s="3" t="s">
        <v>32</v>
      </c>
    </row>
    <row r="303">
      <c r="A303" s="4" t="s">
        <v>442</v>
      </c>
      <c r="B303" s="3">
        <v>5900.0</v>
      </c>
      <c r="C303" s="4"/>
    </row>
    <row r="304">
      <c r="A304" s="4" t="s">
        <v>717</v>
      </c>
      <c r="B304" s="3">
        <v>5750.0</v>
      </c>
      <c r="C304" s="3" t="s">
        <v>3</v>
      </c>
    </row>
    <row r="305">
      <c r="A305" s="4" t="s">
        <v>330</v>
      </c>
      <c r="B305" s="3">
        <v>5688.0</v>
      </c>
      <c r="C305" s="3" t="s">
        <v>6</v>
      </c>
    </row>
    <row r="306">
      <c r="A306" s="4" t="s">
        <v>78</v>
      </c>
      <c r="B306" s="3">
        <v>5500.0</v>
      </c>
      <c r="C306" s="4"/>
    </row>
    <row r="307">
      <c r="A307" s="4" t="s">
        <v>238</v>
      </c>
      <c r="B307" s="3">
        <v>5500.0</v>
      </c>
      <c r="C307" s="3" t="s">
        <v>3</v>
      </c>
    </row>
    <row r="308">
      <c r="A308" s="4" t="s">
        <v>1192</v>
      </c>
      <c r="B308" s="3">
        <v>5500.0</v>
      </c>
      <c r="C308" s="3" t="s">
        <v>29</v>
      </c>
    </row>
    <row r="309">
      <c r="A309" s="4" t="s">
        <v>1594</v>
      </c>
      <c r="B309" s="3">
        <v>5500.0</v>
      </c>
      <c r="C309" s="3" t="s">
        <v>6</v>
      </c>
    </row>
    <row r="310">
      <c r="A310" s="4" t="s">
        <v>1989</v>
      </c>
      <c r="B310" s="3">
        <v>5394.0</v>
      </c>
      <c r="C310" s="3" t="s">
        <v>6</v>
      </c>
    </row>
    <row r="311">
      <c r="A311" s="4" t="s">
        <v>2073</v>
      </c>
      <c r="B311" s="3">
        <v>5000.0</v>
      </c>
      <c r="C311" s="4"/>
    </row>
    <row r="312">
      <c r="A312" s="4" t="s">
        <v>63</v>
      </c>
      <c r="B312" s="3">
        <v>5000.0</v>
      </c>
      <c r="C312" s="3" t="s">
        <v>3</v>
      </c>
    </row>
    <row r="313">
      <c r="A313" s="4" t="s">
        <v>76</v>
      </c>
      <c r="B313" s="3">
        <v>5000.0</v>
      </c>
      <c r="C313" s="3" t="s">
        <v>6</v>
      </c>
    </row>
    <row r="314">
      <c r="A314" s="4" t="s">
        <v>399</v>
      </c>
      <c r="B314" s="3">
        <v>5000.0</v>
      </c>
      <c r="C314" s="4"/>
    </row>
    <row r="315">
      <c r="A315" s="4" t="s">
        <v>427</v>
      </c>
      <c r="B315" s="3">
        <v>5000.0</v>
      </c>
      <c r="C315" s="3" t="s">
        <v>29</v>
      </c>
    </row>
    <row r="316">
      <c r="A316" s="4" t="s">
        <v>472</v>
      </c>
      <c r="B316" s="3">
        <v>5000.0</v>
      </c>
      <c r="C316" s="3" t="s">
        <v>32</v>
      </c>
    </row>
    <row r="317">
      <c r="A317" s="4" t="s">
        <v>681</v>
      </c>
      <c r="B317" s="3">
        <v>5000.0</v>
      </c>
      <c r="C317" s="4"/>
    </row>
    <row r="318">
      <c r="A318" s="4" t="s">
        <v>2208</v>
      </c>
      <c r="B318" s="3">
        <v>5000.0</v>
      </c>
      <c r="C318" s="4"/>
    </row>
    <row r="319">
      <c r="A319" s="4" t="s">
        <v>922</v>
      </c>
      <c r="B319" s="3">
        <v>5000.0</v>
      </c>
      <c r="C319" s="4"/>
    </row>
    <row r="320">
      <c r="A320" s="4" t="s">
        <v>2235</v>
      </c>
      <c r="B320" s="3">
        <v>5000.0</v>
      </c>
      <c r="C320" s="4"/>
    </row>
    <row r="321">
      <c r="A321" s="4" t="s">
        <v>1113</v>
      </c>
      <c r="B321" s="3">
        <v>5000.0</v>
      </c>
      <c r="C321" s="4"/>
    </row>
    <row r="322">
      <c r="A322" s="4" t="s">
        <v>1214</v>
      </c>
      <c r="B322" s="3">
        <v>5000.0</v>
      </c>
      <c r="C322" s="3" t="s">
        <v>29</v>
      </c>
    </row>
    <row r="323">
      <c r="A323" s="4" t="s">
        <v>1417</v>
      </c>
      <c r="B323" s="3">
        <v>5000.0</v>
      </c>
      <c r="C323" s="4"/>
    </row>
    <row r="324">
      <c r="A324" s="4" t="s">
        <v>1431</v>
      </c>
      <c r="B324" s="3">
        <v>5000.0</v>
      </c>
      <c r="C324" s="4"/>
    </row>
    <row r="325">
      <c r="A325" s="4" t="s">
        <v>1468</v>
      </c>
      <c r="B325" s="3">
        <v>5000.0</v>
      </c>
      <c r="C325" s="4"/>
    </row>
    <row r="326">
      <c r="A326" s="4" t="s">
        <v>1565</v>
      </c>
      <c r="B326" s="3">
        <v>5000.0</v>
      </c>
      <c r="C326" s="4"/>
    </row>
    <row r="327">
      <c r="A327" s="4" t="s">
        <v>1975</v>
      </c>
      <c r="B327" s="3">
        <v>5000.0</v>
      </c>
      <c r="C327" s="4"/>
    </row>
    <row r="328">
      <c r="A328" s="4" t="s">
        <v>2018</v>
      </c>
      <c r="B328" s="3">
        <v>5000.0</v>
      </c>
      <c r="C328" s="4"/>
    </row>
    <row r="329">
      <c r="A329" s="4" t="s">
        <v>283</v>
      </c>
      <c r="B329" s="3">
        <v>5000.0</v>
      </c>
      <c r="C329" s="4"/>
    </row>
    <row r="330">
      <c r="A330" s="4" t="s">
        <v>314</v>
      </c>
      <c r="B330" s="3">
        <v>4880.0</v>
      </c>
      <c r="C330" s="3" t="s">
        <v>6</v>
      </c>
    </row>
    <row r="331">
      <c r="A331" s="4" t="s">
        <v>199</v>
      </c>
      <c r="B331" s="3">
        <v>4850.0</v>
      </c>
      <c r="C331" s="4"/>
    </row>
    <row r="332">
      <c r="A332" s="4" t="s">
        <v>2121</v>
      </c>
      <c r="B332" s="3">
        <v>4700.0</v>
      </c>
      <c r="C332" s="4"/>
    </row>
    <row r="333">
      <c r="A333" s="4" t="s">
        <v>1427</v>
      </c>
      <c r="B333" s="3">
        <v>4634.0</v>
      </c>
      <c r="C333" s="3" t="s">
        <v>6</v>
      </c>
    </row>
    <row r="334">
      <c r="A334" s="4" t="s">
        <v>559</v>
      </c>
      <c r="B334" s="3">
        <v>4600.0</v>
      </c>
      <c r="C334" s="3" t="s">
        <v>6</v>
      </c>
    </row>
    <row r="335">
      <c r="A335" s="4" t="s">
        <v>586</v>
      </c>
      <c r="B335" s="3">
        <v>4550.0</v>
      </c>
      <c r="C335" s="3" t="s">
        <v>6</v>
      </c>
    </row>
    <row r="336">
      <c r="A336" s="4" t="s">
        <v>46</v>
      </c>
      <c r="B336" s="3">
        <v>4500.0</v>
      </c>
      <c r="C336" s="3" t="s">
        <v>3</v>
      </c>
    </row>
    <row r="337">
      <c r="A337" s="4" t="s">
        <v>2078</v>
      </c>
      <c r="B337" s="3">
        <v>4500.0</v>
      </c>
      <c r="C337" s="3" t="s">
        <v>3</v>
      </c>
    </row>
    <row r="338">
      <c r="A338" s="4" t="s">
        <v>1047</v>
      </c>
      <c r="B338" s="3">
        <v>4500.0</v>
      </c>
      <c r="C338" s="4"/>
    </row>
    <row r="339">
      <c r="A339" s="4" t="s">
        <v>1242</v>
      </c>
      <c r="B339" s="3">
        <v>4500.0</v>
      </c>
      <c r="C339" s="3" t="s">
        <v>3</v>
      </c>
    </row>
    <row r="340">
      <c r="A340" s="4" t="s">
        <v>1324</v>
      </c>
      <c r="B340" s="3">
        <v>4500.0</v>
      </c>
      <c r="C340" s="3" t="s">
        <v>16</v>
      </c>
    </row>
    <row r="341">
      <c r="A341" s="4" t="s">
        <v>1393</v>
      </c>
      <c r="B341" s="3">
        <v>4500.0</v>
      </c>
      <c r="C341" s="3" t="s">
        <v>6</v>
      </c>
    </row>
    <row r="342">
      <c r="A342" s="4" t="s">
        <v>1541</v>
      </c>
      <c r="B342" s="3">
        <v>4500.0</v>
      </c>
      <c r="C342" s="3" t="s">
        <v>6</v>
      </c>
    </row>
    <row r="343">
      <c r="A343" s="4" t="s">
        <v>1577</v>
      </c>
      <c r="B343" s="3">
        <v>4500.0</v>
      </c>
      <c r="C343" s="4"/>
    </row>
    <row r="344">
      <c r="A344" s="4" t="s">
        <v>316</v>
      </c>
      <c r="B344" s="3">
        <v>4420.0</v>
      </c>
      <c r="C344" s="4"/>
    </row>
    <row r="345">
      <c r="A345" s="4" t="s">
        <v>2133</v>
      </c>
      <c r="B345" s="3">
        <v>4400.0</v>
      </c>
      <c r="C345" s="4"/>
    </row>
    <row r="346">
      <c r="A346" s="4" t="s">
        <v>1783</v>
      </c>
      <c r="B346" s="3">
        <v>4400.0</v>
      </c>
      <c r="C346" s="4"/>
    </row>
    <row r="347">
      <c r="A347" s="4" t="s">
        <v>2334</v>
      </c>
      <c r="B347" s="3">
        <v>4300.0</v>
      </c>
      <c r="C347" s="3" t="s">
        <v>6</v>
      </c>
    </row>
    <row r="348">
      <c r="A348" s="4" t="s">
        <v>1146</v>
      </c>
      <c r="B348" s="3">
        <v>4250.0</v>
      </c>
      <c r="C348" s="3" t="s">
        <v>29</v>
      </c>
    </row>
    <row r="349">
      <c r="A349" s="4" t="s">
        <v>2130</v>
      </c>
      <c r="B349" s="3">
        <v>4072.0</v>
      </c>
      <c r="C349" s="3" t="s">
        <v>6</v>
      </c>
    </row>
    <row r="350">
      <c r="A350" s="4" t="s">
        <v>114</v>
      </c>
      <c r="B350" s="3">
        <v>4000.0</v>
      </c>
      <c r="C350" s="4"/>
    </row>
    <row r="351">
      <c r="A351" s="4" t="s">
        <v>173</v>
      </c>
      <c r="B351" s="3">
        <v>4000.0</v>
      </c>
      <c r="C351" s="4"/>
    </row>
    <row r="352">
      <c r="A352" s="4" t="s">
        <v>2102</v>
      </c>
      <c r="B352" s="3">
        <v>4000.0</v>
      </c>
      <c r="C352" s="3" t="s">
        <v>3</v>
      </c>
    </row>
    <row r="353">
      <c r="A353" s="4" t="s">
        <v>2109</v>
      </c>
      <c r="B353" s="3">
        <v>4000.0</v>
      </c>
      <c r="C353" s="3" t="s">
        <v>3</v>
      </c>
    </row>
    <row r="354">
      <c r="A354" s="4" t="s">
        <v>2128</v>
      </c>
      <c r="B354" s="3">
        <v>4000.0</v>
      </c>
      <c r="C354" s="4"/>
    </row>
    <row r="355">
      <c r="A355" s="4" t="s">
        <v>452</v>
      </c>
      <c r="B355" s="3">
        <v>4000.0</v>
      </c>
      <c r="C355" s="3" t="s">
        <v>3</v>
      </c>
    </row>
    <row r="356">
      <c r="A356" s="4" t="s">
        <v>547</v>
      </c>
      <c r="B356" s="3">
        <v>4000.0</v>
      </c>
      <c r="C356" s="4"/>
    </row>
    <row r="357">
      <c r="A357" s="4" t="s">
        <v>675</v>
      </c>
      <c r="B357" s="3">
        <v>4000.0</v>
      </c>
      <c r="C357" s="3" t="s">
        <v>484</v>
      </c>
    </row>
    <row r="358">
      <c r="A358" s="4" t="s">
        <v>2194</v>
      </c>
      <c r="B358" s="3">
        <v>4000.0</v>
      </c>
      <c r="C358" s="3" t="s">
        <v>580</v>
      </c>
    </row>
    <row r="359">
      <c r="A359" s="4" t="s">
        <v>990</v>
      </c>
      <c r="B359" s="3">
        <v>4000.0</v>
      </c>
      <c r="C359" s="4"/>
    </row>
    <row r="360">
      <c r="A360" s="4" t="s">
        <v>1011</v>
      </c>
      <c r="B360" s="3">
        <v>4000.0</v>
      </c>
      <c r="C360" s="4"/>
    </row>
    <row r="361">
      <c r="A361" s="4" t="s">
        <v>1035</v>
      </c>
      <c r="B361" s="3">
        <v>4000.0</v>
      </c>
      <c r="C361" s="4"/>
    </row>
    <row r="362">
      <c r="A362" s="4" t="s">
        <v>1043</v>
      </c>
      <c r="B362" s="3">
        <v>4000.0</v>
      </c>
      <c r="C362" s="4"/>
    </row>
    <row r="363">
      <c r="A363" s="4" t="s">
        <v>1069</v>
      </c>
      <c r="B363" s="3">
        <v>4000.0</v>
      </c>
      <c r="C363" s="4"/>
    </row>
    <row r="364">
      <c r="A364" s="4" t="s">
        <v>1193</v>
      </c>
      <c r="B364" s="3">
        <v>4000.0</v>
      </c>
      <c r="C364" s="4"/>
    </row>
    <row r="365">
      <c r="A365" s="4" t="s">
        <v>1287</v>
      </c>
      <c r="B365" s="3">
        <v>4000.0</v>
      </c>
      <c r="C365" s="3" t="s">
        <v>3</v>
      </c>
    </row>
    <row r="366">
      <c r="A366" s="4" t="s">
        <v>1314</v>
      </c>
      <c r="B366" s="3">
        <v>4000.0</v>
      </c>
      <c r="C366" s="4"/>
    </row>
    <row r="367">
      <c r="A367" s="4" t="s">
        <v>1436</v>
      </c>
      <c r="B367" s="3">
        <v>4000.0</v>
      </c>
      <c r="C367" s="4"/>
    </row>
    <row r="368">
      <c r="A368" s="4" t="s">
        <v>1451</v>
      </c>
      <c r="B368" s="3">
        <v>4000.0</v>
      </c>
      <c r="C368" s="3" t="s">
        <v>32</v>
      </c>
    </row>
    <row r="369">
      <c r="A369" s="4" t="s">
        <v>1547</v>
      </c>
      <c r="B369" s="3">
        <v>4000.0</v>
      </c>
      <c r="C369" s="4"/>
    </row>
    <row r="370">
      <c r="A370" s="4" t="s">
        <v>1610</v>
      </c>
      <c r="B370" s="3">
        <v>4000.0</v>
      </c>
      <c r="C370" s="4"/>
    </row>
    <row r="371">
      <c r="A371" s="4" t="s">
        <v>1611</v>
      </c>
      <c r="B371" s="3">
        <v>4000.0</v>
      </c>
      <c r="C371" s="4"/>
    </row>
    <row r="372">
      <c r="A372" s="4" t="s">
        <v>1628</v>
      </c>
      <c r="B372" s="3">
        <v>4000.0</v>
      </c>
      <c r="C372" s="4"/>
    </row>
    <row r="373">
      <c r="A373" s="4" t="s">
        <v>1658</v>
      </c>
      <c r="B373" s="3">
        <v>4000.0</v>
      </c>
      <c r="C373" s="4"/>
    </row>
    <row r="374">
      <c r="A374" s="4" t="s">
        <v>1709</v>
      </c>
      <c r="B374" s="3">
        <v>4000.0</v>
      </c>
      <c r="C374" s="4"/>
    </row>
    <row r="375">
      <c r="A375" s="4" t="s">
        <v>1808</v>
      </c>
      <c r="B375" s="3">
        <v>4000.0</v>
      </c>
      <c r="C375" s="4"/>
    </row>
    <row r="376">
      <c r="A376" s="4" t="s">
        <v>1858</v>
      </c>
      <c r="B376" s="3">
        <v>4000.0</v>
      </c>
      <c r="C376" s="4"/>
    </row>
    <row r="377">
      <c r="A377" s="4" t="s">
        <v>1969</v>
      </c>
      <c r="B377" s="3">
        <v>4000.0</v>
      </c>
      <c r="C377" s="4"/>
    </row>
    <row r="378">
      <c r="A378" s="4" t="s">
        <v>906</v>
      </c>
      <c r="B378" s="3">
        <v>3917.0</v>
      </c>
      <c r="C378" s="4"/>
    </row>
    <row r="379">
      <c r="A379" s="4" t="s">
        <v>1723</v>
      </c>
      <c r="B379" s="3">
        <v>3800.0</v>
      </c>
      <c r="C379" s="4"/>
    </row>
    <row r="380">
      <c r="A380" s="4" t="s">
        <v>652</v>
      </c>
      <c r="B380" s="3">
        <v>3700.0</v>
      </c>
      <c r="C380" s="3" t="s">
        <v>29</v>
      </c>
    </row>
    <row r="381">
      <c r="A381" s="4" t="s">
        <v>1782</v>
      </c>
      <c r="B381" s="3">
        <v>3700.0</v>
      </c>
      <c r="C381" s="3" t="s">
        <v>32</v>
      </c>
    </row>
    <row r="382">
      <c r="A382" s="4" t="s">
        <v>2093</v>
      </c>
      <c r="B382" s="3">
        <v>3500.0</v>
      </c>
      <c r="C382" s="3" t="s">
        <v>3</v>
      </c>
    </row>
    <row r="383">
      <c r="A383" s="4" t="s">
        <v>521</v>
      </c>
      <c r="B383" s="3">
        <v>3500.0</v>
      </c>
      <c r="C383" s="4"/>
    </row>
    <row r="384">
      <c r="A384" s="4" t="s">
        <v>609</v>
      </c>
      <c r="B384" s="3">
        <v>3500.0</v>
      </c>
      <c r="C384" s="3" t="s">
        <v>29</v>
      </c>
    </row>
    <row r="385">
      <c r="A385" s="4" t="s">
        <v>914</v>
      </c>
      <c r="B385" s="3">
        <v>3500.0</v>
      </c>
      <c r="C385" s="4"/>
    </row>
    <row r="386">
      <c r="A386" s="4" t="s">
        <v>1080</v>
      </c>
      <c r="B386" s="3">
        <v>3500.0</v>
      </c>
      <c r="C386" s="3" t="s">
        <v>32</v>
      </c>
    </row>
    <row r="387">
      <c r="A387" s="4" t="s">
        <v>1342</v>
      </c>
      <c r="B387" s="3">
        <v>3500.0</v>
      </c>
      <c r="C387" s="4"/>
    </row>
    <row r="388">
      <c r="A388" s="4" t="s">
        <v>1795</v>
      </c>
      <c r="B388" s="3">
        <v>3500.0</v>
      </c>
      <c r="C388" s="4"/>
    </row>
    <row r="389">
      <c r="A389" s="4" t="s">
        <v>1966</v>
      </c>
      <c r="B389" s="3">
        <v>3500.0</v>
      </c>
      <c r="C389" s="4"/>
    </row>
    <row r="390">
      <c r="A390" s="4" t="s">
        <v>1973</v>
      </c>
      <c r="B390" s="3">
        <v>3500.0</v>
      </c>
      <c r="C390" s="3" t="s">
        <v>484</v>
      </c>
    </row>
    <row r="391">
      <c r="A391" s="4" t="s">
        <v>2014</v>
      </c>
      <c r="B391" s="3">
        <v>3400.0</v>
      </c>
      <c r="C391" s="4"/>
    </row>
    <row r="392">
      <c r="A392" s="4" t="s">
        <v>1285</v>
      </c>
      <c r="B392" s="3">
        <v>3300.0</v>
      </c>
      <c r="C392" s="4"/>
    </row>
    <row r="393">
      <c r="A393" s="4" t="s">
        <v>213</v>
      </c>
      <c r="B393" s="3">
        <v>3220.0</v>
      </c>
      <c r="C393" s="4"/>
    </row>
    <row r="394">
      <c r="A394" s="4" t="s">
        <v>375</v>
      </c>
      <c r="B394" s="3">
        <v>3200.0</v>
      </c>
      <c r="C394" s="3" t="s">
        <v>6</v>
      </c>
    </row>
    <row r="395">
      <c r="A395" s="4" t="s">
        <v>676</v>
      </c>
      <c r="B395" s="3">
        <v>3200.0</v>
      </c>
      <c r="C395" s="3" t="s">
        <v>3</v>
      </c>
    </row>
    <row r="396">
      <c r="A396" s="4" t="s">
        <v>1338</v>
      </c>
      <c r="B396" s="3">
        <v>3200.0</v>
      </c>
      <c r="C396" s="3" t="s">
        <v>3</v>
      </c>
    </row>
    <row r="397">
      <c r="A397" s="4" t="s">
        <v>136</v>
      </c>
      <c r="B397" s="3">
        <v>3109.0</v>
      </c>
      <c r="C397" s="4"/>
    </row>
    <row r="398">
      <c r="A398" s="4" t="s">
        <v>2115</v>
      </c>
      <c r="B398" s="3">
        <v>3030.0</v>
      </c>
      <c r="C398" s="4"/>
    </row>
    <row r="399">
      <c r="A399" s="4" t="s">
        <v>21</v>
      </c>
      <c r="B399" s="3">
        <v>3000.0</v>
      </c>
      <c r="C399" s="4"/>
    </row>
    <row r="400">
      <c r="A400" s="4" t="s">
        <v>157</v>
      </c>
      <c r="B400" s="3">
        <v>3000.0</v>
      </c>
      <c r="C400" s="4"/>
    </row>
    <row r="401">
      <c r="A401" s="4" t="s">
        <v>2125</v>
      </c>
      <c r="B401" s="3">
        <v>3000.0</v>
      </c>
      <c r="C401" s="3" t="s">
        <v>6</v>
      </c>
    </row>
    <row r="402">
      <c r="A402" s="4" t="s">
        <v>444</v>
      </c>
      <c r="B402" s="3">
        <v>3000.0</v>
      </c>
      <c r="C402" s="4"/>
    </row>
    <row r="403">
      <c r="A403" s="4" t="s">
        <v>2157</v>
      </c>
      <c r="B403" s="3">
        <v>3000.0</v>
      </c>
      <c r="C403" s="4"/>
    </row>
    <row r="404">
      <c r="A404" s="4" t="s">
        <v>466</v>
      </c>
      <c r="B404" s="3">
        <v>3000.0</v>
      </c>
      <c r="C404" s="3" t="s">
        <v>3</v>
      </c>
    </row>
    <row r="405">
      <c r="A405" s="4" t="s">
        <v>480</v>
      </c>
      <c r="B405" s="3">
        <v>3000.0</v>
      </c>
      <c r="C405" s="4"/>
    </row>
    <row r="406">
      <c r="A406" s="4" t="s">
        <v>526</v>
      </c>
      <c r="B406" s="3">
        <v>3000.0</v>
      </c>
      <c r="C406" s="4"/>
    </row>
    <row r="407">
      <c r="A407" s="4" t="s">
        <v>605</v>
      </c>
      <c r="B407" s="3">
        <v>3000.0</v>
      </c>
      <c r="C407" s="3" t="s">
        <v>29</v>
      </c>
    </row>
    <row r="408">
      <c r="A408" s="4" t="s">
        <v>606</v>
      </c>
      <c r="B408" s="3">
        <v>3000.0</v>
      </c>
      <c r="C408" s="3" t="s">
        <v>484</v>
      </c>
    </row>
    <row r="409">
      <c r="A409" s="4" t="s">
        <v>643</v>
      </c>
      <c r="B409" s="3">
        <v>3000.0</v>
      </c>
      <c r="C409" s="3" t="s">
        <v>29</v>
      </c>
    </row>
    <row r="410">
      <c r="A410" s="4" t="s">
        <v>716</v>
      </c>
      <c r="B410" s="3">
        <v>3000.0</v>
      </c>
      <c r="C410" s="3" t="s">
        <v>32</v>
      </c>
    </row>
    <row r="411">
      <c r="A411" s="4" t="s">
        <v>785</v>
      </c>
      <c r="B411" s="3">
        <v>3000.0</v>
      </c>
      <c r="C411" s="4"/>
    </row>
    <row r="412">
      <c r="A412" s="4" t="s">
        <v>788</v>
      </c>
      <c r="B412" s="3">
        <v>3000.0</v>
      </c>
      <c r="C412" s="3" t="s">
        <v>3</v>
      </c>
    </row>
    <row r="413">
      <c r="A413" s="4" t="s">
        <v>797</v>
      </c>
      <c r="B413" s="3">
        <v>3000.0</v>
      </c>
      <c r="C413" s="3" t="s">
        <v>32</v>
      </c>
    </row>
    <row r="414">
      <c r="A414" s="4" t="s">
        <v>913</v>
      </c>
      <c r="B414" s="3">
        <v>3000.0</v>
      </c>
      <c r="C414" s="4"/>
    </row>
    <row r="415">
      <c r="A415" s="4" t="s">
        <v>923</v>
      </c>
      <c r="B415" s="3">
        <v>3000.0</v>
      </c>
      <c r="C415" s="4"/>
    </row>
    <row r="416">
      <c r="A416" s="4" t="s">
        <v>933</v>
      </c>
      <c r="B416" s="3">
        <v>3000.0</v>
      </c>
      <c r="C416" s="4"/>
    </row>
    <row r="417">
      <c r="A417" s="4" t="s">
        <v>986</v>
      </c>
      <c r="B417" s="3">
        <v>3000.0</v>
      </c>
      <c r="C417" s="4"/>
    </row>
    <row r="418">
      <c r="A418" s="4" t="s">
        <v>1007</v>
      </c>
      <c r="B418" s="3">
        <v>3000.0</v>
      </c>
      <c r="C418" s="4"/>
    </row>
    <row r="419">
      <c r="A419" s="4" t="s">
        <v>1060</v>
      </c>
      <c r="B419" s="3">
        <v>3000.0</v>
      </c>
      <c r="C419" s="4"/>
    </row>
    <row r="420">
      <c r="A420" s="4" t="s">
        <v>1088</v>
      </c>
      <c r="B420" s="3">
        <v>3000.0</v>
      </c>
      <c r="C420" s="3" t="s">
        <v>3</v>
      </c>
    </row>
    <row r="421">
      <c r="A421" s="4" t="s">
        <v>1135</v>
      </c>
      <c r="B421" s="3">
        <v>3000.0</v>
      </c>
      <c r="C421" s="3" t="s">
        <v>6</v>
      </c>
    </row>
    <row r="422">
      <c r="A422" s="4" t="s">
        <v>1165</v>
      </c>
      <c r="B422" s="3">
        <v>3000.0</v>
      </c>
      <c r="C422" s="3" t="s">
        <v>3</v>
      </c>
    </row>
    <row r="423">
      <c r="A423" s="4" t="s">
        <v>1223</v>
      </c>
      <c r="B423" s="3">
        <v>3000.0</v>
      </c>
      <c r="C423" s="3" t="s">
        <v>3</v>
      </c>
    </row>
    <row r="424">
      <c r="A424" s="4" t="s">
        <v>1244</v>
      </c>
      <c r="B424" s="3">
        <v>3000.0</v>
      </c>
      <c r="C424" s="4"/>
    </row>
    <row r="425">
      <c r="A425" s="4" t="s">
        <v>1247</v>
      </c>
      <c r="B425" s="3">
        <v>3000.0</v>
      </c>
      <c r="C425" s="4"/>
    </row>
    <row r="426">
      <c r="A426" s="4" t="s">
        <v>1281</v>
      </c>
      <c r="B426" s="3">
        <v>3000.0</v>
      </c>
      <c r="C426" s="3" t="s">
        <v>3</v>
      </c>
    </row>
    <row r="427">
      <c r="A427" s="4" t="s">
        <v>1290</v>
      </c>
      <c r="B427" s="3">
        <v>3000.0</v>
      </c>
      <c r="C427" s="3" t="s">
        <v>3</v>
      </c>
    </row>
    <row r="428">
      <c r="A428" s="4" t="s">
        <v>1308</v>
      </c>
      <c r="B428" s="3">
        <v>3000.0</v>
      </c>
      <c r="C428" s="4"/>
    </row>
    <row r="429">
      <c r="A429" s="4" t="s">
        <v>1326</v>
      </c>
      <c r="B429" s="3">
        <v>3000.0</v>
      </c>
      <c r="C429" s="4"/>
    </row>
    <row r="430">
      <c r="A430" s="4" t="s">
        <v>1337</v>
      </c>
      <c r="B430" s="3">
        <v>3000.0</v>
      </c>
      <c r="C430" s="4"/>
    </row>
    <row r="431">
      <c r="A431" s="4" t="s">
        <v>1368</v>
      </c>
      <c r="B431" s="3">
        <v>3000.0</v>
      </c>
      <c r="C431" s="4"/>
    </row>
    <row r="432">
      <c r="A432" s="4" t="s">
        <v>1381</v>
      </c>
      <c r="B432" s="3">
        <v>3000.0</v>
      </c>
      <c r="C432" s="3" t="s">
        <v>1379</v>
      </c>
    </row>
    <row r="433">
      <c r="A433" s="4" t="s">
        <v>1383</v>
      </c>
      <c r="B433" s="3">
        <v>3000.0</v>
      </c>
      <c r="C433" s="4"/>
    </row>
    <row r="434">
      <c r="A434" s="4" t="s">
        <v>1480</v>
      </c>
      <c r="B434" s="3">
        <v>3000.0</v>
      </c>
      <c r="C434" s="4"/>
    </row>
    <row r="435">
      <c r="A435" s="4" t="s">
        <v>1510</v>
      </c>
      <c r="B435" s="3">
        <v>3000.0</v>
      </c>
      <c r="C435" s="3" t="s">
        <v>3</v>
      </c>
    </row>
    <row r="436">
      <c r="A436" s="4" t="s">
        <v>1523</v>
      </c>
      <c r="B436" s="3">
        <v>3000.0</v>
      </c>
      <c r="C436" s="3" t="s">
        <v>32</v>
      </c>
    </row>
    <row r="437">
      <c r="A437" s="4" t="s">
        <v>1589</v>
      </c>
      <c r="B437" s="3">
        <v>3000.0</v>
      </c>
      <c r="C437" s="3" t="s">
        <v>32</v>
      </c>
    </row>
    <row r="438">
      <c r="A438" s="4" t="s">
        <v>1710</v>
      </c>
      <c r="B438" s="3">
        <v>3000.0</v>
      </c>
      <c r="C438" s="3" t="s">
        <v>6</v>
      </c>
    </row>
    <row r="439">
      <c r="A439" s="4" t="s">
        <v>1781</v>
      </c>
      <c r="B439" s="3">
        <v>3000.0</v>
      </c>
      <c r="C439" s="4"/>
    </row>
    <row r="440">
      <c r="A440" s="4" t="s">
        <v>1874</v>
      </c>
      <c r="B440" s="3">
        <v>3000.0</v>
      </c>
      <c r="C440" s="3" t="s">
        <v>29</v>
      </c>
    </row>
    <row r="441">
      <c r="A441" s="4" t="s">
        <v>1895</v>
      </c>
      <c r="B441" s="3">
        <v>3000.0</v>
      </c>
      <c r="C441" s="3" t="s">
        <v>1651</v>
      </c>
    </row>
    <row r="442">
      <c r="A442" s="4" t="s">
        <v>2011</v>
      </c>
      <c r="B442" s="3">
        <v>3000.0</v>
      </c>
      <c r="C442" s="3" t="s">
        <v>3</v>
      </c>
    </row>
    <row r="443">
      <c r="A443" s="4" t="s">
        <v>397</v>
      </c>
      <c r="B443" s="3">
        <v>2800.0</v>
      </c>
      <c r="C443" s="4"/>
    </row>
    <row r="444">
      <c r="A444" s="4" t="s">
        <v>1177</v>
      </c>
      <c r="B444" s="3">
        <v>2800.0</v>
      </c>
      <c r="C444" s="3" t="s">
        <v>3</v>
      </c>
    </row>
    <row r="445">
      <c r="A445" s="4" t="s">
        <v>1504</v>
      </c>
      <c r="B445" s="3">
        <v>2800.0</v>
      </c>
      <c r="C445" s="3" t="s">
        <v>3</v>
      </c>
    </row>
    <row r="446">
      <c r="A446" s="4" t="s">
        <v>166</v>
      </c>
      <c r="B446" s="3">
        <v>2700.0</v>
      </c>
      <c r="C446" s="4"/>
    </row>
    <row r="447">
      <c r="A447" s="4" t="s">
        <v>343</v>
      </c>
      <c r="B447" s="3">
        <v>2670.0</v>
      </c>
      <c r="C447" s="4"/>
    </row>
    <row r="448">
      <c r="A448" s="4" t="s">
        <v>904</v>
      </c>
      <c r="B448" s="3">
        <v>2635.0</v>
      </c>
      <c r="C448" s="4"/>
    </row>
    <row r="449">
      <c r="A449" s="4" t="s">
        <v>124</v>
      </c>
      <c r="B449" s="3">
        <v>2500.0</v>
      </c>
      <c r="C449" s="3" t="s">
        <v>26</v>
      </c>
    </row>
    <row r="450">
      <c r="A450" s="4" t="s">
        <v>168</v>
      </c>
      <c r="B450" s="3">
        <v>2500.0</v>
      </c>
      <c r="C450" s="4"/>
    </row>
    <row r="451">
      <c r="A451" s="4" t="s">
        <v>2153</v>
      </c>
      <c r="B451" s="3">
        <v>2500.0</v>
      </c>
      <c r="C451" s="4"/>
    </row>
    <row r="452">
      <c r="A452" s="4" t="s">
        <v>473</v>
      </c>
      <c r="B452" s="3">
        <v>2500.0</v>
      </c>
      <c r="C452" s="3" t="s">
        <v>3</v>
      </c>
    </row>
    <row r="453">
      <c r="A453" s="4" t="s">
        <v>2165</v>
      </c>
      <c r="B453" s="3">
        <v>2500.0</v>
      </c>
      <c r="C453" s="4"/>
    </row>
    <row r="454">
      <c r="A454" s="4" t="s">
        <v>611</v>
      </c>
      <c r="B454" s="3">
        <v>2500.0</v>
      </c>
      <c r="C454" s="4"/>
    </row>
    <row r="455">
      <c r="A455" s="4" t="s">
        <v>630</v>
      </c>
      <c r="B455" s="3">
        <v>2500.0</v>
      </c>
      <c r="C455" s="4"/>
    </row>
    <row r="456">
      <c r="A456" s="4" t="s">
        <v>636</v>
      </c>
      <c r="B456" s="3">
        <v>2500.0</v>
      </c>
      <c r="C456" s="3" t="s">
        <v>6</v>
      </c>
    </row>
    <row r="457">
      <c r="A457" s="4" t="s">
        <v>761</v>
      </c>
      <c r="B457" s="3">
        <v>2500.0</v>
      </c>
      <c r="C457" s="4"/>
    </row>
    <row r="458">
      <c r="A458" s="4" t="s">
        <v>842</v>
      </c>
      <c r="B458" s="3">
        <v>2500.0</v>
      </c>
      <c r="C458" s="4"/>
    </row>
    <row r="459">
      <c r="A459" s="4" t="s">
        <v>2265</v>
      </c>
      <c r="B459" s="3">
        <v>2500.0</v>
      </c>
      <c r="C459" s="3" t="s">
        <v>3</v>
      </c>
    </row>
    <row r="460">
      <c r="A460" s="4" t="s">
        <v>1252</v>
      </c>
      <c r="B460" s="3">
        <v>2500.0</v>
      </c>
      <c r="C460" s="4"/>
    </row>
    <row r="461">
      <c r="A461" s="4" t="s">
        <v>1354</v>
      </c>
      <c r="B461" s="3">
        <v>2500.0</v>
      </c>
      <c r="C461" s="3" t="s">
        <v>3</v>
      </c>
    </row>
    <row r="462">
      <c r="A462" s="4" t="s">
        <v>1386</v>
      </c>
      <c r="B462" s="3">
        <v>2500.0</v>
      </c>
      <c r="C462" s="3" t="s">
        <v>32</v>
      </c>
    </row>
    <row r="463">
      <c r="A463" s="4" t="s">
        <v>1450</v>
      </c>
      <c r="B463" s="3">
        <v>2500.0</v>
      </c>
      <c r="C463" s="3" t="s">
        <v>3</v>
      </c>
    </row>
    <row r="464">
      <c r="A464" s="4" t="s">
        <v>1590</v>
      </c>
      <c r="B464" s="3">
        <v>2500.0</v>
      </c>
      <c r="C464" s="4"/>
    </row>
    <row r="465">
      <c r="A465" s="4" t="s">
        <v>1603</v>
      </c>
      <c r="B465" s="3">
        <v>2500.0</v>
      </c>
      <c r="C465" s="3" t="s">
        <v>3</v>
      </c>
    </row>
    <row r="466">
      <c r="A466" s="4" t="s">
        <v>1667</v>
      </c>
      <c r="B466" s="3">
        <v>2500.0</v>
      </c>
      <c r="C466" s="4"/>
    </row>
    <row r="467">
      <c r="A467" s="4" t="s">
        <v>1672</v>
      </c>
      <c r="B467" s="3">
        <v>2500.0</v>
      </c>
      <c r="C467" s="4"/>
    </row>
    <row r="468">
      <c r="A468" s="4" t="s">
        <v>1701</v>
      </c>
      <c r="B468" s="3">
        <v>2500.0</v>
      </c>
      <c r="C468" s="3" t="s">
        <v>3</v>
      </c>
    </row>
    <row r="469">
      <c r="A469" s="4" t="s">
        <v>2303</v>
      </c>
      <c r="B469" s="3">
        <v>2500.0</v>
      </c>
      <c r="C469" s="3" t="s">
        <v>3</v>
      </c>
    </row>
    <row r="470">
      <c r="A470" s="4" t="s">
        <v>1842</v>
      </c>
      <c r="B470" s="3">
        <v>2500.0</v>
      </c>
      <c r="C470" s="3" t="s">
        <v>3</v>
      </c>
    </row>
    <row r="471">
      <c r="A471" s="4" t="s">
        <v>2314</v>
      </c>
      <c r="B471" s="3">
        <v>2500.0</v>
      </c>
      <c r="C471" s="4"/>
    </row>
    <row r="472">
      <c r="A472" s="4" t="s">
        <v>1980</v>
      </c>
      <c r="B472" s="3">
        <v>2450.0</v>
      </c>
      <c r="C472" s="4"/>
    </row>
    <row r="473">
      <c r="A473" s="4" t="s">
        <v>55</v>
      </c>
      <c r="B473" s="3">
        <v>2400.0</v>
      </c>
      <c r="C473" s="4"/>
    </row>
    <row r="474">
      <c r="A474" s="4" t="s">
        <v>843</v>
      </c>
      <c r="B474" s="3">
        <v>2300.0</v>
      </c>
      <c r="C474" s="3" t="s">
        <v>32</v>
      </c>
    </row>
    <row r="475">
      <c r="A475" s="4" t="s">
        <v>1470</v>
      </c>
      <c r="B475" s="3">
        <v>2250.0</v>
      </c>
      <c r="C475" s="4"/>
    </row>
    <row r="476">
      <c r="A476" s="4" t="s">
        <v>1092</v>
      </c>
      <c r="B476" s="3">
        <v>2200.0</v>
      </c>
      <c r="C476" s="4"/>
    </row>
    <row r="477">
      <c r="A477" s="4" t="s">
        <v>1897</v>
      </c>
      <c r="B477" s="3">
        <v>2200.0</v>
      </c>
      <c r="C477" s="3" t="s">
        <v>3</v>
      </c>
    </row>
    <row r="478">
      <c r="A478" s="4" t="s">
        <v>320</v>
      </c>
      <c r="B478" s="3">
        <v>2150.0</v>
      </c>
      <c r="C478" s="3" t="s">
        <v>6</v>
      </c>
    </row>
    <row r="479">
      <c r="A479" s="4" t="s">
        <v>941</v>
      </c>
      <c r="B479" s="3">
        <v>2100.0</v>
      </c>
      <c r="C479" s="4"/>
    </row>
    <row r="480">
      <c r="A480" s="4" t="s">
        <v>1012</v>
      </c>
      <c r="B480" s="3">
        <v>2100.0</v>
      </c>
      <c r="C480" s="3" t="s">
        <v>3</v>
      </c>
    </row>
    <row r="481">
      <c r="A481" s="4" t="s">
        <v>2306</v>
      </c>
      <c r="B481" s="3">
        <v>2100.0</v>
      </c>
      <c r="C481" s="4"/>
    </row>
    <row r="482">
      <c r="A482" s="4" t="s">
        <v>260</v>
      </c>
      <c r="B482" s="3">
        <v>2064.0</v>
      </c>
      <c r="C482" s="3" t="s">
        <v>32</v>
      </c>
    </row>
    <row r="483">
      <c r="A483" s="4" t="s">
        <v>318</v>
      </c>
      <c r="B483" s="3">
        <v>2055.0</v>
      </c>
      <c r="C483" s="4"/>
    </row>
    <row r="484">
      <c r="A484" s="4" t="s">
        <v>19</v>
      </c>
      <c r="B484" s="3">
        <v>2000.0</v>
      </c>
      <c r="C484" s="4"/>
    </row>
    <row r="485">
      <c r="A485" s="4" t="s">
        <v>77</v>
      </c>
      <c r="B485" s="3">
        <v>2000.0</v>
      </c>
      <c r="C485" s="4"/>
    </row>
    <row r="486">
      <c r="A486" s="4" t="s">
        <v>81</v>
      </c>
      <c r="B486" s="3">
        <v>2000.0</v>
      </c>
      <c r="C486" s="3" t="s">
        <v>29</v>
      </c>
    </row>
    <row r="487">
      <c r="A487" s="4" t="s">
        <v>133</v>
      </c>
      <c r="B487" s="3">
        <v>2000.0</v>
      </c>
      <c r="C487" s="3" t="s">
        <v>3</v>
      </c>
    </row>
    <row r="488">
      <c r="A488" s="4" t="s">
        <v>226</v>
      </c>
      <c r="B488" s="3">
        <v>2000.0</v>
      </c>
      <c r="C488" s="3" t="s">
        <v>3</v>
      </c>
    </row>
    <row r="489">
      <c r="A489" s="4" t="s">
        <v>410</v>
      </c>
      <c r="B489" s="3">
        <v>2000.0</v>
      </c>
      <c r="C489" s="4"/>
    </row>
    <row r="490">
      <c r="A490" s="4" t="s">
        <v>457</v>
      </c>
      <c r="B490" s="3">
        <v>2000.0</v>
      </c>
      <c r="C490" s="3" t="s">
        <v>3</v>
      </c>
    </row>
    <row r="491">
      <c r="A491" s="4" t="s">
        <v>601</v>
      </c>
      <c r="B491" s="3">
        <v>2000.0</v>
      </c>
      <c r="C491" s="4"/>
    </row>
    <row r="492">
      <c r="A492" s="4" t="s">
        <v>704</v>
      </c>
      <c r="B492" s="3">
        <v>2000.0</v>
      </c>
      <c r="C492" s="4"/>
    </row>
    <row r="493">
      <c r="A493" s="4" t="s">
        <v>720</v>
      </c>
      <c r="B493" s="3">
        <v>2000.0</v>
      </c>
      <c r="C493" s="4"/>
    </row>
    <row r="494">
      <c r="A494" s="4" t="s">
        <v>780</v>
      </c>
      <c r="B494" s="3">
        <v>2000.0</v>
      </c>
      <c r="C494" s="4"/>
    </row>
    <row r="495">
      <c r="A495" s="4" t="s">
        <v>847</v>
      </c>
      <c r="B495" s="3">
        <v>2000.0</v>
      </c>
      <c r="C495" s="4"/>
    </row>
    <row r="496">
      <c r="A496" s="4" t="s">
        <v>2216</v>
      </c>
      <c r="B496" s="3">
        <v>2000.0</v>
      </c>
      <c r="C496" s="3" t="s">
        <v>3</v>
      </c>
    </row>
    <row r="497">
      <c r="A497" s="4" t="s">
        <v>925</v>
      </c>
      <c r="B497" s="3">
        <v>2000.0</v>
      </c>
      <c r="C497" s="4"/>
    </row>
    <row r="498">
      <c r="A498" s="4" t="s">
        <v>962</v>
      </c>
      <c r="B498" s="3">
        <v>2000.0</v>
      </c>
      <c r="C498" s="3" t="s">
        <v>6</v>
      </c>
    </row>
    <row r="499">
      <c r="A499" s="4" t="s">
        <v>2240</v>
      </c>
      <c r="B499" s="3">
        <v>2000.0</v>
      </c>
      <c r="C499" s="3" t="s">
        <v>3</v>
      </c>
    </row>
    <row r="500">
      <c r="A500" s="4" t="s">
        <v>2253</v>
      </c>
      <c r="B500" s="3">
        <v>2000.0</v>
      </c>
      <c r="C500" s="4"/>
    </row>
    <row r="501">
      <c r="A501" s="4" t="s">
        <v>1131</v>
      </c>
      <c r="B501" s="3">
        <v>2000.0</v>
      </c>
      <c r="C501" s="3" t="s">
        <v>6</v>
      </c>
    </row>
    <row r="502">
      <c r="A502" s="4" t="s">
        <v>1144</v>
      </c>
      <c r="B502" s="3">
        <v>2000.0</v>
      </c>
      <c r="C502" s="4"/>
    </row>
    <row r="503">
      <c r="A503" s="4" t="s">
        <v>1300</v>
      </c>
      <c r="B503" s="3">
        <v>2000.0</v>
      </c>
      <c r="C503" s="3" t="s">
        <v>6</v>
      </c>
    </row>
    <row r="504">
      <c r="A504" s="4" t="s">
        <v>1305</v>
      </c>
      <c r="B504" s="3">
        <v>2000.0</v>
      </c>
      <c r="C504" s="3" t="s">
        <v>3</v>
      </c>
    </row>
    <row r="505">
      <c r="A505" s="4" t="s">
        <v>1318</v>
      </c>
      <c r="B505" s="3">
        <v>2000.0</v>
      </c>
      <c r="C505" s="4"/>
    </row>
    <row r="506">
      <c r="A506" s="4" t="s">
        <v>1341</v>
      </c>
      <c r="B506" s="3">
        <v>2000.0</v>
      </c>
      <c r="C506" s="3" t="s">
        <v>6</v>
      </c>
    </row>
    <row r="507">
      <c r="A507" s="4" t="s">
        <v>1361</v>
      </c>
      <c r="B507" s="3">
        <v>2000.0</v>
      </c>
      <c r="C507" s="4"/>
    </row>
    <row r="508">
      <c r="A508" s="4" t="s">
        <v>1370</v>
      </c>
      <c r="B508" s="3">
        <v>2000.0</v>
      </c>
      <c r="C508" s="3" t="s">
        <v>32</v>
      </c>
    </row>
    <row r="509">
      <c r="A509" s="4" t="s">
        <v>1375</v>
      </c>
      <c r="B509" s="3">
        <v>2000.0</v>
      </c>
      <c r="C509" s="3" t="s">
        <v>32</v>
      </c>
    </row>
    <row r="510">
      <c r="A510" s="4" t="s">
        <v>1387</v>
      </c>
      <c r="B510" s="3">
        <v>2000.0</v>
      </c>
      <c r="C510" s="4"/>
    </row>
    <row r="511">
      <c r="A511" s="4" t="s">
        <v>1592</v>
      </c>
      <c r="B511" s="3">
        <v>2000.0</v>
      </c>
      <c r="C511" s="4"/>
    </row>
    <row r="512">
      <c r="A512" s="4" t="s">
        <v>2286</v>
      </c>
      <c r="B512" s="3">
        <v>2000.0</v>
      </c>
      <c r="C512" s="3" t="s">
        <v>3</v>
      </c>
    </row>
    <row r="513">
      <c r="A513" s="4" t="s">
        <v>1642</v>
      </c>
      <c r="B513" s="3">
        <v>2000.0</v>
      </c>
      <c r="C513" s="4"/>
    </row>
    <row r="514">
      <c r="A514" s="4" t="s">
        <v>1688</v>
      </c>
      <c r="B514" s="3">
        <v>2000.0</v>
      </c>
      <c r="C514" s="3" t="s">
        <v>3</v>
      </c>
    </row>
    <row r="515">
      <c r="A515" s="4" t="s">
        <v>1758</v>
      </c>
      <c r="B515" s="3">
        <v>2000.0</v>
      </c>
      <c r="C515" s="4"/>
    </row>
    <row r="516">
      <c r="A516" s="4" t="s">
        <v>2295</v>
      </c>
      <c r="B516" s="3">
        <v>2000.0</v>
      </c>
      <c r="C516" s="3" t="s">
        <v>3</v>
      </c>
    </row>
    <row r="517">
      <c r="A517" s="4" t="s">
        <v>1791</v>
      </c>
      <c r="B517" s="3">
        <v>2000.0</v>
      </c>
      <c r="C517" s="3" t="s">
        <v>29</v>
      </c>
    </row>
    <row r="518">
      <c r="A518" s="4" t="s">
        <v>2296</v>
      </c>
      <c r="B518" s="3">
        <v>2000.0</v>
      </c>
      <c r="C518" s="4"/>
    </row>
    <row r="519">
      <c r="A519" s="4" t="s">
        <v>1810</v>
      </c>
      <c r="B519" s="3">
        <v>2000.0</v>
      </c>
      <c r="C519" s="3" t="s">
        <v>3</v>
      </c>
    </row>
    <row r="520">
      <c r="A520" s="4" t="s">
        <v>1832</v>
      </c>
      <c r="B520" s="3">
        <v>2000.0</v>
      </c>
      <c r="C520" s="4"/>
    </row>
    <row r="521">
      <c r="A521" s="4" t="s">
        <v>1860</v>
      </c>
      <c r="B521" s="3">
        <v>2000.0</v>
      </c>
      <c r="C521" s="4"/>
    </row>
    <row r="522">
      <c r="A522" s="4" t="s">
        <v>1862</v>
      </c>
      <c r="B522" s="3">
        <v>2000.0</v>
      </c>
      <c r="C522" s="3" t="s">
        <v>32</v>
      </c>
    </row>
    <row r="523">
      <c r="A523" s="4" t="s">
        <v>1886</v>
      </c>
      <c r="B523" s="3">
        <v>2000.0</v>
      </c>
      <c r="C523" s="4"/>
    </row>
    <row r="524">
      <c r="A524" s="4" t="s">
        <v>1943</v>
      </c>
      <c r="B524" s="3">
        <v>2000.0</v>
      </c>
      <c r="C524" s="4"/>
    </row>
    <row r="525">
      <c r="A525" s="4" t="s">
        <v>12</v>
      </c>
      <c r="B525" s="3">
        <v>1800.0</v>
      </c>
      <c r="C525" s="4"/>
    </row>
    <row r="526">
      <c r="A526" s="4" t="s">
        <v>1178</v>
      </c>
      <c r="B526" s="3">
        <v>1800.0</v>
      </c>
      <c r="C526" s="4"/>
    </row>
    <row r="527">
      <c r="A527" s="4" t="s">
        <v>1449</v>
      </c>
      <c r="B527" s="3">
        <v>1800.0</v>
      </c>
      <c r="C527" s="3" t="s">
        <v>6</v>
      </c>
    </row>
    <row r="528">
      <c r="A528" s="4" t="s">
        <v>1554</v>
      </c>
      <c r="B528" s="3">
        <v>1800.0</v>
      </c>
      <c r="C528" s="4"/>
    </row>
    <row r="529">
      <c r="A529" s="4" t="s">
        <v>1679</v>
      </c>
      <c r="B529" s="3">
        <v>1800.0</v>
      </c>
      <c r="C529" s="4"/>
    </row>
    <row r="530">
      <c r="A530" s="4" t="s">
        <v>2230</v>
      </c>
      <c r="B530" s="3">
        <v>1728.0</v>
      </c>
      <c r="C530" s="4"/>
    </row>
    <row r="531">
      <c r="A531" s="4" t="s">
        <v>2186</v>
      </c>
      <c r="B531" s="3">
        <v>1700.0</v>
      </c>
      <c r="C531" s="3" t="s">
        <v>580</v>
      </c>
    </row>
    <row r="532">
      <c r="A532" s="4" t="s">
        <v>813</v>
      </c>
      <c r="B532" s="3">
        <v>1700.0</v>
      </c>
      <c r="C532" s="4"/>
    </row>
    <row r="533">
      <c r="A533" s="4" t="s">
        <v>1306</v>
      </c>
      <c r="B533" s="3">
        <v>1700.0</v>
      </c>
      <c r="C533" s="4"/>
    </row>
    <row r="534">
      <c r="A534" s="4" t="s">
        <v>1575</v>
      </c>
      <c r="B534" s="3">
        <v>1700.0</v>
      </c>
      <c r="C534" s="4"/>
    </row>
    <row r="535">
      <c r="A535" s="4" t="s">
        <v>1683</v>
      </c>
      <c r="B535" s="3">
        <v>1650.0</v>
      </c>
      <c r="C535" s="4"/>
    </row>
    <row r="536">
      <c r="A536" s="4" t="s">
        <v>869</v>
      </c>
      <c r="B536" s="3">
        <v>1600.0</v>
      </c>
      <c r="C536" s="4"/>
    </row>
    <row r="537">
      <c r="A537" s="4" t="s">
        <v>889</v>
      </c>
      <c r="B537" s="3">
        <v>1600.0</v>
      </c>
      <c r="C537" s="4"/>
    </row>
    <row r="538">
      <c r="A538" s="4" t="s">
        <v>1260</v>
      </c>
      <c r="B538" s="3">
        <v>1550.0</v>
      </c>
      <c r="C538" s="4"/>
    </row>
    <row r="539">
      <c r="A539" s="4" t="s">
        <v>1020</v>
      </c>
      <c r="B539" s="3">
        <v>1534.0</v>
      </c>
      <c r="C539" s="4"/>
    </row>
    <row r="540">
      <c r="A540" s="4" t="s">
        <v>64</v>
      </c>
      <c r="B540" s="3">
        <v>1500.0</v>
      </c>
      <c r="C540" s="4"/>
    </row>
    <row r="541">
      <c r="A541" s="4" t="s">
        <v>67</v>
      </c>
      <c r="B541" s="3">
        <v>1500.0</v>
      </c>
      <c r="C541" s="4"/>
    </row>
    <row r="542">
      <c r="A542" s="4" t="s">
        <v>152</v>
      </c>
      <c r="B542" s="3">
        <v>1500.0</v>
      </c>
      <c r="C542" s="4"/>
    </row>
    <row r="543">
      <c r="A543" s="4" t="s">
        <v>2122</v>
      </c>
      <c r="B543" s="3">
        <v>1500.0</v>
      </c>
      <c r="C543" s="4"/>
    </row>
    <row r="544">
      <c r="A544" s="4" t="s">
        <v>342</v>
      </c>
      <c r="B544" s="3">
        <v>1500.0</v>
      </c>
      <c r="C544" s="3" t="s">
        <v>6</v>
      </c>
    </row>
    <row r="545">
      <c r="A545" s="4" t="s">
        <v>2162</v>
      </c>
      <c r="B545" s="3">
        <v>1500.0</v>
      </c>
      <c r="C545" s="3" t="s">
        <v>484</v>
      </c>
    </row>
    <row r="546">
      <c r="A546" s="4" t="s">
        <v>520</v>
      </c>
      <c r="B546" s="3">
        <v>1500.0</v>
      </c>
      <c r="C546" s="3" t="s">
        <v>6</v>
      </c>
    </row>
    <row r="547">
      <c r="A547" s="4" t="s">
        <v>557</v>
      </c>
      <c r="B547" s="3">
        <v>1500.0</v>
      </c>
      <c r="C547" s="3" t="s">
        <v>29</v>
      </c>
    </row>
    <row r="548">
      <c r="A548" s="4" t="s">
        <v>614</v>
      </c>
      <c r="B548" s="3">
        <v>1500.0</v>
      </c>
      <c r="C548" s="4"/>
    </row>
    <row r="549">
      <c r="A549" s="4" t="s">
        <v>621</v>
      </c>
      <c r="B549" s="3">
        <v>1500.0</v>
      </c>
      <c r="C549" s="3" t="s">
        <v>32</v>
      </c>
    </row>
    <row r="550">
      <c r="A550" s="4" t="s">
        <v>784</v>
      </c>
      <c r="B550" s="3">
        <v>1500.0</v>
      </c>
      <c r="C550" s="4"/>
    </row>
    <row r="551">
      <c r="A551" s="4" t="s">
        <v>806</v>
      </c>
      <c r="B551" s="3">
        <v>1500.0</v>
      </c>
      <c r="C551" s="4"/>
    </row>
    <row r="552">
      <c r="A552" s="4" t="s">
        <v>874</v>
      </c>
      <c r="B552" s="3">
        <v>1500.0</v>
      </c>
      <c r="C552" s="3" t="s">
        <v>3</v>
      </c>
    </row>
    <row r="553">
      <c r="A553" s="4" t="s">
        <v>959</v>
      </c>
      <c r="B553" s="3">
        <v>1500.0</v>
      </c>
      <c r="C553" s="4"/>
    </row>
    <row r="554">
      <c r="A554" s="4" t="s">
        <v>967</v>
      </c>
      <c r="B554" s="3">
        <v>1500.0</v>
      </c>
      <c r="C554" s="3" t="s">
        <v>32</v>
      </c>
    </row>
    <row r="555">
      <c r="A555" s="4" t="s">
        <v>1209</v>
      </c>
      <c r="B555" s="3">
        <v>1500.0</v>
      </c>
      <c r="C555" s="4"/>
    </row>
    <row r="556">
      <c r="A556" s="4" t="s">
        <v>1238</v>
      </c>
      <c r="B556" s="3">
        <v>1500.0</v>
      </c>
      <c r="C556" s="4"/>
    </row>
    <row r="557">
      <c r="A557" s="4" t="s">
        <v>1258</v>
      </c>
      <c r="B557" s="3">
        <v>1500.0</v>
      </c>
      <c r="C557" s="4"/>
    </row>
    <row r="558">
      <c r="A558" s="4" t="s">
        <v>1333</v>
      </c>
      <c r="B558" s="3">
        <v>1500.0</v>
      </c>
      <c r="C558" s="4"/>
    </row>
    <row r="559">
      <c r="A559" s="4" t="s">
        <v>1408</v>
      </c>
      <c r="B559" s="3">
        <v>1500.0</v>
      </c>
      <c r="C559" s="4"/>
    </row>
    <row r="560">
      <c r="A560" s="4" t="s">
        <v>1495</v>
      </c>
      <c r="B560" s="3">
        <v>1500.0</v>
      </c>
      <c r="C560" s="4"/>
    </row>
    <row r="561">
      <c r="A561" s="4" t="s">
        <v>1574</v>
      </c>
      <c r="B561" s="3">
        <v>1500.0</v>
      </c>
      <c r="C561" s="3" t="s">
        <v>6</v>
      </c>
    </row>
    <row r="562">
      <c r="A562" s="4" t="s">
        <v>1656</v>
      </c>
      <c r="B562" s="3">
        <v>1500.0</v>
      </c>
      <c r="C562" s="4"/>
    </row>
    <row r="563">
      <c r="A563" s="4" t="s">
        <v>1698</v>
      </c>
      <c r="B563" s="3">
        <v>1500.0</v>
      </c>
      <c r="C563" s="3" t="s">
        <v>6</v>
      </c>
    </row>
    <row r="564">
      <c r="A564" s="4" t="s">
        <v>1738</v>
      </c>
      <c r="B564" s="3">
        <v>1500.0</v>
      </c>
      <c r="C564" s="4"/>
    </row>
    <row r="565">
      <c r="A565" s="4" t="s">
        <v>1836</v>
      </c>
      <c r="B565" s="3">
        <v>1500.0</v>
      </c>
      <c r="C565" s="4"/>
    </row>
    <row r="566">
      <c r="A566" s="4" t="s">
        <v>1931</v>
      </c>
      <c r="B566" s="3">
        <v>1500.0</v>
      </c>
      <c r="C566" s="3" t="s">
        <v>3</v>
      </c>
    </row>
    <row r="567">
      <c r="A567" s="4" t="s">
        <v>2324</v>
      </c>
      <c r="B567" s="3">
        <v>1500.0</v>
      </c>
      <c r="C567" s="3" t="s">
        <v>3</v>
      </c>
    </row>
    <row r="568">
      <c r="A568" s="4" t="s">
        <v>1051</v>
      </c>
      <c r="B568" s="3">
        <v>1410.0</v>
      </c>
      <c r="C568" s="4"/>
    </row>
    <row r="569">
      <c r="A569" s="4" t="s">
        <v>954</v>
      </c>
      <c r="B569" s="3">
        <v>1400.0</v>
      </c>
      <c r="C569" s="4"/>
    </row>
    <row r="570">
      <c r="A570" s="4" t="s">
        <v>2202</v>
      </c>
      <c r="B570" s="3">
        <v>1300.0</v>
      </c>
      <c r="C570" s="3" t="s">
        <v>3</v>
      </c>
    </row>
    <row r="571">
      <c r="A571" s="4" t="s">
        <v>2227</v>
      </c>
      <c r="B571" s="3">
        <v>1300.0</v>
      </c>
      <c r="C571" s="4"/>
    </row>
    <row r="572">
      <c r="A572" s="4" t="s">
        <v>1979</v>
      </c>
      <c r="B572" s="3">
        <v>1300.0</v>
      </c>
      <c r="C572" s="4"/>
    </row>
    <row r="573">
      <c r="A573" s="4" t="s">
        <v>995</v>
      </c>
      <c r="B573" s="3">
        <v>1200.0</v>
      </c>
      <c r="C573" s="3" t="s">
        <v>6</v>
      </c>
    </row>
    <row r="574">
      <c r="A574" s="4" t="s">
        <v>1017</v>
      </c>
      <c r="B574" s="3">
        <v>1200.0</v>
      </c>
      <c r="C574" s="4"/>
    </row>
    <row r="575">
      <c r="A575" s="4" t="s">
        <v>1335</v>
      </c>
      <c r="B575" s="3">
        <v>1200.0</v>
      </c>
      <c r="C575" s="3" t="s">
        <v>32</v>
      </c>
    </row>
    <row r="576">
      <c r="A576" s="4" t="s">
        <v>1462</v>
      </c>
      <c r="B576" s="3">
        <v>1200.0</v>
      </c>
      <c r="C576" s="3" t="s">
        <v>3</v>
      </c>
    </row>
    <row r="577">
      <c r="A577" s="4" t="s">
        <v>700</v>
      </c>
      <c r="B577" s="3">
        <v>1080.0</v>
      </c>
      <c r="C577" s="4"/>
    </row>
    <row r="578">
      <c r="A578" s="4" t="s">
        <v>10</v>
      </c>
      <c r="B578" s="3">
        <v>1000.0</v>
      </c>
      <c r="C578" s="4"/>
    </row>
    <row r="579">
      <c r="A579" s="4" t="s">
        <v>93</v>
      </c>
      <c r="B579" s="3">
        <v>1000.0</v>
      </c>
      <c r="C579" s="4"/>
    </row>
    <row r="580">
      <c r="A580" s="4" t="s">
        <v>103</v>
      </c>
      <c r="B580" s="3">
        <v>1000.0</v>
      </c>
      <c r="C580" s="4"/>
    </row>
    <row r="581">
      <c r="A581" s="4" t="s">
        <v>2085</v>
      </c>
      <c r="B581" s="3">
        <v>1000.0</v>
      </c>
      <c r="C581" s="3" t="s">
        <v>6</v>
      </c>
    </row>
    <row r="582">
      <c r="A582" s="4" t="s">
        <v>193</v>
      </c>
      <c r="B582" s="3">
        <v>1000.0</v>
      </c>
      <c r="C582" s="3" t="s">
        <v>29</v>
      </c>
    </row>
    <row r="583">
      <c r="A583" s="4" t="s">
        <v>2116</v>
      </c>
      <c r="B583" s="3">
        <v>1000.0</v>
      </c>
      <c r="C583" s="3" t="s">
        <v>3</v>
      </c>
    </row>
    <row r="584">
      <c r="A584" s="4" t="s">
        <v>495</v>
      </c>
      <c r="B584" s="3">
        <v>1000.0</v>
      </c>
      <c r="C584" s="4"/>
    </row>
    <row r="585">
      <c r="A585" s="4" t="s">
        <v>527</v>
      </c>
      <c r="B585" s="3">
        <v>1000.0</v>
      </c>
      <c r="C585" s="4"/>
    </row>
    <row r="586">
      <c r="A586" s="4" t="s">
        <v>558</v>
      </c>
      <c r="B586" s="3">
        <v>1000.0</v>
      </c>
      <c r="C586" s="3" t="s">
        <v>484</v>
      </c>
    </row>
    <row r="587">
      <c r="A587" s="4" t="s">
        <v>631</v>
      </c>
      <c r="B587" s="3">
        <v>1000.0</v>
      </c>
      <c r="C587" s="4"/>
    </row>
    <row r="588">
      <c r="A588" s="4" t="s">
        <v>635</v>
      </c>
      <c r="B588" s="3">
        <v>1000.0</v>
      </c>
      <c r="C588" s="3" t="s">
        <v>32</v>
      </c>
    </row>
    <row r="589">
      <c r="A589" s="4" t="s">
        <v>650</v>
      </c>
      <c r="B589" s="3">
        <v>1000.0</v>
      </c>
      <c r="C589" s="4"/>
    </row>
    <row r="590">
      <c r="A590" s="4" t="s">
        <v>674</v>
      </c>
      <c r="B590" s="3">
        <v>1000.0</v>
      </c>
      <c r="C590" s="3" t="s">
        <v>3</v>
      </c>
    </row>
    <row r="591">
      <c r="A591" s="4" t="s">
        <v>750</v>
      </c>
      <c r="B591" s="3">
        <v>1000.0</v>
      </c>
      <c r="C591" s="4"/>
    </row>
    <row r="592">
      <c r="A592" s="4" t="s">
        <v>817</v>
      </c>
      <c r="B592" s="3">
        <v>1000.0</v>
      </c>
      <c r="C592" s="3" t="s">
        <v>3</v>
      </c>
    </row>
    <row r="593">
      <c r="A593" s="4" t="s">
        <v>839</v>
      </c>
      <c r="B593" s="3">
        <v>1000.0</v>
      </c>
      <c r="C593" s="3" t="s">
        <v>6</v>
      </c>
    </row>
    <row r="594">
      <c r="A594" s="4" t="s">
        <v>851</v>
      </c>
      <c r="B594" s="3">
        <v>1000.0</v>
      </c>
      <c r="C594" s="4"/>
    </row>
    <row r="595">
      <c r="A595" s="4" t="s">
        <v>861</v>
      </c>
      <c r="B595" s="3">
        <v>1000.0</v>
      </c>
      <c r="C595" s="4"/>
    </row>
    <row r="596">
      <c r="A596" s="4" t="s">
        <v>885</v>
      </c>
      <c r="B596" s="3">
        <v>1000.0</v>
      </c>
      <c r="C596" s="3" t="s">
        <v>6</v>
      </c>
    </row>
    <row r="597">
      <c r="A597" s="4" t="s">
        <v>886</v>
      </c>
      <c r="B597" s="3">
        <v>1000.0</v>
      </c>
      <c r="C597" s="3" t="s">
        <v>32</v>
      </c>
    </row>
    <row r="598">
      <c r="A598" s="4" t="s">
        <v>2226</v>
      </c>
      <c r="B598" s="3">
        <v>1000.0</v>
      </c>
      <c r="C598" s="3" t="s">
        <v>6</v>
      </c>
    </row>
    <row r="599">
      <c r="A599" s="4" t="s">
        <v>2233</v>
      </c>
      <c r="B599" s="3">
        <v>1000.0</v>
      </c>
      <c r="C599" s="4"/>
    </row>
    <row r="600">
      <c r="A600" s="4" t="s">
        <v>968</v>
      </c>
      <c r="B600" s="3">
        <v>1000.0</v>
      </c>
      <c r="C600" s="4"/>
    </row>
    <row r="601">
      <c r="A601" s="4" t="s">
        <v>981</v>
      </c>
      <c r="B601" s="3">
        <v>1000.0</v>
      </c>
      <c r="C601" s="4"/>
    </row>
    <row r="602">
      <c r="A602" s="4" t="s">
        <v>1053</v>
      </c>
      <c r="B602" s="3">
        <v>1000.0</v>
      </c>
      <c r="C602" s="3" t="s">
        <v>32</v>
      </c>
    </row>
    <row r="603">
      <c r="A603" s="4" t="s">
        <v>1058</v>
      </c>
      <c r="B603" s="3">
        <v>1000.0</v>
      </c>
      <c r="C603" s="4"/>
    </row>
    <row r="604">
      <c r="A604" s="4" t="s">
        <v>2249</v>
      </c>
      <c r="B604" s="3">
        <v>1000.0</v>
      </c>
      <c r="C604" s="3" t="s">
        <v>32</v>
      </c>
    </row>
    <row r="605">
      <c r="A605" s="4" t="s">
        <v>1181</v>
      </c>
      <c r="B605" s="3">
        <v>1000.0</v>
      </c>
      <c r="C605" s="4"/>
    </row>
    <row r="606">
      <c r="A606" s="4" t="s">
        <v>2263</v>
      </c>
      <c r="B606" s="3">
        <v>1000.0</v>
      </c>
      <c r="C606" s="4"/>
    </row>
    <row r="607">
      <c r="A607" s="4" t="s">
        <v>1259</v>
      </c>
      <c r="B607" s="3">
        <v>1000.0</v>
      </c>
      <c r="C607" s="3" t="s">
        <v>6</v>
      </c>
    </row>
    <row r="608">
      <c r="A608" s="4" t="s">
        <v>1334</v>
      </c>
      <c r="B608" s="3">
        <v>1000.0</v>
      </c>
      <c r="C608" s="4"/>
    </row>
    <row r="609">
      <c r="A609" s="4" t="s">
        <v>1416</v>
      </c>
      <c r="B609" s="3">
        <v>1000.0</v>
      </c>
      <c r="C609" s="4"/>
    </row>
    <row r="610">
      <c r="A610" s="4" t="s">
        <v>1461</v>
      </c>
      <c r="B610" s="3">
        <v>1000.0</v>
      </c>
      <c r="C610" s="3" t="s">
        <v>6</v>
      </c>
    </row>
    <row r="611">
      <c r="A611" s="4" t="s">
        <v>1550</v>
      </c>
      <c r="B611" s="3">
        <v>1000.0</v>
      </c>
      <c r="C611" s="4"/>
    </row>
    <row r="612">
      <c r="A612" s="4" t="s">
        <v>1653</v>
      </c>
      <c r="B612" s="3">
        <v>1000.0</v>
      </c>
      <c r="C612" s="4"/>
    </row>
    <row r="613">
      <c r="A613" s="4" t="s">
        <v>1669</v>
      </c>
      <c r="B613" s="3">
        <v>1000.0</v>
      </c>
      <c r="C613" s="3" t="s">
        <v>32</v>
      </c>
    </row>
    <row r="614">
      <c r="A614" s="4" t="s">
        <v>1678</v>
      </c>
      <c r="B614" s="3">
        <v>1000.0</v>
      </c>
      <c r="C614" s="3" t="s">
        <v>32</v>
      </c>
    </row>
    <row r="615">
      <c r="A615" s="4" t="s">
        <v>1702</v>
      </c>
      <c r="B615" s="3">
        <v>1000.0</v>
      </c>
      <c r="C615" s="3" t="s">
        <v>3</v>
      </c>
    </row>
    <row r="616">
      <c r="A616" s="4" t="s">
        <v>2291</v>
      </c>
      <c r="B616" s="3">
        <v>1000.0</v>
      </c>
      <c r="C616" s="3" t="s">
        <v>668</v>
      </c>
    </row>
    <row r="617">
      <c r="A617" s="4" t="s">
        <v>1809</v>
      </c>
      <c r="B617" s="3">
        <v>1000.0</v>
      </c>
      <c r="C617" s="4"/>
    </row>
    <row r="618">
      <c r="A618" s="4" t="s">
        <v>1853</v>
      </c>
      <c r="B618" s="3">
        <v>1000.0</v>
      </c>
      <c r="C618" s="4"/>
    </row>
    <row r="619">
      <c r="A619" s="4" t="s">
        <v>1899</v>
      </c>
      <c r="B619" s="3">
        <v>1000.0</v>
      </c>
      <c r="C619" s="3" t="s">
        <v>3</v>
      </c>
    </row>
    <row r="620">
      <c r="A620" s="4" t="s">
        <v>1991</v>
      </c>
      <c r="B620" s="3">
        <v>1000.0</v>
      </c>
      <c r="C620" s="4"/>
    </row>
    <row r="621">
      <c r="A621" s="4" t="s">
        <v>997</v>
      </c>
      <c r="B621" s="3">
        <v>950.0</v>
      </c>
      <c r="C621" s="4"/>
    </row>
    <row r="622">
      <c r="A622" s="4" t="s">
        <v>2120</v>
      </c>
      <c r="B622" s="3">
        <v>920.0</v>
      </c>
      <c r="C622" s="4"/>
    </row>
    <row r="623">
      <c r="A623" s="4" t="s">
        <v>705</v>
      </c>
      <c r="B623" s="3">
        <v>900.0</v>
      </c>
      <c r="C623" s="4"/>
    </row>
    <row r="624">
      <c r="A624" s="4" t="s">
        <v>1467</v>
      </c>
      <c r="B624" s="3">
        <v>900.0</v>
      </c>
      <c r="C624" s="4"/>
    </row>
    <row r="625">
      <c r="A625" s="4" t="s">
        <v>1746</v>
      </c>
      <c r="B625" s="3">
        <v>900.0</v>
      </c>
      <c r="C625" s="4"/>
    </row>
    <row r="626">
      <c r="A626" s="4" t="s">
        <v>2323</v>
      </c>
      <c r="B626" s="3">
        <v>900.0</v>
      </c>
      <c r="C626" s="3" t="s">
        <v>3</v>
      </c>
    </row>
    <row r="627">
      <c r="A627" s="4" t="s">
        <v>1643</v>
      </c>
      <c r="B627" s="3">
        <v>865.0</v>
      </c>
      <c r="C627" s="4"/>
    </row>
    <row r="628">
      <c r="A628" s="4" t="s">
        <v>405</v>
      </c>
      <c r="B628" s="3">
        <v>800.0</v>
      </c>
      <c r="C628" s="4"/>
    </row>
    <row r="629">
      <c r="A629" s="4" t="s">
        <v>450</v>
      </c>
      <c r="B629" s="3">
        <v>800.0</v>
      </c>
      <c r="C629" s="3" t="s">
        <v>6</v>
      </c>
    </row>
    <row r="630">
      <c r="A630" s="4" t="s">
        <v>540</v>
      </c>
      <c r="B630" s="3">
        <v>800.0</v>
      </c>
      <c r="C630" s="4"/>
    </row>
    <row r="631">
      <c r="A631" s="4" t="s">
        <v>689</v>
      </c>
      <c r="B631" s="3">
        <v>800.0</v>
      </c>
      <c r="C631" s="3" t="s">
        <v>32</v>
      </c>
    </row>
    <row r="632">
      <c r="A632" s="4" t="s">
        <v>778</v>
      </c>
      <c r="B632" s="3">
        <v>800.0</v>
      </c>
      <c r="C632" s="3" t="s">
        <v>32</v>
      </c>
    </row>
    <row r="633">
      <c r="A633" s="4" t="s">
        <v>779</v>
      </c>
      <c r="B633" s="3">
        <v>800.0</v>
      </c>
      <c r="C633" s="4"/>
    </row>
    <row r="634">
      <c r="A634" s="4" t="s">
        <v>2211</v>
      </c>
      <c r="B634" s="3">
        <v>800.0</v>
      </c>
      <c r="C634" s="3" t="s">
        <v>3</v>
      </c>
    </row>
    <row r="635">
      <c r="A635" s="4" t="s">
        <v>2213</v>
      </c>
      <c r="B635" s="3">
        <v>800.0</v>
      </c>
      <c r="C635" s="4"/>
    </row>
    <row r="636">
      <c r="A636" s="4" t="s">
        <v>2257</v>
      </c>
      <c r="B636" s="3">
        <v>800.0</v>
      </c>
      <c r="C636" s="4"/>
    </row>
    <row r="637">
      <c r="A637" s="4" t="s">
        <v>1269</v>
      </c>
      <c r="B637" s="3">
        <v>800.0</v>
      </c>
      <c r="C637" s="4"/>
    </row>
    <row r="638">
      <c r="A638" s="4" t="s">
        <v>1385</v>
      </c>
      <c r="B638" s="3">
        <v>800.0</v>
      </c>
      <c r="C638" s="3" t="s">
        <v>3</v>
      </c>
    </row>
    <row r="639">
      <c r="A639" s="4" t="s">
        <v>1411</v>
      </c>
      <c r="B639" s="3">
        <v>800.0</v>
      </c>
      <c r="C639" s="3" t="s">
        <v>3</v>
      </c>
    </row>
    <row r="640">
      <c r="A640" s="4" t="s">
        <v>1412</v>
      </c>
      <c r="B640" s="3">
        <v>800.0</v>
      </c>
      <c r="C640" s="4"/>
    </row>
    <row r="641">
      <c r="A641" s="4" t="s">
        <v>1457</v>
      </c>
      <c r="B641" s="3">
        <v>800.0</v>
      </c>
      <c r="C641" s="4"/>
    </row>
    <row r="642">
      <c r="A642" s="4" t="s">
        <v>1479</v>
      </c>
      <c r="B642" s="3">
        <v>800.0</v>
      </c>
      <c r="C642" s="4"/>
    </row>
    <row r="643">
      <c r="A643" s="4" t="s">
        <v>1602</v>
      </c>
      <c r="B643" s="3">
        <v>800.0</v>
      </c>
      <c r="C643" s="4"/>
    </row>
    <row r="644">
      <c r="A644" s="4" t="s">
        <v>2285</v>
      </c>
      <c r="B644" s="3">
        <v>800.0</v>
      </c>
      <c r="C644" s="3" t="s">
        <v>3</v>
      </c>
    </row>
    <row r="645">
      <c r="A645" s="4" t="s">
        <v>1696</v>
      </c>
      <c r="B645" s="3">
        <v>800.0</v>
      </c>
      <c r="C645" s="4"/>
    </row>
    <row r="646">
      <c r="A646" s="4" t="s">
        <v>1777</v>
      </c>
      <c r="B646" s="3">
        <v>800.0</v>
      </c>
      <c r="C646" s="3" t="s">
        <v>29</v>
      </c>
    </row>
    <row r="647">
      <c r="A647" s="4" t="s">
        <v>2008</v>
      </c>
      <c r="B647" s="3">
        <v>800.0</v>
      </c>
      <c r="C647" s="3" t="s">
        <v>32</v>
      </c>
    </row>
    <row r="648">
      <c r="A648" s="4" t="s">
        <v>134</v>
      </c>
      <c r="B648" s="3">
        <v>750.0</v>
      </c>
      <c r="C648" s="3" t="s">
        <v>3</v>
      </c>
    </row>
    <row r="649">
      <c r="A649" s="4" t="s">
        <v>2181</v>
      </c>
      <c r="B649" s="3">
        <v>750.0</v>
      </c>
      <c r="C649" s="4"/>
    </row>
    <row r="650">
      <c r="A650" s="4" t="s">
        <v>2218</v>
      </c>
      <c r="B650" s="3">
        <v>750.0</v>
      </c>
      <c r="C650" s="3" t="s">
        <v>6</v>
      </c>
    </row>
    <row r="651">
      <c r="A651" s="4" t="s">
        <v>2221</v>
      </c>
      <c r="B651" s="3">
        <v>750.0</v>
      </c>
      <c r="C651" s="4"/>
    </row>
    <row r="652">
      <c r="A652" s="4" t="s">
        <v>1106</v>
      </c>
      <c r="B652" s="3">
        <v>750.0</v>
      </c>
      <c r="C652" s="3" t="s">
        <v>3</v>
      </c>
    </row>
    <row r="653">
      <c r="A653" s="4" t="s">
        <v>1516</v>
      </c>
      <c r="B653" s="3">
        <v>741.0</v>
      </c>
      <c r="C653" s="4"/>
    </row>
    <row r="654">
      <c r="A654" s="4" t="s">
        <v>2185</v>
      </c>
      <c r="B654" s="3">
        <v>700.0</v>
      </c>
      <c r="C654" s="4"/>
    </row>
    <row r="655">
      <c r="A655" s="4" t="s">
        <v>979</v>
      </c>
      <c r="B655" s="3">
        <v>700.0</v>
      </c>
      <c r="C655" s="3" t="s">
        <v>3</v>
      </c>
    </row>
    <row r="656">
      <c r="A656" s="4" t="s">
        <v>1085</v>
      </c>
      <c r="B656" s="3">
        <v>700.0</v>
      </c>
      <c r="C656" s="4"/>
    </row>
    <row r="657">
      <c r="A657" s="4" t="s">
        <v>1272</v>
      </c>
      <c r="B657" s="3">
        <v>700.0</v>
      </c>
      <c r="C657" s="3" t="s">
        <v>3</v>
      </c>
    </row>
    <row r="658">
      <c r="A658" s="4" t="s">
        <v>1689</v>
      </c>
      <c r="B658" s="3">
        <v>700.0</v>
      </c>
      <c r="C658" s="4"/>
    </row>
    <row r="659">
      <c r="A659" s="4" t="s">
        <v>2322</v>
      </c>
      <c r="B659" s="3">
        <v>700.0</v>
      </c>
      <c r="C659" s="3" t="s">
        <v>3</v>
      </c>
    </row>
    <row r="660">
      <c r="A660" s="4" t="s">
        <v>1778</v>
      </c>
      <c r="B660" s="3">
        <v>650.0</v>
      </c>
      <c r="C660" s="4"/>
    </row>
    <row r="661">
      <c r="A661" s="4" t="s">
        <v>2110</v>
      </c>
      <c r="B661" s="3">
        <v>600.0</v>
      </c>
      <c r="C661" s="4"/>
    </row>
    <row r="662">
      <c r="A662" s="4" t="s">
        <v>665</v>
      </c>
      <c r="B662" s="3">
        <v>600.0</v>
      </c>
      <c r="C662" s="3" t="s">
        <v>6</v>
      </c>
    </row>
    <row r="663">
      <c r="A663" s="4" t="s">
        <v>1345</v>
      </c>
      <c r="B663" s="3">
        <v>600.0</v>
      </c>
      <c r="C663" s="4"/>
    </row>
    <row r="664">
      <c r="A664" s="4" t="s">
        <v>1659</v>
      </c>
      <c r="B664" s="3">
        <v>600.0</v>
      </c>
      <c r="C664" s="4"/>
    </row>
    <row r="665">
      <c r="A665" s="4" t="s">
        <v>1663</v>
      </c>
      <c r="B665" s="3">
        <v>600.0</v>
      </c>
      <c r="C665" s="4"/>
    </row>
    <row r="666">
      <c r="A666" s="4" t="s">
        <v>1765</v>
      </c>
      <c r="B666" s="3">
        <v>600.0</v>
      </c>
      <c r="C666" s="3" t="s">
        <v>32</v>
      </c>
    </row>
    <row r="667">
      <c r="A667" s="4" t="s">
        <v>2080</v>
      </c>
      <c r="B667" s="3">
        <v>571.0</v>
      </c>
      <c r="C667" s="4"/>
    </row>
    <row r="668">
      <c r="A668" s="4" t="s">
        <v>17</v>
      </c>
      <c r="B668" s="3">
        <v>500.0</v>
      </c>
      <c r="C668" s="4"/>
    </row>
    <row r="669">
      <c r="A669" s="4" t="s">
        <v>62</v>
      </c>
      <c r="B669" s="3">
        <v>500.0</v>
      </c>
      <c r="C669" s="4"/>
    </row>
    <row r="670">
      <c r="A670" s="4" t="s">
        <v>2077</v>
      </c>
      <c r="B670" s="3">
        <v>500.0</v>
      </c>
      <c r="C670" s="4"/>
    </row>
    <row r="671">
      <c r="A671" s="4" t="s">
        <v>2079</v>
      </c>
      <c r="B671" s="3">
        <v>500.0</v>
      </c>
      <c r="C671" s="4"/>
    </row>
    <row r="672">
      <c r="A672" s="4" t="s">
        <v>2081</v>
      </c>
      <c r="B672" s="3">
        <v>500.0</v>
      </c>
      <c r="C672" s="4"/>
    </row>
    <row r="673">
      <c r="A673" s="4" t="s">
        <v>2137</v>
      </c>
      <c r="B673" s="3">
        <v>500.0</v>
      </c>
      <c r="C673" s="4"/>
    </row>
    <row r="674">
      <c r="A674" s="4" t="s">
        <v>502</v>
      </c>
      <c r="B674" s="3">
        <v>500.0</v>
      </c>
      <c r="C674" s="3" t="s">
        <v>26</v>
      </c>
    </row>
    <row r="675">
      <c r="A675" s="4" t="s">
        <v>2179</v>
      </c>
      <c r="B675" s="3">
        <v>500.0</v>
      </c>
      <c r="C675" s="3" t="s">
        <v>3</v>
      </c>
    </row>
    <row r="676">
      <c r="A676" s="4" t="s">
        <v>541</v>
      </c>
      <c r="B676" s="3">
        <v>500.0</v>
      </c>
      <c r="C676" s="4"/>
    </row>
    <row r="677">
      <c r="A677" s="4" t="s">
        <v>552</v>
      </c>
      <c r="B677" s="3">
        <v>500.0</v>
      </c>
      <c r="C677" s="4"/>
    </row>
    <row r="678">
      <c r="A678" s="4" t="s">
        <v>2184</v>
      </c>
      <c r="B678" s="3">
        <v>500.0</v>
      </c>
      <c r="C678" s="3" t="s">
        <v>6</v>
      </c>
    </row>
    <row r="679">
      <c r="A679" s="4" t="s">
        <v>662</v>
      </c>
      <c r="B679" s="3">
        <v>500.0</v>
      </c>
      <c r="C679" s="4"/>
    </row>
    <row r="680">
      <c r="A680" s="4" t="s">
        <v>833</v>
      </c>
      <c r="B680" s="3">
        <v>500.0</v>
      </c>
      <c r="C680" s="4"/>
    </row>
    <row r="681">
      <c r="A681" s="4" t="s">
        <v>2220</v>
      </c>
      <c r="B681" s="3">
        <v>500.0</v>
      </c>
      <c r="C681" s="4"/>
    </row>
    <row r="682">
      <c r="A682" s="4" t="s">
        <v>2225</v>
      </c>
      <c r="B682" s="3">
        <v>500.0</v>
      </c>
      <c r="C682" s="4"/>
    </row>
    <row r="683">
      <c r="A683" s="4" t="s">
        <v>2232</v>
      </c>
      <c r="B683" s="3">
        <v>500.0</v>
      </c>
      <c r="C683" s="3" t="s">
        <v>3</v>
      </c>
    </row>
    <row r="684">
      <c r="A684" s="4" t="s">
        <v>1005</v>
      </c>
      <c r="B684" s="3">
        <v>500.0</v>
      </c>
      <c r="C684" s="4"/>
    </row>
    <row r="685">
      <c r="A685" s="4" t="s">
        <v>1041</v>
      </c>
      <c r="B685" s="3">
        <v>500.0</v>
      </c>
      <c r="C685" s="4"/>
    </row>
    <row r="686">
      <c r="A686" s="4" t="s">
        <v>1083</v>
      </c>
      <c r="B686" s="3">
        <v>500.0</v>
      </c>
      <c r="C686" s="3" t="s">
        <v>32</v>
      </c>
    </row>
    <row r="687">
      <c r="A687" s="4" t="s">
        <v>1098</v>
      </c>
      <c r="B687" s="3">
        <v>500.0</v>
      </c>
      <c r="C687" s="4"/>
    </row>
    <row r="688">
      <c r="A688" s="4" t="s">
        <v>1134</v>
      </c>
      <c r="B688" s="3">
        <v>500.0</v>
      </c>
      <c r="C688" s="4"/>
    </row>
    <row r="689">
      <c r="A689" s="4" t="s">
        <v>1161</v>
      </c>
      <c r="B689" s="3">
        <v>500.0</v>
      </c>
      <c r="C689" s="4"/>
    </row>
    <row r="690">
      <c r="A690" s="4" t="s">
        <v>2258</v>
      </c>
      <c r="B690" s="3">
        <v>500.0</v>
      </c>
      <c r="C690" s="4"/>
    </row>
    <row r="691">
      <c r="A691" s="4" t="s">
        <v>1182</v>
      </c>
      <c r="B691" s="3">
        <v>500.0</v>
      </c>
      <c r="C691" s="4"/>
    </row>
    <row r="692">
      <c r="A692" s="4" t="s">
        <v>1196</v>
      </c>
      <c r="B692" s="3">
        <v>500.0</v>
      </c>
      <c r="C692" s="4"/>
    </row>
    <row r="693">
      <c r="A693" s="4" t="s">
        <v>1245</v>
      </c>
      <c r="B693" s="3">
        <v>500.0</v>
      </c>
      <c r="C693" s="4"/>
    </row>
    <row r="694">
      <c r="A694" s="4" t="s">
        <v>1303</v>
      </c>
      <c r="B694" s="3">
        <v>500.0</v>
      </c>
      <c r="C694" s="3" t="s">
        <v>6</v>
      </c>
    </row>
    <row r="695">
      <c r="A695" s="4" t="s">
        <v>1312</v>
      </c>
      <c r="B695" s="3">
        <v>500.0</v>
      </c>
      <c r="C695" s="3" t="s">
        <v>3</v>
      </c>
    </row>
    <row r="696">
      <c r="A696" s="4" t="s">
        <v>1332</v>
      </c>
      <c r="B696" s="3">
        <v>500.0</v>
      </c>
      <c r="C696" s="4"/>
    </row>
    <row r="697">
      <c r="A697" s="4" t="s">
        <v>1388</v>
      </c>
      <c r="B697" s="3">
        <v>500.0</v>
      </c>
      <c r="C697" s="3" t="s">
        <v>32</v>
      </c>
    </row>
    <row r="698">
      <c r="A698" s="4" t="s">
        <v>1415</v>
      </c>
      <c r="B698" s="3">
        <v>500.0</v>
      </c>
      <c r="C698" s="4"/>
    </row>
    <row r="699">
      <c r="A699" s="4" t="s">
        <v>1444</v>
      </c>
      <c r="B699" s="3">
        <v>500.0</v>
      </c>
      <c r="C699" s="4"/>
    </row>
    <row r="700">
      <c r="A700" s="4" t="s">
        <v>1454</v>
      </c>
      <c r="B700" s="3">
        <v>500.0</v>
      </c>
      <c r="C700" s="3" t="s">
        <v>484</v>
      </c>
    </row>
    <row r="701">
      <c r="A701" s="4" t="s">
        <v>2275</v>
      </c>
      <c r="B701" s="3">
        <v>500.0</v>
      </c>
      <c r="C701" s="4"/>
    </row>
    <row r="702">
      <c r="A702" s="4" t="s">
        <v>1491</v>
      </c>
      <c r="B702" s="3">
        <v>500.0</v>
      </c>
      <c r="C702" s="4"/>
    </row>
    <row r="703">
      <c r="A703" s="4" t="s">
        <v>1641</v>
      </c>
      <c r="B703" s="3">
        <v>500.0</v>
      </c>
      <c r="C703" s="4"/>
    </row>
    <row r="704">
      <c r="A704" s="4" t="s">
        <v>1697</v>
      </c>
      <c r="B704" s="3">
        <v>500.0</v>
      </c>
      <c r="C704" s="3" t="s">
        <v>32</v>
      </c>
    </row>
    <row r="705">
      <c r="A705" s="4" t="s">
        <v>1712</v>
      </c>
      <c r="B705" s="3">
        <v>500.0</v>
      </c>
      <c r="C705" s="4"/>
    </row>
    <row r="706">
      <c r="A706" s="4" t="s">
        <v>2301</v>
      </c>
      <c r="B706" s="3">
        <v>500.0</v>
      </c>
      <c r="C706" s="4"/>
    </row>
    <row r="707">
      <c r="A707" s="4" t="s">
        <v>1909</v>
      </c>
      <c r="B707" s="3">
        <v>500.0</v>
      </c>
      <c r="C707" s="4"/>
    </row>
    <row r="708">
      <c r="A708" s="4" t="s">
        <v>1910</v>
      </c>
      <c r="B708" s="3">
        <v>500.0</v>
      </c>
      <c r="C708" s="4"/>
    </row>
    <row r="709">
      <c r="A709" s="4" t="s">
        <v>2317</v>
      </c>
      <c r="B709" s="3">
        <v>500.0</v>
      </c>
      <c r="C709" s="4"/>
    </row>
    <row r="710">
      <c r="A710" s="4" t="s">
        <v>1944</v>
      </c>
      <c r="B710" s="3">
        <v>500.0</v>
      </c>
      <c r="C710" s="4"/>
    </row>
    <row r="711">
      <c r="A711" s="4" t="s">
        <v>1995</v>
      </c>
      <c r="B711" s="3">
        <v>500.0</v>
      </c>
      <c r="C711" s="3" t="s">
        <v>3</v>
      </c>
    </row>
    <row r="712">
      <c r="A712" s="4" t="s">
        <v>1996</v>
      </c>
      <c r="B712" s="3">
        <v>500.0</v>
      </c>
      <c r="C712" s="3" t="s">
        <v>3</v>
      </c>
    </row>
    <row r="713">
      <c r="A713" s="4" t="s">
        <v>1395</v>
      </c>
      <c r="B713" s="3">
        <v>420.0</v>
      </c>
      <c r="C713" s="4"/>
    </row>
    <row r="714">
      <c r="A714" s="4" t="s">
        <v>381</v>
      </c>
      <c r="B714" s="3">
        <v>400.0</v>
      </c>
      <c r="C714" s="3" t="s">
        <v>6</v>
      </c>
    </row>
    <row r="715">
      <c r="A715" s="4" t="s">
        <v>2168</v>
      </c>
      <c r="B715" s="3">
        <v>400.0</v>
      </c>
      <c r="C715" s="3" t="s">
        <v>3</v>
      </c>
    </row>
    <row r="716">
      <c r="A716" s="4" t="s">
        <v>2180</v>
      </c>
      <c r="B716" s="3">
        <v>400.0</v>
      </c>
      <c r="C716" s="3" t="s">
        <v>3</v>
      </c>
    </row>
    <row r="717">
      <c r="A717" s="4" t="s">
        <v>2195</v>
      </c>
      <c r="B717" s="3">
        <v>400.0</v>
      </c>
      <c r="C717" s="3" t="s">
        <v>3</v>
      </c>
    </row>
    <row r="718">
      <c r="A718" s="4" t="s">
        <v>973</v>
      </c>
      <c r="B718" s="3">
        <v>400.0</v>
      </c>
      <c r="C718" s="4"/>
    </row>
    <row r="719">
      <c r="A719" s="4" t="s">
        <v>1440</v>
      </c>
      <c r="B719" s="3">
        <v>400.0</v>
      </c>
      <c r="C719" s="4"/>
    </row>
    <row r="720">
      <c r="A720" s="4" t="s">
        <v>1544</v>
      </c>
      <c r="B720" s="3">
        <v>400.0</v>
      </c>
      <c r="C720" s="4"/>
    </row>
    <row r="721">
      <c r="A721" s="4" t="s">
        <v>1912</v>
      </c>
      <c r="B721" s="3">
        <v>400.0</v>
      </c>
      <c r="C721" s="4"/>
    </row>
    <row r="722">
      <c r="A722" s="4" t="s">
        <v>2316</v>
      </c>
      <c r="B722" s="3">
        <v>400.0</v>
      </c>
      <c r="C722" s="4"/>
    </row>
    <row r="723">
      <c r="A723" s="4" t="s">
        <v>2321</v>
      </c>
      <c r="B723" s="3">
        <v>400.0</v>
      </c>
      <c r="C723" s="3" t="s">
        <v>6</v>
      </c>
    </row>
    <row r="724">
      <c r="A724" s="4" t="s">
        <v>44</v>
      </c>
      <c r="B724" s="3">
        <v>300.0</v>
      </c>
      <c r="C724" s="3" t="s">
        <v>3</v>
      </c>
    </row>
    <row r="725">
      <c r="A725" s="4" t="s">
        <v>116</v>
      </c>
      <c r="B725" s="3">
        <v>300.0</v>
      </c>
      <c r="C725" s="4"/>
    </row>
    <row r="726">
      <c r="A726" s="4" t="s">
        <v>2098</v>
      </c>
      <c r="B726" s="3">
        <v>300.0</v>
      </c>
      <c r="C726" s="3" t="s">
        <v>3</v>
      </c>
    </row>
    <row r="727">
      <c r="A727" s="4" t="s">
        <v>465</v>
      </c>
      <c r="B727" s="3">
        <v>300.0</v>
      </c>
      <c r="C727" s="3" t="s">
        <v>3</v>
      </c>
    </row>
    <row r="728">
      <c r="A728" s="4" t="s">
        <v>660</v>
      </c>
      <c r="B728" s="3">
        <v>300.0</v>
      </c>
      <c r="C728" s="4"/>
    </row>
    <row r="729">
      <c r="A729" s="4" t="s">
        <v>1241</v>
      </c>
      <c r="B729" s="3">
        <v>300.0</v>
      </c>
      <c r="C729" s="4"/>
    </row>
    <row r="730">
      <c r="A730" s="4" t="s">
        <v>1553</v>
      </c>
      <c r="B730" s="3">
        <v>300.0</v>
      </c>
      <c r="C730" s="4"/>
    </row>
    <row r="731">
      <c r="A731" s="4" t="s">
        <v>1813</v>
      </c>
      <c r="B731" s="3">
        <v>300.0</v>
      </c>
      <c r="C731" s="4"/>
    </row>
    <row r="732">
      <c r="A732" s="4" t="s">
        <v>1822</v>
      </c>
      <c r="B732" s="3">
        <v>300.0</v>
      </c>
      <c r="C732" s="4"/>
    </row>
    <row r="733">
      <c r="A733" s="4" t="s">
        <v>2159</v>
      </c>
      <c r="B733" s="3">
        <v>250.0</v>
      </c>
      <c r="C733" s="3" t="s">
        <v>3</v>
      </c>
    </row>
    <row r="734">
      <c r="A734" s="4" t="s">
        <v>2178</v>
      </c>
      <c r="B734" s="3">
        <v>250.0</v>
      </c>
      <c r="C734" s="4"/>
    </row>
    <row r="735">
      <c r="A735" s="4" t="s">
        <v>2287</v>
      </c>
      <c r="B735" s="3">
        <v>200.0</v>
      </c>
      <c r="C735" s="3" t="s">
        <v>3</v>
      </c>
    </row>
    <row r="736">
      <c r="A736" s="4" t="s">
        <v>1835</v>
      </c>
      <c r="B736" s="3">
        <v>200.0</v>
      </c>
      <c r="C736" s="3" t="s">
        <v>6</v>
      </c>
    </row>
    <row r="737">
      <c r="A737" s="4" t="s">
        <v>764</v>
      </c>
      <c r="B737" s="3">
        <v>150.0</v>
      </c>
      <c r="C737" s="3" t="s">
        <v>3</v>
      </c>
    </row>
    <row r="738">
      <c r="A738" s="4" t="s">
        <v>1725</v>
      </c>
      <c r="B738" s="3">
        <v>150.0</v>
      </c>
      <c r="C738" s="4"/>
    </row>
    <row r="739">
      <c r="A739" s="4" t="s">
        <v>1434</v>
      </c>
      <c r="B739" s="3">
        <v>120.0</v>
      </c>
      <c r="C739" s="3" t="s">
        <v>32</v>
      </c>
    </row>
    <row r="740">
      <c r="A740" s="4" t="s">
        <v>831</v>
      </c>
      <c r="B740" s="3">
        <v>100.0</v>
      </c>
      <c r="C740" s="3" t="s">
        <v>3</v>
      </c>
    </row>
    <row r="741">
      <c r="A741" s="4" t="s">
        <v>2343</v>
      </c>
      <c r="B741" s="3">
        <v>82.0</v>
      </c>
      <c r="C741" s="4"/>
    </row>
    <row r="742">
      <c r="A742" s="4" t="s">
        <v>2069</v>
      </c>
      <c r="B742" s="3">
        <v>0.0</v>
      </c>
      <c r="C742" s="3" t="s">
        <v>3</v>
      </c>
    </row>
    <row r="743">
      <c r="A743" s="4" t="s">
        <v>5</v>
      </c>
      <c r="B743" s="3">
        <v>0.0</v>
      </c>
      <c r="C743" s="3" t="s">
        <v>6</v>
      </c>
    </row>
    <row r="744">
      <c r="A744" s="4" t="s">
        <v>7</v>
      </c>
      <c r="B744" s="3">
        <v>0.0</v>
      </c>
      <c r="C744" s="3" t="s">
        <v>3</v>
      </c>
    </row>
    <row r="745">
      <c r="A745" s="4" t="s">
        <v>8</v>
      </c>
      <c r="B745" s="3">
        <v>0.0</v>
      </c>
      <c r="C745" s="3" t="s">
        <v>3</v>
      </c>
    </row>
    <row r="746">
      <c r="A746" s="4" t="s">
        <v>9</v>
      </c>
      <c r="B746" s="3">
        <v>0.0</v>
      </c>
      <c r="C746" s="3" t="s">
        <v>3</v>
      </c>
    </row>
    <row r="747">
      <c r="A747" s="4" t="s">
        <v>23</v>
      </c>
      <c r="B747" s="3">
        <v>0.0</v>
      </c>
      <c r="C747" s="3" t="s">
        <v>3</v>
      </c>
    </row>
    <row r="748">
      <c r="A748" s="4" t="s">
        <v>24</v>
      </c>
      <c r="B748" s="3">
        <v>0.0</v>
      </c>
      <c r="C748" s="3" t="s">
        <v>3</v>
      </c>
    </row>
    <row r="749">
      <c r="A749" s="4" t="s">
        <v>25</v>
      </c>
      <c r="B749" s="3">
        <v>0.0</v>
      </c>
      <c r="C749" s="3" t="s">
        <v>26</v>
      </c>
    </row>
    <row r="750">
      <c r="A750" s="4" t="s">
        <v>27</v>
      </c>
      <c r="B750" s="3">
        <v>0.0</v>
      </c>
      <c r="C750" s="3" t="s">
        <v>3</v>
      </c>
    </row>
    <row r="751">
      <c r="A751" s="4" t="s">
        <v>28</v>
      </c>
      <c r="B751" s="3">
        <v>0.0</v>
      </c>
      <c r="C751" s="3" t="s">
        <v>29</v>
      </c>
    </row>
    <row r="752">
      <c r="A752" s="4" t="s">
        <v>34</v>
      </c>
      <c r="B752" s="3">
        <v>0.0</v>
      </c>
      <c r="C752" s="3" t="s">
        <v>3</v>
      </c>
    </row>
    <row r="753">
      <c r="A753" s="4" t="s">
        <v>2072</v>
      </c>
      <c r="B753" s="3">
        <v>0.0</v>
      </c>
      <c r="C753" s="3" t="s">
        <v>3</v>
      </c>
    </row>
    <row r="754">
      <c r="A754" s="4" t="s">
        <v>2074</v>
      </c>
      <c r="B754" s="3">
        <v>0.0</v>
      </c>
      <c r="C754" s="3" t="s">
        <v>3</v>
      </c>
    </row>
    <row r="755">
      <c r="A755" s="4" t="s">
        <v>54</v>
      </c>
      <c r="B755" s="3">
        <v>0.0</v>
      </c>
      <c r="C755" s="3" t="s">
        <v>3</v>
      </c>
    </row>
    <row r="756">
      <c r="A756" s="4" t="s">
        <v>59</v>
      </c>
      <c r="B756" s="3">
        <v>0.0</v>
      </c>
      <c r="C756" s="3" t="s">
        <v>3</v>
      </c>
    </row>
    <row r="757">
      <c r="A757" s="4" t="s">
        <v>60</v>
      </c>
      <c r="B757" s="3">
        <v>0.0</v>
      </c>
      <c r="C757" s="3" t="s">
        <v>3</v>
      </c>
    </row>
    <row r="758">
      <c r="A758" s="4" t="s">
        <v>61</v>
      </c>
      <c r="B758" s="3">
        <v>0.0</v>
      </c>
      <c r="C758" s="3" t="s">
        <v>3</v>
      </c>
    </row>
    <row r="759">
      <c r="A759" s="4" t="s">
        <v>66</v>
      </c>
      <c r="B759" s="3">
        <v>0.0</v>
      </c>
      <c r="C759" s="3" t="s">
        <v>6</v>
      </c>
    </row>
    <row r="760">
      <c r="A760" s="4" t="s">
        <v>73</v>
      </c>
      <c r="B760" s="3">
        <v>0.0</v>
      </c>
      <c r="C760" s="3" t="s">
        <v>6</v>
      </c>
    </row>
    <row r="761">
      <c r="A761" s="4" t="s">
        <v>80</v>
      </c>
      <c r="B761" s="3">
        <v>0.0</v>
      </c>
      <c r="C761" s="3" t="s">
        <v>3</v>
      </c>
    </row>
    <row r="762">
      <c r="A762" s="4" t="s">
        <v>86</v>
      </c>
      <c r="B762" s="3">
        <v>0.0</v>
      </c>
      <c r="C762" s="3" t="s">
        <v>32</v>
      </c>
    </row>
    <row r="763">
      <c r="A763" s="4" t="s">
        <v>87</v>
      </c>
      <c r="B763" s="3">
        <v>0.0</v>
      </c>
      <c r="C763" s="3" t="s">
        <v>3</v>
      </c>
    </row>
    <row r="764">
      <c r="A764" s="4" t="s">
        <v>90</v>
      </c>
      <c r="B764" s="3">
        <v>0.0</v>
      </c>
      <c r="C764" s="3" t="s">
        <v>3</v>
      </c>
    </row>
    <row r="765">
      <c r="A765" s="4" t="s">
        <v>91</v>
      </c>
      <c r="B765" s="3">
        <v>0.0</v>
      </c>
      <c r="C765" s="3" t="s">
        <v>3</v>
      </c>
    </row>
    <row r="766">
      <c r="A766" s="4" t="s">
        <v>92</v>
      </c>
      <c r="B766" s="3">
        <v>0.0</v>
      </c>
      <c r="C766" s="3" t="s">
        <v>6</v>
      </c>
    </row>
    <row r="767">
      <c r="A767" s="4" t="s">
        <v>99</v>
      </c>
      <c r="B767" s="3">
        <v>0.0</v>
      </c>
      <c r="C767" s="3" t="s">
        <v>3</v>
      </c>
    </row>
    <row r="768">
      <c r="A768" s="4" t="s">
        <v>100</v>
      </c>
      <c r="B768" s="3">
        <v>0.0</v>
      </c>
      <c r="C768" s="3" t="s">
        <v>3</v>
      </c>
    </row>
    <row r="769">
      <c r="A769" s="4" t="s">
        <v>101</v>
      </c>
      <c r="B769" s="3">
        <v>0.0</v>
      </c>
      <c r="C769" s="3" t="s">
        <v>3</v>
      </c>
    </row>
    <row r="770">
      <c r="A770" s="4" t="s">
        <v>102</v>
      </c>
      <c r="B770" s="3">
        <v>0.0</v>
      </c>
      <c r="C770" s="3" t="s">
        <v>3</v>
      </c>
    </row>
    <row r="771">
      <c r="A771" s="4" t="s">
        <v>104</v>
      </c>
      <c r="B771" s="3">
        <v>0.0</v>
      </c>
      <c r="C771" s="3" t="s">
        <v>3</v>
      </c>
    </row>
    <row r="772">
      <c r="A772" s="4" t="s">
        <v>105</v>
      </c>
      <c r="B772" s="3">
        <v>0.0</v>
      </c>
      <c r="C772" s="3" t="s">
        <v>3</v>
      </c>
    </row>
    <row r="773">
      <c r="A773" s="4" t="s">
        <v>2082</v>
      </c>
      <c r="B773" s="3">
        <v>0.0</v>
      </c>
      <c r="C773" s="3" t="s">
        <v>3</v>
      </c>
    </row>
    <row r="774">
      <c r="A774" s="4" t="s">
        <v>110</v>
      </c>
      <c r="B774" s="3">
        <v>0.0</v>
      </c>
      <c r="C774" s="3" t="s">
        <v>3</v>
      </c>
    </row>
    <row r="775">
      <c r="A775" s="4" t="s">
        <v>2084</v>
      </c>
      <c r="B775" s="3">
        <v>0.0</v>
      </c>
      <c r="C775" s="3" t="s">
        <v>3</v>
      </c>
    </row>
    <row r="776">
      <c r="A776" s="4" t="s">
        <v>121</v>
      </c>
      <c r="B776" s="3">
        <v>0.0</v>
      </c>
      <c r="C776" s="3" t="s">
        <v>3</v>
      </c>
    </row>
    <row r="777">
      <c r="A777" s="4" t="s">
        <v>2087</v>
      </c>
      <c r="B777" s="3">
        <v>0.0</v>
      </c>
      <c r="C777" s="3" t="s">
        <v>29</v>
      </c>
    </row>
    <row r="778">
      <c r="A778" s="4" t="s">
        <v>131</v>
      </c>
      <c r="B778" s="3">
        <v>0.0</v>
      </c>
      <c r="C778" s="3" t="s">
        <v>3</v>
      </c>
    </row>
    <row r="779">
      <c r="A779" s="4" t="s">
        <v>132</v>
      </c>
      <c r="B779" s="3">
        <v>0.0</v>
      </c>
      <c r="C779" s="3" t="s">
        <v>3</v>
      </c>
    </row>
    <row r="780">
      <c r="A780" s="4" t="s">
        <v>140</v>
      </c>
      <c r="B780" s="3">
        <v>0.0</v>
      </c>
      <c r="C780" s="3" t="s">
        <v>6</v>
      </c>
    </row>
    <row r="781">
      <c r="A781" s="4" t="s">
        <v>141</v>
      </c>
      <c r="B781" s="3">
        <v>0.0</v>
      </c>
      <c r="C781" s="3" t="s">
        <v>3</v>
      </c>
    </row>
    <row r="782">
      <c r="A782" s="4" t="s">
        <v>142</v>
      </c>
      <c r="B782" s="3">
        <v>0.0</v>
      </c>
      <c r="C782" s="3" t="s">
        <v>3</v>
      </c>
    </row>
    <row r="783">
      <c r="A783" s="4" t="s">
        <v>143</v>
      </c>
      <c r="B783" s="3">
        <v>0.0</v>
      </c>
      <c r="C783" s="3" t="s">
        <v>32</v>
      </c>
    </row>
    <row r="784">
      <c r="A784" s="4" t="s">
        <v>144</v>
      </c>
      <c r="B784" s="3">
        <v>0.0</v>
      </c>
      <c r="C784" s="3" t="s">
        <v>3</v>
      </c>
    </row>
    <row r="785">
      <c r="A785" s="4" t="s">
        <v>147</v>
      </c>
      <c r="B785" s="3">
        <v>0.0</v>
      </c>
      <c r="C785" s="3" t="s">
        <v>3</v>
      </c>
    </row>
    <row r="786">
      <c r="A786" s="4" t="s">
        <v>148</v>
      </c>
      <c r="B786" s="3">
        <v>0.0</v>
      </c>
      <c r="C786" s="3" t="s">
        <v>6</v>
      </c>
    </row>
    <row r="787">
      <c r="A787" s="4" t="s">
        <v>153</v>
      </c>
      <c r="B787" s="3">
        <v>0.0</v>
      </c>
      <c r="C787" s="3" t="s">
        <v>29</v>
      </c>
    </row>
    <row r="788">
      <c r="A788" s="4" t="s">
        <v>154</v>
      </c>
      <c r="B788" s="3">
        <v>0.0</v>
      </c>
      <c r="C788" s="3" t="s">
        <v>32</v>
      </c>
    </row>
    <row r="789">
      <c r="A789" s="4" t="s">
        <v>155</v>
      </c>
      <c r="B789" s="3">
        <v>0.0</v>
      </c>
      <c r="C789" s="3" t="s">
        <v>3</v>
      </c>
    </row>
    <row r="790">
      <c r="A790" s="4" t="s">
        <v>156</v>
      </c>
      <c r="B790" s="3">
        <v>0.0</v>
      </c>
      <c r="C790" s="3" t="s">
        <v>6</v>
      </c>
    </row>
    <row r="791">
      <c r="A791" s="4" t="s">
        <v>160</v>
      </c>
      <c r="B791" s="3">
        <v>0.0</v>
      </c>
      <c r="C791" s="3" t="s">
        <v>26</v>
      </c>
    </row>
    <row r="792">
      <c r="A792" s="4" t="s">
        <v>169</v>
      </c>
      <c r="B792" s="3">
        <v>0.0</v>
      </c>
      <c r="C792" s="3" t="s">
        <v>29</v>
      </c>
    </row>
    <row r="793">
      <c r="A793" s="4" t="s">
        <v>170</v>
      </c>
      <c r="B793" s="3">
        <v>0.0</v>
      </c>
      <c r="C793" s="3" t="s">
        <v>3</v>
      </c>
    </row>
    <row r="794">
      <c r="A794" s="4" t="s">
        <v>177</v>
      </c>
      <c r="B794" s="3">
        <v>0.0</v>
      </c>
      <c r="C794" s="3" t="s">
        <v>3</v>
      </c>
    </row>
    <row r="795">
      <c r="A795" s="4" t="s">
        <v>178</v>
      </c>
      <c r="B795" s="3">
        <v>0.0</v>
      </c>
      <c r="C795" s="3" t="s">
        <v>6</v>
      </c>
    </row>
    <row r="796">
      <c r="A796" s="4" t="s">
        <v>179</v>
      </c>
      <c r="B796" s="3">
        <v>0.0</v>
      </c>
      <c r="C796" s="3" t="s">
        <v>3</v>
      </c>
    </row>
    <row r="797">
      <c r="A797" s="4" t="s">
        <v>182</v>
      </c>
      <c r="B797" s="3">
        <v>0.0</v>
      </c>
      <c r="C797" s="3" t="s">
        <v>3</v>
      </c>
    </row>
    <row r="798">
      <c r="A798" s="4" t="s">
        <v>183</v>
      </c>
      <c r="B798" s="3">
        <v>0.0</v>
      </c>
      <c r="C798" s="3" t="s">
        <v>3</v>
      </c>
    </row>
    <row r="799">
      <c r="A799" s="4" t="s">
        <v>184</v>
      </c>
      <c r="B799" s="3">
        <v>0.0</v>
      </c>
      <c r="C799" s="3" t="s">
        <v>3</v>
      </c>
    </row>
    <row r="800">
      <c r="A800" s="4" t="s">
        <v>185</v>
      </c>
      <c r="B800" s="3">
        <v>0.0</v>
      </c>
      <c r="C800" s="3" t="s">
        <v>6</v>
      </c>
    </row>
    <row r="801">
      <c r="A801" s="4" t="s">
        <v>186</v>
      </c>
      <c r="B801" s="3">
        <v>0.0</v>
      </c>
      <c r="C801" s="3" t="s">
        <v>6</v>
      </c>
    </row>
    <row r="802">
      <c r="A802" s="4" t="s">
        <v>187</v>
      </c>
      <c r="B802" s="3">
        <v>0.0</v>
      </c>
      <c r="C802" s="3" t="s">
        <v>3</v>
      </c>
    </row>
    <row r="803">
      <c r="A803" s="4" t="s">
        <v>188</v>
      </c>
      <c r="B803" s="3">
        <v>0.0</v>
      </c>
      <c r="C803" s="3" t="s">
        <v>32</v>
      </c>
    </row>
    <row r="804">
      <c r="A804" s="4" t="s">
        <v>2090</v>
      </c>
      <c r="B804" s="3">
        <v>0.0</v>
      </c>
      <c r="C804" s="3" t="s">
        <v>3</v>
      </c>
    </row>
    <row r="805">
      <c r="A805" s="4" t="s">
        <v>191</v>
      </c>
      <c r="B805" s="3">
        <v>0.0</v>
      </c>
      <c r="C805" s="3" t="s">
        <v>3</v>
      </c>
    </row>
    <row r="806">
      <c r="A806" s="4" t="s">
        <v>192</v>
      </c>
      <c r="B806" s="3">
        <v>0.0</v>
      </c>
      <c r="C806" s="3" t="s">
        <v>26</v>
      </c>
    </row>
    <row r="807">
      <c r="A807" s="4" t="s">
        <v>194</v>
      </c>
      <c r="B807" s="3">
        <v>0.0</v>
      </c>
      <c r="C807" s="3" t="s">
        <v>29</v>
      </c>
    </row>
    <row r="808">
      <c r="A808" s="4" t="s">
        <v>2091</v>
      </c>
      <c r="B808" s="3">
        <v>0.0</v>
      </c>
      <c r="C808" s="3" t="s">
        <v>3</v>
      </c>
    </row>
    <row r="809">
      <c r="A809" s="4" t="s">
        <v>197</v>
      </c>
      <c r="B809" s="3">
        <v>0.0</v>
      </c>
      <c r="C809" s="3" t="s">
        <v>29</v>
      </c>
    </row>
    <row r="810">
      <c r="A810" s="4" t="s">
        <v>198</v>
      </c>
      <c r="B810" s="3">
        <v>0.0</v>
      </c>
      <c r="C810" s="3" t="s">
        <v>3</v>
      </c>
    </row>
    <row r="811">
      <c r="A811" s="4" t="s">
        <v>201</v>
      </c>
      <c r="B811" s="3">
        <v>0.0</v>
      </c>
      <c r="C811" s="3" t="s">
        <v>32</v>
      </c>
    </row>
    <row r="812">
      <c r="A812" s="4" t="s">
        <v>202</v>
      </c>
      <c r="B812" s="3">
        <v>0.0</v>
      </c>
      <c r="C812" s="3" t="s">
        <v>3</v>
      </c>
    </row>
    <row r="813">
      <c r="A813" s="4" t="s">
        <v>205</v>
      </c>
      <c r="B813" s="3">
        <v>0.0</v>
      </c>
      <c r="C813" s="3" t="s">
        <v>3</v>
      </c>
    </row>
    <row r="814">
      <c r="A814" s="4" t="s">
        <v>206</v>
      </c>
      <c r="B814" s="3">
        <v>0.0</v>
      </c>
      <c r="C814" s="3" t="s">
        <v>3</v>
      </c>
    </row>
    <row r="815">
      <c r="A815" s="4" t="s">
        <v>207</v>
      </c>
      <c r="B815" s="3">
        <v>0.0</v>
      </c>
      <c r="C815" s="3" t="s">
        <v>3</v>
      </c>
    </row>
    <row r="816">
      <c r="A816" s="4" t="s">
        <v>2092</v>
      </c>
      <c r="B816" s="3">
        <v>0.0</v>
      </c>
      <c r="C816" s="3" t="s">
        <v>3</v>
      </c>
    </row>
    <row r="817">
      <c r="A817" s="4" t="s">
        <v>210</v>
      </c>
      <c r="B817" s="3">
        <v>0.0</v>
      </c>
      <c r="C817" s="3" t="s">
        <v>3</v>
      </c>
    </row>
    <row r="818">
      <c r="A818" s="4" t="s">
        <v>211</v>
      </c>
      <c r="B818" s="3">
        <v>0.0</v>
      </c>
      <c r="C818" s="3" t="s">
        <v>6</v>
      </c>
    </row>
    <row r="819">
      <c r="A819" s="4" t="s">
        <v>212</v>
      </c>
      <c r="B819" s="3">
        <v>0.0</v>
      </c>
      <c r="C819" s="3" t="s">
        <v>29</v>
      </c>
    </row>
    <row r="820">
      <c r="A820" s="4" t="s">
        <v>215</v>
      </c>
      <c r="B820" s="3">
        <v>0.0</v>
      </c>
      <c r="C820" s="3" t="s">
        <v>216</v>
      </c>
    </row>
    <row r="821">
      <c r="A821" s="4" t="s">
        <v>220</v>
      </c>
      <c r="B821" s="3">
        <v>0.0</v>
      </c>
      <c r="C821" s="3" t="s">
        <v>6</v>
      </c>
    </row>
    <row r="822">
      <c r="A822" s="4" t="s">
        <v>2094</v>
      </c>
      <c r="B822" s="3">
        <v>0.0</v>
      </c>
      <c r="C822" s="3" t="s">
        <v>29</v>
      </c>
    </row>
    <row r="823">
      <c r="A823" s="4" t="s">
        <v>225</v>
      </c>
      <c r="B823" s="3">
        <v>0.0</v>
      </c>
      <c r="C823" s="3" t="s">
        <v>3</v>
      </c>
    </row>
    <row r="824">
      <c r="A824" s="4" t="s">
        <v>227</v>
      </c>
      <c r="B824" s="3">
        <v>0.0</v>
      </c>
      <c r="C824" s="3" t="s">
        <v>3</v>
      </c>
    </row>
    <row r="825">
      <c r="A825" s="4" t="s">
        <v>2095</v>
      </c>
      <c r="B825" s="3">
        <v>0.0</v>
      </c>
      <c r="C825" s="3" t="s">
        <v>32</v>
      </c>
    </row>
    <row r="826">
      <c r="A826" s="4" t="s">
        <v>2096</v>
      </c>
      <c r="B826" s="3">
        <v>0.0</v>
      </c>
      <c r="C826" s="3" t="s">
        <v>3</v>
      </c>
    </row>
    <row r="827">
      <c r="A827" s="4" t="s">
        <v>232</v>
      </c>
      <c r="B827" s="3">
        <v>0.0</v>
      </c>
      <c r="C827" s="3" t="s">
        <v>6</v>
      </c>
    </row>
    <row r="828">
      <c r="A828" s="4" t="s">
        <v>233</v>
      </c>
      <c r="B828" s="3">
        <v>0.0</v>
      </c>
      <c r="C828" s="3" t="s">
        <v>6</v>
      </c>
    </row>
    <row r="829">
      <c r="A829" s="4" t="s">
        <v>234</v>
      </c>
      <c r="B829" s="3">
        <v>0.0</v>
      </c>
      <c r="C829" s="3" t="s">
        <v>3</v>
      </c>
    </row>
    <row r="830">
      <c r="A830" s="4" t="s">
        <v>2097</v>
      </c>
      <c r="B830" s="3">
        <v>0.0</v>
      </c>
      <c r="C830" s="3" t="s">
        <v>3</v>
      </c>
    </row>
    <row r="831">
      <c r="A831" s="4" t="s">
        <v>237</v>
      </c>
      <c r="B831" s="3">
        <v>0.0</v>
      </c>
      <c r="C831" s="3" t="s">
        <v>3</v>
      </c>
    </row>
    <row r="832">
      <c r="A832" s="4" t="s">
        <v>239</v>
      </c>
      <c r="B832" s="3">
        <v>0.0</v>
      </c>
      <c r="C832" s="3" t="s">
        <v>3</v>
      </c>
    </row>
    <row r="833">
      <c r="A833" s="4" t="s">
        <v>240</v>
      </c>
      <c r="B833" s="3">
        <v>0.0</v>
      </c>
      <c r="C833" s="3" t="s">
        <v>3</v>
      </c>
    </row>
    <row r="834">
      <c r="A834" s="4" t="s">
        <v>241</v>
      </c>
      <c r="B834" s="3">
        <v>0.0</v>
      </c>
      <c r="C834" s="3" t="s">
        <v>6</v>
      </c>
    </row>
    <row r="835">
      <c r="A835" s="4" t="s">
        <v>2100</v>
      </c>
      <c r="B835" s="3">
        <v>0.0</v>
      </c>
      <c r="C835" s="3" t="s">
        <v>3</v>
      </c>
    </row>
    <row r="836">
      <c r="A836" s="4" t="s">
        <v>249</v>
      </c>
      <c r="B836" s="3">
        <v>0.0</v>
      </c>
      <c r="C836" s="3" t="s">
        <v>3</v>
      </c>
    </row>
    <row r="837">
      <c r="A837" s="4" t="s">
        <v>2101</v>
      </c>
      <c r="B837" s="3">
        <v>0.0</v>
      </c>
      <c r="C837" s="3" t="s">
        <v>32</v>
      </c>
    </row>
    <row r="838">
      <c r="A838" s="4" t="s">
        <v>257</v>
      </c>
      <c r="B838" s="3">
        <v>0.0</v>
      </c>
      <c r="C838" s="3" t="s">
        <v>3</v>
      </c>
    </row>
    <row r="839">
      <c r="A839" s="4" t="s">
        <v>258</v>
      </c>
      <c r="B839" s="3">
        <v>0.0</v>
      </c>
      <c r="C839" s="3" t="s">
        <v>3</v>
      </c>
    </row>
    <row r="840">
      <c r="A840" s="4" t="s">
        <v>259</v>
      </c>
      <c r="B840" s="3">
        <v>0.0</v>
      </c>
      <c r="C840" s="3" t="s">
        <v>3</v>
      </c>
    </row>
    <row r="841">
      <c r="A841" s="4" t="s">
        <v>262</v>
      </c>
      <c r="B841" s="3">
        <v>0.0</v>
      </c>
      <c r="C841" s="3" t="s">
        <v>3</v>
      </c>
    </row>
    <row r="842">
      <c r="A842" s="4" t="s">
        <v>2104</v>
      </c>
      <c r="B842" s="3">
        <v>0.0</v>
      </c>
      <c r="C842" s="3" t="s">
        <v>3</v>
      </c>
    </row>
    <row r="843">
      <c r="A843" s="4" t="s">
        <v>2105</v>
      </c>
      <c r="B843" s="3">
        <v>0.0</v>
      </c>
      <c r="C843" s="3" t="s">
        <v>3</v>
      </c>
    </row>
    <row r="844">
      <c r="A844" s="4" t="s">
        <v>2106</v>
      </c>
      <c r="B844" s="3">
        <v>0.0</v>
      </c>
      <c r="C844" s="3" t="s">
        <v>3</v>
      </c>
    </row>
    <row r="845">
      <c r="A845" s="4" t="s">
        <v>2107</v>
      </c>
      <c r="B845" s="3">
        <v>0.0</v>
      </c>
      <c r="C845" s="3" t="s">
        <v>3</v>
      </c>
    </row>
    <row r="846">
      <c r="A846" s="4" t="s">
        <v>2108</v>
      </c>
      <c r="B846" s="3">
        <v>0.0</v>
      </c>
      <c r="C846" s="3" t="s">
        <v>3</v>
      </c>
    </row>
    <row r="847">
      <c r="A847" s="4" t="s">
        <v>273</v>
      </c>
      <c r="B847" s="3">
        <v>0.0</v>
      </c>
      <c r="C847" s="3" t="s">
        <v>3</v>
      </c>
    </row>
    <row r="848">
      <c r="A848" s="4" t="s">
        <v>276</v>
      </c>
      <c r="B848" s="3">
        <v>0.0</v>
      </c>
      <c r="C848" s="3" t="s">
        <v>3</v>
      </c>
    </row>
    <row r="849">
      <c r="A849" s="4" t="s">
        <v>277</v>
      </c>
      <c r="B849" s="3">
        <v>0.0</v>
      </c>
      <c r="C849" s="3" t="s">
        <v>3</v>
      </c>
    </row>
    <row r="850">
      <c r="A850" s="4" t="s">
        <v>2111</v>
      </c>
      <c r="B850" s="3">
        <v>0.0</v>
      </c>
      <c r="C850" s="3" t="s">
        <v>6</v>
      </c>
    </row>
    <row r="851">
      <c r="A851" s="4" t="s">
        <v>286</v>
      </c>
      <c r="B851" s="3">
        <v>0.0</v>
      </c>
      <c r="C851" s="3" t="s">
        <v>3</v>
      </c>
    </row>
    <row r="852">
      <c r="A852" s="4" t="s">
        <v>2112</v>
      </c>
      <c r="B852" s="3">
        <v>0.0</v>
      </c>
      <c r="C852" s="3" t="s">
        <v>3</v>
      </c>
    </row>
    <row r="853">
      <c r="A853" s="4" t="s">
        <v>2113</v>
      </c>
      <c r="B853" s="3">
        <v>0.0</v>
      </c>
      <c r="C853" s="3" t="s">
        <v>3</v>
      </c>
    </row>
    <row r="854">
      <c r="A854" s="4" t="s">
        <v>2114</v>
      </c>
      <c r="B854" s="3">
        <v>0.0</v>
      </c>
      <c r="C854" s="3" t="s">
        <v>3</v>
      </c>
    </row>
    <row r="855">
      <c r="A855" s="4" t="s">
        <v>296</v>
      </c>
      <c r="B855" s="3">
        <v>0.0</v>
      </c>
      <c r="C855" s="3" t="s">
        <v>3</v>
      </c>
    </row>
    <row r="856">
      <c r="A856" s="4" t="s">
        <v>2118</v>
      </c>
      <c r="B856" s="3">
        <v>0.0</v>
      </c>
      <c r="C856" s="3" t="s">
        <v>3</v>
      </c>
    </row>
    <row r="857">
      <c r="A857" s="4" t="s">
        <v>310</v>
      </c>
      <c r="B857" s="3">
        <v>0.0</v>
      </c>
      <c r="C857" s="3" t="s">
        <v>3</v>
      </c>
    </row>
    <row r="858">
      <c r="A858" s="4" t="s">
        <v>311</v>
      </c>
      <c r="B858" s="3">
        <v>0.0</v>
      </c>
      <c r="C858" s="3" t="s">
        <v>6</v>
      </c>
    </row>
    <row r="859">
      <c r="A859" s="4" t="s">
        <v>2123</v>
      </c>
      <c r="B859" s="3">
        <v>0.0</v>
      </c>
      <c r="C859" s="3" t="s">
        <v>32</v>
      </c>
    </row>
    <row r="860">
      <c r="A860" s="4" t="s">
        <v>2124</v>
      </c>
      <c r="B860" s="3">
        <v>0.0</v>
      </c>
      <c r="C860" s="3" t="s">
        <v>6</v>
      </c>
    </row>
    <row r="861">
      <c r="A861" s="4" t="s">
        <v>2126</v>
      </c>
      <c r="B861" s="3">
        <v>0.0</v>
      </c>
      <c r="C861" s="3" t="s">
        <v>6</v>
      </c>
    </row>
    <row r="862">
      <c r="A862" s="4" t="s">
        <v>347</v>
      </c>
      <c r="B862" s="3">
        <v>0.0</v>
      </c>
      <c r="C862" s="3" t="s">
        <v>32</v>
      </c>
    </row>
    <row r="863">
      <c r="A863" s="4" t="s">
        <v>2129</v>
      </c>
      <c r="B863" s="3">
        <v>0.0</v>
      </c>
      <c r="C863" s="3" t="s">
        <v>3</v>
      </c>
    </row>
    <row r="864">
      <c r="A864" s="4" t="s">
        <v>350</v>
      </c>
      <c r="B864" s="3">
        <v>0.0</v>
      </c>
      <c r="C864" s="3" t="s">
        <v>3</v>
      </c>
    </row>
    <row r="865">
      <c r="A865" s="4" t="s">
        <v>354</v>
      </c>
      <c r="B865" s="3">
        <v>0.0</v>
      </c>
      <c r="C865" s="3" t="s">
        <v>3</v>
      </c>
    </row>
    <row r="866">
      <c r="A866" s="4" t="s">
        <v>2131</v>
      </c>
      <c r="B866" s="3">
        <v>0.0</v>
      </c>
      <c r="C866" s="3" t="s">
        <v>6</v>
      </c>
    </row>
    <row r="867">
      <c r="A867" s="4" t="s">
        <v>357</v>
      </c>
      <c r="B867" s="3">
        <v>0.0</v>
      </c>
      <c r="C867" s="3" t="s">
        <v>3</v>
      </c>
    </row>
    <row r="868">
      <c r="A868" s="4" t="s">
        <v>2132</v>
      </c>
      <c r="B868" s="3">
        <v>0.0</v>
      </c>
      <c r="C868" s="3" t="s">
        <v>3</v>
      </c>
    </row>
    <row r="869">
      <c r="A869" s="4" t="s">
        <v>360</v>
      </c>
      <c r="B869" s="3">
        <v>0.0</v>
      </c>
      <c r="C869" s="3" t="s">
        <v>3</v>
      </c>
    </row>
    <row r="870">
      <c r="A870" s="4" t="s">
        <v>2134</v>
      </c>
      <c r="B870" s="3">
        <v>0.0</v>
      </c>
      <c r="C870" s="3" t="s">
        <v>3</v>
      </c>
    </row>
    <row r="871">
      <c r="A871" s="4" t="s">
        <v>2135</v>
      </c>
      <c r="B871" s="3">
        <v>0.0</v>
      </c>
      <c r="C871" s="3" t="s">
        <v>3</v>
      </c>
    </row>
    <row r="872">
      <c r="A872" s="4" t="s">
        <v>2136</v>
      </c>
      <c r="B872" s="3">
        <v>0.0</v>
      </c>
      <c r="C872" s="3" t="s">
        <v>3</v>
      </c>
    </row>
    <row r="873">
      <c r="A873" s="4" t="s">
        <v>370</v>
      </c>
      <c r="B873" s="3">
        <v>0.0</v>
      </c>
      <c r="C873" s="3" t="s">
        <v>6</v>
      </c>
    </row>
    <row r="874">
      <c r="A874" s="4" t="s">
        <v>373</v>
      </c>
      <c r="B874" s="3">
        <v>0.0</v>
      </c>
      <c r="C874" s="3" t="s">
        <v>6</v>
      </c>
    </row>
    <row r="875">
      <c r="A875" s="4" t="s">
        <v>374</v>
      </c>
      <c r="B875" s="3">
        <v>0.0</v>
      </c>
      <c r="C875" s="3" t="s">
        <v>3</v>
      </c>
    </row>
    <row r="876">
      <c r="A876" s="4" t="s">
        <v>2138</v>
      </c>
      <c r="B876" s="3">
        <v>0.0</v>
      </c>
      <c r="C876" s="3" t="s">
        <v>3</v>
      </c>
    </row>
    <row r="877">
      <c r="A877" s="4" t="s">
        <v>2139</v>
      </c>
      <c r="B877" s="3">
        <v>0.0</v>
      </c>
      <c r="C877" s="3" t="s">
        <v>3</v>
      </c>
    </row>
    <row r="878">
      <c r="A878" s="4" t="s">
        <v>383</v>
      </c>
      <c r="B878" s="3">
        <v>0.0</v>
      </c>
      <c r="C878" s="3" t="s">
        <v>3</v>
      </c>
    </row>
    <row r="879">
      <c r="A879" s="4" t="s">
        <v>384</v>
      </c>
      <c r="B879" s="3">
        <v>0.0</v>
      </c>
      <c r="C879" s="3" t="s">
        <v>3</v>
      </c>
    </row>
    <row r="880">
      <c r="A880" s="4" t="s">
        <v>385</v>
      </c>
      <c r="B880" s="3">
        <v>0.0</v>
      </c>
      <c r="C880" s="3" t="s">
        <v>32</v>
      </c>
    </row>
    <row r="881">
      <c r="A881" s="4" t="s">
        <v>386</v>
      </c>
      <c r="B881" s="3">
        <v>0.0</v>
      </c>
      <c r="C881" s="3" t="s">
        <v>6</v>
      </c>
    </row>
    <row r="882">
      <c r="A882" s="4" t="s">
        <v>387</v>
      </c>
      <c r="B882" s="3">
        <v>0.0</v>
      </c>
      <c r="C882" s="3" t="s">
        <v>6</v>
      </c>
    </row>
    <row r="883">
      <c r="A883" s="4" t="s">
        <v>2140</v>
      </c>
      <c r="B883" s="3">
        <v>0.0</v>
      </c>
      <c r="C883" s="3" t="s">
        <v>3</v>
      </c>
    </row>
    <row r="884">
      <c r="A884" s="4" t="s">
        <v>2141</v>
      </c>
      <c r="B884" s="3">
        <v>0.0</v>
      </c>
      <c r="C884" s="3" t="s">
        <v>3</v>
      </c>
    </row>
    <row r="885">
      <c r="A885" s="4" t="s">
        <v>2143</v>
      </c>
      <c r="B885" s="3">
        <v>0.0</v>
      </c>
      <c r="C885" s="3" t="s">
        <v>26</v>
      </c>
    </row>
    <row r="886">
      <c r="A886" s="4" t="s">
        <v>401</v>
      </c>
      <c r="B886" s="3">
        <v>0.0</v>
      </c>
      <c r="C886" s="3" t="s">
        <v>32</v>
      </c>
    </row>
    <row r="887">
      <c r="A887" s="4" t="s">
        <v>402</v>
      </c>
      <c r="B887" s="3">
        <v>0.0</v>
      </c>
      <c r="C887" s="3" t="s">
        <v>6</v>
      </c>
    </row>
    <row r="888">
      <c r="A888" s="4" t="s">
        <v>403</v>
      </c>
      <c r="B888" s="3">
        <v>0.0</v>
      </c>
      <c r="C888" s="3" t="s">
        <v>3</v>
      </c>
    </row>
    <row r="889">
      <c r="A889" s="4" t="s">
        <v>404</v>
      </c>
      <c r="B889" s="3">
        <v>0.0</v>
      </c>
      <c r="C889" s="3" t="s">
        <v>3</v>
      </c>
    </row>
    <row r="890">
      <c r="A890" s="4" t="s">
        <v>409</v>
      </c>
      <c r="B890" s="3">
        <v>0.0</v>
      </c>
      <c r="C890" s="3" t="s">
        <v>6</v>
      </c>
    </row>
    <row r="891">
      <c r="A891" s="4" t="s">
        <v>411</v>
      </c>
      <c r="B891" s="3">
        <v>0.0</v>
      </c>
      <c r="C891" s="3" t="s">
        <v>3</v>
      </c>
    </row>
    <row r="892">
      <c r="A892" s="4" t="s">
        <v>2145</v>
      </c>
      <c r="B892" s="3">
        <v>0.0</v>
      </c>
      <c r="C892" s="3" t="s">
        <v>6</v>
      </c>
    </row>
    <row r="893">
      <c r="A893" s="4" t="s">
        <v>2146</v>
      </c>
      <c r="B893" s="3">
        <v>0.0</v>
      </c>
      <c r="C893" s="3" t="s">
        <v>3</v>
      </c>
    </row>
    <row r="894">
      <c r="A894" s="4" t="s">
        <v>2147</v>
      </c>
      <c r="B894" s="3">
        <v>0.0</v>
      </c>
      <c r="C894" s="3" t="s">
        <v>3</v>
      </c>
    </row>
    <row r="895">
      <c r="A895" s="4" t="s">
        <v>419</v>
      </c>
      <c r="B895" s="3">
        <v>0.0</v>
      </c>
      <c r="C895" s="3" t="s">
        <v>3</v>
      </c>
    </row>
    <row r="896">
      <c r="A896" s="4" t="s">
        <v>2148</v>
      </c>
      <c r="B896" s="3">
        <v>0.0</v>
      </c>
      <c r="C896" s="3" t="s">
        <v>29</v>
      </c>
    </row>
    <row r="897">
      <c r="A897" s="4" t="s">
        <v>422</v>
      </c>
      <c r="B897" s="3">
        <v>0.0</v>
      </c>
      <c r="C897" s="3" t="s">
        <v>29</v>
      </c>
    </row>
    <row r="898">
      <c r="A898" s="4" t="s">
        <v>423</v>
      </c>
      <c r="B898" s="3">
        <v>0.0</v>
      </c>
      <c r="C898" s="3" t="s">
        <v>3</v>
      </c>
    </row>
    <row r="899">
      <c r="A899" s="4" t="s">
        <v>424</v>
      </c>
      <c r="B899" s="3">
        <v>0.0</v>
      </c>
      <c r="C899" s="3" t="s">
        <v>3</v>
      </c>
    </row>
    <row r="900">
      <c r="A900" s="4" t="s">
        <v>2149</v>
      </c>
      <c r="B900" s="3">
        <v>0.0</v>
      </c>
      <c r="C900" s="3" t="s">
        <v>3</v>
      </c>
    </row>
    <row r="901">
      <c r="A901" s="4" t="s">
        <v>2151</v>
      </c>
      <c r="B901" s="3">
        <v>0.0</v>
      </c>
      <c r="C901" s="3" t="s">
        <v>29</v>
      </c>
    </row>
    <row r="902">
      <c r="A902" s="4" t="s">
        <v>2152</v>
      </c>
      <c r="B902" s="3">
        <v>0.0</v>
      </c>
      <c r="C902" s="3" t="s">
        <v>3</v>
      </c>
    </row>
    <row r="903">
      <c r="A903" s="4" t="s">
        <v>2154</v>
      </c>
      <c r="B903" s="3">
        <v>0.0</v>
      </c>
      <c r="C903" s="3" t="s">
        <v>3</v>
      </c>
    </row>
    <row r="904">
      <c r="A904" s="4" t="s">
        <v>2155</v>
      </c>
      <c r="B904" s="3">
        <v>0.0</v>
      </c>
      <c r="C904" s="3" t="s">
        <v>6</v>
      </c>
    </row>
    <row r="905">
      <c r="A905" s="4" t="s">
        <v>441</v>
      </c>
      <c r="B905" s="3">
        <v>0.0</v>
      </c>
      <c r="C905" s="3" t="s">
        <v>29</v>
      </c>
    </row>
    <row r="906">
      <c r="A906" s="4" t="s">
        <v>449</v>
      </c>
      <c r="B906" s="3">
        <v>0.0</v>
      </c>
      <c r="C906" s="3" t="s">
        <v>32</v>
      </c>
    </row>
    <row r="907">
      <c r="A907" s="4" t="s">
        <v>451</v>
      </c>
      <c r="B907" s="3">
        <v>0.0</v>
      </c>
      <c r="C907" s="3" t="s">
        <v>3</v>
      </c>
    </row>
    <row r="908">
      <c r="A908" s="4" t="s">
        <v>453</v>
      </c>
      <c r="B908" s="3">
        <v>0.0</v>
      </c>
      <c r="C908" s="3" t="s">
        <v>3</v>
      </c>
    </row>
    <row r="909">
      <c r="A909" s="4" t="s">
        <v>454</v>
      </c>
      <c r="B909" s="3">
        <v>0.0</v>
      </c>
      <c r="C909" s="3" t="s">
        <v>3</v>
      </c>
    </row>
    <row r="910">
      <c r="A910" s="4" t="s">
        <v>455</v>
      </c>
      <c r="B910" s="3">
        <v>0.0</v>
      </c>
      <c r="C910" s="3" t="s">
        <v>3</v>
      </c>
    </row>
    <row r="911">
      <c r="A911" s="4" t="s">
        <v>456</v>
      </c>
      <c r="B911" s="3">
        <v>0.0</v>
      </c>
      <c r="C911" s="3" t="s">
        <v>6</v>
      </c>
    </row>
    <row r="912">
      <c r="A912" s="4" t="s">
        <v>2156</v>
      </c>
      <c r="B912" s="3">
        <v>0.0</v>
      </c>
      <c r="C912" s="3" t="s">
        <v>3</v>
      </c>
    </row>
    <row r="913">
      <c r="A913" s="4" t="s">
        <v>2158</v>
      </c>
      <c r="B913" s="3">
        <v>0.0</v>
      </c>
      <c r="C913" s="3" t="s">
        <v>3</v>
      </c>
    </row>
    <row r="914">
      <c r="A914" s="4" t="s">
        <v>464</v>
      </c>
      <c r="B914" s="3">
        <v>0.0</v>
      </c>
      <c r="C914" s="3" t="s">
        <v>3</v>
      </c>
    </row>
    <row r="915">
      <c r="A915" s="4" t="s">
        <v>2160</v>
      </c>
      <c r="B915" s="3">
        <v>0.0</v>
      </c>
      <c r="C915" s="3" t="s">
        <v>3</v>
      </c>
    </row>
    <row r="916">
      <c r="A916" s="4" t="s">
        <v>2161</v>
      </c>
      <c r="B916" s="3">
        <v>0.0</v>
      </c>
      <c r="C916" s="3" t="s">
        <v>3</v>
      </c>
    </row>
    <row r="917">
      <c r="A917" s="4" t="s">
        <v>2163</v>
      </c>
      <c r="B917" s="3">
        <v>0.0</v>
      </c>
      <c r="C917" s="3" t="s">
        <v>3</v>
      </c>
    </row>
    <row r="918">
      <c r="A918" s="4" t="s">
        <v>2164</v>
      </c>
      <c r="B918" s="3">
        <v>0.0</v>
      </c>
      <c r="C918" s="3" t="s">
        <v>3</v>
      </c>
    </row>
    <row r="919">
      <c r="A919" s="4" t="s">
        <v>2166</v>
      </c>
      <c r="B919" s="3">
        <v>0.0</v>
      </c>
      <c r="C919" s="3" t="s">
        <v>3</v>
      </c>
    </row>
    <row r="920">
      <c r="A920" s="4" t="s">
        <v>2167</v>
      </c>
      <c r="B920" s="3">
        <v>0.0</v>
      </c>
      <c r="C920" s="3" t="s">
        <v>3</v>
      </c>
    </row>
    <row r="921">
      <c r="A921" s="4" t="s">
        <v>2169</v>
      </c>
      <c r="B921" s="3">
        <v>0.0</v>
      </c>
      <c r="C921" s="3" t="s">
        <v>6</v>
      </c>
    </row>
    <row r="922">
      <c r="A922" s="4" t="s">
        <v>2170</v>
      </c>
      <c r="B922" s="3">
        <v>0.0</v>
      </c>
      <c r="C922" s="3" t="s">
        <v>3</v>
      </c>
    </row>
    <row r="923">
      <c r="A923" s="4" t="s">
        <v>2171</v>
      </c>
      <c r="B923" s="3">
        <v>0.0</v>
      </c>
      <c r="C923" s="3" t="s">
        <v>3</v>
      </c>
    </row>
    <row r="924">
      <c r="A924" s="4" t="s">
        <v>2172</v>
      </c>
      <c r="B924" s="3">
        <v>0.0</v>
      </c>
      <c r="C924" s="3" t="s">
        <v>3</v>
      </c>
    </row>
    <row r="925">
      <c r="A925" s="4" t="s">
        <v>2173</v>
      </c>
      <c r="B925" s="3">
        <v>0.0</v>
      </c>
      <c r="C925" s="3" t="s">
        <v>6</v>
      </c>
    </row>
    <row r="926">
      <c r="A926" s="4" t="s">
        <v>2174</v>
      </c>
      <c r="B926" s="3">
        <v>0.0</v>
      </c>
      <c r="C926" s="3" t="s">
        <v>3</v>
      </c>
    </row>
    <row r="927">
      <c r="A927" s="4" t="s">
        <v>2175</v>
      </c>
      <c r="B927" s="3">
        <v>0.0</v>
      </c>
      <c r="C927" s="3" t="s">
        <v>3</v>
      </c>
    </row>
    <row r="928">
      <c r="A928" s="4" t="s">
        <v>515</v>
      </c>
      <c r="B928" s="3">
        <v>0.0</v>
      </c>
      <c r="C928" s="3" t="s">
        <v>6</v>
      </c>
    </row>
    <row r="929">
      <c r="A929" s="4" t="s">
        <v>2176</v>
      </c>
      <c r="B929" s="3">
        <v>0.0</v>
      </c>
      <c r="C929" s="3" t="s">
        <v>3</v>
      </c>
    </row>
    <row r="930">
      <c r="A930" s="4" t="s">
        <v>2177</v>
      </c>
      <c r="B930" s="3">
        <v>0.0</v>
      </c>
      <c r="C930" s="3" t="s">
        <v>3</v>
      </c>
    </row>
    <row r="931">
      <c r="A931" s="4" t="s">
        <v>534</v>
      </c>
      <c r="B931" s="3">
        <v>0.0</v>
      </c>
      <c r="C931" s="3" t="s">
        <v>26</v>
      </c>
    </row>
    <row r="932">
      <c r="A932" s="4" t="s">
        <v>539</v>
      </c>
      <c r="B932" s="3">
        <v>0.0</v>
      </c>
      <c r="C932" s="3" t="s">
        <v>6</v>
      </c>
    </row>
    <row r="933">
      <c r="A933" s="4" t="s">
        <v>542</v>
      </c>
      <c r="B933" s="3">
        <v>0.0</v>
      </c>
      <c r="C933" s="3" t="s">
        <v>3</v>
      </c>
    </row>
    <row r="934">
      <c r="A934" s="4" t="s">
        <v>2182</v>
      </c>
      <c r="B934" s="3">
        <v>0.0</v>
      </c>
      <c r="C934" s="3" t="s">
        <v>3</v>
      </c>
    </row>
    <row r="935">
      <c r="A935" s="4" t="s">
        <v>545</v>
      </c>
      <c r="B935" s="3">
        <v>0.0</v>
      </c>
      <c r="C935" s="3" t="s">
        <v>3</v>
      </c>
    </row>
    <row r="936">
      <c r="A936" s="4" t="s">
        <v>546</v>
      </c>
      <c r="B936" s="3">
        <v>0.0</v>
      </c>
      <c r="C936" s="3" t="s">
        <v>3</v>
      </c>
    </row>
    <row r="937">
      <c r="A937" s="4" t="s">
        <v>548</v>
      </c>
      <c r="B937" s="3">
        <v>0.0</v>
      </c>
      <c r="C937" s="3" t="s">
        <v>29</v>
      </c>
    </row>
    <row r="938">
      <c r="A938" s="4" t="s">
        <v>551</v>
      </c>
      <c r="B938" s="3">
        <v>0.0</v>
      </c>
      <c r="C938" s="3" t="s">
        <v>29</v>
      </c>
    </row>
    <row r="939">
      <c r="A939" s="4" t="s">
        <v>553</v>
      </c>
      <c r="B939" s="3">
        <v>0.0</v>
      </c>
      <c r="C939" s="3" t="s">
        <v>29</v>
      </c>
    </row>
    <row r="940">
      <c r="A940" s="4" t="s">
        <v>554</v>
      </c>
      <c r="B940" s="3">
        <v>0.0</v>
      </c>
      <c r="C940" s="3" t="s">
        <v>29</v>
      </c>
    </row>
    <row r="941">
      <c r="A941" s="4" t="s">
        <v>2183</v>
      </c>
      <c r="B941" s="3">
        <v>0.0</v>
      </c>
      <c r="C941" s="3" t="s">
        <v>29</v>
      </c>
    </row>
    <row r="942">
      <c r="A942" s="4" t="s">
        <v>561</v>
      </c>
      <c r="B942" s="3">
        <v>0.0</v>
      </c>
      <c r="C942" s="3" t="s">
        <v>29</v>
      </c>
    </row>
    <row r="943">
      <c r="A943" s="4" t="s">
        <v>562</v>
      </c>
      <c r="B943" s="3">
        <v>0.0</v>
      </c>
      <c r="C943" s="3" t="s">
        <v>29</v>
      </c>
    </row>
    <row r="944">
      <c r="A944" s="4" t="s">
        <v>563</v>
      </c>
      <c r="B944" s="3">
        <v>0.0</v>
      </c>
      <c r="C944" s="3" t="s">
        <v>29</v>
      </c>
    </row>
    <row r="945">
      <c r="A945" s="4" t="s">
        <v>564</v>
      </c>
      <c r="B945" s="3">
        <v>0.0</v>
      </c>
      <c r="C945" s="3" t="s">
        <v>484</v>
      </c>
    </row>
    <row r="946">
      <c r="A946" s="4" t="s">
        <v>565</v>
      </c>
      <c r="B946" s="3">
        <v>0.0</v>
      </c>
      <c r="C946" s="3" t="s">
        <v>29</v>
      </c>
    </row>
    <row r="947">
      <c r="A947" s="4" t="s">
        <v>566</v>
      </c>
      <c r="B947" s="3">
        <v>0.0</v>
      </c>
      <c r="C947" s="3" t="s">
        <v>29</v>
      </c>
    </row>
    <row r="948">
      <c r="A948" s="4" t="s">
        <v>567</v>
      </c>
      <c r="B948" s="3">
        <v>0.0</v>
      </c>
      <c r="C948" s="3" t="s">
        <v>3</v>
      </c>
    </row>
    <row r="949">
      <c r="A949" s="4" t="s">
        <v>568</v>
      </c>
      <c r="B949" s="3">
        <v>0.0</v>
      </c>
      <c r="C949" s="3" t="s">
        <v>3</v>
      </c>
    </row>
    <row r="950">
      <c r="A950" s="4" t="s">
        <v>573</v>
      </c>
      <c r="B950" s="3">
        <v>0.0</v>
      </c>
      <c r="C950" s="3" t="s">
        <v>3</v>
      </c>
    </row>
    <row r="951">
      <c r="A951" s="4" t="s">
        <v>577</v>
      </c>
      <c r="B951" s="3">
        <v>0.0</v>
      </c>
      <c r="C951" s="3" t="s">
        <v>32</v>
      </c>
    </row>
    <row r="952">
      <c r="A952" s="4" t="s">
        <v>2187</v>
      </c>
      <c r="B952" s="3">
        <v>0.0</v>
      </c>
      <c r="C952" s="3" t="s">
        <v>6</v>
      </c>
    </row>
    <row r="953">
      <c r="A953" s="4" t="s">
        <v>588</v>
      </c>
      <c r="B953" s="3">
        <v>0.0</v>
      </c>
      <c r="C953" s="3" t="s">
        <v>3</v>
      </c>
    </row>
    <row r="954">
      <c r="A954" s="4" t="s">
        <v>591</v>
      </c>
      <c r="B954" s="3">
        <v>0.0</v>
      </c>
      <c r="C954" s="3" t="s">
        <v>3</v>
      </c>
    </row>
    <row r="955">
      <c r="A955" s="4" t="s">
        <v>592</v>
      </c>
      <c r="B955" s="3">
        <v>0.0</v>
      </c>
      <c r="C955" s="3" t="s">
        <v>3</v>
      </c>
    </row>
    <row r="956">
      <c r="A956" s="4" t="s">
        <v>593</v>
      </c>
      <c r="B956" s="3">
        <v>0.0</v>
      </c>
      <c r="C956" s="3" t="s">
        <v>3</v>
      </c>
    </row>
    <row r="957">
      <c r="A957" s="4" t="s">
        <v>594</v>
      </c>
      <c r="B957" s="3">
        <v>0.0</v>
      </c>
      <c r="C957" s="3" t="s">
        <v>6</v>
      </c>
    </row>
    <row r="958">
      <c r="A958" s="4" t="s">
        <v>595</v>
      </c>
      <c r="B958" s="3">
        <v>0.0</v>
      </c>
      <c r="C958" s="3" t="s">
        <v>3</v>
      </c>
    </row>
    <row r="959">
      <c r="A959" s="4" t="s">
        <v>2188</v>
      </c>
      <c r="B959" s="3">
        <v>0.0</v>
      </c>
      <c r="C959" s="3" t="s">
        <v>3</v>
      </c>
    </row>
    <row r="960">
      <c r="A960" s="4" t="s">
        <v>598</v>
      </c>
      <c r="B960" s="3">
        <v>0.0</v>
      </c>
      <c r="C960" s="3" t="s">
        <v>3</v>
      </c>
    </row>
    <row r="961">
      <c r="A961" s="4" t="s">
        <v>610</v>
      </c>
      <c r="B961" s="3">
        <v>0.0</v>
      </c>
      <c r="C961" s="3" t="s">
        <v>6</v>
      </c>
    </row>
    <row r="962">
      <c r="A962" s="4" t="s">
        <v>612</v>
      </c>
      <c r="B962" s="3">
        <v>0.0</v>
      </c>
      <c r="C962" s="3" t="s">
        <v>6</v>
      </c>
    </row>
    <row r="963">
      <c r="A963" s="4" t="s">
        <v>613</v>
      </c>
      <c r="B963" s="3">
        <v>0.0</v>
      </c>
      <c r="C963" s="3" t="s">
        <v>3</v>
      </c>
    </row>
    <row r="964">
      <c r="A964" s="4" t="s">
        <v>615</v>
      </c>
      <c r="B964" s="3">
        <v>0.0</v>
      </c>
      <c r="C964" s="3" t="s">
        <v>3</v>
      </c>
    </row>
    <row r="965">
      <c r="A965" s="4" t="s">
        <v>616</v>
      </c>
      <c r="B965" s="3">
        <v>0.0</v>
      </c>
      <c r="C965" s="3" t="s">
        <v>3</v>
      </c>
    </row>
    <row r="966">
      <c r="A966" s="4" t="s">
        <v>617</v>
      </c>
      <c r="B966" s="3">
        <v>0.0</v>
      </c>
      <c r="C966" s="3" t="s">
        <v>3</v>
      </c>
    </row>
    <row r="967">
      <c r="A967" s="4" t="s">
        <v>618</v>
      </c>
      <c r="B967" s="3">
        <v>0.0</v>
      </c>
      <c r="C967" s="3" t="s">
        <v>3</v>
      </c>
    </row>
    <row r="968">
      <c r="A968" s="4" t="s">
        <v>619</v>
      </c>
      <c r="B968" s="3">
        <v>0.0</v>
      </c>
      <c r="C968" s="3" t="s">
        <v>3</v>
      </c>
    </row>
    <row r="969">
      <c r="A969" s="4" t="s">
        <v>620</v>
      </c>
      <c r="B969" s="3">
        <v>0.0</v>
      </c>
      <c r="C969" s="3" t="s">
        <v>6</v>
      </c>
    </row>
    <row r="970">
      <c r="A970" s="4" t="s">
        <v>624</v>
      </c>
      <c r="B970" s="3">
        <v>0.0</v>
      </c>
      <c r="C970" s="3" t="s">
        <v>3</v>
      </c>
    </row>
    <row r="971">
      <c r="A971" s="4" t="s">
        <v>627</v>
      </c>
      <c r="B971" s="3">
        <v>0.0</v>
      </c>
      <c r="C971" s="3" t="s">
        <v>3</v>
      </c>
    </row>
    <row r="972">
      <c r="A972" s="4" t="s">
        <v>632</v>
      </c>
      <c r="B972" s="3">
        <v>0.0</v>
      </c>
      <c r="C972" s="3" t="s">
        <v>3</v>
      </c>
    </row>
    <row r="973">
      <c r="A973" s="4" t="s">
        <v>2191</v>
      </c>
      <c r="B973" s="3">
        <v>0.0</v>
      </c>
      <c r="C973" s="3" t="s">
        <v>37</v>
      </c>
    </row>
    <row r="974">
      <c r="A974" s="4" t="s">
        <v>638</v>
      </c>
      <c r="B974" s="3">
        <v>0.0</v>
      </c>
      <c r="C974" s="3" t="s">
        <v>3</v>
      </c>
    </row>
    <row r="975">
      <c r="A975" s="4" t="s">
        <v>644</v>
      </c>
      <c r="B975" s="3">
        <v>0.0</v>
      </c>
      <c r="C975" s="3" t="s">
        <v>3</v>
      </c>
    </row>
    <row r="976">
      <c r="A976" s="4" t="s">
        <v>651</v>
      </c>
      <c r="B976" s="3">
        <v>0.0</v>
      </c>
      <c r="C976" s="3" t="s">
        <v>3</v>
      </c>
    </row>
    <row r="977">
      <c r="A977" s="4" t="s">
        <v>654</v>
      </c>
      <c r="B977" s="3">
        <v>0.0</v>
      </c>
      <c r="C977" s="3" t="s">
        <v>29</v>
      </c>
    </row>
    <row r="978">
      <c r="A978" s="4" t="s">
        <v>2193</v>
      </c>
      <c r="B978" s="3">
        <v>0.0</v>
      </c>
      <c r="C978" s="3" t="s">
        <v>32</v>
      </c>
    </row>
    <row r="979">
      <c r="A979" s="4" t="s">
        <v>661</v>
      </c>
      <c r="B979" s="3">
        <v>0.0</v>
      </c>
      <c r="C979" s="3" t="s">
        <v>29</v>
      </c>
    </row>
    <row r="980">
      <c r="A980" s="4" t="s">
        <v>667</v>
      </c>
      <c r="B980" s="3">
        <v>0.0</v>
      </c>
      <c r="C980" s="3" t="s">
        <v>668</v>
      </c>
    </row>
    <row r="981">
      <c r="A981" s="4" t="s">
        <v>671</v>
      </c>
      <c r="B981" s="3">
        <v>0.0</v>
      </c>
      <c r="C981" s="3" t="s">
        <v>32</v>
      </c>
    </row>
    <row r="982">
      <c r="A982" s="4" t="s">
        <v>672</v>
      </c>
      <c r="B982" s="3">
        <v>0.0</v>
      </c>
      <c r="C982" s="3" t="s">
        <v>3</v>
      </c>
    </row>
    <row r="983">
      <c r="A983" s="4" t="s">
        <v>673</v>
      </c>
      <c r="B983" s="3">
        <v>0.0</v>
      </c>
      <c r="C983" s="3" t="s">
        <v>29</v>
      </c>
    </row>
    <row r="984">
      <c r="A984" s="4" t="s">
        <v>677</v>
      </c>
      <c r="B984" s="3">
        <v>0.0</v>
      </c>
      <c r="C984" s="3" t="s">
        <v>3</v>
      </c>
    </row>
    <row r="985">
      <c r="A985" s="4" t="s">
        <v>678</v>
      </c>
      <c r="B985" s="3">
        <v>0.0</v>
      </c>
      <c r="C985" s="3" t="s">
        <v>32</v>
      </c>
    </row>
    <row r="986">
      <c r="A986" s="4" t="s">
        <v>682</v>
      </c>
      <c r="B986" s="3">
        <v>0.0</v>
      </c>
      <c r="C986" s="3" t="s">
        <v>26</v>
      </c>
    </row>
    <row r="987">
      <c r="A987" s="4" t="s">
        <v>685</v>
      </c>
      <c r="B987" s="3">
        <v>0.0</v>
      </c>
      <c r="C987" s="3" t="s">
        <v>6</v>
      </c>
    </row>
    <row r="988">
      <c r="A988" s="4" t="s">
        <v>688</v>
      </c>
      <c r="B988" s="3">
        <v>0.0</v>
      </c>
      <c r="C988" s="3" t="s">
        <v>6</v>
      </c>
    </row>
    <row r="989">
      <c r="A989" s="4" t="s">
        <v>690</v>
      </c>
      <c r="B989" s="3">
        <v>0.0</v>
      </c>
      <c r="C989" s="3" t="s">
        <v>29</v>
      </c>
    </row>
    <row r="990">
      <c r="A990" s="4" t="s">
        <v>693</v>
      </c>
      <c r="B990" s="3">
        <v>0.0</v>
      </c>
      <c r="C990" s="3" t="s">
        <v>3</v>
      </c>
    </row>
    <row r="991">
      <c r="A991" s="4" t="s">
        <v>694</v>
      </c>
      <c r="B991" s="3">
        <v>0.0</v>
      </c>
      <c r="C991" s="3" t="s">
        <v>6</v>
      </c>
    </row>
    <row r="992">
      <c r="A992" s="4" t="s">
        <v>695</v>
      </c>
      <c r="B992" s="3">
        <v>0.0</v>
      </c>
      <c r="C992" s="3" t="s">
        <v>3</v>
      </c>
    </row>
    <row r="993">
      <c r="A993" s="4" t="s">
        <v>696</v>
      </c>
      <c r="B993" s="3">
        <v>0.0</v>
      </c>
      <c r="C993" s="3" t="s">
        <v>3</v>
      </c>
    </row>
    <row r="994">
      <c r="A994" s="4" t="s">
        <v>699</v>
      </c>
      <c r="B994" s="3">
        <v>0.0</v>
      </c>
      <c r="C994" s="3" t="s">
        <v>3</v>
      </c>
    </row>
    <row r="995">
      <c r="A995" s="4" t="s">
        <v>2196</v>
      </c>
      <c r="B995" s="3">
        <v>0.0</v>
      </c>
      <c r="C995" s="3" t="s">
        <v>3</v>
      </c>
    </row>
    <row r="996">
      <c r="A996" s="4" t="s">
        <v>709</v>
      </c>
      <c r="B996" s="3">
        <v>0.0</v>
      </c>
      <c r="C996" s="3" t="s">
        <v>29</v>
      </c>
    </row>
    <row r="997">
      <c r="A997" s="4" t="s">
        <v>710</v>
      </c>
      <c r="B997" s="3">
        <v>0.0</v>
      </c>
      <c r="C997" s="3" t="s">
        <v>6</v>
      </c>
    </row>
    <row r="998">
      <c r="A998" s="4" t="s">
        <v>711</v>
      </c>
      <c r="B998" s="3">
        <v>0.0</v>
      </c>
      <c r="C998" s="3" t="s">
        <v>3</v>
      </c>
    </row>
    <row r="999">
      <c r="A999" s="4" t="s">
        <v>714</v>
      </c>
      <c r="B999" s="3">
        <v>0.0</v>
      </c>
      <c r="C999" s="3" t="s">
        <v>6</v>
      </c>
    </row>
    <row r="1000">
      <c r="A1000" s="4" t="s">
        <v>719</v>
      </c>
      <c r="B1000" s="3">
        <v>0.0</v>
      </c>
      <c r="C1000" s="3" t="s">
        <v>29</v>
      </c>
    </row>
    <row r="1001">
      <c r="A1001" s="4" t="s">
        <v>721</v>
      </c>
      <c r="B1001" s="3">
        <v>0.0</v>
      </c>
      <c r="C1001" s="3" t="s">
        <v>3</v>
      </c>
    </row>
    <row r="1002">
      <c r="A1002" s="4" t="s">
        <v>724</v>
      </c>
      <c r="B1002" s="3">
        <v>0.0</v>
      </c>
      <c r="C1002" s="3" t="s">
        <v>29</v>
      </c>
    </row>
    <row r="1003">
      <c r="A1003" s="4" t="s">
        <v>728</v>
      </c>
      <c r="B1003" s="3">
        <v>0.0</v>
      </c>
      <c r="C1003" s="3" t="s">
        <v>3</v>
      </c>
    </row>
    <row r="1004">
      <c r="A1004" s="4" t="s">
        <v>731</v>
      </c>
      <c r="B1004" s="3">
        <v>0.0</v>
      </c>
      <c r="C1004" s="3" t="s">
        <v>3</v>
      </c>
    </row>
    <row r="1005">
      <c r="A1005" s="4" t="s">
        <v>2199</v>
      </c>
      <c r="B1005" s="3">
        <v>0.0</v>
      </c>
      <c r="C1005" s="3" t="s">
        <v>3</v>
      </c>
    </row>
    <row r="1006">
      <c r="A1006" s="4" t="s">
        <v>736</v>
      </c>
      <c r="B1006" s="3">
        <v>0.0</v>
      </c>
      <c r="C1006" s="3" t="s">
        <v>3</v>
      </c>
    </row>
    <row r="1007">
      <c r="A1007" s="4" t="s">
        <v>2201</v>
      </c>
      <c r="B1007" s="3">
        <v>0.0</v>
      </c>
      <c r="C1007" s="3" t="s">
        <v>3</v>
      </c>
    </row>
    <row r="1008">
      <c r="A1008" s="4" t="s">
        <v>744</v>
      </c>
      <c r="B1008" s="3">
        <v>0.0</v>
      </c>
      <c r="C1008" s="3" t="s">
        <v>3</v>
      </c>
    </row>
    <row r="1009">
      <c r="A1009" s="4" t="s">
        <v>747</v>
      </c>
      <c r="B1009" s="3">
        <v>0.0</v>
      </c>
      <c r="C1009" s="3" t="s">
        <v>3</v>
      </c>
    </row>
    <row r="1010">
      <c r="A1010" s="4" t="s">
        <v>748</v>
      </c>
      <c r="B1010" s="3">
        <v>0.0</v>
      </c>
      <c r="C1010" s="3" t="s">
        <v>32</v>
      </c>
    </row>
    <row r="1011">
      <c r="A1011" s="4" t="s">
        <v>749</v>
      </c>
      <c r="B1011" s="3">
        <v>0.0</v>
      </c>
      <c r="C1011" s="3" t="s">
        <v>6</v>
      </c>
    </row>
    <row r="1012">
      <c r="A1012" s="4" t="s">
        <v>2203</v>
      </c>
      <c r="B1012" s="3">
        <v>0.0</v>
      </c>
      <c r="C1012" s="3" t="s">
        <v>3</v>
      </c>
    </row>
    <row r="1013">
      <c r="A1013" s="4" t="s">
        <v>762</v>
      </c>
      <c r="B1013" s="3">
        <v>0.0</v>
      </c>
      <c r="C1013" s="3" t="s">
        <v>3</v>
      </c>
    </row>
    <row r="1014">
      <c r="A1014" s="4" t="s">
        <v>763</v>
      </c>
      <c r="B1014" s="3">
        <v>0.0</v>
      </c>
      <c r="C1014" s="3" t="s">
        <v>3</v>
      </c>
    </row>
    <row r="1015">
      <c r="A1015" s="4" t="s">
        <v>766</v>
      </c>
      <c r="B1015" s="3">
        <v>0.0</v>
      </c>
      <c r="C1015" s="3" t="s">
        <v>3</v>
      </c>
    </row>
    <row r="1016">
      <c r="A1016" s="4" t="s">
        <v>767</v>
      </c>
      <c r="B1016" s="3">
        <v>0.0</v>
      </c>
      <c r="C1016" s="3" t="s">
        <v>3</v>
      </c>
    </row>
    <row r="1017">
      <c r="A1017" s="4" t="s">
        <v>768</v>
      </c>
      <c r="B1017" s="3">
        <v>0.0</v>
      </c>
      <c r="C1017" s="3" t="s">
        <v>3</v>
      </c>
    </row>
    <row r="1018">
      <c r="A1018" s="4" t="s">
        <v>769</v>
      </c>
      <c r="B1018" s="3">
        <v>0.0</v>
      </c>
      <c r="C1018" s="3" t="s">
        <v>3</v>
      </c>
    </row>
    <row r="1019">
      <c r="A1019" s="4" t="s">
        <v>770</v>
      </c>
      <c r="B1019" s="3">
        <v>0.0</v>
      </c>
      <c r="C1019" s="3" t="s">
        <v>3</v>
      </c>
    </row>
    <row r="1020">
      <c r="A1020" s="4" t="s">
        <v>771</v>
      </c>
      <c r="B1020" s="3">
        <v>0.0</v>
      </c>
      <c r="C1020" s="3" t="s">
        <v>3</v>
      </c>
    </row>
    <row r="1021">
      <c r="A1021" s="4" t="s">
        <v>772</v>
      </c>
      <c r="B1021" s="3">
        <v>0.0</v>
      </c>
      <c r="C1021" s="3" t="s">
        <v>3</v>
      </c>
    </row>
    <row r="1022">
      <c r="A1022" s="4" t="s">
        <v>773</v>
      </c>
      <c r="B1022" s="3">
        <v>0.0</v>
      </c>
      <c r="C1022" s="3" t="s">
        <v>3</v>
      </c>
    </row>
    <row r="1023">
      <c r="A1023" s="4" t="s">
        <v>2205</v>
      </c>
      <c r="B1023" s="3">
        <v>0.0</v>
      </c>
      <c r="C1023" s="3" t="s">
        <v>3</v>
      </c>
    </row>
    <row r="1024">
      <c r="A1024" s="4" t="s">
        <v>781</v>
      </c>
      <c r="B1024" s="3">
        <v>0.0</v>
      </c>
      <c r="C1024" s="3" t="s">
        <v>6</v>
      </c>
    </row>
    <row r="1025">
      <c r="A1025" s="4" t="s">
        <v>782</v>
      </c>
      <c r="B1025" s="3">
        <v>0.0</v>
      </c>
      <c r="C1025" s="3" t="s">
        <v>3</v>
      </c>
    </row>
    <row r="1026">
      <c r="A1026" s="4" t="s">
        <v>783</v>
      </c>
      <c r="B1026" s="3">
        <v>0.0</v>
      </c>
      <c r="C1026" s="3" t="s">
        <v>29</v>
      </c>
    </row>
    <row r="1027">
      <c r="A1027" s="4" t="s">
        <v>789</v>
      </c>
      <c r="B1027" s="3">
        <v>0.0</v>
      </c>
      <c r="C1027" s="3" t="s">
        <v>3</v>
      </c>
    </row>
    <row r="1028">
      <c r="A1028" s="4" t="s">
        <v>791</v>
      </c>
      <c r="B1028" s="3">
        <v>0.0</v>
      </c>
      <c r="C1028" s="3" t="s">
        <v>3</v>
      </c>
    </row>
    <row r="1029">
      <c r="A1029" s="4" t="s">
        <v>792</v>
      </c>
      <c r="B1029" s="3">
        <v>0.0</v>
      </c>
      <c r="C1029" s="3" t="s">
        <v>3</v>
      </c>
    </row>
    <row r="1030">
      <c r="A1030" s="4" t="s">
        <v>794</v>
      </c>
      <c r="B1030" s="3">
        <v>0.0</v>
      </c>
      <c r="C1030" s="3" t="s">
        <v>3</v>
      </c>
    </row>
    <row r="1031">
      <c r="A1031" s="4" t="s">
        <v>795</v>
      </c>
      <c r="B1031" s="3">
        <v>0.0</v>
      </c>
      <c r="C1031" s="3" t="s">
        <v>3</v>
      </c>
    </row>
    <row r="1032">
      <c r="A1032" s="4" t="s">
        <v>796</v>
      </c>
      <c r="B1032" s="3">
        <v>0.0</v>
      </c>
      <c r="C1032" s="3" t="s">
        <v>3</v>
      </c>
    </row>
    <row r="1033">
      <c r="A1033" s="4" t="s">
        <v>798</v>
      </c>
      <c r="B1033" s="3">
        <v>0.0</v>
      </c>
      <c r="C1033" s="3" t="s">
        <v>29</v>
      </c>
    </row>
    <row r="1034">
      <c r="A1034" s="4" t="s">
        <v>799</v>
      </c>
      <c r="B1034" s="3">
        <v>0.0</v>
      </c>
      <c r="C1034" s="3" t="s">
        <v>29</v>
      </c>
    </row>
    <row r="1035">
      <c r="A1035" s="4" t="s">
        <v>802</v>
      </c>
      <c r="B1035" s="3">
        <v>0.0</v>
      </c>
      <c r="C1035" s="3" t="s">
        <v>3</v>
      </c>
    </row>
    <row r="1036">
      <c r="A1036" s="4" t="s">
        <v>803</v>
      </c>
      <c r="B1036" s="3">
        <v>0.0</v>
      </c>
      <c r="C1036" s="3" t="s">
        <v>3</v>
      </c>
    </row>
    <row r="1037">
      <c r="A1037" s="4" t="s">
        <v>804</v>
      </c>
      <c r="B1037" s="3">
        <v>0.0</v>
      </c>
      <c r="C1037" s="3" t="s">
        <v>32</v>
      </c>
    </row>
    <row r="1038">
      <c r="A1038" s="4" t="s">
        <v>805</v>
      </c>
      <c r="B1038" s="3">
        <v>0.0</v>
      </c>
      <c r="C1038" s="3" t="s">
        <v>6</v>
      </c>
    </row>
    <row r="1039">
      <c r="A1039" s="4" t="s">
        <v>807</v>
      </c>
      <c r="B1039" s="3">
        <v>0.0</v>
      </c>
      <c r="C1039" s="3" t="s">
        <v>484</v>
      </c>
    </row>
    <row r="1040">
      <c r="A1040" s="4" t="s">
        <v>808</v>
      </c>
      <c r="B1040" s="3">
        <v>0.0</v>
      </c>
      <c r="C1040" s="3" t="s">
        <v>6</v>
      </c>
    </row>
    <row r="1041">
      <c r="A1041" s="4" t="s">
        <v>809</v>
      </c>
      <c r="B1041" s="3">
        <v>0.0</v>
      </c>
      <c r="C1041" s="3" t="s">
        <v>29</v>
      </c>
    </row>
    <row r="1042">
      <c r="A1042" s="4" t="s">
        <v>810</v>
      </c>
      <c r="B1042" s="3">
        <v>0.0</v>
      </c>
      <c r="C1042" s="3" t="s">
        <v>32</v>
      </c>
    </row>
    <row r="1043">
      <c r="A1043" s="4" t="s">
        <v>814</v>
      </c>
      <c r="B1043" s="3">
        <v>0.0</v>
      </c>
      <c r="C1043" s="3" t="s">
        <v>3</v>
      </c>
    </row>
    <row r="1044">
      <c r="A1044" s="4" t="s">
        <v>815</v>
      </c>
      <c r="B1044" s="3">
        <v>0.0</v>
      </c>
      <c r="C1044" s="3" t="s">
        <v>3</v>
      </c>
    </row>
    <row r="1045">
      <c r="A1045" s="4" t="s">
        <v>816</v>
      </c>
      <c r="B1045" s="3">
        <v>0.0</v>
      </c>
      <c r="C1045" s="3" t="s">
        <v>3</v>
      </c>
    </row>
    <row r="1046">
      <c r="A1046" s="4" t="s">
        <v>818</v>
      </c>
      <c r="B1046" s="3">
        <v>0.0</v>
      </c>
      <c r="C1046" s="3" t="s">
        <v>3</v>
      </c>
    </row>
    <row r="1047">
      <c r="A1047" s="4" t="s">
        <v>826</v>
      </c>
      <c r="B1047" s="3">
        <v>0.0</v>
      </c>
      <c r="C1047" s="3" t="s">
        <v>668</v>
      </c>
    </row>
    <row r="1048">
      <c r="A1048" s="4" t="s">
        <v>2209</v>
      </c>
      <c r="B1048" s="3">
        <v>0.0</v>
      </c>
      <c r="C1048" s="3" t="s">
        <v>3</v>
      </c>
    </row>
    <row r="1049">
      <c r="A1049" s="4" t="s">
        <v>829</v>
      </c>
      <c r="B1049" s="3">
        <v>0.0</v>
      </c>
      <c r="C1049" s="3" t="s">
        <v>3</v>
      </c>
    </row>
    <row r="1050">
      <c r="A1050" s="4" t="s">
        <v>830</v>
      </c>
      <c r="B1050" s="3">
        <v>0.0</v>
      </c>
      <c r="C1050" s="3" t="s">
        <v>3</v>
      </c>
    </row>
    <row r="1051">
      <c r="A1051" s="4" t="s">
        <v>2210</v>
      </c>
      <c r="B1051" s="3">
        <v>0.0</v>
      </c>
      <c r="C1051" s="3" t="s">
        <v>6</v>
      </c>
    </row>
    <row r="1052">
      <c r="A1052" s="4" t="s">
        <v>2212</v>
      </c>
      <c r="B1052" s="3">
        <v>0.0</v>
      </c>
      <c r="C1052" s="3" t="s">
        <v>3</v>
      </c>
    </row>
    <row r="1053">
      <c r="A1053" s="4" t="s">
        <v>848</v>
      </c>
      <c r="B1053" s="3">
        <v>0.0</v>
      </c>
      <c r="C1053" s="3" t="s">
        <v>3</v>
      </c>
    </row>
    <row r="1054">
      <c r="A1054" s="4" t="s">
        <v>849</v>
      </c>
      <c r="B1054" s="3">
        <v>0.0</v>
      </c>
      <c r="C1054" s="3" t="s">
        <v>3</v>
      </c>
    </row>
    <row r="1055">
      <c r="A1055" s="4" t="s">
        <v>850</v>
      </c>
      <c r="B1055" s="3">
        <v>0.0</v>
      </c>
      <c r="C1055" s="3" t="s">
        <v>3</v>
      </c>
    </row>
    <row r="1056">
      <c r="A1056" s="4" t="s">
        <v>852</v>
      </c>
      <c r="B1056" s="3">
        <v>0.0</v>
      </c>
      <c r="C1056" s="3" t="s">
        <v>3</v>
      </c>
    </row>
    <row r="1057">
      <c r="A1057" s="4" t="s">
        <v>853</v>
      </c>
      <c r="B1057" s="3">
        <v>0.0</v>
      </c>
      <c r="C1057" s="3" t="s">
        <v>32</v>
      </c>
    </row>
    <row r="1058">
      <c r="A1058" s="4" t="s">
        <v>854</v>
      </c>
      <c r="B1058" s="3">
        <v>0.0</v>
      </c>
      <c r="C1058" s="3" t="s">
        <v>3</v>
      </c>
    </row>
    <row r="1059">
      <c r="A1059" s="4" t="s">
        <v>2214</v>
      </c>
      <c r="B1059" s="3">
        <v>0.0</v>
      </c>
      <c r="C1059" s="3" t="s">
        <v>37</v>
      </c>
    </row>
    <row r="1060">
      <c r="A1060" s="4" t="s">
        <v>2217</v>
      </c>
      <c r="B1060" s="3">
        <v>0.0</v>
      </c>
      <c r="C1060" s="3" t="s">
        <v>6</v>
      </c>
    </row>
    <row r="1061">
      <c r="A1061" s="4" t="s">
        <v>864</v>
      </c>
      <c r="B1061" s="3">
        <v>0.0</v>
      </c>
      <c r="C1061" s="3" t="s">
        <v>3</v>
      </c>
    </row>
    <row r="1062">
      <c r="A1062" s="4" t="s">
        <v>2219</v>
      </c>
      <c r="B1062" s="3">
        <v>0.0</v>
      </c>
      <c r="C1062" s="3" t="s">
        <v>3</v>
      </c>
    </row>
    <row r="1063">
      <c r="A1063" s="4" t="s">
        <v>873</v>
      </c>
      <c r="B1063" s="3">
        <v>0.0</v>
      </c>
      <c r="C1063" s="3" t="s">
        <v>26</v>
      </c>
    </row>
    <row r="1064">
      <c r="A1064" s="4" t="s">
        <v>875</v>
      </c>
      <c r="B1064" s="3">
        <v>0.0</v>
      </c>
      <c r="C1064" s="3" t="s">
        <v>6</v>
      </c>
    </row>
    <row r="1065">
      <c r="A1065" s="4" t="s">
        <v>2222</v>
      </c>
      <c r="B1065" s="3">
        <v>0.0</v>
      </c>
      <c r="C1065" s="3" t="s">
        <v>29</v>
      </c>
    </row>
    <row r="1066">
      <c r="A1066" s="4" t="s">
        <v>2223</v>
      </c>
      <c r="B1066" s="3">
        <v>0.0</v>
      </c>
      <c r="C1066" s="3" t="s">
        <v>29</v>
      </c>
    </row>
    <row r="1067">
      <c r="A1067" s="4" t="s">
        <v>882</v>
      </c>
      <c r="B1067" s="3">
        <v>0.0</v>
      </c>
      <c r="C1067" s="3" t="s">
        <v>6</v>
      </c>
    </row>
    <row r="1068">
      <c r="A1068" s="4" t="s">
        <v>2224</v>
      </c>
      <c r="B1068" s="3">
        <v>0.0</v>
      </c>
      <c r="C1068" s="3" t="s">
        <v>29</v>
      </c>
    </row>
    <row r="1069">
      <c r="A1069" s="4" t="s">
        <v>894</v>
      </c>
      <c r="B1069" s="3">
        <v>0.0</v>
      </c>
      <c r="C1069" s="3" t="s">
        <v>6</v>
      </c>
    </row>
    <row r="1070">
      <c r="A1070" s="4" t="s">
        <v>895</v>
      </c>
      <c r="B1070" s="3">
        <v>0.0</v>
      </c>
      <c r="C1070" s="3" t="s">
        <v>3</v>
      </c>
    </row>
    <row r="1071">
      <c r="A1071" s="4" t="s">
        <v>896</v>
      </c>
      <c r="B1071" s="3">
        <v>0.0</v>
      </c>
      <c r="C1071" s="3" t="s">
        <v>32</v>
      </c>
    </row>
    <row r="1072">
      <c r="A1072" s="4" t="s">
        <v>2228</v>
      </c>
      <c r="B1072" s="3">
        <v>0.0</v>
      </c>
      <c r="C1072" s="3" t="s">
        <v>3</v>
      </c>
    </row>
    <row r="1073">
      <c r="A1073" s="4" t="s">
        <v>899</v>
      </c>
      <c r="B1073" s="3">
        <v>0.0</v>
      </c>
      <c r="C1073" s="3" t="s">
        <v>3</v>
      </c>
    </row>
    <row r="1074">
      <c r="A1074" s="4" t="s">
        <v>901</v>
      </c>
      <c r="B1074" s="3">
        <v>0.0</v>
      </c>
      <c r="C1074" s="3" t="s">
        <v>32</v>
      </c>
    </row>
    <row r="1075">
      <c r="A1075" s="4" t="s">
        <v>2229</v>
      </c>
      <c r="B1075" s="3">
        <v>0.0</v>
      </c>
      <c r="C1075" s="3" t="s">
        <v>6</v>
      </c>
    </row>
    <row r="1076">
      <c r="A1076" s="4" t="s">
        <v>911</v>
      </c>
      <c r="B1076" s="3">
        <v>0.0</v>
      </c>
      <c r="C1076" s="3" t="s">
        <v>3</v>
      </c>
    </row>
    <row r="1077">
      <c r="A1077" s="4" t="s">
        <v>912</v>
      </c>
      <c r="B1077" s="3">
        <v>0.0</v>
      </c>
      <c r="C1077" s="3" t="s">
        <v>3</v>
      </c>
    </row>
    <row r="1078">
      <c r="A1078" s="4" t="s">
        <v>918</v>
      </c>
      <c r="B1078" s="3">
        <v>0.0</v>
      </c>
      <c r="C1078" s="3" t="s">
        <v>32</v>
      </c>
    </row>
    <row r="1079">
      <c r="A1079" s="4" t="s">
        <v>919</v>
      </c>
      <c r="B1079" s="3">
        <v>0.0</v>
      </c>
      <c r="C1079" s="3" t="s">
        <v>3</v>
      </c>
    </row>
    <row r="1080">
      <c r="A1080" s="4" t="s">
        <v>920</v>
      </c>
      <c r="B1080" s="3">
        <v>0.0</v>
      </c>
      <c r="C1080" s="3" t="s">
        <v>3</v>
      </c>
    </row>
    <row r="1081">
      <c r="A1081" s="4" t="s">
        <v>924</v>
      </c>
      <c r="B1081" s="3">
        <v>0.0</v>
      </c>
      <c r="C1081" s="3" t="s">
        <v>3</v>
      </c>
    </row>
    <row r="1082">
      <c r="A1082" s="4" t="s">
        <v>926</v>
      </c>
      <c r="B1082" s="3">
        <v>0.0</v>
      </c>
      <c r="C1082" s="3" t="s">
        <v>3</v>
      </c>
    </row>
    <row r="1083">
      <c r="A1083" s="4" t="s">
        <v>928</v>
      </c>
      <c r="B1083" s="3">
        <v>0.0</v>
      </c>
      <c r="C1083" s="3" t="s">
        <v>32</v>
      </c>
    </row>
    <row r="1084">
      <c r="A1084" s="4" t="s">
        <v>934</v>
      </c>
      <c r="B1084" s="3">
        <v>0.0</v>
      </c>
      <c r="C1084" s="3" t="s">
        <v>3</v>
      </c>
    </row>
    <row r="1085">
      <c r="A1085" s="4" t="s">
        <v>943</v>
      </c>
      <c r="B1085" s="3">
        <v>0.0</v>
      </c>
      <c r="C1085" s="3" t="s">
        <v>3</v>
      </c>
    </row>
    <row r="1086">
      <c r="A1086" s="4" t="s">
        <v>944</v>
      </c>
      <c r="B1086" s="3">
        <v>0.0</v>
      </c>
      <c r="C1086" s="3" t="s">
        <v>3</v>
      </c>
    </row>
    <row r="1087">
      <c r="A1087" s="4" t="s">
        <v>947</v>
      </c>
      <c r="B1087" s="3">
        <v>0.0</v>
      </c>
      <c r="C1087" s="3" t="s">
        <v>29</v>
      </c>
    </row>
    <row r="1088">
      <c r="A1088" s="4" t="s">
        <v>958</v>
      </c>
      <c r="B1088" s="3">
        <v>0.0</v>
      </c>
      <c r="C1088" s="3" t="s">
        <v>3</v>
      </c>
    </row>
    <row r="1089">
      <c r="A1089" s="4" t="s">
        <v>2234</v>
      </c>
      <c r="B1089" s="3">
        <v>0.0</v>
      </c>
      <c r="C1089" s="3" t="s">
        <v>3</v>
      </c>
    </row>
    <row r="1090">
      <c r="A1090" s="4" t="s">
        <v>964</v>
      </c>
      <c r="B1090" s="3">
        <v>0.0</v>
      </c>
      <c r="C1090" s="3" t="s">
        <v>3</v>
      </c>
    </row>
    <row r="1091">
      <c r="A1091" s="4" t="s">
        <v>969</v>
      </c>
      <c r="B1091" s="3">
        <v>0.0</v>
      </c>
      <c r="C1091" s="3" t="s">
        <v>3</v>
      </c>
    </row>
    <row r="1092">
      <c r="A1092" s="4" t="s">
        <v>970</v>
      </c>
      <c r="B1092" s="3">
        <v>0.0</v>
      </c>
      <c r="C1092" s="3" t="s">
        <v>3</v>
      </c>
    </row>
    <row r="1093">
      <c r="A1093" s="4" t="s">
        <v>971</v>
      </c>
      <c r="B1093" s="3">
        <v>0.0</v>
      </c>
      <c r="C1093" s="3" t="s">
        <v>3</v>
      </c>
    </row>
    <row r="1094">
      <c r="A1094" s="4" t="s">
        <v>972</v>
      </c>
      <c r="B1094" s="3">
        <v>0.0</v>
      </c>
      <c r="C1094" s="3" t="s">
        <v>32</v>
      </c>
    </row>
    <row r="1095">
      <c r="A1095" s="4" t="s">
        <v>974</v>
      </c>
      <c r="B1095" s="3">
        <v>0.0</v>
      </c>
      <c r="C1095" s="3" t="s">
        <v>3</v>
      </c>
    </row>
    <row r="1096">
      <c r="A1096" s="4" t="s">
        <v>978</v>
      </c>
      <c r="B1096" s="3">
        <v>0.0</v>
      </c>
      <c r="C1096" s="3" t="s">
        <v>29</v>
      </c>
    </row>
    <row r="1097">
      <c r="A1097" s="4" t="s">
        <v>980</v>
      </c>
      <c r="B1097" s="3">
        <v>0.0</v>
      </c>
      <c r="C1097" s="3" t="s">
        <v>3</v>
      </c>
    </row>
    <row r="1098">
      <c r="A1098" s="4" t="s">
        <v>982</v>
      </c>
      <c r="B1098" s="3">
        <v>0.0</v>
      </c>
      <c r="C1098" s="3" t="s">
        <v>6</v>
      </c>
    </row>
    <row r="1099">
      <c r="A1099" s="4" t="s">
        <v>983</v>
      </c>
      <c r="B1099" s="3">
        <v>0.0</v>
      </c>
      <c r="C1099" s="3" t="s">
        <v>3</v>
      </c>
    </row>
    <row r="1100">
      <c r="A1100" s="4" t="s">
        <v>987</v>
      </c>
      <c r="B1100" s="3">
        <v>0.0</v>
      </c>
      <c r="C1100" s="3" t="s">
        <v>3</v>
      </c>
    </row>
    <row r="1101">
      <c r="A1101" s="4" t="s">
        <v>991</v>
      </c>
      <c r="B1101" s="3">
        <v>0.0</v>
      </c>
      <c r="C1101" s="3" t="s">
        <v>3</v>
      </c>
    </row>
    <row r="1102">
      <c r="A1102" s="4" t="s">
        <v>992</v>
      </c>
      <c r="B1102" s="3">
        <v>0.0</v>
      </c>
      <c r="C1102" s="3" t="s">
        <v>3</v>
      </c>
    </row>
    <row r="1103">
      <c r="A1103" s="4" t="s">
        <v>993</v>
      </c>
      <c r="B1103" s="3">
        <v>0.0</v>
      </c>
      <c r="C1103" s="3" t="s">
        <v>3</v>
      </c>
    </row>
    <row r="1104">
      <c r="A1104" s="4" t="s">
        <v>999</v>
      </c>
      <c r="B1104" s="3">
        <v>0.0</v>
      </c>
      <c r="C1104" s="3" t="s">
        <v>3</v>
      </c>
    </row>
    <row r="1105">
      <c r="A1105" s="4" t="s">
        <v>1001</v>
      </c>
      <c r="B1105" s="3">
        <v>0.0</v>
      </c>
      <c r="C1105" s="3" t="s">
        <v>6</v>
      </c>
    </row>
    <row r="1106">
      <c r="A1106" s="4" t="s">
        <v>1003</v>
      </c>
      <c r="B1106" s="3">
        <v>0.0</v>
      </c>
      <c r="C1106" s="3" t="s">
        <v>3</v>
      </c>
    </row>
    <row r="1107">
      <c r="A1107" s="4" t="s">
        <v>1004</v>
      </c>
      <c r="B1107" s="3">
        <v>0.0</v>
      </c>
      <c r="C1107" s="3" t="s">
        <v>3</v>
      </c>
    </row>
    <row r="1108">
      <c r="A1108" s="4" t="s">
        <v>1006</v>
      </c>
      <c r="B1108" s="3">
        <v>0.0</v>
      </c>
      <c r="C1108" s="3" t="s">
        <v>3</v>
      </c>
    </row>
    <row r="1109">
      <c r="A1109" s="4" t="s">
        <v>1008</v>
      </c>
      <c r="B1109" s="3">
        <v>0.0</v>
      </c>
      <c r="C1109" s="3" t="s">
        <v>484</v>
      </c>
    </row>
    <row r="1110">
      <c r="A1110" s="4" t="s">
        <v>1009</v>
      </c>
      <c r="B1110" s="3">
        <v>0.0</v>
      </c>
      <c r="C1110" s="3" t="s">
        <v>3</v>
      </c>
    </row>
    <row r="1111">
      <c r="A1111" s="4" t="s">
        <v>1010</v>
      </c>
      <c r="B1111" s="3">
        <v>0.0</v>
      </c>
      <c r="C1111" s="3" t="s">
        <v>6</v>
      </c>
    </row>
    <row r="1112">
      <c r="A1112" s="4" t="s">
        <v>1015</v>
      </c>
      <c r="B1112" s="3">
        <v>0.0</v>
      </c>
      <c r="C1112" s="3" t="s">
        <v>3</v>
      </c>
    </row>
    <row r="1113">
      <c r="A1113" s="4" t="s">
        <v>1016</v>
      </c>
      <c r="B1113" s="3">
        <v>0.0</v>
      </c>
      <c r="C1113" s="3" t="s">
        <v>6</v>
      </c>
    </row>
    <row r="1114">
      <c r="A1114" s="4" t="s">
        <v>1018</v>
      </c>
      <c r="B1114" s="3">
        <v>0.0</v>
      </c>
      <c r="C1114" s="3" t="s">
        <v>32</v>
      </c>
    </row>
    <row r="1115">
      <c r="A1115" s="4" t="s">
        <v>1019</v>
      </c>
      <c r="B1115" s="3">
        <v>0.0</v>
      </c>
      <c r="C1115" s="3" t="s">
        <v>6</v>
      </c>
    </row>
    <row r="1116">
      <c r="A1116" s="4" t="s">
        <v>1022</v>
      </c>
      <c r="B1116" s="3">
        <v>0.0</v>
      </c>
      <c r="C1116" s="3" t="s">
        <v>6</v>
      </c>
    </row>
    <row r="1117">
      <c r="A1117" s="4" t="s">
        <v>1025</v>
      </c>
      <c r="B1117" s="3">
        <v>0.0</v>
      </c>
      <c r="C1117" s="3" t="s">
        <v>3</v>
      </c>
    </row>
    <row r="1118">
      <c r="A1118" s="4" t="s">
        <v>2237</v>
      </c>
      <c r="B1118" s="3">
        <v>0.0</v>
      </c>
      <c r="C1118" s="3" t="s">
        <v>3</v>
      </c>
    </row>
    <row r="1119">
      <c r="A1119" s="4" t="s">
        <v>1031</v>
      </c>
      <c r="B1119" s="3">
        <v>0.0</v>
      </c>
      <c r="C1119" s="3" t="s">
        <v>3</v>
      </c>
    </row>
    <row r="1120">
      <c r="A1120" s="4" t="s">
        <v>1032</v>
      </c>
      <c r="B1120" s="3">
        <v>0.0</v>
      </c>
      <c r="C1120" s="3" t="s">
        <v>29</v>
      </c>
    </row>
    <row r="1121">
      <c r="A1121" s="4" t="s">
        <v>1036</v>
      </c>
      <c r="B1121" s="3">
        <v>0.0</v>
      </c>
      <c r="C1121" s="3" t="s">
        <v>3</v>
      </c>
    </row>
    <row r="1122">
      <c r="A1122" s="4" t="s">
        <v>1037</v>
      </c>
      <c r="B1122" s="3">
        <v>0.0</v>
      </c>
      <c r="C1122" s="3" t="s">
        <v>26</v>
      </c>
    </row>
    <row r="1123">
      <c r="A1123" s="4" t="s">
        <v>1038</v>
      </c>
      <c r="B1123" s="3">
        <v>0.0</v>
      </c>
      <c r="C1123" s="3" t="s">
        <v>3</v>
      </c>
    </row>
    <row r="1124">
      <c r="A1124" s="4" t="s">
        <v>1042</v>
      </c>
      <c r="B1124" s="3">
        <v>0.0</v>
      </c>
      <c r="C1124" s="3" t="s">
        <v>3</v>
      </c>
    </row>
    <row r="1125">
      <c r="A1125" s="4" t="s">
        <v>1046</v>
      </c>
      <c r="B1125" s="3">
        <v>0.0</v>
      </c>
      <c r="C1125" s="3" t="s">
        <v>3</v>
      </c>
    </row>
    <row r="1126">
      <c r="A1126" s="4" t="s">
        <v>1048</v>
      </c>
      <c r="B1126" s="3">
        <v>0.0</v>
      </c>
      <c r="C1126" s="3" t="s">
        <v>3</v>
      </c>
    </row>
    <row r="1127">
      <c r="A1127" s="4" t="s">
        <v>2239</v>
      </c>
      <c r="B1127" s="3">
        <v>0.0</v>
      </c>
      <c r="C1127" s="3" t="s">
        <v>3</v>
      </c>
    </row>
    <row r="1128">
      <c r="A1128" s="4" t="s">
        <v>1054</v>
      </c>
      <c r="B1128" s="3">
        <v>0.0</v>
      </c>
      <c r="C1128" s="3" t="s">
        <v>3</v>
      </c>
    </row>
    <row r="1129">
      <c r="A1129" s="4" t="s">
        <v>1057</v>
      </c>
      <c r="B1129" s="3">
        <v>0.0</v>
      </c>
      <c r="C1129" s="3" t="s">
        <v>32</v>
      </c>
    </row>
    <row r="1130">
      <c r="A1130" s="4" t="s">
        <v>1059</v>
      </c>
      <c r="B1130" s="3">
        <v>0.0</v>
      </c>
      <c r="C1130" s="3" t="s">
        <v>3</v>
      </c>
    </row>
    <row r="1131">
      <c r="A1131" s="4" t="s">
        <v>1064</v>
      </c>
      <c r="B1131" s="3">
        <v>0.0</v>
      </c>
      <c r="C1131" s="3" t="s">
        <v>3</v>
      </c>
    </row>
    <row r="1132">
      <c r="A1132" s="4" t="s">
        <v>1072</v>
      </c>
      <c r="B1132" s="3">
        <v>0.0</v>
      </c>
      <c r="C1132" s="3" t="s">
        <v>3</v>
      </c>
    </row>
    <row r="1133">
      <c r="A1133" s="4" t="s">
        <v>2243</v>
      </c>
      <c r="B1133" s="3">
        <v>0.0</v>
      </c>
      <c r="C1133" s="3" t="s">
        <v>484</v>
      </c>
    </row>
    <row r="1134">
      <c r="A1134" s="4" t="s">
        <v>1075</v>
      </c>
      <c r="B1134" s="3">
        <v>0.0</v>
      </c>
      <c r="C1134" s="3" t="s">
        <v>3</v>
      </c>
    </row>
    <row r="1135">
      <c r="A1135" s="4" t="s">
        <v>1076</v>
      </c>
      <c r="B1135" s="3">
        <v>0.0</v>
      </c>
      <c r="C1135" s="3" t="s">
        <v>3</v>
      </c>
    </row>
    <row r="1136">
      <c r="A1136" s="4" t="s">
        <v>2244</v>
      </c>
      <c r="B1136" s="3">
        <v>0.0</v>
      </c>
      <c r="C1136" s="3" t="s">
        <v>3</v>
      </c>
    </row>
    <row r="1137">
      <c r="A1137" s="4" t="s">
        <v>1079</v>
      </c>
      <c r="B1137" s="3">
        <v>0.0</v>
      </c>
      <c r="C1137" s="3" t="s">
        <v>3</v>
      </c>
    </row>
    <row r="1138">
      <c r="A1138" s="4" t="s">
        <v>1081</v>
      </c>
      <c r="B1138" s="3">
        <v>0.0</v>
      </c>
      <c r="C1138" s="3" t="s">
        <v>6</v>
      </c>
    </row>
    <row r="1139">
      <c r="A1139" s="4" t="s">
        <v>1082</v>
      </c>
      <c r="B1139" s="3">
        <v>0.0</v>
      </c>
      <c r="C1139" s="3" t="s">
        <v>3</v>
      </c>
    </row>
    <row r="1140">
      <c r="A1140" s="4" t="s">
        <v>1084</v>
      </c>
      <c r="B1140" s="3">
        <v>0.0</v>
      </c>
      <c r="C1140" s="3" t="s">
        <v>3</v>
      </c>
    </row>
    <row r="1141">
      <c r="A1141" s="4" t="s">
        <v>2245</v>
      </c>
      <c r="B1141" s="3">
        <v>0.0</v>
      </c>
      <c r="C1141" s="3" t="s">
        <v>3</v>
      </c>
    </row>
    <row r="1142">
      <c r="A1142" s="4" t="s">
        <v>1091</v>
      </c>
      <c r="B1142" s="3">
        <v>0.0</v>
      </c>
      <c r="C1142" s="3" t="s">
        <v>3</v>
      </c>
    </row>
    <row r="1143">
      <c r="A1143" s="4" t="s">
        <v>1094</v>
      </c>
      <c r="B1143" s="3">
        <v>0.0</v>
      </c>
      <c r="C1143" s="3" t="s">
        <v>3</v>
      </c>
    </row>
    <row r="1144">
      <c r="A1144" s="4" t="s">
        <v>1095</v>
      </c>
      <c r="B1144" s="3">
        <v>0.0</v>
      </c>
      <c r="C1144" s="3" t="s">
        <v>6</v>
      </c>
    </row>
    <row r="1145">
      <c r="A1145" s="4" t="s">
        <v>1097</v>
      </c>
      <c r="B1145" s="3">
        <v>0.0</v>
      </c>
      <c r="C1145" s="3" t="s">
        <v>29</v>
      </c>
    </row>
    <row r="1146">
      <c r="A1146" s="4" t="s">
        <v>1099</v>
      </c>
      <c r="B1146" s="3">
        <v>0.0</v>
      </c>
      <c r="C1146" s="3" t="s">
        <v>3</v>
      </c>
    </row>
    <row r="1147">
      <c r="A1147" s="4" t="s">
        <v>1100</v>
      </c>
      <c r="B1147" s="3">
        <v>0.0</v>
      </c>
      <c r="C1147" s="3" t="s">
        <v>3</v>
      </c>
    </row>
    <row r="1148">
      <c r="A1148" s="4" t="s">
        <v>2246</v>
      </c>
      <c r="B1148" s="3">
        <v>0.0</v>
      </c>
      <c r="C1148" s="3" t="s">
        <v>3</v>
      </c>
    </row>
    <row r="1149">
      <c r="A1149" s="4" t="s">
        <v>1103</v>
      </c>
      <c r="B1149" s="3">
        <v>0.0</v>
      </c>
      <c r="C1149" s="3" t="s">
        <v>3</v>
      </c>
    </row>
    <row r="1150">
      <c r="A1150" s="4" t="s">
        <v>2247</v>
      </c>
      <c r="B1150" s="3">
        <v>0.0</v>
      </c>
      <c r="C1150" s="3" t="s">
        <v>32</v>
      </c>
    </row>
    <row r="1151">
      <c r="A1151" s="4" t="s">
        <v>1107</v>
      </c>
      <c r="B1151" s="3">
        <v>0.0</v>
      </c>
      <c r="C1151" s="3" t="s">
        <v>3</v>
      </c>
    </row>
    <row r="1152">
      <c r="A1152" s="4" t="s">
        <v>2248</v>
      </c>
      <c r="B1152" s="3">
        <v>0.0</v>
      </c>
      <c r="C1152" s="3" t="s">
        <v>3</v>
      </c>
    </row>
    <row r="1153">
      <c r="A1153" s="4" t="s">
        <v>1114</v>
      </c>
      <c r="B1153" s="3">
        <v>0.0</v>
      </c>
      <c r="C1153" s="3" t="s">
        <v>6</v>
      </c>
    </row>
    <row r="1154">
      <c r="A1154" s="4" t="s">
        <v>2251</v>
      </c>
      <c r="B1154" s="3">
        <v>0.0</v>
      </c>
      <c r="C1154" s="3" t="s">
        <v>3</v>
      </c>
    </row>
    <row r="1155">
      <c r="A1155" s="4" t="s">
        <v>1117</v>
      </c>
      <c r="B1155" s="3">
        <v>0.0</v>
      </c>
      <c r="C1155" s="3" t="s">
        <v>3</v>
      </c>
    </row>
    <row r="1156">
      <c r="A1156" s="4" t="s">
        <v>1118</v>
      </c>
      <c r="B1156" s="3">
        <v>0.0</v>
      </c>
      <c r="C1156" s="3" t="s">
        <v>6</v>
      </c>
    </row>
    <row r="1157">
      <c r="A1157" s="4" t="s">
        <v>2252</v>
      </c>
      <c r="B1157" s="3">
        <v>0.0</v>
      </c>
      <c r="C1157" s="3" t="s">
        <v>3</v>
      </c>
    </row>
    <row r="1158">
      <c r="A1158" s="4" t="s">
        <v>2254</v>
      </c>
      <c r="B1158" s="3">
        <v>0.0</v>
      </c>
      <c r="C1158" s="3" t="s">
        <v>3</v>
      </c>
    </row>
    <row r="1159">
      <c r="A1159" s="4" t="s">
        <v>2255</v>
      </c>
      <c r="B1159" s="3">
        <v>0.0</v>
      </c>
      <c r="C1159" s="3" t="s">
        <v>3</v>
      </c>
    </row>
    <row r="1160">
      <c r="A1160" s="4" t="s">
        <v>2256</v>
      </c>
      <c r="B1160" s="3">
        <v>0.0</v>
      </c>
      <c r="C1160" s="3" t="s">
        <v>32</v>
      </c>
    </row>
    <row r="1161">
      <c r="A1161" s="4" t="s">
        <v>1132</v>
      </c>
      <c r="B1161" s="3">
        <v>0.0</v>
      </c>
      <c r="C1161" s="3" t="s">
        <v>6</v>
      </c>
    </row>
    <row r="1162">
      <c r="A1162" s="4" t="s">
        <v>1133</v>
      </c>
      <c r="B1162" s="3">
        <v>0.0</v>
      </c>
      <c r="C1162" s="3" t="s">
        <v>32</v>
      </c>
    </row>
    <row r="1163">
      <c r="A1163" s="4" t="s">
        <v>1138</v>
      </c>
      <c r="B1163" s="3">
        <v>0.0</v>
      </c>
      <c r="C1163" s="3" t="s">
        <v>3</v>
      </c>
    </row>
    <row r="1164">
      <c r="A1164" s="4" t="s">
        <v>1139</v>
      </c>
      <c r="B1164" s="3">
        <v>0.0</v>
      </c>
      <c r="C1164" s="3" t="s">
        <v>3</v>
      </c>
    </row>
    <row r="1165">
      <c r="A1165" s="4" t="s">
        <v>1140</v>
      </c>
      <c r="B1165" s="3">
        <v>0.0</v>
      </c>
      <c r="C1165" s="3" t="s">
        <v>6</v>
      </c>
    </row>
    <row r="1166">
      <c r="A1166" s="4" t="s">
        <v>1141</v>
      </c>
      <c r="B1166" s="3">
        <v>0.0</v>
      </c>
      <c r="C1166" s="3" t="s">
        <v>3</v>
      </c>
    </row>
    <row r="1167">
      <c r="A1167" s="4" t="s">
        <v>1142</v>
      </c>
      <c r="B1167" s="3">
        <v>0.0</v>
      </c>
      <c r="C1167" s="3" t="s">
        <v>6</v>
      </c>
    </row>
    <row r="1168">
      <c r="A1168" s="4" t="s">
        <v>1143</v>
      </c>
      <c r="B1168" s="3">
        <v>0.0</v>
      </c>
      <c r="C1168" s="3" t="s">
        <v>3</v>
      </c>
    </row>
    <row r="1169">
      <c r="A1169" s="4" t="s">
        <v>1148</v>
      </c>
      <c r="B1169" s="3">
        <v>0.0</v>
      </c>
      <c r="C1169" s="3" t="s">
        <v>26</v>
      </c>
    </row>
    <row r="1170">
      <c r="A1170" s="4" t="s">
        <v>1149</v>
      </c>
      <c r="B1170" s="3">
        <v>0.0</v>
      </c>
      <c r="C1170" s="3" t="s">
        <v>29</v>
      </c>
    </row>
    <row r="1171">
      <c r="A1171" s="4" t="s">
        <v>1152</v>
      </c>
      <c r="B1171" s="3">
        <v>0.0</v>
      </c>
      <c r="C1171" s="3" t="s">
        <v>29</v>
      </c>
    </row>
    <row r="1172">
      <c r="A1172" s="4" t="s">
        <v>1153</v>
      </c>
      <c r="B1172" s="3">
        <v>0.0</v>
      </c>
      <c r="C1172" s="3" t="s">
        <v>29</v>
      </c>
    </row>
    <row r="1173">
      <c r="A1173" s="4" t="s">
        <v>1154</v>
      </c>
      <c r="B1173" s="3">
        <v>0.0</v>
      </c>
      <c r="C1173" s="3" t="s">
        <v>3</v>
      </c>
    </row>
    <row r="1174">
      <c r="A1174" s="4" t="s">
        <v>1155</v>
      </c>
      <c r="B1174" s="3">
        <v>0.0</v>
      </c>
      <c r="C1174" s="3" t="s">
        <v>3</v>
      </c>
    </row>
    <row r="1175">
      <c r="A1175" s="4" t="s">
        <v>1158</v>
      </c>
      <c r="B1175" s="3">
        <v>0.0</v>
      </c>
      <c r="C1175" s="3" t="s">
        <v>3</v>
      </c>
    </row>
    <row r="1176">
      <c r="A1176" s="4" t="s">
        <v>1162</v>
      </c>
      <c r="B1176" s="3">
        <v>0.0</v>
      </c>
      <c r="C1176" s="3" t="s">
        <v>3</v>
      </c>
    </row>
    <row r="1177">
      <c r="A1177" s="4" t="s">
        <v>1163</v>
      </c>
      <c r="B1177" s="3">
        <v>0.0</v>
      </c>
      <c r="C1177" s="3" t="s">
        <v>3</v>
      </c>
    </row>
    <row r="1178">
      <c r="A1178" s="4" t="s">
        <v>1164</v>
      </c>
      <c r="B1178" s="3">
        <v>0.0</v>
      </c>
      <c r="C1178" s="3" t="s">
        <v>3</v>
      </c>
    </row>
    <row r="1179">
      <c r="A1179" s="4" t="s">
        <v>1166</v>
      </c>
      <c r="B1179" s="3">
        <v>0.0</v>
      </c>
      <c r="C1179" s="3" t="s">
        <v>3</v>
      </c>
    </row>
    <row r="1180">
      <c r="A1180" s="4" t="s">
        <v>1167</v>
      </c>
      <c r="B1180" s="3">
        <v>0.0</v>
      </c>
      <c r="C1180" s="3" t="s">
        <v>3</v>
      </c>
    </row>
    <row r="1181">
      <c r="A1181" s="4" t="s">
        <v>1168</v>
      </c>
      <c r="B1181" s="3">
        <v>0.0</v>
      </c>
      <c r="C1181" s="3" t="s">
        <v>3</v>
      </c>
    </row>
    <row r="1182">
      <c r="A1182" s="4" t="s">
        <v>1169</v>
      </c>
      <c r="B1182" s="3">
        <v>0.0</v>
      </c>
      <c r="C1182" s="3" t="s">
        <v>3</v>
      </c>
    </row>
    <row r="1183">
      <c r="A1183" s="4" t="s">
        <v>1170</v>
      </c>
      <c r="B1183" s="3">
        <v>0.0</v>
      </c>
      <c r="C1183" s="3" t="s">
        <v>3</v>
      </c>
    </row>
    <row r="1184">
      <c r="A1184" s="4" t="s">
        <v>1171</v>
      </c>
      <c r="B1184" s="3">
        <v>0.0</v>
      </c>
      <c r="C1184" s="3" t="s">
        <v>3</v>
      </c>
    </row>
    <row r="1185">
      <c r="A1185" s="4" t="s">
        <v>1172</v>
      </c>
      <c r="B1185" s="3">
        <v>0.0</v>
      </c>
      <c r="C1185" s="3" t="s">
        <v>6</v>
      </c>
    </row>
    <row r="1186">
      <c r="A1186" s="4" t="s">
        <v>1173</v>
      </c>
      <c r="B1186" s="3">
        <v>0.0</v>
      </c>
      <c r="C1186" s="3" t="s">
        <v>3</v>
      </c>
    </row>
    <row r="1187">
      <c r="A1187" s="4" t="s">
        <v>1174</v>
      </c>
      <c r="B1187" s="3">
        <v>0.0</v>
      </c>
      <c r="C1187" s="3" t="s">
        <v>3</v>
      </c>
    </row>
    <row r="1188">
      <c r="A1188" s="4" t="s">
        <v>1183</v>
      </c>
      <c r="B1188" s="3">
        <v>0.0</v>
      </c>
      <c r="C1188" s="3" t="s">
        <v>3</v>
      </c>
    </row>
    <row r="1189">
      <c r="A1189" s="4" t="s">
        <v>1186</v>
      </c>
      <c r="B1189" s="3">
        <v>0.0</v>
      </c>
      <c r="C1189" s="3" t="s">
        <v>6</v>
      </c>
    </row>
    <row r="1190">
      <c r="A1190" s="4" t="s">
        <v>1190</v>
      </c>
      <c r="B1190" s="3">
        <v>0.0</v>
      </c>
      <c r="C1190" s="3" t="s">
        <v>3</v>
      </c>
    </row>
    <row r="1191">
      <c r="A1191" s="4" t="s">
        <v>1191</v>
      </c>
      <c r="B1191" s="3">
        <v>0.0</v>
      </c>
      <c r="C1191" s="3" t="s">
        <v>6</v>
      </c>
    </row>
    <row r="1192">
      <c r="A1192" s="4" t="s">
        <v>1195</v>
      </c>
      <c r="B1192" s="3">
        <v>0.0</v>
      </c>
      <c r="C1192" s="3" t="s">
        <v>3</v>
      </c>
    </row>
    <row r="1193">
      <c r="A1193" s="4" t="s">
        <v>2260</v>
      </c>
      <c r="B1193" s="3">
        <v>0.0</v>
      </c>
      <c r="C1193" s="3" t="s">
        <v>3</v>
      </c>
    </row>
    <row r="1194">
      <c r="A1194" s="4" t="s">
        <v>2261</v>
      </c>
      <c r="B1194" s="3">
        <v>0.0</v>
      </c>
      <c r="C1194" s="3" t="s">
        <v>3</v>
      </c>
    </row>
    <row r="1195">
      <c r="A1195" s="4" t="s">
        <v>1201</v>
      </c>
      <c r="B1195" s="3">
        <v>0.0</v>
      </c>
      <c r="C1195" s="3" t="s">
        <v>16</v>
      </c>
    </row>
    <row r="1196">
      <c r="A1196" s="4" t="s">
        <v>1202</v>
      </c>
      <c r="B1196" s="3">
        <v>0.0</v>
      </c>
      <c r="C1196" s="3" t="s">
        <v>32</v>
      </c>
    </row>
    <row r="1197">
      <c r="A1197" s="4" t="s">
        <v>2264</v>
      </c>
      <c r="B1197" s="3">
        <v>0.0</v>
      </c>
      <c r="C1197" s="3" t="s">
        <v>3</v>
      </c>
    </row>
    <row r="1198">
      <c r="A1198" s="4" t="s">
        <v>1215</v>
      </c>
      <c r="B1198" s="3">
        <v>0.0</v>
      </c>
      <c r="C1198" s="3" t="s">
        <v>29</v>
      </c>
    </row>
    <row r="1199">
      <c r="A1199" s="4" t="s">
        <v>1216</v>
      </c>
      <c r="B1199" s="3">
        <v>0.0</v>
      </c>
      <c r="C1199" s="3" t="s">
        <v>3</v>
      </c>
    </row>
    <row r="1200">
      <c r="A1200" s="4" t="s">
        <v>1217</v>
      </c>
      <c r="B1200" s="3">
        <v>0.0</v>
      </c>
      <c r="C1200" s="3" t="s">
        <v>29</v>
      </c>
    </row>
    <row r="1201">
      <c r="A1201" s="4" t="s">
        <v>1218</v>
      </c>
      <c r="B1201" s="3">
        <v>0.0</v>
      </c>
      <c r="C1201" s="3" t="s">
        <v>29</v>
      </c>
    </row>
    <row r="1202">
      <c r="A1202" s="4" t="s">
        <v>1219</v>
      </c>
      <c r="B1202" s="3">
        <v>0.0</v>
      </c>
      <c r="C1202" s="3" t="s">
        <v>26</v>
      </c>
    </row>
    <row r="1203">
      <c r="A1203" s="4" t="s">
        <v>1220</v>
      </c>
      <c r="B1203" s="3">
        <v>0.0</v>
      </c>
      <c r="C1203" s="3" t="s">
        <v>3</v>
      </c>
    </row>
    <row r="1204">
      <c r="A1204" s="4" t="s">
        <v>1221</v>
      </c>
      <c r="B1204" s="3">
        <v>0.0</v>
      </c>
      <c r="C1204" s="3" t="s">
        <v>3</v>
      </c>
    </row>
    <row r="1205">
      <c r="A1205" s="4" t="s">
        <v>1222</v>
      </c>
      <c r="B1205" s="3">
        <v>0.0</v>
      </c>
      <c r="C1205" s="3" t="s">
        <v>6</v>
      </c>
    </row>
    <row r="1206">
      <c r="A1206" s="4" t="s">
        <v>1224</v>
      </c>
      <c r="B1206" s="3">
        <v>0.0</v>
      </c>
      <c r="C1206" s="3" t="s">
        <v>6</v>
      </c>
    </row>
    <row r="1207">
      <c r="A1207" s="4" t="s">
        <v>1225</v>
      </c>
      <c r="B1207" s="3">
        <v>0.0</v>
      </c>
      <c r="C1207" s="3" t="s">
        <v>3</v>
      </c>
    </row>
    <row r="1208">
      <c r="A1208" s="4" t="s">
        <v>1226</v>
      </c>
      <c r="B1208" s="3">
        <v>0.0</v>
      </c>
      <c r="C1208" s="3" t="s">
        <v>29</v>
      </c>
    </row>
    <row r="1209">
      <c r="A1209" s="4" t="s">
        <v>1229</v>
      </c>
      <c r="B1209" s="3">
        <v>0.0</v>
      </c>
      <c r="C1209" s="3" t="s">
        <v>6</v>
      </c>
    </row>
    <row r="1210">
      <c r="A1210" s="4" t="s">
        <v>2266</v>
      </c>
      <c r="B1210" s="3">
        <v>0.0</v>
      </c>
      <c r="C1210" s="3" t="s">
        <v>3</v>
      </c>
    </row>
    <row r="1211">
      <c r="A1211" s="4" t="s">
        <v>1232</v>
      </c>
      <c r="B1211" s="3">
        <v>0.0</v>
      </c>
      <c r="C1211" s="3" t="s">
        <v>29</v>
      </c>
    </row>
    <row r="1212">
      <c r="A1212" s="4" t="s">
        <v>1233</v>
      </c>
      <c r="B1212" s="3">
        <v>0.0</v>
      </c>
      <c r="C1212" s="3" t="s">
        <v>3</v>
      </c>
    </row>
    <row r="1213">
      <c r="A1213" s="4" t="s">
        <v>1236</v>
      </c>
      <c r="B1213" s="3">
        <v>0.0</v>
      </c>
      <c r="C1213" s="3" t="s">
        <v>6</v>
      </c>
    </row>
    <row r="1214">
      <c r="A1214" s="4" t="s">
        <v>1237</v>
      </c>
      <c r="B1214" s="3">
        <v>0.0</v>
      </c>
      <c r="C1214" s="3" t="s">
        <v>32</v>
      </c>
    </row>
    <row r="1215">
      <c r="A1215" s="4" t="s">
        <v>1239</v>
      </c>
      <c r="B1215" s="3">
        <v>0.0</v>
      </c>
      <c r="C1215" s="3" t="s">
        <v>3</v>
      </c>
    </row>
    <row r="1216">
      <c r="A1216" s="4" t="s">
        <v>1240</v>
      </c>
      <c r="B1216" s="3">
        <v>0.0</v>
      </c>
      <c r="C1216" s="3" t="s">
        <v>3</v>
      </c>
    </row>
    <row r="1217">
      <c r="A1217" s="4" t="s">
        <v>1249</v>
      </c>
      <c r="B1217" s="3">
        <v>0.0</v>
      </c>
      <c r="C1217" s="3" t="s">
        <v>3</v>
      </c>
    </row>
    <row r="1218">
      <c r="A1218" s="4" t="s">
        <v>2267</v>
      </c>
      <c r="B1218" s="3">
        <v>0.0</v>
      </c>
      <c r="C1218" s="3" t="s">
        <v>3</v>
      </c>
    </row>
    <row r="1219">
      <c r="A1219" s="4" t="s">
        <v>1253</v>
      </c>
      <c r="B1219" s="3">
        <v>0.0</v>
      </c>
      <c r="C1219" s="3" t="s">
        <v>6</v>
      </c>
    </row>
    <row r="1220">
      <c r="A1220" s="4" t="s">
        <v>1254</v>
      </c>
      <c r="B1220" s="3">
        <v>0.0</v>
      </c>
      <c r="C1220" s="3" t="s">
        <v>484</v>
      </c>
    </row>
    <row r="1221">
      <c r="A1221" s="4" t="s">
        <v>2268</v>
      </c>
      <c r="B1221" s="3">
        <v>0.0</v>
      </c>
      <c r="C1221" s="3" t="s">
        <v>3</v>
      </c>
    </row>
    <row r="1222">
      <c r="A1222" s="4" t="s">
        <v>1257</v>
      </c>
      <c r="B1222" s="3">
        <v>0.0</v>
      </c>
      <c r="C1222" s="3" t="s">
        <v>29</v>
      </c>
    </row>
    <row r="1223">
      <c r="A1223" s="4" t="s">
        <v>1266</v>
      </c>
      <c r="B1223" s="3">
        <v>0.0</v>
      </c>
      <c r="C1223" s="3" t="s">
        <v>3</v>
      </c>
    </row>
    <row r="1224">
      <c r="A1224" s="4" t="s">
        <v>1267</v>
      </c>
      <c r="B1224" s="3">
        <v>0.0</v>
      </c>
      <c r="C1224" s="3" t="s">
        <v>29</v>
      </c>
    </row>
    <row r="1225">
      <c r="A1225" s="4" t="s">
        <v>1268</v>
      </c>
      <c r="B1225" s="3">
        <v>0.0</v>
      </c>
      <c r="C1225" s="3" t="s">
        <v>6</v>
      </c>
    </row>
    <row r="1226">
      <c r="A1226" s="4" t="s">
        <v>1275</v>
      </c>
      <c r="B1226" s="3">
        <v>0.0</v>
      </c>
      <c r="C1226" s="3" t="s">
        <v>29</v>
      </c>
    </row>
    <row r="1227">
      <c r="A1227" s="4" t="s">
        <v>1276</v>
      </c>
      <c r="B1227" s="3">
        <v>0.0</v>
      </c>
      <c r="C1227" s="3" t="s">
        <v>3</v>
      </c>
    </row>
    <row r="1228">
      <c r="A1228" s="4" t="s">
        <v>1280</v>
      </c>
      <c r="B1228" s="3">
        <v>0.0</v>
      </c>
      <c r="C1228" s="3" t="s">
        <v>3</v>
      </c>
    </row>
    <row r="1229">
      <c r="A1229" s="4" t="s">
        <v>1282</v>
      </c>
      <c r="B1229" s="3">
        <v>0.0</v>
      </c>
      <c r="C1229" s="3" t="s">
        <v>3</v>
      </c>
    </row>
    <row r="1230">
      <c r="A1230" s="4" t="s">
        <v>1283</v>
      </c>
      <c r="B1230" s="3">
        <v>0.0</v>
      </c>
      <c r="C1230" s="3" t="s">
        <v>3</v>
      </c>
    </row>
    <row r="1231">
      <c r="A1231" s="4" t="s">
        <v>1284</v>
      </c>
      <c r="B1231" s="3">
        <v>0.0</v>
      </c>
      <c r="C1231" s="3" t="s">
        <v>32</v>
      </c>
    </row>
    <row r="1232">
      <c r="A1232" s="4" t="s">
        <v>1291</v>
      </c>
      <c r="B1232" s="3">
        <v>0.0</v>
      </c>
      <c r="C1232" s="3" t="s">
        <v>29</v>
      </c>
    </row>
    <row r="1233">
      <c r="A1233" s="4" t="s">
        <v>1292</v>
      </c>
      <c r="B1233" s="3">
        <v>0.0</v>
      </c>
      <c r="C1233" s="3" t="s">
        <v>3</v>
      </c>
    </row>
    <row r="1234">
      <c r="A1234" s="4" t="s">
        <v>1295</v>
      </c>
      <c r="B1234" s="3">
        <v>0.0</v>
      </c>
      <c r="C1234" s="3" t="s">
        <v>3</v>
      </c>
    </row>
    <row r="1235">
      <c r="A1235" s="4" t="s">
        <v>1296</v>
      </c>
      <c r="B1235" s="3">
        <v>0.0</v>
      </c>
      <c r="C1235" s="3" t="s">
        <v>3</v>
      </c>
    </row>
    <row r="1236">
      <c r="A1236" s="4" t="s">
        <v>1297</v>
      </c>
      <c r="B1236" s="3">
        <v>0.0</v>
      </c>
      <c r="C1236" s="3" t="s">
        <v>3</v>
      </c>
    </row>
    <row r="1237">
      <c r="A1237" s="4" t="s">
        <v>1298</v>
      </c>
      <c r="B1237" s="3">
        <v>0.0</v>
      </c>
      <c r="C1237" s="3" t="s">
        <v>3</v>
      </c>
    </row>
    <row r="1238">
      <c r="A1238" s="4" t="s">
        <v>1299</v>
      </c>
      <c r="B1238" s="3">
        <v>0.0</v>
      </c>
      <c r="C1238" s="3" t="s">
        <v>3</v>
      </c>
    </row>
    <row r="1239">
      <c r="A1239" s="4" t="s">
        <v>1301</v>
      </c>
      <c r="B1239" s="3">
        <v>0.0</v>
      </c>
      <c r="C1239" s="3" t="s">
        <v>3</v>
      </c>
    </row>
    <row r="1240">
      <c r="A1240" s="4" t="s">
        <v>1302</v>
      </c>
      <c r="B1240" s="3">
        <v>0.0</v>
      </c>
      <c r="C1240" s="3" t="s">
        <v>29</v>
      </c>
    </row>
    <row r="1241">
      <c r="A1241" s="4" t="s">
        <v>1307</v>
      </c>
      <c r="B1241" s="3">
        <v>0.0</v>
      </c>
      <c r="C1241" s="3" t="s">
        <v>32</v>
      </c>
    </row>
    <row r="1242">
      <c r="A1242" s="4" t="s">
        <v>1309</v>
      </c>
      <c r="B1242" s="3">
        <v>0.0</v>
      </c>
      <c r="C1242" s="3" t="s">
        <v>3</v>
      </c>
    </row>
    <row r="1243">
      <c r="A1243" s="4" t="s">
        <v>1310</v>
      </c>
      <c r="B1243" s="3">
        <v>0.0</v>
      </c>
      <c r="C1243" s="3" t="s">
        <v>6</v>
      </c>
    </row>
    <row r="1244">
      <c r="A1244" s="4" t="s">
        <v>1311</v>
      </c>
      <c r="B1244" s="3">
        <v>0.0</v>
      </c>
      <c r="C1244" s="3" t="s">
        <v>3</v>
      </c>
    </row>
    <row r="1245">
      <c r="A1245" s="4" t="s">
        <v>1313</v>
      </c>
      <c r="B1245" s="3">
        <v>0.0</v>
      </c>
      <c r="C1245" s="3" t="s">
        <v>3</v>
      </c>
    </row>
    <row r="1246">
      <c r="A1246" s="4" t="s">
        <v>1316</v>
      </c>
      <c r="B1246" s="3">
        <v>0.0</v>
      </c>
      <c r="C1246" s="3" t="s">
        <v>3</v>
      </c>
    </row>
    <row r="1247">
      <c r="A1247" s="4" t="s">
        <v>1317</v>
      </c>
      <c r="B1247" s="3">
        <v>0.0</v>
      </c>
      <c r="C1247" s="3" t="s">
        <v>6</v>
      </c>
    </row>
    <row r="1248">
      <c r="A1248" s="4" t="s">
        <v>2269</v>
      </c>
      <c r="B1248" s="3">
        <v>0.0</v>
      </c>
      <c r="C1248" s="3" t="s">
        <v>3</v>
      </c>
    </row>
    <row r="1249">
      <c r="A1249" s="4" t="s">
        <v>1323</v>
      </c>
      <c r="B1249" s="3">
        <v>0.0</v>
      </c>
      <c r="C1249" s="3" t="s">
        <v>3</v>
      </c>
    </row>
    <row r="1250">
      <c r="A1250" s="4" t="s">
        <v>1325</v>
      </c>
      <c r="B1250" s="3">
        <v>0.0</v>
      </c>
      <c r="C1250" s="3" t="s">
        <v>3</v>
      </c>
    </row>
    <row r="1251">
      <c r="A1251" s="4" t="s">
        <v>1327</v>
      </c>
      <c r="B1251" s="3">
        <v>0.0</v>
      </c>
      <c r="C1251" s="3" t="s">
        <v>6</v>
      </c>
    </row>
    <row r="1252">
      <c r="A1252" s="4" t="s">
        <v>1328</v>
      </c>
      <c r="B1252" s="3">
        <v>0.0</v>
      </c>
      <c r="C1252" s="3" t="s">
        <v>29</v>
      </c>
    </row>
    <row r="1253">
      <c r="A1253" s="4" t="s">
        <v>1329</v>
      </c>
      <c r="B1253" s="3">
        <v>0.0</v>
      </c>
      <c r="C1253" s="3" t="s">
        <v>6</v>
      </c>
    </row>
    <row r="1254">
      <c r="A1254" s="4" t="s">
        <v>1330</v>
      </c>
      <c r="B1254" s="3">
        <v>0.0</v>
      </c>
      <c r="C1254" s="3" t="s">
        <v>6</v>
      </c>
    </row>
    <row r="1255">
      <c r="A1255" s="4" t="s">
        <v>1344</v>
      </c>
      <c r="B1255" s="3">
        <v>0.0</v>
      </c>
      <c r="C1255" s="3" t="s">
        <v>3</v>
      </c>
    </row>
    <row r="1256">
      <c r="A1256" s="4" t="s">
        <v>1347</v>
      </c>
      <c r="B1256" s="3">
        <v>0.0</v>
      </c>
      <c r="C1256" s="3" t="s">
        <v>3</v>
      </c>
    </row>
    <row r="1257">
      <c r="A1257" s="4" t="s">
        <v>1350</v>
      </c>
      <c r="B1257" s="3">
        <v>0.0</v>
      </c>
      <c r="C1257" s="3" t="s">
        <v>3</v>
      </c>
    </row>
    <row r="1258">
      <c r="A1258" s="4" t="s">
        <v>1352</v>
      </c>
      <c r="B1258" s="3">
        <v>0.0</v>
      </c>
      <c r="C1258" s="3" t="s">
        <v>3</v>
      </c>
    </row>
    <row r="1259">
      <c r="A1259" s="4" t="s">
        <v>1353</v>
      </c>
      <c r="B1259" s="3">
        <v>0.0</v>
      </c>
      <c r="C1259" s="3" t="s">
        <v>3</v>
      </c>
    </row>
    <row r="1260">
      <c r="A1260" s="4" t="s">
        <v>1355</v>
      </c>
      <c r="B1260" s="3">
        <v>0.0</v>
      </c>
      <c r="C1260" s="3" t="s">
        <v>3</v>
      </c>
    </row>
    <row r="1261">
      <c r="A1261" s="4" t="s">
        <v>1356</v>
      </c>
      <c r="B1261" s="3">
        <v>0.0</v>
      </c>
      <c r="C1261" s="3" t="s">
        <v>3</v>
      </c>
    </row>
    <row r="1262">
      <c r="A1262" s="4" t="s">
        <v>1357</v>
      </c>
      <c r="B1262" s="3">
        <v>0.0</v>
      </c>
      <c r="C1262" s="3" t="s">
        <v>3</v>
      </c>
    </row>
    <row r="1263">
      <c r="A1263" s="4" t="s">
        <v>1360</v>
      </c>
      <c r="B1263" s="3">
        <v>0.0</v>
      </c>
      <c r="C1263" s="3" t="s">
        <v>3</v>
      </c>
    </row>
    <row r="1264">
      <c r="A1264" s="4" t="s">
        <v>1362</v>
      </c>
      <c r="B1264" s="3">
        <v>0.0</v>
      </c>
      <c r="C1264" s="3" t="s">
        <v>29</v>
      </c>
    </row>
    <row r="1265">
      <c r="A1265" s="4" t="s">
        <v>1364</v>
      </c>
      <c r="B1265" s="3">
        <v>0.0</v>
      </c>
      <c r="C1265" s="3" t="s">
        <v>6</v>
      </c>
    </row>
    <row r="1266">
      <c r="A1266" s="4" t="s">
        <v>1365</v>
      </c>
      <c r="B1266" s="3">
        <v>0.0</v>
      </c>
      <c r="C1266" s="3" t="s">
        <v>3</v>
      </c>
    </row>
    <row r="1267">
      <c r="A1267" s="4" t="s">
        <v>1366</v>
      </c>
      <c r="B1267" s="3">
        <v>0.0</v>
      </c>
      <c r="C1267" s="3" t="s">
        <v>6</v>
      </c>
    </row>
    <row r="1268">
      <c r="A1268" s="4" t="s">
        <v>1369</v>
      </c>
      <c r="B1268" s="3">
        <v>0.0</v>
      </c>
      <c r="C1268" s="3" t="s">
        <v>3</v>
      </c>
    </row>
    <row r="1269">
      <c r="A1269" s="4" t="s">
        <v>1376</v>
      </c>
      <c r="B1269" s="3">
        <v>0.0</v>
      </c>
      <c r="C1269" s="3" t="s">
        <v>3</v>
      </c>
    </row>
    <row r="1270">
      <c r="A1270" s="4" t="s">
        <v>1380</v>
      </c>
      <c r="B1270" s="3">
        <v>0.0</v>
      </c>
      <c r="C1270" s="3" t="s">
        <v>3</v>
      </c>
    </row>
    <row r="1271">
      <c r="A1271" s="4" t="s">
        <v>1382</v>
      </c>
      <c r="B1271" s="3">
        <v>0.0</v>
      </c>
      <c r="C1271" s="3" t="s">
        <v>6</v>
      </c>
    </row>
    <row r="1272">
      <c r="A1272" s="4" t="s">
        <v>1384</v>
      </c>
      <c r="B1272" s="3">
        <v>0.0</v>
      </c>
      <c r="C1272" s="3" t="s">
        <v>3</v>
      </c>
    </row>
    <row r="1273">
      <c r="A1273" s="4" t="s">
        <v>1391</v>
      </c>
      <c r="B1273" s="3">
        <v>0.0</v>
      </c>
      <c r="C1273" s="3" t="s">
        <v>29</v>
      </c>
    </row>
    <row r="1274">
      <c r="A1274" s="4" t="s">
        <v>1394</v>
      </c>
      <c r="B1274" s="3">
        <v>0.0</v>
      </c>
      <c r="C1274" s="3" t="s">
        <v>6</v>
      </c>
    </row>
    <row r="1275">
      <c r="A1275" s="4" t="s">
        <v>1397</v>
      </c>
      <c r="B1275" s="3">
        <v>0.0</v>
      </c>
      <c r="C1275" s="3" t="s">
        <v>3</v>
      </c>
    </row>
    <row r="1276">
      <c r="A1276" s="4" t="s">
        <v>1398</v>
      </c>
      <c r="B1276" s="3">
        <v>0.0</v>
      </c>
      <c r="C1276" s="3" t="s">
        <v>3</v>
      </c>
    </row>
    <row r="1277">
      <c r="A1277" s="4" t="s">
        <v>1399</v>
      </c>
      <c r="B1277" s="3">
        <v>0.0</v>
      </c>
      <c r="C1277" s="3" t="s">
        <v>3</v>
      </c>
    </row>
    <row r="1278">
      <c r="A1278" s="4" t="s">
        <v>1400</v>
      </c>
      <c r="B1278" s="3">
        <v>0.0</v>
      </c>
      <c r="C1278" s="3" t="s">
        <v>3</v>
      </c>
    </row>
    <row r="1279">
      <c r="A1279" s="4" t="s">
        <v>1403</v>
      </c>
      <c r="B1279" s="3">
        <v>0.0</v>
      </c>
      <c r="C1279" s="3" t="s">
        <v>3</v>
      </c>
    </row>
    <row r="1280">
      <c r="A1280" s="4" t="s">
        <v>1404</v>
      </c>
      <c r="B1280" s="3">
        <v>0.0</v>
      </c>
      <c r="C1280" s="3" t="s">
        <v>32</v>
      </c>
    </row>
    <row r="1281">
      <c r="A1281" s="4" t="s">
        <v>1409</v>
      </c>
      <c r="B1281" s="3">
        <v>0.0</v>
      </c>
      <c r="C1281" s="3" t="s">
        <v>6</v>
      </c>
    </row>
    <row r="1282">
      <c r="A1282" s="4" t="s">
        <v>1410</v>
      </c>
      <c r="B1282" s="3">
        <v>0.0</v>
      </c>
      <c r="C1282" s="3" t="s">
        <v>6</v>
      </c>
    </row>
    <row r="1283">
      <c r="A1283" s="4" t="s">
        <v>1413</v>
      </c>
      <c r="B1283" s="3">
        <v>0.0</v>
      </c>
      <c r="C1283" s="3" t="s">
        <v>32</v>
      </c>
    </row>
    <row r="1284">
      <c r="A1284" s="4" t="s">
        <v>1425</v>
      </c>
      <c r="B1284" s="3">
        <v>0.0</v>
      </c>
      <c r="C1284" s="3" t="s">
        <v>3</v>
      </c>
    </row>
    <row r="1285">
      <c r="A1285" s="4" t="s">
        <v>1426</v>
      </c>
      <c r="B1285" s="3">
        <v>0.0</v>
      </c>
      <c r="C1285" s="3" t="s">
        <v>3</v>
      </c>
    </row>
    <row r="1286">
      <c r="A1286" s="4" t="s">
        <v>1429</v>
      </c>
      <c r="B1286" s="3">
        <v>0.0</v>
      </c>
      <c r="C1286" s="3" t="s">
        <v>3</v>
      </c>
    </row>
    <row r="1287">
      <c r="A1287" s="4" t="s">
        <v>1430</v>
      </c>
      <c r="B1287" s="3">
        <v>0.0</v>
      </c>
      <c r="C1287" s="3" t="s">
        <v>6</v>
      </c>
    </row>
    <row r="1288">
      <c r="A1288" s="4" t="s">
        <v>2273</v>
      </c>
      <c r="B1288" s="3">
        <v>0.0</v>
      </c>
      <c r="C1288" s="3" t="s">
        <v>484</v>
      </c>
    </row>
    <row r="1289">
      <c r="A1289" s="4" t="s">
        <v>1437</v>
      </c>
      <c r="B1289" s="3">
        <v>0.0</v>
      </c>
      <c r="C1289" s="3" t="s">
        <v>6</v>
      </c>
    </row>
    <row r="1290">
      <c r="A1290" s="4" t="s">
        <v>1441</v>
      </c>
      <c r="B1290" s="3">
        <v>0.0</v>
      </c>
      <c r="C1290" s="3" t="s">
        <v>3</v>
      </c>
    </row>
    <row r="1291">
      <c r="A1291" s="4" t="s">
        <v>1442</v>
      </c>
      <c r="B1291" s="3">
        <v>0.0</v>
      </c>
      <c r="C1291" s="3" t="s">
        <v>3</v>
      </c>
    </row>
    <row r="1292">
      <c r="A1292" s="4" t="s">
        <v>1443</v>
      </c>
      <c r="B1292" s="3">
        <v>0.0</v>
      </c>
      <c r="C1292" s="3" t="s">
        <v>3</v>
      </c>
    </row>
    <row r="1293">
      <c r="A1293" s="4" t="s">
        <v>1445</v>
      </c>
      <c r="B1293" s="3">
        <v>0.0</v>
      </c>
      <c r="C1293" s="3" t="s">
        <v>3</v>
      </c>
    </row>
    <row r="1294">
      <c r="A1294" s="4" t="s">
        <v>1446</v>
      </c>
      <c r="B1294" s="3">
        <v>0.0</v>
      </c>
      <c r="C1294" s="3" t="s">
        <v>3</v>
      </c>
    </row>
    <row r="1295">
      <c r="A1295" s="4" t="s">
        <v>1447</v>
      </c>
      <c r="B1295" s="3">
        <v>0.0</v>
      </c>
      <c r="C1295" s="3" t="s">
        <v>3</v>
      </c>
    </row>
    <row r="1296">
      <c r="A1296" s="4" t="s">
        <v>1448</v>
      </c>
      <c r="B1296" s="3">
        <v>0.0</v>
      </c>
      <c r="C1296" s="3" t="s">
        <v>3</v>
      </c>
    </row>
    <row r="1297">
      <c r="A1297" s="4" t="s">
        <v>1452</v>
      </c>
      <c r="B1297" s="3">
        <v>0.0</v>
      </c>
      <c r="C1297" s="3" t="s">
        <v>32</v>
      </c>
    </row>
    <row r="1298">
      <c r="A1298" s="4" t="s">
        <v>1453</v>
      </c>
      <c r="B1298" s="3">
        <v>0.0</v>
      </c>
      <c r="C1298" s="3" t="s">
        <v>3</v>
      </c>
    </row>
    <row r="1299">
      <c r="A1299" s="4" t="s">
        <v>1458</v>
      </c>
      <c r="B1299" s="3">
        <v>0.0</v>
      </c>
      <c r="C1299" s="3" t="s">
        <v>3</v>
      </c>
    </row>
    <row r="1300">
      <c r="A1300" s="4" t="s">
        <v>1459</v>
      </c>
      <c r="B1300" s="3">
        <v>0.0</v>
      </c>
      <c r="C1300" s="3" t="s">
        <v>3</v>
      </c>
    </row>
    <row r="1301">
      <c r="A1301" s="4" t="s">
        <v>1465</v>
      </c>
      <c r="B1301" s="3">
        <v>0.0</v>
      </c>
      <c r="C1301" s="3" t="s">
        <v>3</v>
      </c>
    </row>
    <row r="1302">
      <c r="A1302" s="4" t="s">
        <v>1466</v>
      </c>
      <c r="B1302" s="3">
        <v>0.0</v>
      </c>
      <c r="C1302" s="3" t="s">
        <v>3</v>
      </c>
    </row>
    <row r="1303">
      <c r="A1303" s="4" t="s">
        <v>1469</v>
      </c>
      <c r="B1303" s="3">
        <v>0.0</v>
      </c>
      <c r="C1303" s="3" t="s">
        <v>6</v>
      </c>
    </row>
    <row r="1304">
      <c r="A1304" s="4" t="s">
        <v>1474</v>
      </c>
      <c r="B1304" s="3">
        <v>0.0</v>
      </c>
      <c r="C1304" s="3" t="s">
        <v>3</v>
      </c>
    </row>
    <row r="1305">
      <c r="A1305" s="4" t="s">
        <v>1476</v>
      </c>
      <c r="B1305" s="3">
        <v>0.0</v>
      </c>
      <c r="C1305" s="3" t="s">
        <v>3</v>
      </c>
    </row>
    <row r="1306">
      <c r="A1306" s="4" t="s">
        <v>1477</v>
      </c>
      <c r="B1306" s="3">
        <v>0.0</v>
      </c>
      <c r="C1306" s="3" t="s">
        <v>6</v>
      </c>
    </row>
    <row r="1307">
      <c r="A1307" s="4" t="s">
        <v>1478</v>
      </c>
      <c r="B1307" s="3">
        <v>0.0</v>
      </c>
      <c r="C1307" s="3" t="s">
        <v>3</v>
      </c>
    </row>
    <row r="1308">
      <c r="A1308" s="4" t="s">
        <v>1483</v>
      </c>
      <c r="B1308" s="3">
        <v>0.0</v>
      </c>
      <c r="C1308" s="3" t="s">
        <v>3</v>
      </c>
    </row>
    <row r="1309">
      <c r="A1309" s="4" t="s">
        <v>2277</v>
      </c>
      <c r="B1309" s="3">
        <v>0.0</v>
      </c>
      <c r="C1309" s="3" t="s">
        <v>6</v>
      </c>
    </row>
    <row r="1310">
      <c r="A1310" s="4" t="s">
        <v>1486</v>
      </c>
      <c r="B1310" s="3">
        <v>0.0</v>
      </c>
      <c r="C1310" s="3" t="s">
        <v>3</v>
      </c>
    </row>
    <row r="1311">
      <c r="A1311" s="4" t="s">
        <v>1487</v>
      </c>
      <c r="B1311" s="3">
        <v>0.0</v>
      </c>
      <c r="C1311" s="3" t="s">
        <v>3</v>
      </c>
    </row>
    <row r="1312">
      <c r="A1312" s="4" t="s">
        <v>1488</v>
      </c>
      <c r="B1312" s="3">
        <v>0.0</v>
      </c>
      <c r="C1312" s="3" t="s">
        <v>3</v>
      </c>
    </row>
    <row r="1313">
      <c r="A1313" s="4" t="s">
        <v>1494</v>
      </c>
      <c r="B1313" s="3">
        <v>0.0</v>
      </c>
      <c r="C1313" s="3" t="s">
        <v>3</v>
      </c>
    </row>
    <row r="1314">
      <c r="A1314" s="4" t="s">
        <v>1497</v>
      </c>
      <c r="B1314" s="3">
        <v>0.0</v>
      </c>
      <c r="C1314" s="3" t="s">
        <v>3</v>
      </c>
    </row>
    <row r="1315">
      <c r="A1315" s="4" t="s">
        <v>1498</v>
      </c>
      <c r="B1315" s="3">
        <v>0.0</v>
      </c>
      <c r="C1315" s="3" t="s">
        <v>29</v>
      </c>
    </row>
    <row r="1316">
      <c r="A1316" s="4" t="s">
        <v>1505</v>
      </c>
      <c r="B1316" s="3">
        <v>0.0</v>
      </c>
      <c r="C1316" s="3" t="s">
        <v>3</v>
      </c>
    </row>
    <row r="1317">
      <c r="A1317" s="4" t="s">
        <v>1506</v>
      </c>
      <c r="B1317" s="3">
        <v>0.0</v>
      </c>
      <c r="C1317" s="3" t="s">
        <v>3</v>
      </c>
    </row>
    <row r="1318">
      <c r="A1318" s="4" t="s">
        <v>1507</v>
      </c>
      <c r="B1318" s="3">
        <v>0.0</v>
      </c>
      <c r="C1318" s="3" t="s">
        <v>3</v>
      </c>
    </row>
    <row r="1319">
      <c r="A1319" s="4" t="s">
        <v>1508</v>
      </c>
      <c r="B1319" s="3">
        <v>0.0</v>
      </c>
      <c r="C1319" s="3" t="s">
        <v>3</v>
      </c>
    </row>
    <row r="1320">
      <c r="A1320" s="4" t="s">
        <v>1509</v>
      </c>
      <c r="B1320" s="3">
        <v>0.0</v>
      </c>
      <c r="C1320" s="3" t="s">
        <v>3</v>
      </c>
    </row>
    <row r="1321">
      <c r="A1321" s="4" t="s">
        <v>1511</v>
      </c>
      <c r="B1321" s="3">
        <v>0.0</v>
      </c>
      <c r="C1321" s="3" t="s">
        <v>6</v>
      </c>
    </row>
    <row r="1322">
      <c r="A1322" s="4" t="s">
        <v>1513</v>
      </c>
      <c r="B1322" s="3">
        <v>0.0</v>
      </c>
      <c r="C1322" s="3" t="s">
        <v>6</v>
      </c>
    </row>
    <row r="1323">
      <c r="A1323" s="4" t="s">
        <v>1514</v>
      </c>
      <c r="B1323" s="3">
        <v>0.0</v>
      </c>
      <c r="C1323" s="3" t="s">
        <v>6</v>
      </c>
    </row>
    <row r="1324">
      <c r="A1324" s="4" t="s">
        <v>1518</v>
      </c>
      <c r="B1324" s="3">
        <v>0.0</v>
      </c>
      <c r="C1324" s="3" t="s">
        <v>3</v>
      </c>
    </row>
    <row r="1325">
      <c r="A1325" s="4" t="s">
        <v>1519</v>
      </c>
      <c r="B1325" s="3">
        <v>0.0</v>
      </c>
      <c r="C1325" s="3" t="s">
        <v>3</v>
      </c>
    </row>
    <row r="1326">
      <c r="A1326" s="4" t="s">
        <v>1520</v>
      </c>
      <c r="B1326" s="3">
        <v>0.0</v>
      </c>
      <c r="C1326" s="3" t="s">
        <v>32</v>
      </c>
    </row>
    <row r="1327">
      <c r="A1327" s="4" t="s">
        <v>1521</v>
      </c>
      <c r="B1327" s="3">
        <v>0.0</v>
      </c>
      <c r="C1327" s="3" t="s">
        <v>6</v>
      </c>
    </row>
    <row r="1328">
      <c r="A1328" s="4" t="s">
        <v>1522</v>
      </c>
      <c r="B1328" s="3">
        <v>0.0</v>
      </c>
      <c r="C1328" s="3" t="s">
        <v>6</v>
      </c>
    </row>
    <row r="1329">
      <c r="A1329" s="4" t="s">
        <v>2279</v>
      </c>
      <c r="B1329" s="3">
        <v>0.0</v>
      </c>
      <c r="C1329" s="3" t="s">
        <v>3</v>
      </c>
    </row>
    <row r="1330">
      <c r="A1330" s="4" t="s">
        <v>1528</v>
      </c>
      <c r="B1330" s="3">
        <v>0.0</v>
      </c>
      <c r="C1330" s="3" t="s">
        <v>29</v>
      </c>
    </row>
    <row r="1331">
      <c r="A1331" s="4" t="s">
        <v>1529</v>
      </c>
      <c r="B1331" s="3">
        <v>0.0</v>
      </c>
      <c r="C1331" s="3" t="s">
        <v>32</v>
      </c>
    </row>
    <row r="1332">
      <c r="A1332" s="4" t="s">
        <v>1530</v>
      </c>
      <c r="B1332" s="3">
        <v>0.0</v>
      </c>
      <c r="C1332" s="3" t="s">
        <v>32</v>
      </c>
    </row>
    <row r="1333">
      <c r="A1333" s="4" t="s">
        <v>1531</v>
      </c>
      <c r="B1333" s="3">
        <v>0.0</v>
      </c>
      <c r="C1333" s="3" t="s">
        <v>3</v>
      </c>
    </row>
    <row r="1334">
      <c r="A1334" s="4" t="s">
        <v>1532</v>
      </c>
      <c r="B1334" s="3">
        <v>0.0</v>
      </c>
      <c r="C1334" s="3" t="s">
        <v>6</v>
      </c>
    </row>
    <row r="1335">
      <c r="A1335" s="4" t="s">
        <v>1533</v>
      </c>
      <c r="B1335" s="3">
        <v>0.0</v>
      </c>
      <c r="C1335" s="3" t="s">
        <v>32</v>
      </c>
    </row>
    <row r="1336">
      <c r="A1336" s="4" t="s">
        <v>1534</v>
      </c>
      <c r="B1336" s="3">
        <v>0.0</v>
      </c>
      <c r="C1336" s="3" t="s">
        <v>6</v>
      </c>
    </row>
    <row r="1337">
      <c r="A1337" s="4" t="s">
        <v>1535</v>
      </c>
      <c r="B1337" s="3">
        <v>0.0</v>
      </c>
      <c r="C1337" s="3" t="s">
        <v>6</v>
      </c>
    </row>
    <row r="1338">
      <c r="A1338" s="4" t="s">
        <v>1537</v>
      </c>
      <c r="B1338" s="3">
        <v>0.0</v>
      </c>
      <c r="C1338" s="3" t="s">
        <v>32</v>
      </c>
    </row>
    <row r="1339">
      <c r="A1339" s="4" t="s">
        <v>1538</v>
      </c>
      <c r="B1339" s="3">
        <v>0.0</v>
      </c>
      <c r="C1339" s="3" t="s">
        <v>3</v>
      </c>
    </row>
    <row r="1340">
      <c r="A1340" s="4" t="s">
        <v>1542</v>
      </c>
      <c r="B1340" s="3">
        <v>0.0</v>
      </c>
      <c r="C1340" s="3" t="s">
        <v>3</v>
      </c>
    </row>
    <row r="1341">
      <c r="A1341" s="4" t="s">
        <v>1543</v>
      </c>
      <c r="B1341" s="3">
        <v>0.0</v>
      </c>
      <c r="C1341" s="3" t="s">
        <v>3</v>
      </c>
    </row>
    <row r="1342">
      <c r="A1342" s="4" t="s">
        <v>2281</v>
      </c>
      <c r="B1342" s="3">
        <v>0.0</v>
      </c>
      <c r="C1342" s="3" t="s">
        <v>3</v>
      </c>
    </row>
    <row r="1343">
      <c r="A1343" s="4" t="s">
        <v>1548</v>
      </c>
      <c r="B1343" s="3">
        <v>0.0</v>
      </c>
      <c r="C1343" s="3" t="s">
        <v>484</v>
      </c>
    </row>
    <row r="1344">
      <c r="A1344" s="4" t="s">
        <v>1549</v>
      </c>
      <c r="B1344" s="3">
        <v>0.0</v>
      </c>
      <c r="C1344" s="3" t="s">
        <v>3</v>
      </c>
    </row>
    <row r="1345">
      <c r="A1345" s="4" t="s">
        <v>1551</v>
      </c>
      <c r="B1345" s="3">
        <v>0.0</v>
      </c>
      <c r="C1345" s="3" t="s">
        <v>3</v>
      </c>
    </row>
    <row r="1346">
      <c r="A1346" s="4" t="s">
        <v>1555</v>
      </c>
      <c r="B1346" s="3">
        <v>0.0</v>
      </c>
      <c r="C1346" s="3" t="s">
        <v>32</v>
      </c>
    </row>
    <row r="1347">
      <c r="A1347" s="4" t="s">
        <v>1562</v>
      </c>
      <c r="B1347" s="3">
        <v>0.0</v>
      </c>
      <c r="C1347" s="3" t="s">
        <v>3</v>
      </c>
    </row>
    <row r="1348">
      <c r="A1348" s="4" t="s">
        <v>1572</v>
      </c>
      <c r="B1348" s="3">
        <v>0.0</v>
      </c>
      <c r="C1348" s="3" t="s">
        <v>3</v>
      </c>
    </row>
    <row r="1349">
      <c r="A1349" s="4" t="s">
        <v>1573</v>
      </c>
      <c r="B1349" s="3">
        <v>0.0</v>
      </c>
      <c r="C1349" s="3" t="s">
        <v>3</v>
      </c>
    </row>
    <row r="1350">
      <c r="A1350" s="4" t="s">
        <v>1576</v>
      </c>
      <c r="B1350" s="3">
        <v>0.0</v>
      </c>
      <c r="C1350" s="3" t="s">
        <v>3</v>
      </c>
    </row>
    <row r="1351">
      <c r="A1351" s="4" t="s">
        <v>1578</v>
      </c>
      <c r="B1351" s="3">
        <v>0.0</v>
      </c>
      <c r="C1351" s="3" t="s">
        <v>6</v>
      </c>
    </row>
    <row r="1352">
      <c r="A1352" s="4" t="s">
        <v>1582</v>
      </c>
      <c r="B1352" s="3">
        <v>0.0</v>
      </c>
      <c r="C1352" s="3" t="s">
        <v>29</v>
      </c>
    </row>
    <row r="1353">
      <c r="A1353" s="4" t="s">
        <v>1583</v>
      </c>
      <c r="B1353" s="3">
        <v>0.0</v>
      </c>
      <c r="C1353" s="3" t="s">
        <v>6</v>
      </c>
    </row>
    <row r="1354">
      <c r="A1354" s="4" t="s">
        <v>1584</v>
      </c>
      <c r="B1354" s="3">
        <v>0.0</v>
      </c>
      <c r="C1354" s="3" t="s">
        <v>6</v>
      </c>
    </row>
    <row r="1355">
      <c r="A1355" s="4" t="s">
        <v>1587</v>
      </c>
      <c r="B1355" s="3">
        <v>0.0</v>
      </c>
      <c r="C1355" s="3" t="s">
        <v>3</v>
      </c>
    </row>
    <row r="1356">
      <c r="A1356" s="4" t="s">
        <v>1588</v>
      </c>
      <c r="B1356" s="3">
        <v>0.0</v>
      </c>
      <c r="C1356" s="3" t="s">
        <v>3</v>
      </c>
    </row>
    <row r="1357">
      <c r="A1357" s="4" t="s">
        <v>1591</v>
      </c>
      <c r="B1357" s="3">
        <v>0.0</v>
      </c>
      <c r="C1357" s="3" t="s">
        <v>3</v>
      </c>
    </row>
    <row r="1358">
      <c r="A1358" s="4" t="s">
        <v>1593</v>
      </c>
      <c r="B1358" s="3">
        <v>0.0</v>
      </c>
      <c r="C1358" s="3" t="s">
        <v>3</v>
      </c>
    </row>
    <row r="1359">
      <c r="A1359" s="4" t="s">
        <v>1595</v>
      </c>
      <c r="B1359" s="3">
        <v>0.0</v>
      </c>
      <c r="C1359" s="3" t="s">
        <v>6</v>
      </c>
    </row>
    <row r="1360">
      <c r="A1360" s="4" t="s">
        <v>1598</v>
      </c>
      <c r="B1360" s="3">
        <v>0.0</v>
      </c>
      <c r="C1360" s="3" t="s">
        <v>32</v>
      </c>
    </row>
    <row r="1361">
      <c r="A1361" s="4" t="s">
        <v>1599</v>
      </c>
      <c r="B1361" s="3">
        <v>0.0</v>
      </c>
      <c r="C1361" s="3" t="s">
        <v>6</v>
      </c>
    </row>
    <row r="1362">
      <c r="A1362" s="4" t="s">
        <v>1607</v>
      </c>
      <c r="B1362" s="3">
        <v>0.0</v>
      </c>
      <c r="C1362" s="3" t="s">
        <v>3</v>
      </c>
    </row>
    <row r="1363">
      <c r="A1363" s="4" t="s">
        <v>1608</v>
      </c>
      <c r="B1363" s="3">
        <v>0.0</v>
      </c>
      <c r="C1363" s="3" t="s">
        <v>3</v>
      </c>
    </row>
    <row r="1364">
      <c r="A1364" s="4" t="s">
        <v>1614</v>
      </c>
      <c r="B1364" s="3">
        <v>0.0</v>
      </c>
      <c r="C1364" s="3" t="s">
        <v>3</v>
      </c>
    </row>
    <row r="1365">
      <c r="A1365" s="4" t="s">
        <v>1617</v>
      </c>
      <c r="B1365" s="3">
        <v>0.0</v>
      </c>
      <c r="C1365" s="3" t="s">
        <v>3</v>
      </c>
    </row>
    <row r="1366">
      <c r="A1366" s="4" t="s">
        <v>1618</v>
      </c>
      <c r="B1366" s="3">
        <v>0.0</v>
      </c>
      <c r="C1366" s="3" t="s">
        <v>3</v>
      </c>
    </row>
    <row r="1367">
      <c r="A1367" s="4" t="s">
        <v>1619</v>
      </c>
      <c r="B1367" s="3">
        <v>0.0</v>
      </c>
      <c r="C1367" s="3" t="s">
        <v>29</v>
      </c>
    </row>
    <row r="1368">
      <c r="A1368" s="4" t="s">
        <v>1622</v>
      </c>
      <c r="B1368" s="3">
        <v>0.0</v>
      </c>
      <c r="C1368" s="3" t="s">
        <v>3</v>
      </c>
    </row>
    <row r="1369">
      <c r="A1369" s="4" t="s">
        <v>1623</v>
      </c>
      <c r="B1369" s="3">
        <v>0.0</v>
      </c>
      <c r="C1369" s="3" t="s">
        <v>6</v>
      </c>
    </row>
    <row r="1370">
      <c r="A1370" s="4" t="s">
        <v>1625</v>
      </c>
      <c r="B1370" s="3">
        <v>0.0</v>
      </c>
      <c r="C1370" s="3" t="s">
        <v>29</v>
      </c>
    </row>
    <row r="1371">
      <c r="A1371" s="4" t="s">
        <v>1627</v>
      </c>
      <c r="B1371" s="3">
        <v>0.0</v>
      </c>
      <c r="C1371" s="3" t="s">
        <v>6</v>
      </c>
    </row>
    <row r="1372">
      <c r="A1372" s="4" t="s">
        <v>1629</v>
      </c>
      <c r="B1372" s="3">
        <v>0.0</v>
      </c>
      <c r="C1372" s="3" t="s">
        <v>3</v>
      </c>
    </row>
    <row r="1373">
      <c r="A1373" s="4" t="s">
        <v>1630</v>
      </c>
      <c r="B1373" s="3">
        <v>0.0</v>
      </c>
      <c r="C1373" s="3" t="s">
        <v>3</v>
      </c>
    </row>
    <row r="1374">
      <c r="A1374" s="4" t="s">
        <v>1631</v>
      </c>
      <c r="B1374" s="3">
        <v>0.0</v>
      </c>
      <c r="C1374" s="3" t="s">
        <v>3</v>
      </c>
    </row>
    <row r="1375">
      <c r="A1375" s="4" t="s">
        <v>1632</v>
      </c>
      <c r="B1375" s="3">
        <v>0.0</v>
      </c>
      <c r="C1375" s="3" t="s">
        <v>3</v>
      </c>
    </row>
    <row r="1376">
      <c r="A1376" s="4" t="s">
        <v>1633</v>
      </c>
      <c r="B1376" s="3">
        <v>0.0</v>
      </c>
      <c r="C1376" s="3" t="s">
        <v>668</v>
      </c>
    </row>
    <row r="1377">
      <c r="A1377" s="4" t="s">
        <v>1634</v>
      </c>
      <c r="B1377" s="3">
        <v>0.0</v>
      </c>
      <c r="C1377" s="3" t="s">
        <v>3</v>
      </c>
    </row>
    <row r="1378">
      <c r="A1378" s="4" t="s">
        <v>1645</v>
      </c>
      <c r="B1378" s="3">
        <v>0.0</v>
      </c>
      <c r="C1378" s="3" t="s">
        <v>3</v>
      </c>
    </row>
    <row r="1379">
      <c r="A1379" s="4" t="s">
        <v>1646</v>
      </c>
      <c r="B1379" s="3">
        <v>0.0</v>
      </c>
      <c r="C1379" s="3" t="s">
        <v>32</v>
      </c>
    </row>
    <row r="1380">
      <c r="A1380" s="4" t="s">
        <v>1650</v>
      </c>
      <c r="B1380" s="3">
        <v>0.0</v>
      </c>
      <c r="C1380" s="3" t="s">
        <v>1651</v>
      </c>
    </row>
    <row r="1381">
      <c r="A1381" s="4" t="s">
        <v>1652</v>
      </c>
      <c r="B1381" s="3">
        <v>0.0</v>
      </c>
      <c r="C1381" s="3" t="s">
        <v>3</v>
      </c>
    </row>
    <row r="1382">
      <c r="A1382" s="4" t="s">
        <v>1657</v>
      </c>
      <c r="B1382" s="3">
        <v>0.0</v>
      </c>
      <c r="C1382" s="3" t="s">
        <v>3</v>
      </c>
    </row>
    <row r="1383">
      <c r="A1383" s="4" t="s">
        <v>1660</v>
      </c>
      <c r="B1383" s="3">
        <v>0.0</v>
      </c>
      <c r="C1383" s="3" t="s">
        <v>3</v>
      </c>
    </row>
    <row r="1384">
      <c r="A1384" s="4" t="s">
        <v>1661</v>
      </c>
      <c r="B1384" s="3">
        <v>0.0</v>
      </c>
      <c r="C1384" s="3" t="s">
        <v>3</v>
      </c>
    </row>
    <row r="1385">
      <c r="A1385" s="4" t="s">
        <v>1664</v>
      </c>
      <c r="B1385" s="3">
        <v>0.0</v>
      </c>
      <c r="C1385" s="3" t="s">
        <v>3</v>
      </c>
    </row>
    <row r="1386">
      <c r="A1386" s="4" t="s">
        <v>1666</v>
      </c>
      <c r="B1386" s="3">
        <v>0.0</v>
      </c>
      <c r="C1386" s="3" t="s">
        <v>6</v>
      </c>
    </row>
    <row r="1387">
      <c r="A1387" s="4" t="s">
        <v>1668</v>
      </c>
      <c r="B1387" s="3">
        <v>0.0</v>
      </c>
      <c r="C1387" s="3" t="s">
        <v>3</v>
      </c>
    </row>
    <row r="1388">
      <c r="A1388" s="4" t="s">
        <v>1670</v>
      </c>
      <c r="B1388" s="3">
        <v>0.0</v>
      </c>
      <c r="C1388" s="3" t="s">
        <v>3</v>
      </c>
    </row>
    <row r="1389">
      <c r="A1389" s="4" t="s">
        <v>1675</v>
      </c>
      <c r="B1389" s="3">
        <v>0.0</v>
      </c>
      <c r="C1389" s="3" t="s">
        <v>3</v>
      </c>
    </row>
    <row r="1390">
      <c r="A1390" s="4" t="s">
        <v>2290</v>
      </c>
      <c r="B1390" s="3">
        <v>0.0</v>
      </c>
      <c r="C1390" s="3" t="s">
        <v>3</v>
      </c>
    </row>
    <row r="1391">
      <c r="A1391" s="4" t="s">
        <v>1682</v>
      </c>
      <c r="B1391" s="3">
        <v>0.0</v>
      </c>
      <c r="C1391" s="3" t="s">
        <v>3</v>
      </c>
    </row>
    <row r="1392">
      <c r="A1392" s="4" t="s">
        <v>1685</v>
      </c>
      <c r="B1392" s="3">
        <v>0.0</v>
      </c>
      <c r="C1392" s="3" t="s">
        <v>3</v>
      </c>
    </row>
    <row r="1393">
      <c r="A1393" s="4" t="s">
        <v>1686</v>
      </c>
      <c r="B1393" s="3">
        <v>0.0</v>
      </c>
      <c r="C1393" s="3" t="s">
        <v>3</v>
      </c>
    </row>
    <row r="1394">
      <c r="A1394" s="4" t="s">
        <v>1687</v>
      </c>
      <c r="B1394" s="3">
        <v>0.0</v>
      </c>
      <c r="C1394" s="3" t="s">
        <v>29</v>
      </c>
    </row>
    <row r="1395">
      <c r="A1395" s="4" t="s">
        <v>1690</v>
      </c>
      <c r="B1395" s="3">
        <v>0.0</v>
      </c>
      <c r="C1395" s="3" t="s">
        <v>29</v>
      </c>
    </row>
    <row r="1396">
      <c r="A1396" s="4" t="s">
        <v>1691</v>
      </c>
      <c r="B1396" s="3">
        <v>0.0</v>
      </c>
      <c r="C1396" s="3" t="s">
        <v>484</v>
      </c>
    </row>
    <row r="1397">
      <c r="A1397" s="4" t="s">
        <v>1694</v>
      </c>
      <c r="B1397" s="3">
        <v>0.0</v>
      </c>
      <c r="C1397" s="3" t="s">
        <v>32</v>
      </c>
    </row>
    <row r="1398">
      <c r="A1398" s="4" t="s">
        <v>1695</v>
      </c>
      <c r="B1398" s="3">
        <v>0.0</v>
      </c>
      <c r="C1398" s="3" t="s">
        <v>3</v>
      </c>
    </row>
    <row r="1399">
      <c r="A1399" s="4" t="s">
        <v>1699</v>
      </c>
      <c r="B1399" s="3">
        <v>0.0</v>
      </c>
      <c r="C1399" s="3" t="s">
        <v>3</v>
      </c>
    </row>
    <row r="1400">
      <c r="A1400" s="4" t="s">
        <v>1700</v>
      </c>
      <c r="B1400" s="3">
        <v>0.0</v>
      </c>
      <c r="C1400" s="3" t="s">
        <v>3</v>
      </c>
    </row>
    <row r="1401">
      <c r="A1401" s="4" t="s">
        <v>1703</v>
      </c>
      <c r="B1401" s="3">
        <v>0.0</v>
      </c>
      <c r="C1401" s="3" t="s">
        <v>3</v>
      </c>
    </row>
    <row r="1402">
      <c r="A1402" s="4" t="s">
        <v>1704</v>
      </c>
      <c r="B1402" s="3">
        <v>0.0</v>
      </c>
      <c r="C1402" s="3" t="s">
        <v>3</v>
      </c>
    </row>
    <row r="1403">
      <c r="A1403" s="4" t="s">
        <v>1705</v>
      </c>
      <c r="B1403" s="3">
        <v>0.0</v>
      </c>
      <c r="C1403" s="3" t="s">
        <v>3</v>
      </c>
    </row>
    <row r="1404">
      <c r="A1404" s="4" t="s">
        <v>1706</v>
      </c>
      <c r="B1404" s="3">
        <v>0.0</v>
      </c>
      <c r="C1404" s="3" t="s">
        <v>6</v>
      </c>
    </row>
    <row r="1405">
      <c r="A1405" s="4" t="s">
        <v>1707</v>
      </c>
      <c r="B1405" s="3">
        <v>0.0</v>
      </c>
      <c r="C1405" s="3" t="s">
        <v>6</v>
      </c>
    </row>
    <row r="1406">
      <c r="A1406" s="4" t="s">
        <v>1708</v>
      </c>
      <c r="B1406" s="3">
        <v>0.0</v>
      </c>
      <c r="C1406" s="3" t="s">
        <v>3</v>
      </c>
    </row>
    <row r="1407">
      <c r="A1407" s="4" t="s">
        <v>1711</v>
      </c>
      <c r="B1407" s="3">
        <v>0.0</v>
      </c>
      <c r="C1407" s="3" t="s">
        <v>3</v>
      </c>
    </row>
    <row r="1408">
      <c r="A1408" s="4" t="s">
        <v>1720</v>
      </c>
      <c r="B1408" s="3">
        <v>0.0</v>
      </c>
      <c r="C1408" s="3" t="s">
        <v>3</v>
      </c>
    </row>
    <row r="1409">
      <c r="A1409" s="4" t="s">
        <v>1721</v>
      </c>
      <c r="B1409" s="3">
        <v>0.0</v>
      </c>
      <c r="C1409" s="3" t="s">
        <v>3</v>
      </c>
    </row>
    <row r="1410">
      <c r="A1410" s="4" t="s">
        <v>1722</v>
      </c>
      <c r="B1410" s="3">
        <v>0.0</v>
      </c>
      <c r="C1410" s="3" t="s">
        <v>3</v>
      </c>
    </row>
    <row r="1411">
      <c r="A1411" s="4" t="s">
        <v>2293</v>
      </c>
      <c r="B1411" s="3">
        <v>0.0</v>
      </c>
      <c r="C1411" s="3" t="s">
        <v>32</v>
      </c>
    </row>
    <row r="1412">
      <c r="A1412" s="4" t="s">
        <v>1728</v>
      </c>
      <c r="B1412" s="3">
        <v>0.0</v>
      </c>
      <c r="C1412" s="3" t="s">
        <v>3</v>
      </c>
    </row>
    <row r="1413">
      <c r="A1413" s="4" t="s">
        <v>1729</v>
      </c>
      <c r="B1413" s="3">
        <v>0.0</v>
      </c>
      <c r="C1413" s="3" t="s">
        <v>3</v>
      </c>
    </row>
    <row r="1414">
      <c r="A1414" s="4" t="s">
        <v>1730</v>
      </c>
      <c r="B1414" s="3">
        <v>0.0</v>
      </c>
      <c r="C1414" s="3" t="s">
        <v>29</v>
      </c>
    </row>
    <row r="1415">
      <c r="A1415" s="4" t="s">
        <v>1731</v>
      </c>
      <c r="B1415" s="3">
        <v>0.0</v>
      </c>
      <c r="C1415" s="3" t="s">
        <v>6</v>
      </c>
    </row>
    <row r="1416">
      <c r="A1416" s="4" t="s">
        <v>1732</v>
      </c>
      <c r="B1416" s="3">
        <v>0.0</v>
      </c>
      <c r="C1416" s="3" t="s">
        <v>3</v>
      </c>
    </row>
    <row r="1417">
      <c r="A1417" s="4" t="s">
        <v>1737</v>
      </c>
      <c r="B1417" s="3">
        <v>0.0</v>
      </c>
      <c r="C1417" s="3" t="s">
        <v>3</v>
      </c>
    </row>
    <row r="1418">
      <c r="A1418" s="4" t="s">
        <v>1740</v>
      </c>
      <c r="B1418" s="3">
        <v>0.0</v>
      </c>
      <c r="C1418" s="3" t="s">
        <v>3</v>
      </c>
    </row>
    <row r="1419">
      <c r="A1419" s="4" t="s">
        <v>2294</v>
      </c>
      <c r="B1419" s="3">
        <v>0.0</v>
      </c>
      <c r="C1419" s="3" t="s">
        <v>3</v>
      </c>
    </row>
    <row r="1420">
      <c r="A1420" s="4" t="s">
        <v>1743</v>
      </c>
      <c r="B1420" s="3">
        <v>0.0</v>
      </c>
      <c r="C1420" s="3" t="s">
        <v>3</v>
      </c>
    </row>
    <row r="1421">
      <c r="A1421" s="4" t="s">
        <v>1749</v>
      </c>
      <c r="B1421" s="3">
        <v>0.0</v>
      </c>
      <c r="C1421" s="3" t="s">
        <v>6</v>
      </c>
    </row>
    <row r="1422">
      <c r="A1422" s="4" t="s">
        <v>1750</v>
      </c>
      <c r="B1422" s="3">
        <v>0.0</v>
      </c>
      <c r="C1422" s="3" t="s">
        <v>6</v>
      </c>
    </row>
    <row r="1423">
      <c r="A1423" s="4" t="s">
        <v>1753</v>
      </c>
      <c r="B1423" s="3">
        <v>0.0</v>
      </c>
      <c r="C1423" s="3" t="s">
        <v>32</v>
      </c>
    </row>
    <row r="1424">
      <c r="A1424" s="4" t="s">
        <v>1755</v>
      </c>
      <c r="B1424" s="3">
        <v>0.0</v>
      </c>
      <c r="C1424" s="3" t="s">
        <v>3</v>
      </c>
    </row>
    <row r="1425">
      <c r="A1425" s="4" t="s">
        <v>1760</v>
      </c>
      <c r="B1425" s="3">
        <v>0.0</v>
      </c>
      <c r="C1425" s="3" t="s">
        <v>3</v>
      </c>
    </row>
    <row r="1426">
      <c r="A1426" s="4" t="s">
        <v>1763</v>
      </c>
      <c r="B1426" s="3">
        <v>0.0</v>
      </c>
      <c r="C1426" s="3" t="s">
        <v>3</v>
      </c>
    </row>
    <row r="1427">
      <c r="A1427" s="4" t="s">
        <v>1768</v>
      </c>
      <c r="B1427" s="3">
        <v>0.0</v>
      </c>
      <c r="C1427" s="3" t="s">
        <v>6</v>
      </c>
    </row>
    <row r="1428">
      <c r="A1428" s="4" t="s">
        <v>1769</v>
      </c>
      <c r="B1428" s="3">
        <v>0.0</v>
      </c>
      <c r="C1428" s="3" t="s">
        <v>3</v>
      </c>
    </row>
    <row r="1429">
      <c r="A1429" s="4" t="s">
        <v>1770</v>
      </c>
      <c r="B1429" s="3">
        <v>0.0</v>
      </c>
      <c r="C1429" s="3" t="s">
        <v>29</v>
      </c>
    </row>
    <row r="1430">
      <c r="A1430" s="4" t="s">
        <v>1771</v>
      </c>
      <c r="B1430" s="3">
        <v>0.0</v>
      </c>
      <c r="C1430" s="3" t="s">
        <v>3</v>
      </c>
    </row>
    <row r="1431">
      <c r="A1431" s="4" t="s">
        <v>1772</v>
      </c>
      <c r="B1431" s="3">
        <v>0.0</v>
      </c>
      <c r="C1431" s="3" t="s">
        <v>32</v>
      </c>
    </row>
    <row r="1432">
      <c r="A1432" s="4" t="s">
        <v>1780</v>
      </c>
      <c r="B1432" s="3">
        <v>0.0</v>
      </c>
      <c r="C1432" s="3" t="s">
        <v>32</v>
      </c>
    </row>
    <row r="1433">
      <c r="A1433" s="4" t="s">
        <v>1784</v>
      </c>
      <c r="B1433" s="3">
        <v>0.0</v>
      </c>
      <c r="C1433" s="3" t="s">
        <v>3</v>
      </c>
    </row>
    <row r="1434">
      <c r="A1434" s="4" t="s">
        <v>1785</v>
      </c>
      <c r="B1434" s="3">
        <v>0.0</v>
      </c>
      <c r="C1434" s="3" t="s">
        <v>3</v>
      </c>
    </row>
    <row r="1435">
      <c r="A1435" s="4" t="s">
        <v>1786</v>
      </c>
      <c r="B1435" s="3">
        <v>0.0</v>
      </c>
      <c r="C1435" s="3" t="s">
        <v>6</v>
      </c>
    </row>
    <row r="1436">
      <c r="A1436" s="4" t="s">
        <v>1794</v>
      </c>
      <c r="B1436" s="3">
        <v>0.0</v>
      </c>
      <c r="C1436" s="3" t="s">
        <v>3</v>
      </c>
    </row>
    <row r="1437">
      <c r="A1437" s="4" t="s">
        <v>1796</v>
      </c>
      <c r="B1437" s="3">
        <v>0.0</v>
      </c>
      <c r="C1437" s="3" t="s">
        <v>3</v>
      </c>
    </row>
    <row r="1438">
      <c r="A1438" s="4" t="s">
        <v>2297</v>
      </c>
      <c r="B1438" s="3">
        <v>0.0</v>
      </c>
      <c r="C1438" s="3" t="s">
        <v>32</v>
      </c>
    </row>
    <row r="1439">
      <c r="A1439" s="4" t="s">
        <v>1799</v>
      </c>
      <c r="B1439" s="3">
        <v>0.0</v>
      </c>
      <c r="C1439" s="3" t="s">
        <v>29</v>
      </c>
    </row>
    <row r="1440">
      <c r="A1440" s="4" t="s">
        <v>2299</v>
      </c>
      <c r="B1440" s="3">
        <v>0.0</v>
      </c>
      <c r="C1440" s="3" t="s">
        <v>6</v>
      </c>
    </row>
    <row r="1441">
      <c r="A1441" s="4" t="s">
        <v>2300</v>
      </c>
      <c r="B1441" s="3">
        <v>0.0</v>
      </c>
      <c r="C1441" s="3" t="s">
        <v>29</v>
      </c>
    </row>
    <row r="1442">
      <c r="A1442" s="4" t="s">
        <v>1807</v>
      </c>
      <c r="B1442" s="3">
        <v>0.0</v>
      </c>
      <c r="C1442" s="3" t="s">
        <v>668</v>
      </c>
    </row>
    <row r="1443">
      <c r="A1443" s="4" t="s">
        <v>1814</v>
      </c>
      <c r="B1443" s="3">
        <v>0.0</v>
      </c>
      <c r="C1443" s="3" t="s">
        <v>3</v>
      </c>
    </row>
    <row r="1444">
      <c r="A1444" s="4" t="s">
        <v>2302</v>
      </c>
      <c r="B1444" s="3">
        <v>0.0</v>
      </c>
      <c r="C1444" s="3" t="s">
        <v>3</v>
      </c>
    </row>
    <row r="1445">
      <c r="A1445" s="4" t="s">
        <v>1818</v>
      </c>
      <c r="B1445" s="3">
        <v>0.0</v>
      </c>
      <c r="C1445" s="3" t="s">
        <v>3</v>
      </c>
    </row>
    <row r="1446">
      <c r="A1446" s="4" t="s">
        <v>1821</v>
      </c>
      <c r="B1446" s="3">
        <v>0.0</v>
      </c>
      <c r="C1446" s="3" t="s">
        <v>3</v>
      </c>
    </row>
    <row r="1447">
      <c r="A1447" s="4" t="s">
        <v>1825</v>
      </c>
      <c r="B1447" s="3">
        <v>0.0</v>
      </c>
      <c r="C1447" s="3" t="s">
        <v>3</v>
      </c>
    </row>
    <row r="1448">
      <c r="A1448" s="4" t="s">
        <v>1826</v>
      </c>
      <c r="B1448" s="3">
        <v>0.0</v>
      </c>
      <c r="C1448" s="3" t="s">
        <v>3</v>
      </c>
    </row>
    <row r="1449">
      <c r="A1449" s="4" t="s">
        <v>2305</v>
      </c>
      <c r="B1449" s="3">
        <v>0.0</v>
      </c>
      <c r="C1449" s="3" t="s">
        <v>3</v>
      </c>
    </row>
    <row r="1450">
      <c r="A1450" s="4" t="s">
        <v>1829</v>
      </c>
      <c r="B1450" s="3">
        <v>0.0</v>
      </c>
      <c r="C1450" s="3" t="s">
        <v>3</v>
      </c>
    </row>
    <row r="1451">
      <c r="A1451" s="4" t="s">
        <v>1831</v>
      </c>
      <c r="B1451" s="3">
        <v>0.0</v>
      </c>
      <c r="C1451" s="3" t="s">
        <v>3</v>
      </c>
    </row>
    <row r="1452">
      <c r="A1452" s="4" t="s">
        <v>1834</v>
      </c>
      <c r="B1452" s="3">
        <v>0.0</v>
      </c>
      <c r="C1452" s="3" t="s">
        <v>29</v>
      </c>
    </row>
    <row r="1453">
      <c r="A1453" s="4" t="s">
        <v>1837</v>
      </c>
      <c r="B1453" s="3">
        <v>0.0</v>
      </c>
      <c r="C1453" s="3" t="s">
        <v>3</v>
      </c>
    </row>
    <row r="1454">
      <c r="A1454" s="4" t="s">
        <v>1840</v>
      </c>
      <c r="B1454" s="3">
        <v>0.0</v>
      </c>
      <c r="C1454" s="3" t="s">
        <v>3</v>
      </c>
    </row>
    <row r="1455">
      <c r="A1455" s="4" t="s">
        <v>1841</v>
      </c>
      <c r="B1455" s="3">
        <v>0.0</v>
      </c>
      <c r="C1455" s="3" t="s">
        <v>29</v>
      </c>
    </row>
    <row r="1456">
      <c r="A1456" s="4" t="s">
        <v>1843</v>
      </c>
      <c r="B1456" s="3">
        <v>0.0</v>
      </c>
      <c r="C1456" s="3" t="s">
        <v>3</v>
      </c>
    </row>
    <row r="1457">
      <c r="A1457" s="4" t="s">
        <v>2307</v>
      </c>
      <c r="B1457" s="3">
        <v>0.0</v>
      </c>
      <c r="C1457" s="3" t="s">
        <v>32</v>
      </c>
    </row>
    <row r="1458">
      <c r="A1458" s="4" t="s">
        <v>1846</v>
      </c>
      <c r="B1458" s="3">
        <v>0.0</v>
      </c>
      <c r="C1458" s="3" t="s">
        <v>6</v>
      </c>
    </row>
    <row r="1459">
      <c r="A1459" s="4" t="s">
        <v>1847</v>
      </c>
      <c r="B1459" s="3">
        <v>0.0</v>
      </c>
      <c r="C1459" s="3" t="s">
        <v>6</v>
      </c>
    </row>
    <row r="1460">
      <c r="A1460" s="4" t="s">
        <v>1854</v>
      </c>
      <c r="B1460" s="3">
        <v>0.0</v>
      </c>
      <c r="C1460" s="3" t="s">
        <v>6</v>
      </c>
    </row>
    <row r="1461">
      <c r="A1461" s="4" t="s">
        <v>1855</v>
      </c>
      <c r="B1461" s="3">
        <v>0.0</v>
      </c>
      <c r="C1461" s="3" t="s">
        <v>29</v>
      </c>
    </row>
    <row r="1462">
      <c r="A1462" s="4" t="s">
        <v>2310</v>
      </c>
      <c r="B1462" s="3">
        <v>0.0</v>
      </c>
      <c r="C1462" s="3" t="s">
        <v>3</v>
      </c>
    </row>
    <row r="1463">
      <c r="A1463" s="4" t="s">
        <v>1861</v>
      </c>
      <c r="B1463" s="3">
        <v>0.0</v>
      </c>
      <c r="C1463" s="3" t="s">
        <v>3</v>
      </c>
    </row>
    <row r="1464">
      <c r="A1464" s="4" t="s">
        <v>1863</v>
      </c>
      <c r="B1464" s="3">
        <v>0.0</v>
      </c>
      <c r="C1464" s="3" t="s">
        <v>6</v>
      </c>
    </row>
    <row r="1465">
      <c r="A1465" s="4" t="s">
        <v>1864</v>
      </c>
      <c r="B1465" s="3">
        <v>0.0</v>
      </c>
      <c r="C1465" s="3" t="s">
        <v>6</v>
      </c>
    </row>
    <row r="1466">
      <c r="A1466" s="4" t="s">
        <v>1865</v>
      </c>
      <c r="B1466" s="3">
        <v>0.0</v>
      </c>
      <c r="C1466" s="3" t="s">
        <v>32</v>
      </c>
    </row>
    <row r="1467">
      <c r="A1467" s="4" t="s">
        <v>1866</v>
      </c>
      <c r="B1467" s="3">
        <v>0.0</v>
      </c>
      <c r="C1467" s="3" t="s">
        <v>3</v>
      </c>
    </row>
    <row r="1468">
      <c r="A1468" s="4" t="s">
        <v>1867</v>
      </c>
      <c r="B1468" s="3">
        <v>0.0</v>
      </c>
      <c r="C1468" s="3" t="s">
        <v>3</v>
      </c>
    </row>
    <row r="1469">
      <c r="A1469" s="4" t="s">
        <v>1868</v>
      </c>
      <c r="B1469" s="3">
        <v>0.0</v>
      </c>
      <c r="C1469" s="3" t="s">
        <v>26</v>
      </c>
    </row>
    <row r="1470">
      <c r="A1470" s="4" t="s">
        <v>1869</v>
      </c>
      <c r="B1470" s="3">
        <v>0.0</v>
      </c>
      <c r="C1470" s="3" t="s">
        <v>3</v>
      </c>
    </row>
    <row r="1471">
      <c r="A1471" s="4" t="s">
        <v>1870</v>
      </c>
      <c r="B1471" s="3">
        <v>0.0</v>
      </c>
      <c r="C1471" s="3" t="s">
        <v>3</v>
      </c>
    </row>
    <row r="1472">
      <c r="A1472" s="4" t="s">
        <v>1871</v>
      </c>
      <c r="B1472" s="3">
        <v>0.0</v>
      </c>
      <c r="C1472" s="3" t="s">
        <v>3</v>
      </c>
    </row>
    <row r="1473">
      <c r="A1473" s="4" t="s">
        <v>2311</v>
      </c>
      <c r="B1473" s="3">
        <v>0.0</v>
      </c>
      <c r="C1473" s="3" t="s">
        <v>3</v>
      </c>
    </row>
    <row r="1474">
      <c r="A1474" s="4" t="s">
        <v>1875</v>
      </c>
      <c r="B1474" s="3">
        <v>0.0</v>
      </c>
      <c r="C1474" s="3" t="s">
        <v>32</v>
      </c>
    </row>
    <row r="1475">
      <c r="A1475" s="4" t="s">
        <v>1876</v>
      </c>
      <c r="B1475" s="3">
        <v>0.0</v>
      </c>
      <c r="C1475" s="3" t="s">
        <v>3</v>
      </c>
    </row>
    <row r="1476">
      <c r="A1476" s="4" t="s">
        <v>1877</v>
      </c>
      <c r="B1476" s="3">
        <v>0.0</v>
      </c>
      <c r="C1476" s="3" t="s">
        <v>3</v>
      </c>
    </row>
    <row r="1477">
      <c r="A1477" s="4" t="s">
        <v>1878</v>
      </c>
      <c r="B1477" s="3">
        <v>0.0</v>
      </c>
      <c r="C1477" s="3" t="s">
        <v>3</v>
      </c>
    </row>
    <row r="1478">
      <c r="A1478" s="4" t="s">
        <v>1879</v>
      </c>
      <c r="B1478" s="3">
        <v>0.0</v>
      </c>
      <c r="C1478" s="3" t="s">
        <v>6</v>
      </c>
    </row>
    <row r="1479">
      <c r="A1479" s="4" t="s">
        <v>1881</v>
      </c>
      <c r="B1479" s="3">
        <v>0.0</v>
      </c>
      <c r="C1479" s="3" t="s">
        <v>3</v>
      </c>
    </row>
    <row r="1480">
      <c r="A1480" s="4" t="s">
        <v>1882</v>
      </c>
      <c r="B1480" s="3">
        <v>0.0</v>
      </c>
      <c r="C1480" s="3" t="s">
        <v>32</v>
      </c>
    </row>
    <row r="1481">
      <c r="A1481" s="4" t="s">
        <v>1883</v>
      </c>
      <c r="B1481" s="3">
        <v>0.0</v>
      </c>
      <c r="C1481" s="3" t="s">
        <v>3</v>
      </c>
    </row>
    <row r="1482">
      <c r="A1482" s="4" t="s">
        <v>1887</v>
      </c>
      <c r="B1482" s="3">
        <v>0.0</v>
      </c>
      <c r="C1482" s="3" t="s">
        <v>6</v>
      </c>
    </row>
    <row r="1483">
      <c r="A1483" s="4" t="s">
        <v>1891</v>
      </c>
      <c r="B1483" s="3">
        <v>0.0</v>
      </c>
      <c r="C1483" s="3" t="s">
        <v>3</v>
      </c>
    </row>
    <row r="1484">
      <c r="A1484" s="4" t="s">
        <v>1892</v>
      </c>
      <c r="B1484" s="3">
        <v>0.0</v>
      </c>
      <c r="C1484" s="3" t="s">
        <v>3</v>
      </c>
    </row>
    <row r="1485">
      <c r="A1485" s="4" t="s">
        <v>1893</v>
      </c>
      <c r="B1485" s="3">
        <v>0.0</v>
      </c>
      <c r="C1485" s="3" t="s">
        <v>3</v>
      </c>
    </row>
    <row r="1486">
      <c r="A1486" s="4" t="s">
        <v>1894</v>
      </c>
      <c r="B1486" s="3">
        <v>0.0</v>
      </c>
      <c r="C1486" s="3" t="s">
        <v>3</v>
      </c>
    </row>
    <row r="1487">
      <c r="A1487" s="4" t="s">
        <v>1898</v>
      </c>
      <c r="B1487" s="3">
        <v>0.0</v>
      </c>
      <c r="C1487" s="3" t="s">
        <v>3</v>
      </c>
    </row>
    <row r="1488">
      <c r="A1488" s="4" t="s">
        <v>1900</v>
      </c>
      <c r="B1488" s="3">
        <v>0.0</v>
      </c>
      <c r="C1488" s="3" t="s">
        <v>3</v>
      </c>
    </row>
    <row r="1489">
      <c r="A1489" s="4" t="s">
        <v>1901</v>
      </c>
      <c r="B1489" s="3">
        <v>0.0</v>
      </c>
      <c r="C1489" s="3" t="s">
        <v>3</v>
      </c>
    </row>
    <row r="1490">
      <c r="A1490" s="4" t="s">
        <v>1905</v>
      </c>
      <c r="B1490" s="3">
        <v>0.0</v>
      </c>
      <c r="C1490" s="3" t="s">
        <v>3</v>
      </c>
    </row>
    <row r="1491">
      <c r="A1491" s="4" t="s">
        <v>1906</v>
      </c>
      <c r="B1491" s="3">
        <v>0.0</v>
      </c>
      <c r="C1491" s="3" t="s">
        <v>32</v>
      </c>
    </row>
    <row r="1492">
      <c r="A1492" s="4" t="s">
        <v>1908</v>
      </c>
      <c r="B1492" s="3">
        <v>0.0</v>
      </c>
      <c r="C1492" s="3" t="s">
        <v>3</v>
      </c>
    </row>
    <row r="1493">
      <c r="A1493" s="4" t="s">
        <v>1913</v>
      </c>
      <c r="B1493" s="3">
        <v>0.0</v>
      </c>
      <c r="C1493" s="3" t="s">
        <v>3</v>
      </c>
    </row>
    <row r="1494">
      <c r="A1494" s="4" t="s">
        <v>1914</v>
      </c>
      <c r="B1494" s="3">
        <v>0.0</v>
      </c>
      <c r="C1494" s="3" t="s">
        <v>3</v>
      </c>
    </row>
    <row r="1495">
      <c r="A1495" s="4" t="s">
        <v>1915</v>
      </c>
      <c r="B1495" s="3">
        <v>0.0</v>
      </c>
      <c r="C1495" s="3" t="s">
        <v>3</v>
      </c>
    </row>
    <row r="1496">
      <c r="A1496" s="4" t="s">
        <v>1916</v>
      </c>
      <c r="B1496" s="3">
        <v>0.0</v>
      </c>
      <c r="C1496" s="3" t="s">
        <v>3</v>
      </c>
    </row>
    <row r="1497">
      <c r="A1497" s="4" t="s">
        <v>1917</v>
      </c>
      <c r="B1497" s="3">
        <v>0.0</v>
      </c>
      <c r="C1497" s="3" t="s">
        <v>3</v>
      </c>
    </row>
    <row r="1498">
      <c r="A1498" s="4" t="s">
        <v>1922</v>
      </c>
      <c r="B1498" s="3">
        <v>0.0</v>
      </c>
      <c r="C1498" s="3" t="s">
        <v>29</v>
      </c>
    </row>
    <row r="1499">
      <c r="A1499" s="4" t="s">
        <v>1923</v>
      </c>
      <c r="B1499" s="3">
        <v>0.0</v>
      </c>
      <c r="C1499" s="3" t="s">
        <v>6</v>
      </c>
    </row>
    <row r="1500">
      <c r="A1500" s="4" t="s">
        <v>1936</v>
      </c>
      <c r="B1500" s="3">
        <v>0.0</v>
      </c>
      <c r="C1500" s="3" t="s">
        <v>6</v>
      </c>
    </row>
    <row r="1501">
      <c r="A1501" s="4" t="s">
        <v>1937</v>
      </c>
      <c r="B1501" s="3">
        <v>0.0</v>
      </c>
      <c r="C1501" s="3" t="s">
        <v>3</v>
      </c>
    </row>
    <row r="1502">
      <c r="A1502" s="4" t="s">
        <v>2318</v>
      </c>
      <c r="B1502" s="3">
        <v>0.0</v>
      </c>
      <c r="C1502" s="3" t="s">
        <v>6</v>
      </c>
    </row>
    <row r="1503">
      <c r="A1503" s="4" t="s">
        <v>2319</v>
      </c>
      <c r="B1503" s="3">
        <v>0.0</v>
      </c>
      <c r="C1503" s="3" t="s">
        <v>3</v>
      </c>
    </row>
    <row r="1504">
      <c r="A1504" s="4" t="s">
        <v>2320</v>
      </c>
      <c r="B1504" s="3">
        <v>0.0</v>
      </c>
      <c r="C1504" s="3" t="s">
        <v>3</v>
      </c>
    </row>
    <row r="1505">
      <c r="A1505" s="4" t="s">
        <v>1951</v>
      </c>
      <c r="B1505" s="3">
        <v>0.0</v>
      </c>
      <c r="C1505" s="3" t="s">
        <v>484</v>
      </c>
    </row>
    <row r="1506">
      <c r="A1506" s="4" t="s">
        <v>2325</v>
      </c>
      <c r="B1506" s="3">
        <v>0.0</v>
      </c>
      <c r="C1506" s="3" t="s">
        <v>3</v>
      </c>
    </row>
    <row r="1507">
      <c r="A1507" s="4" t="s">
        <v>1970</v>
      </c>
      <c r="B1507" s="3">
        <v>0.0</v>
      </c>
      <c r="C1507" s="3" t="s">
        <v>6</v>
      </c>
    </row>
    <row r="1508">
      <c r="A1508" s="4" t="s">
        <v>2330</v>
      </c>
      <c r="B1508" s="3">
        <v>0.0</v>
      </c>
      <c r="C1508" s="3" t="s">
        <v>6</v>
      </c>
    </row>
    <row r="1509">
      <c r="A1509" s="4" t="s">
        <v>1974</v>
      </c>
      <c r="B1509" s="3">
        <v>0.0</v>
      </c>
      <c r="C1509" s="3" t="s">
        <v>3</v>
      </c>
    </row>
    <row r="1510">
      <c r="A1510" s="4" t="s">
        <v>1978</v>
      </c>
      <c r="B1510" s="3">
        <v>0.0</v>
      </c>
      <c r="C1510" s="3" t="s">
        <v>3</v>
      </c>
    </row>
    <row r="1511">
      <c r="A1511" s="4" t="s">
        <v>1982</v>
      </c>
      <c r="B1511" s="3">
        <v>0.0</v>
      </c>
      <c r="C1511" s="3" t="s">
        <v>3</v>
      </c>
    </row>
    <row r="1512">
      <c r="A1512" s="4" t="s">
        <v>1983</v>
      </c>
      <c r="B1512" s="3">
        <v>0.0</v>
      </c>
      <c r="C1512" s="3" t="s">
        <v>6</v>
      </c>
    </row>
    <row r="1513">
      <c r="A1513" s="4" t="s">
        <v>1984</v>
      </c>
      <c r="B1513" s="3">
        <v>0.0</v>
      </c>
      <c r="C1513" s="3" t="s">
        <v>3</v>
      </c>
    </row>
    <row r="1514">
      <c r="A1514" s="4" t="s">
        <v>1985</v>
      </c>
      <c r="B1514" s="3">
        <v>0.0</v>
      </c>
      <c r="C1514" s="3" t="s">
        <v>3</v>
      </c>
    </row>
    <row r="1515">
      <c r="A1515" s="4" t="s">
        <v>1986</v>
      </c>
      <c r="B1515" s="3">
        <v>0.0</v>
      </c>
      <c r="C1515" s="3" t="s">
        <v>3</v>
      </c>
    </row>
    <row r="1516">
      <c r="A1516" s="4" t="s">
        <v>1987</v>
      </c>
      <c r="B1516" s="3">
        <v>0.0</v>
      </c>
      <c r="C1516" s="3" t="s">
        <v>3</v>
      </c>
    </row>
    <row r="1517">
      <c r="A1517" s="4" t="s">
        <v>1988</v>
      </c>
      <c r="B1517" s="3">
        <v>0.0</v>
      </c>
      <c r="C1517" s="3" t="s">
        <v>3</v>
      </c>
    </row>
    <row r="1518">
      <c r="A1518" s="4" t="s">
        <v>1997</v>
      </c>
      <c r="B1518" s="3">
        <v>0.0</v>
      </c>
      <c r="C1518" s="3" t="s">
        <v>6</v>
      </c>
    </row>
    <row r="1519">
      <c r="A1519" s="4" t="s">
        <v>2001</v>
      </c>
      <c r="B1519" s="3">
        <v>0.0</v>
      </c>
      <c r="C1519" s="3" t="s">
        <v>6</v>
      </c>
    </row>
    <row r="1520">
      <c r="A1520" s="4" t="s">
        <v>2004</v>
      </c>
      <c r="B1520" s="3">
        <v>0.0</v>
      </c>
      <c r="C1520" s="3" t="s">
        <v>3</v>
      </c>
    </row>
    <row r="1521">
      <c r="A1521" s="4" t="s">
        <v>2005</v>
      </c>
      <c r="B1521" s="3">
        <v>0.0</v>
      </c>
      <c r="C1521" s="3" t="s">
        <v>3</v>
      </c>
    </row>
    <row r="1522">
      <c r="A1522" s="4" t="s">
        <v>2332</v>
      </c>
      <c r="B1522" s="3">
        <v>0.0</v>
      </c>
      <c r="C1522" s="3" t="s">
        <v>3</v>
      </c>
    </row>
    <row r="1523">
      <c r="A1523" s="4" t="s">
        <v>2012</v>
      </c>
      <c r="B1523" s="3">
        <v>0.0</v>
      </c>
      <c r="C1523" s="3" t="s">
        <v>3</v>
      </c>
    </row>
    <row r="1524">
      <c r="A1524" s="4" t="s">
        <v>2013</v>
      </c>
      <c r="B1524" s="3">
        <v>0.0</v>
      </c>
      <c r="C1524" s="3" t="s">
        <v>6</v>
      </c>
    </row>
    <row r="1525">
      <c r="A1525" s="4" t="s">
        <v>2016</v>
      </c>
      <c r="B1525" s="3">
        <v>0.0</v>
      </c>
      <c r="C1525" s="3" t="s">
        <v>29</v>
      </c>
    </row>
    <row r="1526">
      <c r="A1526" s="4" t="s">
        <v>2017</v>
      </c>
      <c r="B1526" s="3">
        <v>0.0</v>
      </c>
      <c r="C1526" s="3" t="s">
        <v>3</v>
      </c>
    </row>
    <row r="1527">
      <c r="A1527" s="4" t="s">
        <v>2019</v>
      </c>
      <c r="B1527" s="3">
        <v>0.0</v>
      </c>
      <c r="C1527" s="3" t="s">
        <v>29</v>
      </c>
    </row>
    <row r="1528">
      <c r="A1528" s="4" t="s">
        <v>2020</v>
      </c>
      <c r="B1528" s="3">
        <v>0.0</v>
      </c>
      <c r="C1528" s="3" t="s">
        <v>29</v>
      </c>
    </row>
    <row r="1529">
      <c r="A1529" s="4" t="s">
        <v>2021</v>
      </c>
      <c r="B1529" s="3">
        <v>0.0</v>
      </c>
      <c r="C1529" s="3" t="s">
        <v>3</v>
      </c>
    </row>
    <row r="1530">
      <c r="A1530" s="4" t="s">
        <v>2025</v>
      </c>
      <c r="B1530" s="3">
        <v>0.0</v>
      </c>
      <c r="C1530" s="3" t="s">
        <v>32</v>
      </c>
    </row>
    <row r="1531">
      <c r="A1531" s="4" t="s">
        <v>2026</v>
      </c>
      <c r="B1531" s="3">
        <v>0.0</v>
      </c>
      <c r="C1531" s="3" t="s">
        <v>3</v>
      </c>
    </row>
    <row r="1532">
      <c r="A1532" s="4" t="s">
        <v>2027</v>
      </c>
      <c r="B1532" s="3">
        <v>0.0</v>
      </c>
      <c r="C1532" s="3" t="s">
        <v>3</v>
      </c>
    </row>
    <row r="1533">
      <c r="A1533" s="4" t="s">
        <v>2028</v>
      </c>
      <c r="B1533" s="3">
        <v>0.0</v>
      </c>
      <c r="C1533" s="3" t="s">
        <v>29</v>
      </c>
    </row>
    <row r="1534">
      <c r="A1534" s="4" t="s">
        <v>2029</v>
      </c>
      <c r="B1534" s="3">
        <v>0.0</v>
      </c>
      <c r="C1534" s="3" t="s">
        <v>29</v>
      </c>
    </row>
    <row r="1535">
      <c r="A1535" s="4"/>
      <c r="B1535" s="4"/>
      <c r="C1535" s="4"/>
    </row>
    <row r="1536">
      <c r="A1536" s="4"/>
      <c r="B1536" s="4"/>
      <c r="C1536" s="4"/>
    </row>
  </sheetData>
  <autoFilter ref="$B$1:$B$1536"/>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19.63"/>
    <col customWidth="1" min="3" max="3" width="24.88"/>
  </cols>
  <sheetData>
    <row r="1" ht="112.5" customHeight="1">
      <c r="A1" s="1" t="s">
        <v>2346</v>
      </c>
    </row>
    <row r="2">
      <c r="A2" s="7" t="s">
        <v>2347</v>
      </c>
      <c r="B2" s="8">
        <f>COUNT(B9:B1541)</f>
        <v>1533</v>
      </c>
      <c r="C2" s="5"/>
    </row>
    <row r="3">
      <c r="A3" s="7" t="s">
        <v>2348</v>
      </c>
      <c r="B3" s="9">
        <f>MAX(B9:B1541)</f>
        <v>16167670</v>
      </c>
      <c r="C3" s="5"/>
    </row>
    <row r="4">
      <c r="A4" s="7" t="s">
        <v>2349</v>
      </c>
      <c r="B4" s="9">
        <f>MIN(B9:B1541)</f>
        <v>0</v>
      </c>
      <c r="C4" s="5"/>
    </row>
    <row r="5">
      <c r="A5" s="7" t="s">
        <v>2350</v>
      </c>
      <c r="B5" s="9">
        <f>MEDIAN(B9:B1541)</f>
        <v>0</v>
      </c>
      <c r="C5" s="5"/>
    </row>
    <row r="6">
      <c r="A6" s="7" t="s">
        <v>2351</v>
      </c>
      <c r="B6" s="9">
        <f>AVERAGE(B9:B1541)</f>
        <v>44559.53298</v>
      </c>
      <c r="C6" s="5"/>
    </row>
    <row r="7">
      <c r="A7" s="7" t="s">
        <v>2352</v>
      </c>
      <c r="B7" s="9">
        <f>SUM(B9:B1541)</f>
        <v>68309764.06</v>
      </c>
      <c r="C7" s="5"/>
    </row>
    <row r="8">
      <c r="A8" s="6" t="s">
        <v>2068</v>
      </c>
      <c r="B8" s="5" t="s">
        <v>2065</v>
      </c>
      <c r="C8" s="5" t="s">
        <v>2066</v>
      </c>
    </row>
    <row r="9">
      <c r="A9" s="4" t="s">
        <v>2069</v>
      </c>
      <c r="B9" s="3">
        <v>0.0</v>
      </c>
      <c r="C9" s="3" t="s">
        <v>3</v>
      </c>
    </row>
    <row r="10">
      <c r="A10" s="4" t="s">
        <v>5</v>
      </c>
      <c r="B10" s="3">
        <v>0.0</v>
      </c>
      <c r="C10" s="3" t="s">
        <v>6</v>
      </c>
    </row>
    <row r="11">
      <c r="A11" s="4" t="s">
        <v>7</v>
      </c>
      <c r="B11" s="3">
        <v>0.0</v>
      </c>
      <c r="C11" s="3" t="s">
        <v>3</v>
      </c>
    </row>
    <row r="12">
      <c r="A12" s="4" t="s">
        <v>8</v>
      </c>
      <c r="B12" s="3">
        <v>0.0</v>
      </c>
      <c r="C12" s="3" t="s">
        <v>3</v>
      </c>
    </row>
    <row r="13">
      <c r="A13" s="4" t="s">
        <v>9</v>
      </c>
      <c r="B13" s="3">
        <v>0.0</v>
      </c>
      <c r="C13" s="3" t="s">
        <v>3</v>
      </c>
    </row>
    <row r="14">
      <c r="A14" s="4" t="s">
        <v>10</v>
      </c>
      <c r="B14" s="3">
        <v>1000.0</v>
      </c>
      <c r="C14" s="4"/>
    </row>
    <row r="15">
      <c r="A15" s="4" t="s">
        <v>12</v>
      </c>
      <c r="B15" s="3">
        <v>1800.0</v>
      </c>
      <c r="C15" s="4"/>
    </row>
    <row r="16">
      <c r="A16" s="4" t="s">
        <v>14</v>
      </c>
      <c r="B16" s="3">
        <v>19000.0</v>
      </c>
      <c r="C16" s="3" t="s">
        <v>16</v>
      </c>
    </row>
    <row r="17">
      <c r="A17" s="4" t="s">
        <v>17</v>
      </c>
      <c r="B17" s="3">
        <v>500.0</v>
      </c>
      <c r="C17" s="4"/>
    </row>
    <row r="18">
      <c r="A18" s="4" t="s">
        <v>19</v>
      </c>
      <c r="B18" s="3">
        <v>2000.0</v>
      </c>
      <c r="C18" s="4"/>
    </row>
    <row r="19">
      <c r="A19" s="4" t="s">
        <v>21</v>
      </c>
      <c r="B19" s="3">
        <v>3000.0</v>
      </c>
      <c r="C19" s="4"/>
    </row>
    <row r="20">
      <c r="A20" s="4" t="s">
        <v>23</v>
      </c>
      <c r="B20" s="3">
        <v>0.0</v>
      </c>
      <c r="C20" s="3" t="s">
        <v>3</v>
      </c>
    </row>
    <row r="21">
      <c r="A21" s="4" t="s">
        <v>24</v>
      </c>
      <c r="B21" s="3">
        <v>0.0</v>
      </c>
      <c r="C21" s="3" t="s">
        <v>3</v>
      </c>
    </row>
    <row r="22">
      <c r="A22" s="4" t="s">
        <v>25</v>
      </c>
      <c r="B22" s="3">
        <v>0.0</v>
      </c>
      <c r="C22" s="3" t="s">
        <v>26</v>
      </c>
    </row>
    <row r="23">
      <c r="A23" s="4" t="s">
        <v>27</v>
      </c>
      <c r="B23" s="3">
        <v>0.0</v>
      </c>
      <c r="C23" s="3" t="s">
        <v>3</v>
      </c>
    </row>
    <row r="24">
      <c r="A24" s="4" t="s">
        <v>28</v>
      </c>
      <c r="B24" s="3">
        <v>0.0</v>
      </c>
      <c r="C24" s="3" t="s">
        <v>29</v>
      </c>
    </row>
    <row r="25">
      <c r="A25" s="4" t="s">
        <v>2070</v>
      </c>
      <c r="B25" s="3">
        <v>7600.0</v>
      </c>
      <c r="C25" s="3" t="s">
        <v>32</v>
      </c>
    </row>
    <row r="26">
      <c r="A26" s="4" t="s">
        <v>34</v>
      </c>
      <c r="B26" s="3">
        <v>0.0</v>
      </c>
      <c r="C26" s="3" t="s">
        <v>3</v>
      </c>
    </row>
    <row r="27">
      <c r="A27" s="4" t="s">
        <v>2071</v>
      </c>
      <c r="B27" s="3">
        <v>22000.0</v>
      </c>
      <c r="C27" s="3" t="s">
        <v>37</v>
      </c>
    </row>
    <row r="28">
      <c r="A28" s="4" t="s">
        <v>2072</v>
      </c>
      <c r="B28" s="3">
        <v>0.0</v>
      </c>
      <c r="C28" s="3" t="s">
        <v>3</v>
      </c>
    </row>
    <row r="29">
      <c r="A29" s="4" t="s">
        <v>2073</v>
      </c>
      <c r="B29" s="3">
        <v>5000.0</v>
      </c>
      <c r="C29" s="4"/>
    </row>
    <row r="30">
      <c r="A30" s="4" t="s">
        <v>44</v>
      </c>
      <c r="B30" s="3">
        <v>300.0</v>
      </c>
      <c r="C30" s="3" t="s">
        <v>3</v>
      </c>
    </row>
    <row r="31">
      <c r="A31" s="4" t="s">
        <v>46</v>
      </c>
      <c r="B31" s="3">
        <v>4500.0</v>
      </c>
      <c r="C31" s="3" t="s">
        <v>3</v>
      </c>
    </row>
    <row r="32">
      <c r="A32" s="4" t="s">
        <v>2074</v>
      </c>
      <c r="B32" s="3">
        <v>0.0</v>
      </c>
      <c r="C32" s="3" t="s">
        <v>3</v>
      </c>
    </row>
    <row r="33">
      <c r="A33" s="4" t="s">
        <v>2075</v>
      </c>
      <c r="B33" s="3">
        <v>10000.0</v>
      </c>
      <c r="C33" s="3" t="s">
        <v>3</v>
      </c>
    </row>
    <row r="34">
      <c r="A34" s="4" t="s">
        <v>53</v>
      </c>
      <c r="B34" s="3">
        <v>22000.0</v>
      </c>
      <c r="C34" s="4"/>
    </row>
    <row r="35">
      <c r="A35" s="4" t="s">
        <v>54</v>
      </c>
      <c r="B35" s="3">
        <v>0.0</v>
      </c>
      <c r="C35" s="3" t="s">
        <v>3</v>
      </c>
    </row>
    <row r="36">
      <c r="A36" s="4" t="s">
        <v>55</v>
      </c>
      <c r="B36" s="3">
        <v>2400.0</v>
      </c>
      <c r="C36" s="4"/>
    </row>
    <row r="37">
      <c r="A37" s="4" t="s">
        <v>57</v>
      </c>
      <c r="B37" s="3">
        <v>6500.0</v>
      </c>
      <c r="C37" s="4"/>
    </row>
    <row r="38">
      <c r="A38" s="4" t="s">
        <v>59</v>
      </c>
      <c r="B38" s="3">
        <v>0.0</v>
      </c>
      <c r="C38" s="3" t="s">
        <v>3</v>
      </c>
    </row>
    <row r="39">
      <c r="A39" s="4" t="s">
        <v>60</v>
      </c>
      <c r="B39" s="3">
        <v>0.0</v>
      </c>
      <c r="C39" s="3" t="s">
        <v>3</v>
      </c>
    </row>
    <row r="40">
      <c r="A40" s="4" t="s">
        <v>61</v>
      </c>
      <c r="B40" s="3">
        <v>0.0</v>
      </c>
      <c r="C40" s="3" t="s">
        <v>3</v>
      </c>
    </row>
    <row r="41">
      <c r="A41" s="4" t="s">
        <v>62</v>
      </c>
      <c r="B41" s="3">
        <v>500.0</v>
      </c>
      <c r="C41" s="4"/>
    </row>
    <row r="42">
      <c r="A42" s="4" t="s">
        <v>63</v>
      </c>
      <c r="B42" s="3">
        <v>5000.0</v>
      </c>
      <c r="C42" s="3" t="s">
        <v>3</v>
      </c>
    </row>
    <row r="43">
      <c r="A43" s="4" t="s">
        <v>64</v>
      </c>
      <c r="B43" s="3">
        <v>1500.0</v>
      </c>
      <c r="C43" s="4"/>
    </row>
    <row r="44">
      <c r="A44" s="4" t="s">
        <v>66</v>
      </c>
      <c r="B44" s="3">
        <v>0.0</v>
      </c>
      <c r="C44" s="3" t="s">
        <v>6</v>
      </c>
    </row>
    <row r="45">
      <c r="A45" s="4" t="s">
        <v>67</v>
      </c>
      <c r="B45" s="3">
        <v>1500.0</v>
      </c>
      <c r="C45" s="4"/>
    </row>
    <row r="46">
      <c r="A46" s="4" t="s">
        <v>2076</v>
      </c>
      <c r="B46" s="3">
        <v>60000.0</v>
      </c>
      <c r="C46" s="4"/>
    </row>
    <row r="47">
      <c r="A47" s="4" t="s">
        <v>71</v>
      </c>
      <c r="B47" s="3">
        <v>6000.0</v>
      </c>
      <c r="C47" s="3" t="s">
        <v>3</v>
      </c>
    </row>
    <row r="48">
      <c r="A48" s="4" t="s">
        <v>73</v>
      </c>
      <c r="B48" s="3">
        <v>0.0</v>
      </c>
      <c r="C48" s="3" t="s">
        <v>6</v>
      </c>
    </row>
    <row r="49">
      <c r="A49" s="4" t="s">
        <v>2077</v>
      </c>
      <c r="B49" s="3">
        <v>500.0</v>
      </c>
      <c r="C49" s="4"/>
    </row>
    <row r="50">
      <c r="A50" s="4" t="s">
        <v>76</v>
      </c>
      <c r="B50" s="3">
        <v>5000.0</v>
      </c>
      <c r="C50" s="3" t="s">
        <v>6</v>
      </c>
    </row>
    <row r="51">
      <c r="A51" s="4" t="s">
        <v>77</v>
      </c>
      <c r="B51" s="3">
        <v>2000.0</v>
      </c>
      <c r="C51" s="4"/>
    </row>
    <row r="52">
      <c r="A52" s="4" t="s">
        <v>78</v>
      </c>
      <c r="B52" s="3">
        <v>5500.0</v>
      </c>
      <c r="C52" s="4"/>
    </row>
    <row r="53">
      <c r="A53" s="4" t="s">
        <v>80</v>
      </c>
      <c r="B53" s="3">
        <v>0.0</v>
      </c>
      <c r="C53" s="3" t="s">
        <v>3</v>
      </c>
    </row>
    <row r="54">
      <c r="A54" s="4" t="s">
        <v>81</v>
      </c>
      <c r="B54" s="3">
        <v>2000.0</v>
      </c>
      <c r="C54" s="3" t="s">
        <v>29</v>
      </c>
    </row>
    <row r="55">
      <c r="A55" s="4" t="s">
        <v>82</v>
      </c>
      <c r="B55" s="3">
        <v>20060.0</v>
      </c>
      <c r="C55" s="4"/>
    </row>
    <row r="56">
      <c r="A56" s="4" t="s">
        <v>84</v>
      </c>
      <c r="B56" s="3">
        <v>11000.0</v>
      </c>
      <c r="C56" s="3" t="s">
        <v>26</v>
      </c>
    </row>
    <row r="57">
      <c r="A57" s="4" t="s">
        <v>86</v>
      </c>
      <c r="B57" s="3">
        <v>0.0</v>
      </c>
      <c r="C57" s="3" t="s">
        <v>32</v>
      </c>
    </row>
    <row r="58">
      <c r="A58" s="4" t="s">
        <v>87</v>
      </c>
      <c r="B58" s="3">
        <v>0.0</v>
      </c>
      <c r="C58" s="3" t="s">
        <v>3</v>
      </c>
    </row>
    <row r="59">
      <c r="A59" s="4" t="s">
        <v>2078</v>
      </c>
      <c r="B59" s="3">
        <v>4500.0</v>
      </c>
      <c r="C59" s="3" t="s">
        <v>3</v>
      </c>
    </row>
    <row r="60">
      <c r="A60" s="4" t="s">
        <v>90</v>
      </c>
      <c r="B60" s="3">
        <v>0.0</v>
      </c>
      <c r="C60" s="3" t="s">
        <v>3</v>
      </c>
    </row>
    <row r="61">
      <c r="A61" s="4" t="s">
        <v>91</v>
      </c>
      <c r="B61" s="3">
        <v>0.0</v>
      </c>
      <c r="C61" s="3" t="s">
        <v>3</v>
      </c>
    </row>
    <row r="62">
      <c r="A62" s="4" t="s">
        <v>92</v>
      </c>
      <c r="B62" s="3">
        <v>0.0</v>
      </c>
      <c r="C62" s="3" t="s">
        <v>6</v>
      </c>
    </row>
    <row r="63">
      <c r="A63" s="4" t="s">
        <v>93</v>
      </c>
      <c r="B63" s="3">
        <v>1000.0</v>
      </c>
      <c r="C63" s="4"/>
    </row>
    <row r="64">
      <c r="A64" s="4" t="s">
        <v>2079</v>
      </c>
      <c r="B64" s="3">
        <v>500.0</v>
      </c>
      <c r="C64" s="4"/>
    </row>
    <row r="65">
      <c r="A65" s="4" t="s">
        <v>2080</v>
      </c>
      <c r="B65" s="3">
        <v>571.0</v>
      </c>
      <c r="C65" s="4"/>
    </row>
    <row r="66">
      <c r="A66" s="4" t="s">
        <v>99</v>
      </c>
      <c r="B66" s="3">
        <v>0.0</v>
      </c>
      <c r="C66" s="3" t="s">
        <v>3</v>
      </c>
    </row>
    <row r="67">
      <c r="A67" s="4" t="s">
        <v>100</v>
      </c>
      <c r="B67" s="3">
        <v>0.0</v>
      </c>
      <c r="C67" s="3" t="s">
        <v>3</v>
      </c>
    </row>
    <row r="68">
      <c r="A68" s="4" t="s">
        <v>101</v>
      </c>
      <c r="B68" s="3">
        <v>0.0</v>
      </c>
      <c r="C68" s="3" t="s">
        <v>3</v>
      </c>
    </row>
    <row r="69">
      <c r="A69" s="4" t="s">
        <v>102</v>
      </c>
      <c r="B69" s="3">
        <v>0.0</v>
      </c>
      <c r="C69" s="3" t="s">
        <v>3</v>
      </c>
    </row>
    <row r="70">
      <c r="A70" s="4" t="s">
        <v>103</v>
      </c>
      <c r="B70" s="3">
        <v>1000.0</v>
      </c>
      <c r="C70" s="4"/>
    </row>
    <row r="71">
      <c r="A71" s="4" t="s">
        <v>104</v>
      </c>
      <c r="B71" s="3">
        <v>0.0</v>
      </c>
      <c r="C71" s="3" t="s">
        <v>3</v>
      </c>
    </row>
    <row r="72">
      <c r="A72" s="4" t="s">
        <v>105</v>
      </c>
      <c r="B72" s="3">
        <v>0.0</v>
      </c>
      <c r="C72" s="3" t="s">
        <v>3</v>
      </c>
    </row>
    <row r="73">
      <c r="A73" s="4" t="s">
        <v>2081</v>
      </c>
      <c r="B73" s="3">
        <v>500.0</v>
      </c>
      <c r="C73" s="4"/>
    </row>
    <row r="74">
      <c r="A74" s="4" t="s">
        <v>2082</v>
      </c>
      <c r="B74" s="3">
        <v>0.0</v>
      </c>
      <c r="C74" s="3" t="s">
        <v>3</v>
      </c>
    </row>
    <row r="75">
      <c r="A75" s="4" t="s">
        <v>110</v>
      </c>
      <c r="B75" s="3">
        <v>0.0</v>
      </c>
      <c r="C75" s="3" t="s">
        <v>3</v>
      </c>
    </row>
    <row r="76">
      <c r="A76" s="4" t="s">
        <v>2083</v>
      </c>
      <c r="B76" s="3">
        <v>82238.0</v>
      </c>
      <c r="C76" s="3" t="s">
        <v>37</v>
      </c>
    </row>
    <row r="77">
      <c r="A77" s="4" t="s">
        <v>114</v>
      </c>
      <c r="B77" s="3">
        <v>4000.0</v>
      </c>
      <c r="C77" s="4"/>
    </row>
    <row r="78">
      <c r="A78" s="4" t="s">
        <v>116</v>
      </c>
      <c r="B78" s="3">
        <v>300.0</v>
      </c>
      <c r="C78" s="4"/>
    </row>
    <row r="79">
      <c r="A79" s="4" t="s">
        <v>117</v>
      </c>
      <c r="B79" s="3">
        <v>8605.0</v>
      </c>
      <c r="C79" s="4"/>
    </row>
    <row r="80">
      <c r="A80" s="4" t="s">
        <v>2084</v>
      </c>
      <c r="B80" s="3">
        <v>0.0</v>
      </c>
      <c r="C80" s="3" t="s">
        <v>3</v>
      </c>
    </row>
    <row r="81">
      <c r="A81" s="4" t="s">
        <v>121</v>
      </c>
      <c r="B81" s="3">
        <v>0.0</v>
      </c>
      <c r="C81" s="3" t="s">
        <v>3</v>
      </c>
    </row>
    <row r="82">
      <c r="A82" s="4" t="s">
        <v>2085</v>
      </c>
      <c r="B82" s="3">
        <v>1000.0</v>
      </c>
      <c r="C82" s="3" t="s">
        <v>6</v>
      </c>
    </row>
    <row r="83">
      <c r="A83" s="4" t="s">
        <v>124</v>
      </c>
      <c r="B83" s="3">
        <v>2500.0</v>
      </c>
      <c r="C83" s="3" t="s">
        <v>26</v>
      </c>
    </row>
    <row r="84">
      <c r="A84" s="4" t="s">
        <v>2086</v>
      </c>
      <c r="B84" s="3">
        <v>450195.0</v>
      </c>
      <c r="C84" s="3" t="s">
        <v>29</v>
      </c>
    </row>
    <row r="85">
      <c r="A85" s="4" t="s">
        <v>2087</v>
      </c>
      <c r="B85" s="3">
        <v>0.0</v>
      </c>
      <c r="C85" s="3" t="s">
        <v>29</v>
      </c>
    </row>
    <row r="86">
      <c r="A86" s="4" t="s">
        <v>131</v>
      </c>
      <c r="B86" s="3">
        <v>0.0</v>
      </c>
      <c r="C86" s="3" t="s">
        <v>3</v>
      </c>
    </row>
    <row r="87">
      <c r="A87" s="4" t="s">
        <v>132</v>
      </c>
      <c r="B87" s="3">
        <v>0.0</v>
      </c>
      <c r="C87" s="3" t="s">
        <v>3</v>
      </c>
    </row>
    <row r="88">
      <c r="A88" s="4" t="s">
        <v>133</v>
      </c>
      <c r="B88" s="3">
        <v>2000.0</v>
      </c>
      <c r="C88" s="3" t="s">
        <v>3</v>
      </c>
    </row>
    <row r="89">
      <c r="A89" s="4" t="s">
        <v>134</v>
      </c>
      <c r="B89" s="3">
        <v>750.0</v>
      </c>
      <c r="C89" s="3" t="s">
        <v>3</v>
      </c>
    </row>
    <row r="90">
      <c r="A90" s="4" t="s">
        <v>136</v>
      </c>
      <c r="B90" s="3">
        <v>3109.0</v>
      </c>
      <c r="C90" s="4"/>
    </row>
    <row r="91">
      <c r="A91" s="4" t="s">
        <v>138</v>
      </c>
      <c r="B91" s="3">
        <v>11011.0</v>
      </c>
      <c r="C91" s="4"/>
    </row>
    <row r="92">
      <c r="A92" s="4" t="s">
        <v>140</v>
      </c>
      <c r="B92" s="3">
        <v>0.0</v>
      </c>
      <c r="C92" s="3" t="s">
        <v>6</v>
      </c>
    </row>
    <row r="93">
      <c r="A93" s="4" t="s">
        <v>141</v>
      </c>
      <c r="B93" s="3">
        <v>0.0</v>
      </c>
      <c r="C93" s="3" t="s">
        <v>3</v>
      </c>
    </row>
    <row r="94">
      <c r="A94" s="4" t="s">
        <v>142</v>
      </c>
      <c r="B94" s="3">
        <v>0.0</v>
      </c>
      <c r="C94" s="3" t="s">
        <v>3</v>
      </c>
    </row>
    <row r="95">
      <c r="A95" s="4" t="s">
        <v>143</v>
      </c>
      <c r="B95" s="3">
        <v>0.0</v>
      </c>
      <c r="C95" s="3" t="s">
        <v>32</v>
      </c>
    </row>
    <row r="96">
      <c r="A96" s="4" t="s">
        <v>144</v>
      </c>
      <c r="B96" s="3">
        <v>0.0</v>
      </c>
      <c r="C96" s="3" t="s">
        <v>3</v>
      </c>
    </row>
    <row r="97">
      <c r="A97" s="4" t="s">
        <v>145</v>
      </c>
      <c r="B97" s="3">
        <v>15000.0</v>
      </c>
      <c r="C97" s="4"/>
    </row>
    <row r="98">
      <c r="A98" s="4" t="s">
        <v>147</v>
      </c>
      <c r="B98" s="3">
        <v>0.0</v>
      </c>
      <c r="C98" s="3" t="s">
        <v>3</v>
      </c>
    </row>
    <row r="99">
      <c r="A99" s="4" t="s">
        <v>148</v>
      </c>
      <c r="B99" s="3">
        <v>0.0</v>
      </c>
      <c r="C99" s="3" t="s">
        <v>6</v>
      </c>
    </row>
    <row r="100">
      <c r="A100" s="4" t="s">
        <v>2088</v>
      </c>
      <c r="B100" s="3">
        <v>30000.0</v>
      </c>
      <c r="C100" s="3" t="s">
        <v>3</v>
      </c>
    </row>
    <row r="101">
      <c r="A101" s="4" t="s">
        <v>152</v>
      </c>
      <c r="B101" s="3">
        <v>1500.0</v>
      </c>
      <c r="C101" s="4"/>
    </row>
    <row r="102">
      <c r="A102" s="4" t="s">
        <v>153</v>
      </c>
      <c r="B102" s="3">
        <v>0.0</v>
      </c>
      <c r="C102" s="3" t="s">
        <v>29</v>
      </c>
    </row>
    <row r="103">
      <c r="A103" s="4" t="s">
        <v>154</v>
      </c>
      <c r="B103" s="3">
        <v>0.0</v>
      </c>
      <c r="C103" s="3" t="s">
        <v>32</v>
      </c>
    </row>
    <row r="104">
      <c r="A104" s="4" t="s">
        <v>155</v>
      </c>
      <c r="B104" s="3">
        <v>0.0</v>
      </c>
      <c r="C104" s="3" t="s">
        <v>3</v>
      </c>
    </row>
    <row r="105">
      <c r="A105" s="4" t="s">
        <v>156</v>
      </c>
      <c r="B105" s="3">
        <v>0.0</v>
      </c>
      <c r="C105" s="3" t="s">
        <v>6</v>
      </c>
    </row>
    <row r="106">
      <c r="A106" s="4" t="s">
        <v>157</v>
      </c>
      <c r="B106" s="3">
        <v>3000.0</v>
      </c>
      <c r="C106" s="4"/>
    </row>
    <row r="107">
      <c r="A107" s="4" t="s">
        <v>158</v>
      </c>
      <c r="B107" s="3">
        <v>7932.0</v>
      </c>
      <c r="C107" s="4"/>
    </row>
    <row r="108">
      <c r="A108" s="4" t="s">
        <v>160</v>
      </c>
      <c r="B108" s="3">
        <v>0.0</v>
      </c>
      <c r="C108" s="3" t="s">
        <v>26</v>
      </c>
    </row>
    <row r="109">
      <c r="A109" s="4" t="s">
        <v>2089</v>
      </c>
      <c r="B109" s="3">
        <v>21000.0</v>
      </c>
      <c r="C109" s="3" t="s">
        <v>32</v>
      </c>
    </row>
    <row r="110">
      <c r="A110" s="4" t="s">
        <v>164</v>
      </c>
      <c r="B110" s="3">
        <v>7500.0</v>
      </c>
      <c r="C110" s="4"/>
    </row>
    <row r="111">
      <c r="A111" s="4" t="s">
        <v>166</v>
      </c>
      <c r="B111" s="3">
        <v>2700.0</v>
      </c>
      <c r="C111" s="4"/>
    </row>
    <row r="112">
      <c r="A112" s="4" t="s">
        <v>168</v>
      </c>
      <c r="B112" s="3">
        <v>2500.0</v>
      </c>
      <c r="C112" s="4"/>
    </row>
    <row r="113">
      <c r="A113" s="4" t="s">
        <v>169</v>
      </c>
      <c r="B113" s="3">
        <v>0.0</v>
      </c>
      <c r="C113" s="3" t="s">
        <v>29</v>
      </c>
    </row>
    <row r="114">
      <c r="A114" s="4" t="s">
        <v>170</v>
      </c>
      <c r="B114" s="3">
        <v>0.0</v>
      </c>
      <c r="C114" s="3" t="s">
        <v>3</v>
      </c>
    </row>
    <row r="115">
      <c r="A115" s="4" t="s">
        <v>171</v>
      </c>
      <c r="B115" s="3">
        <v>12000.0</v>
      </c>
      <c r="C115" s="3" t="s">
        <v>6</v>
      </c>
    </row>
    <row r="116">
      <c r="A116" s="4" t="s">
        <v>173</v>
      </c>
      <c r="B116" s="3">
        <v>4000.0</v>
      </c>
      <c r="C116" s="4"/>
    </row>
    <row r="117">
      <c r="A117" s="4" t="s">
        <v>174</v>
      </c>
      <c r="B117" s="3">
        <v>752250.0</v>
      </c>
      <c r="C117" s="3" t="s">
        <v>176</v>
      </c>
    </row>
    <row r="118">
      <c r="A118" s="4" t="s">
        <v>177</v>
      </c>
      <c r="B118" s="3">
        <v>0.0</v>
      </c>
      <c r="C118" s="3" t="s">
        <v>3</v>
      </c>
    </row>
    <row r="119">
      <c r="A119" s="4" t="s">
        <v>178</v>
      </c>
      <c r="B119" s="3">
        <v>0.0</v>
      </c>
      <c r="C119" s="3" t="s">
        <v>6</v>
      </c>
    </row>
    <row r="120">
      <c r="A120" s="4" t="s">
        <v>179</v>
      </c>
      <c r="B120" s="3">
        <v>0.0</v>
      </c>
      <c r="C120" s="3" t="s">
        <v>3</v>
      </c>
    </row>
    <row r="121">
      <c r="A121" s="4" t="s">
        <v>180</v>
      </c>
      <c r="B121" s="3">
        <v>9880.0</v>
      </c>
      <c r="C121" s="4"/>
    </row>
    <row r="122">
      <c r="A122" s="4" t="s">
        <v>182</v>
      </c>
      <c r="B122" s="3">
        <v>0.0</v>
      </c>
      <c r="C122" s="3" t="s">
        <v>3</v>
      </c>
    </row>
    <row r="123">
      <c r="A123" s="4" t="s">
        <v>183</v>
      </c>
      <c r="B123" s="3">
        <v>0.0</v>
      </c>
      <c r="C123" s="3" t="s">
        <v>3</v>
      </c>
    </row>
    <row r="124">
      <c r="A124" s="4" t="s">
        <v>184</v>
      </c>
      <c r="B124" s="3">
        <v>0.0</v>
      </c>
      <c r="C124" s="3" t="s">
        <v>3</v>
      </c>
    </row>
    <row r="125">
      <c r="A125" s="4" t="s">
        <v>185</v>
      </c>
      <c r="B125" s="3">
        <v>0.0</v>
      </c>
      <c r="C125" s="3" t="s">
        <v>6</v>
      </c>
    </row>
    <row r="126">
      <c r="A126" s="4" t="s">
        <v>186</v>
      </c>
      <c r="B126" s="3">
        <v>0.0</v>
      </c>
      <c r="C126" s="3" t="s">
        <v>6</v>
      </c>
    </row>
    <row r="127">
      <c r="A127" s="4" t="s">
        <v>187</v>
      </c>
      <c r="B127" s="3">
        <v>0.0</v>
      </c>
      <c r="C127" s="3" t="s">
        <v>3</v>
      </c>
    </row>
    <row r="128">
      <c r="A128" s="4" t="s">
        <v>188</v>
      </c>
      <c r="B128" s="3">
        <v>0.0</v>
      </c>
      <c r="C128" s="3" t="s">
        <v>32</v>
      </c>
    </row>
    <row r="129">
      <c r="A129" s="4" t="s">
        <v>2090</v>
      </c>
      <c r="B129" s="3">
        <v>0.0</v>
      </c>
      <c r="C129" s="3" t="s">
        <v>3</v>
      </c>
    </row>
    <row r="130">
      <c r="A130" s="4" t="s">
        <v>191</v>
      </c>
      <c r="B130" s="3">
        <v>0.0</v>
      </c>
      <c r="C130" s="3" t="s">
        <v>3</v>
      </c>
    </row>
    <row r="131">
      <c r="A131" s="4" t="s">
        <v>192</v>
      </c>
      <c r="B131" s="3">
        <v>0.0</v>
      </c>
      <c r="C131" s="3" t="s">
        <v>26</v>
      </c>
    </row>
    <row r="132">
      <c r="A132" s="4" t="s">
        <v>193</v>
      </c>
      <c r="B132" s="3">
        <v>1000.0</v>
      </c>
      <c r="C132" s="3" t="s">
        <v>29</v>
      </c>
    </row>
    <row r="133">
      <c r="A133" s="4" t="s">
        <v>194</v>
      </c>
      <c r="B133" s="3">
        <v>0.0</v>
      </c>
      <c r="C133" s="3" t="s">
        <v>29</v>
      </c>
    </row>
    <row r="134">
      <c r="A134" s="4" t="s">
        <v>2091</v>
      </c>
      <c r="B134" s="3">
        <v>0.0</v>
      </c>
      <c r="C134" s="3" t="s">
        <v>3</v>
      </c>
    </row>
    <row r="135">
      <c r="A135" s="4" t="s">
        <v>197</v>
      </c>
      <c r="B135" s="3">
        <v>0.0</v>
      </c>
      <c r="C135" s="3" t="s">
        <v>29</v>
      </c>
    </row>
    <row r="136">
      <c r="A136" s="4" t="s">
        <v>198</v>
      </c>
      <c r="B136" s="3">
        <v>0.0</v>
      </c>
      <c r="C136" s="3" t="s">
        <v>3</v>
      </c>
    </row>
    <row r="137">
      <c r="A137" s="4" t="s">
        <v>199</v>
      </c>
      <c r="B137" s="3">
        <v>4850.0</v>
      </c>
      <c r="C137" s="4"/>
    </row>
    <row r="138">
      <c r="A138" s="4" t="s">
        <v>201</v>
      </c>
      <c r="B138" s="3">
        <v>0.0</v>
      </c>
      <c r="C138" s="3" t="s">
        <v>32</v>
      </c>
    </row>
    <row r="139">
      <c r="A139" s="4" t="s">
        <v>202</v>
      </c>
      <c r="B139" s="3">
        <v>0.0</v>
      </c>
      <c r="C139" s="3" t="s">
        <v>3</v>
      </c>
    </row>
    <row r="140">
      <c r="A140" s="4" t="s">
        <v>203</v>
      </c>
      <c r="B140" s="3">
        <v>15280.0</v>
      </c>
      <c r="C140" s="4"/>
    </row>
    <row r="141">
      <c r="A141" s="4" t="s">
        <v>205</v>
      </c>
      <c r="B141" s="3">
        <v>0.0</v>
      </c>
      <c r="C141" s="3" t="s">
        <v>3</v>
      </c>
    </row>
    <row r="142">
      <c r="A142" s="4" t="s">
        <v>206</v>
      </c>
      <c r="B142" s="3">
        <v>0.0</v>
      </c>
      <c r="C142" s="3" t="s">
        <v>3</v>
      </c>
    </row>
    <row r="143">
      <c r="A143" s="4" t="s">
        <v>207</v>
      </c>
      <c r="B143" s="3">
        <v>0.0</v>
      </c>
      <c r="C143" s="3" t="s">
        <v>3</v>
      </c>
    </row>
    <row r="144">
      <c r="A144" s="4" t="s">
        <v>2092</v>
      </c>
      <c r="B144" s="3">
        <v>0.0</v>
      </c>
      <c r="C144" s="3" t="s">
        <v>3</v>
      </c>
    </row>
    <row r="145">
      <c r="A145" s="4" t="s">
        <v>210</v>
      </c>
      <c r="B145" s="3">
        <v>0.0</v>
      </c>
      <c r="C145" s="3" t="s">
        <v>3</v>
      </c>
    </row>
    <row r="146">
      <c r="A146" s="4" t="s">
        <v>211</v>
      </c>
      <c r="B146" s="3">
        <v>0.0</v>
      </c>
      <c r="C146" s="3" t="s">
        <v>6</v>
      </c>
    </row>
    <row r="147">
      <c r="A147" s="4" t="s">
        <v>212</v>
      </c>
      <c r="B147" s="3">
        <v>0.0</v>
      </c>
      <c r="C147" s="3" t="s">
        <v>29</v>
      </c>
    </row>
    <row r="148">
      <c r="A148" s="4" t="s">
        <v>213</v>
      </c>
      <c r="B148" s="3">
        <v>3220.0</v>
      </c>
      <c r="C148" s="4"/>
    </row>
    <row r="149">
      <c r="A149" s="4" t="s">
        <v>215</v>
      </c>
      <c r="B149" s="3">
        <v>0.0</v>
      </c>
      <c r="C149" s="3" t="s">
        <v>216</v>
      </c>
    </row>
    <row r="150">
      <c r="A150" s="4" t="s">
        <v>2093</v>
      </c>
      <c r="B150" s="3">
        <v>3500.0</v>
      </c>
      <c r="C150" s="3" t="s">
        <v>3</v>
      </c>
    </row>
    <row r="151">
      <c r="A151" s="4" t="s">
        <v>220</v>
      </c>
      <c r="B151" s="3">
        <v>0.0</v>
      </c>
      <c r="C151" s="3" t="s">
        <v>6</v>
      </c>
    </row>
    <row r="152">
      <c r="A152" s="4" t="s">
        <v>2094</v>
      </c>
      <c r="B152" s="3">
        <v>0.0</v>
      </c>
      <c r="C152" s="3" t="s">
        <v>29</v>
      </c>
    </row>
    <row r="153">
      <c r="A153" s="4" t="s">
        <v>223</v>
      </c>
      <c r="B153" s="3">
        <v>532800.0</v>
      </c>
      <c r="C153" s="4"/>
    </row>
    <row r="154">
      <c r="A154" s="4" t="s">
        <v>225</v>
      </c>
      <c r="B154" s="3">
        <v>0.0</v>
      </c>
      <c r="C154" s="3" t="s">
        <v>3</v>
      </c>
    </row>
    <row r="155">
      <c r="A155" s="4" t="s">
        <v>226</v>
      </c>
      <c r="B155" s="3">
        <v>2000.0</v>
      </c>
      <c r="C155" s="3" t="s">
        <v>3</v>
      </c>
    </row>
    <row r="156">
      <c r="A156" s="4" t="s">
        <v>227</v>
      </c>
      <c r="B156" s="3">
        <v>0.0</v>
      </c>
      <c r="C156" s="3" t="s">
        <v>3</v>
      </c>
    </row>
    <row r="157">
      <c r="A157" s="4" t="s">
        <v>2095</v>
      </c>
      <c r="B157" s="3">
        <v>0.0</v>
      </c>
      <c r="C157" s="3" t="s">
        <v>32</v>
      </c>
    </row>
    <row r="158">
      <c r="A158" s="4" t="s">
        <v>2096</v>
      </c>
      <c r="B158" s="3">
        <v>0.0</v>
      </c>
      <c r="C158" s="3" t="s">
        <v>3</v>
      </c>
    </row>
    <row r="159">
      <c r="A159" s="4" t="s">
        <v>232</v>
      </c>
      <c r="B159" s="3">
        <v>0.0</v>
      </c>
      <c r="C159" s="3" t="s">
        <v>6</v>
      </c>
    </row>
    <row r="160">
      <c r="A160" s="4" t="s">
        <v>233</v>
      </c>
      <c r="B160" s="3">
        <v>0.0</v>
      </c>
      <c r="C160" s="3" t="s">
        <v>6</v>
      </c>
    </row>
    <row r="161">
      <c r="A161" s="4" t="s">
        <v>234</v>
      </c>
      <c r="B161" s="3">
        <v>0.0</v>
      </c>
      <c r="C161" s="3" t="s">
        <v>3</v>
      </c>
    </row>
    <row r="162">
      <c r="A162" s="4" t="s">
        <v>2097</v>
      </c>
      <c r="B162" s="3">
        <v>0.0</v>
      </c>
      <c r="C162" s="3" t="s">
        <v>3</v>
      </c>
    </row>
    <row r="163">
      <c r="A163" s="4" t="s">
        <v>237</v>
      </c>
      <c r="B163" s="3">
        <v>0.0</v>
      </c>
      <c r="C163" s="3" t="s">
        <v>3</v>
      </c>
    </row>
    <row r="164">
      <c r="A164" s="4" t="s">
        <v>238</v>
      </c>
      <c r="B164" s="3">
        <v>5500.0</v>
      </c>
      <c r="C164" s="3" t="s">
        <v>3</v>
      </c>
    </row>
    <row r="165">
      <c r="A165" s="4" t="s">
        <v>239</v>
      </c>
      <c r="B165" s="3">
        <v>0.0</v>
      </c>
      <c r="C165" s="3" t="s">
        <v>3</v>
      </c>
    </row>
    <row r="166">
      <c r="A166" s="4" t="s">
        <v>240</v>
      </c>
      <c r="B166" s="3">
        <v>0.0</v>
      </c>
      <c r="C166" s="3" t="s">
        <v>3</v>
      </c>
    </row>
    <row r="167">
      <c r="A167" s="4" t="s">
        <v>241</v>
      </c>
      <c r="B167" s="3">
        <v>0.0</v>
      </c>
      <c r="C167" s="3" t="s">
        <v>6</v>
      </c>
    </row>
    <row r="168">
      <c r="A168" s="4" t="s">
        <v>2098</v>
      </c>
      <c r="B168" s="3">
        <v>300.0</v>
      </c>
      <c r="C168" s="3" t="s">
        <v>3</v>
      </c>
    </row>
    <row r="169">
      <c r="A169" s="4" t="s">
        <v>2099</v>
      </c>
      <c r="B169" s="3">
        <v>50580.0</v>
      </c>
      <c r="C169" s="3" t="s">
        <v>216</v>
      </c>
    </row>
    <row r="170">
      <c r="A170" s="4" t="s">
        <v>2100</v>
      </c>
      <c r="B170" s="3">
        <v>0.0</v>
      </c>
      <c r="C170" s="3" t="s">
        <v>3</v>
      </c>
    </row>
    <row r="171">
      <c r="A171" s="4" t="s">
        <v>249</v>
      </c>
      <c r="B171" s="3">
        <v>0.0</v>
      </c>
      <c r="C171" s="3" t="s">
        <v>3</v>
      </c>
    </row>
    <row r="172">
      <c r="A172" s="4" t="s">
        <v>2101</v>
      </c>
      <c r="B172" s="3">
        <v>0.0</v>
      </c>
      <c r="C172" s="3" t="s">
        <v>32</v>
      </c>
    </row>
    <row r="173">
      <c r="A173" s="4" t="s">
        <v>2102</v>
      </c>
      <c r="B173" s="3">
        <v>4000.0</v>
      </c>
      <c r="C173" s="3" t="s">
        <v>3</v>
      </c>
    </row>
    <row r="174">
      <c r="A174" s="4" t="s">
        <v>2103</v>
      </c>
      <c r="B174" s="3">
        <v>512833.33</v>
      </c>
      <c r="C174" s="4"/>
    </row>
    <row r="175">
      <c r="A175" s="4" t="s">
        <v>257</v>
      </c>
      <c r="B175" s="3">
        <v>0.0</v>
      </c>
      <c r="C175" s="3" t="s">
        <v>3</v>
      </c>
    </row>
    <row r="176">
      <c r="A176" s="4" t="s">
        <v>258</v>
      </c>
      <c r="B176" s="3">
        <v>0.0</v>
      </c>
      <c r="C176" s="3" t="s">
        <v>3</v>
      </c>
    </row>
    <row r="177">
      <c r="A177" s="4" t="s">
        <v>259</v>
      </c>
      <c r="B177" s="3">
        <v>0.0</v>
      </c>
      <c r="C177" s="3" t="s">
        <v>3</v>
      </c>
    </row>
    <row r="178">
      <c r="A178" s="4" t="s">
        <v>260</v>
      </c>
      <c r="B178" s="3">
        <v>2064.0</v>
      </c>
      <c r="C178" s="3" t="s">
        <v>32</v>
      </c>
    </row>
    <row r="179">
      <c r="A179" s="4" t="s">
        <v>262</v>
      </c>
      <c r="B179" s="3">
        <v>0.0</v>
      </c>
      <c r="C179" s="3" t="s">
        <v>3</v>
      </c>
    </row>
    <row r="180">
      <c r="A180" s="4" t="s">
        <v>2104</v>
      </c>
      <c r="B180" s="3">
        <v>0.0</v>
      </c>
      <c r="C180" s="3" t="s">
        <v>3</v>
      </c>
    </row>
    <row r="181">
      <c r="A181" s="4" t="s">
        <v>2105</v>
      </c>
      <c r="B181" s="3">
        <v>0.0</v>
      </c>
      <c r="C181" s="3" t="s">
        <v>3</v>
      </c>
    </row>
    <row r="182">
      <c r="A182" s="4" t="s">
        <v>2106</v>
      </c>
      <c r="B182" s="3">
        <v>0.0</v>
      </c>
      <c r="C182" s="3" t="s">
        <v>3</v>
      </c>
    </row>
    <row r="183">
      <c r="A183" s="4" t="s">
        <v>2107</v>
      </c>
      <c r="B183" s="3">
        <v>0.0</v>
      </c>
      <c r="C183" s="3" t="s">
        <v>3</v>
      </c>
    </row>
    <row r="184">
      <c r="A184" s="4" t="s">
        <v>2108</v>
      </c>
      <c r="B184" s="3">
        <v>0.0</v>
      </c>
      <c r="C184" s="3" t="s">
        <v>3</v>
      </c>
    </row>
    <row r="185">
      <c r="A185" s="4" t="s">
        <v>273</v>
      </c>
      <c r="B185" s="3">
        <v>0.0</v>
      </c>
      <c r="C185" s="3" t="s">
        <v>3</v>
      </c>
    </row>
    <row r="186">
      <c r="A186" s="4" t="s">
        <v>2109</v>
      </c>
      <c r="B186" s="3">
        <v>4000.0</v>
      </c>
      <c r="C186" s="3" t="s">
        <v>3</v>
      </c>
    </row>
    <row r="187">
      <c r="A187" s="4" t="s">
        <v>276</v>
      </c>
      <c r="B187" s="3">
        <v>0.0</v>
      </c>
      <c r="C187" s="3" t="s">
        <v>3</v>
      </c>
    </row>
    <row r="188">
      <c r="A188" s="4" t="s">
        <v>277</v>
      </c>
      <c r="B188" s="3">
        <v>0.0</v>
      </c>
      <c r="C188" s="3" t="s">
        <v>3</v>
      </c>
    </row>
    <row r="189">
      <c r="A189" s="4" t="s">
        <v>278</v>
      </c>
      <c r="B189" s="3">
        <v>15500.0</v>
      </c>
      <c r="C189" s="3" t="s">
        <v>280</v>
      </c>
    </row>
    <row r="190">
      <c r="A190" s="4" t="s">
        <v>2110</v>
      </c>
      <c r="B190" s="3">
        <v>600.0</v>
      </c>
      <c r="C190" s="4"/>
    </row>
    <row r="191">
      <c r="A191" s="4" t="s">
        <v>2111</v>
      </c>
      <c r="B191" s="3">
        <v>0.0</v>
      </c>
      <c r="C191" s="3" t="s">
        <v>6</v>
      </c>
    </row>
    <row r="192">
      <c r="A192" s="4" t="s">
        <v>286</v>
      </c>
      <c r="B192" s="3">
        <v>0.0</v>
      </c>
      <c r="C192" s="3" t="s">
        <v>3</v>
      </c>
    </row>
    <row r="193">
      <c r="A193" s="4" t="s">
        <v>2112</v>
      </c>
      <c r="B193" s="3">
        <v>0.0</v>
      </c>
      <c r="C193" s="3" t="s">
        <v>3</v>
      </c>
    </row>
    <row r="194">
      <c r="A194" s="4" t="s">
        <v>2113</v>
      </c>
      <c r="B194" s="3">
        <v>0.0</v>
      </c>
      <c r="C194" s="3" t="s">
        <v>3</v>
      </c>
    </row>
    <row r="195">
      <c r="A195" s="4" t="s">
        <v>2114</v>
      </c>
      <c r="B195" s="3">
        <v>0.0</v>
      </c>
      <c r="C195" s="3" t="s">
        <v>3</v>
      </c>
    </row>
    <row r="196">
      <c r="A196" s="4" t="s">
        <v>2115</v>
      </c>
      <c r="B196" s="3">
        <v>3030.0</v>
      </c>
      <c r="C196" s="4"/>
    </row>
    <row r="197">
      <c r="A197" s="4" t="s">
        <v>296</v>
      </c>
      <c r="B197" s="3">
        <v>0.0</v>
      </c>
      <c r="C197" s="3" t="s">
        <v>3</v>
      </c>
    </row>
    <row r="198">
      <c r="A198" s="4" t="s">
        <v>2116</v>
      </c>
      <c r="B198" s="3">
        <v>1000.0</v>
      </c>
      <c r="C198" s="3" t="s">
        <v>3</v>
      </c>
    </row>
    <row r="199">
      <c r="A199" s="4" t="s">
        <v>299</v>
      </c>
      <c r="B199" s="3">
        <v>8907.0</v>
      </c>
      <c r="C199" s="3" t="s">
        <v>6</v>
      </c>
    </row>
    <row r="200">
      <c r="A200" s="4" t="s">
        <v>2117</v>
      </c>
      <c r="B200" s="3">
        <v>8060927.5</v>
      </c>
      <c r="C200" s="3" t="s">
        <v>303</v>
      </c>
    </row>
    <row r="201">
      <c r="A201" s="4" t="s">
        <v>2118</v>
      </c>
      <c r="B201" s="3">
        <v>0.0</v>
      </c>
      <c r="C201" s="3" t="s">
        <v>3</v>
      </c>
    </row>
    <row r="202">
      <c r="A202" s="4" t="s">
        <v>2119</v>
      </c>
      <c r="B202" s="3">
        <v>8400.0</v>
      </c>
      <c r="C202" s="4"/>
    </row>
    <row r="203">
      <c r="A203" s="4" t="s">
        <v>310</v>
      </c>
      <c r="B203" s="3">
        <v>0.0</v>
      </c>
      <c r="C203" s="3" t="s">
        <v>3</v>
      </c>
    </row>
    <row r="204">
      <c r="A204" s="4" t="s">
        <v>311</v>
      </c>
      <c r="B204" s="3">
        <v>0.0</v>
      </c>
      <c r="C204" s="3" t="s">
        <v>6</v>
      </c>
    </row>
    <row r="205">
      <c r="A205" s="4" t="s">
        <v>312</v>
      </c>
      <c r="B205" s="3">
        <v>9400.0</v>
      </c>
      <c r="C205" s="4"/>
    </row>
    <row r="206">
      <c r="A206" s="4" t="s">
        <v>314</v>
      </c>
      <c r="B206" s="3">
        <v>4880.0</v>
      </c>
      <c r="C206" s="3" t="s">
        <v>6</v>
      </c>
    </row>
    <row r="207">
      <c r="A207" s="4" t="s">
        <v>316</v>
      </c>
      <c r="B207" s="3">
        <v>4420.0</v>
      </c>
      <c r="C207" s="4"/>
    </row>
    <row r="208">
      <c r="A208" s="4" t="s">
        <v>318</v>
      </c>
      <c r="B208" s="3">
        <v>2055.0</v>
      </c>
      <c r="C208" s="4"/>
    </row>
    <row r="209">
      <c r="A209" s="4" t="s">
        <v>320</v>
      </c>
      <c r="B209" s="3">
        <v>2150.0</v>
      </c>
      <c r="C209" s="3" t="s">
        <v>6</v>
      </c>
    </row>
    <row r="210">
      <c r="A210" s="4" t="s">
        <v>322</v>
      </c>
      <c r="B210" s="3">
        <v>7475.0</v>
      </c>
      <c r="C210" s="3" t="s">
        <v>32</v>
      </c>
    </row>
    <row r="211">
      <c r="A211" s="4" t="s">
        <v>2120</v>
      </c>
      <c r="B211" s="3">
        <v>920.0</v>
      </c>
      <c r="C211" s="4"/>
    </row>
    <row r="212">
      <c r="A212" s="4" t="s">
        <v>2121</v>
      </c>
      <c r="B212" s="3">
        <v>4700.0</v>
      </c>
      <c r="C212" s="4"/>
    </row>
    <row r="213">
      <c r="A213" s="4" t="s">
        <v>330</v>
      </c>
      <c r="B213" s="3">
        <v>5688.0</v>
      </c>
      <c r="C213" s="3" t="s">
        <v>6</v>
      </c>
    </row>
    <row r="214">
      <c r="A214" s="4" t="s">
        <v>2122</v>
      </c>
      <c r="B214" s="3">
        <v>1500.0</v>
      </c>
      <c r="C214" s="4"/>
    </row>
    <row r="215">
      <c r="A215" s="4" t="s">
        <v>2123</v>
      </c>
      <c r="B215" s="3">
        <v>0.0</v>
      </c>
      <c r="C215" s="3" t="s">
        <v>32</v>
      </c>
    </row>
    <row r="216">
      <c r="A216" s="4" t="s">
        <v>2124</v>
      </c>
      <c r="B216" s="3">
        <v>0.0</v>
      </c>
      <c r="C216" s="3" t="s">
        <v>6</v>
      </c>
    </row>
    <row r="217">
      <c r="A217" s="4" t="s">
        <v>2125</v>
      </c>
      <c r="B217" s="3">
        <v>3000.0</v>
      </c>
      <c r="C217" s="3" t="s">
        <v>6</v>
      </c>
    </row>
    <row r="218">
      <c r="A218" s="4" t="s">
        <v>2126</v>
      </c>
      <c r="B218" s="3">
        <v>0.0</v>
      </c>
      <c r="C218" s="3" t="s">
        <v>6</v>
      </c>
    </row>
    <row r="219">
      <c r="A219" s="4" t="s">
        <v>2127</v>
      </c>
      <c r="B219" s="3">
        <v>11000.0</v>
      </c>
      <c r="C219" s="3" t="s">
        <v>6</v>
      </c>
    </row>
    <row r="220">
      <c r="A220" s="4" t="s">
        <v>342</v>
      </c>
      <c r="B220" s="3">
        <v>1500.0</v>
      </c>
      <c r="C220" s="3" t="s">
        <v>6</v>
      </c>
    </row>
    <row r="221">
      <c r="A221" s="4" t="s">
        <v>343</v>
      </c>
      <c r="B221" s="3">
        <v>2670.0</v>
      </c>
      <c r="C221" s="4"/>
    </row>
    <row r="222">
      <c r="A222" s="4" t="s">
        <v>2128</v>
      </c>
      <c r="B222" s="3">
        <v>4000.0</v>
      </c>
      <c r="C222" s="4"/>
    </row>
    <row r="223">
      <c r="A223" s="4" t="s">
        <v>347</v>
      </c>
      <c r="B223" s="3">
        <v>0.0</v>
      </c>
      <c r="C223" s="3" t="s">
        <v>32</v>
      </c>
    </row>
    <row r="224">
      <c r="A224" s="4" t="s">
        <v>2129</v>
      </c>
      <c r="B224" s="3">
        <v>0.0</v>
      </c>
      <c r="C224" s="3" t="s">
        <v>3</v>
      </c>
    </row>
    <row r="225">
      <c r="A225" s="4" t="s">
        <v>350</v>
      </c>
      <c r="B225" s="3">
        <v>0.0</v>
      </c>
      <c r="C225" s="3" t="s">
        <v>3</v>
      </c>
    </row>
    <row r="226">
      <c r="A226" s="4" t="s">
        <v>2130</v>
      </c>
      <c r="B226" s="3">
        <v>4072.0</v>
      </c>
      <c r="C226" s="3" t="s">
        <v>6</v>
      </c>
    </row>
    <row r="227">
      <c r="A227" s="4" t="s">
        <v>354</v>
      </c>
      <c r="B227" s="3">
        <v>0.0</v>
      </c>
      <c r="C227" s="3" t="s">
        <v>3</v>
      </c>
    </row>
    <row r="228">
      <c r="A228" s="4" t="s">
        <v>2131</v>
      </c>
      <c r="B228" s="3">
        <v>0.0</v>
      </c>
      <c r="C228" s="3" t="s">
        <v>6</v>
      </c>
    </row>
    <row r="229">
      <c r="A229" s="4" t="s">
        <v>357</v>
      </c>
      <c r="B229" s="3">
        <v>0.0</v>
      </c>
      <c r="C229" s="3" t="s">
        <v>3</v>
      </c>
    </row>
    <row r="230">
      <c r="A230" s="4" t="s">
        <v>2132</v>
      </c>
      <c r="B230" s="3">
        <v>0.0</v>
      </c>
      <c r="C230" s="3" t="s">
        <v>3</v>
      </c>
    </row>
    <row r="231">
      <c r="A231" s="4" t="s">
        <v>360</v>
      </c>
      <c r="B231" s="3">
        <v>0.0</v>
      </c>
      <c r="C231" s="3" t="s">
        <v>3</v>
      </c>
    </row>
    <row r="232">
      <c r="A232" s="4" t="s">
        <v>2133</v>
      </c>
      <c r="B232" s="3">
        <v>4400.0</v>
      </c>
      <c r="C232" s="4"/>
    </row>
    <row r="233">
      <c r="A233" s="4" t="s">
        <v>2134</v>
      </c>
      <c r="B233" s="3">
        <v>0.0</v>
      </c>
      <c r="C233" s="3" t="s">
        <v>3</v>
      </c>
    </row>
    <row r="234">
      <c r="A234" s="4" t="s">
        <v>2135</v>
      </c>
      <c r="B234" s="3">
        <v>0.0</v>
      </c>
      <c r="C234" s="3" t="s">
        <v>3</v>
      </c>
    </row>
    <row r="235">
      <c r="A235" s="4" t="s">
        <v>2136</v>
      </c>
      <c r="B235" s="3">
        <v>0.0</v>
      </c>
      <c r="C235" s="3" t="s">
        <v>3</v>
      </c>
    </row>
    <row r="236">
      <c r="A236" s="4" t="s">
        <v>370</v>
      </c>
      <c r="B236" s="3">
        <v>0.0</v>
      </c>
      <c r="C236" s="3" t="s">
        <v>6</v>
      </c>
    </row>
    <row r="237">
      <c r="A237" s="4" t="s">
        <v>2137</v>
      </c>
      <c r="B237" s="3">
        <v>500.0</v>
      </c>
      <c r="C237" s="4"/>
    </row>
    <row r="238">
      <c r="A238" s="4" t="s">
        <v>373</v>
      </c>
      <c r="B238" s="3">
        <v>0.0</v>
      </c>
      <c r="C238" s="3" t="s">
        <v>6</v>
      </c>
    </row>
    <row r="239">
      <c r="A239" s="4" t="s">
        <v>374</v>
      </c>
      <c r="B239" s="3">
        <v>0.0</v>
      </c>
      <c r="C239" s="3" t="s">
        <v>3</v>
      </c>
    </row>
    <row r="240">
      <c r="A240" s="4" t="s">
        <v>375</v>
      </c>
      <c r="B240" s="3">
        <v>3200.0</v>
      </c>
      <c r="C240" s="3" t="s">
        <v>6</v>
      </c>
    </row>
    <row r="241">
      <c r="A241" s="4" t="s">
        <v>2138</v>
      </c>
      <c r="B241" s="3">
        <v>0.0</v>
      </c>
      <c r="C241" s="3" t="s">
        <v>3</v>
      </c>
    </row>
    <row r="242">
      <c r="A242" s="4" t="s">
        <v>2139</v>
      </c>
      <c r="B242" s="3">
        <v>0.0</v>
      </c>
      <c r="C242" s="3" t="s">
        <v>3</v>
      </c>
    </row>
    <row r="243">
      <c r="A243" s="4" t="s">
        <v>381</v>
      </c>
      <c r="B243" s="3">
        <v>400.0</v>
      </c>
      <c r="C243" s="3" t="s">
        <v>6</v>
      </c>
    </row>
    <row r="244">
      <c r="A244" s="4" t="s">
        <v>383</v>
      </c>
      <c r="B244" s="3">
        <v>0.0</v>
      </c>
      <c r="C244" s="3" t="s">
        <v>3</v>
      </c>
    </row>
    <row r="245">
      <c r="A245" s="4" t="s">
        <v>384</v>
      </c>
      <c r="B245" s="3">
        <v>0.0</v>
      </c>
      <c r="C245" s="3" t="s">
        <v>3</v>
      </c>
    </row>
    <row r="246">
      <c r="A246" s="4" t="s">
        <v>385</v>
      </c>
      <c r="B246" s="3">
        <v>0.0</v>
      </c>
      <c r="C246" s="3" t="s">
        <v>32</v>
      </c>
    </row>
    <row r="247">
      <c r="A247" s="4" t="s">
        <v>386</v>
      </c>
      <c r="B247" s="3">
        <v>0.0</v>
      </c>
      <c r="C247" s="3" t="s">
        <v>6</v>
      </c>
    </row>
    <row r="248">
      <c r="A248" s="4" t="s">
        <v>387</v>
      </c>
      <c r="B248" s="3">
        <v>0.0</v>
      </c>
      <c r="C248" s="3" t="s">
        <v>6</v>
      </c>
    </row>
    <row r="249">
      <c r="A249" s="4" t="s">
        <v>2140</v>
      </c>
      <c r="B249" s="3">
        <v>0.0</v>
      </c>
      <c r="C249" s="3" t="s">
        <v>3</v>
      </c>
    </row>
    <row r="250">
      <c r="A250" s="4" t="s">
        <v>2141</v>
      </c>
      <c r="B250" s="3">
        <v>0.0</v>
      </c>
      <c r="C250" s="3" t="s">
        <v>3</v>
      </c>
    </row>
    <row r="251">
      <c r="A251" s="4" t="s">
        <v>2142</v>
      </c>
      <c r="B251" s="3">
        <v>380000.0</v>
      </c>
      <c r="C251" s="3" t="s">
        <v>6</v>
      </c>
    </row>
    <row r="252">
      <c r="A252" s="4" t="s">
        <v>395</v>
      </c>
      <c r="B252" s="3">
        <v>37000.0</v>
      </c>
      <c r="C252" s="3" t="s">
        <v>32</v>
      </c>
    </row>
    <row r="253">
      <c r="A253" s="4" t="s">
        <v>397</v>
      </c>
      <c r="B253" s="3">
        <v>2800.0</v>
      </c>
      <c r="C253" s="4"/>
    </row>
    <row r="254">
      <c r="A254" s="4" t="s">
        <v>399</v>
      </c>
      <c r="B254" s="3">
        <v>5000.0</v>
      </c>
      <c r="C254" s="4"/>
    </row>
    <row r="255">
      <c r="A255" s="4" t="s">
        <v>2143</v>
      </c>
      <c r="B255" s="3">
        <v>0.0</v>
      </c>
      <c r="C255" s="3" t="s">
        <v>26</v>
      </c>
    </row>
    <row r="256">
      <c r="A256" s="4" t="s">
        <v>401</v>
      </c>
      <c r="B256" s="3">
        <v>0.0</v>
      </c>
      <c r="C256" s="3" t="s">
        <v>32</v>
      </c>
    </row>
    <row r="257">
      <c r="A257" s="4" t="s">
        <v>402</v>
      </c>
      <c r="B257" s="3">
        <v>0.0</v>
      </c>
      <c r="C257" s="3" t="s">
        <v>6</v>
      </c>
    </row>
    <row r="258">
      <c r="A258" s="4" t="s">
        <v>403</v>
      </c>
      <c r="B258" s="3">
        <v>0.0</v>
      </c>
      <c r="C258" s="3" t="s">
        <v>3</v>
      </c>
    </row>
    <row r="259">
      <c r="A259" s="4" t="s">
        <v>404</v>
      </c>
      <c r="B259" s="3">
        <v>0.0</v>
      </c>
      <c r="C259" s="3" t="s">
        <v>3</v>
      </c>
    </row>
    <row r="260">
      <c r="A260" s="4" t="s">
        <v>405</v>
      </c>
      <c r="B260" s="3">
        <v>800.0</v>
      </c>
      <c r="C260" s="4"/>
    </row>
    <row r="261">
      <c r="A261" s="4" t="s">
        <v>2144</v>
      </c>
      <c r="B261" s="3">
        <v>10000.0</v>
      </c>
      <c r="C261" s="3" t="s">
        <v>16</v>
      </c>
    </row>
    <row r="262">
      <c r="A262" s="4" t="s">
        <v>409</v>
      </c>
      <c r="B262" s="3">
        <v>0.0</v>
      </c>
      <c r="C262" s="3" t="s">
        <v>6</v>
      </c>
    </row>
    <row r="263">
      <c r="A263" s="4" t="s">
        <v>410</v>
      </c>
      <c r="B263" s="3">
        <v>2000.0</v>
      </c>
      <c r="C263" s="4"/>
    </row>
    <row r="264">
      <c r="A264" s="4" t="s">
        <v>411</v>
      </c>
      <c r="B264" s="3">
        <v>0.0</v>
      </c>
      <c r="C264" s="3" t="s">
        <v>3</v>
      </c>
    </row>
    <row r="265">
      <c r="A265" s="4" t="s">
        <v>2145</v>
      </c>
      <c r="B265" s="3">
        <v>0.0</v>
      </c>
      <c r="C265" s="3" t="s">
        <v>6</v>
      </c>
    </row>
    <row r="266">
      <c r="A266" s="4" t="s">
        <v>413</v>
      </c>
      <c r="B266" s="3">
        <v>27500.0</v>
      </c>
      <c r="C266" s="3" t="s">
        <v>32</v>
      </c>
    </row>
    <row r="267">
      <c r="A267" s="4" t="s">
        <v>2146</v>
      </c>
      <c r="B267" s="3">
        <v>0.0</v>
      </c>
      <c r="C267" s="3" t="s">
        <v>3</v>
      </c>
    </row>
    <row r="268">
      <c r="A268" s="4" t="s">
        <v>2147</v>
      </c>
      <c r="B268" s="3">
        <v>0.0</v>
      </c>
      <c r="C268" s="3" t="s">
        <v>3</v>
      </c>
    </row>
    <row r="269">
      <c r="A269" s="4" t="s">
        <v>419</v>
      </c>
      <c r="B269" s="3">
        <v>0.0</v>
      </c>
      <c r="C269" s="3" t="s">
        <v>3</v>
      </c>
    </row>
    <row r="270">
      <c r="A270" s="4" t="s">
        <v>2148</v>
      </c>
      <c r="B270" s="3">
        <v>0.0</v>
      </c>
      <c r="C270" s="3" t="s">
        <v>29</v>
      </c>
    </row>
    <row r="271">
      <c r="A271" s="4" t="s">
        <v>422</v>
      </c>
      <c r="B271" s="3">
        <v>0.0</v>
      </c>
      <c r="C271" s="3" t="s">
        <v>29</v>
      </c>
    </row>
    <row r="272">
      <c r="A272" s="4" t="s">
        <v>423</v>
      </c>
      <c r="B272" s="3">
        <v>0.0</v>
      </c>
      <c r="C272" s="3" t="s">
        <v>3</v>
      </c>
    </row>
    <row r="273">
      <c r="A273" s="4" t="s">
        <v>424</v>
      </c>
      <c r="B273" s="3">
        <v>0.0</v>
      </c>
      <c r="C273" s="3" t="s">
        <v>3</v>
      </c>
    </row>
    <row r="274">
      <c r="A274" s="4" t="s">
        <v>2149</v>
      </c>
      <c r="B274" s="3">
        <v>0.0</v>
      </c>
      <c r="C274" s="3" t="s">
        <v>3</v>
      </c>
    </row>
    <row r="275">
      <c r="A275" s="4" t="s">
        <v>427</v>
      </c>
      <c r="B275" s="3">
        <v>5000.0</v>
      </c>
      <c r="C275" s="3" t="s">
        <v>29</v>
      </c>
    </row>
    <row r="276">
      <c r="A276" s="4" t="s">
        <v>2150</v>
      </c>
      <c r="B276" s="3">
        <v>45400.0</v>
      </c>
      <c r="C276" s="3" t="s">
        <v>3</v>
      </c>
    </row>
    <row r="277">
      <c r="A277" s="4" t="s">
        <v>2151</v>
      </c>
      <c r="B277" s="3">
        <v>0.0</v>
      </c>
      <c r="C277" s="3" t="s">
        <v>29</v>
      </c>
    </row>
    <row r="278">
      <c r="A278" s="4" t="s">
        <v>2152</v>
      </c>
      <c r="B278" s="3">
        <v>0.0</v>
      </c>
      <c r="C278" s="3" t="s">
        <v>3</v>
      </c>
    </row>
    <row r="279">
      <c r="A279" s="4" t="s">
        <v>2153</v>
      </c>
      <c r="B279" s="3">
        <v>2500.0</v>
      </c>
      <c r="C279" s="4"/>
    </row>
    <row r="280">
      <c r="A280" s="4" t="s">
        <v>2154</v>
      </c>
      <c r="B280" s="3">
        <v>0.0</v>
      </c>
      <c r="C280" s="3" t="s">
        <v>3</v>
      </c>
    </row>
    <row r="281">
      <c r="A281" s="4" t="s">
        <v>2155</v>
      </c>
      <c r="B281" s="3">
        <v>0.0</v>
      </c>
      <c r="C281" s="3" t="s">
        <v>6</v>
      </c>
    </row>
    <row r="282">
      <c r="A282" s="4" t="s">
        <v>441</v>
      </c>
      <c r="B282" s="3">
        <v>0.0</v>
      </c>
      <c r="C282" s="3" t="s">
        <v>29</v>
      </c>
    </row>
    <row r="283">
      <c r="A283" s="4" t="s">
        <v>442</v>
      </c>
      <c r="B283" s="3">
        <v>5900.0</v>
      </c>
      <c r="C283" s="4"/>
    </row>
    <row r="284">
      <c r="A284" s="4" t="s">
        <v>444</v>
      </c>
      <c r="B284" s="3">
        <v>3000.0</v>
      </c>
      <c r="C284" s="4"/>
    </row>
    <row r="285">
      <c r="A285" s="4" t="s">
        <v>445</v>
      </c>
      <c r="B285" s="3">
        <v>180000.0</v>
      </c>
      <c r="C285" s="4"/>
    </row>
    <row r="286">
      <c r="A286" s="4" t="s">
        <v>447</v>
      </c>
      <c r="B286" s="3">
        <v>55000.0</v>
      </c>
      <c r="C286" s="4"/>
    </row>
    <row r="287">
      <c r="A287" s="4" t="s">
        <v>449</v>
      </c>
      <c r="B287" s="3">
        <v>0.0</v>
      </c>
      <c r="C287" s="3" t="s">
        <v>32</v>
      </c>
    </row>
    <row r="288">
      <c r="A288" s="4" t="s">
        <v>450</v>
      </c>
      <c r="B288" s="3">
        <v>800.0</v>
      </c>
      <c r="C288" s="3" t="s">
        <v>6</v>
      </c>
    </row>
    <row r="289">
      <c r="A289" s="4" t="s">
        <v>451</v>
      </c>
      <c r="B289" s="3">
        <v>0.0</v>
      </c>
      <c r="C289" s="3" t="s">
        <v>3</v>
      </c>
    </row>
    <row r="290">
      <c r="A290" s="4" t="s">
        <v>452</v>
      </c>
      <c r="B290" s="3">
        <v>4000.0</v>
      </c>
      <c r="C290" s="3" t="s">
        <v>3</v>
      </c>
    </row>
    <row r="291">
      <c r="A291" s="4" t="s">
        <v>453</v>
      </c>
      <c r="B291" s="3">
        <v>0.0</v>
      </c>
      <c r="C291" s="3" t="s">
        <v>3</v>
      </c>
    </row>
    <row r="292">
      <c r="A292" s="4" t="s">
        <v>454</v>
      </c>
      <c r="B292" s="3">
        <v>0.0</v>
      </c>
      <c r="C292" s="3" t="s">
        <v>3</v>
      </c>
    </row>
    <row r="293">
      <c r="A293" s="4" t="s">
        <v>455</v>
      </c>
      <c r="B293" s="3">
        <v>0.0</v>
      </c>
      <c r="C293" s="3" t="s">
        <v>3</v>
      </c>
    </row>
    <row r="294">
      <c r="A294" s="4" t="s">
        <v>456</v>
      </c>
      <c r="B294" s="3">
        <v>0.0</v>
      </c>
      <c r="C294" s="3" t="s">
        <v>6</v>
      </c>
    </row>
    <row r="295">
      <c r="A295" s="4" t="s">
        <v>457</v>
      </c>
      <c r="B295" s="3">
        <v>2000.0</v>
      </c>
      <c r="C295" s="3" t="s">
        <v>3</v>
      </c>
    </row>
    <row r="296">
      <c r="A296" s="4" t="s">
        <v>2156</v>
      </c>
      <c r="B296" s="3">
        <v>0.0</v>
      </c>
      <c r="C296" s="3" t="s">
        <v>3</v>
      </c>
    </row>
    <row r="297">
      <c r="A297" s="4" t="s">
        <v>2157</v>
      </c>
      <c r="B297" s="3">
        <v>3000.0</v>
      </c>
      <c r="C297" s="4"/>
    </row>
    <row r="298">
      <c r="A298" s="4" t="s">
        <v>2158</v>
      </c>
      <c r="B298" s="3">
        <v>0.0</v>
      </c>
      <c r="C298" s="3" t="s">
        <v>3</v>
      </c>
    </row>
    <row r="299">
      <c r="A299" s="4" t="s">
        <v>464</v>
      </c>
      <c r="B299" s="3">
        <v>0.0</v>
      </c>
      <c r="C299" s="3" t="s">
        <v>3</v>
      </c>
    </row>
    <row r="300">
      <c r="A300" s="4" t="s">
        <v>465</v>
      </c>
      <c r="B300" s="3">
        <v>300.0</v>
      </c>
      <c r="C300" s="3" t="s">
        <v>3</v>
      </c>
    </row>
    <row r="301">
      <c r="A301" s="4" t="s">
        <v>466</v>
      </c>
      <c r="B301" s="3">
        <v>3000.0</v>
      </c>
      <c r="C301" s="3" t="s">
        <v>3</v>
      </c>
    </row>
    <row r="302">
      <c r="A302" s="4" t="s">
        <v>2159</v>
      </c>
      <c r="B302" s="3">
        <v>250.0</v>
      </c>
      <c r="C302" s="3" t="s">
        <v>3</v>
      </c>
    </row>
    <row r="303">
      <c r="A303" s="4" t="s">
        <v>2160</v>
      </c>
      <c r="B303" s="3">
        <v>0.0</v>
      </c>
      <c r="C303" s="3" t="s">
        <v>3</v>
      </c>
    </row>
    <row r="304">
      <c r="A304" s="4" t="s">
        <v>472</v>
      </c>
      <c r="B304" s="3">
        <v>5000.0</v>
      </c>
      <c r="C304" s="3" t="s">
        <v>32</v>
      </c>
    </row>
    <row r="305">
      <c r="A305" s="4" t="s">
        <v>473</v>
      </c>
      <c r="B305" s="3">
        <v>2500.0</v>
      </c>
      <c r="C305" s="3" t="s">
        <v>3</v>
      </c>
    </row>
    <row r="306">
      <c r="A306" s="4" t="s">
        <v>2161</v>
      </c>
      <c r="B306" s="3">
        <v>0.0</v>
      </c>
      <c r="C306" s="3" t="s">
        <v>3</v>
      </c>
    </row>
    <row r="307">
      <c r="A307" s="4" t="s">
        <v>476</v>
      </c>
      <c r="B307" s="3">
        <v>1578403.0</v>
      </c>
      <c r="C307" s="3" t="s">
        <v>32</v>
      </c>
    </row>
    <row r="308">
      <c r="A308" s="4" t="s">
        <v>478</v>
      </c>
      <c r="B308" s="3">
        <v>311500.0</v>
      </c>
      <c r="C308" s="4"/>
    </row>
    <row r="309">
      <c r="A309" s="4" t="s">
        <v>480</v>
      </c>
      <c r="B309" s="3">
        <v>3000.0</v>
      </c>
      <c r="C309" s="4"/>
    </row>
    <row r="310">
      <c r="A310" s="4" t="s">
        <v>481</v>
      </c>
      <c r="B310" s="3">
        <v>1735000.0</v>
      </c>
      <c r="C310" s="3" t="s">
        <v>3</v>
      </c>
    </row>
    <row r="311">
      <c r="A311" s="4" t="s">
        <v>2162</v>
      </c>
      <c r="B311" s="3">
        <v>1500.0</v>
      </c>
      <c r="C311" s="3" t="s">
        <v>484</v>
      </c>
    </row>
    <row r="312">
      <c r="A312" s="4" t="s">
        <v>2163</v>
      </c>
      <c r="B312" s="3">
        <v>0.0</v>
      </c>
      <c r="C312" s="3" t="s">
        <v>3</v>
      </c>
    </row>
    <row r="313">
      <c r="A313" s="4" t="s">
        <v>2164</v>
      </c>
      <c r="B313" s="3">
        <v>0.0</v>
      </c>
      <c r="C313" s="3" t="s">
        <v>3</v>
      </c>
    </row>
    <row r="314">
      <c r="A314" s="4" t="s">
        <v>2165</v>
      </c>
      <c r="B314" s="3">
        <v>2500.0</v>
      </c>
      <c r="C314" s="4"/>
    </row>
    <row r="315">
      <c r="A315" s="4" t="s">
        <v>491</v>
      </c>
      <c r="B315" s="3">
        <v>300000.0</v>
      </c>
      <c r="C315" s="4"/>
    </row>
    <row r="316">
      <c r="A316" s="4" t="s">
        <v>2166</v>
      </c>
      <c r="B316" s="3">
        <v>0.0</v>
      </c>
      <c r="C316" s="3" t="s">
        <v>3</v>
      </c>
    </row>
    <row r="317">
      <c r="A317" s="4" t="s">
        <v>495</v>
      </c>
      <c r="B317" s="3">
        <v>1000.0</v>
      </c>
      <c r="C317" s="4"/>
    </row>
    <row r="318">
      <c r="A318" s="4" t="s">
        <v>2167</v>
      </c>
      <c r="B318" s="3">
        <v>0.0</v>
      </c>
      <c r="C318" s="3" t="s">
        <v>3</v>
      </c>
    </row>
    <row r="319">
      <c r="A319" s="4" t="s">
        <v>2168</v>
      </c>
      <c r="B319" s="3">
        <v>400.0</v>
      </c>
      <c r="C319" s="3" t="s">
        <v>3</v>
      </c>
    </row>
    <row r="320">
      <c r="A320" s="4" t="s">
        <v>2169</v>
      </c>
      <c r="B320" s="3">
        <v>0.0</v>
      </c>
      <c r="C320" s="3" t="s">
        <v>6</v>
      </c>
    </row>
    <row r="321">
      <c r="A321" s="4" t="s">
        <v>502</v>
      </c>
      <c r="B321" s="3">
        <v>500.0</v>
      </c>
      <c r="C321" s="3" t="s">
        <v>26</v>
      </c>
    </row>
    <row r="322">
      <c r="A322" s="4" t="s">
        <v>2170</v>
      </c>
      <c r="B322" s="3">
        <v>0.0</v>
      </c>
      <c r="C322" s="3" t="s">
        <v>3</v>
      </c>
    </row>
    <row r="323">
      <c r="A323" s="4" t="s">
        <v>2171</v>
      </c>
      <c r="B323" s="3">
        <v>0.0</v>
      </c>
      <c r="C323" s="3" t="s">
        <v>3</v>
      </c>
    </row>
    <row r="324">
      <c r="A324" s="4" t="s">
        <v>2172</v>
      </c>
      <c r="B324" s="3">
        <v>0.0</v>
      </c>
      <c r="C324" s="3" t="s">
        <v>3</v>
      </c>
    </row>
    <row r="325">
      <c r="A325" s="4" t="s">
        <v>2173</v>
      </c>
      <c r="B325" s="3">
        <v>0.0</v>
      </c>
      <c r="C325" s="3" t="s">
        <v>6</v>
      </c>
    </row>
    <row r="326">
      <c r="A326" s="4" t="s">
        <v>2174</v>
      </c>
      <c r="B326" s="3">
        <v>0.0</v>
      </c>
      <c r="C326" s="3" t="s">
        <v>3</v>
      </c>
    </row>
    <row r="327">
      <c r="A327" s="4" t="s">
        <v>2175</v>
      </c>
      <c r="B327" s="3">
        <v>0.0</v>
      </c>
      <c r="C327" s="3" t="s">
        <v>3</v>
      </c>
    </row>
    <row r="328">
      <c r="A328" s="4" t="s">
        <v>515</v>
      </c>
      <c r="B328" s="3">
        <v>0.0</v>
      </c>
      <c r="C328" s="3" t="s">
        <v>6</v>
      </c>
    </row>
    <row r="329">
      <c r="A329" s="4" t="s">
        <v>2176</v>
      </c>
      <c r="B329" s="3">
        <v>0.0</v>
      </c>
      <c r="C329" s="3" t="s">
        <v>3</v>
      </c>
    </row>
    <row r="330">
      <c r="A330" s="4" t="s">
        <v>518</v>
      </c>
      <c r="B330" s="3">
        <v>25062.0</v>
      </c>
      <c r="C330" s="4"/>
    </row>
    <row r="331">
      <c r="A331" s="4" t="s">
        <v>520</v>
      </c>
      <c r="B331" s="3">
        <v>1500.0</v>
      </c>
      <c r="C331" s="3" t="s">
        <v>6</v>
      </c>
    </row>
    <row r="332">
      <c r="A332" s="4" t="s">
        <v>521</v>
      </c>
      <c r="B332" s="3">
        <v>3500.0</v>
      </c>
      <c r="C332" s="4"/>
    </row>
    <row r="333">
      <c r="A333" s="4" t="s">
        <v>522</v>
      </c>
      <c r="B333" s="3">
        <v>37754.0</v>
      </c>
      <c r="C333" s="3" t="s">
        <v>484</v>
      </c>
    </row>
    <row r="334">
      <c r="A334" s="4" t="s">
        <v>2177</v>
      </c>
      <c r="B334" s="3">
        <v>0.0</v>
      </c>
      <c r="C334" s="3" t="s">
        <v>3</v>
      </c>
    </row>
    <row r="335">
      <c r="A335" s="4" t="s">
        <v>526</v>
      </c>
      <c r="B335" s="3">
        <v>3000.0</v>
      </c>
      <c r="C335" s="4"/>
    </row>
    <row r="336">
      <c r="A336" s="4" t="s">
        <v>527</v>
      </c>
      <c r="B336" s="3">
        <v>1000.0</v>
      </c>
      <c r="C336" s="4"/>
    </row>
    <row r="337">
      <c r="A337" s="4" t="s">
        <v>2178</v>
      </c>
      <c r="B337" s="3">
        <v>250.0</v>
      </c>
      <c r="C337" s="4"/>
    </row>
    <row r="338">
      <c r="A338" s="4" t="s">
        <v>2179</v>
      </c>
      <c r="B338" s="3">
        <v>500.0</v>
      </c>
      <c r="C338" s="3" t="s">
        <v>3</v>
      </c>
    </row>
    <row r="339">
      <c r="A339" s="4" t="s">
        <v>532</v>
      </c>
      <c r="B339" s="3">
        <v>7000.0</v>
      </c>
      <c r="C339" s="3" t="s">
        <v>3</v>
      </c>
    </row>
    <row r="340">
      <c r="A340" s="4" t="s">
        <v>534</v>
      </c>
      <c r="B340" s="3">
        <v>0.0</v>
      </c>
      <c r="C340" s="3" t="s">
        <v>26</v>
      </c>
    </row>
    <row r="341">
      <c r="A341" s="4" t="s">
        <v>2180</v>
      </c>
      <c r="B341" s="3">
        <v>400.0</v>
      </c>
      <c r="C341" s="3" t="s">
        <v>3</v>
      </c>
    </row>
    <row r="342">
      <c r="A342" s="4" t="s">
        <v>2181</v>
      </c>
      <c r="B342" s="3">
        <v>750.0</v>
      </c>
      <c r="C342" s="4"/>
    </row>
    <row r="343">
      <c r="A343" s="4" t="s">
        <v>539</v>
      </c>
      <c r="B343" s="3">
        <v>0.0</v>
      </c>
      <c r="C343" s="3" t="s">
        <v>6</v>
      </c>
    </row>
    <row r="344">
      <c r="A344" s="4" t="s">
        <v>540</v>
      </c>
      <c r="B344" s="3">
        <v>800.0</v>
      </c>
      <c r="C344" s="4"/>
    </row>
    <row r="345">
      <c r="A345" s="4" t="s">
        <v>541</v>
      </c>
      <c r="B345" s="3">
        <v>500.0</v>
      </c>
      <c r="C345" s="4"/>
    </row>
    <row r="346">
      <c r="A346" s="4" t="s">
        <v>542</v>
      </c>
      <c r="B346" s="3">
        <v>0.0</v>
      </c>
      <c r="C346" s="3" t="s">
        <v>3</v>
      </c>
    </row>
    <row r="347">
      <c r="A347" s="4" t="s">
        <v>2182</v>
      </c>
      <c r="B347" s="3">
        <v>0.0</v>
      </c>
      <c r="C347" s="3" t="s">
        <v>3</v>
      </c>
    </row>
    <row r="348">
      <c r="A348" s="4" t="s">
        <v>545</v>
      </c>
      <c r="B348" s="3">
        <v>0.0</v>
      </c>
      <c r="C348" s="3" t="s">
        <v>3</v>
      </c>
    </row>
    <row r="349">
      <c r="A349" s="4" t="s">
        <v>546</v>
      </c>
      <c r="B349" s="3">
        <v>0.0</v>
      </c>
      <c r="C349" s="3" t="s">
        <v>3</v>
      </c>
    </row>
    <row r="350">
      <c r="A350" s="4" t="s">
        <v>547</v>
      </c>
      <c r="B350" s="3">
        <v>4000.0</v>
      </c>
      <c r="C350" s="4"/>
    </row>
    <row r="351">
      <c r="A351" s="4" t="s">
        <v>548</v>
      </c>
      <c r="B351" s="3">
        <v>0.0</v>
      </c>
      <c r="C351" s="3" t="s">
        <v>29</v>
      </c>
    </row>
    <row r="352">
      <c r="A352" s="4" t="s">
        <v>549</v>
      </c>
      <c r="B352" s="3">
        <v>27778.0</v>
      </c>
      <c r="C352" s="4"/>
    </row>
    <row r="353">
      <c r="A353" s="4" t="s">
        <v>551</v>
      </c>
      <c r="B353" s="3">
        <v>0.0</v>
      </c>
      <c r="C353" s="3" t="s">
        <v>29</v>
      </c>
    </row>
    <row r="354">
      <c r="A354" s="4" t="s">
        <v>552</v>
      </c>
      <c r="B354" s="3">
        <v>500.0</v>
      </c>
      <c r="C354" s="4"/>
    </row>
    <row r="355">
      <c r="A355" s="4" t="s">
        <v>553</v>
      </c>
      <c r="B355" s="3">
        <v>0.0</v>
      </c>
      <c r="C355" s="3" t="s">
        <v>29</v>
      </c>
    </row>
    <row r="356">
      <c r="A356" s="4" t="s">
        <v>554</v>
      </c>
      <c r="B356" s="3">
        <v>0.0</v>
      </c>
      <c r="C356" s="3" t="s">
        <v>29</v>
      </c>
    </row>
    <row r="357">
      <c r="A357" s="4" t="s">
        <v>2183</v>
      </c>
      <c r="B357" s="3">
        <v>0.0</v>
      </c>
      <c r="C357" s="3" t="s">
        <v>29</v>
      </c>
    </row>
    <row r="358">
      <c r="A358" s="4" t="s">
        <v>557</v>
      </c>
      <c r="B358" s="3">
        <v>1500.0</v>
      </c>
      <c r="C358" s="3" t="s">
        <v>29</v>
      </c>
    </row>
    <row r="359">
      <c r="A359" s="4" t="s">
        <v>558</v>
      </c>
      <c r="B359" s="3">
        <v>1000.0</v>
      </c>
      <c r="C359" s="3" t="s">
        <v>484</v>
      </c>
    </row>
    <row r="360">
      <c r="A360" s="4" t="s">
        <v>559</v>
      </c>
      <c r="B360" s="3">
        <v>4600.0</v>
      </c>
      <c r="C360" s="3" t="s">
        <v>6</v>
      </c>
    </row>
    <row r="361">
      <c r="A361" s="4" t="s">
        <v>561</v>
      </c>
      <c r="B361" s="3">
        <v>0.0</v>
      </c>
      <c r="C361" s="3" t="s">
        <v>29</v>
      </c>
    </row>
    <row r="362">
      <c r="A362" s="4" t="s">
        <v>562</v>
      </c>
      <c r="B362" s="3">
        <v>0.0</v>
      </c>
      <c r="C362" s="3" t="s">
        <v>29</v>
      </c>
    </row>
    <row r="363">
      <c r="A363" s="4" t="s">
        <v>563</v>
      </c>
      <c r="B363" s="3">
        <v>0.0</v>
      </c>
      <c r="C363" s="3" t="s">
        <v>29</v>
      </c>
    </row>
    <row r="364">
      <c r="A364" s="4" t="s">
        <v>564</v>
      </c>
      <c r="B364" s="3">
        <v>0.0</v>
      </c>
      <c r="C364" s="3" t="s">
        <v>484</v>
      </c>
    </row>
    <row r="365">
      <c r="A365" s="4" t="s">
        <v>565</v>
      </c>
      <c r="B365" s="3">
        <v>0.0</v>
      </c>
      <c r="C365" s="3" t="s">
        <v>29</v>
      </c>
    </row>
    <row r="366">
      <c r="A366" s="4" t="s">
        <v>566</v>
      </c>
      <c r="B366" s="3">
        <v>0.0</v>
      </c>
      <c r="C366" s="3" t="s">
        <v>29</v>
      </c>
    </row>
    <row r="367">
      <c r="A367" s="4" t="s">
        <v>567</v>
      </c>
      <c r="B367" s="3">
        <v>0.0</v>
      </c>
      <c r="C367" s="3" t="s">
        <v>3</v>
      </c>
    </row>
    <row r="368">
      <c r="A368" s="4" t="s">
        <v>568</v>
      </c>
      <c r="B368" s="3">
        <v>0.0</v>
      </c>
      <c r="C368" s="3" t="s">
        <v>3</v>
      </c>
    </row>
    <row r="369">
      <c r="A369" s="4" t="s">
        <v>569</v>
      </c>
      <c r="B369" s="3">
        <v>50000.0</v>
      </c>
      <c r="C369" s="3" t="s">
        <v>6</v>
      </c>
    </row>
    <row r="370">
      <c r="A370" s="4" t="s">
        <v>2184</v>
      </c>
      <c r="B370" s="3">
        <v>500.0</v>
      </c>
      <c r="C370" s="3" t="s">
        <v>6</v>
      </c>
    </row>
    <row r="371">
      <c r="A371" s="4" t="s">
        <v>573</v>
      </c>
      <c r="B371" s="3">
        <v>0.0</v>
      </c>
      <c r="C371" s="3" t="s">
        <v>3</v>
      </c>
    </row>
    <row r="372">
      <c r="A372" s="4" t="s">
        <v>2185</v>
      </c>
      <c r="B372" s="3">
        <v>700.0</v>
      </c>
      <c r="C372" s="4"/>
    </row>
    <row r="373">
      <c r="A373" s="4" t="s">
        <v>577</v>
      </c>
      <c r="B373" s="3">
        <v>0.0</v>
      </c>
      <c r="C373" s="3" t="s">
        <v>32</v>
      </c>
    </row>
    <row r="374">
      <c r="A374" s="4" t="s">
        <v>2186</v>
      </c>
      <c r="B374" s="3">
        <v>1700.0</v>
      </c>
      <c r="C374" s="3" t="s">
        <v>580</v>
      </c>
    </row>
    <row r="375">
      <c r="A375" s="4" t="s">
        <v>582</v>
      </c>
      <c r="B375" s="3">
        <v>153407.0</v>
      </c>
      <c r="C375" s="3" t="s">
        <v>32</v>
      </c>
    </row>
    <row r="376">
      <c r="A376" s="4" t="s">
        <v>2187</v>
      </c>
      <c r="B376" s="3">
        <v>0.0</v>
      </c>
      <c r="C376" s="3" t="s">
        <v>6</v>
      </c>
    </row>
    <row r="377">
      <c r="A377" s="4" t="s">
        <v>586</v>
      </c>
      <c r="B377" s="3">
        <v>4550.0</v>
      </c>
      <c r="C377" s="3" t="s">
        <v>6</v>
      </c>
    </row>
    <row r="378">
      <c r="A378" s="4" t="s">
        <v>588</v>
      </c>
      <c r="B378" s="3">
        <v>0.0</v>
      </c>
      <c r="C378" s="3" t="s">
        <v>3</v>
      </c>
    </row>
    <row r="379">
      <c r="A379" s="4" t="s">
        <v>589</v>
      </c>
      <c r="B379" s="3">
        <v>44200.0</v>
      </c>
      <c r="C379" s="3" t="s">
        <v>3</v>
      </c>
    </row>
    <row r="380">
      <c r="A380" s="4" t="s">
        <v>591</v>
      </c>
      <c r="B380" s="3">
        <v>0.0</v>
      </c>
      <c r="C380" s="3" t="s">
        <v>3</v>
      </c>
    </row>
    <row r="381">
      <c r="A381" s="4" t="s">
        <v>592</v>
      </c>
      <c r="B381" s="3">
        <v>0.0</v>
      </c>
      <c r="C381" s="3" t="s">
        <v>3</v>
      </c>
    </row>
    <row r="382">
      <c r="A382" s="4" t="s">
        <v>593</v>
      </c>
      <c r="B382" s="3">
        <v>0.0</v>
      </c>
      <c r="C382" s="3" t="s">
        <v>3</v>
      </c>
    </row>
    <row r="383">
      <c r="A383" s="4" t="s">
        <v>594</v>
      </c>
      <c r="B383" s="3">
        <v>0.0</v>
      </c>
      <c r="C383" s="3" t="s">
        <v>6</v>
      </c>
    </row>
    <row r="384">
      <c r="A384" s="4" t="s">
        <v>595</v>
      </c>
      <c r="B384" s="3">
        <v>0.0</v>
      </c>
      <c r="C384" s="3" t="s">
        <v>3</v>
      </c>
    </row>
    <row r="385">
      <c r="A385" s="4" t="s">
        <v>2188</v>
      </c>
      <c r="B385" s="3">
        <v>0.0</v>
      </c>
      <c r="C385" s="3" t="s">
        <v>3</v>
      </c>
    </row>
    <row r="386">
      <c r="A386" s="4" t="s">
        <v>598</v>
      </c>
      <c r="B386" s="3">
        <v>0.0</v>
      </c>
      <c r="C386" s="3" t="s">
        <v>3</v>
      </c>
    </row>
    <row r="387">
      <c r="A387" s="4" t="s">
        <v>599</v>
      </c>
      <c r="B387" s="3">
        <v>347000.0</v>
      </c>
      <c r="C387" s="4"/>
    </row>
    <row r="388">
      <c r="A388" s="4" t="s">
        <v>601</v>
      </c>
      <c r="B388" s="3">
        <v>2000.0</v>
      </c>
      <c r="C388" s="4"/>
    </row>
    <row r="389">
      <c r="A389" s="4" t="s">
        <v>2189</v>
      </c>
      <c r="B389" s="3">
        <v>1089439.0</v>
      </c>
      <c r="C389" s="3" t="s">
        <v>37</v>
      </c>
    </row>
    <row r="390">
      <c r="A390" s="4" t="s">
        <v>605</v>
      </c>
      <c r="B390" s="3">
        <v>3000.0</v>
      </c>
      <c r="C390" s="3" t="s">
        <v>29</v>
      </c>
    </row>
    <row r="391">
      <c r="A391" s="4" t="s">
        <v>606</v>
      </c>
      <c r="B391" s="3">
        <v>3000.0</v>
      </c>
      <c r="C391" s="3" t="s">
        <v>484</v>
      </c>
    </row>
    <row r="392">
      <c r="A392" s="4" t="s">
        <v>607</v>
      </c>
      <c r="B392" s="3">
        <v>30500.0</v>
      </c>
      <c r="C392" s="3" t="s">
        <v>32</v>
      </c>
    </row>
    <row r="393">
      <c r="A393" s="4" t="s">
        <v>609</v>
      </c>
      <c r="B393" s="3">
        <v>3500.0</v>
      </c>
      <c r="C393" s="3" t="s">
        <v>29</v>
      </c>
    </row>
    <row r="394">
      <c r="A394" s="4" t="s">
        <v>610</v>
      </c>
      <c r="B394" s="3">
        <v>0.0</v>
      </c>
      <c r="C394" s="3" t="s">
        <v>6</v>
      </c>
    </row>
    <row r="395">
      <c r="A395" s="4" t="s">
        <v>611</v>
      </c>
      <c r="B395" s="3">
        <v>2500.0</v>
      </c>
      <c r="C395" s="4"/>
    </row>
    <row r="396">
      <c r="A396" s="4" t="s">
        <v>612</v>
      </c>
      <c r="B396" s="3">
        <v>0.0</v>
      </c>
      <c r="C396" s="3" t="s">
        <v>6</v>
      </c>
    </row>
    <row r="397">
      <c r="A397" s="4" t="s">
        <v>613</v>
      </c>
      <c r="B397" s="3">
        <v>0.0</v>
      </c>
      <c r="C397" s="3" t="s">
        <v>3</v>
      </c>
    </row>
    <row r="398">
      <c r="A398" s="4" t="s">
        <v>614</v>
      </c>
      <c r="B398" s="3">
        <v>1500.0</v>
      </c>
      <c r="C398" s="4"/>
    </row>
    <row r="399">
      <c r="A399" s="4" t="s">
        <v>615</v>
      </c>
      <c r="B399" s="3">
        <v>0.0</v>
      </c>
      <c r="C399" s="3" t="s">
        <v>3</v>
      </c>
    </row>
    <row r="400">
      <c r="A400" s="4" t="s">
        <v>616</v>
      </c>
      <c r="B400" s="3">
        <v>0.0</v>
      </c>
      <c r="C400" s="3" t="s">
        <v>3</v>
      </c>
    </row>
    <row r="401">
      <c r="A401" s="4" t="s">
        <v>617</v>
      </c>
      <c r="B401" s="3">
        <v>0.0</v>
      </c>
      <c r="C401" s="3" t="s">
        <v>3</v>
      </c>
    </row>
    <row r="402">
      <c r="A402" s="4" t="s">
        <v>618</v>
      </c>
      <c r="B402" s="3">
        <v>0.0</v>
      </c>
      <c r="C402" s="3" t="s">
        <v>3</v>
      </c>
    </row>
    <row r="403">
      <c r="A403" s="4" t="s">
        <v>619</v>
      </c>
      <c r="B403" s="3">
        <v>0.0</v>
      </c>
      <c r="C403" s="3" t="s">
        <v>3</v>
      </c>
    </row>
    <row r="404">
      <c r="A404" s="4" t="s">
        <v>620</v>
      </c>
      <c r="B404" s="3">
        <v>0.0</v>
      </c>
      <c r="C404" s="3" t="s">
        <v>6</v>
      </c>
    </row>
    <row r="405">
      <c r="A405" s="4" t="s">
        <v>621</v>
      </c>
      <c r="B405" s="3">
        <v>1500.0</v>
      </c>
      <c r="C405" s="3" t="s">
        <v>32</v>
      </c>
    </row>
    <row r="406">
      <c r="A406" s="4" t="s">
        <v>622</v>
      </c>
      <c r="B406" s="3">
        <v>8000.0</v>
      </c>
      <c r="C406" s="3" t="s">
        <v>32</v>
      </c>
    </row>
    <row r="407">
      <c r="A407" s="4" t="s">
        <v>624</v>
      </c>
      <c r="B407" s="3">
        <v>0.0</v>
      </c>
      <c r="C407" s="3" t="s">
        <v>3</v>
      </c>
    </row>
    <row r="408">
      <c r="A408" s="4" t="s">
        <v>2190</v>
      </c>
      <c r="B408" s="3">
        <v>13600.0</v>
      </c>
      <c r="C408" s="3" t="s">
        <v>37</v>
      </c>
    </row>
    <row r="409">
      <c r="A409" s="4" t="s">
        <v>627</v>
      </c>
      <c r="B409" s="3">
        <v>0.0</v>
      </c>
      <c r="C409" s="3" t="s">
        <v>3</v>
      </c>
    </row>
    <row r="410">
      <c r="A410" s="4" t="s">
        <v>628</v>
      </c>
      <c r="B410" s="3">
        <v>35895.0</v>
      </c>
      <c r="C410" s="3" t="s">
        <v>484</v>
      </c>
    </row>
    <row r="411">
      <c r="A411" s="4" t="s">
        <v>630</v>
      </c>
      <c r="B411" s="3">
        <v>2500.0</v>
      </c>
      <c r="C411" s="4"/>
    </row>
    <row r="412">
      <c r="A412" s="4" t="s">
        <v>631</v>
      </c>
      <c r="B412" s="3">
        <v>1000.0</v>
      </c>
      <c r="C412" s="4"/>
    </row>
    <row r="413">
      <c r="A413" s="4" t="s">
        <v>632</v>
      </c>
      <c r="B413" s="3">
        <v>0.0</v>
      </c>
      <c r="C413" s="3" t="s">
        <v>3</v>
      </c>
    </row>
    <row r="414">
      <c r="A414" s="4" t="s">
        <v>633</v>
      </c>
      <c r="B414" s="3">
        <v>8500.0</v>
      </c>
      <c r="C414" s="3" t="s">
        <v>3</v>
      </c>
    </row>
    <row r="415">
      <c r="A415" s="4" t="s">
        <v>635</v>
      </c>
      <c r="B415" s="3">
        <v>1000.0</v>
      </c>
      <c r="C415" s="3" t="s">
        <v>32</v>
      </c>
    </row>
    <row r="416">
      <c r="A416" s="4" t="s">
        <v>636</v>
      </c>
      <c r="B416" s="3">
        <v>2500.0</v>
      </c>
      <c r="C416" s="3" t="s">
        <v>6</v>
      </c>
    </row>
    <row r="417">
      <c r="A417" s="4" t="s">
        <v>2191</v>
      </c>
      <c r="B417" s="3">
        <v>0.0</v>
      </c>
      <c r="C417" s="3" t="s">
        <v>37</v>
      </c>
    </row>
    <row r="418">
      <c r="A418" s="4" t="s">
        <v>638</v>
      </c>
      <c r="B418" s="3">
        <v>0.0</v>
      </c>
      <c r="C418" s="3" t="s">
        <v>3</v>
      </c>
    </row>
    <row r="419">
      <c r="A419" s="4" t="s">
        <v>639</v>
      </c>
      <c r="B419" s="3">
        <v>21600.0</v>
      </c>
      <c r="C419" s="3" t="s">
        <v>3</v>
      </c>
    </row>
    <row r="420">
      <c r="A420" s="4" t="s">
        <v>2192</v>
      </c>
      <c r="B420" s="3">
        <v>223734.0</v>
      </c>
      <c r="C420" s="3" t="s">
        <v>37</v>
      </c>
    </row>
    <row r="421">
      <c r="A421" s="4" t="s">
        <v>643</v>
      </c>
      <c r="B421" s="3">
        <v>3000.0</v>
      </c>
      <c r="C421" s="3" t="s">
        <v>29</v>
      </c>
    </row>
    <row r="422">
      <c r="A422" s="4" t="s">
        <v>644</v>
      </c>
      <c r="B422" s="3">
        <v>0.0</v>
      </c>
      <c r="C422" s="3" t="s">
        <v>3</v>
      </c>
    </row>
    <row r="423">
      <c r="A423" s="4" t="s">
        <v>645</v>
      </c>
      <c r="B423" s="3">
        <v>30000.0</v>
      </c>
      <c r="C423" s="4"/>
    </row>
    <row r="424">
      <c r="A424" s="4" t="s">
        <v>646</v>
      </c>
      <c r="B424" s="3">
        <v>198775.0</v>
      </c>
      <c r="C424" s="3" t="s">
        <v>6</v>
      </c>
    </row>
    <row r="425">
      <c r="A425" s="4" t="s">
        <v>648</v>
      </c>
      <c r="B425" s="3">
        <v>339500.0</v>
      </c>
      <c r="C425" s="3" t="s">
        <v>16</v>
      </c>
    </row>
    <row r="426">
      <c r="A426" s="4" t="s">
        <v>650</v>
      </c>
      <c r="B426" s="3">
        <v>1000.0</v>
      </c>
      <c r="C426" s="4"/>
    </row>
    <row r="427">
      <c r="A427" s="4" t="s">
        <v>651</v>
      </c>
      <c r="B427" s="3">
        <v>0.0</v>
      </c>
      <c r="C427" s="3" t="s">
        <v>3</v>
      </c>
    </row>
    <row r="428">
      <c r="A428" s="4" t="s">
        <v>652</v>
      </c>
      <c r="B428" s="3">
        <v>3700.0</v>
      </c>
      <c r="C428" s="3" t="s">
        <v>29</v>
      </c>
    </row>
    <row r="429">
      <c r="A429" s="4" t="s">
        <v>654</v>
      </c>
      <c r="B429" s="3">
        <v>0.0</v>
      </c>
      <c r="C429" s="3" t="s">
        <v>29</v>
      </c>
    </row>
    <row r="430">
      <c r="A430" s="4" t="s">
        <v>655</v>
      </c>
      <c r="B430" s="3">
        <v>80000.0</v>
      </c>
      <c r="C430" s="3" t="s">
        <v>29</v>
      </c>
    </row>
    <row r="431">
      <c r="A431" s="4" t="s">
        <v>2193</v>
      </c>
      <c r="B431" s="3">
        <v>0.0</v>
      </c>
      <c r="C431" s="3" t="s">
        <v>32</v>
      </c>
    </row>
    <row r="432">
      <c r="A432" s="4" t="s">
        <v>659</v>
      </c>
      <c r="B432" s="3">
        <v>7000.0</v>
      </c>
      <c r="C432" s="3" t="s">
        <v>6</v>
      </c>
    </row>
    <row r="433">
      <c r="A433" s="4" t="s">
        <v>660</v>
      </c>
      <c r="B433" s="3">
        <v>300.0</v>
      </c>
      <c r="C433" s="4"/>
    </row>
    <row r="434">
      <c r="A434" s="4" t="s">
        <v>661</v>
      </c>
      <c r="B434" s="3">
        <v>0.0</v>
      </c>
      <c r="C434" s="3" t="s">
        <v>29</v>
      </c>
    </row>
    <row r="435">
      <c r="A435" s="4" t="s">
        <v>662</v>
      </c>
      <c r="B435" s="3">
        <v>500.0</v>
      </c>
      <c r="C435" s="4"/>
    </row>
    <row r="436">
      <c r="A436" s="4" t="s">
        <v>663</v>
      </c>
      <c r="B436" s="3">
        <v>14500.0</v>
      </c>
      <c r="C436" s="3" t="s">
        <v>176</v>
      </c>
    </row>
    <row r="437">
      <c r="A437" s="4" t="s">
        <v>665</v>
      </c>
      <c r="B437" s="3">
        <v>600.0</v>
      </c>
      <c r="C437" s="3" t="s">
        <v>6</v>
      </c>
    </row>
    <row r="438">
      <c r="A438" s="4" t="s">
        <v>666</v>
      </c>
      <c r="B438" s="3">
        <v>21000.0</v>
      </c>
      <c r="C438" s="4"/>
    </row>
    <row r="439">
      <c r="A439" s="4" t="s">
        <v>667</v>
      </c>
      <c r="B439" s="3">
        <v>0.0</v>
      </c>
      <c r="C439" s="3" t="s">
        <v>668</v>
      </c>
    </row>
    <row r="440">
      <c r="A440" s="4" t="s">
        <v>669</v>
      </c>
      <c r="B440" s="3">
        <v>28000.0</v>
      </c>
      <c r="C440" s="3" t="s">
        <v>3</v>
      </c>
    </row>
    <row r="441">
      <c r="A441" s="4" t="s">
        <v>671</v>
      </c>
      <c r="B441" s="3">
        <v>0.0</v>
      </c>
      <c r="C441" s="3" t="s">
        <v>32</v>
      </c>
    </row>
    <row r="442">
      <c r="A442" s="4" t="s">
        <v>672</v>
      </c>
      <c r="B442" s="3">
        <v>0.0</v>
      </c>
      <c r="C442" s="3" t="s">
        <v>3</v>
      </c>
    </row>
    <row r="443">
      <c r="A443" s="4" t="s">
        <v>673</v>
      </c>
      <c r="B443" s="3">
        <v>0.0</v>
      </c>
      <c r="C443" s="3" t="s">
        <v>29</v>
      </c>
    </row>
    <row r="444">
      <c r="A444" s="4" t="s">
        <v>674</v>
      </c>
      <c r="B444" s="3">
        <v>1000.0</v>
      </c>
      <c r="C444" s="3" t="s">
        <v>3</v>
      </c>
    </row>
    <row r="445">
      <c r="A445" s="4" t="s">
        <v>675</v>
      </c>
      <c r="B445" s="3">
        <v>4000.0</v>
      </c>
      <c r="C445" s="3" t="s">
        <v>484</v>
      </c>
    </row>
    <row r="446">
      <c r="A446" s="4" t="s">
        <v>676</v>
      </c>
      <c r="B446" s="3">
        <v>3200.0</v>
      </c>
      <c r="C446" s="3" t="s">
        <v>3</v>
      </c>
    </row>
    <row r="447">
      <c r="A447" s="4" t="s">
        <v>677</v>
      </c>
      <c r="B447" s="3">
        <v>0.0</v>
      </c>
      <c r="C447" s="3" t="s">
        <v>3</v>
      </c>
    </row>
    <row r="448">
      <c r="A448" s="4" t="s">
        <v>678</v>
      </c>
      <c r="B448" s="3">
        <v>0.0</v>
      </c>
      <c r="C448" s="3" t="s">
        <v>32</v>
      </c>
    </row>
    <row r="449">
      <c r="A449" s="4" t="s">
        <v>679</v>
      </c>
      <c r="B449" s="3">
        <v>283000.0</v>
      </c>
      <c r="C449" s="4"/>
    </row>
    <row r="450">
      <c r="A450" s="4" t="s">
        <v>681</v>
      </c>
      <c r="B450" s="3">
        <v>5000.0</v>
      </c>
      <c r="C450" s="4"/>
    </row>
    <row r="451">
      <c r="A451" s="4" t="s">
        <v>682</v>
      </c>
      <c r="B451" s="3">
        <v>0.0</v>
      </c>
      <c r="C451" s="3" t="s">
        <v>26</v>
      </c>
    </row>
    <row r="452">
      <c r="A452" s="4" t="s">
        <v>683</v>
      </c>
      <c r="B452" s="3">
        <v>11500.0</v>
      </c>
      <c r="C452" s="3" t="s">
        <v>29</v>
      </c>
    </row>
    <row r="453">
      <c r="A453" s="4" t="s">
        <v>685</v>
      </c>
      <c r="B453" s="3">
        <v>0.0</v>
      </c>
      <c r="C453" s="3" t="s">
        <v>6</v>
      </c>
    </row>
    <row r="454">
      <c r="A454" s="4" t="s">
        <v>2194</v>
      </c>
      <c r="B454" s="3">
        <v>4000.0</v>
      </c>
      <c r="C454" s="3" t="s">
        <v>580</v>
      </c>
    </row>
    <row r="455">
      <c r="A455" s="4" t="s">
        <v>687</v>
      </c>
      <c r="B455" s="3">
        <v>15000.0</v>
      </c>
      <c r="C455" s="3" t="s">
        <v>6</v>
      </c>
    </row>
    <row r="456">
      <c r="A456" s="4" t="s">
        <v>688</v>
      </c>
      <c r="B456" s="3">
        <v>0.0</v>
      </c>
      <c r="C456" s="3" t="s">
        <v>6</v>
      </c>
    </row>
    <row r="457">
      <c r="A457" s="4" t="s">
        <v>689</v>
      </c>
      <c r="B457" s="3">
        <v>800.0</v>
      </c>
      <c r="C457" s="3" t="s">
        <v>32</v>
      </c>
    </row>
    <row r="458">
      <c r="A458" s="4" t="s">
        <v>690</v>
      </c>
      <c r="B458" s="3">
        <v>0.0</v>
      </c>
      <c r="C458" s="3" t="s">
        <v>29</v>
      </c>
    </row>
    <row r="459">
      <c r="A459" s="4" t="s">
        <v>2195</v>
      </c>
      <c r="B459" s="3">
        <v>400.0</v>
      </c>
      <c r="C459" s="3" t="s">
        <v>3</v>
      </c>
    </row>
    <row r="460">
      <c r="A460" s="4" t="s">
        <v>693</v>
      </c>
      <c r="B460" s="3">
        <v>0.0</v>
      </c>
      <c r="C460" s="3" t="s">
        <v>3</v>
      </c>
    </row>
    <row r="461">
      <c r="A461" s="4" t="s">
        <v>694</v>
      </c>
      <c r="B461" s="3">
        <v>0.0</v>
      </c>
      <c r="C461" s="3" t="s">
        <v>6</v>
      </c>
    </row>
    <row r="462">
      <c r="A462" s="4" t="s">
        <v>695</v>
      </c>
      <c r="B462" s="3">
        <v>0.0</v>
      </c>
      <c r="C462" s="3" t="s">
        <v>3</v>
      </c>
    </row>
    <row r="463">
      <c r="A463" s="4" t="s">
        <v>696</v>
      </c>
      <c r="B463" s="3">
        <v>0.0</v>
      </c>
      <c r="C463" s="3" t="s">
        <v>3</v>
      </c>
    </row>
    <row r="464">
      <c r="A464" s="4" t="s">
        <v>697</v>
      </c>
      <c r="B464" s="3">
        <v>115000.0</v>
      </c>
      <c r="C464" s="4"/>
    </row>
    <row r="465">
      <c r="A465" s="4" t="s">
        <v>699</v>
      </c>
      <c r="B465" s="3">
        <v>0.0</v>
      </c>
      <c r="C465" s="3" t="s">
        <v>3</v>
      </c>
    </row>
    <row r="466">
      <c r="A466" s="4" t="s">
        <v>700</v>
      </c>
      <c r="B466" s="3">
        <v>1080.0</v>
      </c>
      <c r="C466" s="4"/>
    </row>
    <row r="467">
      <c r="A467" s="4" t="s">
        <v>702</v>
      </c>
      <c r="B467" s="3">
        <v>7300.0</v>
      </c>
      <c r="C467" s="3" t="s">
        <v>32</v>
      </c>
    </row>
    <row r="468">
      <c r="A468" s="4" t="s">
        <v>704</v>
      </c>
      <c r="B468" s="3">
        <v>2000.0</v>
      </c>
      <c r="C468" s="4"/>
    </row>
    <row r="469">
      <c r="A469" s="4" t="s">
        <v>705</v>
      </c>
      <c r="B469" s="3">
        <v>900.0</v>
      </c>
      <c r="C469" s="4"/>
    </row>
    <row r="470">
      <c r="A470" s="4" t="s">
        <v>2196</v>
      </c>
      <c r="B470" s="3">
        <v>0.0</v>
      </c>
      <c r="C470" s="3" t="s">
        <v>3</v>
      </c>
    </row>
    <row r="471">
      <c r="A471" s="4" t="s">
        <v>709</v>
      </c>
      <c r="B471" s="3">
        <v>0.0</v>
      </c>
      <c r="C471" s="3" t="s">
        <v>29</v>
      </c>
    </row>
    <row r="472">
      <c r="A472" s="4" t="s">
        <v>710</v>
      </c>
      <c r="B472" s="3">
        <v>0.0</v>
      </c>
      <c r="C472" s="3" t="s">
        <v>6</v>
      </c>
    </row>
    <row r="473">
      <c r="A473" s="4" t="s">
        <v>711</v>
      </c>
      <c r="B473" s="3">
        <v>0.0</v>
      </c>
      <c r="C473" s="3" t="s">
        <v>3</v>
      </c>
    </row>
    <row r="474">
      <c r="A474" s="4" t="s">
        <v>712</v>
      </c>
      <c r="B474" s="3">
        <v>81568.0</v>
      </c>
      <c r="C474" s="4"/>
    </row>
    <row r="475">
      <c r="A475" s="4" t="s">
        <v>714</v>
      </c>
      <c r="B475" s="3">
        <v>0.0</v>
      </c>
      <c r="C475" s="3" t="s">
        <v>6</v>
      </c>
    </row>
    <row r="476">
      <c r="A476" s="4" t="s">
        <v>715</v>
      </c>
      <c r="B476" s="3">
        <v>15000.0</v>
      </c>
      <c r="C476" s="4"/>
    </row>
    <row r="477">
      <c r="A477" s="4" t="s">
        <v>716</v>
      </c>
      <c r="B477" s="3">
        <v>3000.0</v>
      </c>
      <c r="C477" s="3" t="s">
        <v>32</v>
      </c>
    </row>
    <row r="478">
      <c r="A478" s="4" t="s">
        <v>717</v>
      </c>
      <c r="B478" s="3">
        <v>5750.0</v>
      </c>
      <c r="C478" s="3" t="s">
        <v>3</v>
      </c>
    </row>
    <row r="479">
      <c r="A479" s="4" t="s">
        <v>719</v>
      </c>
      <c r="B479" s="3">
        <v>0.0</v>
      </c>
      <c r="C479" s="3" t="s">
        <v>29</v>
      </c>
    </row>
    <row r="480">
      <c r="A480" s="4" t="s">
        <v>720</v>
      </c>
      <c r="B480" s="3">
        <v>2000.0</v>
      </c>
      <c r="C480" s="4"/>
    </row>
    <row r="481">
      <c r="A481" s="4" t="s">
        <v>721</v>
      </c>
      <c r="B481" s="3">
        <v>0.0</v>
      </c>
      <c r="C481" s="3" t="s">
        <v>3</v>
      </c>
    </row>
    <row r="482">
      <c r="A482" s="4" t="s">
        <v>722</v>
      </c>
      <c r="B482" s="3">
        <v>11620.0</v>
      </c>
      <c r="C482" s="4"/>
    </row>
    <row r="483">
      <c r="A483" s="4" t="s">
        <v>724</v>
      </c>
      <c r="B483" s="3">
        <v>0.0</v>
      </c>
      <c r="C483" s="3" t="s">
        <v>29</v>
      </c>
    </row>
    <row r="484">
      <c r="A484" s="4" t="s">
        <v>725</v>
      </c>
      <c r="B484" s="3">
        <v>30000.0</v>
      </c>
      <c r="C484" s="3" t="s">
        <v>6</v>
      </c>
    </row>
    <row r="485">
      <c r="A485" s="4" t="s">
        <v>2197</v>
      </c>
      <c r="B485" s="3">
        <v>10000.0</v>
      </c>
      <c r="C485" s="3" t="s">
        <v>3</v>
      </c>
    </row>
    <row r="486">
      <c r="A486" s="4" t="s">
        <v>728</v>
      </c>
      <c r="B486" s="3">
        <v>0.0</v>
      </c>
      <c r="C486" s="3" t="s">
        <v>3</v>
      </c>
    </row>
    <row r="487">
      <c r="A487" s="4" t="s">
        <v>729</v>
      </c>
      <c r="B487" s="3">
        <v>49000.0</v>
      </c>
      <c r="C487" s="3" t="s">
        <v>32</v>
      </c>
    </row>
    <row r="488">
      <c r="A488" s="4" t="s">
        <v>731</v>
      </c>
      <c r="B488" s="3">
        <v>0.0</v>
      </c>
      <c r="C488" s="3" t="s">
        <v>3</v>
      </c>
    </row>
    <row r="489">
      <c r="A489" s="4" t="s">
        <v>2198</v>
      </c>
      <c r="B489" s="3">
        <v>7000.0</v>
      </c>
      <c r="C489" s="4"/>
    </row>
    <row r="490">
      <c r="A490" s="4" t="s">
        <v>2199</v>
      </c>
      <c r="B490" s="3">
        <v>0.0</v>
      </c>
      <c r="C490" s="3" t="s">
        <v>3</v>
      </c>
    </row>
    <row r="491">
      <c r="A491" s="4" t="s">
        <v>736</v>
      </c>
      <c r="B491" s="3">
        <v>0.0</v>
      </c>
      <c r="C491" s="3" t="s">
        <v>3</v>
      </c>
    </row>
    <row r="492">
      <c r="A492" s="4" t="s">
        <v>2200</v>
      </c>
      <c r="B492" s="3">
        <v>11500.0</v>
      </c>
      <c r="C492" s="3" t="s">
        <v>3</v>
      </c>
    </row>
    <row r="493">
      <c r="A493" s="4" t="s">
        <v>2201</v>
      </c>
      <c r="B493" s="3">
        <v>0.0</v>
      </c>
      <c r="C493" s="3" t="s">
        <v>3</v>
      </c>
    </row>
    <row r="494">
      <c r="A494" s="4" t="s">
        <v>2202</v>
      </c>
      <c r="B494" s="3">
        <v>1300.0</v>
      </c>
      <c r="C494" s="3" t="s">
        <v>3</v>
      </c>
    </row>
    <row r="495">
      <c r="A495" s="4" t="s">
        <v>744</v>
      </c>
      <c r="B495" s="3">
        <v>0.0</v>
      </c>
      <c r="C495" s="3" t="s">
        <v>3</v>
      </c>
    </row>
    <row r="496">
      <c r="A496" s="4" t="s">
        <v>745</v>
      </c>
      <c r="B496" s="3">
        <v>8200.0</v>
      </c>
      <c r="C496" s="3" t="s">
        <v>3</v>
      </c>
    </row>
    <row r="497">
      <c r="A497" s="4" t="s">
        <v>747</v>
      </c>
      <c r="B497" s="3">
        <v>0.0</v>
      </c>
      <c r="C497" s="3" t="s">
        <v>3</v>
      </c>
    </row>
    <row r="498">
      <c r="A498" s="4" t="s">
        <v>748</v>
      </c>
      <c r="B498" s="3">
        <v>0.0</v>
      </c>
      <c r="C498" s="3" t="s">
        <v>32</v>
      </c>
    </row>
    <row r="499">
      <c r="A499" s="4" t="s">
        <v>749</v>
      </c>
      <c r="B499" s="3">
        <v>0.0</v>
      </c>
      <c r="C499" s="3" t="s">
        <v>6</v>
      </c>
    </row>
    <row r="500">
      <c r="A500" s="4" t="s">
        <v>750</v>
      </c>
      <c r="B500" s="3">
        <v>1000.0</v>
      </c>
      <c r="C500" s="4"/>
    </row>
    <row r="501">
      <c r="A501" s="4" t="s">
        <v>751</v>
      </c>
      <c r="B501" s="3">
        <v>20500.0</v>
      </c>
      <c r="C501" s="3" t="s">
        <v>280</v>
      </c>
    </row>
    <row r="502">
      <c r="A502" s="4" t="s">
        <v>2203</v>
      </c>
      <c r="B502" s="3">
        <v>0.0</v>
      </c>
      <c r="C502" s="3" t="s">
        <v>3</v>
      </c>
    </row>
    <row r="503">
      <c r="A503" s="4" t="s">
        <v>755</v>
      </c>
      <c r="B503" s="3">
        <v>7000.0</v>
      </c>
      <c r="C503" s="3" t="s">
        <v>3</v>
      </c>
    </row>
    <row r="504">
      <c r="A504" s="4" t="s">
        <v>756</v>
      </c>
      <c r="B504" s="3">
        <v>10000.0</v>
      </c>
      <c r="C504" s="4"/>
    </row>
    <row r="505">
      <c r="A505" s="4" t="s">
        <v>757</v>
      </c>
      <c r="B505" s="3">
        <v>14800.0</v>
      </c>
      <c r="C505" s="4"/>
    </row>
    <row r="506">
      <c r="A506" s="4" t="s">
        <v>2204</v>
      </c>
      <c r="B506" s="3">
        <v>461165.0</v>
      </c>
      <c r="C506" s="3" t="s">
        <v>37</v>
      </c>
    </row>
    <row r="507">
      <c r="A507" s="4" t="s">
        <v>761</v>
      </c>
      <c r="B507" s="3">
        <v>2500.0</v>
      </c>
      <c r="C507" s="4"/>
    </row>
    <row r="508">
      <c r="A508" s="4" t="s">
        <v>762</v>
      </c>
      <c r="B508" s="3">
        <v>0.0</v>
      </c>
      <c r="C508" s="3" t="s">
        <v>3</v>
      </c>
    </row>
    <row r="509">
      <c r="A509" s="4" t="s">
        <v>763</v>
      </c>
      <c r="B509" s="3">
        <v>0.0</v>
      </c>
      <c r="C509" s="3" t="s">
        <v>3</v>
      </c>
    </row>
    <row r="510">
      <c r="A510" s="4" t="s">
        <v>764</v>
      </c>
      <c r="B510" s="3">
        <v>150.0</v>
      </c>
      <c r="C510" s="3" t="s">
        <v>3</v>
      </c>
    </row>
    <row r="511">
      <c r="A511" s="4" t="s">
        <v>766</v>
      </c>
      <c r="B511" s="3">
        <v>0.0</v>
      </c>
      <c r="C511" s="3" t="s">
        <v>3</v>
      </c>
    </row>
    <row r="512">
      <c r="A512" s="4" t="s">
        <v>767</v>
      </c>
      <c r="B512" s="3">
        <v>0.0</v>
      </c>
      <c r="C512" s="3" t="s">
        <v>3</v>
      </c>
    </row>
    <row r="513">
      <c r="A513" s="4" t="s">
        <v>768</v>
      </c>
      <c r="B513" s="3">
        <v>0.0</v>
      </c>
      <c r="C513" s="3" t="s">
        <v>3</v>
      </c>
    </row>
    <row r="514">
      <c r="A514" s="4" t="s">
        <v>769</v>
      </c>
      <c r="B514" s="3">
        <v>0.0</v>
      </c>
      <c r="C514" s="3" t="s">
        <v>3</v>
      </c>
    </row>
    <row r="515">
      <c r="A515" s="4" t="s">
        <v>770</v>
      </c>
      <c r="B515" s="3">
        <v>0.0</v>
      </c>
      <c r="C515" s="3" t="s">
        <v>3</v>
      </c>
    </row>
    <row r="516">
      <c r="A516" s="4" t="s">
        <v>771</v>
      </c>
      <c r="B516" s="3">
        <v>0.0</v>
      </c>
      <c r="C516" s="3" t="s">
        <v>3</v>
      </c>
    </row>
    <row r="517">
      <c r="A517" s="4" t="s">
        <v>772</v>
      </c>
      <c r="B517" s="3">
        <v>0.0</v>
      </c>
      <c r="C517" s="3" t="s">
        <v>3</v>
      </c>
    </row>
    <row r="518">
      <c r="A518" s="4" t="s">
        <v>773</v>
      </c>
      <c r="B518" s="3">
        <v>0.0</v>
      </c>
      <c r="C518" s="3" t="s">
        <v>3</v>
      </c>
    </row>
    <row r="519">
      <c r="A519" s="4" t="s">
        <v>774</v>
      </c>
      <c r="B519" s="3">
        <v>57500.0</v>
      </c>
      <c r="C519" s="3" t="s">
        <v>280</v>
      </c>
    </row>
    <row r="520">
      <c r="A520" s="4" t="s">
        <v>2205</v>
      </c>
      <c r="B520" s="3">
        <v>0.0</v>
      </c>
      <c r="C520" s="3" t="s">
        <v>3</v>
      </c>
    </row>
    <row r="521">
      <c r="A521" s="4" t="s">
        <v>778</v>
      </c>
      <c r="B521" s="3">
        <v>800.0</v>
      </c>
      <c r="C521" s="3" t="s">
        <v>32</v>
      </c>
    </row>
    <row r="522">
      <c r="A522" s="4" t="s">
        <v>779</v>
      </c>
      <c r="B522" s="3">
        <v>800.0</v>
      </c>
      <c r="C522" s="4"/>
    </row>
    <row r="523">
      <c r="A523" s="4" t="s">
        <v>780</v>
      </c>
      <c r="B523" s="3">
        <v>2000.0</v>
      </c>
      <c r="C523" s="4"/>
    </row>
    <row r="524">
      <c r="A524" s="4" t="s">
        <v>781</v>
      </c>
      <c r="B524" s="3">
        <v>0.0</v>
      </c>
      <c r="C524" s="3" t="s">
        <v>6</v>
      </c>
    </row>
    <row r="525">
      <c r="A525" s="4" t="s">
        <v>782</v>
      </c>
      <c r="B525" s="3">
        <v>0.0</v>
      </c>
      <c r="C525" s="3" t="s">
        <v>3</v>
      </c>
    </row>
    <row r="526">
      <c r="A526" s="4" t="s">
        <v>783</v>
      </c>
      <c r="B526" s="3">
        <v>0.0</v>
      </c>
      <c r="C526" s="3" t="s">
        <v>29</v>
      </c>
    </row>
    <row r="527">
      <c r="A527" s="4" t="s">
        <v>784</v>
      </c>
      <c r="B527" s="3">
        <v>1500.0</v>
      </c>
      <c r="C527" s="4"/>
    </row>
    <row r="528">
      <c r="A528" s="4" t="s">
        <v>785</v>
      </c>
      <c r="B528" s="3">
        <v>3000.0</v>
      </c>
      <c r="C528" s="4"/>
    </row>
    <row r="529">
      <c r="A529" s="4" t="s">
        <v>786</v>
      </c>
      <c r="B529" s="3">
        <v>32500.0</v>
      </c>
      <c r="C529" s="4"/>
    </row>
    <row r="530">
      <c r="A530" s="4" t="s">
        <v>788</v>
      </c>
      <c r="B530" s="3">
        <v>3000.0</v>
      </c>
      <c r="C530" s="3" t="s">
        <v>3</v>
      </c>
    </row>
    <row r="531">
      <c r="A531" s="4" t="s">
        <v>789</v>
      </c>
      <c r="B531" s="3">
        <v>0.0</v>
      </c>
      <c r="C531" s="3" t="s">
        <v>3</v>
      </c>
    </row>
    <row r="532">
      <c r="A532" s="4" t="s">
        <v>790</v>
      </c>
      <c r="B532" s="3">
        <v>19000.0</v>
      </c>
      <c r="C532" s="4"/>
    </row>
    <row r="533">
      <c r="A533" s="4" t="s">
        <v>791</v>
      </c>
      <c r="B533" s="3">
        <v>0.0</v>
      </c>
      <c r="C533" s="3" t="s">
        <v>3</v>
      </c>
    </row>
    <row r="534">
      <c r="A534" s="4" t="s">
        <v>792</v>
      </c>
      <c r="B534" s="3">
        <v>0.0</v>
      </c>
      <c r="C534" s="3" t="s">
        <v>3</v>
      </c>
    </row>
    <row r="535">
      <c r="A535" s="4" t="s">
        <v>793</v>
      </c>
      <c r="B535" s="3">
        <v>6000.0</v>
      </c>
      <c r="C535" s="4"/>
    </row>
    <row r="536">
      <c r="A536" s="4" t="s">
        <v>794</v>
      </c>
      <c r="B536" s="3">
        <v>0.0</v>
      </c>
      <c r="C536" s="3" t="s">
        <v>3</v>
      </c>
    </row>
    <row r="537">
      <c r="A537" s="4" t="s">
        <v>795</v>
      </c>
      <c r="B537" s="3">
        <v>0.0</v>
      </c>
      <c r="C537" s="3" t="s">
        <v>3</v>
      </c>
    </row>
    <row r="538">
      <c r="A538" s="4" t="s">
        <v>796</v>
      </c>
      <c r="B538" s="3">
        <v>0.0</v>
      </c>
      <c r="C538" s="3" t="s">
        <v>3</v>
      </c>
    </row>
    <row r="539">
      <c r="A539" s="4" t="s">
        <v>797</v>
      </c>
      <c r="B539" s="3">
        <v>3000.0</v>
      </c>
      <c r="C539" s="3" t="s">
        <v>32</v>
      </c>
    </row>
    <row r="540">
      <c r="A540" s="4" t="s">
        <v>798</v>
      </c>
      <c r="B540" s="3">
        <v>0.0</v>
      </c>
      <c r="C540" s="3" t="s">
        <v>29</v>
      </c>
    </row>
    <row r="541">
      <c r="A541" s="4" t="s">
        <v>799</v>
      </c>
      <c r="B541" s="3">
        <v>0.0</v>
      </c>
      <c r="C541" s="3" t="s">
        <v>29</v>
      </c>
    </row>
    <row r="542">
      <c r="A542" s="4" t="s">
        <v>2206</v>
      </c>
      <c r="B542" s="3">
        <v>243834.0</v>
      </c>
      <c r="C542" s="3" t="s">
        <v>37</v>
      </c>
    </row>
    <row r="543">
      <c r="A543" s="4" t="s">
        <v>802</v>
      </c>
      <c r="B543" s="3">
        <v>0.0</v>
      </c>
      <c r="C543" s="3" t="s">
        <v>3</v>
      </c>
    </row>
    <row r="544">
      <c r="A544" s="4" t="s">
        <v>803</v>
      </c>
      <c r="B544" s="3">
        <v>0.0</v>
      </c>
      <c r="C544" s="3" t="s">
        <v>3</v>
      </c>
    </row>
    <row r="545">
      <c r="A545" s="4" t="s">
        <v>804</v>
      </c>
      <c r="B545" s="3">
        <v>0.0</v>
      </c>
      <c r="C545" s="3" t="s">
        <v>32</v>
      </c>
    </row>
    <row r="546">
      <c r="A546" s="4" t="s">
        <v>805</v>
      </c>
      <c r="B546" s="3">
        <v>0.0</v>
      </c>
      <c r="C546" s="3" t="s">
        <v>6</v>
      </c>
    </row>
    <row r="547">
      <c r="A547" s="4" t="s">
        <v>806</v>
      </c>
      <c r="B547" s="3">
        <v>1500.0</v>
      </c>
      <c r="C547" s="4"/>
    </row>
    <row r="548">
      <c r="A548" s="4" t="s">
        <v>807</v>
      </c>
      <c r="B548" s="3">
        <v>0.0</v>
      </c>
      <c r="C548" s="3" t="s">
        <v>484</v>
      </c>
    </row>
    <row r="549">
      <c r="A549" s="4" t="s">
        <v>808</v>
      </c>
      <c r="B549" s="3">
        <v>0.0</v>
      </c>
      <c r="C549" s="3" t="s">
        <v>6</v>
      </c>
    </row>
    <row r="550">
      <c r="A550" s="4" t="s">
        <v>809</v>
      </c>
      <c r="B550" s="3">
        <v>0.0</v>
      </c>
      <c r="C550" s="3" t="s">
        <v>29</v>
      </c>
    </row>
    <row r="551">
      <c r="A551" s="4" t="s">
        <v>810</v>
      </c>
      <c r="B551" s="3">
        <v>0.0</v>
      </c>
      <c r="C551" s="3" t="s">
        <v>32</v>
      </c>
    </row>
    <row r="552">
      <c r="A552" s="4" t="s">
        <v>811</v>
      </c>
      <c r="B552" s="3">
        <v>15800.0</v>
      </c>
      <c r="C552" s="3" t="s">
        <v>6</v>
      </c>
    </row>
    <row r="553">
      <c r="A553" s="4" t="s">
        <v>813</v>
      </c>
      <c r="B553" s="3">
        <v>1700.0</v>
      </c>
      <c r="C553" s="4"/>
    </row>
    <row r="554">
      <c r="A554" s="4" t="s">
        <v>814</v>
      </c>
      <c r="B554" s="3">
        <v>0.0</v>
      </c>
      <c r="C554" s="3" t="s">
        <v>3</v>
      </c>
    </row>
    <row r="555">
      <c r="A555" s="4" t="s">
        <v>815</v>
      </c>
      <c r="B555" s="3">
        <v>0.0</v>
      </c>
      <c r="C555" s="3" t="s">
        <v>3</v>
      </c>
    </row>
    <row r="556">
      <c r="A556" s="4" t="s">
        <v>816</v>
      </c>
      <c r="B556" s="3">
        <v>0.0</v>
      </c>
      <c r="C556" s="3" t="s">
        <v>3</v>
      </c>
    </row>
    <row r="557">
      <c r="A557" s="4" t="s">
        <v>817</v>
      </c>
      <c r="B557" s="3">
        <v>1000.0</v>
      </c>
      <c r="C557" s="3" t="s">
        <v>3</v>
      </c>
    </row>
    <row r="558">
      <c r="A558" s="4" t="s">
        <v>818</v>
      </c>
      <c r="B558" s="3">
        <v>0.0</v>
      </c>
      <c r="C558" s="3" t="s">
        <v>3</v>
      </c>
    </row>
    <row r="559">
      <c r="A559" s="4" t="s">
        <v>2207</v>
      </c>
      <c r="B559" s="3">
        <v>634600.0</v>
      </c>
      <c r="C559" s="3" t="s">
        <v>37</v>
      </c>
    </row>
    <row r="560">
      <c r="A560" s="4" t="s">
        <v>2208</v>
      </c>
      <c r="B560" s="3">
        <v>5000.0</v>
      </c>
      <c r="C560" s="4"/>
    </row>
    <row r="561">
      <c r="A561" s="4" t="s">
        <v>824</v>
      </c>
      <c r="B561" s="3">
        <v>8800.0</v>
      </c>
      <c r="C561" s="4"/>
    </row>
    <row r="562">
      <c r="A562" s="4" t="s">
        <v>826</v>
      </c>
      <c r="B562" s="3">
        <v>0.0</v>
      </c>
      <c r="C562" s="3" t="s">
        <v>668</v>
      </c>
    </row>
    <row r="563">
      <c r="A563" s="4" t="s">
        <v>2209</v>
      </c>
      <c r="B563" s="3">
        <v>0.0</v>
      </c>
      <c r="C563" s="3" t="s">
        <v>3</v>
      </c>
    </row>
    <row r="564">
      <c r="A564" s="4" t="s">
        <v>829</v>
      </c>
      <c r="B564" s="3">
        <v>0.0</v>
      </c>
      <c r="C564" s="3" t="s">
        <v>3</v>
      </c>
    </row>
    <row r="565">
      <c r="A565" s="4" t="s">
        <v>830</v>
      </c>
      <c r="B565" s="3">
        <v>0.0</v>
      </c>
      <c r="C565" s="3" t="s">
        <v>3</v>
      </c>
    </row>
    <row r="566">
      <c r="A566" s="4" t="s">
        <v>831</v>
      </c>
      <c r="B566" s="3">
        <v>100.0</v>
      </c>
      <c r="C566" s="3" t="s">
        <v>3</v>
      </c>
    </row>
    <row r="567">
      <c r="A567" s="4" t="s">
        <v>833</v>
      </c>
      <c r="B567" s="3">
        <v>500.0</v>
      </c>
      <c r="C567" s="4"/>
    </row>
    <row r="568">
      <c r="A568" s="4" t="s">
        <v>834</v>
      </c>
      <c r="B568" s="3">
        <v>28000.0</v>
      </c>
      <c r="C568" s="3" t="s">
        <v>6</v>
      </c>
    </row>
    <row r="569">
      <c r="A569" s="4" t="s">
        <v>2210</v>
      </c>
      <c r="B569" s="3">
        <v>0.0</v>
      </c>
      <c r="C569" s="3" t="s">
        <v>6</v>
      </c>
    </row>
    <row r="570">
      <c r="A570" s="4" t="s">
        <v>2211</v>
      </c>
      <c r="B570" s="3">
        <v>800.0</v>
      </c>
      <c r="C570" s="3" t="s">
        <v>3</v>
      </c>
    </row>
    <row r="571">
      <c r="A571" s="4" t="s">
        <v>839</v>
      </c>
      <c r="B571" s="3">
        <v>1000.0</v>
      </c>
      <c r="C571" s="3" t="s">
        <v>6</v>
      </c>
    </row>
    <row r="572">
      <c r="A572" s="4" t="s">
        <v>2212</v>
      </c>
      <c r="B572" s="3">
        <v>0.0</v>
      </c>
      <c r="C572" s="3" t="s">
        <v>3</v>
      </c>
    </row>
    <row r="573">
      <c r="A573" s="4" t="s">
        <v>842</v>
      </c>
      <c r="B573" s="3">
        <v>2500.0</v>
      </c>
      <c r="C573" s="4"/>
    </row>
    <row r="574">
      <c r="A574" s="4" t="s">
        <v>843</v>
      </c>
      <c r="B574" s="3">
        <v>2300.0</v>
      </c>
      <c r="C574" s="3" t="s">
        <v>32</v>
      </c>
    </row>
    <row r="575">
      <c r="A575" s="4" t="s">
        <v>845</v>
      </c>
      <c r="B575" s="3">
        <v>11000.0</v>
      </c>
      <c r="C575" s="4"/>
    </row>
    <row r="576">
      <c r="A576" s="4" t="s">
        <v>2213</v>
      </c>
      <c r="B576" s="3">
        <v>800.0</v>
      </c>
      <c r="C576" s="4"/>
    </row>
    <row r="577">
      <c r="A577" s="4" t="s">
        <v>847</v>
      </c>
      <c r="B577" s="3">
        <v>2000.0</v>
      </c>
      <c r="C577" s="4"/>
    </row>
    <row r="578">
      <c r="A578" s="4" t="s">
        <v>848</v>
      </c>
      <c r="B578" s="3">
        <v>0.0</v>
      </c>
      <c r="C578" s="3" t="s">
        <v>3</v>
      </c>
    </row>
    <row r="579">
      <c r="A579" s="4" t="s">
        <v>849</v>
      </c>
      <c r="B579" s="3">
        <v>0.0</v>
      </c>
      <c r="C579" s="3" t="s">
        <v>3</v>
      </c>
    </row>
    <row r="580">
      <c r="A580" s="4" t="s">
        <v>850</v>
      </c>
      <c r="B580" s="3">
        <v>0.0</v>
      </c>
      <c r="C580" s="3" t="s">
        <v>3</v>
      </c>
    </row>
    <row r="581">
      <c r="A581" s="4" t="s">
        <v>851</v>
      </c>
      <c r="B581" s="3">
        <v>1000.0</v>
      </c>
      <c r="C581" s="4"/>
    </row>
    <row r="582">
      <c r="A582" s="4" t="s">
        <v>852</v>
      </c>
      <c r="B582" s="3">
        <v>0.0</v>
      </c>
      <c r="C582" s="3" t="s">
        <v>3</v>
      </c>
    </row>
    <row r="583">
      <c r="A583" s="4" t="s">
        <v>853</v>
      </c>
      <c r="B583" s="3">
        <v>0.0</v>
      </c>
      <c r="C583" s="3" t="s">
        <v>32</v>
      </c>
    </row>
    <row r="584">
      <c r="A584" s="4" t="s">
        <v>854</v>
      </c>
      <c r="B584" s="3">
        <v>0.0</v>
      </c>
      <c r="C584" s="3" t="s">
        <v>3</v>
      </c>
    </row>
    <row r="585">
      <c r="A585" s="4" t="s">
        <v>2214</v>
      </c>
      <c r="B585" s="3">
        <v>0.0</v>
      </c>
      <c r="C585" s="3" t="s">
        <v>37</v>
      </c>
    </row>
    <row r="586">
      <c r="A586" s="4" t="s">
        <v>2215</v>
      </c>
      <c r="B586" s="3">
        <v>20500.0</v>
      </c>
      <c r="C586" s="3" t="s">
        <v>37</v>
      </c>
    </row>
    <row r="587">
      <c r="A587" s="4" t="s">
        <v>2216</v>
      </c>
      <c r="B587" s="3">
        <v>2000.0</v>
      </c>
      <c r="C587" s="3" t="s">
        <v>3</v>
      </c>
    </row>
    <row r="588">
      <c r="A588" s="4" t="s">
        <v>861</v>
      </c>
      <c r="B588" s="3">
        <v>1000.0</v>
      </c>
      <c r="C588" s="4"/>
    </row>
    <row r="589">
      <c r="A589" s="4" t="s">
        <v>2217</v>
      </c>
      <c r="B589" s="3">
        <v>0.0</v>
      </c>
      <c r="C589" s="3" t="s">
        <v>6</v>
      </c>
    </row>
    <row r="590">
      <c r="A590" s="4" t="s">
        <v>864</v>
      </c>
      <c r="B590" s="3">
        <v>0.0</v>
      </c>
      <c r="C590" s="3" t="s">
        <v>3</v>
      </c>
    </row>
    <row r="591">
      <c r="A591" s="4" t="s">
        <v>2218</v>
      </c>
      <c r="B591" s="3">
        <v>750.0</v>
      </c>
      <c r="C591" s="3" t="s">
        <v>6</v>
      </c>
    </row>
    <row r="592">
      <c r="A592" s="4" t="s">
        <v>2219</v>
      </c>
      <c r="B592" s="3">
        <v>0.0</v>
      </c>
      <c r="C592" s="3" t="s">
        <v>3</v>
      </c>
    </row>
    <row r="593">
      <c r="A593" s="4" t="s">
        <v>869</v>
      </c>
      <c r="B593" s="3">
        <v>1600.0</v>
      </c>
      <c r="C593" s="4"/>
    </row>
    <row r="594">
      <c r="A594" s="4" t="s">
        <v>2220</v>
      </c>
      <c r="B594" s="3">
        <v>500.0</v>
      </c>
      <c r="C594" s="4"/>
    </row>
    <row r="595">
      <c r="A595" s="4" t="s">
        <v>873</v>
      </c>
      <c r="B595" s="3">
        <v>0.0</v>
      </c>
      <c r="C595" s="3" t="s">
        <v>26</v>
      </c>
    </row>
    <row r="596">
      <c r="A596" s="4" t="s">
        <v>874</v>
      </c>
      <c r="B596" s="3">
        <v>1500.0</v>
      </c>
      <c r="C596" s="3" t="s">
        <v>3</v>
      </c>
    </row>
    <row r="597">
      <c r="A597" s="4" t="s">
        <v>875</v>
      </c>
      <c r="B597" s="3">
        <v>0.0</v>
      </c>
      <c r="C597" s="3" t="s">
        <v>6</v>
      </c>
    </row>
    <row r="598">
      <c r="A598" s="4" t="s">
        <v>2221</v>
      </c>
      <c r="B598" s="3">
        <v>750.0</v>
      </c>
      <c r="C598" s="4"/>
    </row>
    <row r="599">
      <c r="A599" s="4" t="s">
        <v>2222</v>
      </c>
      <c r="B599" s="3">
        <v>0.0</v>
      </c>
      <c r="C599" s="3" t="s">
        <v>29</v>
      </c>
    </row>
    <row r="600">
      <c r="A600" s="4" t="s">
        <v>2223</v>
      </c>
      <c r="B600" s="3">
        <v>0.0</v>
      </c>
      <c r="C600" s="3" t="s">
        <v>29</v>
      </c>
    </row>
    <row r="601">
      <c r="A601" s="4" t="s">
        <v>882</v>
      </c>
      <c r="B601" s="3">
        <v>0.0</v>
      </c>
      <c r="C601" s="3" t="s">
        <v>6</v>
      </c>
    </row>
    <row r="602">
      <c r="A602" s="4" t="s">
        <v>2224</v>
      </c>
      <c r="B602" s="3">
        <v>0.0</v>
      </c>
      <c r="C602" s="3" t="s">
        <v>29</v>
      </c>
    </row>
    <row r="603">
      <c r="A603" s="4" t="s">
        <v>885</v>
      </c>
      <c r="B603" s="3">
        <v>1000.0</v>
      </c>
      <c r="C603" s="3" t="s">
        <v>6</v>
      </c>
    </row>
    <row r="604">
      <c r="A604" s="4" t="s">
        <v>886</v>
      </c>
      <c r="B604" s="3">
        <v>1000.0</v>
      </c>
      <c r="C604" s="3" t="s">
        <v>32</v>
      </c>
    </row>
    <row r="605">
      <c r="A605" s="4" t="s">
        <v>2225</v>
      </c>
      <c r="B605" s="3">
        <v>500.0</v>
      </c>
      <c r="C605" s="4"/>
    </row>
    <row r="606">
      <c r="A606" s="4" t="s">
        <v>889</v>
      </c>
      <c r="B606" s="3">
        <v>1600.0</v>
      </c>
      <c r="C606" s="4"/>
    </row>
    <row r="607">
      <c r="A607" s="4" t="s">
        <v>2226</v>
      </c>
      <c r="B607" s="3">
        <v>1000.0</v>
      </c>
      <c r="C607" s="3" t="s">
        <v>6</v>
      </c>
    </row>
    <row r="608">
      <c r="A608" s="4" t="s">
        <v>2227</v>
      </c>
      <c r="B608" s="3">
        <v>1300.0</v>
      </c>
      <c r="C608" s="4"/>
    </row>
    <row r="609">
      <c r="A609" s="4" t="s">
        <v>894</v>
      </c>
      <c r="B609" s="3">
        <v>0.0</v>
      </c>
      <c r="C609" s="3" t="s">
        <v>6</v>
      </c>
    </row>
    <row r="610">
      <c r="A610" s="4" t="s">
        <v>895</v>
      </c>
      <c r="B610" s="3">
        <v>0.0</v>
      </c>
      <c r="C610" s="3" t="s">
        <v>3</v>
      </c>
    </row>
    <row r="611">
      <c r="A611" s="4" t="s">
        <v>896</v>
      </c>
      <c r="B611" s="3">
        <v>0.0</v>
      </c>
      <c r="C611" s="3" t="s">
        <v>32</v>
      </c>
    </row>
    <row r="612">
      <c r="A612" s="4" t="s">
        <v>2228</v>
      </c>
      <c r="B612" s="3">
        <v>0.0</v>
      </c>
      <c r="C612" s="3" t="s">
        <v>3</v>
      </c>
    </row>
    <row r="613">
      <c r="A613" s="4" t="s">
        <v>899</v>
      </c>
      <c r="B613" s="3">
        <v>0.0</v>
      </c>
      <c r="C613" s="3" t="s">
        <v>3</v>
      </c>
    </row>
    <row r="614">
      <c r="A614" s="4" t="s">
        <v>900</v>
      </c>
      <c r="B614" s="3">
        <v>8000.0</v>
      </c>
      <c r="C614" s="4"/>
    </row>
    <row r="615">
      <c r="A615" s="4" t="s">
        <v>901</v>
      </c>
      <c r="B615" s="3">
        <v>0.0</v>
      </c>
      <c r="C615" s="3" t="s">
        <v>32</v>
      </c>
    </row>
    <row r="616">
      <c r="A616" s="4" t="s">
        <v>2229</v>
      </c>
      <c r="B616" s="3">
        <v>0.0</v>
      </c>
      <c r="C616" s="3" t="s">
        <v>6</v>
      </c>
    </row>
    <row r="617">
      <c r="A617" s="4" t="s">
        <v>904</v>
      </c>
      <c r="B617" s="3">
        <v>2635.0</v>
      </c>
      <c r="C617" s="4"/>
    </row>
    <row r="618">
      <c r="A618" s="4" t="s">
        <v>906</v>
      </c>
      <c r="B618" s="3">
        <v>3917.0</v>
      </c>
      <c r="C618" s="4"/>
    </row>
    <row r="619">
      <c r="A619" s="4" t="s">
        <v>2230</v>
      </c>
      <c r="B619" s="3">
        <v>1728.0</v>
      </c>
      <c r="C619" s="4"/>
    </row>
    <row r="620">
      <c r="A620" s="4" t="s">
        <v>911</v>
      </c>
      <c r="B620" s="3">
        <v>0.0</v>
      </c>
      <c r="C620" s="3" t="s">
        <v>3</v>
      </c>
    </row>
    <row r="621">
      <c r="A621" s="4" t="s">
        <v>912</v>
      </c>
      <c r="B621" s="3">
        <v>0.0</v>
      </c>
      <c r="C621" s="3" t="s">
        <v>3</v>
      </c>
    </row>
    <row r="622">
      <c r="A622" s="4" t="s">
        <v>913</v>
      </c>
      <c r="B622" s="3">
        <v>3000.0</v>
      </c>
      <c r="C622" s="4"/>
    </row>
    <row r="623">
      <c r="A623" s="4" t="s">
        <v>914</v>
      </c>
      <c r="B623" s="3">
        <v>3500.0</v>
      </c>
      <c r="C623" s="4"/>
    </row>
    <row r="624">
      <c r="A624" s="4" t="s">
        <v>915</v>
      </c>
      <c r="B624" s="3">
        <v>8000.0</v>
      </c>
      <c r="C624" s="4"/>
    </row>
    <row r="625">
      <c r="A625" s="4" t="s">
        <v>916</v>
      </c>
      <c r="B625" s="3">
        <v>41500.0</v>
      </c>
      <c r="C625" s="3" t="s">
        <v>280</v>
      </c>
    </row>
    <row r="626">
      <c r="A626" s="4" t="s">
        <v>918</v>
      </c>
      <c r="B626" s="3">
        <v>0.0</v>
      </c>
      <c r="C626" s="3" t="s">
        <v>32</v>
      </c>
    </row>
    <row r="627">
      <c r="A627" s="4" t="s">
        <v>919</v>
      </c>
      <c r="B627" s="3">
        <v>0.0</v>
      </c>
      <c r="C627" s="3" t="s">
        <v>3</v>
      </c>
    </row>
    <row r="628">
      <c r="A628" s="4" t="s">
        <v>920</v>
      </c>
      <c r="B628" s="3">
        <v>0.0</v>
      </c>
      <c r="C628" s="3" t="s">
        <v>3</v>
      </c>
    </row>
    <row r="629">
      <c r="A629" s="4" t="s">
        <v>921</v>
      </c>
      <c r="B629" s="3">
        <v>6000.0</v>
      </c>
      <c r="C629" s="4"/>
    </row>
    <row r="630">
      <c r="A630" s="4" t="s">
        <v>922</v>
      </c>
      <c r="B630" s="3">
        <v>5000.0</v>
      </c>
      <c r="C630" s="4"/>
    </row>
    <row r="631">
      <c r="A631" s="4" t="s">
        <v>923</v>
      </c>
      <c r="B631" s="3">
        <v>3000.0</v>
      </c>
      <c r="C631" s="4"/>
    </row>
    <row r="632">
      <c r="A632" s="4" t="s">
        <v>924</v>
      </c>
      <c r="B632" s="3">
        <v>0.0</v>
      </c>
      <c r="C632" s="3" t="s">
        <v>3</v>
      </c>
    </row>
    <row r="633">
      <c r="A633" s="4" t="s">
        <v>925</v>
      </c>
      <c r="B633" s="3">
        <v>2000.0</v>
      </c>
      <c r="C633" s="4"/>
    </row>
    <row r="634">
      <c r="A634" s="4" t="s">
        <v>926</v>
      </c>
      <c r="B634" s="3">
        <v>0.0</v>
      </c>
      <c r="C634" s="3" t="s">
        <v>3</v>
      </c>
    </row>
    <row r="635">
      <c r="A635" s="4" t="s">
        <v>927</v>
      </c>
      <c r="B635" s="3">
        <v>6000.0</v>
      </c>
      <c r="C635" s="4"/>
    </row>
    <row r="636">
      <c r="A636" s="4" t="s">
        <v>928</v>
      </c>
      <c r="B636" s="3">
        <v>0.0</v>
      </c>
      <c r="C636" s="3" t="s">
        <v>32</v>
      </c>
    </row>
    <row r="637">
      <c r="A637" s="4" t="s">
        <v>929</v>
      </c>
      <c r="B637" s="3">
        <v>17500.0</v>
      </c>
      <c r="C637" s="4"/>
    </row>
    <row r="638">
      <c r="A638" s="4" t="s">
        <v>931</v>
      </c>
      <c r="B638" s="3">
        <v>11380.0</v>
      </c>
      <c r="C638" s="3" t="s">
        <v>3</v>
      </c>
    </row>
    <row r="639">
      <c r="A639" s="4" t="s">
        <v>933</v>
      </c>
      <c r="B639" s="3">
        <v>3000.0</v>
      </c>
      <c r="C639" s="4"/>
    </row>
    <row r="640">
      <c r="A640" s="4" t="s">
        <v>934</v>
      </c>
      <c r="B640" s="3">
        <v>0.0</v>
      </c>
      <c r="C640" s="3" t="s">
        <v>3</v>
      </c>
    </row>
    <row r="641">
      <c r="A641" s="4" t="s">
        <v>935</v>
      </c>
      <c r="B641" s="3">
        <v>23000.0</v>
      </c>
      <c r="C641" s="4"/>
    </row>
    <row r="642">
      <c r="A642" s="4" t="s">
        <v>937</v>
      </c>
      <c r="B642" s="3">
        <v>17000.0</v>
      </c>
      <c r="C642" s="4"/>
    </row>
    <row r="643">
      <c r="A643" s="4" t="s">
        <v>939</v>
      </c>
      <c r="B643" s="3">
        <v>16000.0</v>
      </c>
      <c r="C643" s="4"/>
    </row>
    <row r="644">
      <c r="A644" s="4" t="s">
        <v>941</v>
      </c>
      <c r="B644" s="3">
        <v>2100.0</v>
      </c>
      <c r="C644" s="4"/>
    </row>
    <row r="645">
      <c r="A645" s="4" t="s">
        <v>943</v>
      </c>
      <c r="B645" s="3">
        <v>0.0</v>
      </c>
      <c r="C645" s="3" t="s">
        <v>3</v>
      </c>
    </row>
    <row r="646">
      <c r="A646" s="4" t="s">
        <v>944</v>
      </c>
      <c r="B646" s="3">
        <v>0.0</v>
      </c>
      <c r="C646" s="3" t="s">
        <v>3</v>
      </c>
    </row>
    <row r="647">
      <c r="A647" s="4" t="s">
        <v>945</v>
      </c>
      <c r="B647" s="3">
        <v>40000.0</v>
      </c>
      <c r="C647" s="3" t="s">
        <v>216</v>
      </c>
    </row>
    <row r="648">
      <c r="A648" s="4" t="s">
        <v>947</v>
      </c>
      <c r="B648" s="3">
        <v>0.0</v>
      </c>
      <c r="C648" s="3" t="s">
        <v>29</v>
      </c>
    </row>
    <row r="649">
      <c r="A649" s="4" t="s">
        <v>2231</v>
      </c>
      <c r="B649" s="3">
        <v>15000.0</v>
      </c>
      <c r="C649" s="3" t="s">
        <v>3</v>
      </c>
    </row>
    <row r="650">
      <c r="A650" s="4" t="s">
        <v>2232</v>
      </c>
      <c r="B650" s="3">
        <v>500.0</v>
      </c>
      <c r="C650" s="3" t="s">
        <v>3</v>
      </c>
    </row>
    <row r="651">
      <c r="A651" s="4" t="s">
        <v>2233</v>
      </c>
      <c r="B651" s="3">
        <v>1000.0</v>
      </c>
      <c r="C651" s="4"/>
    </row>
    <row r="652">
      <c r="A652" s="4" t="s">
        <v>954</v>
      </c>
      <c r="B652" s="3">
        <v>1400.0</v>
      </c>
      <c r="C652" s="4"/>
    </row>
    <row r="653">
      <c r="A653" s="4" t="s">
        <v>956</v>
      </c>
      <c r="B653" s="3">
        <v>10730.0</v>
      </c>
      <c r="C653" s="4"/>
    </row>
    <row r="654">
      <c r="A654" s="4" t="s">
        <v>958</v>
      </c>
      <c r="B654" s="3">
        <v>0.0</v>
      </c>
      <c r="C654" s="3" t="s">
        <v>3</v>
      </c>
    </row>
    <row r="655">
      <c r="A655" s="4" t="s">
        <v>959</v>
      </c>
      <c r="B655" s="3">
        <v>1500.0</v>
      </c>
      <c r="C655" s="4"/>
    </row>
    <row r="656">
      <c r="A656" s="4" t="s">
        <v>2234</v>
      </c>
      <c r="B656" s="3">
        <v>0.0</v>
      </c>
      <c r="C656" s="3" t="s">
        <v>3</v>
      </c>
    </row>
    <row r="657">
      <c r="A657" s="4" t="s">
        <v>962</v>
      </c>
      <c r="B657" s="3">
        <v>2000.0</v>
      </c>
      <c r="C657" s="3" t="s">
        <v>6</v>
      </c>
    </row>
    <row r="658">
      <c r="A658" s="4" t="s">
        <v>963</v>
      </c>
      <c r="B658" s="3">
        <v>115000.0</v>
      </c>
      <c r="C658" s="3" t="s">
        <v>6</v>
      </c>
    </row>
    <row r="659">
      <c r="A659" s="4" t="s">
        <v>964</v>
      </c>
      <c r="B659" s="3">
        <v>0.0</v>
      </c>
      <c r="C659" s="3" t="s">
        <v>3</v>
      </c>
    </row>
    <row r="660">
      <c r="A660" s="4" t="s">
        <v>965</v>
      </c>
      <c r="B660" s="3">
        <v>11176.0</v>
      </c>
      <c r="C660" s="4"/>
    </row>
    <row r="661">
      <c r="A661" s="4" t="s">
        <v>967</v>
      </c>
      <c r="B661" s="3">
        <v>1500.0</v>
      </c>
      <c r="C661" s="3" t="s">
        <v>32</v>
      </c>
    </row>
    <row r="662">
      <c r="A662" s="4" t="s">
        <v>968</v>
      </c>
      <c r="B662" s="3">
        <v>1000.0</v>
      </c>
      <c r="C662" s="4"/>
    </row>
    <row r="663">
      <c r="A663" s="4" t="s">
        <v>969</v>
      </c>
      <c r="B663" s="3">
        <v>0.0</v>
      </c>
      <c r="C663" s="3" t="s">
        <v>3</v>
      </c>
    </row>
    <row r="664">
      <c r="A664" s="4" t="s">
        <v>970</v>
      </c>
      <c r="B664" s="3">
        <v>0.0</v>
      </c>
      <c r="C664" s="3" t="s">
        <v>3</v>
      </c>
    </row>
    <row r="665">
      <c r="A665" s="4" t="s">
        <v>971</v>
      </c>
      <c r="B665" s="3">
        <v>0.0</v>
      </c>
      <c r="C665" s="3" t="s">
        <v>3</v>
      </c>
    </row>
    <row r="666">
      <c r="A666" s="4" t="s">
        <v>972</v>
      </c>
      <c r="B666" s="3">
        <v>0.0</v>
      </c>
      <c r="C666" s="3" t="s">
        <v>32</v>
      </c>
    </row>
    <row r="667">
      <c r="A667" s="4" t="s">
        <v>973</v>
      </c>
      <c r="B667" s="3">
        <v>400.0</v>
      </c>
      <c r="C667" s="4"/>
    </row>
    <row r="668">
      <c r="A668" s="4" t="s">
        <v>974</v>
      </c>
      <c r="B668" s="3">
        <v>0.0</v>
      </c>
      <c r="C668" s="3" t="s">
        <v>3</v>
      </c>
    </row>
    <row r="669">
      <c r="A669" s="4" t="s">
        <v>2235</v>
      </c>
      <c r="B669" s="3">
        <v>5000.0</v>
      </c>
      <c r="C669" s="4"/>
    </row>
    <row r="670">
      <c r="A670" s="4" t="s">
        <v>977</v>
      </c>
      <c r="B670" s="3">
        <v>8000.0</v>
      </c>
      <c r="C670" s="4"/>
    </row>
    <row r="671">
      <c r="A671" s="4" t="s">
        <v>978</v>
      </c>
      <c r="B671" s="3">
        <v>0.0</v>
      </c>
      <c r="C671" s="3" t="s">
        <v>29</v>
      </c>
    </row>
    <row r="672">
      <c r="A672" s="4" t="s">
        <v>979</v>
      </c>
      <c r="B672" s="3">
        <v>700.0</v>
      </c>
      <c r="C672" s="3" t="s">
        <v>3</v>
      </c>
    </row>
    <row r="673">
      <c r="A673" s="4" t="s">
        <v>980</v>
      </c>
      <c r="B673" s="3">
        <v>0.0</v>
      </c>
      <c r="C673" s="3" t="s">
        <v>3</v>
      </c>
    </row>
    <row r="674">
      <c r="A674" s="4" t="s">
        <v>981</v>
      </c>
      <c r="B674" s="3">
        <v>1000.0</v>
      </c>
      <c r="C674" s="4"/>
    </row>
    <row r="675">
      <c r="A675" s="4" t="s">
        <v>982</v>
      </c>
      <c r="B675" s="3">
        <v>0.0</v>
      </c>
      <c r="C675" s="3" t="s">
        <v>6</v>
      </c>
    </row>
    <row r="676">
      <c r="A676" s="4" t="s">
        <v>983</v>
      </c>
      <c r="B676" s="3">
        <v>0.0</v>
      </c>
      <c r="C676" s="3" t="s">
        <v>3</v>
      </c>
    </row>
    <row r="677">
      <c r="A677" s="4" t="s">
        <v>984</v>
      </c>
      <c r="B677" s="3">
        <v>9600.0</v>
      </c>
      <c r="C677" s="4"/>
    </row>
    <row r="678">
      <c r="A678" s="4" t="s">
        <v>986</v>
      </c>
      <c r="B678" s="3">
        <v>3000.0</v>
      </c>
      <c r="C678" s="4"/>
    </row>
    <row r="679">
      <c r="A679" s="4" t="s">
        <v>987</v>
      </c>
      <c r="B679" s="3">
        <v>0.0</v>
      </c>
      <c r="C679" s="3" t="s">
        <v>3</v>
      </c>
    </row>
    <row r="680">
      <c r="A680" s="4" t="s">
        <v>988</v>
      </c>
      <c r="B680" s="3">
        <v>7800.0</v>
      </c>
      <c r="C680" s="3" t="s">
        <v>280</v>
      </c>
    </row>
    <row r="681">
      <c r="A681" s="4" t="s">
        <v>990</v>
      </c>
      <c r="B681" s="3">
        <v>4000.0</v>
      </c>
      <c r="C681" s="4"/>
    </row>
    <row r="682">
      <c r="A682" s="4" t="s">
        <v>991</v>
      </c>
      <c r="B682" s="3">
        <v>0.0</v>
      </c>
      <c r="C682" s="3" t="s">
        <v>3</v>
      </c>
    </row>
    <row r="683">
      <c r="A683" s="4" t="s">
        <v>992</v>
      </c>
      <c r="B683" s="3">
        <v>0.0</v>
      </c>
      <c r="C683" s="3" t="s">
        <v>3</v>
      </c>
    </row>
    <row r="684">
      <c r="A684" s="4" t="s">
        <v>993</v>
      </c>
      <c r="B684" s="3">
        <v>0.0</v>
      </c>
      <c r="C684" s="3" t="s">
        <v>3</v>
      </c>
    </row>
    <row r="685">
      <c r="A685" s="4" t="s">
        <v>994</v>
      </c>
      <c r="B685" s="3">
        <v>8000.0</v>
      </c>
      <c r="C685" s="4"/>
    </row>
    <row r="686">
      <c r="A686" s="4" t="s">
        <v>995</v>
      </c>
      <c r="B686" s="3">
        <v>1200.0</v>
      </c>
      <c r="C686" s="3" t="s">
        <v>6</v>
      </c>
    </row>
    <row r="687">
      <c r="A687" s="4" t="s">
        <v>997</v>
      </c>
      <c r="B687" s="3">
        <v>950.0</v>
      </c>
      <c r="C687" s="4"/>
    </row>
    <row r="688">
      <c r="A688" s="4" t="s">
        <v>999</v>
      </c>
      <c r="B688" s="3">
        <v>0.0</v>
      </c>
      <c r="C688" s="3" t="s">
        <v>3</v>
      </c>
    </row>
    <row r="689">
      <c r="A689" s="4" t="s">
        <v>1000</v>
      </c>
      <c r="B689" s="3">
        <v>30000.0</v>
      </c>
      <c r="C689" s="3" t="s">
        <v>3</v>
      </c>
    </row>
    <row r="690">
      <c r="A690" s="4" t="s">
        <v>1001</v>
      </c>
      <c r="B690" s="3">
        <v>0.0</v>
      </c>
      <c r="C690" s="3" t="s">
        <v>6</v>
      </c>
    </row>
    <row r="691">
      <c r="A691" s="4" t="s">
        <v>1002</v>
      </c>
      <c r="B691" s="3">
        <v>10000.0</v>
      </c>
      <c r="C691" s="3" t="s">
        <v>3</v>
      </c>
    </row>
    <row r="692">
      <c r="A692" s="4" t="s">
        <v>1003</v>
      </c>
      <c r="B692" s="3">
        <v>0.0</v>
      </c>
      <c r="C692" s="3" t="s">
        <v>3</v>
      </c>
    </row>
    <row r="693">
      <c r="A693" s="4" t="s">
        <v>1004</v>
      </c>
      <c r="B693" s="3">
        <v>0.0</v>
      </c>
      <c r="C693" s="3" t="s">
        <v>3</v>
      </c>
    </row>
    <row r="694">
      <c r="A694" s="4" t="s">
        <v>1005</v>
      </c>
      <c r="B694" s="3">
        <v>500.0</v>
      </c>
      <c r="C694" s="4"/>
    </row>
    <row r="695">
      <c r="A695" s="4" t="s">
        <v>1006</v>
      </c>
      <c r="B695" s="3">
        <v>0.0</v>
      </c>
      <c r="C695" s="3" t="s">
        <v>3</v>
      </c>
    </row>
    <row r="696">
      <c r="A696" s="4" t="s">
        <v>1007</v>
      </c>
      <c r="B696" s="3">
        <v>3000.0</v>
      </c>
      <c r="C696" s="4"/>
    </row>
    <row r="697">
      <c r="A697" s="4" t="s">
        <v>1008</v>
      </c>
      <c r="B697" s="3">
        <v>0.0</v>
      </c>
      <c r="C697" s="3" t="s">
        <v>484</v>
      </c>
    </row>
    <row r="698">
      <c r="A698" s="4" t="s">
        <v>1009</v>
      </c>
      <c r="B698" s="3">
        <v>0.0</v>
      </c>
      <c r="C698" s="3" t="s">
        <v>3</v>
      </c>
    </row>
    <row r="699">
      <c r="A699" s="4" t="s">
        <v>1010</v>
      </c>
      <c r="B699" s="3">
        <v>0.0</v>
      </c>
      <c r="C699" s="3" t="s">
        <v>6</v>
      </c>
    </row>
    <row r="700">
      <c r="A700" s="4" t="s">
        <v>1011</v>
      </c>
      <c r="B700" s="3">
        <v>4000.0</v>
      </c>
      <c r="C700" s="4"/>
    </row>
    <row r="701">
      <c r="A701" s="4" t="s">
        <v>1012</v>
      </c>
      <c r="B701" s="3">
        <v>2100.0</v>
      </c>
      <c r="C701" s="3" t="s">
        <v>3</v>
      </c>
    </row>
    <row r="702">
      <c r="A702" s="4" t="s">
        <v>1013</v>
      </c>
      <c r="B702" s="3">
        <v>9500.0</v>
      </c>
      <c r="C702" s="3" t="s">
        <v>6</v>
      </c>
    </row>
    <row r="703">
      <c r="A703" s="4" t="s">
        <v>1015</v>
      </c>
      <c r="B703" s="3">
        <v>0.0</v>
      </c>
      <c r="C703" s="3" t="s">
        <v>3</v>
      </c>
    </row>
    <row r="704">
      <c r="A704" s="4" t="s">
        <v>1016</v>
      </c>
      <c r="B704" s="3">
        <v>0.0</v>
      </c>
      <c r="C704" s="3" t="s">
        <v>6</v>
      </c>
    </row>
    <row r="705">
      <c r="A705" s="4" t="s">
        <v>1017</v>
      </c>
      <c r="B705" s="3">
        <v>1200.0</v>
      </c>
      <c r="C705" s="4"/>
    </row>
    <row r="706">
      <c r="A706" s="4" t="s">
        <v>1018</v>
      </c>
      <c r="B706" s="3">
        <v>0.0</v>
      </c>
      <c r="C706" s="3" t="s">
        <v>32</v>
      </c>
    </row>
    <row r="707">
      <c r="A707" s="4" t="s">
        <v>1019</v>
      </c>
      <c r="B707" s="3">
        <v>0.0</v>
      </c>
      <c r="C707" s="3" t="s">
        <v>6</v>
      </c>
    </row>
    <row r="708">
      <c r="A708" s="4" t="s">
        <v>1020</v>
      </c>
      <c r="B708" s="3">
        <v>1534.0</v>
      </c>
      <c r="C708" s="4"/>
    </row>
    <row r="709">
      <c r="A709" s="4" t="s">
        <v>1022</v>
      </c>
      <c r="B709" s="3">
        <v>0.0</v>
      </c>
      <c r="C709" s="3" t="s">
        <v>6</v>
      </c>
    </row>
    <row r="710">
      <c r="A710" s="4" t="s">
        <v>1023</v>
      </c>
      <c r="B710" s="3">
        <v>27000.0</v>
      </c>
      <c r="C710" s="3" t="s">
        <v>3</v>
      </c>
    </row>
    <row r="711">
      <c r="A711" s="4" t="s">
        <v>1025</v>
      </c>
      <c r="B711" s="3">
        <v>0.0</v>
      </c>
      <c r="C711" s="3" t="s">
        <v>3</v>
      </c>
    </row>
    <row r="712">
      <c r="A712" s="4" t="s">
        <v>2236</v>
      </c>
      <c r="B712" s="3">
        <v>46500.0</v>
      </c>
      <c r="C712" s="3" t="s">
        <v>3</v>
      </c>
    </row>
    <row r="713">
      <c r="A713" s="4" t="s">
        <v>2237</v>
      </c>
      <c r="B713" s="3">
        <v>0.0</v>
      </c>
      <c r="C713" s="3" t="s">
        <v>3</v>
      </c>
    </row>
    <row r="714">
      <c r="A714" s="4" t="s">
        <v>1031</v>
      </c>
      <c r="B714" s="3">
        <v>0.0</v>
      </c>
      <c r="C714" s="3" t="s">
        <v>3</v>
      </c>
    </row>
    <row r="715">
      <c r="A715" s="4" t="s">
        <v>1032</v>
      </c>
      <c r="B715" s="3">
        <v>0.0</v>
      </c>
      <c r="C715" s="3" t="s">
        <v>29</v>
      </c>
    </row>
    <row r="716">
      <c r="A716" s="4" t="s">
        <v>1033</v>
      </c>
      <c r="B716" s="3">
        <v>109834.0</v>
      </c>
      <c r="C716" s="4"/>
    </row>
    <row r="717">
      <c r="A717" s="4" t="s">
        <v>1035</v>
      </c>
      <c r="B717" s="3">
        <v>4000.0</v>
      </c>
      <c r="C717" s="4"/>
    </row>
    <row r="718">
      <c r="A718" s="4" t="s">
        <v>1036</v>
      </c>
      <c r="B718" s="3">
        <v>0.0</v>
      </c>
      <c r="C718" s="3" t="s">
        <v>3</v>
      </c>
    </row>
    <row r="719">
      <c r="A719" s="4" t="s">
        <v>1037</v>
      </c>
      <c r="B719" s="3">
        <v>0.0</v>
      </c>
      <c r="C719" s="3" t="s">
        <v>26</v>
      </c>
    </row>
    <row r="720">
      <c r="A720" s="4" t="s">
        <v>1038</v>
      </c>
      <c r="B720" s="3">
        <v>0.0</v>
      </c>
      <c r="C720" s="3" t="s">
        <v>3</v>
      </c>
    </row>
    <row r="721">
      <c r="A721" s="4" t="s">
        <v>1039</v>
      </c>
      <c r="B721" s="3">
        <v>14000.0</v>
      </c>
      <c r="C721" s="3" t="s">
        <v>3</v>
      </c>
    </row>
    <row r="722">
      <c r="A722" s="4" t="s">
        <v>1041</v>
      </c>
      <c r="B722" s="3">
        <v>500.0</v>
      </c>
      <c r="C722" s="4"/>
    </row>
    <row r="723">
      <c r="A723" s="4" t="s">
        <v>1042</v>
      </c>
      <c r="B723" s="3">
        <v>0.0</v>
      </c>
      <c r="C723" s="3" t="s">
        <v>3</v>
      </c>
    </row>
    <row r="724">
      <c r="A724" s="4" t="s">
        <v>1043</v>
      </c>
      <c r="B724" s="3">
        <v>4000.0</v>
      </c>
      <c r="C724" s="4"/>
    </row>
    <row r="725">
      <c r="A725" s="4" t="s">
        <v>2238</v>
      </c>
      <c r="B725" s="3">
        <v>118603.0</v>
      </c>
      <c r="C725" s="3" t="s">
        <v>37</v>
      </c>
    </row>
    <row r="726">
      <c r="A726" s="4" t="s">
        <v>1046</v>
      </c>
      <c r="B726" s="3">
        <v>0.0</v>
      </c>
      <c r="C726" s="3" t="s">
        <v>3</v>
      </c>
    </row>
    <row r="727">
      <c r="A727" s="4" t="s">
        <v>1047</v>
      </c>
      <c r="B727" s="3">
        <v>4500.0</v>
      </c>
      <c r="C727" s="4"/>
    </row>
    <row r="728">
      <c r="A728" s="4" t="s">
        <v>1048</v>
      </c>
      <c r="B728" s="3">
        <v>0.0</v>
      </c>
      <c r="C728" s="3" t="s">
        <v>3</v>
      </c>
    </row>
    <row r="729">
      <c r="A729" s="4" t="s">
        <v>2239</v>
      </c>
      <c r="B729" s="3">
        <v>0.0</v>
      </c>
      <c r="C729" s="3" t="s">
        <v>3</v>
      </c>
    </row>
    <row r="730">
      <c r="A730" s="4" t="s">
        <v>1051</v>
      </c>
      <c r="B730" s="3">
        <v>1410.0</v>
      </c>
      <c r="C730" s="4"/>
    </row>
    <row r="731">
      <c r="A731" s="4" t="s">
        <v>1053</v>
      </c>
      <c r="B731" s="3">
        <v>1000.0</v>
      </c>
      <c r="C731" s="3" t="s">
        <v>32</v>
      </c>
    </row>
    <row r="732">
      <c r="A732" s="4" t="s">
        <v>1054</v>
      </c>
      <c r="B732" s="3">
        <v>0.0</v>
      </c>
      <c r="C732" s="3" t="s">
        <v>3</v>
      </c>
    </row>
    <row r="733">
      <c r="A733" s="4" t="s">
        <v>1055</v>
      </c>
      <c r="B733" s="3">
        <v>31000.0</v>
      </c>
      <c r="C733" s="4"/>
    </row>
    <row r="734">
      <c r="A734" s="4" t="s">
        <v>1057</v>
      </c>
      <c r="B734" s="3">
        <v>0.0</v>
      </c>
      <c r="C734" s="3" t="s">
        <v>32</v>
      </c>
    </row>
    <row r="735">
      <c r="A735" s="4" t="s">
        <v>1058</v>
      </c>
      <c r="B735" s="3">
        <v>1000.0</v>
      </c>
      <c r="C735" s="4"/>
    </row>
    <row r="736">
      <c r="A736" s="4" t="s">
        <v>1059</v>
      </c>
      <c r="B736" s="3">
        <v>0.0</v>
      </c>
      <c r="C736" s="3" t="s">
        <v>3</v>
      </c>
    </row>
    <row r="737">
      <c r="A737" s="4" t="s">
        <v>1060</v>
      </c>
      <c r="B737" s="3">
        <v>3000.0</v>
      </c>
      <c r="C737" s="4"/>
    </row>
    <row r="738">
      <c r="A738" s="4" t="s">
        <v>2240</v>
      </c>
      <c r="B738" s="3">
        <v>2000.0</v>
      </c>
      <c r="C738" s="3" t="s">
        <v>3</v>
      </c>
    </row>
    <row r="739">
      <c r="A739" s="4" t="s">
        <v>1063</v>
      </c>
      <c r="B739" s="3">
        <v>14800.0</v>
      </c>
      <c r="C739" s="4"/>
    </row>
    <row r="740">
      <c r="A740" s="4" t="s">
        <v>1064</v>
      </c>
      <c r="B740" s="3">
        <v>0.0</v>
      </c>
      <c r="C740" s="3" t="s">
        <v>3</v>
      </c>
    </row>
    <row r="741">
      <c r="A741" s="4" t="s">
        <v>2241</v>
      </c>
      <c r="B741" s="3">
        <v>15000.0</v>
      </c>
      <c r="C741" s="3" t="s">
        <v>3</v>
      </c>
    </row>
    <row r="742">
      <c r="A742" s="4" t="s">
        <v>2242</v>
      </c>
      <c r="B742" s="3">
        <v>13050.0</v>
      </c>
      <c r="C742" s="3" t="s">
        <v>37</v>
      </c>
    </row>
    <row r="743">
      <c r="A743" s="4" t="s">
        <v>1069</v>
      </c>
      <c r="B743" s="3">
        <v>4000.0</v>
      </c>
      <c r="C743" s="4"/>
    </row>
    <row r="744">
      <c r="A744" s="4" t="s">
        <v>1070</v>
      </c>
      <c r="B744" s="3">
        <v>185000.0</v>
      </c>
      <c r="C744" s="3" t="s">
        <v>280</v>
      </c>
    </row>
    <row r="745">
      <c r="A745" s="4" t="s">
        <v>1072</v>
      </c>
      <c r="B745" s="3">
        <v>0.0</v>
      </c>
      <c r="C745" s="3" t="s">
        <v>3</v>
      </c>
    </row>
    <row r="746">
      <c r="A746" s="4" t="s">
        <v>2243</v>
      </c>
      <c r="B746" s="3">
        <v>0.0</v>
      </c>
      <c r="C746" s="3" t="s">
        <v>484</v>
      </c>
    </row>
    <row r="747">
      <c r="A747" s="4" t="s">
        <v>1075</v>
      </c>
      <c r="B747" s="3">
        <v>0.0</v>
      </c>
      <c r="C747" s="3" t="s">
        <v>3</v>
      </c>
    </row>
    <row r="748">
      <c r="A748" s="4" t="s">
        <v>1076</v>
      </c>
      <c r="B748" s="3">
        <v>0.0</v>
      </c>
      <c r="C748" s="3" t="s">
        <v>3</v>
      </c>
    </row>
    <row r="749">
      <c r="A749" s="4" t="s">
        <v>2244</v>
      </c>
      <c r="B749" s="3">
        <v>0.0</v>
      </c>
      <c r="C749" s="3" t="s">
        <v>3</v>
      </c>
    </row>
    <row r="750">
      <c r="A750" s="4" t="s">
        <v>1079</v>
      </c>
      <c r="B750" s="3">
        <v>0.0</v>
      </c>
      <c r="C750" s="3" t="s">
        <v>3</v>
      </c>
    </row>
    <row r="751">
      <c r="A751" s="4" t="s">
        <v>1080</v>
      </c>
      <c r="B751" s="3">
        <v>3500.0</v>
      </c>
      <c r="C751" s="3" t="s">
        <v>32</v>
      </c>
    </row>
    <row r="752">
      <c r="A752" s="4" t="s">
        <v>1081</v>
      </c>
      <c r="B752" s="3">
        <v>0.0</v>
      </c>
      <c r="C752" s="3" t="s">
        <v>6</v>
      </c>
    </row>
    <row r="753">
      <c r="A753" s="4" t="s">
        <v>1082</v>
      </c>
      <c r="B753" s="3">
        <v>0.0</v>
      </c>
      <c r="C753" s="3" t="s">
        <v>3</v>
      </c>
    </row>
    <row r="754">
      <c r="A754" s="4" t="s">
        <v>1083</v>
      </c>
      <c r="B754" s="3">
        <v>500.0</v>
      </c>
      <c r="C754" s="3" t="s">
        <v>32</v>
      </c>
    </row>
    <row r="755">
      <c r="A755" s="4" t="s">
        <v>1084</v>
      </c>
      <c r="B755" s="3">
        <v>0.0</v>
      </c>
      <c r="C755" s="3" t="s">
        <v>3</v>
      </c>
    </row>
    <row r="756">
      <c r="A756" s="4" t="s">
        <v>1085</v>
      </c>
      <c r="B756" s="3">
        <v>700.0</v>
      </c>
      <c r="C756" s="4"/>
    </row>
    <row r="757">
      <c r="A757" s="4" t="s">
        <v>2245</v>
      </c>
      <c r="B757" s="3">
        <v>0.0</v>
      </c>
      <c r="C757" s="3" t="s">
        <v>3</v>
      </c>
    </row>
    <row r="758">
      <c r="A758" s="4" t="s">
        <v>1088</v>
      </c>
      <c r="B758" s="3">
        <v>3000.0</v>
      </c>
      <c r="C758" s="3" t="s">
        <v>3</v>
      </c>
    </row>
    <row r="759">
      <c r="A759" s="4" t="s">
        <v>1089</v>
      </c>
      <c r="B759" s="3">
        <v>210000.0</v>
      </c>
      <c r="C759" s="4"/>
    </row>
    <row r="760">
      <c r="A760" s="4" t="s">
        <v>1091</v>
      </c>
      <c r="B760" s="3">
        <v>0.0</v>
      </c>
      <c r="C760" s="3" t="s">
        <v>3</v>
      </c>
    </row>
    <row r="761">
      <c r="A761" s="4" t="s">
        <v>1092</v>
      </c>
      <c r="B761" s="3">
        <v>2200.0</v>
      </c>
      <c r="C761" s="4"/>
    </row>
    <row r="762">
      <c r="A762" s="4" t="s">
        <v>1094</v>
      </c>
      <c r="B762" s="3">
        <v>0.0</v>
      </c>
      <c r="C762" s="3" t="s">
        <v>3</v>
      </c>
    </row>
    <row r="763">
      <c r="A763" s="4" t="s">
        <v>1095</v>
      </c>
      <c r="B763" s="3">
        <v>0.0</v>
      </c>
      <c r="C763" s="3" t="s">
        <v>6</v>
      </c>
    </row>
    <row r="764">
      <c r="A764" s="4" t="s">
        <v>1096</v>
      </c>
      <c r="B764" s="3">
        <v>15500.0</v>
      </c>
      <c r="C764" s="3" t="s">
        <v>3</v>
      </c>
    </row>
    <row r="765">
      <c r="A765" s="4" t="s">
        <v>1097</v>
      </c>
      <c r="B765" s="3">
        <v>0.0</v>
      </c>
      <c r="C765" s="3" t="s">
        <v>29</v>
      </c>
    </row>
    <row r="766">
      <c r="A766" s="4" t="s">
        <v>1098</v>
      </c>
      <c r="B766" s="3">
        <v>500.0</v>
      </c>
      <c r="C766" s="4"/>
    </row>
    <row r="767">
      <c r="A767" s="4" t="s">
        <v>1099</v>
      </c>
      <c r="B767" s="3">
        <v>0.0</v>
      </c>
      <c r="C767" s="3" t="s">
        <v>3</v>
      </c>
    </row>
    <row r="768">
      <c r="A768" s="4" t="s">
        <v>1100</v>
      </c>
      <c r="B768" s="3">
        <v>0.0</v>
      </c>
      <c r="C768" s="3" t="s">
        <v>3</v>
      </c>
    </row>
    <row r="769">
      <c r="A769" s="4" t="s">
        <v>2246</v>
      </c>
      <c r="B769" s="3">
        <v>0.0</v>
      </c>
      <c r="C769" s="3" t="s">
        <v>3</v>
      </c>
    </row>
    <row r="770">
      <c r="A770" s="4" t="s">
        <v>1103</v>
      </c>
      <c r="B770" s="3">
        <v>0.0</v>
      </c>
      <c r="C770" s="3" t="s">
        <v>3</v>
      </c>
    </row>
    <row r="771">
      <c r="A771" s="4" t="s">
        <v>2247</v>
      </c>
      <c r="B771" s="3">
        <v>0.0</v>
      </c>
      <c r="C771" s="3" t="s">
        <v>32</v>
      </c>
    </row>
    <row r="772">
      <c r="A772" s="4" t="s">
        <v>1106</v>
      </c>
      <c r="B772" s="3">
        <v>750.0</v>
      </c>
      <c r="C772" s="3" t="s">
        <v>3</v>
      </c>
    </row>
    <row r="773">
      <c r="A773" s="4" t="s">
        <v>1107</v>
      </c>
      <c r="B773" s="3">
        <v>0.0</v>
      </c>
      <c r="C773" s="3" t="s">
        <v>3</v>
      </c>
    </row>
    <row r="774">
      <c r="A774" s="4" t="s">
        <v>2248</v>
      </c>
      <c r="B774" s="3">
        <v>0.0</v>
      </c>
      <c r="C774" s="3" t="s">
        <v>3</v>
      </c>
    </row>
    <row r="775">
      <c r="A775" s="4" t="s">
        <v>2249</v>
      </c>
      <c r="B775" s="3">
        <v>1000.0</v>
      </c>
      <c r="C775" s="3" t="s">
        <v>32</v>
      </c>
    </row>
    <row r="776">
      <c r="A776" s="4" t="s">
        <v>2250</v>
      </c>
      <c r="B776" s="3">
        <v>16000.0</v>
      </c>
      <c r="C776" s="3" t="s">
        <v>6</v>
      </c>
    </row>
    <row r="777">
      <c r="A777" s="4" t="s">
        <v>1113</v>
      </c>
      <c r="B777" s="3">
        <v>5000.0</v>
      </c>
      <c r="C777" s="4"/>
    </row>
    <row r="778">
      <c r="A778" s="4" t="s">
        <v>1114</v>
      </c>
      <c r="B778" s="3">
        <v>0.0</v>
      </c>
      <c r="C778" s="3" t="s">
        <v>6</v>
      </c>
    </row>
    <row r="779">
      <c r="A779" s="4" t="s">
        <v>2251</v>
      </c>
      <c r="B779" s="3">
        <v>0.0</v>
      </c>
      <c r="C779" s="3" t="s">
        <v>3</v>
      </c>
    </row>
    <row r="780">
      <c r="A780" s="4" t="s">
        <v>1117</v>
      </c>
      <c r="B780" s="3">
        <v>0.0</v>
      </c>
      <c r="C780" s="3" t="s">
        <v>3</v>
      </c>
    </row>
    <row r="781">
      <c r="A781" s="4" t="s">
        <v>1118</v>
      </c>
      <c r="B781" s="3">
        <v>0.0</v>
      </c>
      <c r="C781" s="3" t="s">
        <v>6</v>
      </c>
    </row>
    <row r="782">
      <c r="A782" s="4" t="s">
        <v>2252</v>
      </c>
      <c r="B782" s="3">
        <v>0.0</v>
      </c>
      <c r="C782" s="3" t="s">
        <v>3</v>
      </c>
    </row>
    <row r="783">
      <c r="A783" s="4" t="s">
        <v>2253</v>
      </c>
      <c r="B783" s="3">
        <v>2000.0</v>
      </c>
      <c r="C783" s="4"/>
    </row>
    <row r="784">
      <c r="A784" s="4" t="s">
        <v>2254</v>
      </c>
      <c r="B784" s="3">
        <v>0.0</v>
      </c>
      <c r="C784" s="3" t="s">
        <v>3</v>
      </c>
    </row>
    <row r="785">
      <c r="A785" s="4" t="s">
        <v>2255</v>
      </c>
      <c r="B785" s="3">
        <v>0.0</v>
      </c>
      <c r="C785" s="3" t="s">
        <v>3</v>
      </c>
    </row>
    <row r="786">
      <c r="A786" s="4" t="s">
        <v>2256</v>
      </c>
      <c r="B786" s="3">
        <v>0.0</v>
      </c>
      <c r="C786" s="3" t="s">
        <v>32</v>
      </c>
    </row>
    <row r="787">
      <c r="A787" s="4" t="s">
        <v>2257</v>
      </c>
      <c r="B787" s="3">
        <v>800.0</v>
      </c>
      <c r="C787" s="4"/>
    </row>
    <row r="788">
      <c r="A788" s="4" t="s">
        <v>1131</v>
      </c>
      <c r="B788" s="3">
        <v>2000.0</v>
      </c>
      <c r="C788" s="3" t="s">
        <v>6</v>
      </c>
    </row>
    <row r="789">
      <c r="A789" s="4" t="s">
        <v>1132</v>
      </c>
      <c r="B789" s="3">
        <v>0.0</v>
      </c>
      <c r="C789" s="3" t="s">
        <v>6</v>
      </c>
    </row>
    <row r="790">
      <c r="A790" s="4" t="s">
        <v>1133</v>
      </c>
      <c r="B790" s="3">
        <v>0.0</v>
      </c>
      <c r="C790" s="3" t="s">
        <v>32</v>
      </c>
    </row>
    <row r="791">
      <c r="A791" s="4" t="s">
        <v>1134</v>
      </c>
      <c r="B791" s="3">
        <v>500.0</v>
      </c>
      <c r="C791" s="4"/>
    </row>
    <row r="792">
      <c r="A792" s="4" t="s">
        <v>1135</v>
      </c>
      <c r="B792" s="3">
        <v>3000.0</v>
      </c>
      <c r="C792" s="3" t="s">
        <v>6</v>
      </c>
    </row>
    <row r="793">
      <c r="A793" s="4" t="s">
        <v>1136</v>
      </c>
      <c r="B793" s="3">
        <v>402000.0</v>
      </c>
      <c r="C793" s="3" t="s">
        <v>16</v>
      </c>
    </row>
    <row r="794">
      <c r="A794" s="4" t="s">
        <v>1138</v>
      </c>
      <c r="B794" s="3">
        <v>0.0</v>
      </c>
      <c r="C794" s="3" t="s">
        <v>3</v>
      </c>
    </row>
    <row r="795">
      <c r="A795" s="4" t="s">
        <v>1139</v>
      </c>
      <c r="B795" s="3">
        <v>0.0</v>
      </c>
      <c r="C795" s="3" t="s">
        <v>3</v>
      </c>
    </row>
    <row r="796">
      <c r="A796" s="4" t="s">
        <v>1140</v>
      </c>
      <c r="B796" s="3">
        <v>0.0</v>
      </c>
      <c r="C796" s="3" t="s">
        <v>6</v>
      </c>
    </row>
    <row r="797">
      <c r="A797" s="4" t="s">
        <v>1141</v>
      </c>
      <c r="B797" s="3">
        <v>0.0</v>
      </c>
      <c r="C797" s="3" t="s">
        <v>3</v>
      </c>
    </row>
    <row r="798">
      <c r="A798" s="4" t="s">
        <v>1142</v>
      </c>
      <c r="B798" s="3">
        <v>0.0</v>
      </c>
      <c r="C798" s="3" t="s">
        <v>6</v>
      </c>
    </row>
    <row r="799">
      <c r="A799" s="4" t="s">
        <v>1143</v>
      </c>
      <c r="B799" s="3">
        <v>0.0</v>
      </c>
      <c r="C799" s="3" t="s">
        <v>3</v>
      </c>
    </row>
    <row r="800">
      <c r="A800" s="4" t="s">
        <v>1144</v>
      </c>
      <c r="B800" s="3">
        <v>2000.0</v>
      </c>
      <c r="C800" s="4"/>
    </row>
    <row r="801">
      <c r="A801" s="4" t="s">
        <v>1145</v>
      </c>
      <c r="B801" s="3">
        <v>15000.0</v>
      </c>
      <c r="C801" s="3" t="s">
        <v>668</v>
      </c>
    </row>
    <row r="802">
      <c r="A802" s="4" t="s">
        <v>1146</v>
      </c>
      <c r="B802" s="3">
        <v>4250.0</v>
      </c>
      <c r="C802" s="3" t="s">
        <v>29</v>
      </c>
    </row>
    <row r="803">
      <c r="A803" s="4" t="s">
        <v>1148</v>
      </c>
      <c r="B803" s="3">
        <v>0.0</v>
      </c>
      <c r="C803" s="3" t="s">
        <v>26</v>
      </c>
    </row>
    <row r="804">
      <c r="A804" s="4" t="s">
        <v>1149</v>
      </c>
      <c r="B804" s="3">
        <v>0.0</v>
      </c>
      <c r="C804" s="3" t="s">
        <v>29</v>
      </c>
    </row>
    <row r="805">
      <c r="A805" s="4" t="s">
        <v>1150</v>
      </c>
      <c r="B805" s="3">
        <v>100000.0</v>
      </c>
      <c r="C805" s="3" t="s">
        <v>29</v>
      </c>
    </row>
    <row r="806">
      <c r="A806" s="4" t="s">
        <v>1152</v>
      </c>
      <c r="B806" s="3">
        <v>0.0</v>
      </c>
      <c r="C806" s="3" t="s">
        <v>29</v>
      </c>
    </row>
    <row r="807">
      <c r="A807" s="4" t="s">
        <v>1153</v>
      </c>
      <c r="B807" s="3">
        <v>0.0</v>
      </c>
      <c r="C807" s="3" t="s">
        <v>29</v>
      </c>
    </row>
    <row r="808">
      <c r="A808" s="4" t="s">
        <v>1154</v>
      </c>
      <c r="B808" s="3">
        <v>0.0</v>
      </c>
      <c r="C808" s="3" t="s">
        <v>3</v>
      </c>
    </row>
    <row r="809">
      <c r="A809" s="4" t="s">
        <v>1155</v>
      </c>
      <c r="B809" s="3">
        <v>0.0</v>
      </c>
      <c r="C809" s="3" t="s">
        <v>3</v>
      </c>
    </row>
    <row r="810">
      <c r="A810" s="4" t="s">
        <v>1156</v>
      </c>
      <c r="B810" s="3">
        <v>33251.0</v>
      </c>
      <c r="C810" s="4"/>
    </row>
    <row r="811">
      <c r="A811" s="4" t="s">
        <v>1158</v>
      </c>
      <c r="B811" s="3">
        <v>0.0</v>
      </c>
      <c r="C811" s="3" t="s">
        <v>3</v>
      </c>
    </row>
    <row r="812">
      <c r="A812" s="4" t="s">
        <v>1159</v>
      </c>
      <c r="B812" s="3">
        <v>426565.0</v>
      </c>
      <c r="C812" s="3" t="s">
        <v>32</v>
      </c>
    </row>
    <row r="813">
      <c r="A813" s="4" t="s">
        <v>1161</v>
      </c>
      <c r="B813" s="3">
        <v>500.0</v>
      </c>
      <c r="C813" s="4"/>
    </row>
    <row r="814">
      <c r="A814" s="4" t="s">
        <v>1162</v>
      </c>
      <c r="B814" s="3">
        <v>0.0</v>
      </c>
      <c r="C814" s="3" t="s">
        <v>3</v>
      </c>
    </row>
    <row r="815">
      <c r="A815" s="4" t="s">
        <v>1163</v>
      </c>
      <c r="B815" s="3">
        <v>0.0</v>
      </c>
      <c r="C815" s="3" t="s">
        <v>3</v>
      </c>
    </row>
    <row r="816">
      <c r="A816" s="4" t="s">
        <v>1164</v>
      </c>
      <c r="B816" s="3">
        <v>0.0</v>
      </c>
      <c r="C816" s="3" t="s">
        <v>3</v>
      </c>
    </row>
    <row r="817">
      <c r="A817" s="4" t="s">
        <v>1165</v>
      </c>
      <c r="B817" s="3">
        <v>3000.0</v>
      </c>
      <c r="C817" s="3" t="s">
        <v>3</v>
      </c>
    </row>
    <row r="818">
      <c r="A818" s="4" t="s">
        <v>1166</v>
      </c>
      <c r="B818" s="3">
        <v>0.0</v>
      </c>
      <c r="C818" s="3" t="s">
        <v>3</v>
      </c>
    </row>
    <row r="819">
      <c r="A819" s="4" t="s">
        <v>1167</v>
      </c>
      <c r="B819" s="3">
        <v>0.0</v>
      </c>
      <c r="C819" s="3" t="s">
        <v>3</v>
      </c>
    </row>
    <row r="820">
      <c r="A820" s="4" t="s">
        <v>1168</v>
      </c>
      <c r="B820" s="3">
        <v>0.0</v>
      </c>
      <c r="C820" s="3" t="s">
        <v>3</v>
      </c>
    </row>
    <row r="821">
      <c r="A821" s="4" t="s">
        <v>1169</v>
      </c>
      <c r="B821" s="3">
        <v>0.0</v>
      </c>
      <c r="C821" s="3" t="s">
        <v>3</v>
      </c>
    </row>
    <row r="822">
      <c r="A822" s="4" t="s">
        <v>1170</v>
      </c>
      <c r="B822" s="3">
        <v>0.0</v>
      </c>
      <c r="C822" s="3" t="s">
        <v>3</v>
      </c>
    </row>
    <row r="823">
      <c r="A823" s="4" t="s">
        <v>1171</v>
      </c>
      <c r="B823" s="3">
        <v>0.0</v>
      </c>
      <c r="C823" s="3" t="s">
        <v>3</v>
      </c>
    </row>
    <row r="824">
      <c r="A824" s="4" t="s">
        <v>1172</v>
      </c>
      <c r="B824" s="3">
        <v>0.0</v>
      </c>
      <c r="C824" s="3" t="s">
        <v>6</v>
      </c>
    </row>
    <row r="825">
      <c r="A825" s="4" t="s">
        <v>1173</v>
      </c>
      <c r="B825" s="3">
        <v>0.0</v>
      </c>
      <c r="C825" s="3" t="s">
        <v>3</v>
      </c>
    </row>
    <row r="826">
      <c r="A826" s="4" t="s">
        <v>1174</v>
      </c>
      <c r="B826" s="3">
        <v>0.0</v>
      </c>
      <c r="C826" s="3" t="s">
        <v>3</v>
      </c>
    </row>
    <row r="827">
      <c r="A827" s="4" t="s">
        <v>2258</v>
      </c>
      <c r="B827" s="3">
        <v>500.0</v>
      </c>
      <c r="C827" s="4"/>
    </row>
    <row r="828">
      <c r="A828" s="4" t="s">
        <v>1177</v>
      </c>
      <c r="B828" s="3">
        <v>2800.0</v>
      </c>
      <c r="C828" s="3" t="s">
        <v>3</v>
      </c>
    </row>
    <row r="829">
      <c r="A829" s="4" t="s">
        <v>1178</v>
      </c>
      <c r="B829" s="3">
        <v>1800.0</v>
      </c>
      <c r="C829" s="4"/>
    </row>
    <row r="830">
      <c r="A830" s="4" t="s">
        <v>1179</v>
      </c>
      <c r="B830" s="3">
        <v>334000.0</v>
      </c>
      <c r="C830" s="4"/>
    </row>
    <row r="831">
      <c r="A831" s="4" t="s">
        <v>1181</v>
      </c>
      <c r="B831" s="3">
        <v>1000.0</v>
      </c>
      <c r="C831" s="4"/>
    </row>
    <row r="832">
      <c r="A832" s="4" t="s">
        <v>1182</v>
      </c>
      <c r="B832" s="3">
        <v>500.0</v>
      </c>
      <c r="C832" s="4"/>
    </row>
    <row r="833">
      <c r="A833" s="4" t="s">
        <v>1183</v>
      </c>
      <c r="B833" s="3">
        <v>0.0</v>
      </c>
      <c r="C833" s="3" t="s">
        <v>3</v>
      </c>
    </row>
    <row r="834">
      <c r="A834" s="4" t="s">
        <v>2259</v>
      </c>
      <c r="B834" s="3">
        <v>141174.0</v>
      </c>
      <c r="C834" s="3" t="s">
        <v>37</v>
      </c>
    </row>
    <row r="835">
      <c r="A835" s="4" t="s">
        <v>1186</v>
      </c>
      <c r="B835" s="3">
        <v>0.0</v>
      </c>
      <c r="C835" s="3" t="s">
        <v>6</v>
      </c>
    </row>
    <row r="836">
      <c r="A836" s="4" t="s">
        <v>1187</v>
      </c>
      <c r="B836" s="3">
        <v>115000.0</v>
      </c>
      <c r="C836" s="3" t="s">
        <v>32</v>
      </c>
    </row>
    <row r="837">
      <c r="A837" s="4" t="s">
        <v>1188</v>
      </c>
      <c r="B837" s="3">
        <v>492222.0</v>
      </c>
      <c r="C837" s="3" t="s">
        <v>32</v>
      </c>
    </row>
    <row r="838">
      <c r="A838" s="4" t="s">
        <v>1190</v>
      </c>
      <c r="B838" s="3">
        <v>0.0</v>
      </c>
      <c r="C838" s="3" t="s">
        <v>3</v>
      </c>
    </row>
    <row r="839">
      <c r="A839" s="4" t="s">
        <v>1191</v>
      </c>
      <c r="B839" s="3">
        <v>0.0</v>
      </c>
      <c r="C839" s="3" t="s">
        <v>6</v>
      </c>
    </row>
    <row r="840">
      <c r="A840" s="4" t="s">
        <v>1192</v>
      </c>
      <c r="B840" s="3">
        <v>5500.0</v>
      </c>
      <c r="C840" s="3" t="s">
        <v>29</v>
      </c>
    </row>
    <row r="841">
      <c r="A841" s="4" t="s">
        <v>1193</v>
      </c>
      <c r="B841" s="3">
        <v>4000.0</v>
      </c>
      <c r="C841" s="4"/>
    </row>
    <row r="842">
      <c r="A842" s="4" t="s">
        <v>1194</v>
      </c>
      <c r="B842" s="3">
        <v>16000.0</v>
      </c>
      <c r="C842" s="4"/>
    </row>
    <row r="843">
      <c r="A843" s="4" t="s">
        <v>1195</v>
      </c>
      <c r="B843" s="3">
        <v>0.0</v>
      </c>
      <c r="C843" s="3" t="s">
        <v>3</v>
      </c>
    </row>
    <row r="844">
      <c r="A844" s="4" t="s">
        <v>1196</v>
      </c>
      <c r="B844" s="3">
        <v>500.0</v>
      </c>
      <c r="C844" s="4"/>
    </row>
    <row r="845">
      <c r="A845" s="4" t="s">
        <v>2260</v>
      </c>
      <c r="B845" s="3">
        <v>0.0</v>
      </c>
      <c r="C845" s="3" t="s">
        <v>3</v>
      </c>
    </row>
    <row r="846">
      <c r="A846" s="4" t="s">
        <v>2261</v>
      </c>
      <c r="B846" s="3">
        <v>0.0</v>
      </c>
      <c r="C846" s="3" t="s">
        <v>3</v>
      </c>
    </row>
    <row r="847">
      <c r="A847" s="4" t="s">
        <v>1201</v>
      </c>
      <c r="B847" s="3">
        <v>0.0</v>
      </c>
      <c r="C847" s="3" t="s">
        <v>16</v>
      </c>
    </row>
    <row r="848">
      <c r="A848" s="4" t="s">
        <v>1202</v>
      </c>
      <c r="B848" s="3">
        <v>0.0</v>
      </c>
      <c r="C848" s="3" t="s">
        <v>32</v>
      </c>
    </row>
    <row r="849">
      <c r="A849" s="4" t="s">
        <v>1203</v>
      </c>
      <c r="B849" s="3">
        <v>190000.0</v>
      </c>
      <c r="C849" s="4"/>
    </row>
    <row r="850">
      <c r="A850" s="4" t="s">
        <v>2262</v>
      </c>
      <c r="B850" s="3">
        <v>35000.0</v>
      </c>
      <c r="C850" s="4"/>
    </row>
    <row r="851">
      <c r="A851" s="4" t="s">
        <v>2263</v>
      </c>
      <c r="B851" s="3">
        <v>1000.0</v>
      </c>
      <c r="C851" s="4"/>
    </row>
    <row r="852">
      <c r="A852" s="4" t="s">
        <v>1209</v>
      </c>
      <c r="B852" s="3">
        <v>1500.0</v>
      </c>
      <c r="C852" s="4"/>
    </row>
    <row r="853">
      <c r="A853" s="4" t="s">
        <v>2264</v>
      </c>
      <c r="B853" s="3">
        <v>0.0</v>
      </c>
      <c r="C853" s="3" t="s">
        <v>3</v>
      </c>
    </row>
    <row r="854">
      <c r="A854" s="4" t="s">
        <v>2265</v>
      </c>
      <c r="B854" s="3">
        <v>2500.0</v>
      </c>
      <c r="C854" s="3" t="s">
        <v>3</v>
      </c>
    </row>
    <row r="855">
      <c r="A855" s="4" t="s">
        <v>1214</v>
      </c>
      <c r="B855" s="3">
        <v>5000.0</v>
      </c>
      <c r="C855" s="3" t="s">
        <v>29</v>
      </c>
    </row>
    <row r="856">
      <c r="A856" s="4" t="s">
        <v>1215</v>
      </c>
      <c r="B856" s="3">
        <v>0.0</v>
      </c>
      <c r="C856" s="3" t="s">
        <v>29</v>
      </c>
    </row>
    <row r="857">
      <c r="A857" s="4" t="s">
        <v>1216</v>
      </c>
      <c r="B857" s="3">
        <v>0.0</v>
      </c>
      <c r="C857" s="3" t="s">
        <v>3</v>
      </c>
    </row>
    <row r="858">
      <c r="A858" s="4" t="s">
        <v>1217</v>
      </c>
      <c r="B858" s="3">
        <v>0.0</v>
      </c>
      <c r="C858" s="3" t="s">
        <v>29</v>
      </c>
    </row>
    <row r="859">
      <c r="A859" s="4" t="s">
        <v>1218</v>
      </c>
      <c r="B859" s="3">
        <v>0.0</v>
      </c>
      <c r="C859" s="3" t="s">
        <v>29</v>
      </c>
    </row>
    <row r="860">
      <c r="A860" s="4" t="s">
        <v>1219</v>
      </c>
      <c r="B860" s="3">
        <v>0.0</v>
      </c>
      <c r="C860" s="3" t="s">
        <v>26</v>
      </c>
    </row>
    <row r="861">
      <c r="A861" s="4" t="s">
        <v>1220</v>
      </c>
      <c r="B861" s="3">
        <v>0.0</v>
      </c>
      <c r="C861" s="3" t="s">
        <v>3</v>
      </c>
    </row>
    <row r="862">
      <c r="A862" s="4" t="s">
        <v>1221</v>
      </c>
      <c r="B862" s="3">
        <v>0.0</v>
      </c>
      <c r="C862" s="3" t="s">
        <v>3</v>
      </c>
    </row>
    <row r="863">
      <c r="A863" s="4" t="s">
        <v>1222</v>
      </c>
      <c r="B863" s="3">
        <v>0.0</v>
      </c>
      <c r="C863" s="3" t="s">
        <v>6</v>
      </c>
    </row>
    <row r="864">
      <c r="A864" s="4" t="s">
        <v>1223</v>
      </c>
      <c r="B864" s="3">
        <v>3000.0</v>
      </c>
      <c r="C864" s="3" t="s">
        <v>3</v>
      </c>
    </row>
    <row r="865">
      <c r="A865" s="4" t="s">
        <v>1224</v>
      </c>
      <c r="B865" s="3">
        <v>0.0</v>
      </c>
      <c r="C865" s="3" t="s">
        <v>6</v>
      </c>
    </row>
    <row r="866">
      <c r="A866" s="4" t="s">
        <v>1225</v>
      </c>
      <c r="B866" s="3">
        <v>0.0</v>
      </c>
      <c r="C866" s="3" t="s">
        <v>3</v>
      </c>
    </row>
    <row r="867">
      <c r="A867" s="4" t="s">
        <v>1226</v>
      </c>
      <c r="B867" s="3">
        <v>0.0</v>
      </c>
      <c r="C867" s="3" t="s">
        <v>29</v>
      </c>
    </row>
    <row r="868">
      <c r="A868" s="4" t="s">
        <v>1227</v>
      </c>
      <c r="B868" s="3">
        <v>66000.0</v>
      </c>
      <c r="C868" s="4"/>
    </row>
    <row r="869">
      <c r="A869" s="4" t="s">
        <v>1229</v>
      </c>
      <c r="B869" s="3">
        <v>0.0</v>
      </c>
      <c r="C869" s="3" t="s">
        <v>6</v>
      </c>
    </row>
    <row r="870">
      <c r="A870" s="4" t="s">
        <v>2266</v>
      </c>
      <c r="B870" s="3">
        <v>0.0</v>
      </c>
      <c r="C870" s="3" t="s">
        <v>3</v>
      </c>
    </row>
    <row r="871">
      <c r="A871" s="4" t="s">
        <v>1232</v>
      </c>
      <c r="B871" s="3">
        <v>0.0</v>
      </c>
      <c r="C871" s="3" t="s">
        <v>29</v>
      </c>
    </row>
    <row r="872">
      <c r="A872" s="4" t="s">
        <v>1233</v>
      </c>
      <c r="B872" s="3">
        <v>0.0</v>
      </c>
      <c r="C872" s="3" t="s">
        <v>3</v>
      </c>
    </row>
    <row r="873">
      <c r="A873" s="4" t="s">
        <v>1234</v>
      </c>
      <c r="B873" s="3">
        <v>8308.0</v>
      </c>
      <c r="C873" s="3" t="s">
        <v>26</v>
      </c>
    </row>
    <row r="874">
      <c r="A874" s="4" t="s">
        <v>1236</v>
      </c>
      <c r="B874" s="3">
        <v>0.0</v>
      </c>
      <c r="C874" s="3" t="s">
        <v>6</v>
      </c>
    </row>
    <row r="875">
      <c r="A875" s="4" t="s">
        <v>1237</v>
      </c>
      <c r="B875" s="3">
        <v>0.0</v>
      </c>
      <c r="C875" s="3" t="s">
        <v>32</v>
      </c>
    </row>
    <row r="876">
      <c r="A876" s="4" t="s">
        <v>1238</v>
      </c>
      <c r="B876" s="3">
        <v>1500.0</v>
      </c>
      <c r="C876" s="4"/>
    </row>
    <row r="877">
      <c r="A877" s="4" t="s">
        <v>1239</v>
      </c>
      <c r="B877" s="3">
        <v>0.0</v>
      </c>
      <c r="C877" s="3" t="s">
        <v>3</v>
      </c>
    </row>
    <row r="878">
      <c r="A878" s="4" t="s">
        <v>1240</v>
      </c>
      <c r="B878" s="3">
        <v>0.0</v>
      </c>
      <c r="C878" s="3" t="s">
        <v>3</v>
      </c>
    </row>
    <row r="879">
      <c r="A879" s="4" t="s">
        <v>1241</v>
      </c>
      <c r="B879" s="3">
        <v>300.0</v>
      </c>
      <c r="C879" s="4"/>
    </row>
    <row r="880">
      <c r="A880" s="4" t="s">
        <v>1242</v>
      </c>
      <c r="B880" s="3">
        <v>4500.0</v>
      </c>
      <c r="C880" s="3" t="s">
        <v>3</v>
      </c>
    </row>
    <row r="881">
      <c r="A881" s="4" t="s">
        <v>1243</v>
      </c>
      <c r="B881" s="3">
        <v>7000.0</v>
      </c>
      <c r="C881" s="3" t="s">
        <v>26</v>
      </c>
    </row>
    <row r="882">
      <c r="A882" s="4" t="s">
        <v>1244</v>
      </c>
      <c r="B882" s="3">
        <v>3000.0</v>
      </c>
      <c r="C882" s="4"/>
    </row>
    <row r="883">
      <c r="A883" s="4" t="s">
        <v>1245</v>
      </c>
      <c r="B883" s="3">
        <v>500.0</v>
      </c>
      <c r="C883" s="4"/>
    </row>
    <row r="884">
      <c r="A884" s="4" t="s">
        <v>1246</v>
      </c>
      <c r="B884" s="3">
        <v>21000.0</v>
      </c>
      <c r="C884" s="4"/>
    </row>
    <row r="885">
      <c r="A885" s="4" t="s">
        <v>1247</v>
      </c>
      <c r="B885" s="3">
        <v>3000.0</v>
      </c>
      <c r="C885" s="4"/>
    </row>
    <row r="886">
      <c r="A886" s="4" t="s">
        <v>1248</v>
      </c>
      <c r="B886" s="3">
        <v>12000.0</v>
      </c>
      <c r="C886" s="4"/>
    </row>
    <row r="887">
      <c r="A887" s="4" t="s">
        <v>1249</v>
      </c>
      <c r="B887" s="3">
        <v>0.0</v>
      </c>
      <c r="C887" s="3" t="s">
        <v>3</v>
      </c>
    </row>
    <row r="888">
      <c r="A888" s="4" t="s">
        <v>2267</v>
      </c>
      <c r="B888" s="3">
        <v>0.0</v>
      </c>
      <c r="C888" s="3" t="s">
        <v>3</v>
      </c>
    </row>
    <row r="889">
      <c r="A889" s="4" t="s">
        <v>1252</v>
      </c>
      <c r="B889" s="3">
        <v>2500.0</v>
      </c>
      <c r="C889" s="4"/>
    </row>
    <row r="890">
      <c r="A890" s="4" t="s">
        <v>1253</v>
      </c>
      <c r="B890" s="3">
        <v>0.0</v>
      </c>
      <c r="C890" s="3" t="s">
        <v>6</v>
      </c>
    </row>
    <row r="891">
      <c r="A891" s="4" t="s">
        <v>1254</v>
      </c>
      <c r="B891" s="3">
        <v>0.0</v>
      </c>
      <c r="C891" s="3" t="s">
        <v>484</v>
      </c>
    </row>
    <row r="892">
      <c r="A892" s="4" t="s">
        <v>2268</v>
      </c>
      <c r="B892" s="3">
        <v>0.0</v>
      </c>
      <c r="C892" s="3" t="s">
        <v>3</v>
      </c>
    </row>
    <row r="893">
      <c r="A893" s="4" t="s">
        <v>1257</v>
      </c>
      <c r="B893" s="3">
        <v>0.0</v>
      </c>
      <c r="C893" s="3" t="s">
        <v>29</v>
      </c>
    </row>
    <row r="894">
      <c r="A894" s="4" t="s">
        <v>1258</v>
      </c>
      <c r="B894" s="3">
        <v>1500.0</v>
      </c>
      <c r="C894" s="4"/>
    </row>
    <row r="895">
      <c r="A895" s="4" t="s">
        <v>1259</v>
      </c>
      <c r="B895" s="3">
        <v>1000.0</v>
      </c>
      <c r="C895" s="3" t="s">
        <v>6</v>
      </c>
    </row>
    <row r="896">
      <c r="A896" s="4" t="s">
        <v>1260</v>
      </c>
      <c r="B896" s="3">
        <v>1550.0</v>
      </c>
      <c r="C896" s="4"/>
    </row>
    <row r="897">
      <c r="A897" s="4" t="s">
        <v>1262</v>
      </c>
      <c r="B897" s="3">
        <v>25000.0</v>
      </c>
      <c r="C897" s="4"/>
    </row>
    <row r="898">
      <c r="A898" s="4" t="s">
        <v>1264</v>
      </c>
      <c r="B898" s="3">
        <v>9000.0</v>
      </c>
      <c r="C898" s="4"/>
    </row>
    <row r="899">
      <c r="A899" s="4" t="s">
        <v>1266</v>
      </c>
      <c r="B899" s="3">
        <v>0.0</v>
      </c>
      <c r="C899" s="3" t="s">
        <v>3</v>
      </c>
    </row>
    <row r="900">
      <c r="A900" s="4" t="s">
        <v>1267</v>
      </c>
      <c r="B900" s="3">
        <v>0.0</v>
      </c>
      <c r="C900" s="3" t="s">
        <v>29</v>
      </c>
    </row>
    <row r="901">
      <c r="A901" s="4" t="s">
        <v>1268</v>
      </c>
      <c r="B901" s="3">
        <v>0.0</v>
      </c>
      <c r="C901" s="3" t="s">
        <v>6</v>
      </c>
    </row>
    <row r="902">
      <c r="A902" s="4" t="s">
        <v>1269</v>
      </c>
      <c r="B902" s="3">
        <v>800.0</v>
      </c>
      <c r="C902" s="4"/>
    </row>
    <row r="903">
      <c r="A903" s="4" t="s">
        <v>1270</v>
      </c>
      <c r="B903" s="3">
        <v>478850.0</v>
      </c>
      <c r="C903" s="3" t="s">
        <v>32</v>
      </c>
    </row>
    <row r="904">
      <c r="A904" s="4" t="s">
        <v>1272</v>
      </c>
      <c r="B904" s="3">
        <v>700.0</v>
      </c>
      <c r="C904" s="3" t="s">
        <v>3</v>
      </c>
    </row>
    <row r="905">
      <c r="A905" s="4" t="s">
        <v>1273</v>
      </c>
      <c r="B905" s="3">
        <v>24500.0</v>
      </c>
      <c r="C905" s="3" t="s">
        <v>3</v>
      </c>
    </row>
    <row r="906">
      <c r="A906" s="4" t="s">
        <v>1275</v>
      </c>
      <c r="B906" s="3">
        <v>0.0</v>
      </c>
      <c r="C906" s="3" t="s">
        <v>29</v>
      </c>
    </row>
    <row r="907">
      <c r="A907" s="4" t="s">
        <v>1276</v>
      </c>
      <c r="B907" s="3">
        <v>0.0</v>
      </c>
      <c r="C907" s="3" t="s">
        <v>3</v>
      </c>
    </row>
    <row r="908">
      <c r="A908" s="4" t="s">
        <v>1277</v>
      </c>
      <c r="B908" s="3">
        <v>14000.0</v>
      </c>
      <c r="C908" s="3" t="s">
        <v>16</v>
      </c>
    </row>
    <row r="909">
      <c r="A909" s="4" t="s">
        <v>1278</v>
      </c>
      <c r="B909" s="3">
        <v>10000.0</v>
      </c>
      <c r="C909" s="4"/>
    </row>
    <row r="910">
      <c r="A910" s="4" t="s">
        <v>1279</v>
      </c>
      <c r="B910" s="3">
        <v>6000.0</v>
      </c>
      <c r="C910" s="4"/>
    </row>
    <row r="911">
      <c r="A911" s="4" t="s">
        <v>1280</v>
      </c>
      <c r="B911" s="3">
        <v>0.0</v>
      </c>
      <c r="C911" s="3" t="s">
        <v>3</v>
      </c>
    </row>
    <row r="912">
      <c r="A912" s="4" t="s">
        <v>1281</v>
      </c>
      <c r="B912" s="3">
        <v>3000.0</v>
      </c>
      <c r="C912" s="3" t="s">
        <v>3</v>
      </c>
    </row>
    <row r="913">
      <c r="A913" s="4" t="s">
        <v>1282</v>
      </c>
      <c r="B913" s="3">
        <v>0.0</v>
      </c>
      <c r="C913" s="3" t="s">
        <v>3</v>
      </c>
    </row>
    <row r="914">
      <c r="A914" s="4" t="s">
        <v>1283</v>
      </c>
      <c r="B914" s="3">
        <v>0.0</v>
      </c>
      <c r="C914" s="3" t="s">
        <v>3</v>
      </c>
    </row>
    <row r="915">
      <c r="A915" s="4" t="s">
        <v>1284</v>
      </c>
      <c r="B915" s="3">
        <v>0.0</v>
      </c>
      <c r="C915" s="3" t="s">
        <v>32</v>
      </c>
    </row>
    <row r="916">
      <c r="A916" s="4" t="s">
        <v>1285</v>
      </c>
      <c r="B916" s="3">
        <v>3300.0</v>
      </c>
      <c r="C916" s="4"/>
    </row>
    <row r="917">
      <c r="A917" s="4" t="s">
        <v>1287</v>
      </c>
      <c r="B917" s="3">
        <v>4000.0</v>
      </c>
      <c r="C917" s="3" t="s">
        <v>3</v>
      </c>
    </row>
    <row r="918">
      <c r="A918" s="4" t="s">
        <v>1288</v>
      </c>
      <c r="B918" s="3">
        <v>10083.0</v>
      </c>
      <c r="C918" s="3" t="s">
        <v>32</v>
      </c>
    </row>
    <row r="919">
      <c r="A919" s="4" t="s">
        <v>1290</v>
      </c>
      <c r="B919" s="3">
        <v>3000.0</v>
      </c>
      <c r="C919" s="3" t="s">
        <v>3</v>
      </c>
    </row>
    <row r="920">
      <c r="A920" s="4" t="s">
        <v>1291</v>
      </c>
      <c r="B920" s="3">
        <v>0.0</v>
      </c>
      <c r="C920" s="3" t="s">
        <v>29</v>
      </c>
    </row>
    <row r="921">
      <c r="A921" s="4" t="s">
        <v>1292</v>
      </c>
      <c r="B921" s="3">
        <v>0.0</v>
      </c>
      <c r="C921" s="3" t="s">
        <v>3</v>
      </c>
    </row>
    <row r="922">
      <c r="A922" s="4" t="s">
        <v>1293</v>
      </c>
      <c r="B922" s="3">
        <v>7370.0</v>
      </c>
      <c r="C922" s="3" t="s">
        <v>29</v>
      </c>
    </row>
    <row r="923">
      <c r="A923" s="4" t="s">
        <v>1295</v>
      </c>
      <c r="B923" s="3">
        <v>0.0</v>
      </c>
      <c r="C923" s="3" t="s">
        <v>3</v>
      </c>
    </row>
    <row r="924">
      <c r="A924" s="4" t="s">
        <v>1296</v>
      </c>
      <c r="B924" s="3">
        <v>0.0</v>
      </c>
      <c r="C924" s="3" t="s">
        <v>3</v>
      </c>
    </row>
    <row r="925">
      <c r="A925" s="4" t="s">
        <v>1297</v>
      </c>
      <c r="B925" s="3">
        <v>0.0</v>
      </c>
      <c r="C925" s="3" t="s">
        <v>3</v>
      </c>
    </row>
    <row r="926">
      <c r="A926" s="4" t="s">
        <v>1298</v>
      </c>
      <c r="B926" s="3">
        <v>0.0</v>
      </c>
      <c r="C926" s="3" t="s">
        <v>3</v>
      </c>
    </row>
    <row r="927">
      <c r="A927" s="4" t="s">
        <v>1299</v>
      </c>
      <c r="B927" s="3">
        <v>0.0</v>
      </c>
      <c r="C927" s="3" t="s">
        <v>3</v>
      </c>
    </row>
    <row r="928">
      <c r="A928" s="4" t="s">
        <v>1300</v>
      </c>
      <c r="B928" s="3">
        <v>2000.0</v>
      </c>
      <c r="C928" s="3" t="s">
        <v>6</v>
      </c>
    </row>
    <row r="929">
      <c r="A929" s="4" t="s">
        <v>1301</v>
      </c>
      <c r="B929" s="3">
        <v>0.0</v>
      </c>
      <c r="C929" s="3" t="s">
        <v>3</v>
      </c>
    </row>
    <row r="930">
      <c r="A930" s="4" t="s">
        <v>1302</v>
      </c>
      <c r="B930" s="3">
        <v>0.0</v>
      </c>
      <c r="C930" s="3" t="s">
        <v>29</v>
      </c>
    </row>
    <row r="931">
      <c r="A931" s="4" t="s">
        <v>1303</v>
      </c>
      <c r="B931" s="3">
        <v>500.0</v>
      </c>
      <c r="C931" s="3" t="s">
        <v>6</v>
      </c>
    </row>
    <row r="932">
      <c r="A932" s="4" t="s">
        <v>1304</v>
      </c>
      <c r="B932" s="3">
        <v>9000.0</v>
      </c>
      <c r="C932" s="3" t="s">
        <v>3</v>
      </c>
    </row>
    <row r="933">
      <c r="A933" s="4" t="s">
        <v>1305</v>
      </c>
      <c r="B933" s="3">
        <v>2000.0</v>
      </c>
      <c r="C933" s="3" t="s">
        <v>3</v>
      </c>
    </row>
    <row r="934">
      <c r="A934" s="4" t="s">
        <v>1306</v>
      </c>
      <c r="B934" s="3">
        <v>1700.0</v>
      </c>
      <c r="C934" s="4"/>
    </row>
    <row r="935">
      <c r="A935" s="4" t="s">
        <v>1307</v>
      </c>
      <c r="B935" s="3">
        <v>0.0</v>
      </c>
      <c r="C935" s="3" t="s">
        <v>32</v>
      </c>
    </row>
    <row r="936">
      <c r="A936" s="4" t="s">
        <v>1308</v>
      </c>
      <c r="B936" s="3">
        <v>3000.0</v>
      </c>
      <c r="C936" s="4"/>
    </row>
    <row r="937">
      <c r="A937" s="4" t="s">
        <v>1309</v>
      </c>
      <c r="B937" s="3">
        <v>0.0</v>
      </c>
      <c r="C937" s="3" t="s">
        <v>3</v>
      </c>
    </row>
    <row r="938">
      <c r="A938" s="4" t="s">
        <v>1310</v>
      </c>
      <c r="B938" s="3">
        <v>0.0</v>
      </c>
      <c r="C938" s="3" t="s">
        <v>6</v>
      </c>
    </row>
    <row r="939">
      <c r="A939" s="4" t="s">
        <v>1311</v>
      </c>
      <c r="B939" s="3">
        <v>0.0</v>
      </c>
      <c r="C939" s="3" t="s">
        <v>3</v>
      </c>
    </row>
    <row r="940">
      <c r="A940" s="4" t="s">
        <v>1312</v>
      </c>
      <c r="B940" s="3">
        <v>500.0</v>
      </c>
      <c r="C940" s="3" t="s">
        <v>3</v>
      </c>
    </row>
    <row r="941">
      <c r="A941" s="4" t="s">
        <v>1313</v>
      </c>
      <c r="B941" s="3">
        <v>0.0</v>
      </c>
      <c r="C941" s="3" t="s">
        <v>3</v>
      </c>
    </row>
    <row r="942">
      <c r="A942" s="4" t="s">
        <v>1314</v>
      </c>
      <c r="B942" s="3">
        <v>4000.0</v>
      </c>
      <c r="C942" s="4"/>
    </row>
    <row r="943">
      <c r="A943" s="4" t="s">
        <v>1315</v>
      </c>
      <c r="B943" s="3">
        <v>16000.0</v>
      </c>
      <c r="C943" s="3" t="s">
        <v>3</v>
      </c>
    </row>
    <row r="944">
      <c r="A944" s="4" t="s">
        <v>1316</v>
      </c>
      <c r="B944" s="3">
        <v>0.0</v>
      </c>
      <c r="C944" s="3" t="s">
        <v>3</v>
      </c>
    </row>
    <row r="945">
      <c r="A945" s="4" t="s">
        <v>1317</v>
      </c>
      <c r="B945" s="3">
        <v>0.0</v>
      </c>
      <c r="C945" s="3" t="s">
        <v>6</v>
      </c>
    </row>
    <row r="946">
      <c r="A946" s="4" t="s">
        <v>1318</v>
      </c>
      <c r="B946" s="3">
        <v>2000.0</v>
      </c>
      <c r="C946" s="4"/>
    </row>
    <row r="947">
      <c r="A947" s="4" t="s">
        <v>2269</v>
      </c>
      <c r="B947" s="3">
        <v>0.0</v>
      </c>
      <c r="C947" s="3" t="s">
        <v>3</v>
      </c>
    </row>
    <row r="948">
      <c r="A948" s="4" t="s">
        <v>1321</v>
      </c>
      <c r="B948" s="3">
        <v>8000.0</v>
      </c>
      <c r="C948" s="4"/>
    </row>
    <row r="949">
      <c r="A949" s="4" t="s">
        <v>1322</v>
      </c>
      <c r="B949" s="3">
        <v>23000.0</v>
      </c>
      <c r="C949" s="3" t="s">
        <v>3</v>
      </c>
    </row>
    <row r="950">
      <c r="A950" s="4" t="s">
        <v>1323</v>
      </c>
      <c r="B950" s="3">
        <v>0.0</v>
      </c>
      <c r="C950" s="3" t="s">
        <v>3</v>
      </c>
    </row>
    <row r="951">
      <c r="A951" s="4" t="s">
        <v>1324</v>
      </c>
      <c r="B951" s="3">
        <v>4500.0</v>
      </c>
      <c r="C951" s="3" t="s">
        <v>16</v>
      </c>
    </row>
    <row r="952">
      <c r="A952" s="4" t="s">
        <v>1325</v>
      </c>
      <c r="B952" s="3">
        <v>0.0</v>
      </c>
      <c r="C952" s="3" t="s">
        <v>3</v>
      </c>
    </row>
    <row r="953">
      <c r="A953" s="4" t="s">
        <v>1326</v>
      </c>
      <c r="B953" s="3">
        <v>3000.0</v>
      </c>
      <c r="C953" s="4"/>
    </row>
    <row r="954">
      <c r="A954" s="4" t="s">
        <v>1327</v>
      </c>
      <c r="B954" s="3">
        <v>0.0</v>
      </c>
      <c r="C954" s="3" t="s">
        <v>6</v>
      </c>
    </row>
    <row r="955">
      <c r="A955" s="4" t="s">
        <v>1328</v>
      </c>
      <c r="B955" s="3">
        <v>0.0</v>
      </c>
      <c r="C955" s="3" t="s">
        <v>29</v>
      </c>
    </row>
    <row r="956">
      <c r="A956" s="4" t="s">
        <v>1329</v>
      </c>
      <c r="B956" s="3">
        <v>0.0</v>
      </c>
      <c r="C956" s="3" t="s">
        <v>6</v>
      </c>
    </row>
    <row r="957">
      <c r="A957" s="4" t="s">
        <v>1330</v>
      </c>
      <c r="B957" s="3">
        <v>0.0</v>
      </c>
      <c r="C957" s="3" t="s">
        <v>6</v>
      </c>
    </row>
    <row r="958">
      <c r="A958" s="4" t="s">
        <v>1331</v>
      </c>
      <c r="B958" s="3">
        <v>10000.0</v>
      </c>
      <c r="C958" s="3" t="s">
        <v>32</v>
      </c>
    </row>
    <row r="959">
      <c r="A959" s="4" t="s">
        <v>1332</v>
      </c>
      <c r="B959" s="3">
        <v>500.0</v>
      </c>
      <c r="C959" s="4"/>
    </row>
    <row r="960">
      <c r="A960" s="4" t="s">
        <v>1333</v>
      </c>
      <c r="B960" s="3">
        <v>1500.0</v>
      </c>
      <c r="C960" s="4"/>
    </row>
    <row r="961">
      <c r="A961" s="4" t="s">
        <v>1334</v>
      </c>
      <c r="B961" s="3">
        <v>1000.0</v>
      </c>
      <c r="C961" s="4"/>
    </row>
    <row r="962">
      <c r="A962" s="4" t="s">
        <v>1335</v>
      </c>
      <c r="B962" s="3">
        <v>1200.0</v>
      </c>
      <c r="C962" s="3" t="s">
        <v>32</v>
      </c>
    </row>
    <row r="963">
      <c r="A963" s="4" t="s">
        <v>1336</v>
      </c>
      <c r="B963" s="3">
        <v>22000.0</v>
      </c>
      <c r="C963" s="4"/>
    </row>
    <row r="964">
      <c r="A964" s="4" t="s">
        <v>1337</v>
      </c>
      <c r="B964" s="3">
        <v>3000.0</v>
      </c>
      <c r="C964" s="4"/>
    </row>
    <row r="965">
      <c r="A965" s="4" t="s">
        <v>1338</v>
      </c>
      <c r="B965" s="3">
        <v>3200.0</v>
      </c>
      <c r="C965" s="3" t="s">
        <v>3</v>
      </c>
    </row>
    <row r="966">
      <c r="A966" s="4" t="s">
        <v>1339</v>
      </c>
      <c r="B966" s="3">
        <v>57005.0</v>
      </c>
      <c r="C966" s="4"/>
    </row>
    <row r="967">
      <c r="A967" s="4" t="s">
        <v>1341</v>
      </c>
      <c r="B967" s="3">
        <v>2000.0</v>
      </c>
      <c r="C967" s="3" t="s">
        <v>6</v>
      </c>
    </row>
    <row r="968">
      <c r="A968" s="4" t="s">
        <v>1342</v>
      </c>
      <c r="B968" s="3">
        <v>3500.0</v>
      </c>
      <c r="C968" s="4"/>
    </row>
    <row r="969">
      <c r="A969" s="4" t="s">
        <v>1343</v>
      </c>
      <c r="B969" s="3">
        <v>6000.0</v>
      </c>
      <c r="C969" s="4"/>
    </row>
    <row r="970">
      <c r="A970" s="4" t="s">
        <v>1344</v>
      </c>
      <c r="B970" s="3">
        <v>0.0</v>
      </c>
      <c r="C970" s="3" t="s">
        <v>3</v>
      </c>
    </row>
    <row r="971">
      <c r="A971" s="4" t="s">
        <v>1345</v>
      </c>
      <c r="B971" s="3">
        <v>600.0</v>
      </c>
      <c r="C971" s="4"/>
    </row>
    <row r="972">
      <c r="A972" s="4" t="s">
        <v>1346</v>
      </c>
      <c r="B972" s="3">
        <v>50000.0</v>
      </c>
      <c r="C972" s="4"/>
    </row>
    <row r="973">
      <c r="A973" s="4" t="s">
        <v>1347</v>
      </c>
      <c r="B973" s="3">
        <v>0.0</v>
      </c>
      <c r="C973" s="3" t="s">
        <v>3</v>
      </c>
    </row>
    <row r="974">
      <c r="A974" s="4" t="s">
        <v>1348</v>
      </c>
      <c r="B974" s="3">
        <v>13000.0</v>
      </c>
      <c r="C974" s="4"/>
    </row>
    <row r="975">
      <c r="A975" s="4" t="s">
        <v>1350</v>
      </c>
      <c r="B975" s="3">
        <v>0.0</v>
      </c>
      <c r="C975" s="3" t="s">
        <v>3</v>
      </c>
    </row>
    <row r="976">
      <c r="A976" s="4" t="s">
        <v>1351</v>
      </c>
      <c r="B976" s="3">
        <v>8000.0</v>
      </c>
      <c r="C976" s="4"/>
    </row>
    <row r="977">
      <c r="A977" s="4" t="s">
        <v>1352</v>
      </c>
      <c r="B977" s="3">
        <v>0.0</v>
      </c>
      <c r="C977" s="3" t="s">
        <v>3</v>
      </c>
    </row>
    <row r="978">
      <c r="A978" s="4" t="s">
        <v>1353</v>
      </c>
      <c r="B978" s="3">
        <v>0.0</v>
      </c>
      <c r="C978" s="3" t="s">
        <v>3</v>
      </c>
    </row>
    <row r="979">
      <c r="A979" s="4" t="s">
        <v>1354</v>
      </c>
      <c r="B979" s="3">
        <v>2500.0</v>
      </c>
      <c r="C979" s="3" t="s">
        <v>3</v>
      </c>
    </row>
    <row r="980">
      <c r="A980" s="4" t="s">
        <v>1355</v>
      </c>
      <c r="B980" s="3">
        <v>0.0</v>
      </c>
      <c r="C980" s="3" t="s">
        <v>3</v>
      </c>
    </row>
    <row r="981">
      <c r="A981" s="4" t="s">
        <v>1356</v>
      </c>
      <c r="B981" s="3">
        <v>0.0</v>
      </c>
      <c r="C981" s="3" t="s">
        <v>3</v>
      </c>
    </row>
    <row r="982">
      <c r="A982" s="4" t="s">
        <v>1357</v>
      </c>
      <c r="B982" s="3">
        <v>0.0</v>
      </c>
      <c r="C982" s="3" t="s">
        <v>3</v>
      </c>
    </row>
    <row r="983">
      <c r="A983" s="4" t="s">
        <v>1358</v>
      </c>
      <c r="B983" s="3">
        <v>15000.0</v>
      </c>
      <c r="C983" s="3" t="s">
        <v>32</v>
      </c>
    </row>
    <row r="984">
      <c r="A984" s="4" t="s">
        <v>2270</v>
      </c>
      <c r="B984" s="3">
        <v>9000.0</v>
      </c>
      <c r="C984" s="3" t="s">
        <v>37</v>
      </c>
    </row>
    <row r="985">
      <c r="A985" s="4" t="s">
        <v>1360</v>
      </c>
      <c r="B985" s="3">
        <v>0.0</v>
      </c>
      <c r="C985" s="3" t="s">
        <v>3</v>
      </c>
    </row>
    <row r="986">
      <c r="A986" s="4" t="s">
        <v>1361</v>
      </c>
      <c r="B986" s="3">
        <v>2000.0</v>
      </c>
      <c r="C986" s="4"/>
    </row>
    <row r="987">
      <c r="A987" s="4" t="s">
        <v>1362</v>
      </c>
      <c r="B987" s="3">
        <v>0.0</v>
      </c>
      <c r="C987" s="3" t="s">
        <v>29</v>
      </c>
    </row>
    <row r="988">
      <c r="A988" s="4" t="s">
        <v>1363</v>
      </c>
      <c r="B988" s="3">
        <v>80000.0</v>
      </c>
      <c r="C988" s="3" t="s">
        <v>3</v>
      </c>
    </row>
    <row r="989">
      <c r="A989" s="4" t="s">
        <v>1364</v>
      </c>
      <c r="B989" s="3">
        <v>0.0</v>
      </c>
      <c r="C989" s="3" t="s">
        <v>6</v>
      </c>
    </row>
    <row r="990">
      <c r="A990" s="4" t="s">
        <v>1365</v>
      </c>
      <c r="B990" s="3">
        <v>0.0</v>
      </c>
      <c r="C990" s="3" t="s">
        <v>3</v>
      </c>
    </row>
    <row r="991">
      <c r="A991" s="4" t="s">
        <v>1366</v>
      </c>
      <c r="B991" s="3">
        <v>0.0</v>
      </c>
      <c r="C991" s="3" t="s">
        <v>6</v>
      </c>
    </row>
    <row r="992">
      <c r="A992" s="4" t="s">
        <v>1367</v>
      </c>
      <c r="B992" s="3">
        <v>6000.0</v>
      </c>
      <c r="C992" s="3" t="s">
        <v>3</v>
      </c>
    </row>
    <row r="993">
      <c r="A993" s="4" t="s">
        <v>1368</v>
      </c>
      <c r="B993" s="3">
        <v>3000.0</v>
      </c>
      <c r="C993" s="4"/>
    </row>
    <row r="994">
      <c r="A994" s="4" t="s">
        <v>1369</v>
      </c>
      <c r="B994" s="3">
        <v>0.0</v>
      </c>
      <c r="C994" s="3" t="s">
        <v>3</v>
      </c>
    </row>
    <row r="995">
      <c r="A995" s="4" t="s">
        <v>1370</v>
      </c>
      <c r="B995" s="3">
        <v>2000.0</v>
      </c>
      <c r="C995" s="3" t="s">
        <v>32</v>
      </c>
    </row>
    <row r="996">
      <c r="A996" s="4" t="s">
        <v>2271</v>
      </c>
      <c r="B996" s="3">
        <v>198000.0</v>
      </c>
      <c r="C996" s="3" t="s">
        <v>1373</v>
      </c>
    </row>
    <row r="997">
      <c r="A997" s="4" t="s">
        <v>1375</v>
      </c>
      <c r="B997" s="3">
        <v>2000.0</v>
      </c>
      <c r="C997" s="3" t="s">
        <v>32</v>
      </c>
    </row>
    <row r="998">
      <c r="A998" s="4" t="s">
        <v>1376</v>
      </c>
      <c r="B998" s="3">
        <v>0.0</v>
      </c>
      <c r="C998" s="3" t="s">
        <v>3</v>
      </c>
    </row>
    <row r="999">
      <c r="A999" s="4" t="s">
        <v>1377</v>
      </c>
      <c r="B999" s="3">
        <v>56105.0</v>
      </c>
      <c r="C999" s="3" t="s">
        <v>1379</v>
      </c>
    </row>
    <row r="1000">
      <c r="A1000" s="4" t="s">
        <v>1380</v>
      </c>
      <c r="B1000" s="3">
        <v>0.0</v>
      </c>
      <c r="C1000" s="3" t="s">
        <v>3</v>
      </c>
    </row>
    <row r="1001">
      <c r="A1001" s="4" t="s">
        <v>1381</v>
      </c>
      <c r="B1001" s="3">
        <v>3000.0</v>
      </c>
      <c r="C1001" s="3" t="s">
        <v>1379</v>
      </c>
    </row>
    <row r="1002">
      <c r="A1002" s="4" t="s">
        <v>1382</v>
      </c>
      <c r="B1002" s="3">
        <v>0.0</v>
      </c>
      <c r="C1002" s="3" t="s">
        <v>6</v>
      </c>
    </row>
    <row r="1003">
      <c r="A1003" s="4" t="s">
        <v>1383</v>
      </c>
      <c r="B1003" s="3">
        <v>3000.0</v>
      </c>
      <c r="C1003" s="4"/>
    </row>
    <row r="1004">
      <c r="A1004" s="4" t="s">
        <v>1384</v>
      </c>
      <c r="B1004" s="3">
        <v>0.0</v>
      </c>
      <c r="C1004" s="3" t="s">
        <v>3</v>
      </c>
    </row>
    <row r="1005">
      <c r="A1005" s="4" t="s">
        <v>1385</v>
      </c>
      <c r="B1005" s="3">
        <v>800.0</v>
      </c>
      <c r="C1005" s="3" t="s">
        <v>3</v>
      </c>
    </row>
    <row r="1006">
      <c r="A1006" s="4" t="s">
        <v>1386</v>
      </c>
      <c r="B1006" s="3">
        <v>2500.0</v>
      </c>
      <c r="C1006" s="3" t="s">
        <v>32</v>
      </c>
    </row>
    <row r="1007">
      <c r="A1007" s="4" t="s">
        <v>1387</v>
      </c>
      <c r="B1007" s="3">
        <v>2000.0</v>
      </c>
      <c r="C1007" s="4"/>
    </row>
    <row r="1008">
      <c r="A1008" s="4" t="s">
        <v>1388</v>
      </c>
      <c r="B1008" s="3">
        <v>500.0</v>
      </c>
      <c r="C1008" s="3" t="s">
        <v>32</v>
      </c>
    </row>
    <row r="1009">
      <c r="A1009" s="4" t="s">
        <v>1389</v>
      </c>
      <c r="B1009" s="3">
        <v>119100.0</v>
      </c>
      <c r="C1009" s="3" t="s">
        <v>280</v>
      </c>
    </row>
    <row r="1010">
      <c r="A1010" s="4" t="s">
        <v>1391</v>
      </c>
      <c r="B1010" s="3">
        <v>0.0</v>
      </c>
      <c r="C1010" s="3" t="s">
        <v>29</v>
      </c>
    </row>
    <row r="1011">
      <c r="A1011" s="4" t="s">
        <v>1392</v>
      </c>
      <c r="B1011" s="3">
        <v>7000.0</v>
      </c>
      <c r="C1011" s="4"/>
    </row>
    <row r="1012">
      <c r="A1012" s="4" t="s">
        <v>1393</v>
      </c>
      <c r="B1012" s="3">
        <v>4500.0</v>
      </c>
      <c r="C1012" s="3" t="s">
        <v>6</v>
      </c>
    </row>
    <row r="1013">
      <c r="A1013" s="4" t="s">
        <v>1394</v>
      </c>
      <c r="B1013" s="3">
        <v>0.0</v>
      </c>
      <c r="C1013" s="3" t="s">
        <v>6</v>
      </c>
    </row>
    <row r="1014">
      <c r="A1014" s="4" t="s">
        <v>1395</v>
      </c>
      <c r="B1014" s="3">
        <v>420.0</v>
      </c>
      <c r="C1014" s="4"/>
    </row>
    <row r="1015">
      <c r="A1015" s="4" t="s">
        <v>1397</v>
      </c>
      <c r="B1015" s="3">
        <v>0.0</v>
      </c>
      <c r="C1015" s="3" t="s">
        <v>3</v>
      </c>
    </row>
    <row r="1016">
      <c r="A1016" s="4" t="s">
        <v>1398</v>
      </c>
      <c r="B1016" s="3">
        <v>0.0</v>
      </c>
      <c r="C1016" s="3" t="s">
        <v>3</v>
      </c>
    </row>
    <row r="1017">
      <c r="A1017" s="4" t="s">
        <v>1399</v>
      </c>
      <c r="B1017" s="3">
        <v>0.0</v>
      </c>
      <c r="C1017" s="3" t="s">
        <v>3</v>
      </c>
    </row>
    <row r="1018">
      <c r="A1018" s="4" t="s">
        <v>1400</v>
      </c>
      <c r="B1018" s="3">
        <v>0.0</v>
      </c>
      <c r="C1018" s="3" t="s">
        <v>3</v>
      </c>
    </row>
    <row r="1019">
      <c r="A1019" s="4" t="s">
        <v>1401</v>
      </c>
      <c r="B1019" s="3">
        <v>8640.0</v>
      </c>
      <c r="C1019" s="4"/>
    </row>
    <row r="1020">
      <c r="A1020" s="4" t="s">
        <v>1403</v>
      </c>
      <c r="B1020" s="3">
        <v>0.0</v>
      </c>
      <c r="C1020" s="3" t="s">
        <v>3</v>
      </c>
    </row>
    <row r="1021">
      <c r="A1021" s="4" t="s">
        <v>1404</v>
      </c>
      <c r="B1021" s="3">
        <v>0.0</v>
      </c>
      <c r="C1021" s="3" t="s">
        <v>32</v>
      </c>
    </row>
    <row r="1022">
      <c r="A1022" s="4" t="s">
        <v>1405</v>
      </c>
      <c r="B1022" s="3">
        <v>14000.0</v>
      </c>
      <c r="C1022" s="4"/>
    </row>
    <row r="1023">
      <c r="A1023" s="4" t="s">
        <v>1406</v>
      </c>
      <c r="B1023" s="3">
        <v>11950.0</v>
      </c>
      <c r="C1023" s="3" t="s">
        <v>32</v>
      </c>
    </row>
    <row r="1024">
      <c r="A1024" s="4" t="s">
        <v>1408</v>
      </c>
      <c r="B1024" s="3">
        <v>1500.0</v>
      </c>
      <c r="C1024" s="4"/>
    </row>
    <row r="1025">
      <c r="A1025" s="4" t="s">
        <v>1409</v>
      </c>
      <c r="B1025" s="3">
        <v>0.0</v>
      </c>
      <c r="C1025" s="3" t="s">
        <v>6</v>
      </c>
    </row>
    <row r="1026">
      <c r="A1026" s="4" t="s">
        <v>1410</v>
      </c>
      <c r="B1026" s="3">
        <v>0.0</v>
      </c>
      <c r="C1026" s="3" t="s">
        <v>6</v>
      </c>
    </row>
    <row r="1027">
      <c r="A1027" s="4" t="s">
        <v>1411</v>
      </c>
      <c r="B1027" s="3">
        <v>800.0</v>
      </c>
      <c r="C1027" s="3" t="s">
        <v>3</v>
      </c>
    </row>
    <row r="1028">
      <c r="A1028" s="4" t="s">
        <v>1412</v>
      </c>
      <c r="B1028" s="3">
        <v>800.0</v>
      </c>
      <c r="C1028" s="4"/>
    </row>
    <row r="1029">
      <c r="A1029" s="4" t="s">
        <v>1413</v>
      </c>
      <c r="B1029" s="3">
        <v>0.0</v>
      </c>
      <c r="C1029" s="3" t="s">
        <v>32</v>
      </c>
    </row>
    <row r="1030">
      <c r="A1030" s="4" t="s">
        <v>1414</v>
      </c>
      <c r="B1030" s="3">
        <v>8000.0</v>
      </c>
      <c r="C1030" s="4"/>
    </row>
    <row r="1031">
      <c r="A1031" s="4" t="s">
        <v>1415</v>
      </c>
      <c r="B1031" s="3">
        <v>500.0</v>
      </c>
      <c r="C1031" s="4"/>
    </row>
    <row r="1032">
      <c r="A1032" s="4" t="s">
        <v>1416</v>
      </c>
      <c r="B1032" s="3">
        <v>1000.0</v>
      </c>
      <c r="C1032" s="4"/>
    </row>
    <row r="1033">
      <c r="A1033" s="4" t="s">
        <v>1417</v>
      </c>
      <c r="B1033" s="3">
        <v>5000.0</v>
      </c>
      <c r="C1033" s="4"/>
    </row>
    <row r="1034">
      <c r="A1034" s="4" t="s">
        <v>2272</v>
      </c>
      <c r="B1034" s="3">
        <v>6400.0</v>
      </c>
      <c r="C1034" s="3" t="s">
        <v>580</v>
      </c>
    </row>
    <row r="1035">
      <c r="A1035" s="4" t="s">
        <v>1420</v>
      </c>
      <c r="B1035" s="3">
        <v>7500.0</v>
      </c>
      <c r="C1035" s="3" t="s">
        <v>6</v>
      </c>
    </row>
    <row r="1036">
      <c r="A1036" s="4" t="s">
        <v>1421</v>
      </c>
      <c r="B1036" s="3">
        <v>18800.0</v>
      </c>
      <c r="C1036" s="3" t="s">
        <v>6</v>
      </c>
    </row>
    <row r="1037">
      <c r="A1037" s="4" t="s">
        <v>1423</v>
      </c>
      <c r="B1037" s="3">
        <v>22500.0</v>
      </c>
      <c r="C1037" s="3" t="s">
        <v>3</v>
      </c>
    </row>
    <row r="1038">
      <c r="A1038" s="4" t="s">
        <v>1425</v>
      </c>
      <c r="B1038" s="3">
        <v>0.0</v>
      </c>
      <c r="C1038" s="3" t="s">
        <v>3</v>
      </c>
    </row>
    <row r="1039">
      <c r="A1039" s="4" t="s">
        <v>1426</v>
      </c>
      <c r="B1039" s="3">
        <v>0.0</v>
      </c>
      <c r="C1039" s="3" t="s">
        <v>3</v>
      </c>
    </row>
    <row r="1040">
      <c r="A1040" s="4" t="s">
        <v>1427</v>
      </c>
      <c r="B1040" s="3">
        <v>4634.0</v>
      </c>
      <c r="C1040" s="3" t="s">
        <v>6</v>
      </c>
    </row>
    <row r="1041">
      <c r="A1041" s="4" t="s">
        <v>1429</v>
      </c>
      <c r="B1041" s="3">
        <v>0.0</v>
      </c>
      <c r="C1041" s="3" t="s">
        <v>3</v>
      </c>
    </row>
    <row r="1042">
      <c r="A1042" s="4" t="s">
        <v>1430</v>
      </c>
      <c r="B1042" s="3">
        <v>0.0</v>
      </c>
      <c r="C1042" s="3" t="s">
        <v>6</v>
      </c>
    </row>
    <row r="1043">
      <c r="A1043" s="4" t="s">
        <v>1431</v>
      </c>
      <c r="B1043" s="3">
        <v>5000.0</v>
      </c>
      <c r="C1043" s="4"/>
    </row>
    <row r="1044">
      <c r="A1044" s="4" t="s">
        <v>2273</v>
      </c>
      <c r="B1044" s="3">
        <v>0.0</v>
      </c>
      <c r="C1044" s="3" t="s">
        <v>484</v>
      </c>
    </row>
    <row r="1045">
      <c r="A1045" s="4" t="s">
        <v>1434</v>
      </c>
      <c r="B1045" s="3">
        <v>120.0</v>
      </c>
      <c r="C1045" s="3" t="s">
        <v>32</v>
      </c>
    </row>
    <row r="1046">
      <c r="A1046" s="4" t="s">
        <v>1436</v>
      </c>
      <c r="B1046" s="3">
        <v>4000.0</v>
      </c>
      <c r="C1046" s="4"/>
    </row>
    <row r="1047">
      <c r="A1047" s="4" t="s">
        <v>1437</v>
      </c>
      <c r="B1047" s="3">
        <v>0.0</v>
      </c>
      <c r="C1047" s="3" t="s">
        <v>6</v>
      </c>
    </row>
    <row r="1048">
      <c r="A1048" s="4" t="s">
        <v>1438</v>
      </c>
      <c r="B1048" s="3">
        <v>50000.0</v>
      </c>
      <c r="C1048" s="4"/>
    </row>
    <row r="1049">
      <c r="A1049" s="4" t="s">
        <v>2274</v>
      </c>
      <c r="B1049" s="3">
        <v>23000.0</v>
      </c>
      <c r="C1049" s="3" t="s">
        <v>37</v>
      </c>
    </row>
    <row r="1050">
      <c r="A1050" s="4" t="s">
        <v>1440</v>
      </c>
      <c r="B1050" s="3">
        <v>400.0</v>
      </c>
      <c r="C1050" s="4"/>
    </row>
    <row r="1051">
      <c r="A1051" s="4" t="s">
        <v>1441</v>
      </c>
      <c r="B1051" s="3">
        <v>0.0</v>
      </c>
      <c r="C1051" s="3" t="s">
        <v>3</v>
      </c>
    </row>
    <row r="1052">
      <c r="A1052" s="4" t="s">
        <v>1442</v>
      </c>
      <c r="B1052" s="3">
        <v>0.0</v>
      </c>
      <c r="C1052" s="3" t="s">
        <v>3</v>
      </c>
    </row>
    <row r="1053">
      <c r="A1053" s="4" t="s">
        <v>1443</v>
      </c>
      <c r="B1053" s="3">
        <v>0.0</v>
      </c>
      <c r="C1053" s="3" t="s">
        <v>3</v>
      </c>
    </row>
    <row r="1054">
      <c r="A1054" s="4" t="s">
        <v>1444</v>
      </c>
      <c r="B1054" s="3">
        <v>500.0</v>
      </c>
      <c r="C1054" s="4"/>
    </row>
    <row r="1055">
      <c r="A1055" s="4" t="s">
        <v>1445</v>
      </c>
      <c r="B1055" s="3">
        <v>0.0</v>
      </c>
      <c r="C1055" s="3" t="s">
        <v>3</v>
      </c>
    </row>
    <row r="1056">
      <c r="A1056" s="4" t="s">
        <v>1446</v>
      </c>
      <c r="B1056" s="3">
        <v>0.0</v>
      </c>
      <c r="C1056" s="3" t="s">
        <v>3</v>
      </c>
    </row>
    <row r="1057">
      <c r="A1057" s="4" t="s">
        <v>1447</v>
      </c>
      <c r="B1057" s="3">
        <v>0.0</v>
      </c>
      <c r="C1057" s="3" t="s">
        <v>3</v>
      </c>
    </row>
    <row r="1058">
      <c r="A1058" s="4" t="s">
        <v>1448</v>
      </c>
      <c r="B1058" s="3">
        <v>0.0</v>
      </c>
      <c r="C1058" s="3" t="s">
        <v>3</v>
      </c>
    </row>
    <row r="1059">
      <c r="A1059" s="4" t="s">
        <v>1449</v>
      </c>
      <c r="B1059" s="3">
        <v>1800.0</v>
      </c>
      <c r="C1059" s="3" t="s">
        <v>6</v>
      </c>
    </row>
    <row r="1060">
      <c r="A1060" s="4" t="s">
        <v>1450</v>
      </c>
      <c r="B1060" s="3">
        <v>2500.0</v>
      </c>
      <c r="C1060" s="3" t="s">
        <v>3</v>
      </c>
    </row>
    <row r="1061">
      <c r="A1061" s="4" t="s">
        <v>1451</v>
      </c>
      <c r="B1061" s="3">
        <v>4000.0</v>
      </c>
      <c r="C1061" s="3" t="s">
        <v>32</v>
      </c>
    </row>
    <row r="1062">
      <c r="A1062" s="4" t="s">
        <v>1452</v>
      </c>
      <c r="B1062" s="3">
        <v>0.0</v>
      </c>
      <c r="C1062" s="3" t="s">
        <v>32</v>
      </c>
    </row>
    <row r="1063">
      <c r="A1063" s="4" t="s">
        <v>1453</v>
      </c>
      <c r="B1063" s="3">
        <v>0.0</v>
      </c>
      <c r="C1063" s="3" t="s">
        <v>3</v>
      </c>
    </row>
    <row r="1064">
      <c r="A1064" s="4" t="s">
        <v>1454</v>
      </c>
      <c r="B1064" s="3">
        <v>500.0</v>
      </c>
      <c r="C1064" s="3" t="s">
        <v>484</v>
      </c>
    </row>
    <row r="1065">
      <c r="A1065" s="4" t="s">
        <v>2275</v>
      </c>
      <c r="B1065" s="3">
        <v>500.0</v>
      </c>
      <c r="C1065" s="4"/>
    </row>
    <row r="1066">
      <c r="A1066" s="4" t="s">
        <v>1457</v>
      </c>
      <c r="B1066" s="3">
        <v>800.0</v>
      </c>
      <c r="C1066" s="4"/>
    </row>
    <row r="1067">
      <c r="A1067" s="4" t="s">
        <v>1458</v>
      </c>
      <c r="B1067" s="3">
        <v>0.0</v>
      </c>
      <c r="C1067" s="3" t="s">
        <v>3</v>
      </c>
    </row>
    <row r="1068">
      <c r="A1068" s="4" t="s">
        <v>1459</v>
      </c>
      <c r="B1068" s="3">
        <v>0.0</v>
      </c>
      <c r="C1068" s="3" t="s">
        <v>3</v>
      </c>
    </row>
    <row r="1069">
      <c r="A1069" s="4" t="s">
        <v>1460</v>
      </c>
      <c r="B1069" s="3">
        <v>6500.0</v>
      </c>
      <c r="C1069" s="4"/>
    </row>
    <row r="1070">
      <c r="A1070" s="4" t="s">
        <v>1461</v>
      </c>
      <c r="B1070" s="3">
        <v>1000.0</v>
      </c>
      <c r="C1070" s="3" t="s">
        <v>6</v>
      </c>
    </row>
    <row r="1071">
      <c r="A1071" s="4" t="s">
        <v>1462</v>
      </c>
      <c r="B1071" s="3">
        <v>1200.0</v>
      </c>
      <c r="C1071" s="3" t="s">
        <v>3</v>
      </c>
    </row>
    <row r="1072">
      <c r="A1072" s="4" t="s">
        <v>1463</v>
      </c>
      <c r="B1072" s="3">
        <v>343924.0</v>
      </c>
      <c r="C1072" s="3" t="s">
        <v>484</v>
      </c>
    </row>
    <row r="1073">
      <c r="A1073" s="4" t="s">
        <v>1465</v>
      </c>
      <c r="B1073" s="3">
        <v>0.0</v>
      </c>
      <c r="C1073" s="3" t="s">
        <v>3</v>
      </c>
    </row>
    <row r="1074">
      <c r="A1074" s="4" t="s">
        <v>1466</v>
      </c>
      <c r="B1074" s="3">
        <v>0.0</v>
      </c>
      <c r="C1074" s="3" t="s">
        <v>3</v>
      </c>
    </row>
    <row r="1075">
      <c r="A1075" s="4" t="s">
        <v>1467</v>
      </c>
      <c r="B1075" s="3">
        <v>900.0</v>
      </c>
      <c r="C1075" s="4"/>
    </row>
    <row r="1076">
      <c r="A1076" s="4" t="s">
        <v>1468</v>
      </c>
      <c r="B1076" s="3">
        <v>5000.0</v>
      </c>
      <c r="C1076" s="4"/>
    </row>
    <row r="1077">
      <c r="A1077" s="4" t="s">
        <v>1469</v>
      </c>
      <c r="B1077" s="3">
        <v>0.0</v>
      </c>
      <c r="C1077" s="3" t="s">
        <v>6</v>
      </c>
    </row>
    <row r="1078">
      <c r="A1078" s="4" t="s">
        <v>1470</v>
      </c>
      <c r="B1078" s="3">
        <v>2250.0</v>
      </c>
      <c r="C1078" s="4"/>
    </row>
    <row r="1079">
      <c r="A1079" s="4" t="s">
        <v>1472</v>
      </c>
      <c r="B1079" s="3">
        <v>240000.0</v>
      </c>
      <c r="C1079" s="4"/>
    </row>
    <row r="1080">
      <c r="A1080" s="4" t="s">
        <v>1474</v>
      </c>
      <c r="B1080" s="3">
        <v>0.0</v>
      </c>
      <c r="C1080" s="3" t="s">
        <v>3</v>
      </c>
    </row>
    <row r="1081">
      <c r="A1081" s="4" t="s">
        <v>1475</v>
      </c>
      <c r="B1081" s="3">
        <v>6000.0</v>
      </c>
      <c r="C1081" s="4"/>
    </row>
    <row r="1082">
      <c r="A1082" s="4" t="s">
        <v>1476</v>
      </c>
      <c r="B1082" s="3">
        <v>0.0</v>
      </c>
      <c r="C1082" s="3" t="s">
        <v>3</v>
      </c>
    </row>
    <row r="1083">
      <c r="A1083" s="4" t="s">
        <v>1477</v>
      </c>
      <c r="B1083" s="3">
        <v>0.0</v>
      </c>
      <c r="C1083" s="3" t="s">
        <v>6</v>
      </c>
    </row>
    <row r="1084">
      <c r="A1084" s="4" t="s">
        <v>1478</v>
      </c>
      <c r="B1084" s="3">
        <v>0.0</v>
      </c>
      <c r="C1084" s="3" t="s">
        <v>3</v>
      </c>
    </row>
    <row r="1085">
      <c r="A1085" s="4" t="s">
        <v>1479</v>
      </c>
      <c r="B1085" s="3">
        <v>800.0</v>
      </c>
      <c r="C1085" s="4"/>
    </row>
    <row r="1086">
      <c r="A1086" s="4" t="s">
        <v>1480</v>
      </c>
      <c r="B1086" s="3">
        <v>3000.0</v>
      </c>
      <c r="C1086" s="4"/>
    </row>
    <row r="1087">
      <c r="A1087" s="4" t="s">
        <v>2276</v>
      </c>
      <c r="B1087" s="3">
        <v>132000.0</v>
      </c>
      <c r="C1087" s="3" t="s">
        <v>37</v>
      </c>
    </row>
    <row r="1088">
      <c r="A1088" s="4" t="s">
        <v>1483</v>
      </c>
      <c r="B1088" s="3">
        <v>0.0</v>
      </c>
      <c r="C1088" s="3" t="s">
        <v>3</v>
      </c>
    </row>
    <row r="1089">
      <c r="A1089" s="4" t="s">
        <v>2277</v>
      </c>
      <c r="B1089" s="3">
        <v>0.0</v>
      </c>
      <c r="C1089" s="3" t="s">
        <v>6</v>
      </c>
    </row>
    <row r="1090">
      <c r="A1090" s="4" t="s">
        <v>1486</v>
      </c>
      <c r="B1090" s="3">
        <v>0.0</v>
      </c>
      <c r="C1090" s="3" t="s">
        <v>3</v>
      </c>
    </row>
    <row r="1091">
      <c r="A1091" s="4" t="s">
        <v>1487</v>
      </c>
      <c r="B1091" s="3">
        <v>0.0</v>
      </c>
      <c r="C1091" s="3" t="s">
        <v>3</v>
      </c>
    </row>
    <row r="1092">
      <c r="A1092" s="4" t="s">
        <v>1488</v>
      </c>
      <c r="B1092" s="3">
        <v>0.0</v>
      </c>
      <c r="C1092" s="3" t="s">
        <v>3</v>
      </c>
    </row>
    <row r="1093">
      <c r="A1093" s="4" t="s">
        <v>1489</v>
      </c>
      <c r="B1093" s="3">
        <v>29750.0</v>
      </c>
      <c r="C1093" s="3" t="s">
        <v>32</v>
      </c>
    </row>
    <row r="1094">
      <c r="A1094" s="4" t="s">
        <v>1491</v>
      </c>
      <c r="B1094" s="3">
        <v>500.0</v>
      </c>
      <c r="C1094" s="4"/>
    </row>
    <row r="1095">
      <c r="A1095" s="4" t="s">
        <v>2278</v>
      </c>
      <c r="B1095" s="3">
        <v>892663.0</v>
      </c>
      <c r="C1095" s="3" t="s">
        <v>37</v>
      </c>
    </row>
    <row r="1096">
      <c r="A1096" s="4" t="s">
        <v>1494</v>
      </c>
      <c r="B1096" s="3">
        <v>0.0</v>
      </c>
      <c r="C1096" s="3" t="s">
        <v>3</v>
      </c>
    </row>
    <row r="1097">
      <c r="A1097" s="4" t="s">
        <v>1495</v>
      </c>
      <c r="B1097" s="3">
        <v>1500.0</v>
      </c>
      <c r="C1097" s="4"/>
    </row>
    <row r="1098">
      <c r="A1098" s="4" t="s">
        <v>1496</v>
      </c>
      <c r="B1098" s="3">
        <v>14000.0</v>
      </c>
      <c r="C1098" s="3" t="s">
        <v>29</v>
      </c>
    </row>
    <row r="1099">
      <c r="A1099" s="4" t="s">
        <v>1497</v>
      </c>
      <c r="B1099" s="3">
        <v>0.0</v>
      </c>
      <c r="C1099" s="3" t="s">
        <v>3</v>
      </c>
    </row>
    <row r="1100">
      <c r="A1100" s="4" t="s">
        <v>1498</v>
      </c>
      <c r="B1100" s="3">
        <v>0.0</v>
      </c>
      <c r="C1100" s="3" t="s">
        <v>29</v>
      </c>
    </row>
    <row r="1101">
      <c r="A1101" s="4" t="s">
        <v>1499</v>
      </c>
      <c r="B1101" s="3">
        <v>9000.0</v>
      </c>
      <c r="C1101" s="3" t="s">
        <v>32</v>
      </c>
    </row>
    <row r="1102">
      <c r="A1102" s="4" t="s">
        <v>1500</v>
      </c>
      <c r="B1102" s="3">
        <v>205000.0</v>
      </c>
      <c r="C1102" s="4"/>
    </row>
    <row r="1103">
      <c r="A1103" s="4" t="s">
        <v>1502</v>
      </c>
      <c r="B1103" s="3">
        <v>54201.0</v>
      </c>
      <c r="C1103" s="3" t="s">
        <v>6</v>
      </c>
    </row>
    <row r="1104">
      <c r="A1104" s="4" t="s">
        <v>1504</v>
      </c>
      <c r="B1104" s="3">
        <v>2800.0</v>
      </c>
      <c r="C1104" s="3" t="s">
        <v>3</v>
      </c>
    </row>
    <row r="1105">
      <c r="A1105" s="4" t="s">
        <v>1505</v>
      </c>
      <c r="B1105" s="3">
        <v>0.0</v>
      </c>
      <c r="C1105" s="3" t="s">
        <v>3</v>
      </c>
    </row>
    <row r="1106">
      <c r="A1106" s="4" t="s">
        <v>1506</v>
      </c>
      <c r="B1106" s="3">
        <v>0.0</v>
      </c>
      <c r="C1106" s="3" t="s">
        <v>3</v>
      </c>
    </row>
    <row r="1107">
      <c r="A1107" s="4" t="s">
        <v>1507</v>
      </c>
      <c r="B1107" s="3">
        <v>0.0</v>
      </c>
      <c r="C1107" s="3" t="s">
        <v>3</v>
      </c>
    </row>
    <row r="1108">
      <c r="A1108" s="4" t="s">
        <v>1508</v>
      </c>
      <c r="B1108" s="3">
        <v>0.0</v>
      </c>
      <c r="C1108" s="3" t="s">
        <v>3</v>
      </c>
    </row>
    <row r="1109">
      <c r="A1109" s="4" t="s">
        <v>1509</v>
      </c>
      <c r="B1109" s="3">
        <v>0.0</v>
      </c>
      <c r="C1109" s="3" t="s">
        <v>3</v>
      </c>
    </row>
    <row r="1110">
      <c r="A1110" s="4" t="s">
        <v>1510</v>
      </c>
      <c r="B1110" s="3">
        <v>3000.0</v>
      </c>
      <c r="C1110" s="3" t="s">
        <v>3</v>
      </c>
    </row>
    <row r="1111">
      <c r="A1111" s="4" t="s">
        <v>1511</v>
      </c>
      <c r="B1111" s="3">
        <v>0.0</v>
      </c>
      <c r="C1111" s="3" t="s">
        <v>6</v>
      </c>
    </row>
    <row r="1112">
      <c r="A1112" s="4" t="s">
        <v>1512</v>
      </c>
      <c r="B1112" s="3">
        <v>9500.0</v>
      </c>
      <c r="C1112" s="3" t="s">
        <v>6</v>
      </c>
    </row>
    <row r="1113">
      <c r="A1113" s="4" t="s">
        <v>1513</v>
      </c>
      <c r="B1113" s="3">
        <v>0.0</v>
      </c>
      <c r="C1113" s="3" t="s">
        <v>6</v>
      </c>
    </row>
    <row r="1114">
      <c r="A1114" s="4" t="s">
        <v>1514</v>
      </c>
      <c r="B1114" s="3">
        <v>0.0</v>
      </c>
      <c r="C1114" s="3" t="s">
        <v>6</v>
      </c>
    </row>
    <row r="1115">
      <c r="A1115" s="4" t="s">
        <v>1515</v>
      </c>
      <c r="B1115" s="3">
        <v>11500.0</v>
      </c>
      <c r="C1115" s="3" t="s">
        <v>16</v>
      </c>
    </row>
    <row r="1116">
      <c r="A1116" s="4" t="s">
        <v>1516</v>
      </c>
      <c r="B1116" s="3">
        <v>741.0</v>
      </c>
      <c r="C1116" s="4"/>
    </row>
    <row r="1117">
      <c r="A1117" s="4" t="s">
        <v>1518</v>
      </c>
      <c r="B1117" s="3">
        <v>0.0</v>
      </c>
      <c r="C1117" s="3" t="s">
        <v>3</v>
      </c>
    </row>
    <row r="1118">
      <c r="A1118" s="4" t="s">
        <v>1519</v>
      </c>
      <c r="B1118" s="3">
        <v>0.0</v>
      </c>
      <c r="C1118" s="3" t="s">
        <v>3</v>
      </c>
    </row>
    <row r="1119">
      <c r="A1119" s="4" t="s">
        <v>1520</v>
      </c>
      <c r="B1119" s="3">
        <v>0.0</v>
      </c>
      <c r="C1119" s="3" t="s">
        <v>32</v>
      </c>
    </row>
    <row r="1120">
      <c r="A1120" s="4" t="s">
        <v>1521</v>
      </c>
      <c r="B1120" s="3">
        <v>0.0</v>
      </c>
      <c r="C1120" s="3" t="s">
        <v>6</v>
      </c>
    </row>
    <row r="1121">
      <c r="A1121" s="4" t="s">
        <v>1522</v>
      </c>
      <c r="B1121" s="3">
        <v>0.0</v>
      </c>
      <c r="C1121" s="3" t="s">
        <v>6</v>
      </c>
    </row>
    <row r="1122">
      <c r="A1122" s="4" t="s">
        <v>1523</v>
      </c>
      <c r="B1122" s="3">
        <v>3000.0</v>
      </c>
      <c r="C1122" s="3" t="s">
        <v>32</v>
      </c>
    </row>
    <row r="1123">
      <c r="A1123" s="4" t="s">
        <v>2279</v>
      </c>
      <c r="B1123" s="3">
        <v>0.0</v>
      </c>
      <c r="C1123" s="3" t="s">
        <v>3</v>
      </c>
    </row>
    <row r="1124">
      <c r="A1124" s="4" t="s">
        <v>2280</v>
      </c>
      <c r="B1124" s="3">
        <v>9000.0</v>
      </c>
      <c r="C1124" s="3" t="s">
        <v>6</v>
      </c>
    </row>
    <row r="1125">
      <c r="A1125" s="4" t="s">
        <v>1528</v>
      </c>
      <c r="B1125" s="3">
        <v>0.0</v>
      </c>
      <c r="C1125" s="3" t="s">
        <v>29</v>
      </c>
    </row>
    <row r="1126">
      <c r="A1126" s="4" t="s">
        <v>1529</v>
      </c>
      <c r="B1126" s="3">
        <v>0.0</v>
      </c>
      <c r="C1126" s="3" t="s">
        <v>32</v>
      </c>
    </row>
    <row r="1127">
      <c r="A1127" s="4" t="s">
        <v>1530</v>
      </c>
      <c r="B1127" s="3">
        <v>0.0</v>
      </c>
      <c r="C1127" s="3" t="s">
        <v>32</v>
      </c>
    </row>
    <row r="1128">
      <c r="A1128" s="4" t="s">
        <v>1531</v>
      </c>
      <c r="B1128" s="3">
        <v>0.0</v>
      </c>
      <c r="C1128" s="3" t="s">
        <v>3</v>
      </c>
    </row>
    <row r="1129">
      <c r="A1129" s="4" t="s">
        <v>1532</v>
      </c>
      <c r="B1129" s="3">
        <v>0.0</v>
      </c>
      <c r="C1129" s="3" t="s">
        <v>6</v>
      </c>
    </row>
    <row r="1130">
      <c r="A1130" s="4" t="s">
        <v>1533</v>
      </c>
      <c r="B1130" s="3">
        <v>0.0</v>
      </c>
      <c r="C1130" s="3" t="s">
        <v>32</v>
      </c>
    </row>
    <row r="1131">
      <c r="A1131" s="4" t="s">
        <v>1534</v>
      </c>
      <c r="B1131" s="3">
        <v>0.0</v>
      </c>
      <c r="C1131" s="3" t="s">
        <v>6</v>
      </c>
    </row>
    <row r="1132">
      <c r="A1132" s="4" t="s">
        <v>1535</v>
      </c>
      <c r="B1132" s="3">
        <v>0.0</v>
      </c>
      <c r="C1132" s="3" t="s">
        <v>6</v>
      </c>
    </row>
    <row r="1133">
      <c r="A1133" s="4" t="s">
        <v>1536</v>
      </c>
      <c r="B1133" s="3">
        <v>7000.0</v>
      </c>
      <c r="C1133" s="4"/>
    </row>
    <row r="1134">
      <c r="A1134" s="4" t="s">
        <v>1537</v>
      </c>
      <c r="B1134" s="3">
        <v>0.0</v>
      </c>
      <c r="C1134" s="3" t="s">
        <v>32</v>
      </c>
    </row>
    <row r="1135">
      <c r="A1135" s="4" t="s">
        <v>1538</v>
      </c>
      <c r="B1135" s="3">
        <v>0.0</v>
      </c>
      <c r="C1135" s="3" t="s">
        <v>3</v>
      </c>
    </row>
    <row r="1136">
      <c r="A1136" s="4" t="s">
        <v>1539</v>
      </c>
      <c r="B1136" s="3">
        <v>200000.0</v>
      </c>
      <c r="C1136" s="4"/>
    </row>
    <row r="1137">
      <c r="A1137" s="4" t="s">
        <v>1541</v>
      </c>
      <c r="B1137" s="3">
        <v>4500.0</v>
      </c>
      <c r="C1137" s="3" t="s">
        <v>6</v>
      </c>
    </row>
    <row r="1138">
      <c r="A1138" s="4" t="s">
        <v>1542</v>
      </c>
      <c r="B1138" s="3">
        <v>0.0</v>
      </c>
      <c r="C1138" s="3" t="s">
        <v>3</v>
      </c>
    </row>
    <row r="1139">
      <c r="A1139" s="4" t="s">
        <v>1543</v>
      </c>
      <c r="B1139" s="3">
        <v>0.0</v>
      </c>
      <c r="C1139" s="3" t="s">
        <v>3</v>
      </c>
    </row>
    <row r="1140">
      <c r="A1140" s="4" t="s">
        <v>1544</v>
      </c>
      <c r="B1140" s="3">
        <v>400.0</v>
      </c>
      <c r="C1140" s="4"/>
    </row>
    <row r="1141">
      <c r="A1141" s="4" t="s">
        <v>2281</v>
      </c>
      <c r="B1141" s="3">
        <v>0.0</v>
      </c>
      <c r="C1141" s="3" t="s">
        <v>3</v>
      </c>
    </row>
    <row r="1142">
      <c r="A1142" s="4" t="s">
        <v>1547</v>
      </c>
      <c r="B1142" s="3">
        <v>4000.0</v>
      </c>
      <c r="C1142" s="4"/>
    </row>
    <row r="1143">
      <c r="A1143" s="4" t="s">
        <v>1548</v>
      </c>
      <c r="B1143" s="3">
        <v>0.0</v>
      </c>
      <c r="C1143" s="3" t="s">
        <v>484</v>
      </c>
    </row>
    <row r="1144">
      <c r="A1144" s="4" t="s">
        <v>1549</v>
      </c>
      <c r="B1144" s="3">
        <v>0.0</v>
      </c>
      <c r="C1144" s="3" t="s">
        <v>3</v>
      </c>
    </row>
    <row r="1145">
      <c r="A1145" s="4" t="s">
        <v>1550</v>
      </c>
      <c r="B1145" s="3">
        <v>1000.0</v>
      </c>
      <c r="C1145" s="4"/>
    </row>
    <row r="1146">
      <c r="A1146" s="4" t="s">
        <v>1551</v>
      </c>
      <c r="B1146" s="3">
        <v>0.0</v>
      </c>
      <c r="C1146" s="3" t="s">
        <v>3</v>
      </c>
    </row>
    <row r="1147">
      <c r="A1147" s="4" t="s">
        <v>1552</v>
      </c>
      <c r="B1147" s="3">
        <v>50000.0</v>
      </c>
      <c r="C1147" s="4"/>
    </row>
    <row r="1148">
      <c r="A1148" s="4" t="s">
        <v>1553</v>
      </c>
      <c r="B1148" s="3">
        <v>300.0</v>
      </c>
      <c r="C1148" s="4"/>
    </row>
    <row r="1149">
      <c r="A1149" s="4" t="s">
        <v>1554</v>
      </c>
      <c r="B1149" s="3">
        <v>1800.0</v>
      </c>
      <c r="C1149" s="4"/>
    </row>
    <row r="1150">
      <c r="A1150" s="4" t="s">
        <v>1555</v>
      </c>
      <c r="B1150" s="3">
        <v>0.0</v>
      </c>
      <c r="C1150" s="3" t="s">
        <v>32</v>
      </c>
    </row>
    <row r="1151">
      <c r="A1151" s="4" t="s">
        <v>2282</v>
      </c>
      <c r="B1151" s="3">
        <v>678000.0</v>
      </c>
      <c r="C1151" s="4"/>
    </row>
    <row r="1152">
      <c r="A1152" s="4" t="s">
        <v>1559</v>
      </c>
      <c r="B1152" s="3">
        <v>56000.0</v>
      </c>
      <c r="C1152" s="3" t="s">
        <v>3</v>
      </c>
    </row>
    <row r="1153">
      <c r="A1153" s="4" t="s">
        <v>1561</v>
      </c>
      <c r="B1153" s="3">
        <v>12000.0</v>
      </c>
      <c r="C1153" s="3" t="s">
        <v>6</v>
      </c>
    </row>
    <row r="1154">
      <c r="A1154" s="4" t="s">
        <v>1562</v>
      </c>
      <c r="B1154" s="3">
        <v>0.0</v>
      </c>
      <c r="C1154" s="3" t="s">
        <v>3</v>
      </c>
    </row>
    <row r="1155">
      <c r="A1155" s="4" t="s">
        <v>1563</v>
      </c>
      <c r="B1155" s="3">
        <v>46000.0</v>
      </c>
      <c r="C1155" s="4"/>
    </row>
    <row r="1156">
      <c r="A1156" s="4" t="s">
        <v>1565</v>
      </c>
      <c r="B1156" s="3">
        <v>5000.0</v>
      </c>
      <c r="C1156" s="4"/>
    </row>
    <row r="1157">
      <c r="A1157" s="4" t="s">
        <v>1566</v>
      </c>
      <c r="B1157" s="3">
        <v>14653.49</v>
      </c>
      <c r="C1157" s="3" t="s">
        <v>32</v>
      </c>
    </row>
    <row r="1158">
      <c r="A1158" s="4" t="s">
        <v>1568</v>
      </c>
      <c r="B1158" s="3">
        <v>6000.0</v>
      </c>
      <c r="C1158" s="3" t="s">
        <v>32</v>
      </c>
    </row>
    <row r="1159">
      <c r="A1159" s="4" t="s">
        <v>2283</v>
      </c>
      <c r="B1159" s="3">
        <v>110350.0</v>
      </c>
      <c r="C1159" s="3" t="s">
        <v>6</v>
      </c>
    </row>
    <row r="1160">
      <c r="A1160" s="4" t="s">
        <v>1572</v>
      </c>
      <c r="B1160" s="3">
        <v>0.0</v>
      </c>
      <c r="C1160" s="3" t="s">
        <v>3</v>
      </c>
    </row>
    <row r="1161">
      <c r="A1161" s="4" t="s">
        <v>1573</v>
      </c>
      <c r="B1161" s="3">
        <v>0.0</v>
      </c>
      <c r="C1161" s="3" t="s">
        <v>3</v>
      </c>
    </row>
    <row r="1162">
      <c r="A1162" s="4" t="s">
        <v>1574</v>
      </c>
      <c r="B1162" s="3">
        <v>1500.0</v>
      </c>
      <c r="C1162" s="3" t="s">
        <v>6</v>
      </c>
    </row>
    <row r="1163">
      <c r="A1163" s="4" t="s">
        <v>1575</v>
      </c>
      <c r="B1163" s="3">
        <v>1700.0</v>
      </c>
      <c r="C1163" s="4"/>
    </row>
    <row r="1164">
      <c r="A1164" s="4" t="s">
        <v>1576</v>
      </c>
      <c r="B1164" s="3">
        <v>0.0</v>
      </c>
      <c r="C1164" s="3" t="s">
        <v>3</v>
      </c>
    </row>
    <row r="1165">
      <c r="A1165" s="4" t="s">
        <v>1577</v>
      </c>
      <c r="B1165" s="3">
        <v>4500.0</v>
      </c>
      <c r="C1165" s="4"/>
    </row>
    <row r="1166">
      <c r="A1166" s="4" t="s">
        <v>1578</v>
      </c>
      <c r="B1166" s="3">
        <v>0.0</v>
      </c>
      <c r="C1166" s="3" t="s">
        <v>6</v>
      </c>
    </row>
    <row r="1167">
      <c r="A1167" s="4" t="s">
        <v>1579</v>
      </c>
      <c r="B1167" s="3">
        <v>35500.0</v>
      </c>
      <c r="C1167" s="3" t="s">
        <v>32</v>
      </c>
    </row>
    <row r="1168">
      <c r="A1168" s="4" t="s">
        <v>1581</v>
      </c>
      <c r="B1168" s="3">
        <v>6000.0</v>
      </c>
      <c r="C1168" s="3" t="s">
        <v>32</v>
      </c>
    </row>
    <row r="1169">
      <c r="A1169" s="4" t="s">
        <v>1582</v>
      </c>
      <c r="B1169" s="3">
        <v>0.0</v>
      </c>
      <c r="C1169" s="3" t="s">
        <v>29</v>
      </c>
    </row>
    <row r="1170">
      <c r="A1170" s="4" t="s">
        <v>1583</v>
      </c>
      <c r="B1170" s="3">
        <v>0.0</v>
      </c>
      <c r="C1170" s="3" t="s">
        <v>6</v>
      </c>
    </row>
    <row r="1171">
      <c r="A1171" s="4" t="s">
        <v>1584</v>
      </c>
      <c r="B1171" s="3">
        <v>0.0</v>
      </c>
      <c r="C1171" s="3" t="s">
        <v>6</v>
      </c>
    </row>
    <row r="1172">
      <c r="A1172" s="4" t="s">
        <v>1585</v>
      </c>
      <c r="B1172" s="3">
        <v>29000.0</v>
      </c>
      <c r="C1172" s="3" t="s">
        <v>32</v>
      </c>
    </row>
    <row r="1173">
      <c r="A1173" s="4" t="s">
        <v>1587</v>
      </c>
      <c r="B1173" s="3">
        <v>0.0</v>
      </c>
      <c r="C1173" s="3" t="s">
        <v>3</v>
      </c>
    </row>
    <row r="1174">
      <c r="A1174" s="4" t="s">
        <v>1588</v>
      </c>
      <c r="B1174" s="3">
        <v>0.0</v>
      </c>
      <c r="C1174" s="3" t="s">
        <v>3</v>
      </c>
    </row>
    <row r="1175">
      <c r="A1175" s="4" t="s">
        <v>1589</v>
      </c>
      <c r="B1175" s="3">
        <v>3000.0</v>
      </c>
      <c r="C1175" s="3" t="s">
        <v>32</v>
      </c>
    </row>
    <row r="1176">
      <c r="A1176" s="4" t="s">
        <v>1590</v>
      </c>
      <c r="B1176" s="3">
        <v>2500.0</v>
      </c>
      <c r="C1176" s="4"/>
    </row>
    <row r="1177">
      <c r="A1177" s="4" t="s">
        <v>1591</v>
      </c>
      <c r="B1177" s="3">
        <v>0.0</v>
      </c>
      <c r="C1177" s="3" t="s">
        <v>3</v>
      </c>
    </row>
    <row r="1178">
      <c r="A1178" s="4" t="s">
        <v>1592</v>
      </c>
      <c r="B1178" s="3">
        <v>2000.0</v>
      </c>
      <c r="C1178" s="4"/>
    </row>
    <row r="1179">
      <c r="A1179" s="4" t="s">
        <v>1593</v>
      </c>
      <c r="B1179" s="3">
        <v>0.0</v>
      </c>
      <c r="C1179" s="3" t="s">
        <v>3</v>
      </c>
    </row>
    <row r="1180">
      <c r="A1180" s="4" t="s">
        <v>1594</v>
      </c>
      <c r="B1180" s="3">
        <v>5500.0</v>
      </c>
      <c r="C1180" s="3" t="s">
        <v>6</v>
      </c>
    </row>
    <row r="1181">
      <c r="A1181" s="4" t="s">
        <v>1595</v>
      </c>
      <c r="B1181" s="3">
        <v>0.0</v>
      </c>
      <c r="C1181" s="3" t="s">
        <v>6</v>
      </c>
    </row>
    <row r="1182">
      <c r="A1182" s="4" t="s">
        <v>2284</v>
      </c>
      <c r="B1182" s="3">
        <v>37500.0</v>
      </c>
      <c r="C1182" s="3" t="s">
        <v>580</v>
      </c>
    </row>
    <row r="1183">
      <c r="A1183" s="4" t="s">
        <v>1598</v>
      </c>
      <c r="B1183" s="3">
        <v>0.0</v>
      </c>
      <c r="C1183" s="3" t="s">
        <v>32</v>
      </c>
    </row>
    <row r="1184">
      <c r="A1184" s="4" t="s">
        <v>1599</v>
      </c>
      <c r="B1184" s="3">
        <v>0.0</v>
      </c>
      <c r="C1184" s="3" t="s">
        <v>6</v>
      </c>
    </row>
    <row r="1185">
      <c r="A1185" s="4" t="s">
        <v>1600</v>
      </c>
      <c r="B1185" s="3">
        <v>494000.0</v>
      </c>
      <c r="C1185" s="3" t="s">
        <v>32</v>
      </c>
    </row>
    <row r="1186">
      <c r="A1186" s="4" t="s">
        <v>1602</v>
      </c>
      <c r="B1186" s="3">
        <v>800.0</v>
      </c>
      <c r="C1186" s="4"/>
    </row>
    <row r="1187">
      <c r="A1187" s="4" t="s">
        <v>1603</v>
      </c>
      <c r="B1187" s="3">
        <v>2500.0</v>
      </c>
      <c r="C1187" s="3" t="s">
        <v>3</v>
      </c>
    </row>
    <row r="1188">
      <c r="A1188" s="4" t="s">
        <v>1604</v>
      </c>
      <c r="B1188" s="3">
        <v>17528.0</v>
      </c>
      <c r="C1188" s="4"/>
    </row>
    <row r="1189">
      <c r="A1189" s="4" t="s">
        <v>1606</v>
      </c>
      <c r="B1189" s="3">
        <v>7800.0</v>
      </c>
      <c r="C1189" s="3" t="s">
        <v>3</v>
      </c>
    </row>
    <row r="1190">
      <c r="A1190" s="4" t="s">
        <v>1607</v>
      </c>
      <c r="B1190" s="3">
        <v>0.0</v>
      </c>
      <c r="C1190" s="3" t="s">
        <v>3</v>
      </c>
    </row>
    <row r="1191">
      <c r="A1191" s="4" t="s">
        <v>1608</v>
      </c>
      <c r="B1191" s="3">
        <v>0.0</v>
      </c>
      <c r="C1191" s="3" t="s">
        <v>3</v>
      </c>
    </row>
    <row r="1192">
      <c r="A1192" s="4" t="s">
        <v>1609</v>
      </c>
      <c r="B1192" s="3">
        <v>10000.0</v>
      </c>
      <c r="C1192" s="3" t="s">
        <v>32</v>
      </c>
    </row>
    <row r="1193">
      <c r="A1193" s="4" t="s">
        <v>1610</v>
      </c>
      <c r="B1193" s="3">
        <v>4000.0</v>
      </c>
      <c r="C1193" s="4"/>
    </row>
    <row r="1194">
      <c r="A1194" s="4" t="s">
        <v>1611</v>
      </c>
      <c r="B1194" s="3">
        <v>4000.0</v>
      </c>
      <c r="C1194" s="4"/>
    </row>
    <row r="1195">
      <c r="A1195" s="4" t="s">
        <v>2285</v>
      </c>
      <c r="B1195" s="3">
        <v>800.0</v>
      </c>
      <c r="C1195" s="3" t="s">
        <v>3</v>
      </c>
    </row>
    <row r="1196">
      <c r="A1196" s="4" t="s">
        <v>1614</v>
      </c>
      <c r="B1196" s="3">
        <v>0.0</v>
      </c>
      <c r="C1196" s="3" t="s">
        <v>3</v>
      </c>
    </row>
    <row r="1197">
      <c r="A1197" s="4" t="s">
        <v>2286</v>
      </c>
      <c r="B1197" s="3">
        <v>2000.0</v>
      </c>
      <c r="C1197" s="3" t="s">
        <v>3</v>
      </c>
    </row>
    <row r="1198">
      <c r="A1198" s="4" t="s">
        <v>1617</v>
      </c>
      <c r="B1198" s="3">
        <v>0.0</v>
      </c>
      <c r="C1198" s="3" t="s">
        <v>3</v>
      </c>
    </row>
    <row r="1199">
      <c r="A1199" s="4" t="s">
        <v>1618</v>
      </c>
      <c r="B1199" s="3">
        <v>0.0</v>
      </c>
      <c r="C1199" s="3" t="s">
        <v>3</v>
      </c>
    </row>
    <row r="1200">
      <c r="A1200" s="4" t="s">
        <v>1619</v>
      </c>
      <c r="B1200" s="3">
        <v>0.0</v>
      </c>
      <c r="C1200" s="3" t="s">
        <v>29</v>
      </c>
    </row>
    <row r="1201">
      <c r="A1201" s="4" t="s">
        <v>1620</v>
      </c>
      <c r="B1201" s="3">
        <v>40700.0</v>
      </c>
      <c r="C1201" s="3" t="s">
        <v>216</v>
      </c>
    </row>
    <row r="1202">
      <c r="A1202" s="4" t="s">
        <v>1622</v>
      </c>
      <c r="B1202" s="3">
        <v>0.0</v>
      </c>
      <c r="C1202" s="3" t="s">
        <v>3</v>
      </c>
    </row>
    <row r="1203">
      <c r="A1203" s="4" t="s">
        <v>1623</v>
      </c>
      <c r="B1203" s="3">
        <v>0.0</v>
      </c>
      <c r="C1203" s="3" t="s">
        <v>6</v>
      </c>
    </row>
    <row r="1204">
      <c r="A1204" s="4" t="s">
        <v>1624</v>
      </c>
      <c r="B1204" s="3">
        <v>17000.0</v>
      </c>
      <c r="C1204" s="4"/>
    </row>
    <row r="1205">
      <c r="A1205" s="4" t="s">
        <v>1625</v>
      </c>
      <c r="B1205" s="3">
        <v>0.0</v>
      </c>
      <c r="C1205" s="3" t="s">
        <v>29</v>
      </c>
    </row>
    <row r="1206">
      <c r="A1206" s="4" t="s">
        <v>1626</v>
      </c>
      <c r="B1206" s="3">
        <v>10000.0</v>
      </c>
      <c r="C1206" s="3" t="s">
        <v>29</v>
      </c>
    </row>
    <row r="1207">
      <c r="A1207" s="4" t="s">
        <v>1627</v>
      </c>
      <c r="B1207" s="3">
        <v>0.0</v>
      </c>
      <c r="C1207" s="3" t="s">
        <v>6</v>
      </c>
    </row>
    <row r="1208">
      <c r="A1208" s="4" t="s">
        <v>1628</v>
      </c>
      <c r="B1208" s="3">
        <v>4000.0</v>
      </c>
      <c r="C1208" s="4"/>
    </row>
    <row r="1209">
      <c r="A1209" s="4" t="s">
        <v>1629</v>
      </c>
      <c r="B1209" s="3">
        <v>0.0</v>
      </c>
      <c r="C1209" s="3" t="s">
        <v>3</v>
      </c>
    </row>
    <row r="1210">
      <c r="A1210" s="4" t="s">
        <v>1630</v>
      </c>
      <c r="B1210" s="3">
        <v>0.0</v>
      </c>
      <c r="C1210" s="3" t="s">
        <v>3</v>
      </c>
    </row>
    <row r="1211">
      <c r="A1211" s="4" t="s">
        <v>1631</v>
      </c>
      <c r="B1211" s="3">
        <v>0.0</v>
      </c>
      <c r="C1211" s="3" t="s">
        <v>3</v>
      </c>
    </row>
    <row r="1212">
      <c r="A1212" s="4" t="s">
        <v>1632</v>
      </c>
      <c r="B1212" s="3">
        <v>0.0</v>
      </c>
      <c r="C1212" s="3" t="s">
        <v>3</v>
      </c>
    </row>
    <row r="1213">
      <c r="A1213" s="4" t="s">
        <v>1633</v>
      </c>
      <c r="B1213" s="3">
        <v>0.0</v>
      </c>
      <c r="C1213" s="3" t="s">
        <v>668</v>
      </c>
    </row>
    <row r="1214">
      <c r="A1214" s="4" t="s">
        <v>1634</v>
      </c>
      <c r="B1214" s="3">
        <v>0.0</v>
      </c>
      <c r="C1214" s="3" t="s">
        <v>3</v>
      </c>
    </row>
    <row r="1215">
      <c r="A1215" s="4" t="s">
        <v>1635</v>
      </c>
      <c r="B1215" s="3">
        <v>130000.0</v>
      </c>
      <c r="C1215" s="3" t="s">
        <v>3</v>
      </c>
    </row>
    <row r="1216">
      <c r="A1216" s="4" t="s">
        <v>1637</v>
      </c>
      <c r="B1216" s="3">
        <v>20686.0</v>
      </c>
      <c r="C1216" s="4"/>
    </row>
    <row r="1217">
      <c r="A1217" s="4" t="s">
        <v>1639</v>
      </c>
      <c r="B1217" s="3">
        <v>170592.0</v>
      </c>
      <c r="C1217" s="4"/>
    </row>
    <row r="1218">
      <c r="A1218" s="4" t="s">
        <v>1641</v>
      </c>
      <c r="B1218" s="3">
        <v>500.0</v>
      </c>
      <c r="C1218" s="4"/>
    </row>
    <row r="1219">
      <c r="A1219" s="4" t="s">
        <v>1642</v>
      </c>
      <c r="B1219" s="3">
        <v>2000.0</v>
      </c>
      <c r="C1219" s="4"/>
    </row>
    <row r="1220">
      <c r="A1220" s="4" t="s">
        <v>1643</v>
      </c>
      <c r="B1220" s="3">
        <v>865.0</v>
      </c>
      <c r="C1220" s="4"/>
    </row>
    <row r="1221">
      <c r="A1221" s="4" t="s">
        <v>1645</v>
      </c>
      <c r="B1221" s="3">
        <v>0.0</v>
      </c>
      <c r="C1221" s="3" t="s">
        <v>3</v>
      </c>
    </row>
    <row r="1222">
      <c r="A1222" s="4" t="s">
        <v>1646</v>
      </c>
      <c r="B1222" s="3">
        <v>0.0</v>
      </c>
      <c r="C1222" s="3" t="s">
        <v>32</v>
      </c>
    </row>
    <row r="1223">
      <c r="A1223" s="4" t="s">
        <v>2287</v>
      </c>
      <c r="B1223" s="3">
        <v>200.0</v>
      </c>
      <c r="C1223" s="3" t="s">
        <v>3</v>
      </c>
    </row>
    <row r="1224">
      <c r="A1224" s="4" t="s">
        <v>1650</v>
      </c>
      <c r="B1224" s="3">
        <v>0.0</v>
      </c>
      <c r="C1224" s="3" t="s">
        <v>1651</v>
      </c>
    </row>
    <row r="1225">
      <c r="A1225" s="4" t="s">
        <v>1652</v>
      </c>
      <c r="B1225" s="3">
        <v>0.0</v>
      </c>
      <c r="C1225" s="3" t="s">
        <v>3</v>
      </c>
    </row>
    <row r="1226">
      <c r="A1226" s="4" t="s">
        <v>1653</v>
      </c>
      <c r="B1226" s="3">
        <v>1000.0</v>
      </c>
      <c r="C1226" s="4"/>
    </row>
    <row r="1227">
      <c r="A1227" s="4" t="s">
        <v>1654</v>
      </c>
      <c r="B1227" s="3">
        <v>120000.0</v>
      </c>
      <c r="C1227" s="4"/>
    </row>
    <row r="1228">
      <c r="A1228" s="4" t="s">
        <v>1656</v>
      </c>
      <c r="B1228" s="3">
        <v>1500.0</v>
      </c>
      <c r="C1228" s="4"/>
    </row>
    <row r="1229">
      <c r="A1229" s="4" t="s">
        <v>1657</v>
      </c>
      <c r="B1229" s="3">
        <v>0.0</v>
      </c>
      <c r="C1229" s="3" t="s">
        <v>3</v>
      </c>
    </row>
    <row r="1230">
      <c r="A1230" s="4" t="s">
        <v>1658</v>
      </c>
      <c r="B1230" s="3">
        <v>4000.0</v>
      </c>
      <c r="C1230" s="4"/>
    </row>
    <row r="1231">
      <c r="A1231" s="4" t="s">
        <v>1659</v>
      </c>
      <c r="B1231" s="3">
        <v>600.0</v>
      </c>
      <c r="C1231" s="4"/>
    </row>
    <row r="1232">
      <c r="A1232" s="4" t="s">
        <v>1660</v>
      </c>
      <c r="B1232" s="3">
        <v>0.0</v>
      </c>
      <c r="C1232" s="3" t="s">
        <v>3</v>
      </c>
    </row>
    <row r="1233">
      <c r="A1233" s="4" t="s">
        <v>1661</v>
      </c>
      <c r="B1233" s="3">
        <v>0.0</v>
      </c>
      <c r="C1233" s="3" t="s">
        <v>3</v>
      </c>
    </row>
    <row r="1234">
      <c r="A1234" s="4" t="s">
        <v>1662</v>
      </c>
      <c r="B1234" s="3">
        <v>14000.0</v>
      </c>
      <c r="C1234" s="4"/>
    </row>
    <row r="1235">
      <c r="A1235" s="4" t="s">
        <v>1663</v>
      </c>
      <c r="B1235" s="3">
        <v>600.0</v>
      </c>
      <c r="C1235" s="4"/>
    </row>
    <row r="1236">
      <c r="A1236" s="4" t="s">
        <v>1664</v>
      </c>
      <c r="B1236" s="3">
        <v>0.0</v>
      </c>
      <c r="C1236" s="3" t="s">
        <v>3</v>
      </c>
    </row>
    <row r="1237">
      <c r="A1237" s="4" t="s">
        <v>2288</v>
      </c>
      <c r="B1237" s="3">
        <v>27000.0</v>
      </c>
      <c r="C1237" s="3" t="s">
        <v>580</v>
      </c>
    </row>
    <row r="1238">
      <c r="A1238" s="4" t="s">
        <v>1666</v>
      </c>
      <c r="B1238" s="3">
        <v>0.0</v>
      </c>
      <c r="C1238" s="3" t="s">
        <v>6</v>
      </c>
    </row>
    <row r="1239">
      <c r="A1239" s="4" t="s">
        <v>1667</v>
      </c>
      <c r="B1239" s="3">
        <v>2500.0</v>
      </c>
      <c r="C1239" s="4"/>
    </row>
    <row r="1240">
      <c r="A1240" s="4" t="s">
        <v>1668</v>
      </c>
      <c r="B1240" s="3">
        <v>0.0</v>
      </c>
      <c r="C1240" s="3" t="s">
        <v>3</v>
      </c>
    </row>
    <row r="1241">
      <c r="A1241" s="4" t="s">
        <v>1669</v>
      </c>
      <c r="B1241" s="3">
        <v>1000.0</v>
      </c>
      <c r="C1241" s="3" t="s">
        <v>32</v>
      </c>
    </row>
    <row r="1242">
      <c r="A1242" s="4" t="s">
        <v>1670</v>
      </c>
      <c r="B1242" s="3">
        <v>0.0</v>
      </c>
      <c r="C1242" s="3" t="s">
        <v>3</v>
      </c>
    </row>
    <row r="1243">
      <c r="A1243" s="4" t="s">
        <v>1671</v>
      </c>
      <c r="B1243" s="3">
        <v>22500.0</v>
      </c>
      <c r="C1243" s="4"/>
    </row>
    <row r="1244">
      <c r="A1244" s="4" t="s">
        <v>1672</v>
      </c>
      <c r="B1244" s="3">
        <v>2500.0</v>
      </c>
      <c r="C1244" s="4"/>
    </row>
    <row r="1245">
      <c r="A1245" s="4" t="s">
        <v>1673</v>
      </c>
      <c r="B1245" s="3">
        <v>567000.0</v>
      </c>
      <c r="C1245" s="3" t="s">
        <v>6</v>
      </c>
    </row>
    <row r="1246">
      <c r="A1246" s="4" t="s">
        <v>1675</v>
      </c>
      <c r="B1246" s="3">
        <v>0.0</v>
      </c>
      <c r="C1246" s="3" t="s">
        <v>3</v>
      </c>
    </row>
    <row r="1247">
      <c r="A1247" s="4" t="s">
        <v>2289</v>
      </c>
      <c r="B1247" s="3">
        <v>237000.0</v>
      </c>
      <c r="C1247" s="3" t="s">
        <v>580</v>
      </c>
    </row>
    <row r="1248">
      <c r="A1248" s="4" t="s">
        <v>1678</v>
      </c>
      <c r="B1248" s="3">
        <v>1000.0</v>
      </c>
      <c r="C1248" s="3" t="s">
        <v>32</v>
      </c>
    </row>
    <row r="1249">
      <c r="A1249" s="4" t="s">
        <v>1679</v>
      </c>
      <c r="B1249" s="3">
        <v>1800.0</v>
      </c>
      <c r="C1249" s="4"/>
    </row>
    <row r="1250">
      <c r="A1250" s="4" t="s">
        <v>2290</v>
      </c>
      <c r="B1250" s="3">
        <v>0.0</v>
      </c>
      <c r="C1250" s="3" t="s">
        <v>3</v>
      </c>
    </row>
    <row r="1251">
      <c r="A1251" s="4" t="s">
        <v>1682</v>
      </c>
      <c r="B1251" s="3">
        <v>0.0</v>
      </c>
      <c r="C1251" s="3" t="s">
        <v>3</v>
      </c>
    </row>
    <row r="1252">
      <c r="A1252" s="4" t="s">
        <v>1683</v>
      </c>
      <c r="B1252" s="3">
        <v>1650.0</v>
      </c>
      <c r="C1252" s="4"/>
    </row>
    <row r="1253">
      <c r="A1253" s="4" t="s">
        <v>1685</v>
      </c>
      <c r="B1253" s="3">
        <v>0.0</v>
      </c>
      <c r="C1253" s="3" t="s">
        <v>3</v>
      </c>
    </row>
    <row r="1254">
      <c r="A1254" s="4" t="s">
        <v>1686</v>
      </c>
      <c r="B1254" s="3">
        <v>0.0</v>
      </c>
      <c r="C1254" s="3" t="s">
        <v>3</v>
      </c>
    </row>
    <row r="1255">
      <c r="A1255" s="4" t="s">
        <v>1687</v>
      </c>
      <c r="B1255" s="3">
        <v>0.0</v>
      </c>
      <c r="C1255" s="3" t="s">
        <v>29</v>
      </c>
    </row>
    <row r="1256">
      <c r="A1256" s="4" t="s">
        <v>1688</v>
      </c>
      <c r="B1256" s="3">
        <v>2000.0</v>
      </c>
      <c r="C1256" s="3" t="s">
        <v>3</v>
      </c>
    </row>
    <row r="1257">
      <c r="A1257" s="4" t="s">
        <v>1689</v>
      </c>
      <c r="B1257" s="3">
        <v>700.0</v>
      </c>
      <c r="C1257" s="4"/>
    </row>
    <row r="1258">
      <c r="A1258" s="4" t="s">
        <v>1690</v>
      </c>
      <c r="B1258" s="3">
        <v>0.0</v>
      </c>
      <c r="C1258" s="3" t="s">
        <v>29</v>
      </c>
    </row>
    <row r="1259">
      <c r="A1259" s="4" t="s">
        <v>1691</v>
      </c>
      <c r="B1259" s="3">
        <v>0.0</v>
      </c>
      <c r="C1259" s="3" t="s">
        <v>484</v>
      </c>
    </row>
    <row r="1260">
      <c r="A1260" s="4" t="s">
        <v>1692</v>
      </c>
      <c r="B1260" s="3">
        <v>10000.0</v>
      </c>
      <c r="C1260" s="3" t="s">
        <v>1693</v>
      </c>
    </row>
    <row r="1261">
      <c r="A1261" s="4" t="s">
        <v>1694</v>
      </c>
      <c r="B1261" s="3">
        <v>0.0</v>
      </c>
      <c r="C1261" s="3" t="s">
        <v>32</v>
      </c>
    </row>
    <row r="1262">
      <c r="A1262" s="4" t="s">
        <v>1695</v>
      </c>
      <c r="B1262" s="3">
        <v>0.0</v>
      </c>
      <c r="C1262" s="3" t="s">
        <v>3</v>
      </c>
    </row>
    <row r="1263">
      <c r="A1263" s="4" t="s">
        <v>1696</v>
      </c>
      <c r="B1263" s="3">
        <v>800.0</v>
      </c>
      <c r="C1263" s="4"/>
    </row>
    <row r="1264">
      <c r="A1264" s="4" t="s">
        <v>1697</v>
      </c>
      <c r="B1264" s="3">
        <v>500.0</v>
      </c>
      <c r="C1264" s="3" t="s">
        <v>32</v>
      </c>
    </row>
    <row r="1265">
      <c r="A1265" s="4" t="s">
        <v>1698</v>
      </c>
      <c r="B1265" s="3">
        <v>1500.0</v>
      </c>
      <c r="C1265" s="3" t="s">
        <v>6</v>
      </c>
    </row>
    <row r="1266">
      <c r="A1266" s="4" t="s">
        <v>1699</v>
      </c>
      <c r="B1266" s="3">
        <v>0.0</v>
      </c>
      <c r="C1266" s="3" t="s">
        <v>3</v>
      </c>
    </row>
    <row r="1267">
      <c r="A1267" s="4" t="s">
        <v>1700</v>
      </c>
      <c r="B1267" s="3">
        <v>0.0</v>
      </c>
      <c r="C1267" s="3" t="s">
        <v>3</v>
      </c>
    </row>
    <row r="1268">
      <c r="A1268" s="4" t="s">
        <v>1701</v>
      </c>
      <c r="B1268" s="3">
        <v>2500.0</v>
      </c>
      <c r="C1268" s="3" t="s">
        <v>3</v>
      </c>
    </row>
    <row r="1269">
      <c r="A1269" s="4" t="s">
        <v>1702</v>
      </c>
      <c r="B1269" s="3">
        <v>1000.0</v>
      </c>
      <c r="C1269" s="3" t="s">
        <v>3</v>
      </c>
    </row>
    <row r="1270">
      <c r="A1270" s="4" t="s">
        <v>1703</v>
      </c>
      <c r="B1270" s="3">
        <v>0.0</v>
      </c>
      <c r="C1270" s="3" t="s">
        <v>3</v>
      </c>
    </row>
    <row r="1271">
      <c r="A1271" s="4" t="s">
        <v>1704</v>
      </c>
      <c r="B1271" s="3">
        <v>0.0</v>
      </c>
      <c r="C1271" s="3" t="s">
        <v>3</v>
      </c>
    </row>
    <row r="1272">
      <c r="A1272" s="4" t="s">
        <v>1705</v>
      </c>
      <c r="B1272" s="3">
        <v>0.0</v>
      </c>
      <c r="C1272" s="3" t="s">
        <v>3</v>
      </c>
    </row>
    <row r="1273">
      <c r="A1273" s="4" t="s">
        <v>1706</v>
      </c>
      <c r="B1273" s="3">
        <v>0.0</v>
      </c>
      <c r="C1273" s="3" t="s">
        <v>6</v>
      </c>
    </row>
    <row r="1274">
      <c r="A1274" s="4" t="s">
        <v>1707</v>
      </c>
      <c r="B1274" s="3">
        <v>0.0</v>
      </c>
      <c r="C1274" s="3" t="s">
        <v>6</v>
      </c>
    </row>
    <row r="1275">
      <c r="A1275" s="4" t="s">
        <v>1708</v>
      </c>
      <c r="B1275" s="3">
        <v>0.0</v>
      </c>
      <c r="C1275" s="3" t="s">
        <v>3</v>
      </c>
    </row>
    <row r="1276">
      <c r="A1276" s="4" t="s">
        <v>1709</v>
      </c>
      <c r="B1276" s="3">
        <v>4000.0</v>
      </c>
      <c r="C1276" s="4"/>
    </row>
    <row r="1277">
      <c r="A1277" s="4" t="s">
        <v>1710</v>
      </c>
      <c r="B1277" s="3">
        <v>3000.0</v>
      </c>
      <c r="C1277" s="3" t="s">
        <v>6</v>
      </c>
    </row>
    <row r="1278">
      <c r="A1278" s="4" t="s">
        <v>1711</v>
      </c>
      <c r="B1278" s="3">
        <v>0.0</v>
      </c>
      <c r="C1278" s="3" t="s">
        <v>3</v>
      </c>
    </row>
    <row r="1279">
      <c r="A1279" s="4" t="s">
        <v>1712</v>
      </c>
      <c r="B1279" s="3">
        <v>500.0</v>
      </c>
      <c r="C1279" s="4"/>
    </row>
    <row r="1280">
      <c r="A1280" s="4" t="s">
        <v>2291</v>
      </c>
      <c r="B1280" s="3">
        <v>1000.0</v>
      </c>
      <c r="C1280" s="3" t="s">
        <v>668</v>
      </c>
    </row>
    <row r="1281">
      <c r="A1281" s="4" t="s">
        <v>2292</v>
      </c>
      <c r="B1281" s="3">
        <v>357672.0</v>
      </c>
      <c r="C1281" s="3" t="s">
        <v>3</v>
      </c>
    </row>
    <row r="1282">
      <c r="A1282" s="4" t="s">
        <v>1718</v>
      </c>
      <c r="B1282" s="3">
        <v>21350.0</v>
      </c>
      <c r="C1282" s="3" t="s">
        <v>32</v>
      </c>
    </row>
    <row r="1283">
      <c r="A1283" s="4" t="s">
        <v>1720</v>
      </c>
      <c r="B1283" s="3">
        <v>0.0</v>
      </c>
      <c r="C1283" s="3" t="s">
        <v>3</v>
      </c>
    </row>
    <row r="1284">
      <c r="A1284" s="4" t="s">
        <v>1721</v>
      </c>
      <c r="B1284" s="3">
        <v>0.0</v>
      </c>
      <c r="C1284" s="3" t="s">
        <v>3</v>
      </c>
    </row>
    <row r="1285">
      <c r="A1285" s="4" t="s">
        <v>1722</v>
      </c>
      <c r="B1285" s="3">
        <v>0.0</v>
      </c>
      <c r="C1285" s="3" t="s">
        <v>3</v>
      </c>
    </row>
    <row r="1286">
      <c r="A1286" s="4" t="s">
        <v>1723</v>
      </c>
      <c r="B1286" s="3">
        <v>3800.0</v>
      </c>
      <c r="C1286" s="4"/>
    </row>
    <row r="1287">
      <c r="A1287" s="4" t="s">
        <v>1725</v>
      </c>
      <c r="B1287" s="3">
        <v>150.0</v>
      </c>
      <c r="C1287" s="4"/>
    </row>
    <row r="1288">
      <c r="A1288" s="4" t="s">
        <v>2293</v>
      </c>
      <c r="B1288" s="3">
        <v>0.0</v>
      </c>
      <c r="C1288" s="3" t="s">
        <v>32</v>
      </c>
    </row>
    <row r="1289">
      <c r="A1289" s="4" t="s">
        <v>1728</v>
      </c>
      <c r="B1289" s="3">
        <v>0.0</v>
      </c>
      <c r="C1289" s="3" t="s">
        <v>3</v>
      </c>
    </row>
    <row r="1290">
      <c r="A1290" s="4" t="s">
        <v>1729</v>
      </c>
      <c r="B1290" s="3">
        <v>0.0</v>
      </c>
      <c r="C1290" s="3" t="s">
        <v>3</v>
      </c>
    </row>
    <row r="1291">
      <c r="A1291" s="4" t="s">
        <v>1730</v>
      </c>
      <c r="B1291" s="3">
        <v>0.0</v>
      </c>
      <c r="C1291" s="3" t="s">
        <v>29</v>
      </c>
    </row>
    <row r="1292">
      <c r="A1292" s="4" t="s">
        <v>1731</v>
      </c>
      <c r="B1292" s="3">
        <v>0.0</v>
      </c>
      <c r="C1292" s="3" t="s">
        <v>6</v>
      </c>
    </row>
    <row r="1293">
      <c r="A1293" s="4" t="s">
        <v>1732</v>
      </c>
      <c r="B1293" s="3">
        <v>0.0</v>
      </c>
      <c r="C1293" s="3" t="s">
        <v>3</v>
      </c>
    </row>
    <row r="1294">
      <c r="A1294" s="4" t="s">
        <v>1733</v>
      </c>
      <c r="B1294" s="3">
        <v>31500.0</v>
      </c>
      <c r="C1294" s="3" t="s">
        <v>3</v>
      </c>
    </row>
    <row r="1295">
      <c r="A1295" s="4" t="s">
        <v>1735</v>
      </c>
      <c r="B1295" s="3">
        <v>10000.0</v>
      </c>
      <c r="C1295" s="4"/>
    </row>
    <row r="1296">
      <c r="A1296" s="4" t="s">
        <v>1736</v>
      </c>
      <c r="B1296" s="3">
        <v>35000.0</v>
      </c>
      <c r="C1296" s="3" t="s">
        <v>280</v>
      </c>
    </row>
    <row r="1297">
      <c r="A1297" s="4" t="s">
        <v>1737</v>
      </c>
      <c r="B1297" s="3">
        <v>0.0</v>
      </c>
      <c r="C1297" s="3" t="s">
        <v>3</v>
      </c>
    </row>
    <row r="1298">
      <c r="A1298" s="4" t="s">
        <v>1738</v>
      </c>
      <c r="B1298" s="3">
        <v>1500.0</v>
      </c>
      <c r="C1298" s="4"/>
    </row>
    <row r="1299">
      <c r="A1299" s="4" t="s">
        <v>1739</v>
      </c>
      <c r="B1299" s="3">
        <v>22000.0</v>
      </c>
      <c r="C1299" s="3" t="s">
        <v>484</v>
      </c>
    </row>
    <row r="1300">
      <c r="A1300" s="4" t="s">
        <v>1740</v>
      </c>
      <c r="B1300" s="3">
        <v>0.0</v>
      </c>
      <c r="C1300" s="3" t="s">
        <v>3</v>
      </c>
    </row>
    <row r="1301">
      <c r="A1301" s="4" t="s">
        <v>2294</v>
      </c>
      <c r="B1301" s="3">
        <v>0.0</v>
      </c>
      <c r="C1301" s="3" t="s">
        <v>3</v>
      </c>
    </row>
    <row r="1302">
      <c r="A1302" s="4" t="s">
        <v>1743</v>
      </c>
      <c r="B1302" s="3">
        <v>0.0</v>
      </c>
      <c r="C1302" s="3" t="s">
        <v>3</v>
      </c>
    </row>
    <row r="1303">
      <c r="A1303" s="4" t="s">
        <v>1744</v>
      </c>
      <c r="B1303" s="3">
        <v>9520.0</v>
      </c>
      <c r="C1303" s="4"/>
    </row>
    <row r="1304">
      <c r="A1304" s="4" t="s">
        <v>1746</v>
      </c>
      <c r="B1304" s="3">
        <v>900.0</v>
      </c>
      <c r="C1304" s="4"/>
    </row>
    <row r="1305">
      <c r="A1305" s="4" t="s">
        <v>1747</v>
      </c>
      <c r="B1305" s="3">
        <v>7100.0</v>
      </c>
      <c r="C1305" s="3" t="s">
        <v>6</v>
      </c>
    </row>
    <row r="1306">
      <c r="A1306" s="4" t="s">
        <v>1749</v>
      </c>
      <c r="B1306" s="3">
        <v>0.0</v>
      </c>
      <c r="C1306" s="3" t="s">
        <v>6</v>
      </c>
    </row>
    <row r="1307">
      <c r="A1307" s="4" t="s">
        <v>1750</v>
      </c>
      <c r="B1307" s="3">
        <v>0.0</v>
      </c>
      <c r="C1307" s="3" t="s">
        <v>6</v>
      </c>
    </row>
    <row r="1308">
      <c r="A1308" s="4" t="s">
        <v>1751</v>
      </c>
      <c r="B1308" s="3">
        <v>51000.0</v>
      </c>
      <c r="C1308" s="3" t="s">
        <v>3</v>
      </c>
    </row>
    <row r="1309">
      <c r="A1309" s="4" t="s">
        <v>1753</v>
      </c>
      <c r="B1309" s="3">
        <v>0.0</v>
      </c>
      <c r="C1309" s="3" t="s">
        <v>32</v>
      </c>
    </row>
    <row r="1310">
      <c r="A1310" s="4" t="s">
        <v>1754</v>
      </c>
      <c r="B1310" s="3">
        <v>6000.0</v>
      </c>
      <c r="C1310" s="3" t="s">
        <v>32</v>
      </c>
    </row>
    <row r="1311">
      <c r="A1311" s="4" t="s">
        <v>1755</v>
      </c>
      <c r="B1311" s="3">
        <v>0.0</v>
      </c>
      <c r="C1311" s="3" t="s">
        <v>3</v>
      </c>
    </row>
    <row r="1312">
      <c r="A1312" s="4" t="s">
        <v>1756</v>
      </c>
      <c r="B1312" s="3">
        <v>29985.0</v>
      </c>
      <c r="C1312" s="4"/>
    </row>
    <row r="1313">
      <c r="A1313" s="4" t="s">
        <v>1758</v>
      </c>
      <c r="B1313" s="3">
        <v>2000.0</v>
      </c>
      <c r="C1313" s="4"/>
    </row>
    <row r="1314">
      <c r="A1314" s="4" t="s">
        <v>1759</v>
      </c>
      <c r="B1314" s="3">
        <v>10000.0</v>
      </c>
      <c r="C1314" s="3" t="s">
        <v>6</v>
      </c>
    </row>
    <row r="1315">
      <c r="A1315" s="4" t="s">
        <v>1760</v>
      </c>
      <c r="B1315" s="3">
        <v>0.0</v>
      </c>
      <c r="C1315" s="3" t="s">
        <v>3</v>
      </c>
    </row>
    <row r="1316">
      <c r="A1316" s="4" t="s">
        <v>1761</v>
      </c>
      <c r="B1316" s="3">
        <v>64000.0</v>
      </c>
      <c r="C1316" s="4"/>
    </row>
    <row r="1317">
      <c r="A1317" s="4" t="s">
        <v>1763</v>
      </c>
      <c r="B1317" s="3">
        <v>0.0</v>
      </c>
      <c r="C1317" s="3" t="s">
        <v>3</v>
      </c>
    </row>
    <row r="1318">
      <c r="A1318" s="4" t="s">
        <v>1764</v>
      </c>
      <c r="B1318" s="3">
        <v>10000.0</v>
      </c>
      <c r="C1318" s="3" t="s">
        <v>3</v>
      </c>
    </row>
    <row r="1319">
      <c r="A1319" s="4" t="s">
        <v>1765</v>
      </c>
      <c r="B1319" s="3">
        <v>600.0</v>
      </c>
      <c r="C1319" s="3" t="s">
        <v>32</v>
      </c>
    </row>
    <row r="1320">
      <c r="A1320" s="4" t="s">
        <v>1766</v>
      </c>
      <c r="B1320" s="3">
        <v>9750.0</v>
      </c>
      <c r="C1320" s="3" t="s">
        <v>32</v>
      </c>
    </row>
    <row r="1321">
      <c r="A1321" s="4" t="s">
        <v>1768</v>
      </c>
      <c r="B1321" s="3">
        <v>0.0</v>
      </c>
      <c r="C1321" s="3" t="s">
        <v>6</v>
      </c>
    </row>
    <row r="1322">
      <c r="A1322" s="4" t="s">
        <v>1769</v>
      </c>
      <c r="B1322" s="3">
        <v>0.0</v>
      </c>
      <c r="C1322" s="3" t="s">
        <v>3</v>
      </c>
    </row>
    <row r="1323">
      <c r="A1323" s="4" t="s">
        <v>1770</v>
      </c>
      <c r="B1323" s="3">
        <v>0.0</v>
      </c>
      <c r="C1323" s="3" t="s">
        <v>29</v>
      </c>
    </row>
    <row r="1324">
      <c r="A1324" s="4" t="s">
        <v>1771</v>
      </c>
      <c r="B1324" s="3">
        <v>0.0</v>
      </c>
      <c r="C1324" s="3" t="s">
        <v>3</v>
      </c>
    </row>
    <row r="1325">
      <c r="A1325" s="4" t="s">
        <v>1772</v>
      </c>
      <c r="B1325" s="3">
        <v>0.0</v>
      </c>
      <c r="C1325" s="3" t="s">
        <v>32</v>
      </c>
    </row>
    <row r="1326">
      <c r="A1326" s="4" t="s">
        <v>1773</v>
      </c>
      <c r="B1326" s="3">
        <v>6182.0</v>
      </c>
      <c r="C1326" s="4"/>
    </row>
    <row r="1327">
      <c r="A1327" s="4" t="s">
        <v>2295</v>
      </c>
      <c r="B1327" s="3">
        <v>2000.0</v>
      </c>
      <c r="C1327" s="3" t="s">
        <v>3</v>
      </c>
    </row>
    <row r="1328">
      <c r="A1328" s="4" t="s">
        <v>1777</v>
      </c>
      <c r="B1328" s="3">
        <v>800.0</v>
      </c>
      <c r="C1328" s="3" t="s">
        <v>29</v>
      </c>
    </row>
    <row r="1329">
      <c r="A1329" s="4" t="s">
        <v>1778</v>
      </c>
      <c r="B1329" s="3">
        <v>650.0</v>
      </c>
      <c r="C1329" s="4"/>
    </row>
    <row r="1330">
      <c r="A1330" s="4" t="s">
        <v>1780</v>
      </c>
      <c r="B1330" s="3">
        <v>0.0</v>
      </c>
      <c r="C1330" s="3" t="s">
        <v>32</v>
      </c>
    </row>
    <row r="1331">
      <c r="A1331" s="4" t="s">
        <v>1781</v>
      </c>
      <c r="B1331" s="3">
        <v>3000.0</v>
      </c>
      <c r="C1331" s="4"/>
    </row>
    <row r="1332">
      <c r="A1332" s="4" t="s">
        <v>1782</v>
      </c>
      <c r="B1332" s="3">
        <v>3700.0</v>
      </c>
      <c r="C1332" s="3" t="s">
        <v>32</v>
      </c>
    </row>
    <row r="1333">
      <c r="A1333" s="4" t="s">
        <v>1783</v>
      </c>
      <c r="B1333" s="3">
        <v>4400.0</v>
      </c>
      <c r="C1333" s="4"/>
    </row>
    <row r="1334">
      <c r="A1334" s="4" t="s">
        <v>1784</v>
      </c>
      <c r="B1334" s="3">
        <v>0.0</v>
      </c>
      <c r="C1334" s="3" t="s">
        <v>3</v>
      </c>
    </row>
    <row r="1335">
      <c r="A1335" s="4" t="s">
        <v>1785</v>
      </c>
      <c r="B1335" s="3">
        <v>0.0</v>
      </c>
      <c r="C1335" s="3" t="s">
        <v>3</v>
      </c>
    </row>
    <row r="1336">
      <c r="A1336" s="4" t="s">
        <v>1786</v>
      </c>
      <c r="B1336" s="3">
        <v>0.0</v>
      </c>
      <c r="C1336" s="3" t="s">
        <v>6</v>
      </c>
    </row>
    <row r="1337">
      <c r="A1337" s="4" t="s">
        <v>1787</v>
      </c>
      <c r="B1337" s="3">
        <v>280000.0</v>
      </c>
      <c r="C1337" s="3" t="s">
        <v>6</v>
      </c>
    </row>
    <row r="1338">
      <c r="A1338" s="4" t="s">
        <v>1789</v>
      </c>
      <c r="B1338" s="3">
        <v>450000.0</v>
      </c>
      <c r="C1338" s="3" t="s">
        <v>6</v>
      </c>
    </row>
    <row r="1339">
      <c r="A1339" s="4" t="s">
        <v>1791</v>
      </c>
      <c r="B1339" s="3">
        <v>2000.0</v>
      </c>
      <c r="C1339" s="3" t="s">
        <v>29</v>
      </c>
    </row>
    <row r="1340">
      <c r="A1340" s="4" t="s">
        <v>2296</v>
      </c>
      <c r="B1340" s="3">
        <v>2000.0</v>
      </c>
      <c r="C1340" s="4"/>
    </row>
    <row r="1341">
      <c r="A1341" s="4" t="s">
        <v>1794</v>
      </c>
      <c r="B1341" s="3">
        <v>0.0</v>
      </c>
      <c r="C1341" s="3" t="s">
        <v>3</v>
      </c>
    </row>
    <row r="1342">
      <c r="A1342" s="4" t="s">
        <v>1795</v>
      </c>
      <c r="B1342" s="3">
        <v>3500.0</v>
      </c>
      <c r="C1342" s="4"/>
    </row>
    <row r="1343">
      <c r="A1343" s="4" t="s">
        <v>1796</v>
      </c>
      <c r="B1343" s="3">
        <v>0.0</v>
      </c>
      <c r="C1343" s="3" t="s">
        <v>3</v>
      </c>
    </row>
    <row r="1344">
      <c r="A1344" s="4" t="s">
        <v>2297</v>
      </c>
      <c r="B1344" s="3">
        <v>0.0</v>
      </c>
      <c r="C1344" s="3" t="s">
        <v>32</v>
      </c>
    </row>
    <row r="1345">
      <c r="A1345" s="4" t="s">
        <v>1799</v>
      </c>
      <c r="B1345" s="3">
        <v>0.0</v>
      </c>
      <c r="C1345" s="3" t="s">
        <v>29</v>
      </c>
    </row>
    <row r="1346">
      <c r="A1346" s="4" t="s">
        <v>2298</v>
      </c>
      <c r="B1346" s="3">
        <v>73250.0</v>
      </c>
      <c r="C1346" s="3" t="s">
        <v>1373</v>
      </c>
    </row>
    <row r="1347">
      <c r="A1347" s="4" t="s">
        <v>2299</v>
      </c>
      <c r="B1347" s="3">
        <v>0.0</v>
      </c>
      <c r="C1347" s="3" t="s">
        <v>6</v>
      </c>
    </row>
    <row r="1348">
      <c r="A1348" s="4" t="s">
        <v>2300</v>
      </c>
      <c r="B1348" s="3">
        <v>0.0</v>
      </c>
      <c r="C1348" s="3" t="s">
        <v>29</v>
      </c>
    </row>
    <row r="1349">
      <c r="A1349" s="4" t="s">
        <v>1805</v>
      </c>
      <c r="B1349" s="3">
        <v>9980.0</v>
      </c>
      <c r="C1349" s="3" t="s">
        <v>32</v>
      </c>
    </row>
    <row r="1350">
      <c r="A1350" s="4" t="s">
        <v>1807</v>
      </c>
      <c r="B1350" s="3">
        <v>0.0</v>
      </c>
      <c r="C1350" s="3" t="s">
        <v>668</v>
      </c>
    </row>
    <row r="1351">
      <c r="A1351" s="4" t="s">
        <v>1808</v>
      </c>
      <c r="B1351" s="3">
        <v>4000.0</v>
      </c>
      <c r="C1351" s="4"/>
    </row>
    <row r="1352">
      <c r="A1352" s="4" t="s">
        <v>1809</v>
      </c>
      <c r="B1352" s="3">
        <v>1000.0</v>
      </c>
      <c r="C1352" s="4"/>
    </row>
    <row r="1353">
      <c r="A1353" s="4" t="s">
        <v>1810</v>
      </c>
      <c r="B1353" s="3">
        <v>2000.0</v>
      </c>
      <c r="C1353" s="3" t="s">
        <v>3</v>
      </c>
    </row>
    <row r="1354">
      <c r="A1354" s="4" t="s">
        <v>1811</v>
      </c>
      <c r="B1354" s="3">
        <v>16770.0</v>
      </c>
      <c r="C1354" s="3" t="s">
        <v>3</v>
      </c>
    </row>
    <row r="1355">
      <c r="A1355" s="4" t="s">
        <v>1813</v>
      </c>
      <c r="B1355" s="3">
        <v>300.0</v>
      </c>
      <c r="C1355" s="4"/>
    </row>
    <row r="1356">
      <c r="A1356" s="4" t="s">
        <v>1814</v>
      </c>
      <c r="B1356" s="3">
        <v>0.0</v>
      </c>
      <c r="C1356" s="3" t="s">
        <v>3</v>
      </c>
    </row>
    <row r="1357">
      <c r="A1357" s="4" t="s">
        <v>2301</v>
      </c>
      <c r="B1357" s="3">
        <v>500.0</v>
      </c>
      <c r="C1357" s="4"/>
    </row>
    <row r="1358">
      <c r="A1358" s="4" t="s">
        <v>2302</v>
      </c>
      <c r="B1358" s="3">
        <v>0.0</v>
      </c>
      <c r="C1358" s="3" t="s">
        <v>3</v>
      </c>
    </row>
    <row r="1359">
      <c r="A1359" s="4" t="s">
        <v>1818</v>
      </c>
      <c r="B1359" s="3">
        <v>0.0</v>
      </c>
      <c r="C1359" s="3" t="s">
        <v>3</v>
      </c>
    </row>
    <row r="1360">
      <c r="A1360" s="4" t="s">
        <v>2303</v>
      </c>
      <c r="B1360" s="3">
        <v>2500.0</v>
      </c>
      <c r="C1360" s="3" t="s">
        <v>3</v>
      </c>
    </row>
    <row r="1361">
      <c r="A1361" s="4" t="s">
        <v>1821</v>
      </c>
      <c r="B1361" s="3">
        <v>0.0</v>
      </c>
      <c r="C1361" s="3" t="s">
        <v>3</v>
      </c>
    </row>
    <row r="1362">
      <c r="A1362" s="4" t="s">
        <v>1822</v>
      </c>
      <c r="B1362" s="3">
        <v>300.0</v>
      </c>
      <c r="C1362" s="4"/>
    </row>
    <row r="1363">
      <c r="A1363" s="4" t="s">
        <v>2304</v>
      </c>
      <c r="B1363" s="3">
        <v>9500.0</v>
      </c>
      <c r="C1363" s="3" t="s">
        <v>3</v>
      </c>
    </row>
    <row r="1364">
      <c r="A1364" s="4" t="s">
        <v>1825</v>
      </c>
      <c r="B1364" s="3">
        <v>0.0</v>
      </c>
      <c r="C1364" s="3" t="s">
        <v>3</v>
      </c>
    </row>
    <row r="1365">
      <c r="A1365" s="4" t="s">
        <v>1826</v>
      </c>
      <c r="B1365" s="3">
        <v>0.0</v>
      </c>
      <c r="C1365" s="3" t="s">
        <v>3</v>
      </c>
    </row>
    <row r="1366">
      <c r="A1366" s="4" t="s">
        <v>2305</v>
      </c>
      <c r="B1366" s="3">
        <v>0.0</v>
      </c>
      <c r="C1366" s="3" t="s">
        <v>3</v>
      </c>
    </row>
    <row r="1367">
      <c r="A1367" s="4" t="s">
        <v>1829</v>
      </c>
      <c r="B1367" s="3">
        <v>0.0</v>
      </c>
      <c r="C1367" s="3" t="s">
        <v>3</v>
      </c>
    </row>
    <row r="1368">
      <c r="A1368" s="4" t="s">
        <v>2306</v>
      </c>
      <c r="B1368" s="3">
        <v>2100.0</v>
      </c>
      <c r="C1368" s="4"/>
    </row>
    <row r="1369">
      <c r="A1369" s="4" t="s">
        <v>1831</v>
      </c>
      <c r="B1369" s="3">
        <v>0.0</v>
      </c>
      <c r="C1369" s="3" t="s">
        <v>3</v>
      </c>
    </row>
    <row r="1370">
      <c r="A1370" s="4" t="s">
        <v>1832</v>
      </c>
      <c r="B1370" s="3">
        <v>2000.0</v>
      </c>
      <c r="C1370" s="4"/>
    </row>
    <row r="1371">
      <c r="A1371" s="4" t="s">
        <v>1833</v>
      </c>
      <c r="B1371" s="3">
        <v>10000.0</v>
      </c>
      <c r="C1371" s="3" t="s">
        <v>3</v>
      </c>
    </row>
    <row r="1372">
      <c r="A1372" s="4" t="s">
        <v>1834</v>
      </c>
      <c r="B1372" s="3">
        <v>0.0</v>
      </c>
      <c r="C1372" s="3" t="s">
        <v>29</v>
      </c>
    </row>
    <row r="1373">
      <c r="A1373" s="4" t="s">
        <v>1835</v>
      </c>
      <c r="B1373" s="3">
        <v>200.0</v>
      </c>
      <c r="C1373" s="3" t="s">
        <v>6</v>
      </c>
    </row>
    <row r="1374">
      <c r="A1374" s="4" t="s">
        <v>1836</v>
      </c>
      <c r="B1374" s="3">
        <v>1500.0</v>
      </c>
      <c r="C1374" s="4"/>
    </row>
    <row r="1375">
      <c r="A1375" s="4" t="s">
        <v>1837</v>
      </c>
      <c r="B1375" s="3">
        <v>0.0</v>
      </c>
      <c r="C1375" s="3" t="s">
        <v>3</v>
      </c>
    </row>
    <row r="1376">
      <c r="A1376" s="4" t="s">
        <v>1838</v>
      </c>
      <c r="B1376" s="3">
        <v>73900.0</v>
      </c>
      <c r="C1376" s="3" t="s">
        <v>3</v>
      </c>
    </row>
    <row r="1377">
      <c r="A1377" s="4" t="s">
        <v>1840</v>
      </c>
      <c r="B1377" s="3">
        <v>0.0</v>
      </c>
      <c r="C1377" s="3" t="s">
        <v>3</v>
      </c>
    </row>
    <row r="1378">
      <c r="A1378" s="4" t="s">
        <v>1841</v>
      </c>
      <c r="B1378" s="3">
        <v>0.0</v>
      </c>
      <c r="C1378" s="3" t="s">
        <v>29</v>
      </c>
    </row>
    <row r="1379">
      <c r="A1379" s="4" t="s">
        <v>1842</v>
      </c>
      <c r="B1379" s="3">
        <v>2500.0</v>
      </c>
      <c r="C1379" s="3" t="s">
        <v>3</v>
      </c>
    </row>
    <row r="1380">
      <c r="A1380" s="4" t="s">
        <v>1843</v>
      </c>
      <c r="B1380" s="3">
        <v>0.0</v>
      </c>
      <c r="C1380" s="3" t="s">
        <v>3</v>
      </c>
    </row>
    <row r="1381">
      <c r="A1381" s="4" t="s">
        <v>2307</v>
      </c>
      <c r="B1381" s="3">
        <v>0.0</v>
      </c>
      <c r="C1381" s="3" t="s">
        <v>32</v>
      </c>
    </row>
    <row r="1382">
      <c r="A1382" s="4" t="s">
        <v>1846</v>
      </c>
      <c r="B1382" s="3">
        <v>0.0</v>
      </c>
      <c r="C1382" s="3" t="s">
        <v>6</v>
      </c>
    </row>
    <row r="1383">
      <c r="A1383" s="4" t="s">
        <v>1847</v>
      </c>
      <c r="B1383" s="3">
        <v>0.0</v>
      </c>
      <c r="C1383" s="3" t="s">
        <v>6</v>
      </c>
    </row>
    <row r="1384">
      <c r="A1384" s="4" t="s">
        <v>2308</v>
      </c>
      <c r="B1384" s="3">
        <v>1128560.0</v>
      </c>
      <c r="C1384" s="3" t="s">
        <v>37</v>
      </c>
    </row>
    <row r="1385">
      <c r="A1385" s="4" t="s">
        <v>1850</v>
      </c>
      <c r="B1385" s="3">
        <v>10000.0</v>
      </c>
      <c r="C1385" s="3" t="s">
        <v>26</v>
      </c>
    </row>
    <row r="1386">
      <c r="A1386" s="4" t="s">
        <v>2309</v>
      </c>
      <c r="B1386" s="3">
        <v>819458.0</v>
      </c>
      <c r="C1386" s="3" t="s">
        <v>37</v>
      </c>
    </row>
    <row r="1387">
      <c r="A1387" s="4" t="s">
        <v>1853</v>
      </c>
      <c r="B1387" s="3">
        <v>1000.0</v>
      </c>
      <c r="C1387" s="4"/>
    </row>
    <row r="1388">
      <c r="A1388" s="4" t="s">
        <v>1854</v>
      </c>
      <c r="B1388" s="3">
        <v>0.0</v>
      </c>
      <c r="C1388" s="3" t="s">
        <v>6</v>
      </c>
    </row>
    <row r="1389">
      <c r="A1389" s="4" t="s">
        <v>1855</v>
      </c>
      <c r="B1389" s="3">
        <v>0.0</v>
      </c>
      <c r="C1389" s="3" t="s">
        <v>29</v>
      </c>
    </row>
    <row r="1390">
      <c r="A1390" s="4" t="s">
        <v>2310</v>
      </c>
      <c r="B1390" s="3">
        <v>0.0</v>
      </c>
      <c r="C1390" s="3" t="s">
        <v>3</v>
      </c>
    </row>
    <row r="1391">
      <c r="A1391" s="4" t="s">
        <v>1858</v>
      </c>
      <c r="B1391" s="3">
        <v>4000.0</v>
      </c>
      <c r="C1391" s="4"/>
    </row>
    <row r="1392">
      <c r="A1392" s="4" t="s">
        <v>1859</v>
      </c>
      <c r="B1392" s="3">
        <v>19000.0</v>
      </c>
      <c r="C1392" s="4"/>
    </row>
    <row r="1393">
      <c r="A1393" s="4" t="s">
        <v>1860</v>
      </c>
      <c r="B1393" s="3">
        <v>2000.0</v>
      </c>
      <c r="C1393" s="4"/>
    </row>
    <row r="1394">
      <c r="A1394" s="4" t="s">
        <v>1861</v>
      </c>
      <c r="B1394" s="3">
        <v>0.0</v>
      </c>
      <c r="C1394" s="3" t="s">
        <v>3</v>
      </c>
    </row>
    <row r="1395">
      <c r="A1395" s="4" t="s">
        <v>1862</v>
      </c>
      <c r="B1395" s="3">
        <v>2000.0</v>
      </c>
      <c r="C1395" s="3" t="s">
        <v>32</v>
      </c>
    </row>
    <row r="1396">
      <c r="A1396" s="4" t="s">
        <v>1863</v>
      </c>
      <c r="B1396" s="3">
        <v>0.0</v>
      </c>
      <c r="C1396" s="3" t="s">
        <v>6</v>
      </c>
    </row>
    <row r="1397">
      <c r="A1397" s="4" t="s">
        <v>1864</v>
      </c>
      <c r="B1397" s="3">
        <v>0.0</v>
      </c>
      <c r="C1397" s="3" t="s">
        <v>6</v>
      </c>
    </row>
    <row r="1398">
      <c r="A1398" s="4" t="s">
        <v>1865</v>
      </c>
      <c r="B1398" s="3">
        <v>0.0</v>
      </c>
      <c r="C1398" s="3" t="s">
        <v>32</v>
      </c>
    </row>
    <row r="1399">
      <c r="A1399" s="4" t="s">
        <v>1866</v>
      </c>
      <c r="B1399" s="3">
        <v>0.0</v>
      </c>
      <c r="C1399" s="3" t="s">
        <v>3</v>
      </c>
    </row>
    <row r="1400">
      <c r="A1400" s="4" t="s">
        <v>1867</v>
      </c>
      <c r="B1400" s="3">
        <v>0.0</v>
      </c>
      <c r="C1400" s="3" t="s">
        <v>3</v>
      </c>
    </row>
    <row r="1401">
      <c r="A1401" s="4" t="s">
        <v>1868</v>
      </c>
      <c r="B1401" s="3">
        <v>0.0</v>
      </c>
      <c r="C1401" s="3" t="s">
        <v>26</v>
      </c>
    </row>
    <row r="1402">
      <c r="A1402" s="4" t="s">
        <v>1869</v>
      </c>
      <c r="B1402" s="3">
        <v>0.0</v>
      </c>
      <c r="C1402" s="3" t="s">
        <v>3</v>
      </c>
    </row>
    <row r="1403">
      <c r="A1403" s="4" t="s">
        <v>1870</v>
      </c>
      <c r="B1403" s="3">
        <v>0.0</v>
      </c>
      <c r="C1403" s="3" t="s">
        <v>3</v>
      </c>
    </row>
    <row r="1404">
      <c r="A1404" s="4" t="s">
        <v>1871</v>
      </c>
      <c r="B1404" s="3">
        <v>0.0</v>
      </c>
      <c r="C1404" s="3" t="s">
        <v>3</v>
      </c>
    </row>
    <row r="1405">
      <c r="A1405" s="4" t="s">
        <v>2311</v>
      </c>
      <c r="B1405" s="3">
        <v>0.0</v>
      </c>
      <c r="C1405" s="3" t="s">
        <v>3</v>
      </c>
    </row>
    <row r="1406">
      <c r="A1406" s="4" t="s">
        <v>1874</v>
      </c>
      <c r="B1406" s="3">
        <v>3000.0</v>
      </c>
      <c r="C1406" s="3" t="s">
        <v>29</v>
      </c>
    </row>
    <row r="1407">
      <c r="A1407" s="4" t="s">
        <v>1875</v>
      </c>
      <c r="B1407" s="3">
        <v>0.0</v>
      </c>
      <c r="C1407" s="3" t="s">
        <v>32</v>
      </c>
    </row>
    <row r="1408">
      <c r="A1408" s="4" t="s">
        <v>1876</v>
      </c>
      <c r="B1408" s="3">
        <v>0.0</v>
      </c>
      <c r="C1408" s="3" t="s">
        <v>3</v>
      </c>
    </row>
    <row r="1409">
      <c r="A1409" s="4" t="s">
        <v>1877</v>
      </c>
      <c r="B1409" s="3">
        <v>0.0</v>
      </c>
      <c r="C1409" s="3" t="s">
        <v>3</v>
      </c>
    </row>
    <row r="1410">
      <c r="A1410" s="4" t="s">
        <v>1878</v>
      </c>
      <c r="B1410" s="3">
        <v>0.0</v>
      </c>
      <c r="C1410" s="3" t="s">
        <v>3</v>
      </c>
    </row>
    <row r="1411">
      <c r="A1411" s="4" t="s">
        <v>1879</v>
      </c>
      <c r="B1411" s="3">
        <v>0.0</v>
      </c>
      <c r="C1411" s="3" t="s">
        <v>6</v>
      </c>
    </row>
    <row r="1412">
      <c r="A1412" s="4" t="s">
        <v>1880</v>
      </c>
      <c r="B1412" s="3">
        <v>10000.0</v>
      </c>
      <c r="C1412" s="3" t="s">
        <v>3</v>
      </c>
    </row>
    <row r="1413">
      <c r="A1413" s="4" t="s">
        <v>1881</v>
      </c>
      <c r="B1413" s="3">
        <v>0.0</v>
      </c>
      <c r="C1413" s="3" t="s">
        <v>3</v>
      </c>
    </row>
    <row r="1414">
      <c r="A1414" s="4" t="s">
        <v>1882</v>
      </c>
      <c r="B1414" s="3">
        <v>0.0</v>
      </c>
      <c r="C1414" s="3" t="s">
        <v>32</v>
      </c>
    </row>
    <row r="1415">
      <c r="A1415" s="4" t="s">
        <v>1883</v>
      </c>
      <c r="B1415" s="3">
        <v>0.0</v>
      </c>
      <c r="C1415" s="3" t="s">
        <v>3</v>
      </c>
    </row>
    <row r="1416">
      <c r="A1416" s="4" t="s">
        <v>1884</v>
      </c>
      <c r="B1416" s="3">
        <v>52250.0</v>
      </c>
      <c r="C1416" s="4"/>
    </row>
    <row r="1417">
      <c r="A1417" s="4" t="s">
        <v>1886</v>
      </c>
      <c r="B1417" s="3">
        <v>2000.0</v>
      </c>
      <c r="C1417" s="4"/>
    </row>
    <row r="1418">
      <c r="A1418" s="4" t="s">
        <v>1887</v>
      </c>
      <c r="B1418" s="3">
        <v>0.0</v>
      </c>
      <c r="C1418" s="3" t="s">
        <v>6</v>
      </c>
    </row>
    <row r="1419">
      <c r="A1419" s="4" t="s">
        <v>1888</v>
      </c>
      <c r="B1419" s="3">
        <v>1646816.0</v>
      </c>
      <c r="C1419" s="3" t="s">
        <v>16</v>
      </c>
    </row>
    <row r="1420">
      <c r="A1420" s="4" t="s">
        <v>1890</v>
      </c>
      <c r="B1420" s="3">
        <v>8000.0</v>
      </c>
      <c r="C1420" s="3" t="s">
        <v>3</v>
      </c>
    </row>
    <row r="1421">
      <c r="A1421" s="4" t="s">
        <v>1891</v>
      </c>
      <c r="B1421" s="3">
        <v>0.0</v>
      </c>
      <c r="C1421" s="3" t="s">
        <v>3</v>
      </c>
    </row>
    <row r="1422">
      <c r="A1422" s="4" t="s">
        <v>1892</v>
      </c>
      <c r="B1422" s="3">
        <v>0.0</v>
      </c>
      <c r="C1422" s="3" t="s">
        <v>3</v>
      </c>
    </row>
    <row r="1423">
      <c r="A1423" s="4" t="s">
        <v>1893</v>
      </c>
      <c r="B1423" s="3">
        <v>0.0</v>
      </c>
      <c r="C1423" s="3" t="s">
        <v>3</v>
      </c>
    </row>
    <row r="1424">
      <c r="A1424" s="4" t="s">
        <v>1894</v>
      </c>
      <c r="B1424" s="3">
        <v>0.0</v>
      </c>
      <c r="C1424" s="3" t="s">
        <v>3</v>
      </c>
    </row>
    <row r="1425">
      <c r="A1425" s="4" t="s">
        <v>1895</v>
      </c>
      <c r="B1425" s="3">
        <v>3000.0</v>
      </c>
      <c r="C1425" s="3" t="s">
        <v>1651</v>
      </c>
    </row>
    <row r="1426">
      <c r="A1426" s="4" t="s">
        <v>1896</v>
      </c>
      <c r="B1426" s="3">
        <v>6500.0</v>
      </c>
      <c r="C1426" s="4"/>
    </row>
    <row r="1427">
      <c r="A1427" s="4" t="s">
        <v>1897</v>
      </c>
      <c r="B1427" s="3">
        <v>2200.0</v>
      </c>
      <c r="C1427" s="3" t="s">
        <v>3</v>
      </c>
    </row>
    <row r="1428">
      <c r="A1428" s="4" t="s">
        <v>1898</v>
      </c>
      <c r="B1428" s="3">
        <v>0.0</v>
      </c>
      <c r="C1428" s="3" t="s">
        <v>3</v>
      </c>
    </row>
    <row r="1429">
      <c r="A1429" s="4" t="s">
        <v>1899</v>
      </c>
      <c r="B1429" s="3">
        <v>1000.0</v>
      </c>
      <c r="C1429" s="3" t="s">
        <v>3</v>
      </c>
    </row>
    <row r="1430">
      <c r="A1430" s="4" t="s">
        <v>1900</v>
      </c>
      <c r="B1430" s="3">
        <v>0.0</v>
      </c>
      <c r="C1430" s="3" t="s">
        <v>3</v>
      </c>
    </row>
    <row r="1431">
      <c r="A1431" s="4" t="s">
        <v>1901</v>
      </c>
      <c r="B1431" s="3">
        <v>0.0</v>
      </c>
      <c r="C1431" s="3" t="s">
        <v>3</v>
      </c>
    </row>
    <row r="1432">
      <c r="A1432" s="4" t="s">
        <v>1902</v>
      </c>
      <c r="B1432" s="3">
        <v>25000.0</v>
      </c>
      <c r="C1432" s="4"/>
    </row>
    <row r="1433">
      <c r="A1433" s="4" t="s">
        <v>1903</v>
      </c>
      <c r="B1433" s="3">
        <v>32987.75</v>
      </c>
      <c r="C1433" s="3" t="s">
        <v>280</v>
      </c>
    </row>
    <row r="1434">
      <c r="A1434" s="4" t="s">
        <v>1905</v>
      </c>
      <c r="B1434" s="3">
        <v>0.0</v>
      </c>
      <c r="C1434" s="3" t="s">
        <v>3</v>
      </c>
    </row>
    <row r="1435">
      <c r="A1435" s="4" t="s">
        <v>1906</v>
      </c>
      <c r="B1435" s="3">
        <v>0.0</v>
      </c>
      <c r="C1435" s="3" t="s">
        <v>32</v>
      </c>
    </row>
    <row r="1436">
      <c r="A1436" s="4" t="s">
        <v>1907</v>
      </c>
      <c r="B1436" s="3">
        <v>12000.0</v>
      </c>
      <c r="C1436" s="4"/>
    </row>
    <row r="1437">
      <c r="A1437" s="4" t="s">
        <v>1908</v>
      </c>
      <c r="B1437" s="3">
        <v>0.0</v>
      </c>
      <c r="C1437" s="3" t="s">
        <v>3</v>
      </c>
    </row>
    <row r="1438">
      <c r="A1438" s="4" t="s">
        <v>1909</v>
      </c>
      <c r="B1438" s="3">
        <v>500.0</v>
      </c>
      <c r="C1438" s="4"/>
    </row>
    <row r="1439">
      <c r="A1439" s="4" t="s">
        <v>1910</v>
      </c>
      <c r="B1439" s="3">
        <v>500.0</v>
      </c>
      <c r="C1439" s="4"/>
    </row>
    <row r="1440">
      <c r="A1440" s="4" t="s">
        <v>1911</v>
      </c>
      <c r="B1440" s="3">
        <v>6500.0</v>
      </c>
      <c r="C1440" s="4"/>
    </row>
    <row r="1441">
      <c r="A1441" s="4" t="s">
        <v>1912</v>
      </c>
      <c r="B1441" s="3">
        <v>400.0</v>
      </c>
      <c r="C1441" s="4"/>
    </row>
    <row r="1442">
      <c r="A1442" s="4" t="s">
        <v>1913</v>
      </c>
      <c r="B1442" s="3">
        <v>0.0</v>
      </c>
      <c r="C1442" s="3" t="s">
        <v>3</v>
      </c>
    </row>
    <row r="1443">
      <c r="A1443" s="4" t="s">
        <v>1914</v>
      </c>
      <c r="B1443" s="3">
        <v>0.0</v>
      </c>
      <c r="C1443" s="3" t="s">
        <v>3</v>
      </c>
    </row>
    <row r="1444">
      <c r="A1444" s="4" t="s">
        <v>1915</v>
      </c>
      <c r="B1444" s="3">
        <v>0.0</v>
      </c>
      <c r="C1444" s="3" t="s">
        <v>3</v>
      </c>
    </row>
    <row r="1445">
      <c r="A1445" s="4" t="s">
        <v>1916</v>
      </c>
      <c r="B1445" s="3">
        <v>0.0</v>
      </c>
      <c r="C1445" s="3" t="s">
        <v>3</v>
      </c>
    </row>
    <row r="1446">
      <c r="A1446" s="4" t="s">
        <v>1917</v>
      </c>
      <c r="B1446" s="3">
        <v>0.0</v>
      </c>
      <c r="C1446" s="3" t="s">
        <v>3</v>
      </c>
    </row>
    <row r="1447">
      <c r="A1447" s="4" t="s">
        <v>1918</v>
      </c>
      <c r="B1447" s="3">
        <v>83680.0</v>
      </c>
      <c r="C1447" s="3" t="s">
        <v>26</v>
      </c>
    </row>
    <row r="1448">
      <c r="A1448" s="4" t="s">
        <v>2312</v>
      </c>
      <c r="B1448" s="3">
        <v>7800.0</v>
      </c>
      <c r="C1448" s="4"/>
    </row>
    <row r="1449">
      <c r="A1449" s="4" t="s">
        <v>1922</v>
      </c>
      <c r="B1449" s="3">
        <v>0.0</v>
      </c>
      <c r="C1449" s="3" t="s">
        <v>29</v>
      </c>
    </row>
    <row r="1450">
      <c r="A1450" s="4" t="s">
        <v>1923</v>
      </c>
      <c r="B1450" s="3">
        <v>0.0</v>
      </c>
      <c r="C1450" s="3" t="s">
        <v>6</v>
      </c>
    </row>
    <row r="1451">
      <c r="A1451" s="4" t="s">
        <v>2313</v>
      </c>
      <c r="B1451" s="3">
        <v>6800.0</v>
      </c>
      <c r="C1451" s="4"/>
    </row>
    <row r="1452">
      <c r="A1452" s="4" t="s">
        <v>2314</v>
      </c>
      <c r="B1452" s="3">
        <v>2500.0</v>
      </c>
      <c r="C1452" s="4"/>
    </row>
    <row r="1453">
      <c r="A1453" s="4" t="s">
        <v>2315</v>
      </c>
      <c r="B1453" s="3">
        <v>8000.0</v>
      </c>
      <c r="C1453" s="4"/>
    </row>
    <row r="1454">
      <c r="A1454" s="4" t="s">
        <v>1931</v>
      </c>
      <c r="B1454" s="3">
        <v>1500.0</v>
      </c>
      <c r="C1454" s="3" t="s">
        <v>3</v>
      </c>
    </row>
    <row r="1455">
      <c r="A1455" s="4" t="s">
        <v>1932</v>
      </c>
      <c r="B1455" s="3">
        <v>15000.0</v>
      </c>
      <c r="C1455" s="4"/>
    </row>
    <row r="1456">
      <c r="A1456" s="4" t="s">
        <v>2316</v>
      </c>
      <c r="B1456" s="3">
        <v>400.0</v>
      </c>
      <c r="C1456" s="4"/>
    </row>
    <row r="1457">
      <c r="A1457" s="4" t="s">
        <v>2317</v>
      </c>
      <c r="B1457" s="3">
        <v>500.0</v>
      </c>
      <c r="C1457" s="4"/>
    </row>
    <row r="1458">
      <c r="A1458" s="4" t="s">
        <v>1936</v>
      </c>
      <c r="B1458" s="3">
        <v>0.0</v>
      </c>
      <c r="C1458" s="3" t="s">
        <v>6</v>
      </c>
    </row>
    <row r="1459">
      <c r="A1459" s="4" t="s">
        <v>1937</v>
      </c>
      <c r="B1459" s="3">
        <v>0.0</v>
      </c>
      <c r="C1459" s="3" t="s">
        <v>3</v>
      </c>
    </row>
    <row r="1460">
      <c r="A1460" s="4" t="s">
        <v>1938</v>
      </c>
      <c r="B1460" s="3">
        <v>6100.0</v>
      </c>
      <c r="C1460" s="4"/>
    </row>
    <row r="1461">
      <c r="A1461" s="4" t="s">
        <v>2318</v>
      </c>
      <c r="B1461" s="3">
        <v>0.0</v>
      </c>
      <c r="C1461" s="3" t="s">
        <v>6</v>
      </c>
    </row>
    <row r="1462">
      <c r="A1462" s="4" t="s">
        <v>2319</v>
      </c>
      <c r="B1462" s="3">
        <v>0.0</v>
      </c>
      <c r="C1462" s="3" t="s">
        <v>3</v>
      </c>
    </row>
    <row r="1463">
      <c r="A1463" s="4" t="s">
        <v>1943</v>
      </c>
      <c r="B1463" s="3">
        <v>2000.0</v>
      </c>
      <c r="C1463" s="4"/>
    </row>
    <row r="1464">
      <c r="A1464" s="4" t="s">
        <v>1944</v>
      </c>
      <c r="B1464" s="3">
        <v>500.0</v>
      </c>
      <c r="C1464" s="4"/>
    </row>
    <row r="1465">
      <c r="A1465" s="4" t="s">
        <v>2320</v>
      </c>
      <c r="B1465" s="3">
        <v>0.0</v>
      </c>
      <c r="C1465" s="3" t="s">
        <v>3</v>
      </c>
    </row>
    <row r="1466">
      <c r="A1466" s="4" t="s">
        <v>2321</v>
      </c>
      <c r="B1466" s="3">
        <v>400.0</v>
      </c>
      <c r="C1466" s="3" t="s">
        <v>6</v>
      </c>
    </row>
    <row r="1467">
      <c r="A1467" s="4" t="s">
        <v>2322</v>
      </c>
      <c r="B1467" s="3">
        <v>700.0</v>
      </c>
      <c r="C1467" s="3" t="s">
        <v>3</v>
      </c>
    </row>
    <row r="1468">
      <c r="A1468" s="4" t="s">
        <v>1951</v>
      </c>
      <c r="B1468" s="3">
        <v>0.0</v>
      </c>
      <c r="C1468" s="3" t="s">
        <v>484</v>
      </c>
    </row>
    <row r="1469">
      <c r="A1469" s="4" t="s">
        <v>2323</v>
      </c>
      <c r="B1469" s="3">
        <v>900.0</v>
      </c>
      <c r="C1469" s="3" t="s">
        <v>3</v>
      </c>
    </row>
    <row r="1470">
      <c r="A1470" s="4" t="s">
        <v>2324</v>
      </c>
      <c r="B1470" s="3">
        <v>1500.0</v>
      </c>
      <c r="C1470" s="3" t="s">
        <v>3</v>
      </c>
    </row>
    <row r="1471">
      <c r="A1471" s="4" t="s">
        <v>2325</v>
      </c>
      <c r="B1471" s="3">
        <v>0.0</v>
      </c>
      <c r="C1471" s="3" t="s">
        <v>3</v>
      </c>
    </row>
    <row r="1472">
      <c r="A1472" s="4" t="s">
        <v>2326</v>
      </c>
      <c r="B1472" s="3">
        <v>879983.0</v>
      </c>
      <c r="C1472" s="3" t="s">
        <v>37</v>
      </c>
    </row>
    <row r="1473">
      <c r="A1473" s="4" t="s">
        <v>2327</v>
      </c>
      <c r="B1473" s="3">
        <v>1537650.0</v>
      </c>
      <c r="C1473" s="3" t="s">
        <v>37</v>
      </c>
    </row>
    <row r="1474">
      <c r="A1474" s="4" t="s">
        <v>2328</v>
      </c>
      <c r="B1474" s="3">
        <v>19500.0</v>
      </c>
      <c r="C1474" s="3" t="s">
        <v>6</v>
      </c>
    </row>
    <row r="1475">
      <c r="A1475" s="4" t="s">
        <v>2329</v>
      </c>
      <c r="B1475" s="3">
        <v>896350.0</v>
      </c>
      <c r="C1475" s="3" t="s">
        <v>37</v>
      </c>
    </row>
    <row r="1476">
      <c r="A1476" s="4" t="s">
        <v>1966</v>
      </c>
      <c r="B1476" s="3">
        <v>3500.0</v>
      </c>
      <c r="C1476" s="4"/>
    </row>
    <row r="1477">
      <c r="A1477" s="4" t="s">
        <v>1967</v>
      </c>
      <c r="B1477" s="3">
        <v>105000.0</v>
      </c>
      <c r="C1477" s="3" t="s">
        <v>32</v>
      </c>
    </row>
    <row r="1478">
      <c r="A1478" s="4" t="s">
        <v>1969</v>
      </c>
      <c r="B1478" s="3">
        <v>4000.0</v>
      </c>
      <c r="C1478" s="4"/>
    </row>
    <row r="1479">
      <c r="A1479" s="4" t="s">
        <v>1970</v>
      </c>
      <c r="B1479" s="3">
        <v>0.0</v>
      </c>
      <c r="C1479" s="3" t="s">
        <v>6</v>
      </c>
    </row>
    <row r="1480">
      <c r="A1480" s="4" t="s">
        <v>2330</v>
      </c>
      <c r="B1480" s="3">
        <v>0.0</v>
      </c>
      <c r="C1480" s="3" t="s">
        <v>6</v>
      </c>
    </row>
    <row r="1481">
      <c r="A1481" s="4" t="s">
        <v>1973</v>
      </c>
      <c r="B1481" s="3">
        <v>3500.0</v>
      </c>
      <c r="C1481" s="3" t="s">
        <v>484</v>
      </c>
    </row>
    <row r="1482">
      <c r="A1482" s="4" t="s">
        <v>1974</v>
      </c>
      <c r="B1482" s="3">
        <v>0.0</v>
      </c>
      <c r="C1482" s="3" t="s">
        <v>3</v>
      </c>
    </row>
    <row r="1483">
      <c r="A1483" s="4" t="s">
        <v>1975</v>
      </c>
      <c r="B1483" s="3">
        <v>5000.0</v>
      </c>
      <c r="C1483" s="4"/>
    </row>
    <row r="1484">
      <c r="A1484" s="4" t="s">
        <v>1976</v>
      </c>
      <c r="B1484" s="3">
        <v>28500.0</v>
      </c>
      <c r="C1484" s="3" t="s">
        <v>32</v>
      </c>
    </row>
    <row r="1485">
      <c r="A1485" s="4" t="s">
        <v>1978</v>
      </c>
      <c r="B1485" s="3">
        <v>0.0</v>
      </c>
      <c r="C1485" s="3" t="s">
        <v>3</v>
      </c>
    </row>
    <row r="1486">
      <c r="A1486" s="4" t="s">
        <v>1979</v>
      </c>
      <c r="B1486" s="3">
        <v>1300.0</v>
      </c>
      <c r="C1486" s="4"/>
    </row>
    <row r="1487">
      <c r="A1487" s="4" t="s">
        <v>1980</v>
      </c>
      <c r="B1487" s="3">
        <v>2450.0</v>
      </c>
      <c r="C1487" s="4"/>
    </row>
    <row r="1488">
      <c r="A1488" s="4" t="s">
        <v>1982</v>
      </c>
      <c r="B1488" s="3">
        <v>0.0</v>
      </c>
      <c r="C1488" s="3" t="s">
        <v>3</v>
      </c>
    </row>
    <row r="1489">
      <c r="A1489" s="4" t="s">
        <v>1983</v>
      </c>
      <c r="B1489" s="3">
        <v>0.0</v>
      </c>
      <c r="C1489" s="3" t="s">
        <v>6</v>
      </c>
    </row>
    <row r="1490">
      <c r="A1490" s="4" t="s">
        <v>1984</v>
      </c>
      <c r="B1490" s="3">
        <v>0.0</v>
      </c>
      <c r="C1490" s="3" t="s">
        <v>3</v>
      </c>
    </row>
    <row r="1491">
      <c r="A1491" s="4" t="s">
        <v>1985</v>
      </c>
      <c r="B1491" s="3">
        <v>0.0</v>
      </c>
      <c r="C1491" s="3" t="s">
        <v>3</v>
      </c>
    </row>
    <row r="1492">
      <c r="A1492" s="4" t="s">
        <v>1986</v>
      </c>
      <c r="B1492" s="3">
        <v>0.0</v>
      </c>
      <c r="C1492" s="3" t="s">
        <v>3</v>
      </c>
    </row>
    <row r="1493">
      <c r="A1493" s="4" t="s">
        <v>1987</v>
      </c>
      <c r="B1493" s="3">
        <v>0.0</v>
      </c>
      <c r="C1493" s="3" t="s">
        <v>3</v>
      </c>
    </row>
    <row r="1494">
      <c r="A1494" s="4" t="s">
        <v>1988</v>
      </c>
      <c r="B1494" s="3">
        <v>0.0</v>
      </c>
      <c r="C1494" s="3" t="s">
        <v>3</v>
      </c>
    </row>
    <row r="1495">
      <c r="A1495" s="4" t="s">
        <v>1989</v>
      </c>
      <c r="B1495" s="3">
        <v>5394.0</v>
      </c>
      <c r="C1495" s="3" t="s">
        <v>6</v>
      </c>
    </row>
    <row r="1496">
      <c r="A1496" s="4" t="s">
        <v>1991</v>
      </c>
      <c r="B1496" s="3">
        <v>1000.0</v>
      </c>
      <c r="C1496" s="4"/>
    </row>
    <row r="1497">
      <c r="A1497" s="4" t="s">
        <v>1992</v>
      </c>
      <c r="B1497" s="3">
        <v>21500.0</v>
      </c>
      <c r="C1497" s="4"/>
    </row>
    <row r="1498">
      <c r="A1498" s="4" t="s">
        <v>1994</v>
      </c>
      <c r="B1498" s="3">
        <v>6500.0</v>
      </c>
      <c r="C1498" s="4"/>
    </row>
    <row r="1499">
      <c r="A1499" s="4" t="s">
        <v>1995</v>
      </c>
      <c r="B1499" s="3">
        <v>500.0</v>
      </c>
      <c r="C1499" s="3" t="s">
        <v>3</v>
      </c>
    </row>
    <row r="1500">
      <c r="A1500" s="4" t="s">
        <v>1996</v>
      </c>
      <c r="B1500" s="3">
        <v>500.0</v>
      </c>
      <c r="C1500" s="3" t="s">
        <v>3</v>
      </c>
    </row>
    <row r="1501">
      <c r="A1501" s="4" t="s">
        <v>1997</v>
      </c>
      <c r="B1501" s="3">
        <v>0.0</v>
      </c>
      <c r="C1501" s="3" t="s">
        <v>6</v>
      </c>
    </row>
    <row r="1502">
      <c r="A1502" s="4" t="s">
        <v>2331</v>
      </c>
      <c r="B1502" s="3">
        <v>119000.0</v>
      </c>
      <c r="C1502" s="3" t="s">
        <v>2000</v>
      </c>
    </row>
    <row r="1503">
      <c r="A1503" s="4" t="s">
        <v>2001</v>
      </c>
      <c r="B1503" s="3">
        <v>0.0</v>
      </c>
      <c r="C1503" s="3" t="s">
        <v>6</v>
      </c>
    </row>
    <row r="1504">
      <c r="A1504" s="4" t="s">
        <v>2002</v>
      </c>
      <c r="B1504" s="3">
        <v>8300.0</v>
      </c>
      <c r="C1504" s="3" t="s">
        <v>6</v>
      </c>
    </row>
    <row r="1505">
      <c r="A1505" s="4" t="s">
        <v>2004</v>
      </c>
      <c r="B1505" s="3">
        <v>0.0</v>
      </c>
      <c r="C1505" s="3" t="s">
        <v>3</v>
      </c>
    </row>
    <row r="1506">
      <c r="A1506" s="4" t="s">
        <v>2005</v>
      </c>
      <c r="B1506" s="3">
        <v>0.0</v>
      </c>
      <c r="C1506" s="3" t="s">
        <v>3</v>
      </c>
    </row>
    <row r="1507">
      <c r="A1507" s="4" t="s">
        <v>2332</v>
      </c>
      <c r="B1507" s="3">
        <v>0.0</v>
      </c>
      <c r="C1507" s="3" t="s">
        <v>3</v>
      </c>
    </row>
    <row r="1508">
      <c r="A1508" s="4" t="s">
        <v>2008</v>
      </c>
      <c r="B1508" s="3">
        <v>800.0</v>
      </c>
      <c r="C1508" s="3" t="s">
        <v>32</v>
      </c>
    </row>
    <row r="1509">
      <c r="A1509" s="4" t="s">
        <v>2009</v>
      </c>
      <c r="B1509" s="3">
        <v>6900.0</v>
      </c>
      <c r="C1509" s="3" t="s">
        <v>6</v>
      </c>
    </row>
    <row r="1510">
      <c r="A1510" s="4" t="s">
        <v>2011</v>
      </c>
      <c r="B1510" s="3">
        <v>3000.0</v>
      </c>
      <c r="C1510" s="3" t="s">
        <v>3</v>
      </c>
    </row>
    <row r="1511">
      <c r="A1511" s="4" t="s">
        <v>2012</v>
      </c>
      <c r="B1511" s="3">
        <v>0.0</v>
      </c>
      <c r="C1511" s="3" t="s">
        <v>3</v>
      </c>
    </row>
    <row r="1512">
      <c r="A1512" s="4" t="s">
        <v>2013</v>
      </c>
      <c r="B1512" s="3">
        <v>0.0</v>
      </c>
      <c r="C1512" s="3" t="s">
        <v>6</v>
      </c>
    </row>
    <row r="1513">
      <c r="A1513" s="4" t="s">
        <v>2014</v>
      </c>
      <c r="B1513" s="3">
        <v>3400.0</v>
      </c>
      <c r="C1513" s="4"/>
    </row>
    <row r="1514">
      <c r="A1514" s="4" t="s">
        <v>2016</v>
      </c>
      <c r="B1514" s="3">
        <v>0.0</v>
      </c>
      <c r="C1514" s="3" t="s">
        <v>29</v>
      </c>
    </row>
    <row r="1515">
      <c r="A1515" s="4" t="s">
        <v>2017</v>
      </c>
      <c r="B1515" s="3">
        <v>0.0</v>
      </c>
      <c r="C1515" s="3" t="s">
        <v>3</v>
      </c>
    </row>
    <row r="1516">
      <c r="A1516" s="4" t="s">
        <v>2018</v>
      </c>
      <c r="B1516" s="3">
        <v>5000.0</v>
      </c>
      <c r="C1516" s="4"/>
    </row>
    <row r="1517">
      <c r="A1517" s="4" t="s">
        <v>2019</v>
      </c>
      <c r="B1517" s="3">
        <v>0.0</v>
      </c>
      <c r="C1517" s="3" t="s">
        <v>29</v>
      </c>
    </row>
    <row r="1518">
      <c r="A1518" s="4" t="s">
        <v>2020</v>
      </c>
      <c r="B1518" s="3">
        <v>0.0</v>
      </c>
      <c r="C1518" s="3" t="s">
        <v>29</v>
      </c>
    </row>
    <row r="1519">
      <c r="A1519" s="4" t="s">
        <v>2021</v>
      </c>
      <c r="B1519" s="3">
        <v>0.0</v>
      </c>
      <c r="C1519" s="3" t="s">
        <v>3</v>
      </c>
    </row>
    <row r="1520">
      <c r="A1520" s="4" t="s">
        <v>2022</v>
      </c>
      <c r="B1520" s="3">
        <v>17000.0</v>
      </c>
      <c r="C1520" s="3" t="s">
        <v>32</v>
      </c>
    </row>
    <row r="1521">
      <c r="A1521" s="4" t="s">
        <v>2333</v>
      </c>
      <c r="B1521" s="3">
        <v>13000.0</v>
      </c>
      <c r="C1521" s="3" t="s">
        <v>6</v>
      </c>
    </row>
    <row r="1522">
      <c r="A1522" s="4" t="s">
        <v>2025</v>
      </c>
      <c r="B1522" s="3">
        <v>0.0</v>
      </c>
      <c r="C1522" s="3" t="s">
        <v>32</v>
      </c>
    </row>
    <row r="1523">
      <c r="A1523" s="4" t="s">
        <v>2026</v>
      </c>
      <c r="B1523" s="3">
        <v>0.0</v>
      </c>
      <c r="C1523" s="3" t="s">
        <v>3</v>
      </c>
    </row>
    <row r="1524">
      <c r="A1524" s="4" t="s">
        <v>2027</v>
      </c>
      <c r="B1524" s="3">
        <v>0.0</v>
      </c>
      <c r="C1524" s="3" t="s">
        <v>3</v>
      </c>
    </row>
    <row r="1525">
      <c r="A1525" s="4" t="s">
        <v>2028</v>
      </c>
      <c r="B1525" s="3">
        <v>0.0</v>
      </c>
      <c r="C1525" s="3" t="s">
        <v>29</v>
      </c>
    </row>
    <row r="1526">
      <c r="A1526" s="4" t="s">
        <v>2029</v>
      </c>
      <c r="B1526" s="3">
        <v>0.0</v>
      </c>
      <c r="C1526" s="3" t="s">
        <v>29</v>
      </c>
    </row>
    <row r="1527">
      <c r="A1527" s="4" t="s">
        <v>2030</v>
      </c>
      <c r="B1527" s="3">
        <v>23000.0</v>
      </c>
      <c r="C1527" s="3" t="s">
        <v>3</v>
      </c>
    </row>
    <row r="1528">
      <c r="A1528" s="4" t="s">
        <v>2031</v>
      </c>
      <c r="B1528" s="3">
        <v>9000.0</v>
      </c>
      <c r="C1528" s="4"/>
    </row>
    <row r="1529">
      <c r="A1529" s="4" t="s">
        <v>2334</v>
      </c>
      <c r="B1529" s="3">
        <v>4300.0</v>
      </c>
      <c r="C1529" s="3" t="s">
        <v>6</v>
      </c>
    </row>
    <row r="1530">
      <c r="A1530" s="4" t="s">
        <v>283</v>
      </c>
      <c r="B1530" s="3">
        <v>5000.0</v>
      </c>
      <c r="C1530" s="4"/>
    </row>
    <row r="1531">
      <c r="A1531" s="4" t="s">
        <v>2043</v>
      </c>
      <c r="B1531" s="3">
        <v>3120000.0</v>
      </c>
      <c r="C1531" s="4"/>
    </row>
    <row r="1532">
      <c r="A1532" s="4" t="s">
        <v>2045</v>
      </c>
      <c r="B1532" s="3">
        <v>52500.0</v>
      </c>
      <c r="C1532" s="3" t="s">
        <v>3</v>
      </c>
    </row>
    <row r="1533">
      <c r="A1533" s="4" t="s">
        <v>2047</v>
      </c>
      <c r="B1533" s="3">
        <v>7000.0</v>
      </c>
      <c r="C1533" s="4"/>
    </row>
    <row r="1534">
      <c r="A1534" s="4" t="s">
        <v>2048</v>
      </c>
      <c r="B1534" s="3">
        <v>7600.0</v>
      </c>
      <c r="C1534" s="4"/>
    </row>
    <row r="1535">
      <c r="A1535" s="4" t="s">
        <v>2049</v>
      </c>
      <c r="B1535" s="3">
        <v>16628.76</v>
      </c>
      <c r="C1535" s="4"/>
    </row>
    <row r="1536">
      <c r="A1536" s="4" t="s">
        <v>2051</v>
      </c>
      <c r="B1536" s="3">
        <v>15920.46</v>
      </c>
      <c r="C1536" s="4"/>
    </row>
    <row r="1537">
      <c r="A1537" s="4" t="s">
        <v>2053</v>
      </c>
      <c r="B1537" s="3">
        <v>1.616767E7</v>
      </c>
      <c r="C1537" s="4"/>
    </row>
    <row r="1538">
      <c r="A1538" s="4" t="s">
        <v>2343</v>
      </c>
      <c r="B1538" s="3">
        <v>82.0</v>
      </c>
      <c r="C1538" s="4"/>
    </row>
    <row r="1539">
      <c r="A1539" s="4" t="s">
        <v>2057</v>
      </c>
      <c r="B1539" s="3">
        <v>7912204.0</v>
      </c>
      <c r="C1539" s="4"/>
    </row>
    <row r="1540">
      <c r="A1540" s="4" t="s">
        <v>2059</v>
      </c>
      <c r="B1540" s="3">
        <v>10536.77</v>
      </c>
      <c r="C1540" s="4"/>
    </row>
    <row r="1541">
      <c r="A1541" s="4" t="s">
        <v>2061</v>
      </c>
      <c r="B1541" s="3">
        <v>13000.0</v>
      </c>
      <c r="C1541" s="4"/>
    </row>
    <row r="1542">
      <c r="A1542" s="4"/>
      <c r="B1542" s="4"/>
      <c r="C1542" s="4"/>
    </row>
    <row r="1543">
      <c r="A1543" s="4"/>
      <c r="B1543" s="4"/>
      <c r="C1543" s="4"/>
    </row>
  </sheetData>
  <mergeCells count="1">
    <mergeCell ref="A1:C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25"/>
    <col customWidth="1" min="2" max="2" width="18.88"/>
    <col customWidth="1" min="3" max="4" width="24.88"/>
  </cols>
  <sheetData>
    <row r="1">
      <c r="A1" s="6" t="s">
        <v>2068</v>
      </c>
      <c r="B1" s="5" t="s">
        <v>2065</v>
      </c>
      <c r="C1" s="5" t="s">
        <v>2066</v>
      </c>
      <c r="D1" s="10" t="s">
        <v>2353</v>
      </c>
    </row>
    <row r="2">
      <c r="A2" s="4" t="s">
        <v>2053</v>
      </c>
      <c r="B2" s="3">
        <v>1.616767E7</v>
      </c>
      <c r="C2" s="4"/>
      <c r="D2" s="4" t="str">
        <f t="shared" ref="D2:D1534" si="1">IF(B2=0,"SANS","AVEC")</f>
        <v>AVEC</v>
      </c>
    </row>
    <row r="3">
      <c r="A3" s="4" t="s">
        <v>2117</v>
      </c>
      <c r="B3" s="3">
        <v>8060927.5</v>
      </c>
      <c r="C3" s="3" t="s">
        <v>303</v>
      </c>
      <c r="D3" s="4" t="str">
        <f t="shared" si="1"/>
        <v>AVEC</v>
      </c>
    </row>
    <row r="4">
      <c r="A4" s="4" t="s">
        <v>2057</v>
      </c>
      <c r="B4" s="3">
        <v>7912204.0</v>
      </c>
      <c r="C4" s="4"/>
      <c r="D4" s="4" t="str">
        <f t="shared" si="1"/>
        <v>AVEC</v>
      </c>
    </row>
    <row r="5">
      <c r="A5" s="4" t="s">
        <v>2043</v>
      </c>
      <c r="B5" s="3">
        <v>3120000.0</v>
      </c>
      <c r="C5" s="4"/>
      <c r="D5" s="4" t="str">
        <f t="shared" si="1"/>
        <v>AVEC</v>
      </c>
    </row>
    <row r="6">
      <c r="A6" s="4" t="s">
        <v>481</v>
      </c>
      <c r="B6" s="3">
        <v>1735000.0</v>
      </c>
      <c r="C6" s="3" t="s">
        <v>3</v>
      </c>
      <c r="D6" s="4" t="str">
        <f t="shared" si="1"/>
        <v>AVEC</v>
      </c>
    </row>
    <row r="7">
      <c r="A7" s="4" t="s">
        <v>1888</v>
      </c>
      <c r="B7" s="3">
        <v>1646816.0</v>
      </c>
      <c r="C7" s="3" t="s">
        <v>16</v>
      </c>
      <c r="D7" s="4" t="str">
        <f t="shared" si="1"/>
        <v>AVEC</v>
      </c>
    </row>
    <row r="8">
      <c r="A8" s="4" t="s">
        <v>476</v>
      </c>
      <c r="B8" s="3">
        <v>1578403.0</v>
      </c>
      <c r="C8" s="3" t="s">
        <v>32</v>
      </c>
      <c r="D8" s="4" t="str">
        <f t="shared" si="1"/>
        <v>AVEC</v>
      </c>
    </row>
    <row r="9">
      <c r="A9" s="4" t="s">
        <v>2327</v>
      </c>
      <c r="B9" s="3">
        <v>1537650.0</v>
      </c>
      <c r="C9" s="3" t="s">
        <v>37</v>
      </c>
      <c r="D9" s="4" t="str">
        <f t="shared" si="1"/>
        <v>AVEC</v>
      </c>
    </row>
    <row r="10">
      <c r="A10" s="4" t="s">
        <v>2308</v>
      </c>
      <c r="B10" s="3">
        <v>1128560.0</v>
      </c>
      <c r="C10" s="3" t="s">
        <v>37</v>
      </c>
      <c r="D10" s="4" t="str">
        <f t="shared" si="1"/>
        <v>AVEC</v>
      </c>
    </row>
    <row r="11">
      <c r="A11" s="4" t="s">
        <v>2189</v>
      </c>
      <c r="B11" s="3">
        <v>1089439.0</v>
      </c>
      <c r="C11" s="3" t="s">
        <v>37</v>
      </c>
      <c r="D11" s="4" t="str">
        <f t="shared" si="1"/>
        <v>AVEC</v>
      </c>
    </row>
    <row r="12">
      <c r="A12" s="4" t="s">
        <v>2329</v>
      </c>
      <c r="B12" s="3">
        <v>896350.0</v>
      </c>
      <c r="C12" s="3" t="s">
        <v>37</v>
      </c>
      <c r="D12" s="4" t="str">
        <f t="shared" si="1"/>
        <v>AVEC</v>
      </c>
    </row>
    <row r="13">
      <c r="A13" s="4" t="s">
        <v>2278</v>
      </c>
      <c r="B13" s="3">
        <v>892663.0</v>
      </c>
      <c r="C13" s="3" t="s">
        <v>37</v>
      </c>
      <c r="D13" s="4" t="str">
        <f t="shared" si="1"/>
        <v>AVEC</v>
      </c>
    </row>
    <row r="14">
      <c r="A14" s="4" t="s">
        <v>2326</v>
      </c>
      <c r="B14" s="3">
        <v>879983.0</v>
      </c>
      <c r="C14" s="3" t="s">
        <v>37</v>
      </c>
      <c r="D14" s="4" t="str">
        <f t="shared" si="1"/>
        <v>AVEC</v>
      </c>
    </row>
    <row r="15">
      <c r="A15" s="4" t="s">
        <v>2309</v>
      </c>
      <c r="B15" s="3">
        <v>819458.0</v>
      </c>
      <c r="C15" s="3" t="s">
        <v>37</v>
      </c>
      <c r="D15" s="4" t="str">
        <f t="shared" si="1"/>
        <v>AVEC</v>
      </c>
    </row>
    <row r="16">
      <c r="A16" s="4" t="s">
        <v>174</v>
      </c>
      <c r="B16" s="3">
        <v>752250.0</v>
      </c>
      <c r="C16" s="3" t="s">
        <v>176</v>
      </c>
      <c r="D16" s="4" t="str">
        <f t="shared" si="1"/>
        <v>AVEC</v>
      </c>
    </row>
    <row r="17">
      <c r="A17" s="4" t="s">
        <v>2282</v>
      </c>
      <c r="B17" s="3">
        <v>678000.0</v>
      </c>
      <c r="C17" s="4"/>
      <c r="D17" s="4" t="str">
        <f t="shared" si="1"/>
        <v>AVEC</v>
      </c>
    </row>
    <row r="18">
      <c r="A18" s="4" t="s">
        <v>2207</v>
      </c>
      <c r="B18" s="3">
        <v>634600.0</v>
      </c>
      <c r="C18" s="3" t="s">
        <v>37</v>
      </c>
      <c r="D18" s="4" t="str">
        <f t="shared" si="1"/>
        <v>AVEC</v>
      </c>
    </row>
    <row r="19">
      <c r="A19" s="4" t="s">
        <v>1673</v>
      </c>
      <c r="B19" s="3">
        <v>567000.0</v>
      </c>
      <c r="C19" s="3" t="s">
        <v>6</v>
      </c>
      <c r="D19" s="4" t="str">
        <f t="shared" si="1"/>
        <v>AVEC</v>
      </c>
    </row>
    <row r="20">
      <c r="A20" s="4" t="s">
        <v>223</v>
      </c>
      <c r="B20" s="3">
        <v>532800.0</v>
      </c>
      <c r="C20" s="4"/>
      <c r="D20" s="4" t="str">
        <f t="shared" si="1"/>
        <v>AVEC</v>
      </c>
    </row>
    <row r="21">
      <c r="A21" s="4" t="s">
        <v>2103</v>
      </c>
      <c r="B21" s="3">
        <v>512833.33</v>
      </c>
      <c r="C21" s="4"/>
      <c r="D21" s="4" t="str">
        <f t="shared" si="1"/>
        <v>AVEC</v>
      </c>
    </row>
    <row r="22">
      <c r="A22" s="4" t="s">
        <v>1600</v>
      </c>
      <c r="B22" s="3">
        <v>494000.0</v>
      </c>
      <c r="C22" s="3" t="s">
        <v>32</v>
      </c>
      <c r="D22" s="4" t="str">
        <f t="shared" si="1"/>
        <v>AVEC</v>
      </c>
    </row>
    <row r="23">
      <c r="A23" s="4" t="s">
        <v>1188</v>
      </c>
      <c r="B23" s="3">
        <v>492222.0</v>
      </c>
      <c r="C23" s="3" t="s">
        <v>32</v>
      </c>
      <c r="D23" s="4" t="str">
        <f t="shared" si="1"/>
        <v>AVEC</v>
      </c>
    </row>
    <row r="24">
      <c r="A24" s="4" t="s">
        <v>1270</v>
      </c>
      <c r="B24" s="3">
        <v>478850.0</v>
      </c>
      <c r="C24" s="3" t="s">
        <v>32</v>
      </c>
      <c r="D24" s="4" t="str">
        <f t="shared" si="1"/>
        <v>AVEC</v>
      </c>
    </row>
    <row r="25">
      <c r="A25" s="4" t="s">
        <v>2204</v>
      </c>
      <c r="B25" s="3">
        <v>461165.0</v>
      </c>
      <c r="C25" s="3" t="s">
        <v>37</v>
      </c>
      <c r="D25" s="4" t="str">
        <f t="shared" si="1"/>
        <v>AVEC</v>
      </c>
    </row>
    <row r="26">
      <c r="A26" s="4" t="s">
        <v>2086</v>
      </c>
      <c r="B26" s="3">
        <v>450195.0</v>
      </c>
      <c r="C26" s="3" t="s">
        <v>29</v>
      </c>
      <c r="D26" s="4" t="str">
        <f t="shared" si="1"/>
        <v>AVEC</v>
      </c>
    </row>
    <row r="27">
      <c r="A27" s="4" t="s">
        <v>1789</v>
      </c>
      <c r="B27" s="3">
        <v>450000.0</v>
      </c>
      <c r="C27" s="3" t="s">
        <v>6</v>
      </c>
      <c r="D27" s="4" t="str">
        <f t="shared" si="1"/>
        <v>AVEC</v>
      </c>
    </row>
    <row r="28">
      <c r="A28" s="4" t="s">
        <v>1159</v>
      </c>
      <c r="B28" s="3">
        <v>426565.0</v>
      </c>
      <c r="C28" s="3" t="s">
        <v>32</v>
      </c>
      <c r="D28" s="4" t="str">
        <f t="shared" si="1"/>
        <v>AVEC</v>
      </c>
    </row>
    <row r="29">
      <c r="A29" s="4" t="s">
        <v>1136</v>
      </c>
      <c r="B29" s="3">
        <v>402000.0</v>
      </c>
      <c r="C29" s="3" t="s">
        <v>16</v>
      </c>
      <c r="D29" s="4" t="str">
        <f t="shared" si="1"/>
        <v>AVEC</v>
      </c>
    </row>
    <row r="30">
      <c r="A30" s="4" t="s">
        <v>2142</v>
      </c>
      <c r="B30" s="3">
        <v>380000.0</v>
      </c>
      <c r="C30" s="3" t="s">
        <v>6</v>
      </c>
      <c r="D30" s="4" t="str">
        <f t="shared" si="1"/>
        <v>AVEC</v>
      </c>
    </row>
    <row r="31">
      <c r="A31" s="4" t="s">
        <v>2292</v>
      </c>
      <c r="B31" s="3">
        <v>357672.0</v>
      </c>
      <c r="C31" s="3" t="s">
        <v>3</v>
      </c>
      <c r="D31" s="4" t="str">
        <f t="shared" si="1"/>
        <v>AVEC</v>
      </c>
    </row>
    <row r="32">
      <c r="A32" s="4" t="s">
        <v>599</v>
      </c>
      <c r="B32" s="3">
        <v>347000.0</v>
      </c>
      <c r="C32" s="4"/>
      <c r="D32" s="4" t="str">
        <f t="shared" si="1"/>
        <v>AVEC</v>
      </c>
    </row>
    <row r="33">
      <c r="A33" s="4" t="s">
        <v>1463</v>
      </c>
      <c r="B33" s="3">
        <v>343924.0</v>
      </c>
      <c r="C33" s="3" t="s">
        <v>484</v>
      </c>
      <c r="D33" s="4" t="str">
        <f t="shared" si="1"/>
        <v>AVEC</v>
      </c>
    </row>
    <row r="34">
      <c r="A34" s="4" t="s">
        <v>648</v>
      </c>
      <c r="B34" s="3">
        <v>339500.0</v>
      </c>
      <c r="C34" s="3" t="s">
        <v>16</v>
      </c>
      <c r="D34" s="4" t="str">
        <f t="shared" si="1"/>
        <v>AVEC</v>
      </c>
    </row>
    <row r="35">
      <c r="A35" s="4" t="s">
        <v>1179</v>
      </c>
      <c r="B35" s="3">
        <v>334000.0</v>
      </c>
      <c r="C35" s="4"/>
      <c r="D35" s="4" t="str">
        <f t="shared" si="1"/>
        <v>AVEC</v>
      </c>
    </row>
    <row r="36">
      <c r="A36" s="4" t="s">
        <v>478</v>
      </c>
      <c r="B36" s="3">
        <v>311500.0</v>
      </c>
      <c r="C36" s="4"/>
      <c r="D36" s="4" t="str">
        <f t="shared" si="1"/>
        <v>AVEC</v>
      </c>
    </row>
    <row r="37">
      <c r="A37" s="4" t="s">
        <v>491</v>
      </c>
      <c r="B37" s="3">
        <v>300000.0</v>
      </c>
      <c r="C37" s="4"/>
      <c r="D37" s="4" t="str">
        <f t="shared" si="1"/>
        <v>AVEC</v>
      </c>
    </row>
    <row r="38">
      <c r="A38" s="4" t="s">
        <v>679</v>
      </c>
      <c r="B38" s="3">
        <v>283000.0</v>
      </c>
      <c r="C38" s="4"/>
      <c r="D38" s="4" t="str">
        <f t="shared" si="1"/>
        <v>AVEC</v>
      </c>
    </row>
    <row r="39">
      <c r="A39" s="4" t="s">
        <v>1787</v>
      </c>
      <c r="B39" s="3">
        <v>280000.0</v>
      </c>
      <c r="C39" s="3" t="s">
        <v>6</v>
      </c>
      <c r="D39" s="4" t="str">
        <f t="shared" si="1"/>
        <v>AVEC</v>
      </c>
    </row>
    <row r="40">
      <c r="A40" s="4" t="s">
        <v>2206</v>
      </c>
      <c r="B40" s="3">
        <v>243834.0</v>
      </c>
      <c r="C40" s="3" t="s">
        <v>37</v>
      </c>
      <c r="D40" s="4" t="str">
        <f t="shared" si="1"/>
        <v>AVEC</v>
      </c>
    </row>
    <row r="41">
      <c r="A41" s="4" t="s">
        <v>1472</v>
      </c>
      <c r="B41" s="3">
        <v>240000.0</v>
      </c>
      <c r="C41" s="4"/>
      <c r="D41" s="4" t="str">
        <f t="shared" si="1"/>
        <v>AVEC</v>
      </c>
    </row>
    <row r="42">
      <c r="A42" s="4" t="s">
        <v>2289</v>
      </c>
      <c r="B42" s="3">
        <v>237000.0</v>
      </c>
      <c r="C42" s="3" t="s">
        <v>580</v>
      </c>
      <c r="D42" s="4" t="str">
        <f t="shared" si="1"/>
        <v>AVEC</v>
      </c>
    </row>
    <row r="43">
      <c r="A43" s="4" t="s">
        <v>2192</v>
      </c>
      <c r="B43" s="3">
        <v>223734.0</v>
      </c>
      <c r="C43" s="3" t="s">
        <v>37</v>
      </c>
      <c r="D43" s="4" t="str">
        <f t="shared" si="1"/>
        <v>AVEC</v>
      </c>
    </row>
    <row r="44">
      <c r="A44" s="4" t="s">
        <v>1089</v>
      </c>
      <c r="B44" s="3">
        <v>210000.0</v>
      </c>
      <c r="C44" s="4"/>
      <c r="D44" s="4" t="str">
        <f t="shared" si="1"/>
        <v>AVEC</v>
      </c>
    </row>
    <row r="45">
      <c r="A45" s="4" t="s">
        <v>1500</v>
      </c>
      <c r="B45" s="3">
        <v>205000.0</v>
      </c>
      <c r="C45" s="4"/>
      <c r="D45" s="4" t="str">
        <f t="shared" si="1"/>
        <v>AVEC</v>
      </c>
    </row>
    <row r="46">
      <c r="A46" s="4" t="s">
        <v>1539</v>
      </c>
      <c r="B46" s="3">
        <v>200000.0</v>
      </c>
      <c r="C46" s="4"/>
      <c r="D46" s="4" t="str">
        <f t="shared" si="1"/>
        <v>AVEC</v>
      </c>
    </row>
    <row r="47">
      <c r="A47" s="4" t="s">
        <v>646</v>
      </c>
      <c r="B47" s="3">
        <v>198775.0</v>
      </c>
      <c r="C47" s="3" t="s">
        <v>6</v>
      </c>
      <c r="D47" s="4" t="str">
        <f t="shared" si="1"/>
        <v>AVEC</v>
      </c>
    </row>
    <row r="48">
      <c r="A48" s="4" t="s">
        <v>2271</v>
      </c>
      <c r="B48" s="3">
        <v>198000.0</v>
      </c>
      <c r="C48" s="3" t="s">
        <v>1373</v>
      </c>
      <c r="D48" s="4" t="str">
        <f t="shared" si="1"/>
        <v>AVEC</v>
      </c>
    </row>
    <row r="49">
      <c r="A49" s="4" t="s">
        <v>1203</v>
      </c>
      <c r="B49" s="3">
        <v>190000.0</v>
      </c>
      <c r="C49" s="4"/>
      <c r="D49" s="4" t="str">
        <f t="shared" si="1"/>
        <v>AVEC</v>
      </c>
    </row>
    <row r="50">
      <c r="A50" s="4" t="s">
        <v>1070</v>
      </c>
      <c r="B50" s="3">
        <v>185000.0</v>
      </c>
      <c r="C50" s="3" t="s">
        <v>280</v>
      </c>
      <c r="D50" s="4" t="str">
        <f t="shared" si="1"/>
        <v>AVEC</v>
      </c>
    </row>
    <row r="51">
      <c r="A51" s="4" t="s">
        <v>445</v>
      </c>
      <c r="B51" s="3">
        <v>180000.0</v>
      </c>
      <c r="C51" s="4"/>
      <c r="D51" s="4" t="str">
        <f t="shared" si="1"/>
        <v>AVEC</v>
      </c>
    </row>
    <row r="52">
      <c r="A52" s="4" t="s">
        <v>1639</v>
      </c>
      <c r="B52" s="3">
        <v>170592.0</v>
      </c>
      <c r="C52" s="4"/>
      <c r="D52" s="4" t="str">
        <f t="shared" si="1"/>
        <v>AVEC</v>
      </c>
    </row>
    <row r="53">
      <c r="A53" s="4" t="s">
        <v>582</v>
      </c>
      <c r="B53" s="3">
        <v>153407.0</v>
      </c>
      <c r="C53" s="3" t="s">
        <v>32</v>
      </c>
      <c r="D53" s="4" t="str">
        <f t="shared" si="1"/>
        <v>AVEC</v>
      </c>
    </row>
    <row r="54">
      <c r="A54" s="4" t="s">
        <v>2259</v>
      </c>
      <c r="B54" s="3">
        <v>141174.0</v>
      </c>
      <c r="C54" s="3" t="s">
        <v>37</v>
      </c>
      <c r="D54" s="4" t="str">
        <f t="shared" si="1"/>
        <v>AVEC</v>
      </c>
    </row>
    <row r="55">
      <c r="A55" s="4" t="s">
        <v>2276</v>
      </c>
      <c r="B55" s="3">
        <v>132000.0</v>
      </c>
      <c r="C55" s="3" t="s">
        <v>37</v>
      </c>
      <c r="D55" s="4" t="str">
        <f t="shared" si="1"/>
        <v>AVEC</v>
      </c>
    </row>
    <row r="56">
      <c r="A56" s="4" t="s">
        <v>1635</v>
      </c>
      <c r="B56" s="3">
        <v>130000.0</v>
      </c>
      <c r="C56" s="3" t="s">
        <v>3</v>
      </c>
      <c r="D56" s="4" t="str">
        <f t="shared" si="1"/>
        <v>AVEC</v>
      </c>
    </row>
    <row r="57">
      <c r="A57" s="4" t="s">
        <v>1654</v>
      </c>
      <c r="B57" s="3">
        <v>120000.0</v>
      </c>
      <c r="C57" s="4"/>
      <c r="D57" s="4" t="str">
        <f t="shared" si="1"/>
        <v>AVEC</v>
      </c>
    </row>
    <row r="58">
      <c r="A58" s="4" t="s">
        <v>1389</v>
      </c>
      <c r="B58" s="3">
        <v>119100.0</v>
      </c>
      <c r="C58" s="3" t="s">
        <v>280</v>
      </c>
      <c r="D58" s="4" t="str">
        <f t="shared" si="1"/>
        <v>AVEC</v>
      </c>
    </row>
    <row r="59">
      <c r="A59" s="4" t="s">
        <v>2331</v>
      </c>
      <c r="B59" s="3">
        <v>119000.0</v>
      </c>
      <c r="C59" s="3" t="s">
        <v>2000</v>
      </c>
      <c r="D59" s="4" t="str">
        <f t="shared" si="1"/>
        <v>AVEC</v>
      </c>
    </row>
    <row r="60">
      <c r="A60" s="4" t="s">
        <v>2238</v>
      </c>
      <c r="B60" s="3">
        <v>118603.0</v>
      </c>
      <c r="C60" s="3" t="s">
        <v>37</v>
      </c>
      <c r="D60" s="4" t="str">
        <f t="shared" si="1"/>
        <v>AVEC</v>
      </c>
    </row>
    <row r="61">
      <c r="A61" s="4" t="s">
        <v>697</v>
      </c>
      <c r="B61" s="3">
        <v>115000.0</v>
      </c>
      <c r="C61" s="4"/>
      <c r="D61" s="4" t="str">
        <f t="shared" si="1"/>
        <v>AVEC</v>
      </c>
    </row>
    <row r="62">
      <c r="A62" s="4" t="s">
        <v>963</v>
      </c>
      <c r="B62" s="3">
        <v>115000.0</v>
      </c>
      <c r="C62" s="3" t="s">
        <v>6</v>
      </c>
      <c r="D62" s="4" t="str">
        <f t="shared" si="1"/>
        <v>AVEC</v>
      </c>
    </row>
    <row r="63">
      <c r="A63" s="4" t="s">
        <v>1187</v>
      </c>
      <c r="B63" s="3">
        <v>115000.0</v>
      </c>
      <c r="C63" s="3" t="s">
        <v>32</v>
      </c>
      <c r="D63" s="4" t="str">
        <f t="shared" si="1"/>
        <v>AVEC</v>
      </c>
    </row>
    <row r="64">
      <c r="A64" s="4" t="s">
        <v>2283</v>
      </c>
      <c r="B64" s="3">
        <v>110350.0</v>
      </c>
      <c r="C64" s="3" t="s">
        <v>6</v>
      </c>
      <c r="D64" s="4" t="str">
        <f t="shared" si="1"/>
        <v>AVEC</v>
      </c>
    </row>
    <row r="65">
      <c r="A65" s="4" t="s">
        <v>1033</v>
      </c>
      <c r="B65" s="3">
        <v>109834.0</v>
      </c>
      <c r="C65" s="4"/>
      <c r="D65" s="4" t="str">
        <f t="shared" si="1"/>
        <v>AVEC</v>
      </c>
    </row>
    <row r="66">
      <c r="A66" s="4" t="s">
        <v>1967</v>
      </c>
      <c r="B66" s="3">
        <v>105000.0</v>
      </c>
      <c r="C66" s="3" t="s">
        <v>32</v>
      </c>
      <c r="D66" s="4" t="str">
        <f t="shared" si="1"/>
        <v>AVEC</v>
      </c>
    </row>
    <row r="67">
      <c r="A67" s="4" t="s">
        <v>1150</v>
      </c>
      <c r="B67" s="3">
        <v>100000.0</v>
      </c>
      <c r="C67" s="3" t="s">
        <v>29</v>
      </c>
      <c r="D67" s="4" t="str">
        <f t="shared" si="1"/>
        <v>AVEC</v>
      </c>
    </row>
    <row r="68">
      <c r="A68" s="4" t="s">
        <v>1918</v>
      </c>
      <c r="B68" s="3">
        <v>83680.0</v>
      </c>
      <c r="C68" s="3" t="s">
        <v>26</v>
      </c>
      <c r="D68" s="4" t="str">
        <f t="shared" si="1"/>
        <v>AVEC</v>
      </c>
    </row>
    <row r="69">
      <c r="A69" s="4" t="s">
        <v>2083</v>
      </c>
      <c r="B69" s="3">
        <v>82238.0</v>
      </c>
      <c r="C69" s="3" t="s">
        <v>37</v>
      </c>
      <c r="D69" s="4" t="str">
        <f t="shared" si="1"/>
        <v>AVEC</v>
      </c>
    </row>
    <row r="70">
      <c r="A70" s="4" t="s">
        <v>712</v>
      </c>
      <c r="B70" s="3">
        <v>81568.0</v>
      </c>
      <c r="C70" s="4"/>
      <c r="D70" s="4" t="str">
        <f t="shared" si="1"/>
        <v>AVEC</v>
      </c>
    </row>
    <row r="71">
      <c r="A71" s="4" t="s">
        <v>655</v>
      </c>
      <c r="B71" s="3">
        <v>80000.0</v>
      </c>
      <c r="C71" s="3" t="s">
        <v>29</v>
      </c>
      <c r="D71" s="4" t="str">
        <f t="shared" si="1"/>
        <v>AVEC</v>
      </c>
    </row>
    <row r="72">
      <c r="A72" s="4" t="s">
        <v>1363</v>
      </c>
      <c r="B72" s="3">
        <v>80000.0</v>
      </c>
      <c r="C72" s="3" t="s">
        <v>3</v>
      </c>
      <c r="D72" s="4" t="str">
        <f t="shared" si="1"/>
        <v>AVEC</v>
      </c>
    </row>
    <row r="73">
      <c r="A73" s="4" t="s">
        <v>1838</v>
      </c>
      <c r="B73" s="3">
        <v>73900.0</v>
      </c>
      <c r="C73" s="3" t="s">
        <v>3</v>
      </c>
      <c r="D73" s="4" t="str">
        <f t="shared" si="1"/>
        <v>AVEC</v>
      </c>
    </row>
    <row r="74">
      <c r="A74" s="4" t="s">
        <v>2298</v>
      </c>
      <c r="B74" s="3">
        <v>73250.0</v>
      </c>
      <c r="C74" s="3" t="s">
        <v>1373</v>
      </c>
      <c r="D74" s="4" t="str">
        <f t="shared" si="1"/>
        <v>AVEC</v>
      </c>
    </row>
    <row r="75">
      <c r="A75" s="4" t="s">
        <v>1227</v>
      </c>
      <c r="B75" s="3">
        <v>66000.0</v>
      </c>
      <c r="C75" s="4"/>
      <c r="D75" s="4" t="str">
        <f t="shared" si="1"/>
        <v>AVEC</v>
      </c>
    </row>
    <row r="76">
      <c r="A76" s="4" t="s">
        <v>1761</v>
      </c>
      <c r="B76" s="3">
        <v>64000.0</v>
      </c>
      <c r="C76" s="4"/>
      <c r="D76" s="4" t="str">
        <f t="shared" si="1"/>
        <v>AVEC</v>
      </c>
    </row>
    <row r="77">
      <c r="A77" s="4" t="s">
        <v>2076</v>
      </c>
      <c r="B77" s="3">
        <v>60000.0</v>
      </c>
      <c r="C77" s="4"/>
      <c r="D77" s="4" t="str">
        <f t="shared" si="1"/>
        <v>AVEC</v>
      </c>
    </row>
    <row r="78">
      <c r="A78" s="4" t="s">
        <v>774</v>
      </c>
      <c r="B78" s="3">
        <v>57500.0</v>
      </c>
      <c r="C78" s="3" t="s">
        <v>280</v>
      </c>
      <c r="D78" s="4" t="str">
        <f t="shared" si="1"/>
        <v>AVEC</v>
      </c>
    </row>
    <row r="79">
      <c r="A79" s="4" t="s">
        <v>1339</v>
      </c>
      <c r="B79" s="3">
        <v>57005.0</v>
      </c>
      <c r="C79" s="4"/>
      <c r="D79" s="4" t="str">
        <f t="shared" si="1"/>
        <v>AVEC</v>
      </c>
    </row>
    <row r="80">
      <c r="A80" s="4" t="s">
        <v>1377</v>
      </c>
      <c r="B80" s="3">
        <v>56105.0</v>
      </c>
      <c r="C80" s="3" t="s">
        <v>1379</v>
      </c>
      <c r="D80" s="4" t="str">
        <f t="shared" si="1"/>
        <v>AVEC</v>
      </c>
    </row>
    <row r="81">
      <c r="A81" s="4" t="s">
        <v>1559</v>
      </c>
      <c r="B81" s="3">
        <v>56000.0</v>
      </c>
      <c r="C81" s="3" t="s">
        <v>3</v>
      </c>
      <c r="D81" s="4" t="str">
        <f t="shared" si="1"/>
        <v>AVEC</v>
      </c>
    </row>
    <row r="82">
      <c r="A82" s="4" t="s">
        <v>447</v>
      </c>
      <c r="B82" s="3">
        <v>55000.0</v>
      </c>
      <c r="C82" s="4"/>
      <c r="D82" s="4" t="str">
        <f t="shared" si="1"/>
        <v>AVEC</v>
      </c>
    </row>
    <row r="83">
      <c r="A83" s="4" t="s">
        <v>1502</v>
      </c>
      <c r="B83" s="3">
        <v>54201.0</v>
      </c>
      <c r="C83" s="3" t="s">
        <v>6</v>
      </c>
      <c r="D83" s="4" t="str">
        <f t="shared" si="1"/>
        <v>AVEC</v>
      </c>
    </row>
    <row r="84">
      <c r="A84" s="4" t="s">
        <v>2045</v>
      </c>
      <c r="B84" s="3">
        <v>52500.0</v>
      </c>
      <c r="C84" s="3" t="s">
        <v>3</v>
      </c>
      <c r="D84" s="4" t="str">
        <f t="shared" si="1"/>
        <v>AVEC</v>
      </c>
    </row>
    <row r="85">
      <c r="A85" s="4" t="s">
        <v>1884</v>
      </c>
      <c r="B85" s="3">
        <v>52250.0</v>
      </c>
      <c r="C85" s="4"/>
      <c r="D85" s="4" t="str">
        <f t="shared" si="1"/>
        <v>AVEC</v>
      </c>
    </row>
    <row r="86">
      <c r="A86" s="4" t="s">
        <v>1751</v>
      </c>
      <c r="B86" s="3">
        <v>51000.0</v>
      </c>
      <c r="C86" s="3" t="s">
        <v>3</v>
      </c>
      <c r="D86" s="4" t="str">
        <f t="shared" si="1"/>
        <v>AVEC</v>
      </c>
    </row>
    <row r="87">
      <c r="A87" s="4" t="s">
        <v>2099</v>
      </c>
      <c r="B87" s="3">
        <v>50580.0</v>
      </c>
      <c r="C87" s="3" t="s">
        <v>216</v>
      </c>
      <c r="D87" s="4" t="str">
        <f t="shared" si="1"/>
        <v>AVEC</v>
      </c>
    </row>
    <row r="88">
      <c r="A88" s="4" t="s">
        <v>569</v>
      </c>
      <c r="B88" s="3">
        <v>50000.0</v>
      </c>
      <c r="C88" s="3" t="s">
        <v>6</v>
      </c>
      <c r="D88" s="4" t="str">
        <f t="shared" si="1"/>
        <v>AVEC</v>
      </c>
    </row>
    <row r="89">
      <c r="A89" s="4" t="s">
        <v>1346</v>
      </c>
      <c r="B89" s="3">
        <v>50000.0</v>
      </c>
      <c r="C89" s="4"/>
      <c r="D89" s="4" t="str">
        <f t="shared" si="1"/>
        <v>AVEC</v>
      </c>
    </row>
    <row r="90">
      <c r="A90" s="4" t="s">
        <v>1438</v>
      </c>
      <c r="B90" s="3">
        <v>50000.0</v>
      </c>
      <c r="C90" s="4"/>
      <c r="D90" s="4" t="str">
        <f t="shared" si="1"/>
        <v>AVEC</v>
      </c>
    </row>
    <row r="91">
      <c r="A91" s="4" t="s">
        <v>1552</v>
      </c>
      <c r="B91" s="3">
        <v>50000.0</v>
      </c>
      <c r="C91" s="4"/>
      <c r="D91" s="4" t="str">
        <f t="shared" si="1"/>
        <v>AVEC</v>
      </c>
    </row>
    <row r="92">
      <c r="A92" s="4" t="s">
        <v>729</v>
      </c>
      <c r="B92" s="3">
        <v>49000.0</v>
      </c>
      <c r="C92" s="3" t="s">
        <v>32</v>
      </c>
      <c r="D92" s="4" t="str">
        <f t="shared" si="1"/>
        <v>AVEC</v>
      </c>
    </row>
    <row r="93">
      <c r="A93" s="4" t="s">
        <v>2236</v>
      </c>
      <c r="B93" s="3">
        <v>46500.0</v>
      </c>
      <c r="C93" s="3" t="s">
        <v>3</v>
      </c>
      <c r="D93" s="4" t="str">
        <f t="shared" si="1"/>
        <v>AVEC</v>
      </c>
    </row>
    <row r="94">
      <c r="A94" s="4" t="s">
        <v>1563</v>
      </c>
      <c r="B94" s="3">
        <v>46000.0</v>
      </c>
      <c r="C94" s="4"/>
      <c r="D94" s="4" t="str">
        <f t="shared" si="1"/>
        <v>AVEC</v>
      </c>
    </row>
    <row r="95">
      <c r="A95" s="4" t="s">
        <v>2150</v>
      </c>
      <c r="B95" s="3">
        <v>45400.0</v>
      </c>
      <c r="C95" s="3" t="s">
        <v>3</v>
      </c>
      <c r="D95" s="4" t="str">
        <f t="shared" si="1"/>
        <v>AVEC</v>
      </c>
    </row>
    <row r="96">
      <c r="A96" s="4" t="s">
        <v>589</v>
      </c>
      <c r="B96" s="3">
        <v>44200.0</v>
      </c>
      <c r="C96" s="3" t="s">
        <v>3</v>
      </c>
      <c r="D96" s="4" t="str">
        <f t="shared" si="1"/>
        <v>AVEC</v>
      </c>
    </row>
    <row r="97">
      <c r="A97" s="4" t="s">
        <v>916</v>
      </c>
      <c r="B97" s="3">
        <v>41500.0</v>
      </c>
      <c r="C97" s="3" t="s">
        <v>280</v>
      </c>
      <c r="D97" s="4" t="str">
        <f t="shared" si="1"/>
        <v>AVEC</v>
      </c>
    </row>
    <row r="98">
      <c r="A98" s="4" t="s">
        <v>1620</v>
      </c>
      <c r="B98" s="3">
        <v>40700.0</v>
      </c>
      <c r="C98" s="3" t="s">
        <v>216</v>
      </c>
      <c r="D98" s="4" t="str">
        <f t="shared" si="1"/>
        <v>AVEC</v>
      </c>
    </row>
    <row r="99">
      <c r="A99" s="4" t="s">
        <v>945</v>
      </c>
      <c r="B99" s="3">
        <v>40000.0</v>
      </c>
      <c r="C99" s="3" t="s">
        <v>216</v>
      </c>
      <c r="D99" s="4" t="str">
        <f t="shared" si="1"/>
        <v>AVEC</v>
      </c>
    </row>
    <row r="100">
      <c r="A100" s="4" t="s">
        <v>522</v>
      </c>
      <c r="B100" s="3">
        <v>37754.0</v>
      </c>
      <c r="C100" s="3" t="s">
        <v>484</v>
      </c>
      <c r="D100" s="4" t="str">
        <f t="shared" si="1"/>
        <v>AVEC</v>
      </c>
    </row>
    <row r="101">
      <c r="A101" s="4" t="s">
        <v>2284</v>
      </c>
      <c r="B101" s="3">
        <v>37500.0</v>
      </c>
      <c r="C101" s="3" t="s">
        <v>580</v>
      </c>
      <c r="D101" s="4" t="str">
        <f t="shared" si="1"/>
        <v>AVEC</v>
      </c>
    </row>
    <row r="102">
      <c r="A102" s="4" t="s">
        <v>395</v>
      </c>
      <c r="B102" s="3">
        <v>37000.0</v>
      </c>
      <c r="C102" s="3" t="s">
        <v>32</v>
      </c>
      <c r="D102" s="4" t="str">
        <f t="shared" si="1"/>
        <v>AVEC</v>
      </c>
    </row>
    <row r="103">
      <c r="A103" s="4" t="s">
        <v>628</v>
      </c>
      <c r="B103" s="3">
        <v>35895.0</v>
      </c>
      <c r="C103" s="3" t="s">
        <v>484</v>
      </c>
      <c r="D103" s="4" t="str">
        <f t="shared" si="1"/>
        <v>AVEC</v>
      </c>
    </row>
    <row r="104">
      <c r="A104" s="4" t="s">
        <v>1579</v>
      </c>
      <c r="B104" s="3">
        <v>35500.0</v>
      </c>
      <c r="C104" s="3" t="s">
        <v>32</v>
      </c>
      <c r="D104" s="4" t="str">
        <f t="shared" si="1"/>
        <v>AVEC</v>
      </c>
    </row>
    <row r="105">
      <c r="A105" s="4" t="s">
        <v>2262</v>
      </c>
      <c r="B105" s="3">
        <v>35000.0</v>
      </c>
      <c r="C105" s="4"/>
      <c r="D105" s="4" t="str">
        <f t="shared" si="1"/>
        <v>AVEC</v>
      </c>
    </row>
    <row r="106">
      <c r="A106" s="4" t="s">
        <v>1736</v>
      </c>
      <c r="B106" s="3">
        <v>35000.0</v>
      </c>
      <c r="C106" s="3" t="s">
        <v>280</v>
      </c>
      <c r="D106" s="4" t="str">
        <f t="shared" si="1"/>
        <v>AVEC</v>
      </c>
    </row>
    <row r="107">
      <c r="A107" s="4" t="s">
        <v>1156</v>
      </c>
      <c r="B107" s="3">
        <v>33251.0</v>
      </c>
      <c r="C107" s="4"/>
      <c r="D107" s="4" t="str">
        <f t="shared" si="1"/>
        <v>AVEC</v>
      </c>
    </row>
    <row r="108">
      <c r="A108" s="4" t="s">
        <v>1903</v>
      </c>
      <c r="B108" s="3">
        <v>32987.75</v>
      </c>
      <c r="C108" s="3" t="s">
        <v>280</v>
      </c>
      <c r="D108" s="4" t="str">
        <f t="shared" si="1"/>
        <v>AVEC</v>
      </c>
    </row>
    <row r="109">
      <c r="A109" s="4" t="s">
        <v>786</v>
      </c>
      <c r="B109" s="3">
        <v>32500.0</v>
      </c>
      <c r="C109" s="4"/>
      <c r="D109" s="4" t="str">
        <f t="shared" si="1"/>
        <v>AVEC</v>
      </c>
    </row>
    <row r="110">
      <c r="A110" s="4" t="s">
        <v>1733</v>
      </c>
      <c r="B110" s="3">
        <v>31500.0</v>
      </c>
      <c r="C110" s="3" t="s">
        <v>3</v>
      </c>
      <c r="D110" s="4" t="str">
        <f t="shared" si="1"/>
        <v>AVEC</v>
      </c>
    </row>
    <row r="111">
      <c r="A111" s="4" t="s">
        <v>1055</v>
      </c>
      <c r="B111" s="3">
        <v>31000.0</v>
      </c>
      <c r="C111" s="4"/>
      <c r="D111" s="4" t="str">
        <f t="shared" si="1"/>
        <v>AVEC</v>
      </c>
    </row>
    <row r="112">
      <c r="A112" s="4" t="s">
        <v>607</v>
      </c>
      <c r="B112" s="3">
        <v>30500.0</v>
      </c>
      <c r="C112" s="3" t="s">
        <v>32</v>
      </c>
      <c r="D112" s="4" t="str">
        <f t="shared" si="1"/>
        <v>AVEC</v>
      </c>
    </row>
    <row r="113">
      <c r="A113" s="4" t="s">
        <v>2088</v>
      </c>
      <c r="B113" s="3">
        <v>30000.0</v>
      </c>
      <c r="C113" s="3" t="s">
        <v>3</v>
      </c>
      <c r="D113" s="4" t="str">
        <f t="shared" si="1"/>
        <v>AVEC</v>
      </c>
    </row>
    <row r="114">
      <c r="A114" s="4" t="s">
        <v>645</v>
      </c>
      <c r="B114" s="3">
        <v>30000.0</v>
      </c>
      <c r="C114" s="4"/>
      <c r="D114" s="4" t="str">
        <f t="shared" si="1"/>
        <v>AVEC</v>
      </c>
    </row>
    <row r="115">
      <c r="A115" s="4" t="s">
        <v>725</v>
      </c>
      <c r="B115" s="3">
        <v>30000.0</v>
      </c>
      <c r="C115" s="3" t="s">
        <v>6</v>
      </c>
      <c r="D115" s="4" t="str">
        <f t="shared" si="1"/>
        <v>AVEC</v>
      </c>
    </row>
    <row r="116">
      <c r="A116" s="4" t="s">
        <v>1000</v>
      </c>
      <c r="B116" s="3">
        <v>30000.0</v>
      </c>
      <c r="C116" s="3" t="s">
        <v>3</v>
      </c>
      <c r="D116" s="4" t="str">
        <f t="shared" si="1"/>
        <v>AVEC</v>
      </c>
    </row>
    <row r="117">
      <c r="A117" s="4" t="s">
        <v>1756</v>
      </c>
      <c r="B117" s="3">
        <v>29985.0</v>
      </c>
      <c r="C117" s="4"/>
      <c r="D117" s="4" t="str">
        <f t="shared" si="1"/>
        <v>AVEC</v>
      </c>
    </row>
    <row r="118">
      <c r="A118" s="4" t="s">
        <v>1489</v>
      </c>
      <c r="B118" s="3">
        <v>29750.0</v>
      </c>
      <c r="C118" s="3" t="s">
        <v>32</v>
      </c>
      <c r="D118" s="4" t="str">
        <f t="shared" si="1"/>
        <v>AVEC</v>
      </c>
    </row>
    <row r="119">
      <c r="A119" s="4" t="s">
        <v>1585</v>
      </c>
      <c r="B119" s="3">
        <v>29000.0</v>
      </c>
      <c r="C119" s="3" t="s">
        <v>32</v>
      </c>
      <c r="D119" s="4" t="str">
        <f t="shared" si="1"/>
        <v>AVEC</v>
      </c>
    </row>
    <row r="120">
      <c r="A120" s="4" t="s">
        <v>1976</v>
      </c>
      <c r="B120" s="3">
        <v>28500.0</v>
      </c>
      <c r="C120" s="3" t="s">
        <v>32</v>
      </c>
      <c r="D120" s="4" t="str">
        <f t="shared" si="1"/>
        <v>AVEC</v>
      </c>
    </row>
    <row r="121">
      <c r="A121" s="4" t="s">
        <v>669</v>
      </c>
      <c r="B121" s="3">
        <v>28000.0</v>
      </c>
      <c r="C121" s="3" t="s">
        <v>3</v>
      </c>
      <c r="D121" s="4" t="str">
        <f t="shared" si="1"/>
        <v>AVEC</v>
      </c>
    </row>
    <row r="122">
      <c r="A122" s="4" t="s">
        <v>834</v>
      </c>
      <c r="B122" s="3">
        <v>28000.0</v>
      </c>
      <c r="C122" s="3" t="s">
        <v>6</v>
      </c>
      <c r="D122" s="4" t="str">
        <f t="shared" si="1"/>
        <v>AVEC</v>
      </c>
    </row>
    <row r="123">
      <c r="A123" s="4" t="s">
        <v>549</v>
      </c>
      <c r="B123" s="3">
        <v>27778.0</v>
      </c>
      <c r="C123" s="4"/>
      <c r="D123" s="4" t="str">
        <f t="shared" si="1"/>
        <v>AVEC</v>
      </c>
    </row>
    <row r="124">
      <c r="A124" s="4" t="s">
        <v>413</v>
      </c>
      <c r="B124" s="3">
        <v>27500.0</v>
      </c>
      <c r="C124" s="3" t="s">
        <v>32</v>
      </c>
      <c r="D124" s="4" t="str">
        <f t="shared" si="1"/>
        <v>AVEC</v>
      </c>
    </row>
    <row r="125">
      <c r="A125" s="4" t="s">
        <v>1023</v>
      </c>
      <c r="B125" s="3">
        <v>27000.0</v>
      </c>
      <c r="C125" s="3" t="s">
        <v>3</v>
      </c>
      <c r="D125" s="4" t="str">
        <f t="shared" si="1"/>
        <v>AVEC</v>
      </c>
    </row>
    <row r="126">
      <c r="A126" s="4" t="s">
        <v>2288</v>
      </c>
      <c r="B126" s="3">
        <v>27000.0</v>
      </c>
      <c r="C126" s="3" t="s">
        <v>580</v>
      </c>
      <c r="D126" s="4" t="str">
        <f t="shared" si="1"/>
        <v>AVEC</v>
      </c>
    </row>
    <row r="127">
      <c r="A127" s="4" t="s">
        <v>518</v>
      </c>
      <c r="B127" s="3">
        <v>25062.0</v>
      </c>
      <c r="C127" s="4"/>
      <c r="D127" s="4" t="str">
        <f t="shared" si="1"/>
        <v>AVEC</v>
      </c>
    </row>
    <row r="128">
      <c r="A128" s="4" t="s">
        <v>1262</v>
      </c>
      <c r="B128" s="3">
        <v>25000.0</v>
      </c>
      <c r="C128" s="4"/>
      <c r="D128" s="4" t="str">
        <f t="shared" si="1"/>
        <v>AVEC</v>
      </c>
    </row>
    <row r="129">
      <c r="A129" s="4" t="s">
        <v>1902</v>
      </c>
      <c r="B129" s="3">
        <v>25000.0</v>
      </c>
      <c r="C129" s="4"/>
      <c r="D129" s="4" t="str">
        <f t="shared" si="1"/>
        <v>AVEC</v>
      </c>
    </row>
    <row r="130">
      <c r="A130" s="4" t="s">
        <v>1273</v>
      </c>
      <c r="B130" s="3">
        <v>24500.0</v>
      </c>
      <c r="C130" s="3" t="s">
        <v>3</v>
      </c>
      <c r="D130" s="4" t="str">
        <f t="shared" si="1"/>
        <v>AVEC</v>
      </c>
    </row>
    <row r="131">
      <c r="A131" s="4" t="s">
        <v>935</v>
      </c>
      <c r="B131" s="3">
        <v>23000.0</v>
      </c>
      <c r="C131" s="4"/>
      <c r="D131" s="4" t="str">
        <f t="shared" si="1"/>
        <v>AVEC</v>
      </c>
    </row>
    <row r="132">
      <c r="A132" s="4" t="s">
        <v>1322</v>
      </c>
      <c r="B132" s="3">
        <v>23000.0</v>
      </c>
      <c r="C132" s="3" t="s">
        <v>3</v>
      </c>
      <c r="D132" s="4" t="str">
        <f t="shared" si="1"/>
        <v>AVEC</v>
      </c>
    </row>
    <row r="133">
      <c r="A133" s="4" t="s">
        <v>2274</v>
      </c>
      <c r="B133" s="3">
        <v>23000.0</v>
      </c>
      <c r="C133" s="3" t="s">
        <v>37</v>
      </c>
      <c r="D133" s="4" t="str">
        <f t="shared" si="1"/>
        <v>AVEC</v>
      </c>
    </row>
    <row r="134">
      <c r="A134" s="4" t="s">
        <v>2030</v>
      </c>
      <c r="B134" s="3">
        <v>23000.0</v>
      </c>
      <c r="C134" s="3" t="s">
        <v>3</v>
      </c>
      <c r="D134" s="4" t="str">
        <f t="shared" si="1"/>
        <v>AVEC</v>
      </c>
    </row>
    <row r="135">
      <c r="A135" s="4" t="s">
        <v>1423</v>
      </c>
      <c r="B135" s="3">
        <v>22500.0</v>
      </c>
      <c r="C135" s="3" t="s">
        <v>3</v>
      </c>
      <c r="D135" s="4" t="str">
        <f t="shared" si="1"/>
        <v>AVEC</v>
      </c>
    </row>
    <row r="136">
      <c r="A136" s="4" t="s">
        <v>1671</v>
      </c>
      <c r="B136" s="3">
        <v>22500.0</v>
      </c>
      <c r="C136" s="4"/>
      <c r="D136" s="4" t="str">
        <f t="shared" si="1"/>
        <v>AVEC</v>
      </c>
    </row>
    <row r="137">
      <c r="A137" s="4" t="s">
        <v>2071</v>
      </c>
      <c r="B137" s="3">
        <v>22000.0</v>
      </c>
      <c r="C137" s="3" t="s">
        <v>37</v>
      </c>
      <c r="D137" s="4" t="str">
        <f t="shared" si="1"/>
        <v>AVEC</v>
      </c>
    </row>
    <row r="138">
      <c r="A138" s="4" t="s">
        <v>53</v>
      </c>
      <c r="B138" s="3">
        <v>22000.0</v>
      </c>
      <c r="C138" s="4"/>
      <c r="D138" s="4" t="str">
        <f t="shared" si="1"/>
        <v>AVEC</v>
      </c>
    </row>
    <row r="139">
      <c r="A139" s="4" t="s">
        <v>1336</v>
      </c>
      <c r="B139" s="3">
        <v>22000.0</v>
      </c>
      <c r="C139" s="4"/>
      <c r="D139" s="4" t="str">
        <f t="shared" si="1"/>
        <v>AVEC</v>
      </c>
    </row>
    <row r="140">
      <c r="A140" s="4" t="s">
        <v>1739</v>
      </c>
      <c r="B140" s="3">
        <v>22000.0</v>
      </c>
      <c r="C140" s="3" t="s">
        <v>484</v>
      </c>
      <c r="D140" s="4" t="str">
        <f t="shared" si="1"/>
        <v>AVEC</v>
      </c>
    </row>
    <row r="141">
      <c r="A141" s="4" t="s">
        <v>639</v>
      </c>
      <c r="B141" s="3">
        <v>21600.0</v>
      </c>
      <c r="C141" s="3" t="s">
        <v>3</v>
      </c>
      <c r="D141" s="4" t="str">
        <f t="shared" si="1"/>
        <v>AVEC</v>
      </c>
    </row>
    <row r="142">
      <c r="A142" s="4" t="s">
        <v>1992</v>
      </c>
      <c r="B142" s="3">
        <v>21500.0</v>
      </c>
      <c r="C142" s="4"/>
      <c r="D142" s="4" t="str">
        <f t="shared" si="1"/>
        <v>AVEC</v>
      </c>
    </row>
    <row r="143">
      <c r="A143" s="4" t="s">
        <v>1718</v>
      </c>
      <c r="B143" s="3">
        <v>21350.0</v>
      </c>
      <c r="C143" s="3" t="s">
        <v>32</v>
      </c>
      <c r="D143" s="4" t="str">
        <f t="shared" si="1"/>
        <v>AVEC</v>
      </c>
    </row>
    <row r="144">
      <c r="A144" s="4" t="s">
        <v>2089</v>
      </c>
      <c r="B144" s="3">
        <v>21000.0</v>
      </c>
      <c r="C144" s="3" t="s">
        <v>32</v>
      </c>
      <c r="D144" s="4" t="str">
        <f t="shared" si="1"/>
        <v>AVEC</v>
      </c>
    </row>
    <row r="145">
      <c r="A145" s="4" t="s">
        <v>666</v>
      </c>
      <c r="B145" s="3">
        <v>21000.0</v>
      </c>
      <c r="C145" s="4"/>
      <c r="D145" s="4" t="str">
        <f t="shared" si="1"/>
        <v>AVEC</v>
      </c>
    </row>
    <row r="146">
      <c r="A146" s="4" t="s">
        <v>1246</v>
      </c>
      <c r="B146" s="3">
        <v>21000.0</v>
      </c>
      <c r="C146" s="4"/>
      <c r="D146" s="4" t="str">
        <f t="shared" si="1"/>
        <v>AVEC</v>
      </c>
    </row>
    <row r="147">
      <c r="A147" s="4" t="s">
        <v>1637</v>
      </c>
      <c r="B147" s="3">
        <v>20686.0</v>
      </c>
      <c r="C147" s="4"/>
      <c r="D147" s="4" t="str">
        <f t="shared" si="1"/>
        <v>AVEC</v>
      </c>
    </row>
    <row r="148">
      <c r="A148" s="4" t="s">
        <v>751</v>
      </c>
      <c r="B148" s="3">
        <v>20500.0</v>
      </c>
      <c r="C148" s="3" t="s">
        <v>280</v>
      </c>
      <c r="D148" s="4" t="str">
        <f t="shared" si="1"/>
        <v>AVEC</v>
      </c>
    </row>
    <row r="149">
      <c r="A149" s="4" t="s">
        <v>2215</v>
      </c>
      <c r="B149" s="3">
        <v>20500.0</v>
      </c>
      <c r="C149" s="3" t="s">
        <v>37</v>
      </c>
      <c r="D149" s="4" t="str">
        <f t="shared" si="1"/>
        <v>AVEC</v>
      </c>
    </row>
    <row r="150">
      <c r="A150" s="4" t="s">
        <v>82</v>
      </c>
      <c r="B150" s="3">
        <v>20060.0</v>
      </c>
      <c r="C150" s="4"/>
      <c r="D150" s="4" t="str">
        <f t="shared" si="1"/>
        <v>AVEC</v>
      </c>
    </row>
    <row r="151">
      <c r="A151" s="4" t="s">
        <v>2328</v>
      </c>
      <c r="B151" s="3">
        <v>19500.0</v>
      </c>
      <c r="C151" s="3" t="s">
        <v>6</v>
      </c>
      <c r="D151" s="4" t="str">
        <f t="shared" si="1"/>
        <v>AVEC</v>
      </c>
    </row>
    <row r="152">
      <c r="A152" s="4" t="s">
        <v>14</v>
      </c>
      <c r="B152" s="3">
        <v>19000.0</v>
      </c>
      <c r="C152" s="3" t="s">
        <v>16</v>
      </c>
      <c r="D152" s="4" t="str">
        <f t="shared" si="1"/>
        <v>AVEC</v>
      </c>
    </row>
    <row r="153">
      <c r="A153" s="4" t="s">
        <v>790</v>
      </c>
      <c r="B153" s="3">
        <v>19000.0</v>
      </c>
      <c r="C153" s="4"/>
      <c r="D153" s="4" t="str">
        <f t="shared" si="1"/>
        <v>AVEC</v>
      </c>
    </row>
    <row r="154">
      <c r="A154" s="4" t="s">
        <v>1859</v>
      </c>
      <c r="B154" s="3">
        <v>19000.0</v>
      </c>
      <c r="C154" s="4"/>
      <c r="D154" s="4" t="str">
        <f t="shared" si="1"/>
        <v>AVEC</v>
      </c>
    </row>
    <row r="155">
      <c r="A155" s="4" t="s">
        <v>1421</v>
      </c>
      <c r="B155" s="3">
        <v>18800.0</v>
      </c>
      <c r="C155" s="3" t="s">
        <v>6</v>
      </c>
      <c r="D155" s="4" t="str">
        <f t="shared" si="1"/>
        <v>AVEC</v>
      </c>
    </row>
    <row r="156">
      <c r="A156" s="4" t="s">
        <v>1604</v>
      </c>
      <c r="B156" s="3">
        <v>17528.0</v>
      </c>
      <c r="C156" s="4"/>
      <c r="D156" s="4" t="str">
        <f t="shared" si="1"/>
        <v>AVEC</v>
      </c>
    </row>
    <row r="157">
      <c r="A157" s="4" t="s">
        <v>929</v>
      </c>
      <c r="B157" s="3">
        <v>17500.0</v>
      </c>
      <c r="C157" s="4"/>
      <c r="D157" s="4" t="str">
        <f t="shared" si="1"/>
        <v>AVEC</v>
      </c>
    </row>
    <row r="158">
      <c r="A158" s="4" t="s">
        <v>937</v>
      </c>
      <c r="B158" s="3">
        <v>17000.0</v>
      </c>
      <c r="C158" s="4"/>
      <c r="D158" s="4" t="str">
        <f t="shared" si="1"/>
        <v>AVEC</v>
      </c>
    </row>
    <row r="159">
      <c r="A159" s="4" t="s">
        <v>1624</v>
      </c>
      <c r="B159" s="3">
        <v>17000.0</v>
      </c>
      <c r="C159" s="4"/>
      <c r="D159" s="4" t="str">
        <f t="shared" si="1"/>
        <v>AVEC</v>
      </c>
    </row>
    <row r="160">
      <c r="A160" s="4" t="s">
        <v>2022</v>
      </c>
      <c r="B160" s="3">
        <v>17000.0</v>
      </c>
      <c r="C160" s="3" t="s">
        <v>32</v>
      </c>
      <c r="D160" s="4" t="str">
        <f t="shared" si="1"/>
        <v>AVEC</v>
      </c>
    </row>
    <row r="161">
      <c r="A161" s="4" t="s">
        <v>1811</v>
      </c>
      <c r="B161" s="3">
        <v>16770.0</v>
      </c>
      <c r="C161" s="3" t="s">
        <v>3</v>
      </c>
      <c r="D161" s="4" t="str">
        <f t="shared" si="1"/>
        <v>AVEC</v>
      </c>
    </row>
    <row r="162">
      <c r="A162" s="4" t="s">
        <v>2049</v>
      </c>
      <c r="B162" s="3">
        <v>16628.76</v>
      </c>
      <c r="C162" s="4"/>
      <c r="D162" s="4" t="str">
        <f t="shared" si="1"/>
        <v>AVEC</v>
      </c>
    </row>
    <row r="163">
      <c r="A163" s="4" t="s">
        <v>939</v>
      </c>
      <c r="B163" s="3">
        <v>16000.0</v>
      </c>
      <c r="C163" s="4"/>
      <c r="D163" s="4" t="str">
        <f t="shared" si="1"/>
        <v>AVEC</v>
      </c>
    </row>
    <row r="164">
      <c r="A164" s="4" t="s">
        <v>2250</v>
      </c>
      <c r="B164" s="3">
        <v>16000.0</v>
      </c>
      <c r="C164" s="3" t="s">
        <v>6</v>
      </c>
      <c r="D164" s="4" t="str">
        <f t="shared" si="1"/>
        <v>AVEC</v>
      </c>
    </row>
    <row r="165">
      <c r="A165" s="4" t="s">
        <v>1194</v>
      </c>
      <c r="B165" s="3">
        <v>16000.0</v>
      </c>
      <c r="C165" s="4"/>
      <c r="D165" s="4" t="str">
        <f t="shared" si="1"/>
        <v>AVEC</v>
      </c>
    </row>
    <row r="166">
      <c r="A166" s="4" t="s">
        <v>1315</v>
      </c>
      <c r="B166" s="3">
        <v>16000.0</v>
      </c>
      <c r="C166" s="3" t="s">
        <v>3</v>
      </c>
      <c r="D166" s="4" t="str">
        <f t="shared" si="1"/>
        <v>AVEC</v>
      </c>
    </row>
    <row r="167">
      <c r="A167" s="4" t="s">
        <v>2051</v>
      </c>
      <c r="B167" s="3">
        <v>15920.46</v>
      </c>
      <c r="C167" s="4"/>
      <c r="D167" s="4" t="str">
        <f t="shared" si="1"/>
        <v>AVEC</v>
      </c>
    </row>
    <row r="168">
      <c r="A168" s="4" t="s">
        <v>811</v>
      </c>
      <c r="B168" s="3">
        <v>15800.0</v>
      </c>
      <c r="C168" s="3" t="s">
        <v>6</v>
      </c>
      <c r="D168" s="4" t="str">
        <f t="shared" si="1"/>
        <v>AVEC</v>
      </c>
    </row>
    <row r="169">
      <c r="A169" s="4" t="s">
        <v>278</v>
      </c>
      <c r="B169" s="3">
        <v>15500.0</v>
      </c>
      <c r="C169" s="3" t="s">
        <v>280</v>
      </c>
      <c r="D169" s="4" t="str">
        <f t="shared" si="1"/>
        <v>AVEC</v>
      </c>
    </row>
    <row r="170">
      <c r="A170" s="4" t="s">
        <v>1096</v>
      </c>
      <c r="B170" s="3">
        <v>15500.0</v>
      </c>
      <c r="C170" s="3" t="s">
        <v>3</v>
      </c>
      <c r="D170" s="4" t="str">
        <f t="shared" si="1"/>
        <v>AVEC</v>
      </c>
    </row>
    <row r="171">
      <c r="A171" s="4" t="s">
        <v>203</v>
      </c>
      <c r="B171" s="3">
        <v>15280.0</v>
      </c>
      <c r="C171" s="4"/>
      <c r="D171" s="4" t="str">
        <f t="shared" si="1"/>
        <v>AVEC</v>
      </c>
    </row>
    <row r="172">
      <c r="A172" s="4" t="s">
        <v>145</v>
      </c>
      <c r="B172" s="3">
        <v>15000.0</v>
      </c>
      <c r="C172" s="4"/>
      <c r="D172" s="4" t="str">
        <f t="shared" si="1"/>
        <v>AVEC</v>
      </c>
    </row>
    <row r="173">
      <c r="A173" s="4" t="s">
        <v>687</v>
      </c>
      <c r="B173" s="3">
        <v>15000.0</v>
      </c>
      <c r="C173" s="3" t="s">
        <v>6</v>
      </c>
      <c r="D173" s="4" t="str">
        <f t="shared" si="1"/>
        <v>AVEC</v>
      </c>
    </row>
    <row r="174">
      <c r="A174" s="4" t="s">
        <v>715</v>
      </c>
      <c r="B174" s="3">
        <v>15000.0</v>
      </c>
      <c r="C174" s="4"/>
      <c r="D174" s="4" t="str">
        <f t="shared" si="1"/>
        <v>AVEC</v>
      </c>
    </row>
    <row r="175">
      <c r="A175" s="4" t="s">
        <v>2231</v>
      </c>
      <c r="B175" s="3">
        <v>15000.0</v>
      </c>
      <c r="C175" s="3" t="s">
        <v>3</v>
      </c>
      <c r="D175" s="4" t="str">
        <f t="shared" si="1"/>
        <v>AVEC</v>
      </c>
    </row>
    <row r="176">
      <c r="A176" s="4" t="s">
        <v>2241</v>
      </c>
      <c r="B176" s="3">
        <v>15000.0</v>
      </c>
      <c r="C176" s="3" t="s">
        <v>3</v>
      </c>
      <c r="D176" s="4" t="str">
        <f t="shared" si="1"/>
        <v>AVEC</v>
      </c>
    </row>
    <row r="177">
      <c r="A177" s="4" t="s">
        <v>1145</v>
      </c>
      <c r="B177" s="3">
        <v>15000.0</v>
      </c>
      <c r="C177" s="3" t="s">
        <v>668</v>
      </c>
      <c r="D177" s="4" t="str">
        <f t="shared" si="1"/>
        <v>AVEC</v>
      </c>
    </row>
    <row r="178">
      <c r="A178" s="4" t="s">
        <v>1358</v>
      </c>
      <c r="B178" s="3">
        <v>15000.0</v>
      </c>
      <c r="C178" s="3" t="s">
        <v>32</v>
      </c>
      <c r="D178" s="4" t="str">
        <f t="shared" si="1"/>
        <v>AVEC</v>
      </c>
    </row>
    <row r="179">
      <c r="A179" s="4" t="s">
        <v>1932</v>
      </c>
      <c r="B179" s="3">
        <v>15000.0</v>
      </c>
      <c r="C179" s="4"/>
      <c r="D179" s="4" t="str">
        <f t="shared" si="1"/>
        <v>AVEC</v>
      </c>
    </row>
    <row r="180">
      <c r="A180" s="4" t="s">
        <v>757</v>
      </c>
      <c r="B180" s="3">
        <v>14800.0</v>
      </c>
      <c r="C180" s="4"/>
      <c r="D180" s="4" t="str">
        <f t="shared" si="1"/>
        <v>AVEC</v>
      </c>
    </row>
    <row r="181">
      <c r="A181" s="4" t="s">
        <v>1063</v>
      </c>
      <c r="B181" s="3">
        <v>14800.0</v>
      </c>
      <c r="C181" s="4"/>
      <c r="D181" s="4" t="str">
        <f t="shared" si="1"/>
        <v>AVEC</v>
      </c>
    </row>
    <row r="182">
      <c r="A182" s="4" t="s">
        <v>1566</v>
      </c>
      <c r="B182" s="3">
        <v>14653.49</v>
      </c>
      <c r="C182" s="3" t="s">
        <v>32</v>
      </c>
      <c r="D182" s="4" t="str">
        <f t="shared" si="1"/>
        <v>AVEC</v>
      </c>
    </row>
    <row r="183">
      <c r="A183" s="4" t="s">
        <v>663</v>
      </c>
      <c r="B183" s="3">
        <v>14500.0</v>
      </c>
      <c r="C183" s="3" t="s">
        <v>176</v>
      </c>
      <c r="D183" s="4" t="str">
        <f t="shared" si="1"/>
        <v>AVEC</v>
      </c>
    </row>
    <row r="184">
      <c r="A184" s="4" t="s">
        <v>1039</v>
      </c>
      <c r="B184" s="3">
        <v>14000.0</v>
      </c>
      <c r="C184" s="3" t="s">
        <v>3</v>
      </c>
      <c r="D184" s="4" t="str">
        <f t="shared" si="1"/>
        <v>AVEC</v>
      </c>
    </row>
    <row r="185">
      <c r="A185" s="4" t="s">
        <v>1277</v>
      </c>
      <c r="B185" s="3">
        <v>14000.0</v>
      </c>
      <c r="C185" s="3" t="s">
        <v>16</v>
      </c>
      <c r="D185" s="4" t="str">
        <f t="shared" si="1"/>
        <v>AVEC</v>
      </c>
    </row>
    <row r="186">
      <c r="A186" s="4" t="s">
        <v>1405</v>
      </c>
      <c r="B186" s="3">
        <v>14000.0</v>
      </c>
      <c r="C186" s="4"/>
      <c r="D186" s="4" t="str">
        <f t="shared" si="1"/>
        <v>AVEC</v>
      </c>
    </row>
    <row r="187">
      <c r="A187" s="4" t="s">
        <v>1496</v>
      </c>
      <c r="B187" s="3">
        <v>14000.0</v>
      </c>
      <c r="C187" s="3" t="s">
        <v>29</v>
      </c>
      <c r="D187" s="4" t="str">
        <f t="shared" si="1"/>
        <v>AVEC</v>
      </c>
    </row>
    <row r="188">
      <c r="A188" s="4" t="s">
        <v>1662</v>
      </c>
      <c r="B188" s="3">
        <v>14000.0</v>
      </c>
      <c r="C188" s="4"/>
      <c r="D188" s="4" t="str">
        <f t="shared" si="1"/>
        <v>AVEC</v>
      </c>
    </row>
    <row r="189">
      <c r="A189" s="4" t="s">
        <v>2190</v>
      </c>
      <c r="B189" s="3">
        <v>13600.0</v>
      </c>
      <c r="C189" s="3" t="s">
        <v>37</v>
      </c>
      <c r="D189" s="4" t="str">
        <f t="shared" si="1"/>
        <v>AVEC</v>
      </c>
    </row>
    <row r="190">
      <c r="A190" s="4" t="s">
        <v>2242</v>
      </c>
      <c r="B190" s="3">
        <v>13050.0</v>
      </c>
      <c r="C190" s="3" t="s">
        <v>37</v>
      </c>
      <c r="D190" s="4" t="str">
        <f t="shared" si="1"/>
        <v>AVEC</v>
      </c>
    </row>
    <row r="191">
      <c r="A191" s="4" t="s">
        <v>1348</v>
      </c>
      <c r="B191" s="3">
        <v>13000.0</v>
      </c>
      <c r="C191" s="4"/>
      <c r="D191" s="4" t="str">
        <f t="shared" si="1"/>
        <v>AVEC</v>
      </c>
    </row>
    <row r="192">
      <c r="A192" s="4" t="s">
        <v>2333</v>
      </c>
      <c r="B192" s="3">
        <v>13000.0</v>
      </c>
      <c r="C192" s="3" t="s">
        <v>6</v>
      </c>
      <c r="D192" s="4" t="str">
        <f t="shared" si="1"/>
        <v>AVEC</v>
      </c>
    </row>
    <row r="193">
      <c r="A193" s="4" t="s">
        <v>2061</v>
      </c>
      <c r="B193" s="3">
        <v>13000.0</v>
      </c>
      <c r="C193" s="4"/>
      <c r="D193" s="4" t="str">
        <f t="shared" si="1"/>
        <v>AVEC</v>
      </c>
    </row>
    <row r="194">
      <c r="A194" s="4" t="s">
        <v>171</v>
      </c>
      <c r="B194" s="3">
        <v>12000.0</v>
      </c>
      <c r="C194" s="3" t="s">
        <v>6</v>
      </c>
      <c r="D194" s="4" t="str">
        <f t="shared" si="1"/>
        <v>AVEC</v>
      </c>
    </row>
    <row r="195">
      <c r="A195" s="4" t="s">
        <v>1248</v>
      </c>
      <c r="B195" s="3">
        <v>12000.0</v>
      </c>
      <c r="C195" s="4"/>
      <c r="D195" s="4" t="str">
        <f t="shared" si="1"/>
        <v>AVEC</v>
      </c>
    </row>
    <row r="196">
      <c r="A196" s="4" t="s">
        <v>1561</v>
      </c>
      <c r="B196" s="3">
        <v>12000.0</v>
      </c>
      <c r="C196" s="3" t="s">
        <v>6</v>
      </c>
      <c r="D196" s="4" t="str">
        <f t="shared" si="1"/>
        <v>AVEC</v>
      </c>
    </row>
    <row r="197">
      <c r="A197" s="4" t="s">
        <v>1907</v>
      </c>
      <c r="B197" s="3">
        <v>12000.0</v>
      </c>
      <c r="C197" s="4"/>
      <c r="D197" s="4" t="str">
        <f t="shared" si="1"/>
        <v>AVEC</v>
      </c>
    </row>
    <row r="198">
      <c r="A198" s="4" t="s">
        <v>1406</v>
      </c>
      <c r="B198" s="3">
        <v>11950.0</v>
      </c>
      <c r="C198" s="3" t="s">
        <v>32</v>
      </c>
      <c r="D198" s="4" t="str">
        <f t="shared" si="1"/>
        <v>AVEC</v>
      </c>
    </row>
    <row r="199">
      <c r="A199" s="4" t="s">
        <v>722</v>
      </c>
      <c r="B199" s="3">
        <v>11620.0</v>
      </c>
      <c r="C199" s="4"/>
      <c r="D199" s="4" t="str">
        <f t="shared" si="1"/>
        <v>AVEC</v>
      </c>
    </row>
    <row r="200">
      <c r="A200" s="4" t="s">
        <v>683</v>
      </c>
      <c r="B200" s="3">
        <v>11500.0</v>
      </c>
      <c r="C200" s="3" t="s">
        <v>29</v>
      </c>
      <c r="D200" s="4" t="str">
        <f t="shared" si="1"/>
        <v>AVEC</v>
      </c>
    </row>
    <row r="201">
      <c r="A201" s="4" t="s">
        <v>2200</v>
      </c>
      <c r="B201" s="3">
        <v>11500.0</v>
      </c>
      <c r="C201" s="3" t="s">
        <v>3</v>
      </c>
      <c r="D201" s="4" t="str">
        <f t="shared" si="1"/>
        <v>AVEC</v>
      </c>
    </row>
    <row r="202">
      <c r="A202" s="4" t="s">
        <v>1515</v>
      </c>
      <c r="B202" s="3">
        <v>11500.0</v>
      </c>
      <c r="C202" s="3" t="s">
        <v>16</v>
      </c>
      <c r="D202" s="4" t="str">
        <f t="shared" si="1"/>
        <v>AVEC</v>
      </c>
    </row>
    <row r="203">
      <c r="A203" s="4" t="s">
        <v>931</v>
      </c>
      <c r="B203" s="3">
        <v>11380.0</v>
      </c>
      <c r="C203" s="3" t="s">
        <v>3</v>
      </c>
      <c r="D203" s="4" t="str">
        <f t="shared" si="1"/>
        <v>AVEC</v>
      </c>
    </row>
    <row r="204">
      <c r="A204" s="4" t="s">
        <v>965</v>
      </c>
      <c r="B204" s="3">
        <v>11176.0</v>
      </c>
      <c r="C204" s="4"/>
      <c r="D204" s="4" t="str">
        <f t="shared" si="1"/>
        <v>AVEC</v>
      </c>
    </row>
    <row r="205">
      <c r="A205" s="4" t="s">
        <v>138</v>
      </c>
      <c r="B205" s="3">
        <v>11011.0</v>
      </c>
      <c r="C205" s="4"/>
      <c r="D205" s="4" t="str">
        <f t="shared" si="1"/>
        <v>AVEC</v>
      </c>
    </row>
    <row r="206">
      <c r="A206" s="4" t="s">
        <v>84</v>
      </c>
      <c r="B206" s="3">
        <v>11000.0</v>
      </c>
      <c r="C206" s="3" t="s">
        <v>26</v>
      </c>
      <c r="D206" s="4" t="str">
        <f t="shared" si="1"/>
        <v>AVEC</v>
      </c>
    </row>
    <row r="207">
      <c r="A207" s="4" t="s">
        <v>2127</v>
      </c>
      <c r="B207" s="3">
        <v>11000.0</v>
      </c>
      <c r="C207" s="3" t="s">
        <v>6</v>
      </c>
      <c r="D207" s="4" t="str">
        <f t="shared" si="1"/>
        <v>AVEC</v>
      </c>
    </row>
    <row r="208">
      <c r="A208" s="4" t="s">
        <v>845</v>
      </c>
      <c r="B208" s="3">
        <v>11000.0</v>
      </c>
      <c r="C208" s="4"/>
      <c r="D208" s="4" t="str">
        <f t="shared" si="1"/>
        <v>AVEC</v>
      </c>
    </row>
    <row r="209">
      <c r="A209" s="4" t="s">
        <v>956</v>
      </c>
      <c r="B209" s="3">
        <v>10730.0</v>
      </c>
      <c r="C209" s="4"/>
      <c r="D209" s="4" t="str">
        <f t="shared" si="1"/>
        <v>AVEC</v>
      </c>
    </row>
    <row r="210">
      <c r="A210" s="4" t="s">
        <v>2059</v>
      </c>
      <c r="B210" s="3">
        <v>10536.77</v>
      </c>
      <c r="C210" s="4"/>
      <c r="D210" s="4" t="str">
        <f t="shared" si="1"/>
        <v>AVEC</v>
      </c>
    </row>
    <row r="211">
      <c r="A211" s="4" t="s">
        <v>1288</v>
      </c>
      <c r="B211" s="3">
        <v>10083.0</v>
      </c>
      <c r="C211" s="3" t="s">
        <v>32</v>
      </c>
      <c r="D211" s="4" t="str">
        <f t="shared" si="1"/>
        <v>AVEC</v>
      </c>
    </row>
    <row r="212">
      <c r="A212" s="4" t="s">
        <v>2075</v>
      </c>
      <c r="B212" s="3">
        <v>10000.0</v>
      </c>
      <c r="C212" s="3" t="s">
        <v>3</v>
      </c>
      <c r="D212" s="4" t="str">
        <f t="shared" si="1"/>
        <v>AVEC</v>
      </c>
    </row>
    <row r="213">
      <c r="A213" s="4" t="s">
        <v>2144</v>
      </c>
      <c r="B213" s="3">
        <v>10000.0</v>
      </c>
      <c r="C213" s="3" t="s">
        <v>16</v>
      </c>
      <c r="D213" s="4" t="str">
        <f t="shared" si="1"/>
        <v>AVEC</v>
      </c>
    </row>
    <row r="214">
      <c r="A214" s="4" t="s">
        <v>2197</v>
      </c>
      <c r="B214" s="3">
        <v>10000.0</v>
      </c>
      <c r="C214" s="3" t="s">
        <v>3</v>
      </c>
      <c r="D214" s="4" t="str">
        <f t="shared" si="1"/>
        <v>AVEC</v>
      </c>
    </row>
    <row r="215">
      <c r="A215" s="4" t="s">
        <v>756</v>
      </c>
      <c r="B215" s="3">
        <v>10000.0</v>
      </c>
      <c r="C215" s="4"/>
      <c r="D215" s="4" t="str">
        <f t="shared" si="1"/>
        <v>AVEC</v>
      </c>
    </row>
    <row r="216">
      <c r="A216" s="4" t="s">
        <v>1002</v>
      </c>
      <c r="B216" s="3">
        <v>10000.0</v>
      </c>
      <c r="C216" s="3" t="s">
        <v>3</v>
      </c>
      <c r="D216" s="4" t="str">
        <f t="shared" si="1"/>
        <v>AVEC</v>
      </c>
    </row>
    <row r="217">
      <c r="A217" s="4" t="s">
        <v>1278</v>
      </c>
      <c r="B217" s="3">
        <v>10000.0</v>
      </c>
      <c r="C217" s="4"/>
      <c r="D217" s="4" t="str">
        <f t="shared" si="1"/>
        <v>AVEC</v>
      </c>
    </row>
    <row r="218">
      <c r="A218" s="4" t="s">
        <v>1331</v>
      </c>
      <c r="B218" s="3">
        <v>10000.0</v>
      </c>
      <c r="C218" s="3" t="s">
        <v>32</v>
      </c>
      <c r="D218" s="4" t="str">
        <f t="shared" si="1"/>
        <v>AVEC</v>
      </c>
    </row>
    <row r="219">
      <c r="A219" s="4" t="s">
        <v>1609</v>
      </c>
      <c r="B219" s="3">
        <v>10000.0</v>
      </c>
      <c r="C219" s="3" t="s">
        <v>32</v>
      </c>
      <c r="D219" s="4" t="str">
        <f t="shared" si="1"/>
        <v>AVEC</v>
      </c>
    </row>
    <row r="220">
      <c r="A220" s="4" t="s">
        <v>1626</v>
      </c>
      <c r="B220" s="3">
        <v>10000.0</v>
      </c>
      <c r="C220" s="3" t="s">
        <v>29</v>
      </c>
      <c r="D220" s="4" t="str">
        <f t="shared" si="1"/>
        <v>AVEC</v>
      </c>
    </row>
    <row r="221">
      <c r="A221" s="4" t="s">
        <v>1692</v>
      </c>
      <c r="B221" s="3">
        <v>10000.0</v>
      </c>
      <c r="C221" s="3" t="s">
        <v>1693</v>
      </c>
      <c r="D221" s="4" t="str">
        <f t="shared" si="1"/>
        <v>AVEC</v>
      </c>
    </row>
    <row r="222">
      <c r="A222" s="4" t="s">
        <v>1735</v>
      </c>
      <c r="B222" s="3">
        <v>10000.0</v>
      </c>
      <c r="C222" s="4"/>
      <c r="D222" s="4" t="str">
        <f t="shared" si="1"/>
        <v>AVEC</v>
      </c>
    </row>
    <row r="223">
      <c r="A223" s="4" t="s">
        <v>1759</v>
      </c>
      <c r="B223" s="3">
        <v>10000.0</v>
      </c>
      <c r="C223" s="3" t="s">
        <v>6</v>
      </c>
      <c r="D223" s="4" t="str">
        <f t="shared" si="1"/>
        <v>AVEC</v>
      </c>
    </row>
    <row r="224">
      <c r="A224" s="4" t="s">
        <v>1764</v>
      </c>
      <c r="B224" s="3">
        <v>10000.0</v>
      </c>
      <c r="C224" s="3" t="s">
        <v>3</v>
      </c>
      <c r="D224" s="4" t="str">
        <f t="shared" si="1"/>
        <v>AVEC</v>
      </c>
    </row>
    <row r="225">
      <c r="A225" s="4" t="s">
        <v>1833</v>
      </c>
      <c r="B225" s="3">
        <v>10000.0</v>
      </c>
      <c r="C225" s="3" t="s">
        <v>3</v>
      </c>
      <c r="D225" s="4" t="str">
        <f t="shared" si="1"/>
        <v>AVEC</v>
      </c>
    </row>
    <row r="226">
      <c r="A226" s="4" t="s">
        <v>1850</v>
      </c>
      <c r="B226" s="3">
        <v>10000.0</v>
      </c>
      <c r="C226" s="3" t="s">
        <v>26</v>
      </c>
      <c r="D226" s="4" t="str">
        <f t="shared" si="1"/>
        <v>AVEC</v>
      </c>
    </row>
    <row r="227">
      <c r="A227" s="4" t="s">
        <v>1880</v>
      </c>
      <c r="B227" s="3">
        <v>10000.0</v>
      </c>
      <c r="C227" s="3" t="s">
        <v>3</v>
      </c>
      <c r="D227" s="4" t="str">
        <f t="shared" si="1"/>
        <v>AVEC</v>
      </c>
    </row>
    <row r="228">
      <c r="A228" s="4" t="s">
        <v>1805</v>
      </c>
      <c r="B228" s="3">
        <v>9980.0</v>
      </c>
      <c r="C228" s="3" t="s">
        <v>32</v>
      </c>
      <c r="D228" s="4" t="str">
        <f t="shared" si="1"/>
        <v>AVEC</v>
      </c>
    </row>
    <row r="229">
      <c r="A229" s="4" t="s">
        <v>180</v>
      </c>
      <c r="B229" s="3">
        <v>9880.0</v>
      </c>
      <c r="C229" s="4"/>
      <c r="D229" s="4" t="str">
        <f t="shared" si="1"/>
        <v>AVEC</v>
      </c>
    </row>
    <row r="230">
      <c r="A230" s="4" t="s">
        <v>1766</v>
      </c>
      <c r="B230" s="3">
        <v>9750.0</v>
      </c>
      <c r="C230" s="3" t="s">
        <v>32</v>
      </c>
      <c r="D230" s="4" t="str">
        <f t="shared" si="1"/>
        <v>AVEC</v>
      </c>
    </row>
    <row r="231">
      <c r="A231" s="4" t="s">
        <v>984</v>
      </c>
      <c r="B231" s="3">
        <v>9600.0</v>
      </c>
      <c r="C231" s="4"/>
      <c r="D231" s="4" t="str">
        <f t="shared" si="1"/>
        <v>AVEC</v>
      </c>
    </row>
    <row r="232">
      <c r="A232" s="4" t="s">
        <v>1744</v>
      </c>
      <c r="B232" s="3">
        <v>9520.0</v>
      </c>
      <c r="C232" s="4"/>
      <c r="D232" s="4" t="str">
        <f t="shared" si="1"/>
        <v>AVEC</v>
      </c>
    </row>
    <row r="233">
      <c r="A233" s="4" t="s">
        <v>1013</v>
      </c>
      <c r="B233" s="3">
        <v>9500.0</v>
      </c>
      <c r="C233" s="3" t="s">
        <v>6</v>
      </c>
      <c r="D233" s="4" t="str">
        <f t="shared" si="1"/>
        <v>AVEC</v>
      </c>
    </row>
    <row r="234">
      <c r="A234" s="4" t="s">
        <v>1512</v>
      </c>
      <c r="B234" s="3">
        <v>9500.0</v>
      </c>
      <c r="C234" s="3" t="s">
        <v>6</v>
      </c>
      <c r="D234" s="4" t="str">
        <f t="shared" si="1"/>
        <v>AVEC</v>
      </c>
    </row>
    <row r="235">
      <c r="A235" s="4" t="s">
        <v>2304</v>
      </c>
      <c r="B235" s="3">
        <v>9500.0</v>
      </c>
      <c r="C235" s="3" t="s">
        <v>3</v>
      </c>
      <c r="D235" s="4" t="str">
        <f t="shared" si="1"/>
        <v>AVEC</v>
      </c>
    </row>
    <row r="236">
      <c r="A236" s="4" t="s">
        <v>312</v>
      </c>
      <c r="B236" s="3">
        <v>9400.0</v>
      </c>
      <c r="C236" s="4"/>
      <c r="D236" s="4" t="str">
        <f t="shared" si="1"/>
        <v>AVEC</v>
      </c>
    </row>
    <row r="237">
      <c r="A237" s="4" t="s">
        <v>1264</v>
      </c>
      <c r="B237" s="3">
        <v>9000.0</v>
      </c>
      <c r="C237" s="4"/>
      <c r="D237" s="4" t="str">
        <f t="shared" si="1"/>
        <v>AVEC</v>
      </c>
    </row>
    <row r="238">
      <c r="A238" s="4" t="s">
        <v>1304</v>
      </c>
      <c r="B238" s="3">
        <v>9000.0</v>
      </c>
      <c r="C238" s="3" t="s">
        <v>3</v>
      </c>
      <c r="D238" s="4" t="str">
        <f t="shared" si="1"/>
        <v>AVEC</v>
      </c>
    </row>
    <row r="239">
      <c r="A239" s="4" t="s">
        <v>2270</v>
      </c>
      <c r="B239" s="3">
        <v>9000.0</v>
      </c>
      <c r="C239" s="3" t="s">
        <v>37</v>
      </c>
      <c r="D239" s="4" t="str">
        <f t="shared" si="1"/>
        <v>AVEC</v>
      </c>
    </row>
    <row r="240">
      <c r="A240" s="4" t="s">
        <v>1499</v>
      </c>
      <c r="B240" s="3">
        <v>9000.0</v>
      </c>
      <c r="C240" s="3" t="s">
        <v>32</v>
      </c>
      <c r="D240" s="4" t="str">
        <f t="shared" si="1"/>
        <v>AVEC</v>
      </c>
    </row>
    <row r="241">
      <c r="A241" s="4" t="s">
        <v>2280</v>
      </c>
      <c r="B241" s="3">
        <v>9000.0</v>
      </c>
      <c r="C241" s="3" t="s">
        <v>6</v>
      </c>
      <c r="D241" s="4" t="str">
        <f t="shared" si="1"/>
        <v>AVEC</v>
      </c>
    </row>
    <row r="242">
      <c r="A242" s="4" t="s">
        <v>2031</v>
      </c>
      <c r="B242" s="3">
        <v>9000.0</v>
      </c>
      <c r="C242" s="4"/>
      <c r="D242" s="4" t="str">
        <f t="shared" si="1"/>
        <v>AVEC</v>
      </c>
    </row>
    <row r="243">
      <c r="A243" s="4" t="s">
        <v>299</v>
      </c>
      <c r="B243" s="3">
        <v>8907.0</v>
      </c>
      <c r="C243" s="3" t="s">
        <v>6</v>
      </c>
      <c r="D243" s="4" t="str">
        <f t="shared" si="1"/>
        <v>AVEC</v>
      </c>
    </row>
    <row r="244">
      <c r="A244" s="4" t="s">
        <v>824</v>
      </c>
      <c r="B244" s="3">
        <v>8800.0</v>
      </c>
      <c r="C244" s="4"/>
      <c r="D244" s="4" t="str">
        <f t="shared" si="1"/>
        <v>AVEC</v>
      </c>
    </row>
    <row r="245">
      <c r="A245" s="4" t="s">
        <v>1401</v>
      </c>
      <c r="B245" s="3">
        <v>8640.0</v>
      </c>
      <c r="C245" s="4"/>
      <c r="D245" s="4" t="str">
        <f t="shared" si="1"/>
        <v>AVEC</v>
      </c>
    </row>
    <row r="246">
      <c r="A246" s="4" t="s">
        <v>117</v>
      </c>
      <c r="B246" s="3">
        <v>8605.0</v>
      </c>
      <c r="C246" s="4"/>
      <c r="D246" s="4" t="str">
        <f t="shared" si="1"/>
        <v>AVEC</v>
      </c>
    </row>
    <row r="247">
      <c r="A247" s="4" t="s">
        <v>633</v>
      </c>
      <c r="B247" s="3">
        <v>8500.0</v>
      </c>
      <c r="C247" s="3" t="s">
        <v>3</v>
      </c>
      <c r="D247" s="4" t="str">
        <f t="shared" si="1"/>
        <v>AVEC</v>
      </c>
    </row>
    <row r="248">
      <c r="A248" s="4" t="s">
        <v>2119</v>
      </c>
      <c r="B248" s="3">
        <v>8400.0</v>
      </c>
      <c r="C248" s="4"/>
      <c r="D248" s="4" t="str">
        <f t="shared" si="1"/>
        <v>AVEC</v>
      </c>
    </row>
    <row r="249">
      <c r="A249" s="4" t="s">
        <v>1234</v>
      </c>
      <c r="B249" s="3">
        <v>8308.0</v>
      </c>
      <c r="C249" s="3" t="s">
        <v>26</v>
      </c>
      <c r="D249" s="4" t="str">
        <f t="shared" si="1"/>
        <v>AVEC</v>
      </c>
    </row>
    <row r="250">
      <c r="A250" s="4" t="s">
        <v>2002</v>
      </c>
      <c r="B250" s="3">
        <v>8300.0</v>
      </c>
      <c r="C250" s="3" t="s">
        <v>6</v>
      </c>
      <c r="D250" s="4" t="str">
        <f t="shared" si="1"/>
        <v>AVEC</v>
      </c>
    </row>
    <row r="251">
      <c r="A251" s="4" t="s">
        <v>745</v>
      </c>
      <c r="B251" s="3">
        <v>8200.0</v>
      </c>
      <c r="C251" s="3" t="s">
        <v>3</v>
      </c>
      <c r="D251" s="4" t="str">
        <f t="shared" si="1"/>
        <v>AVEC</v>
      </c>
    </row>
    <row r="252">
      <c r="A252" s="4" t="s">
        <v>622</v>
      </c>
      <c r="B252" s="3">
        <v>8000.0</v>
      </c>
      <c r="C252" s="3" t="s">
        <v>32</v>
      </c>
      <c r="D252" s="4" t="str">
        <f t="shared" si="1"/>
        <v>AVEC</v>
      </c>
    </row>
    <row r="253">
      <c r="A253" s="4" t="s">
        <v>900</v>
      </c>
      <c r="B253" s="3">
        <v>8000.0</v>
      </c>
      <c r="C253" s="4"/>
      <c r="D253" s="4" t="str">
        <f t="shared" si="1"/>
        <v>AVEC</v>
      </c>
    </row>
    <row r="254">
      <c r="A254" s="4" t="s">
        <v>915</v>
      </c>
      <c r="B254" s="3">
        <v>8000.0</v>
      </c>
      <c r="C254" s="4"/>
      <c r="D254" s="4" t="str">
        <f t="shared" si="1"/>
        <v>AVEC</v>
      </c>
    </row>
    <row r="255">
      <c r="A255" s="4" t="s">
        <v>977</v>
      </c>
      <c r="B255" s="3">
        <v>8000.0</v>
      </c>
      <c r="C255" s="4"/>
      <c r="D255" s="4" t="str">
        <f t="shared" si="1"/>
        <v>AVEC</v>
      </c>
    </row>
    <row r="256">
      <c r="A256" s="4" t="s">
        <v>994</v>
      </c>
      <c r="B256" s="3">
        <v>8000.0</v>
      </c>
      <c r="C256" s="4"/>
      <c r="D256" s="4" t="str">
        <f t="shared" si="1"/>
        <v>AVEC</v>
      </c>
    </row>
    <row r="257">
      <c r="A257" s="4" t="s">
        <v>1321</v>
      </c>
      <c r="B257" s="3">
        <v>8000.0</v>
      </c>
      <c r="C257" s="4"/>
      <c r="D257" s="4" t="str">
        <f t="shared" si="1"/>
        <v>AVEC</v>
      </c>
    </row>
    <row r="258">
      <c r="A258" s="4" t="s">
        <v>1351</v>
      </c>
      <c r="B258" s="3">
        <v>8000.0</v>
      </c>
      <c r="C258" s="4"/>
      <c r="D258" s="4" t="str">
        <f t="shared" si="1"/>
        <v>AVEC</v>
      </c>
    </row>
    <row r="259">
      <c r="A259" s="4" t="s">
        <v>1414</v>
      </c>
      <c r="B259" s="3">
        <v>8000.0</v>
      </c>
      <c r="C259" s="4"/>
      <c r="D259" s="4" t="str">
        <f t="shared" si="1"/>
        <v>AVEC</v>
      </c>
    </row>
    <row r="260">
      <c r="A260" s="4" t="s">
        <v>1890</v>
      </c>
      <c r="B260" s="3">
        <v>8000.0</v>
      </c>
      <c r="C260" s="3" t="s">
        <v>3</v>
      </c>
      <c r="D260" s="4" t="str">
        <f t="shared" si="1"/>
        <v>AVEC</v>
      </c>
    </row>
    <row r="261">
      <c r="A261" s="4" t="s">
        <v>2315</v>
      </c>
      <c r="B261" s="3">
        <v>8000.0</v>
      </c>
      <c r="C261" s="4"/>
      <c r="D261" s="4" t="str">
        <f t="shared" si="1"/>
        <v>AVEC</v>
      </c>
    </row>
    <row r="262">
      <c r="A262" s="4" t="s">
        <v>158</v>
      </c>
      <c r="B262" s="3">
        <v>7932.0</v>
      </c>
      <c r="C262" s="4"/>
      <c r="D262" s="4" t="str">
        <f t="shared" si="1"/>
        <v>AVEC</v>
      </c>
    </row>
    <row r="263">
      <c r="A263" s="4" t="s">
        <v>988</v>
      </c>
      <c r="B263" s="3">
        <v>7800.0</v>
      </c>
      <c r="C263" s="3" t="s">
        <v>280</v>
      </c>
      <c r="D263" s="4" t="str">
        <f t="shared" si="1"/>
        <v>AVEC</v>
      </c>
    </row>
    <row r="264">
      <c r="A264" s="4" t="s">
        <v>1606</v>
      </c>
      <c r="B264" s="3">
        <v>7800.0</v>
      </c>
      <c r="C264" s="3" t="s">
        <v>3</v>
      </c>
      <c r="D264" s="4" t="str">
        <f t="shared" si="1"/>
        <v>AVEC</v>
      </c>
    </row>
    <row r="265">
      <c r="A265" s="4" t="s">
        <v>2312</v>
      </c>
      <c r="B265" s="3">
        <v>7800.0</v>
      </c>
      <c r="C265" s="4"/>
      <c r="D265" s="4" t="str">
        <f t="shared" si="1"/>
        <v>AVEC</v>
      </c>
    </row>
    <row r="266">
      <c r="A266" s="4" t="s">
        <v>2070</v>
      </c>
      <c r="B266" s="3">
        <v>7600.0</v>
      </c>
      <c r="C266" s="3" t="s">
        <v>32</v>
      </c>
      <c r="D266" s="4" t="str">
        <f t="shared" si="1"/>
        <v>AVEC</v>
      </c>
    </row>
    <row r="267">
      <c r="A267" s="4" t="s">
        <v>2048</v>
      </c>
      <c r="B267" s="3">
        <v>7600.0</v>
      </c>
      <c r="C267" s="4"/>
      <c r="D267" s="4" t="str">
        <f t="shared" si="1"/>
        <v>AVEC</v>
      </c>
    </row>
    <row r="268">
      <c r="A268" s="4" t="s">
        <v>164</v>
      </c>
      <c r="B268" s="3">
        <v>7500.0</v>
      </c>
      <c r="C268" s="4"/>
      <c r="D268" s="4" t="str">
        <f t="shared" si="1"/>
        <v>AVEC</v>
      </c>
    </row>
    <row r="269">
      <c r="A269" s="4" t="s">
        <v>1420</v>
      </c>
      <c r="B269" s="3">
        <v>7500.0</v>
      </c>
      <c r="C269" s="3" t="s">
        <v>6</v>
      </c>
      <c r="D269" s="4" t="str">
        <f t="shared" si="1"/>
        <v>AVEC</v>
      </c>
    </row>
    <row r="270">
      <c r="A270" s="4" t="s">
        <v>322</v>
      </c>
      <c r="B270" s="3">
        <v>7475.0</v>
      </c>
      <c r="C270" s="3" t="s">
        <v>32</v>
      </c>
      <c r="D270" s="4" t="str">
        <f t="shared" si="1"/>
        <v>AVEC</v>
      </c>
    </row>
    <row r="271">
      <c r="A271" s="4" t="s">
        <v>1293</v>
      </c>
      <c r="B271" s="3">
        <v>7370.0</v>
      </c>
      <c r="C271" s="3" t="s">
        <v>29</v>
      </c>
      <c r="D271" s="4" t="str">
        <f t="shared" si="1"/>
        <v>AVEC</v>
      </c>
    </row>
    <row r="272">
      <c r="A272" s="4" t="s">
        <v>702</v>
      </c>
      <c r="B272" s="3">
        <v>7300.0</v>
      </c>
      <c r="C272" s="3" t="s">
        <v>32</v>
      </c>
      <c r="D272" s="4" t="str">
        <f t="shared" si="1"/>
        <v>AVEC</v>
      </c>
    </row>
    <row r="273">
      <c r="A273" s="4" t="s">
        <v>1747</v>
      </c>
      <c r="B273" s="3">
        <v>7100.0</v>
      </c>
      <c r="C273" s="3" t="s">
        <v>6</v>
      </c>
      <c r="D273" s="4" t="str">
        <f t="shared" si="1"/>
        <v>AVEC</v>
      </c>
    </row>
    <row r="274">
      <c r="A274" s="4" t="s">
        <v>532</v>
      </c>
      <c r="B274" s="3">
        <v>7000.0</v>
      </c>
      <c r="C274" s="3" t="s">
        <v>3</v>
      </c>
      <c r="D274" s="4" t="str">
        <f t="shared" si="1"/>
        <v>AVEC</v>
      </c>
    </row>
    <row r="275">
      <c r="A275" s="4" t="s">
        <v>659</v>
      </c>
      <c r="B275" s="3">
        <v>7000.0</v>
      </c>
      <c r="C275" s="3" t="s">
        <v>6</v>
      </c>
      <c r="D275" s="4" t="str">
        <f t="shared" si="1"/>
        <v>AVEC</v>
      </c>
    </row>
    <row r="276">
      <c r="A276" s="4" t="s">
        <v>2198</v>
      </c>
      <c r="B276" s="3">
        <v>7000.0</v>
      </c>
      <c r="C276" s="4"/>
      <c r="D276" s="4" t="str">
        <f t="shared" si="1"/>
        <v>AVEC</v>
      </c>
    </row>
    <row r="277">
      <c r="A277" s="4" t="s">
        <v>755</v>
      </c>
      <c r="B277" s="3">
        <v>7000.0</v>
      </c>
      <c r="C277" s="3" t="s">
        <v>3</v>
      </c>
      <c r="D277" s="4" t="str">
        <f t="shared" si="1"/>
        <v>AVEC</v>
      </c>
    </row>
    <row r="278">
      <c r="A278" s="4" t="s">
        <v>1243</v>
      </c>
      <c r="B278" s="3">
        <v>7000.0</v>
      </c>
      <c r="C278" s="3" t="s">
        <v>26</v>
      </c>
      <c r="D278" s="4" t="str">
        <f t="shared" si="1"/>
        <v>AVEC</v>
      </c>
    </row>
    <row r="279">
      <c r="A279" s="4" t="s">
        <v>1392</v>
      </c>
      <c r="B279" s="3">
        <v>7000.0</v>
      </c>
      <c r="C279" s="4"/>
      <c r="D279" s="4" t="str">
        <f t="shared" si="1"/>
        <v>AVEC</v>
      </c>
    </row>
    <row r="280">
      <c r="A280" s="4" t="s">
        <v>1536</v>
      </c>
      <c r="B280" s="3">
        <v>7000.0</v>
      </c>
      <c r="C280" s="4"/>
      <c r="D280" s="4" t="str">
        <f t="shared" si="1"/>
        <v>AVEC</v>
      </c>
    </row>
    <row r="281">
      <c r="A281" s="4" t="s">
        <v>2047</v>
      </c>
      <c r="B281" s="3">
        <v>7000.0</v>
      </c>
      <c r="C281" s="4"/>
      <c r="D281" s="4" t="str">
        <f t="shared" si="1"/>
        <v>AVEC</v>
      </c>
    </row>
    <row r="282">
      <c r="A282" s="4" t="s">
        <v>2009</v>
      </c>
      <c r="B282" s="3">
        <v>6900.0</v>
      </c>
      <c r="C282" s="3" t="s">
        <v>6</v>
      </c>
      <c r="D282" s="4" t="str">
        <f t="shared" si="1"/>
        <v>AVEC</v>
      </c>
    </row>
    <row r="283">
      <c r="A283" s="4" t="s">
        <v>2313</v>
      </c>
      <c r="B283" s="3">
        <v>6800.0</v>
      </c>
      <c r="C283" s="4"/>
      <c r="D283" s="4" t="str">
        <f t="shared" si="1"/>
        <v>AVEC</v>
      </c>
    </row>
    <row r="284">
      <c r="A284" s="4" t="s">
        <v>57</v>
      </c>
      <c r="B284" s="3">
        <v>6500.0</v>
      </c>
      <c r="C284" s="4"/>
      <c r="D284" s="4" t="str">
        <f t="shared" si="1"/>
        <v>AVEC</v>
      </c>
    </row>
    <row r="285">
      <c r="A285" s="4" t="s">
        <v>1460</v>
      </c>
      <c r="B285" s="3">
        <v>6500.0</v>
      </c>
      <c r="C285" s="4"/>
      <c r="D285" s="4" t="str">
        <f t="shared" si="1"/>
        <v>AVEC</v>
      </c>
    </row>
    <row r="286">
      <c r="A286" s="4" t="s">
        <v>1896</v>
      </c>
      <c r="B286" s="3">
        <v>6500.0</v>
      </c>
      <c r="C286" s="4"/>
      <c r="D286" s="4" t="str">
        <f t="shared" si="1"/>
        <v>AVEC</v>
      </c>
    </row>
    <row r="287">
      <c r="A287" s="4" t="s">
        <v>1911</v>
      </c>
      <c r="B287" s="3">
        <v>6500.0</v>
      </c>
      <c r="C287" s="4"/>
      <c r="D287" s="4" t="str">
        <f t="shared" si="1"/>
        <v>AVEC</v>
      </c>
    </row>
    <row r="288">
      <c r="A288" s="4" t="s">
        <v>1994</v>
      </c>
      <c r="B288" s="3">
        <v>6500.0</v>
      </c>
      <c r="C288" s="4"/>
      <c r="D288" s="4" t="str">
        <f t="shared" si="1"/>
        <v>AVEC</v>
      </c>
    </row>
    <row r="289">
      <c r="A289" s="4" t="s">
        <v>2272</v>
      </c>
      <c r="B289" s="3">
        <v>6400.0</v>
      </c>
      <c r="C289" s="3" t="s">
        <v>580</v>
      </c>
      <c r="D289" s="4" t="str">
        <f t="shared" si="1"/>
        <v>AVEC</v>
      </c>
    </row>
    <row r="290">
      <c r="A290" s="4" t="s">
        <v>1773</v>
      </c>
      <c r="B290" s="3">
        <v>6182.0</v>
      </c>
      <c r="C290" s="4"/>
      <c r="D290" s="4" t="str">
        <f t="shared" si="1"/>
        <v>AVEC</v>
      </c>
    </row>
    <row r="291">
      <c r="A291" s="4" t="s">
        <v>1938</v>
      </c>
      <c r="B291" s="3">
        <v>6100.0</v>
      </c>
      <c r="C291" s="4"/>
      <c r="D291" s="4" t="str">
        <f t="shared" si="1"/>
        <v>AVEC</v>
      </c>
    </row>
    <row r="292">
      <c r="A292" s="4" t="s">
        <v>71</v>
      </c>
      <c r="B292" s="3">
        <v>6000.0</v>
      </c>
      <c r="C292" s="3" t="s">
        <v>3</v>
      </c>
      <c r="D292" s="4" t="str">
        <f t="shared" si="1"/>
        <v>AVEC</v>
      </c>
    </row>
    <row r="293">
      <c r="A293" s="4" t="s">
        <v>793</v>
      </c>
      <c r="B293" s="3">
        <v>6000.0</v>
      </c>
      <c r="C293" s="4"/>
      <c r="D293" s="4" t="str">
        <f t="shared" si="1"/>
        <v>AVEC</v>
      </c>
    </row>
    <row r="294">
      <c r="A294" s="4" t="s">
        <v>921</v>
      </c>
      <c r="B294" s="3">
        <v>6000.0</v>
      </c>
      <c r="C294" s="4"/>
      <c r="D294" s="4" t="str">
        <f t="shared" si="1"/>
        <v>AVEC</v>
      </c>
    </row>
    <row r="295">
      <c r="A295" s="4" t="s">
        <v>927</v>
      </c>
      <c r="B295" s="3">
        <v>6000.0</v>
      </c>
      <c r="C295" s="4"/>
      <c r="D295" s="4" t="str">
        <f t="shared" si="1"/>
        <v>AVEC</v>
      </c>
    </row>
    <row r="296">
      <c r="A296" s="4" t="s">
        <v>1279</v>
      </c>
      <c r="B296" s="3">
        <v>6000.0</v>
      </c>
      <c r="C296" s="4"/>
      <c r="D296" s="4" t="str">
        <f t="shared" si="1"/>
        <v>AVEC</v>
      </c>
    </row>
    <row r="297">
      <c r="A297" s="4" t="s">
        <v>1343</v>
      </c>
      <c r="B297" s="3">
        <v>6000.0</v>
      </c>
      <c r="C297" s="4"/>
      <c r="D297" s="4" t="str">
        <f t="shared" si="1"/>
        <v>AVEC</v>
      </c>
    </row>
    <row r="298">
      <c r="A298" s="4" t="s">
        <v>1367</v>
      </c>
      <c r="B298" s="3">
        <v>6000.0</v>
      </c>
      <c r="C298" s="3" t="s">
        <v>3</v>
      </c>
      <c r="D298" s="4" t="str">
        <f t="shared" si="1"/>
        <v>AVEC</v>
      </c>
    </row>
    <row r="299">
      <c r="A299" s="4" t="s">
        <v>1475</v>
      </c>
      <c r="B299" s="3">
        <v>6000.0</v>
      </c>
      <c r="C299" s="4"/>
      <c r="D299" s="4" t="str">
        <f t="shared" si="1"/>
        <v>AVEC</v>
      </c>
    </row>
    <row r="300">
      <c r="A300" s="4" t="s">
        <v>1568</v>
      </c>
      <c r="B300" s="3">
        <v>6000.0</v>
      </c>
      <c r="C300" s="3" t="s">
        <v>32</v>
      </c>
      <c r="D300" s="4" t="str">
        <f t="shared" si="1"/>
        <v>AVEC</v>
      </c>
    </row>
    <row r="301">
      <c r="A301" s="4" t="s">
        <v>1581</v>
      </c>
      <c r="B301" s="3">
        <v>6000.0</v>
      </c>
      <c r="C301" s="3" t="s">
        <v>32</v>
      </c>
      <c r="D301" s="4" t="str">
        <f t="shared" si="1"/>
        <v>AVEC</v>
      </c>
    </row>
    <row r="302">
      <c r="A302" s="4" t="s">
        <v>1754</v>
      </c>
      <c r="B302" s="3">
        <v>6000.0</v>
      </c>
      <c r="C302" s="3" t="s">
        <v>32</v>
      </c>
      <c r="D302" s="4" t="str">
        <f t="shared" si="1"/>
        <v>AVEC</v>
      </c>
    </row>
    <row r="303">
      <c r="A303" s="4" t="s">
        <v>442</v>
      </c>
      <c r="B303" s="3">
        <v>5900.0</v>
      </c>
      <c r="C303" s="4"/>
      <c r="D303" s="4" t="str">
        <f t="shared" si="1"/>
        <v>AVEC</v>
      </c>
    </row>
    <row r="304">
      <c r="A304" s="4" t="s">
        <v>717</v>
      </c>
      <c r="B304" s="3">
        <v>5750.0</v>
      </c>
      <c r="C304" s="3" t="s">
        <v>3</v>
      </c>
      <c r="D304" s="4" t="str">
        <f t="shared" si="1"/>
        <v>AVEC</v>
      </c>
    </row>
    <row r="305">
      <c r="A305" s="4" t="s">
        <v>330</v>
      </c>
      <c r="B305" s="3">
        <v>5688.0</v>
      </c>
      <c r="C305" s="3" t="s">
        <v>6</v>
      </c>
      <c r="D305" s="4" t="str">
        <f t="shared" si="1"/>
        <v>AVEC</v>
      </c>
    </row>
    <row r="306">
      <c r="A306" s="4" t="s">
        <v>78</v>
      </c>
      <c r="B306" s="3">
        <v>5500.0</v>
      </c>
      <c r="C306" s="4"/>
      <c r="D306" s="4" t="str">
        <f t="shared" si="1"/>
        <v>AVEC</v>
      </c>
    </row>
    <row r="307">
      <c r="A307" s="4" t="s">
        <v>238</v>
      </c>
      <c r="B307" s="3">
        <v>5500.0</v>
      </c>
      <c r="C307" s="3" t="s">
        <v>3</v>
      </c>
      <c r="D307" s="4" t="str">
        <f t="shared" si="1"/>
        <v>AVEC</v>
      </c>
    </row>
    <row r="308">
      <c r="A308" s="4" t="s">
        <v>1192</v>
      </c>
      <c r="B308" s="3">
        <v>5500.0</v>
      </c>
      <c r="C308" s="3" t="s">
        <v>29</v>
      </c>
      <c r="D308" s="4" t="str">
        <f t="shared" si="1"/>
        <v>AVEC</v>
      </c>
    </row>
    <row r="309">
      <c r="A309" s="4" t="s">
        <v>1594</v>
      </c>
      <c r="B309" s="3">
        <v>5500.0</v>
      </c>
      <c r="C309" s="3" t="s">
        <v>6</v>
      </c>
      <c r="D309" s="4" t="str">
        <f t="shared" si="1"/>
        <v>AVEC</v>
      </c>
    </row>
    <row r="310">
      <c r="A310" s="4" t="s">
        <v>1989</v>
      </c>
      <c r="B310" s="3">
        <v>5394.0</v>
      </c>
      <c r="C310" s="3" t="s">
        <v>6</v>
      </c>
      <c r="D310" s="4" t="str">
        <f t="shared" si="1"/>
        <v>AVEC</v>
      </c>
    </row>
    <row r="311">
      <c r="A311" s="4" t="s">
        <v>2073</v>
      </c>
      <c r="B311" s="3">
        <v>5000.0</v>
      </c>
      <c r="C311" s="4"/>
      <c r="D311" s="4" t="str">
        <f t="shared" si="1"/>
        <v>AVEC</v>
      </c>
    </row>
    <row r="312">
      <c r="A312" s="4" t="s">
        <v>63</v>
      </c>
      <c r="B312" s="3">
        <v>5000.0</v>
      </c>
      <c r="C312" s="3" t="s">
        <v>3</v>
      </c>
      <c r="D312" s="4" t="str">
        <f t="shared" si="1"/>
        <v>AVEC</v>
      </c>
    </row>
    <row r="313">
      <c r="A313" s="4" t="s">
        <v>76</v>
      </c>
      <c r="B313" s="3">
        <v>5000.0</v>
      </c>
      <c r="C313" s="3" t="s">
        <v>6</v>
      </c>
      <c r="D313" s="4" t="str">
        <f t="shared" si="1"/>
        <v>AVEC</v>
      </c>
    </row>
    <row r="314">
      <c r="A314" s="4" t="s">
        <v>399</v>
      </c>
      <c r="B314" s="3">
        <v>5000.0</v>
      </c>
      <c r="C314" s="4"/>
      <c r="D314" s="4" t="str">
        <f t="shared" si="1"/>
        <v>AVEC</v>
      </c>
    </row>
    <row r="315">
      <c r="A315" s="4" t="s">
        <v>427</v>
      </c>
      <c r="B315" s="3">
        <v>5000.0</v>
      </c>
      <c r="C315" s="3" t="s">
        <v>29</v>
      </c>
      <c r="D315" s="4" t="str">
        <f t="shared" si="1"/>
        <v>AVEC</v>
      </c>
    </row>
    <row r="316">
      <c r="A316" s="4" t="s">
        <v>472</v>
      </c>
      <c r="B316" s="3">
        <v>5000.0</v>
      </c>
      <c r="C316" s="3" t="s">
        <v>32</v>
      </c>
      <c r="D316" s="4" t="str">
        <f t="shared" si="1"/>
        <v>AVEC</v>
      </c>
    </row>
    <row r="317">
      <c r="A317" s="4" t="s">
        <v>681</v>
      </c>
      <c r="B317" s="3">
        <v>5000.0</v>
      </c>
      <c r="C317" s="4"/>
      <c r="D317" s="4" t="str">
        <f t="shared" si="1"/>
        <v>AVEC</v>
      </c>
    </row>
    <row r="318">
      <c r="A318" s="4" t="s">
        <v>2208</v>
      </c>
      <c r="B318" s="3">
        <v>5000.0</v>
      </c>
      <c r="C318" s="4"/>
      <c r="D318" s="4" t="str">
        <f t="shared" si="1"/>
        <v>AVEC</v>
      </c>
    </row>
    <row r="319">
      <c r="A319" s="4" t="s">
        <v>922</v>
      </c>
      <c r="B319" s="3">
        <v>5000.0</v>
      </c>
      <c r="C319" s="4"/>
      <c r="D319" s="4" t="str">
        <f t="shared" si="1"/>
        <v>AVEC</v>
      </c>
    </row>
    <row r="320">
      <c r="A320" s="4" t="s">
        <v>2235</v>
      </c>
      <c r="B320" s="3">
        <v>5000.0</v>
      </c>
      <c r="C320" s="4"/>
      <c r="D320" s="4" t="str">
        <f t="shared" si="1"/>
        <v>AVEC</v>
      </c>
    </row>
    <row r="321">
      <c r="A321" s="4" t="s">
        <v>1113</v>
      </c>
      <c r="B321" s="3">
        <v>5000.0</v>
      </c>
      <c r="C321" s="4"/>
      <c r="D321" s="4" t="str">
        <f t="shared" si="1"/>
        <v>AVEC</v>
      </c>
    </row>
    <row r="322">
      <c r="A322" s="4" t="s">
        <v>1214</v>
      </c>
      <c r="B322" s="3">
        <v>5000.0</v>
      </c>
      <c r="C322" s="3" t="s">
        <v>29</v>
      </c>
      <c r="D322" s="4" t="str">
        <f t="shared" si="1"/>
        <v>AVEC</v>
      </c>
    </row>
    <row r="323">
      <c r="A323" s="4" t="s">
        <v>1417</v>
      </c>
      <c r="B323" s="3">
        <v>5000.0</v>
      </c>
      <c r="C323" s="4"/>
      <c r="D323" s="4" t="str">
        <f t="shared" si="1"/>
        <v>AVEC</v>
      </c>
    </row>
    <row r="324">
      <c r="A324" s="4" t="s">
        <v>1431</v>
      </c>
      <c r="B324" s="3">
        <v>5000.0</v>
      </c>
      <c r="C324" s="4"/>
      <c r="D324" s="4" t="str">
        <f t="shared" si="1"/>
        <v>AVEC</v>
      </c>
    </row>
    <row r="325">
      <c r="A325" s="4" t="s">
        <v>1468</v>
      </c>
      <c r="B325" s="3">
        <v>5000.0</v>
      </c>
      <c r="C325" s="4"/>
      <c r="D325" s="4" t="str">
        <f t="shared" si="1"/>
        <v>AVEC</v>
      </c>
    </row>
    <row r="326">
      <c r="A326" s="4" t="s">
        <v>1565</v>
      </c>
      <c r="B326" s="3">
        <v>5000.0</v>
      </c>
      <c r="C326" s="4"/>
      <c r="D326" s="4" t="str">
        <f t="shared" si="1"/>
        <v>AVEC</v>
      </c>
    </row>
    <row r="327">
      <c r="A327" s="4" t="s">
        <v>1975</v>
      </c>
      <c r="B327" s="3">
        <v>5000.0</v>
      </c>
      <c r="C327" s="4"/>
      <c r="D327" s="4" t="str">
        <f t="shared" si="1"/>
        <v>AVEC</v>
      </c>
    </row>
    <row r="328">
      <c r="A328" s="4" t="s">
        <v>2018</v>
      </c>
      <c r="B328" s="3">
        <v>5000.0</v>
      </c>
      <c r="C328" s="4"/>
      <c r="D328" s="4" t="str">
        <f t="shared" si="1"/>
        <v>AVEC</v>
      </c>
    </row>
    <row r="329">
      <c r="A329" s="4" t="s">
        <v>283</v>
      </c>
      <c r="B329" s="3">
        <v>5000.0</v>
      </c>
      <c r="C329" s="4"/>
      <c r="D329" s="4" t="str">
        <f t="shared" si="1"/>
        <v>AVEC</v>
      </c>
    </row>
    <row r="330">
      <c r="A330" s="4" t="s">
        <v>314</v>
      </c>
      <c r="B330" s="3">
        <v>4880.0</v>
      </c>
      <c r="C330" s="3" t="s">
        <v>6</v>
      </c>
      <c r="D330" s="4" t="str">
        <f t="shared" si="1"/>
        <v>AVEC</v>
      </c>
    </row>
    <row r="331">
      <c r="A331" s="4" t="s">
        <v>199</v>
      </c>
      <c r="B331" s="3">
        <v>4850.0</v>
      </c>
      <c r="C331" s="4"/>
      <c r="D331" s="4" t="str">
        <f t="shared" si="1"/>
        <v>AVEC</v>
      </c>
    </row>
    <row r="332">
      <c r="A332" s="4" t="s">
        <v>2121</v>
      </c>
      <c r="B332" s="3">
        <v>4700.0</v>
      </c>
      <c r="C332" s="4"/>
      <c r="D332" s="4" t="str">
        <f t="shared" si="1"/>
        <v>AVEC</v>
      </c>
    </row>
    <row r="333">
      <c r="A333" s="4" t="s">
        <v>1427</v>
      </c>
      <c r="B333" s="3">
        <v>4634.0</v>
      </c>
      <c r="C333" s="3" t="s">
        <v>6</v>
      </c>
      <c r="D333" s="4" t="str">
        <f t="shared" si="1"/>
        <v>AVEC</v>
      </c>
    </row>
    <row r="334">
      <c r="A334" s="4" t="s">
        <v>559</v>
      </c>
      <c r="B334" s="3">
        <v>4600.0</v>
      </c>
      <c r="C334" s="3" t="s">
        <v>6</v>
      </c>
      <c r="D334" s="4" t="str">
        <f t="shared" si="1"/>
        <v>AVEC</v>
      </c>
    </row>
    <row r="335">
      <c r="A335" s="4" t="s">
        <v>586</v>
      </c>
      <c r="B335" s="3">
        <v>4550.0</v>
      </c>
      <c r="C335" s="3" t="s">
        <v>6</v>
      </c>
      <c r="D335" s="4" t="str">
        <f t="shared" si="1"/>
        <v>AVEC</v>
      </c>
    </row>
    <row r="336">
      <c r="A336" s="4" t="s">
        <v>46</v>
      </c>
      <c r="B336" s="3">
        <v>4500.0</v>
      </c>
      <c r="C336" s="3" t="s">
        <v>3</v>
      </c>
      <c r="D336" s="4" t="str">
        <f t="shared" si="1"/>
        <v>AVEC</v>
      </c>
    </row>
    <row r="337">
      <c r="A337" s="4" t="s">
        <v>2078</v>
      </c>
      <c r="B337" s="3">
        <v>4500.0</v>
      </c>
      <c r="C337" s="3" t="s">
        <v>3</v>
      </c>
      <c r="D337" s="4" t="str">
        <f t="shared" si="1"/>
        <v>AVEC</v>
      </c>
    </row>
    <row r="338">
      <c r="A338" s="4" t="s">
        <v>1047</v>
      </c>
      <c r="B338" s="3">
        <v>4500.0</v>
      </c>
      <c r="C338" s="4"/>
      <c r="D338" s="4" t="str">
        <f t="shared" si="1"/>
        <v>AVEC</v>
      </c>
    </row>
    <row r="339">
      <c r="A339" s="4" t="s">
        <v>1242</v>
      </c>
      <c r="B339" s="3">
        <v>4500.0</v>
      </c>
      <c r="C339" s="3" t="s">
        <v>3</v>
      </c>
      <c r="D339" s="4" t="str">
        <f t="shared" si="1"/>
        <v>AVEC</v>
      </c>
    </row>
    <row r="340">
      <c r="A340" s="4" t="s">
        <v>1324</v>
      </c>
      <c r="B340" s="3">
        <v>4500.0</v>
      </c>
      <c r="C340" s="3" t="s">
        <v>16</v>
      </c>
      <c r="D340" s="4" t="str">
        <f t="shared" si="1"/>
        <v>AVEC</v>
      </c>
    </row>
    <row r="341">
      <c r="A341" s="4" t="s">
        <v>1393</v>
      </c>
      <c r="B341" s="3">
        <v>4500.0</v>
      </c>
      <c r="C341" s="3" t="s">
        <v>6</v>
      </c>
      <c r="D341" s="4" t="str">
        <f t="shared" si="1"/>
        <v>AVEC</v>
      </c>
    </row>
    <row r="342">
      <c r="A342" s="4" t="s">
        <v>1541</v>
      </c>
      <c r="B342" s="3">
        <v>4500.0</v>
      </c>
      <c r="C342" s="3" t="s">
        <v>6</v>
      </c>
      <c r="D342" s="4" t="str">
        <f t="shared" si="1"/>
        <v>AVEC</v>
      </c>
    </row>
    <row r="343">
      <c r="A343" s="4" t="s">
        <v>1577</v>
      </c>
      <c r="B343" s="3">
        <v>4500.0</v>
      </c>
      <c r="C343" s="4"/>
      <c r="D343" s="4" t="str">
        <f t="shared" si="1"/>
        <v>AVEC</v>
      </c>
    </row>
    <row r="344">
      <c r="A344" s="4" t="s">
        <v>316</v>
      </c>
      <c r="B344" s="3">
        <v>4420.0</v>
      </c>
      <c r="C344" s="4"/>
      <c r="D344" s="4" t="str">
        <f t="shared" si="1"/>
        <v>AVEC</v>
      </c>
    </row>
    <row r="345">
      <c r="A345" s="4" t="s">
        <v>2133</v>
      </c>
      <c r="B345" s="3">
        <v>4400.0</v>
      </c>
      <c r="C345" s="4"/>
      <c r="D345" s="4" t="str">
        <f t="shared" si="1"/>
        <v>AVEC</v>
      </c>
    </row>
    <row r="346">
      <c r="A346" s="4" t="s">
        <v>1783</v>
      </c>
      <c r="B346" s="3">
        <v>4400.0</v>
      </c>
      <c r="C346" s="4"/>
      <c r="D346" s="4" t="str">
        <f t="shared" si="1"/>
        <v>AVEC</v>
      </c>
    </row>
    <row r="347">
      <c r="A347" s="4" t="s">
        <v>2334</v>
      </c>
      <c r="B347" s="3">
        <v>4300.0</v>
      </c>
      <c r="C347" s="3" t="s">
        <v>6</v>
      </c>
      <c r="D347" s="4" t="str">
        <f t="shared" si="1"/>
        <v>AVEC</v>
      </c>
    </row>
    <row r="348">
      <c r="A348" s="4" t="s">
        <v>1146</v>
      </c>
      <c r="B348" s="3">
        <v>4250.0</v>
      </c>
      <c r="C348" s="3" t="s">
        <v>29</v>
      </c>
      <c r="D348" s="4" t="str">
        <f t="shared" si="1"/>
        <v>AVEC</v>
      </c>
    </row>
    <row r="349">
      <c r="A349" s="4" t="s">
        <v>2130</v>
      </c>
      <c r="B349" s="3">
        <v>4072.0</v>
      </c>
      <c r="C349" s="3" t="s">
        <v>6</v>
      </c>
      <c r="D349" s="4" t="str">
        <f t="shared" si="1"/>
        <v>AVEC</v>
      </c>
    </row>
    <row r="350">
      <c r="A350" s="4" t="s">
        <v>114</v>
      </c>
      <c r="B350" s="3">
        <v>4000.0</v>
      </c>
      <c r="C350" s="4"/>
      <c r="D350" s="4" t="str">
        <f t="shared" si="1"/>
        <v>AVEC</v>
      </c>
    </row>
    <row r="351">
      <c r="A351" s="4" t="s">
        <v>173</v>
      </c>
      <c r="B351" s="3">
        <v>4000.0</v>
      </c>
      <c r="C351" s="4"/>
      <c r="D351" s="4" t="str">
        <f t="shared" si="1"/>
        <v>AVEC</v>
      </c>
    </row>
    <row r="352">
      <c r="A352" s="4" t="s">
        <v>2102</v>
      </c>
      <c r="B352" s="3">
        <v>4000.0</v>
      </c>
      <c r="C352" s="3" t="s">
        <v>3</v>
      </c>
      <c r="D352" s="4" t="str">
        <f t="shared" si="1"/>
        <v>AVEC</v>
      </c>
    </row>
    <row r="353">
      <c r="A353" s="4" t="s">
        <v>2109</v>
      </c>
      <c r="B353" s="3">
        <v>4000.0</v>
      </c>
      <c r="C353" s="3" t="s">
        <v>3</v>
      </c>
      <c r="D353" s="4" t="str">
        <f t="shared" si="1"/>
        <v>AVEC</v>
      </c>
    </row>
    <row r="354">
      <c r="A354" s="4" t="s">
        <v>2128</v>
      </c>
      <c r="B354" s="3">
        <v>4000.0</v>
      </c>
      <c r="C354" s="4"/>
      <c r="D354" s="4" t="str">
        <f t="shared" si="1"/>
        <v>AVEC</v>
      </c>
    </row>
    <row r="355">
      <c r="A355" s="4" t="s">
        <v>452</v>
      </c>
      <c r="B355" s="3">
        <v>4000.0</v>
      </c>
      <c r="C355" s="3" t="s">
        <v>3</v>
      </c>
      <c r="D355" s="4" t="str">
        <f t="shared" si="1"/>
        <v>AVEC</v>
      </c>
    </row>
    <row r="356">
      <c r="A356" s="4" t="s">
        <v>547</v>
      </c>
      <c r="B356" s="3">
        <v>4000.0</v>
      </c>
      <c r="C356" s="4"/>
      <c r="D356" s="4" t="str">
        <f t="shared" si="1"/>
        <v>AVEC</v>
      </c>
    </row>
    <row r="357">
      <c r="A357" s="4" t="s">
        <v>675</v>
      </c>
      <c r="B357" s="3">
        <v>4000.0</v>
      </c>
      <c r="C357" s="3" t="s">
        <v>484</v>
      </c>
      <c r="D357" s="4" t="str">
        <f t="shared" si="1"/>
        <v>AVEC</v>
      </c>
    </row>
    <row r="358">
      <c r="A358" s="4" t="s">
        <v>2194</v>
      </c>
      <c r="B358" s="3">
        <v>4000.0</v>
      </c>
      <c r="C358" s="3" t="s">
        <v>580</v>
      </c>
      <c r="D358" s="4" t="str">
        <f t="shared" si="1"/>
        <v>AVEC</v>
      </c>
    </row>
    <row r="359">
      <c r="A359" s="4" t="s">
        <v>990</v>
      </c>
      <c r="B359" s="3">
        <v>4000.0</v>
      </c>
      <c r="C359" s="4"/>
      <c r="D359" s="4" t="str">
        <f t="shared" si="1"/>
        <v>AVEC</v>
      </c>
    </row>
    <row r="360">
      <c r="A360" s="4" t="s">
        <v>1011</v>
      </c>
      <c r="B360" s="3">
        <v>4000.0</v>
      </c>
      <c r="C360" s="4"/>
      <c r="D360" s="4" t="str">
        <f t="shared" si="1"/>
        <v>AVEC</v>
      </c>
    </row>
    <row r="361">
      <c r="A361" s="4" t="s">
        <v>1035</v>
      </c>
      <c r="B361" s="3">
        <v>4000.0</v>
      </c>
      <c r="C361" s="4"/>
      <c r="D361" s="4" t="str">
        <f t="shared" si="1"/>
        <v>AVEC</v>
      </c>
    </row>
    <row r="362">
      <c r="A362" s="4" t="s">
        <v>1043</v>
      </c>
      <c r="B362" s="3">
        <v>4000.0</v>
      </c>
      <c r="C362" s="4"/>
      <c r="D362" s="4" t="str">
        <f t="shared" si="1"/>
        <v>AVEC</v>
      </c>
    </row>
    <row r="363">
      <c r="A363" s="4" t="s">
        <v>1069</v>
      </c>
      <c r="B363" s="3">
        <v>4000.0</v>
      </c>
      <c r="C363" s="4"/>
      <c r="D363" s="4" t="str">
        <f t="shared" si="1"/>
        <v>AVEC</v>
      </c>
    </row>
    <row r="364">
      <c r="A364" s="4" t="s">
        <v>1193</v>
      </c>
      <c r="B364" s="3">
        <v>4000.0</v>
      </c>
      <c r="C364" s="4"/>
      <c r="D364" s="4" t="str">
        <f t="shared" si="1"/>
        <v>AVEC</v>
      </c>
    </row>
    <row r="365">
      <c r="A365" s="4" t="s">
        <v>1287</v>
      </c>
      <c r="B365" s="3">
        <v>4000.0</v>
      </c>
      <c r="C365" s="3" t="s">
        <v>3</v>
      </c>
      <c r="D365" s="4" t="str">
        <f t="shared" si="1"/>
        <v>AVEC</v>
      </c>
    </row>
    <row r="366">
      <c r="A366" s="4" t="s">
        <v>1314</v>
      </c>
      <c r="B366" s="3">
        <v>4000.0</v>
      </c>
      <c r="C366" s="4"/>
      <c r="D366" s="4" t="str">
        <f t="shared" si="1"/>
        <v>AVEC</v>
      </c>
    </row>
    <row r="367">
      <c r="A367" s="4" t="s">
        <v>1436</v>
      </c>
      <c r="B367" s="3">
        <v>4000.0</v>
      </c>
      <c r="C367" s="4"/>
      <c r="D367" s="4" t="str">
        <f t="shared" si="1"/>
        <v>AVEC</v>
      </c>
    </row>
    <row r="368">
      <c r="A368" s="4" t="s">
        <v>1451</v>
      </c>
      <c r="B368" s="3">
        <v>4000.0</v>
      </c>
      <c r="C368" s="3" t="s">
        <v>32</v>
      </c>
      <c r="D368" s="4" t="str">
        <f t="shared" si="1"/>
        <v>AVEC</v>
      </c>
    </row>
    <row r="369">
      <c r="A369" s="4" t="s">
        <v>1547</v>
      </c>
      <c r="B369" s="3">
        <v>4000.0</v>
      </c>
      <c r="C369" s="4"/>
      <c r="D369" s="4" t="str">
        <f t="shared" si="1"/>
        <v>AVEC</v>
      </c>
    </row>
    <row r="370">
      <c r="A370" s="4" t="s">
        <v>1610</v>
      </c>
      <c r="B370" s="3">
        <v>4000.0</v>
      </c>
      <c r="C370" s="4"/>
      <c r="D370" s="4" t="str">
        <f t="shared" si="1"/>
        <v>AVEC</v>
      </c>
    </row>
    <row r="371">
      <c r="A371" s="4" t="s">
        <v>1611</v>
      </c>
      <c r="B371" s="3">
        <v>4000.0</v>
      </c>
      <c r="C371" s="4"/>
      <c r="D371" s="4" t="str">
        <f t="shared" si="1"/>
        <v>AVEC</v>
      </c>
    </row>
    <row r="372">
      <c r="A372" s="4" t="s">
        <v>1628</v>
      </c>
      <c r="B372" s="3">
        <v>4000.0</v>
      </c>
      <c r="C372" s="4"/>
      <c r="D372" s="4" t="str">
        <f t="shared" si="1"/>
        <v>AVEC</v>
      </c>
    </row>
    <row r="373">
      <c r="A373" s="4" t="s">
        <v>1658</v>
      </c>
      <c r="B373" s="3">
        <v>4000.0</v>
      </c>
      <c r="C373" s="4"/>
      <c r="D373" s="4" t="str">
        <f t="shared" si="1"/>
        <v>AVEC</v>
      </c>
    </row>
    <row r="374">
      <c r="A374" s="4" t="s">
        <v>1709</v>
      </c>
      <c r="B374" s="3">
        <v>4000.0</v>
      </c>
      <c r="C374" s="4"/>
      <c r="D374" s="4" t="str">
        <f t="shared" si="1"/>
        <v>AVEC</v>
      </c>
    </row>
    <row r="375">
      <c r="A375" s="4" t="s">
        <v>1808</v>
      </c>
      <c r="B375" s="3">
        <v>4000.0</v>
      </c>
      <c r="C375" s="4"/>
      <c r="D375" s="4" t="str">
        <f t="shared" si="1"/>
        <v>AVEC</v>
      </c>
    </row>
    <row r="376">
      <c r="A376" s="4" t="s">
        <v>1858</v>
      </c>
      <c r="B376" s="3">
        <v>4000.0</v>
      </c>
      <c r="C376" s="4"/>
      <c r="D376" s="4" t="str">
        <f t="shared" si="1"/>
        <v>AVEC</v>
      </c>
    </row>
    <row r="377">
      <c r="A377" s="4" t="s">
        <v>1969</v>
      </c>
      <c r="B377" s="3">
        <v>4000.0</v>
      </c>
      <c r="C377" s="4"/>
      <c r="D377" s="4" t="str">
        <f t="shared" si="1"/>
        <v>AVEC</v>
      </c>
    </row>
    <row r="378">
      <c r="A378" s="4" t="s">
        <v>906</v>
      </c>
      <c r="B378" s="3">
        <v>3917.0</v>
      </c>
      <c r="C378" s="4"/>
      <c r="D378" s="4" t="str">
        <f t="shared" si="1"/>
        <v>AVEC</v>
      </c>
    </row>
    <row r="379">
      <c r="A379" s="4" t="s">
        <v>1723</v>
      </c>
      <c r="B379" s="3">
        <v>3800.0</v>
      </c>
      <c r="C379" s="4"/>
      <c r="D379" s="4" t="str">
        <f t="shared" si="1"/>
        <v>AVEC</v>
      </c>
    </row>
    <row r="380">
      <c r="A380" s="4" t="s">
        <v>652</v>
      </c>
      <c r="B380" s="3">
        <v>3700.0</v>
      </c>
      <c r="C380" s="3" t="s">
        <v>29</v>
      </c>
      <c r="D380" s="4" t="str">
        <f t="shared" si="1"/>
        <v>AVEC</v>
      </c>
    </row>
    <row r="381">
      <c r="A381" s="4" t="s">
        <v>1782</v>
      </c>
      <c r="B381" s="3">
        <v>3700.0</v>
      </c>
      <c r="C381" s="3" t="s">
        <v>32</v>
      </c>
      <c r="D381" s="4" t="str">
        <f t="shared" si="1"/>
        <v>AVEC</v>
      </c>
    </row>
    <row r="382">
      <c r="A382" s="4" t="s">
        <v>2093</v>
      </c>
      <c r="B382" s="3">
        <v>3500.0</v>
      </c>
      <c r="C382" s="3" t="s">
        <v>3</v>
      </c>
      <c r="D382" s="4" t="str">
        <f t="shared" si="1"/>
        <v>AVEC</v>
      </c>
    </row>
    <row r="383">
      <c r="A383" s="4" t="s">
        <v>521</v>
      </c>
      <c r="B383" s="3">
        <v>3500.0</v>
      </c>
      <c r="C383" s="4"/>
      <c r="D383" s="4" t="str">
        <f t="shared" si="1"/>
        <v>AVEC</v>
      </c>
    </row>
    <row r="384">
      <c r="A384" s="4" t="s">
        <v>609</v>
      </c>
      <c r="B384" s="3">
        <v>3500.0</v>
      </c>
      <c r="C384" s="3" t="s">
        <v>29</v>
      </c>
      <c r="D384" s="4" t="str">
        <f t="shared" si="1"/>
        <v>AVEC</v>
      </c>
    </row>
    <row r="385">
      <c r="A385" s="4" t="s">
        <v>914</v>
      </c>
      <c r="B385" s="3">
        <v>3500.0</v>
      </c>
      <c r="C385" s="4"/>
      <c r="D385" s="4" t="str">
        <f t="shared" si="1"/>
        <v>AVEC</v>
      </c>
    </row>
    <row r="386">
      <c r="A386" s="4" t="s">
        <v>1080</v>
      </c>
      <c r="B386" s="3">
        <v>3500.0</v>
      </c>
      <c r="C386" s="3" t="s">
        <v>32</v>
      </c>
      <c r="D386" s="4" t="str">
        <f t="shared" si="1"/>
        <v>AVEC</v>
      </c>
    </row>
    <row r="387">
      <c r="A387" s="4" t="s">
        <v>1342</v>
      </c>
      <c r="B387" s="3">
        <v>3500.0</v>
      </c>
      <c r="C387" s="4"/>
      <c r="D387" s="4" t="str">
        <f t="shared" si="1"/>
        <v>AVEC</v>
      </c>
    </row>
    <row r="388">
      <c r="A388" s="4" t="s">
        <v>1795</v>
      </c>
      <c r="B388" s="3">
        <v>3500.0</v>
      </c>
      <c r="C388" s="4"/>
      <c r="D388" s="4" t="str">
        <f t="shared" si="1"/>
        <v>AVEC</v>
      </c>
    </row>
    <row r="389">
      <c r="A389" s="4" t="s">
        <v>1966</v>
      </c>
      <c r="B389" s="3">
        <v>3500.0</v>
      </c>
      <c r="C389" s="4"/>
      <c r="D389" s="4" t="str">
        <f t="shared" si="1"/>
        <v>AVEC</v>
      </c>
    </row>
    <row r="390">
      <c r="A390" s="4" t="s">
        <v>1973</v>
      </c>
      <c r="B390" s="3">
        <v>3500.0</v>
      </c>
      <c r="C390" s="3" t="s">
        <v>484</v>
      </c>
      <c r="D390" s="4" t="str">
        <f t="shared" si="1"/>
        <v>AVEC</v>
      </c>
    </row>
    <row r="391">
      <c r="A391" s="4" t="s">
        <v>2014</v>
      </c>
      <c r="B391" s="3">
        <v>3400.0</v>
      </c>
      <c r="C391" s="4"/>
      <c r="D391" s="4" t="str">
        <f t="shared" si="1"/>
        <v>AVEC</v>
      </c>
    </row>
    <row r="392">
      <c r="A392" s="4" t="s">
        <v>1285</v>
      </c>
      <c r="B392" s="3">
        <v>3300.0</v>
      </c>
      <c r="C392" s="4"/>
      <c r="D392" s="4" t="str">
        <f t="shared" si="1"/>
        <v>AVEC</v>
      </c>
    </row>
    <row r="393">
      <c r="A393" s="4" t="s">
        <v>213</v>
      </c>
      <c r="B393" s="3">
        <v>3220.0</v>
      </c>
      <c r="C393" s="4"/>
      <c r="D393" s="4" t="str">
        <f t="shared" si="1"/>
        <v>AVEC</v>
      </c>
    </row>
    <row r="394">
      <c r="A394" s="4" t="s">
        <v>375</v>
      </c>
      <c r="B394" s="3">
        <v>3200.0</v>
      </c>
      <c r="C394" s="3" t="s">
        <v>6</v>
      </c>
      <c r="D394" s="4" t="str">
        <f t="shared" si="1"/>
        <v>AVEC</v>
      </c>
    </row>
    <row r="395">
      <c r="A395" s="4" t="s">
        <v>676</v>
      </c>
      <c r="B395" s="3">
        <v>3200.0</v>
      </c>
      <c r="C395" s="3" t="s">
        <v>3</v>
      </c>
      <c r="D395" s="4" t="str">
        <f t="shared" si="1"/>
        <v>AVEC</v>
      </c>
    </row>
    <row r="396">
      <c r="A396" s="4" t="s">
        <v>1338</v>
      </c>
      <c r="B396" s="3">
        <v>3200.0</v>
      </c>
      <c r="C396" s="3" t="s">
        <v>3</v>
      </c>
      <c r="D396" s="4" t="str">
        <f t="shared" si="1"/>
        <v>AVEC</v>
      </c>
    </row>
    <row r="397">
      <c r="A397" s="4" t="s">
        <v>136</v>
      </c>
      <c r="B397" s="3">
        <v>3109.0</v>
      </c>
      <c r="C397" s="4"/>
      <c r="D397" s="4" t="str">
        <f t="shared" si="1"/>
        <v>AVEC</v>
      </c>
    </row>
    <row r="398">
      <c r="A398" s="4" t="s">
        <v>2115</v>
      </c>
      <c r="B398" s="3">
        <v>3030.0</v>
      </c>
      <c r="C398" s="4"/>
      <c r="D398" s="4" t="str">
        <f t="shared" si="1"/>
        <v>AVEC</v>
      </c>
    </row>
    <row r="399">
      <c r="A399" s="4" t="s">
        <v>21</v>
      </c>
      <c r="B399" s="3">
        <v>3000.0</v>
      </c>
      <c r="C399" s="4"/>
      <c r="D399" s="4" t="str">
        <f t="shared" si="1"/>
        <v>AVEC</v>
      </c>
    </row>
    <row r="400">
      <c r="A400" s="4" t="s">
        <v>157</v>
      </c>
      <c r="B400" s="3">
        <v>3000.0</v>
      </c>
      <c r="C400" s="4"/>
      <c r="D400" s="4" t="str">
        <f t="shared" si="1"/>
        <v>AVEC</v>
      </c>
    </row>
    <row r="401">
      <c r="A401" s="4" t="s">
        <v>2125</v>
      </c>
      <c r="B401" s="3">
        <v>3000.0</v>
      </c>
      <c r="C401" s="3" t="s">
        <v>6</v>
      </c>
      <c r="D401" s="4" t="str">
        <f t="shared" si="1"/>
        <v>AVEC</v>
      </c>
    </row>
    <row r="402">
      <c r="A402" s="4" t="s">
        <v>444</v>
      </c>
      <c r="B402" s="3">
        <v>3000.0</v>
      </c>
      <c r="C402" s="4"/>
      <c r="D402" s="4" t="str">
        <f t="shared" si="1"/>
        <v>AVEC</v>
      </c>
    </row>
    <row r="403">
      <c r="A403" s="4" t="s">
        <v>2157</v>
      </c>
      <c r="B403" s="3">
        <v>3000.0</v>
      </c>
      <c r="C403" s="4"/>
      <c r="D403" s="4" t="str">
        <f t="shared" si="1"/>
        <v>AVEC</v>
      </c>
    </row>
    <row r="404">
      <c r="A404" s="4" t="s">
        <v>466</v>
      </c>
      <c r="B404" s="3">
        <v>3000.0</v>
      </c>
      <c r="C404" s="3" t="s">
        <v>3</v>
      </c>
      <c r="D404" s="4" t="str">
        <f t="shared" si="1"/>
        <v>AVEC</v>
      </c>
    </row>
    <row r="405">
      <c r="A405" s="4" t="s">
        <v>480</v>
      </c>
      <c r="B405" s="3">
        <v>3000.0</v>
      </c>
      <c r="C405" s="4"/>
      <c r="D405" s="4" t="str">
        <f t="shared" si="1"/>
        <v>AVEC</v>
      </c>
    </row>
    <row r="406">
      <c r="A406" s="4" t="s">
        <v>526</v>
      </c>
      <c r="B406" s="3">
        <v>3000.0</v>
      </c>
      <c r="C406" s="4"/>
      <c r="D406" s="4" t="str">
        <f t="shared" si="1"/>
        <v>AVEC</v>
      </c>
    </row>
    <row r="407">
      <c r="A407" s="4" t="s">
        <v>605</v>
      </c>
      <c r="B407" s="3">
        <v>3000.0</v>
      </c>
      <c r="C407" s="3" t="s">
        <v>29</v>
      </c>
      <c r="D407" s="4" t="str">
        <f t="shared" si="1"/>
        <v>AVEC</v>
      </c>
    </row>
    <row r="408">
      <c r="A408" s="4" t="s">
        <v>606</v>
      </c>
      <c r="B408" s="3">
        <v>3000.0</v>
      </c>
      <c r="C408" s="3" t="s">
        <v>484</v>
      </c>
      <c r="D408" s="4" t="str">
        <f t="shared" si="1"/>
        <v>AVEC</v>
      </c>
    </row>
    <row r="409">
      <c r="A409" s="4" t="s">
        <v>643</v>
      </c>
      <c r="B409" s="3">
        <v>3000.0</v>
      </c>
      <c r="C409" s="3" t="s">
        <v>29</v>
      </c>
      <c r="D409" s="4" t="str">
        <f t="shared" si="1"/>
        <v>AVEC</v>
      </c>
    </row>
    <row r="410">
      <c r="A410" s="4" t="s">
        <v>716</v>
      </c>
      <c r="B410" s="3">
        <v>3000.0</v>
      </c>
      <c r="C410" s="3" t="s">
        <v>32</v>
      </c>
      <c r="D410" s="4" t="str">
        <f t="shared" si="1"/>
        <v>AVEC</v>
      </c>
    </row>
    <row r="411">
      <c r="A411" s="4" t="s">
        <v>785</v>
      </c>
      <c r="B411" s="3">
        <v>3000.0</v>
      </c>
      <c r="C411" s="4"/>
      <c r="D411" s="4" t="str">
        <f t="shared" si="1"/>
        <v>AVEC</v>
      </c>
    </row>
    <row r="412">
      <c r="A412" s="4" t="s">
        <v>788</v>
      </c>
      <c r="B412" s="3">
        <v>3000.0</v>
      </c>
      <c r="C412" s="3" t="s">
        <v>3</v>
      </c>
      <c r="D412" s="4" t="str">
        <f t="shared" si="1"/>
        <v>AVEC</v>
      </c>
    </row>
    <row r="413">
      <c r="A413" s="4" t="s">
        <v>797</v>
      </c>
      <c r="B413" s="3">
        <v>3000.0</v>
      </c>
      <c r="C413" s="3" t="s">
        <v>32</v>
      </c>
      <c r="D413" s="4" t="str">
        <f t="shared" si="1"/>
        <v>AVEC</v>
      </c>
    </row>
    <row r="414">
      <c r="A414" s="4" t="s">
        <v>913</v>
      </c>
      <c r="B414" s="3">
        <v>3000.0</v>
      </c>
      <c r="C414" s="4"/>
      <c r="D414" s="4" t="str">
        <f t="shared" si="1"/>
        <v>AVEC</v>
      </c>
    </row>
    <row r="415">
      <c r="A415" s="4" t="s">
        <v>923</v>
      </c>
      <c r="B415" s="3">
        <v>3000.0</v>
      </c>
      <c r="C415" s="4"/>
      <c r="D415" s="4" t="str">
        <f t="shared" si="1"/>
        <v>AVEC</v>
      </c>
    </row>
    <row r="416">
      <c r="A416" s="4" t="s">
        <v>933</v>
      </c>
      <c r="B416" s="3">
        <v>3000.0</v>
      </c>
      <c r="C416" s="4"/>
      <c r="D416" s="4" t="str">
        <f t="shared" si="1"/>
        <v>AVEC</v>
      </c>
    </row>
    <row r="417">
      <c r="A417" s="4" t="s">
        <v>986</v>
      </c>
      <c r="B417" s="3">
        <v>3000.0</v>
      </c>
      <c r="C417" s="4"/>
      <c r="D417" s="4" t="str">
        <f t="shared" si="1"/>
        <v>AVEC</v>
      </c>
    </row>
    <row r="418">
      <c r="A418" s="4" t="s">
        <v>1007</v>
      </c>
      <c r="B418" s="3">
        <v>3000.0</v>
      </c>
      <c r="C418" s="4"/>
      <c r="D418" s="4" t="str">
        <f t="shared" si="1"/>
        <v>AVEC</v>
      </c>
    </row>
    <row r="419">
      <c r="A419" s="4" t="s">
        <v>1060</v>
      </c>
      <c r="B419" s="3">
        <v>3000.0</v>
      </c>
      <c r="C419" s="4"/>
      <c r="D419" s="4" t="str">
        <f t="shared" si="1"/>
        <v>AVEC</v>
      </c>
    </row>
    <row r="420">
      <c r="A420" s="4" t="s">
        <v>1088</v>
      </c>
      <c r="B420" s="3">
        <v>3000.0</v>
      </c>
      <c r="C420" s="3" t="s">
        <v>3</v>
      </c>
      <c r="D420" s="4" t="str">
        <f t="shared" si="1"/>
        <v>AVEC</v>
      </c>
    </row>
    <row r="421">
      <c r="A421" s="4" t="s">
        <v>1135</v>
      </c>
      <c r="B421" s="3">
        <v>3000.0</v>
      </c>
      <c r="C421" s="3" t="s">
        <v>6</v>
      </c>
      <c r="D421" s="4" t="str">
        <f t="shared" si="1"/>
        <v>AVEC</v>
      </c>
    </row>
    <row r="422">
      <c r="A422" s="4" t="s">
        <v>1165</v>
      </c>
      <c r="B422" s="3">
        <v>3000.0</v>
      </c>
      <c r="C422" s="3" t="s">
        <v>3</v>
      </c>
      <c r="D422" s="4" t="str">
        <f t="shared" si="1"/>
        <v>AVEC</v>
      </c>
    </row>
    <row r="423">
      <c r="A423" s="4" t="s">
        <v>1223</v>
      </c>
      <c r="B423" s="3">
        <v>3000.0</v>
      </c>
      <c r="C423" s="3" t="s">
        <v>3</v>
      </c>
      <c r="D423" s="4" t="str">
        <f t="shared" si="1"/>
        <v>AVEC</v>
      </c>
    </row>
    <row r="424">
      <c r="A424" s="4" t="s">
        <v>1244</v>
      </c>
      <c r="B424" s="3">
        <v>3000.0</v>
      </c>
      <c r="C424" s="4"/>
      <c r="D424" s="4" t="str">
        <f t="shared" si="1"/>
        <v>AVEC</v>
      </c>
    </row>
    <row r="425">
      <c r="A425" s="4" t="s">
        <v>1247</v>
      </c>
      <c r="B425" s="3">
        <v>3000.0</v>
      </c>
      <c r="C425" s="4"/>
      <c r="D425" s="4" t="str">
        <f t="shared" si="1"/>
        <v>AVEC</v>
      </c>
    </row>
    <row r="426">
      <c r="A426" s="4" t="s">
        <v>1281</v>
      </c>
      <c r="B426" s="3">
        <v>3000.0</v>
      </c>
      <c r="C426" s="3" t="s">
        <v>3</v>
      </c>
      <c r="D426" s="4" t="str">
        <f t="shared" si="1"/>
        <v>AVEC</v>
      </c>
    </row>
    <row r="427">
      <c r="A427" s="4" t="s">
        <v>1290</v>
      </c>
      <c r="B427" s="3">
        <v>3000.0</v>
      </c>
      <c r="C427" s="3" t="s">
        <v>3</v>
      </c>
      <c r="D427" s="4" t="str">
        <f t="shared" si="1"/>
        <v>AVEC</v>
      </c>
    </row>
    <row r="428">
      <c r="A428" s="4" t="s">
        <v>1308</v>
      </c>
      <c r="B428" s="3">
        <v>3000.0</v>
      </c>
      <c r="C428" s="4"/>
      <c r="D428" s="4" t="str">
        <f t="shared" si="1"/>
        <v>AVEC</v>
      </c>
    </row>
    <row r="429">
      <c r="A429" s="4" t="s">
        <v>1326</v>
      </c>
      <c r="B429" s="3">
        <v>3000.0</v>
      </c>
      <c r="C429" s="4"/>
      <c r="D429" s="4" t="str">
        <f t="shared" si="1"/>
        <v>AVEC</v>
      </c>
    </row>
    <row r="430">
      <c r="A430" s="4" t="s">
        <v>1337</v>
      </c>
      <c r="B430" s="3">
        <v>3000.0</v>
      </c>
      <c r="C430" s="4"/>
      <c r="D430" s="4" t="str">
        <f t="shared" si="1"/>
        <v>AVEC</v>
      </c>
    </row>
    <row r="431">
      <c r="A431" s="4" t="s">
        <v>1368</v>
      </c>
      <c r="B431" s="3">
        <v>3000.0</v>
      </c>
      <c r="C431" s="4"/>
      <c r="D431" s="4" t="str">
        <f t="shared" si="1"/>
        <v>AVEC</v>
      </c>
    </row>
    <row r="432">
      <c r="A432" s="4" t="s">
        <v>1381</v>
      </c>
      <c r="B432" s="3">
        <v>3000.0</v>
      </c>
      <c r="C432" s="3" t="s">
        <v>1379</v>
      </c>
      <c r="D432" s="4" t="str">
        <f t="shared" si="1"/>
        <v>AVEC</v>
      </c>
    </row>
    <row r="433">
      <c r="A433" s="4" t="s">
        <v>1383</v>
      </c>
      <c r="B433" s="3">
        <v>3000.0</v>
      </c>
      <c r="C433" s="4"/>
      <c r="D433" s="4" t="str">
        <f t="shared" si="1"/>
        <v>AVEC</v>
      </c>
    </row>
    <row r="434">
      <c r="A434" s="4" t="s">
        <v>1480</v>
      </c>
      <c r="B434" s="3">
        <v>3000.0</v>
      </c>
      <c r="C434" s="4"/>
      <c r="D434" s="4" t="str">
        <f t="shared" si="1"/>
        <v>AVEC</v>
      </c>
    </row>
    <row r="435">
      <c r="A435" s="4" t="s">
        <v>1510</v>
      </c>
      <c r="B435" s="3">
        <v>3000.0</v>
      </c>
      <c r="C435" s="3" t="s">
        <v>3</v>
      </c>
      <c r="D435" s="4" t="str">
        <f t="shared" si="1"/>
        <v>AVEC</v>
      </c>
    </row>
    <row r="436">
      <c r="A436" s="4" t="s">
        <v>1523</v>
      </c>
      <c r="B436" s="3">
        <v>3000.0</v>
      </c>
      <c r="C436" s="3" t="s">
        <v>32</v>
      </c>
      <c r="D436" s="4" t="str">
        <f t="shared" si="1"/>
        <v>AVEC</v>
      </c>
    </row>
    <row r="437">
      <c r="A437" s="4" t="s">
        <v>1589</v>
      </c>
      <c r="B437" s="3">
        <v>3000.0</v>
      </c>
      <c r="C437" s="3" t="s">
        <v>32</v>
      </c>
      <c r="D437" s="4" t="str">
        <f t="shared" si="1"/>
        <v>AVEC</v>
      </c>
    </row>
    <row r="438">
      <c r="A438" s="4" t="s">
        <v>1710</v>
      </c>
      <c r="B438" s="3">
        <v>3000.0</v>
      </c>
      <c r="C438" s="3" t="s">
        <v>6</v>
      </c>
      <c r="D438" s="4" t="str">
        <f t="shared" si="1"/>
        <v>AVEC</v>
      </c>
    </row>
    <row r="439">
      <c r="A439" s="4" t="s">
        <v>1781</v>
      </c>
      <c r="B439" s="3">
        <v>3000.0</v>
      </c>
      <c r="C439" s="4"/>
      <c r="D439" s="4" t="str">
        <f t="shared" si="1"/>
        <v>AVEC</v>
      </c>
    </row>
    <row r="440">
      <c r="A440" s="4" t="s">
        <v>1874</v>
      </c>
      <c r="B440" s="3">
        <v>3000.0</v>
      </c>
      <c r="C440" s="3" t="s">
        <v>29</v>
      </c>
      <c r="D440" s="4" t="str">
        <f t="shared" si="1"/>
        <v>AVEC</v>
      </c>
    </row>
    <row r="441">
      <c r="A441" s="4" t="s">
        <v>1895</v>
      </c>
      <c r="B441" s="3">
        <v>3000.0</v>
      </c>
      <c r="C441" s="3" t="s">
        <v>1651</v>
      </c>
      <c r="D441" s="4" t="str">
        <f t="shared" si="1"/>
        <v>AVEC</v>
      </c>
    </row>
    <row r="442">
      <c r="A442" s="4" t="s">
        <v>2011</v>
      </c>
      <c r="B442" s="3">
        <v>3000.0</v>
      </c>
      <c r="C442" s="3" t="s">
        <v>3</v>
      </c>
      <c r="D442" s="4" t="str">
        <f t="shared" si="1"/>
        <v>AVEC</v>
      </c>
    </row>
    <row r="443">
      <c r="A443" s="4" t="s">
        <v>397</v>
      </c>
      <c r="B443" s="3">
        <v>2800.0</v>
      </c>
      <c r="C443" s="4"/>
      <c r="D443" s="4" t="str">
        <f t="shared" si="1"/>
        <v>AVEC</v>
      </c>
    </row>
    <row r="444">
      <c r="A444" s="4" t="s">
        <v>1177</v>
      </c>
      <c r="B444" s="3">
        <v>2800.0</v>
      </c>
      <c r="C444" s="3" t="s">
        <v>3</v>
      </c>
      <c r="D444" s="4" t="str">
        <f t="shared" si="1"/>
        <v>AVEC</v>
      </c>
    </row>
    <row r="445">
      <c r="A445" s="4" t="s">
        <v>1504</v>
      </c>
      <c r="B445" s="3">
        <v>2800.0</v>
      </c>
      <c r="C445" s="3" t="s">
        <v>3</v>
      </c>
      <c r="D445" s="4" t="str">
        <f t="shared" si="1"/>
        <v>AVEC</v>
      </c>
    </row>
    <row r="446">
      <c r="A446" s="4" t="s">
        <v>166</v>
      </c>
      <c r="B446" s="3">
        <v>2700.0</v>
      </c>
      <c r="C446" s="4"/>
      <c r="D446" s="4" t="str">
        <f t="shared" si="1"/>
        <v>AVEC</v>
      </c>
    </row>
    <row r="447">
      <c r="A447" s="4" t="s">
        <v>343</v>
      </c>
      <c r="B447" s="3">
        <v>2670.0</v>
      </c>
      <c r="C447" s="4"/>
      <c r="D447" s="4" t="str">
        <f t="shared" si="1"/>
        <v>AVEC</v>
      </c>
    </row>
    <row r="448">
      <c r="A448" s="4" t="s">
        <v>904</v>
      </c>
      <c r="B448" s="3">
        <v>2635.0</v>
      </c>
      <c r="C448" s="4"/>
      <c r="D448" s="4" t="str">
        <f t="shared" si="1"/>
        <v>AVEC</v>
      </c>
    </row>
    <row r="449">
      <c r="A449" s="4" t="s">
        <v>124</v>
      </c>
      <c r="B449" s="3">
        <v>2500.0</v>
      </c>
      <c r="C449" s="3" t="s">
        <v>26</v>
      </c>
      <c r="D449" s="4" t="str">
        <f t="shared" si="1"/>
        <v>AVEC</v>
      </c>
    </row>
    <row r="450">
      <c r="A450" s="4" t="s">
        <v>168</v>
      </c>
      <c r="B450" s="3">
        <v>2500.0</v>
      </c>
      <c r="C450" s="4"/>
      <c r="D450" s="4" t="str">
        <f t="shared" si="1"/>
        <v>AVEC</v>
      </c>
    </row>
    <row r="451">
      <c r="A451" s="4" t="s">
        <v>2153</v>
      </c>
      <c r="B451" s="3">
        <v>2500.0</v>
      </c>
      <c r="C451" s="4"/>
      <c r="D451" s="4" t="str">
        <f t="shared" si="1"/>
        <v>AVEC</v>
      </c>
    </row>
    <row r="452">
      <c r="A452" s="4" t="s">
        <v>473</v>
      </c>
      <c r="B452" s="3">
        <v>2500.0</v>
      </c>
      <c r="C452" s="3" t="s">
        <v>3</v>
      </c>
      <c r="D452" s="4" t="str">
        <f t="shared" si="1"/>
        <v>AVEC</v>
      </c>
    </row>
    <row r="453">
      <c r="A453" s="4" t="s">
        <v>2165</v>
      </c>
      <c r="B453" s="3">
        <v>2500.0</v>
      </c>
      <c r="C453" s="4"/>
      <c r="D453" s="4" t="str">
        <f t="shared" si="1"/>
        <v>AVEC</v>
      </c>
    </row>
    <row r="454">
      <c r="A454" s="4" t="s">
        <v>611</v>
      </c>
      <c r="B454" s="3">
        <v>2500.0</v>
      </c>
      <c r="C454" s="4"/>
      <c r="D454" s="4" t="str">
        <f t="shared" si="1"/>
        <v>AVEC</v>
      </c>
    </row>
    <row r="455">
      <c r="A455" s="4" t="s">
        <v>630</v>
      </c>
      <c r="B455" s="3">
        <v>2500.0</v>
      </c>
      <c r="C455" s="4"/>
      <c r="D455" s="4" t="str">
        <f t="shared" si="1"/>
        <v>AVEC</v>
      </c>
    </row>
    <row r="456">
      <c r="A456" s="4" t="s">
        <v>636</v>
      </c>
      <c r="B456" s="3">
        <v>2500.0</v>
      </c>
      <c r="C456" s="3" t="s">
        <v>6</v>
      </c>
      <c r="D456" s="4" t="str">
        <f t="shared" si="1"/>
        <v>AVEC</v>
      </c>
    </row>
    <row r="457">
      <c r="A457" s="4" t="s">
        <v>761</v>
      </c>
      <c r="B457" s="3">
        <v>2500.0</v>
      </c>
      <c r="C457" s="4"/>
      <c r="D457" s="4" t="str">
        <f t="shared" si="1"/>
        <v>AVEC</v>
      </c>
    </row>
    <row r="458">
      <c r="A458" s="4" t="s">
        <v>842</v>
      </c>
      <c r="B458" s="3">
        <v>2500.0</v>
      </c>
      <c r="C458" s="4"/>
      <c r="D458" s="4" t="str">
        <f t="shared" si="1"/>
        <v>AVEC</v>
      </c>
    </row>
    <row r="459">
      <c r="A459" s="4" t="s">
        <v>2265</v>
      </c>
      <c r="B459" s="3">
        <v>2500.0</v>
      </c>
      <c r="C459" s="3" t="s">
        <v>3</v>
      </c>
      <c r="D459" s="4" t="str">
        <f t="shared" si="1"/>
        <v>AVEC</v>
      </c>
    </row>
    <row r="460">
      <c r="A460" s="4" t="s">
        <v>1252</v>
      </c>
      <c r="B460" s="3">
        <v>2500.0</v>
      </c>
      <c r="C460" s="4"/>
      <c r="D460" s="4" t="str">
        <f t="shared" si="1"/>
        <v>AVEC</v>
      </c>
    </row>
    <row r="461">
      <c r="A461" s="4" t="s">
        <v>1354</v>
      </c>
      <c r="B461" s="3">
        <v>2500.0</v>
      </c>
      <c r="C461" s="3" t="s">
        <v>3</v>
      </c>
      <c r="D461" s="4" t="str">
        <f t="shared" si="1"/>
        <v>AVEC</v>
      </c>
    </row>
    <row r="462">
      <c r="A462" s="4" t="s">
        <v>1386</v>
      </c>
      <c r="B462" s="3">
        <v>2500.0</v>
      </c>
      <c r="C462" s="3" t="s">
        <v>32</v>
      </c>
      <c r="D462" s="4" t="str">
        <f t="shared" si="1"/>
        <v>AVEC</v>
      </c>
    </row>
    <row r="463">
      <c r="A463" s="4" t="s">
        <v>1450</v>
      </c>
      <c r="B463" s="3">
        <v>2500.0</v>
      </c>
      <c r="C463" s="3" t="s">
        <v>3</v>
      </c>
      <c r="D463" s="4" t="str">
        <f t="shared" si="1"/>
        <v>AVEC</v>
      </c>
    </row>
    <row r="464">
      <c r="A464" s="4" t="s">
        <v>1590</v>
      </c>
      <c r="B464" s="3">
        <v>2500.0</v>
      </c>
      <c r="C464" s="4"/>
      <c r="D464" s="4" t="str">
        <f t="shared" si="1"/>
        <v>AVEC</v>
      </c>
    </row>
    <row r="465">
      <c r="A465" s="4" t="s">
        <v>1603</v>
      </c>
      <c r="B465" s="3">
        <v>2500.0</v>
      </c>
      <c r="C465" s="3" t="s">
        <v>3</v>
      </c>
      <c r="D465" s="4" t="str">
        <f t="shared" si="1"/>
        <v>AVEC</v>
      </c>
    </row>
    <row r="466">
      <c r="A466" s="4" t="s">
        <v>1667</v>
      </c>
      <c r="B466" s="3">
        <v>2500.0</v>
      </c>
      <c r="C466" s="4"/>
      <c r="D466" s="4" t="str">
        <f t="shared" si="1"/>
        <v>AVEC</v>
      </c>
    </row>
    <row r="467">
      <c r="A467" s="4" t="s">
        <v>1672</v>
      </c>
      <c r="B467" s="3">
        <v>2500.0</v>
      </c>
      <c r="C467" s="4"/>
      <c r="D467" s="4" t="str">
        <f t="shared" si="1"/>
        <v>AVEC</v>
      </c>
    </row>
    <row r="468">
      <c r="A468" s="4" t="s">
        <v>1701</v>
      </c>
      <c r="B468" s="3">
        <v>2500.0</v>
      </c>
      <c r="C468" s="3" t="s">
        <v>3</v>
      </c>
      <c r="D468" s="4" t="str">
        <f t="shared" si="1"/>
        <v>AVEC</v>
      </c>
    </row>
    <row r="469">
      <c r="A469" s="4" t="s">
        <v>2303</v>
      </c>
      <c r="B469" s="3">
        <v>2500.0</v>
      </c>
      <c r="C469" s="3" t="s">
        <v>3</v>
      </c>
      <c r="D469" s="4" t="str">
        <f t="shared" si="1"/>
        <v>AVEC</v>
      </c>
    </row>
    <row r="470">
      <c r="A470" s="4" t="s">
        <v>1842</v>
      </c>
      <c r="B470" s="3">
        <v>2500.0</v>
      </c>
      <c r="C470" s="3" t="s">
        <v>3</v>
      </c>
      <c r="D470" s="4" t="str">
        <f t="shared" si="1"/>
        <v>AVEC</v>
      </c>
    </row>
    <row r="471">
      <c r="A471" s="4" t="s">
        <v>2314</v>
      </c>
      <c r="B471" s="3">
        <v>2500.0</v>
      </c>
      <c r="C471" s="4"/>
      <c r="D471" s="4" t="str">
        <f t="shared" si="1"/>
        <v>AVEC</v>
      </c>
    </row>
    <row r="472">
      <c r="A472" s="4" t="s">
        <v>1980</v>
      </c>
      <c r="B472" s="3">
        <v>2450.0</v>
      </c>
      <c r="C472" s="4"/>
      <c r="D472" s="4" t="str">
        <f t="shared" si="1"/>
        <v>AVEC</v>
      </c>
    </row>
    <row r="473">
      <c r="A473" s="4" t="s">
        <v>55</v>
      </c>
      <c r="B473" s="3">
        <v>2400.0</v>
      </c>
      <c r="C473" s="4"/>
      <c r="D473" s="4" t="str">
        <f t="shared" si="1"/>
        <v>AVEC</v>
      </c>
    </row>
    <row r="474">
      <c r="A474" s="4" t="s">
        <v>843</v>
      </c>
      <c r="B474" s="3">
        <v>2300.0</v>
      </c>
      <c r="C474" s="3" t="s">
        <v>32</v>
      </c>
      <c r="D474" s="4" t="str">
        <f t="shared" si="1"/>
        <v>AVEC</v>
      </c>
    </row>
    <row r="475">
      <c r="A475" s="4" t="s">
        <v>1470</v>
      </c>
      <c r="B475" s="3">
        <v>2250.0</v>
      </c>
      <c r="C475" s="4"/>
      <c r="D475" s="4" t="str">
        <f t="shared" si="1"/>
        <v>AVEC</v>
      </c>
    </row>
    <row r="476">
      <c r="A476" s="4" t="s">
        <v>1092</v>
      </c>
      <c r="B476" s="3">
        <v>2200.0</v>
      </c>
      <c r="C476" s="4"/>
      <c r="D476" s="4" t="str">
        <f t="shared" si="1"/>
        <v>AVEC</v>
      </c>
    </row>
    <row r="477">
      <c r="A477" s="4" t="s">
        <v>1897</v>
      </c>
      <c r="B477" s="3">
        <v>2200.0</v>
      </c>
      <c r="C477" s="3" t="s">
        <v>3</v>
      </c>
      <c r="D477" s="4" t="str">
        <f t="shared" si="1"/>
        <v>AVEC</v>
      </c>
    </row>
    <row r="478">
      <c r="A478" s="4" t="s">
        <v>320</v>
      </c>
      <c r="B478" s="3">
        <v>2150.0</v>
      </c>
      <c r="C478" s="3" t="s">
        <v>6</v>
      </c>
      <c r="D478" s="4" t="str">
        <f t="shared" si="1"/>
        <v>AVEC</v>
      </c>
    </row>
    <row r="479">
      <c r="A479" s="4" t="s">
        <v>941</v>
      </c>
      <c r="B479" s="3">
        <v>2100.0</v>
      </c>
      <c r="C479" s="4"/>
      <c r="D479" s="4" t="str">
        <f t="shared" si="1"/>
        <v>AVEC</v>
      </c>
    </row>
    <row r="480">
      <c r="A480" s="4" t="s">
        <v>1012</v>
      </c>
      <c r="B480" s="3">
        <v>2100.0</v>
      </c>
      <c r="C480" s="3" t="s">
        <v>3</v>
      </c>
      <c r="D480" s="4" t="str">
        <f t="shared" si="1"/>
        <v>AVEC</v>
      </c>
    </row>
    <row r="481">
      <c r="A481" s="4" t="s">
        <v>2306</v>
      </c>
      <c r="B481" s="3">
        <v>2100.0</v>
      </c>
      <c r="C481" s="4"/>
      <c r="D481" s="4" t="str">
        <f t="shared" si="1"/>
        <v>AVEC</v>
      </c>
    </row>
    <row r="482">
      <c r="A482" s="4" t="s">
        <v>260</v>
      </c>
      <c r="B482" s="3">
        <v>2064.0</v>
      </c>
      <c r="C482" s="3" t="s">
        <v>32</v>
      </c>
      <c r="D482" s="4" t="str">
        <f t="shared" si="1"/>
        <v>AVEC</v>
      </c>
    </row>
    <row r="483">
      <c r="A483" s="4" t="s">
        <v>318</v>
      </c>
      <c r="B483" s="3">
        <v>2055.0</v>
      </c>
      <c r="C483" s="4"/>
      <c r="D483" s="4" t="str">
        <f t="shared" si="1"/>
        <v>AVEC</v>
      </c>
    </row>
    <row r="484">
      <c r="A484" s="4" t="s">
        <v>19</v>
      </c>
      <c r="B484" s="3">
        <v>2000.0</v>
      </c>
      <c r="C484" s="4"/>
      <c r="D484" s="4" t="str">
        <f t="shared" si="1"/>
        <v>AVEC</v>
      </c>
    </row>
    <row r="485">
      <c r="A485" s="4" t="s">
        <v>77</v>
      </c>
      <c r="B485" s="3">
        <v>2000.0</v>
      </c>
      <c r="C485" s="4"/>
      <c r="D485" s="4" t="str">
        <f t="shared" si="1"/>
        <v>AVEC</v>
      </c>
    </row>
    <row r="486">
      <c r="A486" s="4" t="s">
        <v>81</v>
      </c>
      <c r="B486" s="3">
        <v>2000.0</v>
      </c>
      <c r="C486" s="3" t="s">
        <v>29</v>
      </c>
      <c r="D486" s="4" t="str">
        <f t="shared" si="1"/>
        <v>AVEC</v>
      </c>
    </row>
    <row r="487">
      <c r="A487" s="4" t="s">
        <v>133</v>
      </c>
      <c r="B487" s="3">
        <v>2000.0</v>
      </c>
      <c r="C487" s="3" t="s">
        <v>3</v>
      </c>
      <c r="D487" s="4" t="str">
        <f t="shared" si="1"/>
        <v>AVEC</v>
      </c>
    </row>
    <row r="488">
      <c r="A488" s="4" t="s">
        <v>226</v>
      </c>
      <c r="B488" s="3">
        <v>2000.0</v>
      </c>
      <c r="C488" s="3" t="s">
        <v>3</v>
      </c>
      <c r="D488" s="4" t="str">
        <f t="shared" si="1"/>
        <v>AVEC</v>
      </c>
    </row>
    <row r="489">
      <c r="A489" s="4" t="s">
        <v>410</v>
      </c>
      <c r="B489" s="3">
        <v>2000.0</v>
      </c>
      <c r="C489" s="4"/>
      <c r="D489" s="4" t="str">
        <f t="shared" si="1"/>
        <v>AVEC</v>
      </c>
    </row>
    <row r="490">
      <c r="A490" s="4" t="s">
        <v>457</v>
      </c>
      <c r="B490" s="3">
        <v>2000.0</v>
      </c>
      <c r="C490" s="3" t="s">
        <v>3</v>
      </c>
      <c r="D490" s="4" t="str">
        <f t="shared" si="1"/>
        <v>AVEC</v>
      </c>
    </row>
    <row r="491">
      <c r="A491" s="4" t="s">
        <v>601</v>
      </c>
      <c r="B491" s="3">
        <v>2000.0</v>
      </c>
      <c r="C491" s="4"/>
      <c r="D491" s="4" t="str">
        <f t="shared" si="1"/>
        <v>AVEC</v>
      </c>
    </row>
    <row r="492">
      <c r="A492" s="4" t="s">
        <v>704</v>
      </c>
      <c r="B492" s="3">
        <v>2000.0</v>
      </c>
      <c r="C492" s="4"/>
      <c r="D492" s="4" t="str">
        <f t="shared" si="1"/>
        <v>AVEC</v>
      </c>
    </row>
    <row r="493">
      <c r="A493" s="4" t="s">
        <v>720</v>
      </c>
      <c r="B493" s="3">
        <v>2000.0</v>
      </c>
      <c r="C493" s="4"/>
      <c r="D493" s="4" t="str">
        <f t="shared" si="1"/>
        <v>AVEC</v>
      </c>
    </row>
    <row r="494">
      <c r="A494" s="4" t="s">
        <v>780</v>
      </c>
      <c r="B494" s="3">
        <v>2000.0</v>
      </c>
      <c r="C494" s="4"/>
      <c r="D494" s="4" t="str">
        <f t="shared" si="1"/>
        <v>AVEC</v>
      </c>
    </row>
    <row r="495">
      <c r="A495" s="4" t="s">
        <v>847</v>
      </c>
      <c r="B495" s="3">
        <v>2000.0</v>
      </c>
      <c r="C495" s="4"/>
      <c r="D495" s="4" t="str">
        <f t="shared" si="1"/>
        <v>AVEC</v>
      </c>
    </row>
    <row r="496">
      <c r="A496" s="4" t="s">
        <v>2216</v>
      </c>
      <c r="B496" s="3">
        <v>2000.0</v>
      </c>
      <c r="C496" s="3" t="s">
        <v>3</v>
      </c>
      <c r="D496" s="4" t="str">
        <f t="shared" si="1"/>
        <v>AVEC</v>
      </c>
    </row>
    <row r="497">
      <c r="A497" s="4" t="s">
        <v>925</v>
      </c>
      <c r="B497" s="3">
        <v>2000.0</v>
      </c>
      <c r="C497" s="4"/>
      <c r="D497" s="4" t="str">
        <f t="shared" si="1"/>
        <v>AVEC</v>
      </c>
    </row>
    <row r="498">
      <c r="A498" s="4" t="s">
        <v>962</v>
      </c>
      <c r="B498" s="3">
        <v>2000.0</v>
      </c>
      <c r="C498" s="3" t="s">
        <v>6</v>
      </c>
      <c r="D498" s="4" t="str">
        <f t="shared" si="1"/>
        <v>AVEC</v>
      </c>
    </row>
    <row r="499">
      <c r="A499" s="4" t="s">
        <v>2240</v>
      </c>
      <c r="B499" s="3">
        <v>2000.0</v>
      </c>
      <c r="C499" s="3" t="s">
        <v>3</v>
      </c>
      <c r="D499" s="4" t="str">
        <f t="shared" si="1"/>
        <v>AVEC</v>
      </c>
    </row>
    <row r="500">
      <c r="A500" s="4" t="s">
        <v>2253</v>
      </c>
      <c r="B500" s="3">
        <v>2000.0</v>
      </c>
      <c r="C500" s="4"/>
      <c r="D500" s="4" t="str">
        <f t="shared" si="1"/>
        <v>AVEC</v>
      </c>
    </row>
    <row r="501">
      <c r="A501" s="4" t="s">
        <v>1131</v>
      </c>
      <c r="B501" s="3">
        <v>2000.0</v>
      </c>
      <c r="C501" s="3" t="s">
        <v>6</v>
      </c>
      <c r="D501" s="4" t="str">
        <f t="shared" si="1"/>
        <v>AVEC</v>
      </c>
    </row>
    <row r="502">
      <c r="A502" s="4" t="s">
        <v>1144</v>
      </c>
      <c r="B502" s="3">
        <v>2000.0</v>
      </c>
      <c r="C502" s="4"/>
      <c r="D502" s="4" t="str">
        <f t="shared" si="1"/>
        <v>AVEC</v>
      </c>
    </row>
    <row r="503">
      <c r="A503" s="4" t="s">
        <v>1300</v>
      </c>
      <c r="B503" s="3">
        <v>2000.0</v>
      </c>
      <c r="C503" s="3" t="s">
        <v>6</v>
      </c>
      <c r="D503" s="4" t="str">
        <f t="shared" si="1"/>
        <v>AVEC</v>
      </c>
    </row>
    <row r="504">
      <c r="A504" s="4" t="s">
        <v>1305</v>
      </c>
      <c r="B504" s="3">
        <v>2000.0</v>
      </c>
      <c r="C504" s="3" t="s">
        <v>3</v>
      </c>
      <c r="D504" s="4" t="str">
        <f t="shared" si="1"/>
        <v>AVEC</v>
      </c>
    </row>
    <row r="505">
      <c r="A505" s="4" t="s">
        <v>1318</v>
      </c>
      <c r="B505" s="3">
        <v>2000.0</v>
      </c>
      <c r="C505" s="4"/>
      <c r="D505" s="4" t="str">
        <f t="shared" si="1"/>
        <v>AVEC</v>
      </c>
    </row>
    <row r="506">
      <c r="A506" s="4" t="s">
        <v>1341</v>
      </c>
      <c r="B506" s="3">
        <v>2000.0</v>
      </c>
      <c r="C506" s="3" t="s">
        <v>6</v>
      </c>
      <c r="D506" s="4" t="str">
        <f t="shared" si="1"/>
        <v>AVEC</v>
      </c>
    </row>
    <row r="507">
      <c r="A507" s="4" t="s">
        <v>1361</v>
      </c>
      <c r="B507" s="3">
        <v>2000.0</v>
      </c>
      <c r="C507" s="4"/>
      <c r="D507" s="4" t="str">
        <f t="shared" si="1"/>
        <v>AVEC</v>
      </c>
    </row>
    <row r="508">
      <c r="A508" s="4" t="s">
        <v>1370</v>
      </c>
      <c r="B508" s="3">
        <v>2000.0</v>
      </c>
      <c r="C508" s="3" t="s">
        <v>32</v>
      </c>
      <c r="D508" s="4" t="str">
        <f t="shared" si="1"/>
        <v>AVEC</v>
      </c>
    </row>
    <row r="509">
      <c r="A509" s="4" t="s">
        <v>1375</v>
      </c>
      <c r="B509" s="3">
        <v>2000.0</v>
      </c>
      <c r="C509" s="3" t="s">
        <v>32</v>
      </c>
      <c r="D509" s="4" t="str">
        <f t="shared" si="1"/>
        <v>AVEC</v>
      </c>
    </row>
    <row r="510">
      <c r="A510" s="4" t="s">
        <v>1387</v>
      </c>
      <c r="B510" s="3">
        <v>2000.0</v>
      </c>
      <c r="C510" s="4"/>
      <c r="D510" s="4" t="str">
        <f t="shared" si="1"/>
        <v>AVEC</v>
      </c>
    </row>
    <row r="511">
      <c r="A511" s="4" t="s">
        <v>1592</v>
      </c>
      <c r="B511" s="3">
        <v>2000.0</v>
      </c>
      <c r="C511" s="4"/>
      <c r="D511" s="4" t="str">
        <f t="shared" si="1"/>
        <v>AVEC</v>
      </c>
    </row>
    <row r="512">
      <c r="A512" s="4" t="s">
        <v>2286</v>
      </c>
      <c r="B512" s="3">
        <v>2000.0</v>
      </c>
      <c r="C512" s="3" t="s">
        <v>3</v>
      </c>
      <c r="D512" s="4" t="str">
        <f t="shared" si="1"/>
        <v>AVEC</v>
      </c>
    </row>
    <row r="513">
      <c r="A513" s="4" t="s">
        <v>1642</v>
      </c>
      <c r="B513" s="3">
        <v>2000.0</v>
      </c>
      <c r="C513" s="4"/>
      <c r="D513" s="4" t="str">
        <f t="shared" si="1"/>
        <v>AVEC</v>
      </c>
    </row>
    <row r="514">
      <c r="A514" s="4" t="s">
        <v>1688</v>
      </c>
      <c r="B514" s="3">
        <v>2000.0</v>
      </c>
      <c r="C514" s="3" t="s">
        <v>3</v>
      </c>
      <c r="D514" s="4" t="str">
        <f t="shared" si="1"/>
        <v>AVEC</v>
      </c>
    </row>
    <row r="515">
      <c r="A515" s="4" t="s">
        <v>1758</v>
      </c>
      <c r="B515" s="3">
        <v>2000.0</v>
      </c>
      <c r="C515" s="4"/>
      <c r="D515" s="4" t="str">
        <f t="shared" si="1"/>
        <v>AVEC</v>
      </c>
    </row>
    <row r="516">
      <c r="A516" s="4" t="s">
        <v>2295</v>
      </c>
      <c r="B516" s="3">
        <v>2000.0</v>
      </c>
      <c r="C516" s="3" t="s">
        <v>3</v>
      </c>
      <c r="D516" s="4" t="str">
        <f t="shared" si="1"/>
        <v>AVEC</v>
      </c>
    </row>
    <row r="517">
      <c r="A517" s="4" t="s">
        <v>1791</v>
      </c>
      <c r="B517" s="3">
        <v>2000.0</v>
      </c>
      <c r="C517" s="3" t="s">
        <v>29</v>
      </c>
      <c r="D517" s="4" t="str">
        <f t="shared" si="1"/>
        <v>AVEC</v>
      </c>
    </row>
    <row r="518">
      <c r="A518" s="4" t="s">
        <v>2296</v>
      </c>
      <c r="B518" s="3">
        <v>2000.0</v>
      </c>
      <c r="C518" s="4"/>
      <c r="D518" s="4" t="str">
        <f t="shared" si="1"/>
        <v>AVEC</v>
      </c>
    </row>
    <row r="519">
      <c r="A519" s="4" t="s">
        <v>1810</v>
      </c>
      <c r="B519" s="3">
        <v>2000.0</v>
      </c>
      <c r="C519" s="3" t="s">
        <v>3</v>
      </c>
      <c r="D519" s="4" t="str">
        <f t="shared" si="1"/>
        <v>AVEC</v>
      </c>
    </row>
    <row r="520">
      <c r="A520" s="4" t="s">
        <v>1832</v>
      </c>
      <c r="B520" s="3">
        <v>2000.0</v>
      </c>
      <c r="C520" s="4"/>
      <c r="D520" s="4" t="str">
        <f t="shared" si="1"/>
        <v>AVEC</v>
      </c>
    </row>
    <row r="521">
      <c r="A521" s="4" t="s">
        <v>1860</v>
      </c>
      <c r="B521" s="3">
        <v>2000.0</v>
      </c>
      <c r="C521" s="4"/>
      <c r="D521" s="4" t="str">
        <f t="shared" si="1"/>
        <v>AVEC</v>
      </c>
    </row>
    <row r="522">
      <c r="A522" s="4" t="s">
        <v>1862</v>
      </c>
      <c r="B522" s="3">
        <v>2000.0</v>
      </c>
      <c r="C522" s="3" t="s">
        <v>32</v>
      </c>
      <c r="D522" s="4" t="str">
        <f t="shared" si="1"/>
        <v>AVEC</v>
      </c>
    </row>
    <row r="523">
      <c r="A523" s="4" t="s">
        <v>1886</v>
      </c>
      <c r="B523" s="3">
        <v>2000.0</v>
      </c>
      <c r="C523" s="4"/>
      <c r="D523" s="4" t="str">
        <f t="shared" si="1"/>
        <v>AVEC</v>
      </c>
    </row>
    <row r="524">
      <c r="A524" s="4" t="s">
        <v>1943</v>
      </c>
      <c r="B524" s="3">
        <v>2000.0</v>
      </c>
      <c r="C524" s="4"/>
      <c r="D524" s="4" t="str">
        <f t="shared" si="1"/>
        <v>AVEC</v>
      </c>
    </row>
    <row r="525">
      <c r="A525" s="4" t="s">
        <v>12</v>
      </c>
      <c r="B525" s="3">
        <v>1800.0</v>
      </c>
      <c r="C525" s="4"/>
      <c r="D525" s="4" t="str">
        <f t="shared" si="1"/>
        <v>AVEC</v>
      </c>
    </row>
    <row r="526">
      <c r="A526" s="4" t="s">
        <v>1178</v>
      </c>
      <c r="B526" s="3">
        <v>1800.0</v>
      </c>
      <c r="C526" s="4"/>
      <c r="D526" s="4" t="str">
        <f t="shared" si="1"/>
        <v>AVEC</v>
      </c>
    </row>
    <row r="527">
      <c r="A527" s="4" t="s">
        <v>1449</v>
      </c>
      <c r="B527" s="3">
        <v>1800.0</v>
      </c>
      <c r="C527" s="3" t="s">
        <v>6</v>
      </c>
      <c r="D527" s="4" t="str">
        <f t="shared" si="1"/>
        <v>AVEC</v>
      </c>
    </row>
    <row r="528">
      <c r="A528" s="4" t="s">
        <v>1554</v>
      </c>
      <c r="B528" s="3">
        <v>1800.0</v>
      </c>
      <c r="C528" s="4"/>
      <c r="D528" s="4" t="str">
        <f t="shared" si="1"/>
        <v>AVEC</v>
      </c>
    </row>
    <row r="529">
      <c r="A529" s="4" t="s">
        <v>1679</v>
      </c>
      <c r="B529" s="3">
        <v>1800.0</v>
      </c>
      <c r="C529" s="4"/>
      <c r="D529" s="4" t="str">
        <f t="shared" si="1"/>
        <v>AVEC</v>
      </c>
    </row>
    <row r="530">
      <c r="A530" s="4" t="s">
        <v>2230</v>
      </c>
      <c r="B530" s="3">
        <v>1728.0</v>
      </c>
      <c r="C530" s="4"/>
      <c r="D530" s="4" t="str">
        <f t="shared" si="1"/>
        <v>AVEC</v>
      </c>
    </row>
    <row r="531">
      <c r="A531" s="4" t="s">
        <v>2186</v>
      </c>
      <c r="B531" s="3">
        <v>1700.0</v>
      </c>
      <c r="C531" s="3" t="s">
        <v>580</v>
      </c>
      <c r="D531" s="4" t="str">
        <f t="shared" si="1"/>
        <v>AVEC</v>
      </c>
    </row>
    <row r="532">
      <c r="A532" s="4" t="s">
        <v>813</v>
      </c>
      <c r="B532" s="3">
        <v>1700.0</v>
      </c>
      <c r="C532" s="4"/>
      <c r="D532" s="4" t="str">
        <f t="shared" si="1"/>
        <v>AVEC</v>
      </c>
    </row>
    <row r="533">
      <c r="A533" s="4" t="s">
        <v>1306</v>
      </c>
      <c r="B533" s="3">
        <v>1700.0</v>
      </c>
      <c r="C533" s="4"/>
      <c r="D533" s="4" t="str">
        <f t="shared" si="1"/>
        <v>AVEC</v>
      </c>
    </row>
    <row r="534">
      <c r="A534" s="4" t="s">
        <v>1575</v>
      </c>
      <c r="B534" s="3">
        <v>1700.0</v>
      </c>
      <c r="C534" s="4"/>
      <c r="D534" s="4" t="str">
        <f t="shared" si="1"/>
        <v>AVEC</v>
      </c>
    </row>
    <row r="535">
      <c r="A535" s="4" t="s">
        <v>1683</v>
      </c>
      <c r="B535" s="3">
        <v>1650.0</v>
      </c>
      <c r="C535" s="4"/>
      <c r="D535" s="4" t="str">
        <f t="shared" si="1"/>
        <v>AVEC</v>
      </c>
    </row>
    <row r="536">
      <c r="A536" s="4" t="s">
        <v>869</v>
      </c>
      <c r="B536" s="3">
        <v>1600.0</v>
      </c>
      <c r="C536" s="4"/>
      <c r="D536" s="4" t="str">
        <f t="shared" si="1"/>
        <v>AVEC</v>
      </c>
    </row>
    <row r="537">
      <c r="A537" s="4" t="s">
        <v>889</v>
      </c>
      <c r="B537" s="3">
        <v>1600.0</v>
      </c>
      <c r="C537" s="4"/>
      <c r="D537" s="4" t="str">
        <f t="shared" si="1"/>
        <v>AVEC</v>
      </c>
    </row>
    <row r="538">
      <c r="A538" s="4" t="s">
        <v>1260</v>
      </c>
      <c r="B538" s="3">
        <v>1550.0</v>
      </c>
      <c r="C538" s="4"/>
      <c r="D538" s="4" t="str">
        <f t="shared" si="1"/>
        <v>AVEC</v>
      </c>
    </row>
    <row r="539">
      <c r="A539" s="4" t="s">
        <v>1020</v>
      </c>
      <c r="B539" s="3">
        <v>1534.0</v>
      </c>
      <c r="C539" s="4"/>
      <c r="D539" s="4" t="str">
        <f t="shared" si="1"/>
        <v>AVEC</v>
      </c>
    </row>
    <row r="540">
      <c r="A540" s="4" t="s">
        <v>64</v>
      </c>
      <c r="B540" s="3">
        <v>1500.0</v>
      </c>
      <c r="C540" s="4"/>
      <c r="D540" s="4" t="str">
        <f t="shared" si="1"/>
        <v>AVEC</v>
      </c>
    </row>
    <row r="541">
      <c r="A541" s="4" t="s">
        <v>67</v>
      </c>
      <c r="B541" s="3">
        <v>1500.0</v>
      </c>
      <c r="C541" s="4"/>
      <c r="D541" s="4" t="str">
        <f t="shared" si="1"/>
        <v>AVEC</v>
      </c>
    </row>
    <row r="542">
      <c r="A542" s="4" t="s">
        <v>152</v>
      </c>
      <c r="B542" s="3">
        <v>1500.0</v>
      </c>
      <c r="C542" s="4"/>
      <c r="D542" s="4" t="str">
        <f t="shared" si="1"/>
        <v>AVEC</v>
      </c>
    </row>
    <row r="543">
      <c r="A543" s="4" t="s">
        <v>2122</v>
      </c>
      <c r="B543" s="3">
        <v>1500.0</v>
      </c>
      <c r="C543" s="4"/>
      <c r="D543" s="4" t="str">
        <f t="shared" si="1"/>
        <v>AVEC</v>
      </c>
    </row>
    <row r="544">
      <c r="A544" s="4" t="s">
        <v>342</v>
      </c>
      <c r="B544" s="3">
        <v>1500.0</v>
      </c>
      <c r="C544" s="3" t="s">
        <v>6</v>
      </c>
      <c r="D544" s="4" t="str">
        <f t="shared" si="1"/>
        <v>AVEC</v>
      </c>
    </row>
    <row r="545">
      <c r="A545" s="4" t="s">
        <v>2162</v>
      </c>
      <c r="B545" s="3">
        <v>1500.0</v>
      </c>
      <c r="C545" s="3" t="s">
        <v>484</v>
      </c>
      <c r="D545" s="4" t="str">
        <f t="shared" si="1"/>
        <v>AVEC</v>
      </c>
    </row>
    <row r="546">
      <c r="A546" s="4" t="s">
        <v>520</v>
      </c>
      <c r="B546" s="3">
        <v>1500.0</v>
      </c>
      <c r="C546" s="3" t="s">
        <v>6</v>
      </c>
      <c r="D546" s="4" t="str">
        <f t="shared" si="1"/>
        <v>AVEC</v>
      </c>
    </row>
    <row r="547">
      <c r="A547" s="4" t="s">
        <v>557</v>
      </c>
      <c r="B547" s="3">
        <v>1500.0</v>
      </c>
      <c r="C547" s="3" t="s">
        <v>29</v>
      </c>
      <c r="D547" s="4" t="str">
        <f t="shared" si="1"/>
        <v>AVEC</v>
      </c>
    </row>
    <row r="548">
      <c r="A548" s="4" t="s">
        <v>614</v>
      </c>
      <c r="B548" s="3">
        <v>1500.0</v>
      </c>
      <c r="C548" s="4"/>
      <c r="D548" s="4" t="str">
        <f t="shared" si="1"/>
        <v>AVEC</v>
      </c>
    </row>
    <row r="549">
      <c r="A549" s="4" t="s">
        <v>621</v>
      </c>
      <c r="B549" s="3">
        <v>1500.0</v>
      </c>
      <c r="C549" s="3" t="s">
        <v>32</v>
      </c>
      <c r="D549" s="4" t="str">
        <f t="shared" si="1"/>
        <v>AVEC</v>
      </c>
    </row>
    <row r="550">
      <c r="A550" s="4" t="s">
        <v>784</v>
      </c>
      <c r="B550" s="3">
        <v>1500.0</v>
      </c>
      <c r="C550" s="4"/>
      <c r="D550" s="4" t="str">
        <f t="shared" si="1"/>
        <v>AVEC</v>
      </c>
    </row>
    <row r="551">
      <c r="A551" s="4" t="s">
        <v>806</v>
      </c>
      <c r="B551" s="3">
        <v>1500.0</v>
      </c>
      <c r="C551" s="4"/>
      <c r="D551" s="4" t="str">
        <f t="shared" si="1"/>
        <v>AVEC</v>
      </c>
    </row>
    <row r="552">
      <c r="A552" s="4" t="s">
        <v>874</v>
      </c>
      <c r="B552" s="3">
        <v>1500.0</v>
      </c>
      <c r="C552" s="3" t="s">
        <v>3</v>
      </c>
      <c r="D552" s="4" t="str">
        <f t="shared" si="1"/>
        <v>AVEC</v>
      </c>
    </row>
    <row r="553">
      <c r="A553" s="4" t="s">
        <v>959</v>
      </c>
      <c r="B553" s="3">
        <v>1500.0</v>
      </c>
      <c r="C553" s="4"/>
      <c r="D553" s="4" t="str">
        <f t="shared" si="1"/>
        <v>AVEC</v>
      </c>
    </row>
    <row r="554">
      <c r="A554" s="4" t="s">
        <v>967</v>
      </c>
      <c r="B554" s="3">
        <v>1500.0</v>
      </c>
      <c r="C554" s="3" t="s">
        <v>32</v>
      </c>
      <c r="D554" s="4" t="str">
        <f t="shared" si="1"/>
        <v>AVEC</v>
      </c>
    </row>
    <row r="555">
      <c r="A555" s="4" t="s">
        <v>1209</v>
      </c>
      <c r="B555" s="3">
        <v>1500.0</v>
      </c>
      <c r="C555" s="4"/>
      <c r="D555" s="4" t="str">
        <f t="shared" si="1"/>
        <v>AVEC</v>
      </c>
    </row>
    <row r="556">
      <c r="A556" s="4" t="s">
        <v>1238</v>
      </c>
      <c r="B556" s="3">
        <v>1500.0</v>
      </c>
      <c r="C556" s="4"/>
      <c r="D556" s="4" t="str">
        <f t="shared" si="1"/>
        <v>AVEC</v>
      </c>
    </row>
    <row r="557">
      <c r="A557" s="4" t="s">
        <v>1258</v>
      </c>
      <c r="B557" s="3">
        <v>1500.0</v>
      </c>
      <c r="C557" s="4"/>
      <c r="D557" s="4" t="str">
        <f t="shared" si="1"/>
        <v>AVEC</v>
      </c>
    </row>
    <row r="558">
      <c r="A558" s="4" t="s">
        <v>1333</v>
      </c>
      <c r="B558" s="3">
        <v>1500.0</v>
      </c>
      <c r="C558" s="4"/>
      <c r="D558" s="4" t="str">
        <f t="shared" si="1"/>
        <v>AVEC</v>
      </c>
    </row>
    <row r="559">
      <c r="A559" s="4" t="s">
        <v>1408</v>
      </c>
      <c r="B559" s="3">
        <v>1500.0</v>
      </c>
      <c r="C559" s="4"/>
      <c r="D559" s="4" t="str">
        <f t="shared" si="1"/>
        <v>AVEC</v>
      </c>
    </row>
    <row r="560">
      <c r="A560" s="4" t="s">
        <v>1495</v>
      </c>
      <c r="B560" s="3">
        <v>1500.0</v>
      </c>
      <c r="C560" s="4"/>
      <c r="D560" s="4" t="str">
        <f t="shared" si="1"/>
        <v>AVEC</v>
      </c>
    </row>
    <row r="561">
      <c r="A561" s="4" t="s">
        <v>1574</v>
      </c>
      <c r="B561" s="3">
        <v>1500.0</v>
      </c>
      <c r="C561" s="3" t="s">
        <v>6</v>
      </c>
      <c r="D561" s="4" t="str">
        <f t="shared" si="1"/>
        <v>AVEC</v>
      </c>
    </row>
    <row r="562">
      <c r="A562" s="4" t="s">
        <v>1656</v>
      </c>
      <c r="B562" s="3">
        <v>1500.0</v>
      </c>
      <c r="C562" s="4"/>
      <c r="D562" s="4" t="str">
        <f t="shared" si="1"/>
        <v>AVEC</v>
      </c>
    </row>
    <row r="563">
      <c r="A563" s="4" t="s">
        <v>1698</v>
      </c>
      <c r="B563" s="3">
        <v>1500.0</v>
      </c>
      <c r="C563" s="3" t="s">
        <v>6</v>
      </c>
      <c r="D563" s="4" t="str">
        <f t="shared" si="1"/>
        <v>AVEC</v>
      </c>
    </row>
    <row r="564">
      <c r="A564" s="4" t="s">
        <v>1738</v>
      </c>
      <c r="B564" s="3">
        <v>1500.0</v>
      </c>
      <c r="C564" s="4"/>
      <c r="D564" s="4" t="str">
        <f t="shared" si="1"/>
        <v>AVEC</v>
      </c>
    </row>
    <row r="565">
      <c r="A565" s="4" t="s">
        <v>1836</v>
      </c>
      <c r="B565" s="3">
        <v>1500.0</v>
      </c>
      <c r="C565" s="4"/>
      <c r="D565" s="4" t="str">
        <f t="shared" si="1"/>
        <v>AVEC</v>
      </c>
    </row>
    <row r="566">
      <c r="A566" s="4" t="s">
        <v>1931</v>
      </c>
      <c r="B566" s="3">
        <v>1500.0</v>
      </c>
      <c r="C566" s="3" t="s">
        <v>3</v>
      </c>
      <c r="D566" s="4" t="str">
        <f t="shared" si="1"/>
        <v>AVEC</v>
      </c>
    </row>
    <row r="567">
      <c r="A567" s="4" t="s">
        <v>2324</v>
      </c>
      <c r="B567" s="3">
        <v>1500.0</v>
      </c>
      <c r="C567" s="3" t="s">
        <v>3</v>
      </c>
      <c r="D567" s="4" t="str">
        <f t="shared" si="1"/>
        <v>AVEC</v>
      </c>
    </row>
    <row r="568">
      <c r="A568" s="4" t="s">
        <v>1051</v>
      </c>
      <c r="B568" s="3">
        <v>1410.0</v>
      </c>
      <c r="C568" s="4"/>
      <c r="D568" s="4" t="str">
        <f t="shared" si="1"/>
        <v>AVEC</v>
      </c>
    </row>
    <row r="569">
      <c r="A569" s="4" t="s">
        <v>954</v>
      </c>
      <c r="B569" s="3">
        <v>1400.0</v>
      </c>
      <c r="C569" s="4"/>
      <c r="D569" s="4" t="str">
        <f t="shared" si="1"/>
        <v>AVEC</v>
      </c>
    </row>
    <row r="570">
      <c r="A570" s="4" t="s">
        <v>2202</v>
      </c>
      <c r="B570" s="3">
        <v>1300.0</v>
      </c>
      <c r="C570" s="3" t="s">
        <v>3</v>
      </c>
      <c r="D570" s="4" t="str">
        <f t="shared" si="1"/>
        <v>AVEC</v>
      </c>
    </row>
    <row r="571">
      <c r="A571" s="4" t="s">
        <v>2227</v>
      </c>
      <c r="B571" s="3">
        <v>1300.0</v>
      </c>
      <c r="C571" s="4"/>
      <c r="D571" s="4" t="str">
        <f t="shared" si="1"/>
        <v>AVEC</v>
      </c>
    </row>
    <row r="572">
      <c r="A572" s="4" t="s">
        <v>1979</v>
      </c>
      <c r="B572" s="3">
        <v>1300.0</v>
      </c>
      <c r="C572" s="4"/>
      <c r="D572" s="4" t="str">
        <f t="shared" si="1"/>
        <v>AVEC</v>
      </c>
    </row>
    <row r="573">
      <c r="A573" s="4" t="s">
        <v>995</v>
      </c>
      <c r="B573" s="3">
        <v>1200.0</v>
      </c>
      <c r="C573" s="3" t="s">
        <v>6</v>
      </c>
      <c r="D573" s="4" t="str">
        <f t="shared" si="1"/>
        <v>AVEC</v>
      </c>
    </row>
    <row r="574">
      <c r="A574" s="4" t="s">
        <v>1017</v>
      </c>
      <c r="B574" s="3">
        <v>1200.0</v>
      </c>
      <c r="C574" s="4"/>
      <c r="D574" s="4" t="str">
        <f t="shared" si="1"/>
        <v>AVEC</v>
      </c>
    </row>
    <row r="575">
      <c r="A575" s="4" t="s">
        <v>1335</v>
      </c>
      <c r="B575" s="3">
        <v>1200.0</v>
      </c>
      <c r="C575" s="3" t="s">
        <v>32</v>
      </c>
      <c r="D575" s="4" t="str">
        <f t="shared" si="1"/>
        <v>AVEC</v>
      </c>
    </row>
    <row r="576">
      <c r="A576" s="4" t="s">
        <v>1462</v>
      </c>
      <c r="B576" s="3">
        <v>1200.0</v>
      </c>
      <c r="C576" s="3" t="s">
        <v>3</v>
      </c>
      <c r="D576" s="4" t="str">
        <f t="shared" si="1"/>
        <v>AVEC</v>
      </c>
    </row>
    <row r="577">
      <c r="A577" s="4" t="s">
        <v>700</v>
      </c>
      <c r="B577" s="3">
        <v>1080.0</v>
      </c>
      <c r="C577" s="4"/>
      <c r="D577" s="4" t="str">
        <f t="shared" si="1"/>
        <v>AVEC</v>
      </c>
    </row>
    <row r="578">
      <c r="A578" s="4" t="s">
        <v>10</v>
      </c>
      <c r="B578" s="3">
        <v>1000.0</v>
      </c>
      <c r="C578" s="4"/>
      <c r="D578" s="4" t="str">
        <f t="shared" si="1"/>
        <v>AVEC</v>
      </c>
    </row>
    <row r="579">
      <c r="A579" s="4" t="s">
        <v>93</v>
      </c>
      <c r="B579" s="3">
        <v>1000.0</v>
      </c>
      <c r="C579" s="4"/>
      <c r="D579" s="4" t="str">
        <f t="shared" si="1"/>
        <v>AVEC</v>
      </c>
    </row>
    <row r="580">
      <c r="A580" s="4" t="s">
        <v>103</v>
      </c>
      <c r="B580" s="3">
        <v>1000.0</v>
      </c>
      <c r="C580" s="4"/>
      <c r="D580" s="4" t="str">
        <f t="shared" si="1"/>
        <v>AVEC</v>
      </c>
    </row>
    <row r="581">
      <c r="A581" s="4" t="s">
        <v>2085</v>
      </c>
      <c r="B581" s="3">
        <v>1000.0</v>
      </c>
      <c r="C581" s="3" t="s">
        <v>6</v>
      </c>
      <c r="D581" s="4" t="str">
        <f t="shared" si="1"/>
        <v>AVEC</v>
      </c>
    </row>
    <row r="582">
      <c r="A582" s="4" t="s">
        <v>193</v>
      </c>
      <c r="B582" s="3">
        <v>1000.0</v>
      </c>
      <c r="C582" s="3" t="s">
        <v>29</v>
      </c>
      <c r="D582" s="4" t="str">
        <f t="shared" si="1"/>
        <v>AVEC</v>
      </c>
    </row>
    <row r="583">
      <c r="A583" s="4" t="s">
        <v>2116</v>
      </c>
      <c r="B583" s="3">
        <v>1000.0</v>
      </c>
      <c r="C583" s="3" t="s">
        <v>3</v>
      </c>
      <c r="D583" s="4" t="str">
        <f t="shared" si="1"/>
        <v>AVEC</v>
      </c>
    </row>
    <row r="584">
      <c r="A584" s="4" t="s">
        <v>495</v>
      </c>
      <c r="B584" s="3">
        <v>1000.0</v>
      </c>
      <c r="C584" s="4"/>
      <c r="D584" s="4" t="str">
        <f t="shared" si="1"/>
        <v>AVEC</v>
      </c>
    </row>
    <row r="585">
      <c r="A585" s="4" t="s">
        <v>527</v>
      </c>
      <c r="B585" s="3">
        <v>1000.0</v>
      </c>
      <c r="C585" s="4"/>
      <c r="D585" s="4" t="str">
        <f t="shared" si="1"/>
        <v>AVEC</v>
      </c>
    </row>
    <row r="586">
      <c r="A586" s="4" t="s">
        <v>558</v>
      </c>
      <c r="B586" s="3">
        <v>1000.0</v>
      </c>
      <c r="C586" s="3" t="s">
        <v>484</v>
      </c>
      <c r="D586" s="4" t="str">
        <f t="shared" si="1"/>
        <v>AVEC</v>
      </c>
    </row>
    <row r="587">
      <c r="A587" s="4" t="s">
        <v>631</v>
      </c>
      <c r="B587" s="3">
        <v>1000.0</v>
      </c>
      <c r="C587" s="4"/>
      <c r="D587" s="4" t="str">
        <f t="shared" si="1"/>
        <v>AVEC</v>
      </c>
    </row>
    <row r="588">
      <c r="A588" s="4" t="s">
        <v>635</v>
      </c>
      <c r="B588" s="3">
        <v>1000.0</v>
      </c>
      <c r="C588" s="3" t="s">
        <v>32</v>
      </c>
      <c r="D588" s="4" t="str">
        <f t="shared" si="1"/>
        <v>AVEC</v>
      </c>
    </row>
    <row r="589">
      <c r="A589" s="4" t="s">
        <v>650</v>
      </c>
      <c r="B589" s="3">
        <v>1000.0</v>
      </c>
      <c r="C589" s="4"/>
      <c r="D589" s="4" t="str">
        <f t="shared" si="1"/>
        <v>AVEC</v>
      </c>
    </row>
    <row r="590">
      <c r="A590" s="4" t="s">
        <v>674</v>
      </c>
      <c r="B590" s="3">
        <v>1000.0</v>
      </c>
      <c r="C590" s="3" t="s">
        <v>3</v>
      </c>
      <c r="D590" s="4" t="str">
        <f t="shared" si="1"/>
        <v>AVEC</v>
      </c>
    </row>
    <row r="591">
      <c r="A591" s="4" t="s">
        <v>750</v>
      </c>
      <c r="B591" s="3">
        <v>1000.0</v>
      </c>
      <c r="C591" s="4"/>
      <c r="D591" s="4" t="str">
        <f t="shared" si="1"/>
        <v>AVEC</v>
      </c>
    </row>
    <row r="592">
      <c r="A592" s="4" t="s">
        <v>817</v>
      </c>
      <c r="B592" s="3">
        <v>1000.0</v>
      </c>
      <c r="C592" s="3" t="s">
        <v>3</v>
      </c>
      <c r="D592" s="4" t="str">
        <f t="shared" si="1"/>
        <v>AVEC</v>
      </c>
    </row>
    <row r="593">
      <c r="A593" s="4" t="s">
        <v>839</v>
      </c>
      <c r="B593" s="3">
        <v>1000.0</v>
      </c>
      <c r="C593" s="3" t="s">
        <v>6</v>
      </c>
      <c r="D593" s="4" t="str">
        <f t="shared" si="1"/>
        <v>AVEC</v>
      </c>
    </row>
    <row r="594">
      <c r="A594" s="4" t="s">
        <v>851</v>
      </c>
      <c r="B594" s="3">
        <v>1000.0</v>
      </c>
      <c r="C594" s="4"/>
      <c r="D594" s="4" t="str">
        <f t="shared" si="1"/>
        <v>AVEC</v>
      </c>
    </row>
    <row r="595">
      <c r="A595" s="4" t="s">
        <v>861</v>
      </c>
      <c r="B595" s="3">
        <v>1000.0</v>
      </c>
      <c r="C595" s="4"/>
      <c r="D595" s="4" t="str">
        <f t="shared" si="1"/>
        <v>AVEC</v>
      </c>
    </row>
    <row r="596">
      <c r="A596" s="4" t="s">
        <v>885</v>
      </c>
      <c r="B596" s="3">
        <v>1000.0</v>
      </c>
      <c r="C596" s="3" t="s">
        <v>6</v>
      </c>
      <c r="D596" s="4" t="str">
        <f t="shared" si="1"/>
        <v>AVEC</v>
      </c>
    </row>
    <row r="597">
      <c r="A597" s="4" t="s">
        <v>886</v>
      </c>
      <c r="B597" s="3">
        <v>1000.0</v>
      </c>
      <c r="C597" s="3" t="s">
        <v>32</v>
      </c>
      <c r="D597" s="4" t="str">
        <f t="shared" si="1"/>
        <v>AVEC</v>
      </c>
    </row>
    <row r="598">
      <c r="A598" s="4" t="s">
        <v>2226</v>
      </c>
      <c r="B598" s="3">
        <v>1000.0</v>
      </c>
      <c r="C598" s="3" t="s">
        <v>6</v>
      </c>
      <c r="D598" s="4" t="str">
        <f t="shared" si="1"/>
        <v>AVEC</v>
      </c>
    </row>
    <row r="599">
      <c r="A599" s="4" t="s">
        <v>2233</v>
      </c>
      <c r="B599" s="3">
        <v>1000.0</v>
      </c>
      <c r="C599" s="4"/>
      <c r="D599" s="4" t="str">
        <f t="shared" si="1"/>
        <v>AVEC</v>
      </c>
    </row>
    <row r="600">
      <c r="A600" s="4" t="s">
        <v>968</v>
      </c>
      <c r="B600" s="3">
        <v>1000.0</v>
      </c>
      <c r="C600" s="4"/>
      <c r="D600" s="4" t="str">
        <f t="shared" si="1"/>
        <v>AVEC</v>
      </c>
    </row>
    <row r="601">
      <c r="A601" s="4" t="s">
        <v>981</v>
      </c>
      <c r="B601" s="3">
        <v>1000.0</v>
      </c>
      <c r="C601" s="4"/>
      <c r="D601" s="4" t="str">
        <f t="shared" si="1"/>
        <v>AVEC</v>
      </c>
    </row>
    <row r="602">
      <c r="A602" s="4" t="s">
        <v>1053</v>
      </c>
      <c r="B602" s="3">
        <v>1000.0</v>
      </c>
      <c r="C602" s="3" t="s">
        <v>32</v>
      </c>
      <c r="D602" s="4" t="str">
        <f t="shared" si="1"/>
        <v>AVEC</v>
      </c>
    </row>
    <row r="603">
      <c r="A603" s="4" t="s">
        <v>1058</v>
      </c>
      <c r="B603" s="3">
        <v>1000.0</v>
      </c>
      <c r="C603" s="4"/>
      <c r="D603" s="4" t="str">
        <f t="shared" si="1"/>
        <v>AVEC</v>
      </c>
    </row>
    <row r="604">
      <c r="A604" s="4" t="s">
        <v>2249</v>
      </c>
      <c r="B604" s="3">
        <v>1000.0</v>
      </c>
      <c r="C604" s="3" t="s">
        <v>32</v>
      </c>
      <c r="D604" s="4" t="str">
        <f t="shared" si="1"/>
        <v>AVEC</v>
      </c>
    </row>
    <row r="605">
      <c r="A605" s="4" t="s">
        <v>1181</v>
      </c>
      <c r="B605" s="3">
        <v>1000.0</v>
      </c>
      <c r="C605" s="4"/>
      <c r="D605" s="4" t="str">
        <f t="shared" si="1"/>
        <v>AVEC</v>
      </c>
    </row>
    <row r="606">
      <c r="A606" s="4" t="s">
        <v>2263</v>
      </c>
      <c r="B606" s="3">
        <v>1000.0</v>
      </c>
      <c r="C606" s="4"/>
      <c r="D606" s="4" t="str">
        <f t="shared" si="1"/>
        <v>AVEC</v>
      </c>
    </row>
    <row r="607">
      <c r="A607" s="4" t="s">
        <v>1259</v>
      </c>
      <c r="B607" s="3">
        <v>1000.0</v>
      </c>
      <c r="C607" s="3" t="s">
        <v>6</v>
      </c>
      <c r="D607" s="4" t="str">
        <f t="shared" si="1"/>
        <v>AVEC</v>
      </c>
    </row>
    <row r="608">
      <c r="A608" s="4" t="s">
        <v>1334</v>
      </c>
      <c r="B608" s="3">
        <v>1000.0</v>
      </c>
      <c r="C608" s="4"/>
      <c r="D608" s="4" t="str">
        <f t="shared" si="1"/>
        <v>AVEC</v>
      </c>
    </row>
    <row r="609">
      <c r="A609" s="4" t="s">
        <v>1416</v>
      </c>
      <c r="B609" s="3">
        <v>1000.0</v>
      </c>
      <c r="C609" s="4"/>
      <c r="D609" s="4" t="str">
        <f t="shared" si="1"/>
        <v>AVEC</v>
      </c>
    </row>
    <row r="610">
      <c r="A610" s="4" t="s">
        <v>1461</v>
      </c>
      <c r="B610" s="3">
        <v>1000.0</v>
      </c>
      <c r="C610" s="3" t="s">
        <v>6</v>
      </c>
      <c r="D610" s="4" t="str">
        <f t="shared" si="1"/>
        <v>AVEC</v>
      </c>
    </row>
    <row r="611">
      <c r="A611" s="4" t="s">
        <v>1550</v>
      </c>
      <c r="B611" s="3">
        <v>1000.0</v>
      </c>
      <c r="C611" s="4"/>
      <c r="D611" s="4" t="str">
        <f t="shared" si="1"/>
        <v>AVEC</v>
      </c>
    </row>
    <row r="612">
      <c r="A612" s="4" t="s">
        <v>1653</v>
      </c>
      <c r="B612" s="3">
        <v>1000.0</v>
      </c>
      <c r="C612" s="4"/>
      <c r="D612" s="4" t="str">
        <f t="shared" si="1"/>
        <v>AVEC</v>
      </c>
    </row>
    <row r="613">
      <c r="A613" s="4" t="s">
        <v>1669</v>
      </c>
      <c r="B613" s="3">
        <v>1000.0</v>
      </c>
      <c r="C613" s="3" t="s">
        <v>32</v>
      </c>
      <c r="D613" s="4" t="str">
        <f t="shared" si="1"/>
        <v>AVEC</v>
      </c>
    </row>
    <row r="614">
      <c r="A614" s="4" t="s">
        <v>1678</v>
      </c>
      <c r="B614" s="3">
        <v>1000.0</v>
      </c>
      <c r="C614" s="3" t="s">
        <v>32</v>
      </c>
      <c r="D614" s="4" t="str">
        <f t="shared" si="1"/>
        <v>AVEC</v>
      </c>
    </row>
    <row r="615">
      <c r="A615" s="4" t="s">
        <v>1702</v>
      </c>
      <c r="B615" s="3">
        <v>1000.0</v>
      </c>
      <c r="C615" s="3" t="s">
        <v>3</v>
      </c>
      <c r="D615" s="4" t="str">
        <f t="shared" si="1"/>
        <v>AVEC</v>
      </c>
    </row>
    <row r="616">
      <c r="A616" s="4" t="s">
        <v>2291</v>
      </c>
      <c r="B616" s="3">
        <v>1000.0</v>
      </c>
      <c r="C616" s="3" t="s">
        <v>668</v>
      </c>
      <c r="D616" s="4" t="str">
        <f t="shared" si="1"/>
        <v>AVEC</v>
      </c>
    </row>
    <row r="617">
      <c r="A617" s="4" t="s">
        <v>1809</v>
      </c>
      <c r="B617" s="3">
        <v>1000.0</v>
      </c>
      <c r="C617" s="4"/>
      <c r="D617" s="4" t="str">
        <f t="shared" si="1"/>
        <v>AVEC</v>
      </c>
    </row>
    <row r="618">
      <c r="A618" s="4" t="s">
        <v>1853</v>
      </c>
      <c r="B618" s="3">
        <v>1000.0</v>
      </c>
      <c r="C618" s="4"/>
      <c r="D618" s="4" t="str">
        <f t="shared" si="1"/>
        <v>AVEC</v>
      </c>
    </row>
    <row r="619">
      <c r="A619" s="4" t="s">
        <v>1899</v>
      </c>
      <c r="B619" s="3">
        <v>1000.0</v>
      </c>
      <c r="C619" s="3" t="s">
        <v>3</v>
      </c>
      <c r="D619" s="4" t="str">
        <f t="shared" si="1"/>
        <v>AVEC</v>
      </c>
    </row>
    <row r="620">
      <c r="A620" s="4" t="s">
        <v>1991</v>
      </c>
      <c r="B620" s="3">
        <v>1000.0</v>
      </c>
      <c r="C620" s="4"/>
      <c r="D620" s="4" t="str">
        <f t="shared" si="1"/>
        <v>AVEC</v>
      </c>
    </row>
    <row r="621">
      <c r="A621" s="4" t="s">
        <v>997</v>
      </c>
      <c r="B621" s="3">
        <v>950.0</v>
      </c>
      <c r="C621" s="4"/>
      <c r="D621" s="4" t="str">
        <f t="shared" si="1"/>
        <v>AVEC</v>
      </c>
    </row>
    <row r="622">
      <c r="A622" s="4" t="s">
        <v>2120</v>
      </c>
      <c r="B622" s="3">
        <v>920.0</v>
      </c>
      <c r="C622" s="4"/>
      <c r="D622" s="4" t="str">
        <f t="shared" si="1"/>
        <v>AVEC</v>
      </c>
    </row>
    <row r="623">
      <c r="A623" s="4" t="s">
        <v>705</v>
      </c>
      <c r="B623" s="3">
        <v>900.0</v>
      </c>
      <c r="C623" s="4"/>
      <c r="D623" s="4" t="str">
        <f t="shared" si="1"/>
        <v>AVEC</v>
      </c>
    </row>
    <row r="624">
      <c r="A624" s="4" t="s">
        <v>1467</v>
      </c>
      <c r="B624" s="3">
        <v>900.0</v>
      </c>
      <c r="C624" s="4"/>
      <c r="D624" s="4" t="str">
        <f t="shared" si="1"/>
        <v>AVEC</v>
      </c>
    </row>
    <row r="625">
      <c r="A625" s="4" t="s">
        <v>1746</v>
      </c>
      <c r="B625" s="3">
        <v>900.0</v>
      </c>
      <c r="C625" s="4"/>
      <c r="D625" s="4" t="str">
        <f t="shared" si="1"/>
        <v>AVEC</v>
      </c>
    </row>
    <row r="626">
      <c r="A626" s="4" t="s">
        <v>2323</v>
      </c>
      <c r="B626" s="3">
        <v>900.0</v>
      </c>
      <c r="C626" s="3" t="s">
        <v>3</v>
      </c>
      <c r="D626" s="4" t="str">
        <f t="shared" si="1"/>
        <v>AVEC</v>
      </c>
    </row>
    <row r="627">
      <c r="A627" s="4" t="s">
        <v>1643</v>
      </c>
      <c r="B627" s="3">
        <v>865.0</v>
      </c>
      <c r="C627" s="4"/>
      <c r="D627" s="4" t="str">
        <f t="shared" si="1"/>
        <v>AVEC</v>
      </c>
    </row>
    <row r="628">
      <c r="A628" s="4" t="s">
        <v>405</v>
      </c>
      <c r="B628" s="3">
        <v>800.0</v>
      </c>
      <c r="C628" s="4"/>
      <c r="D628" s="4" t="str">
        <f t="shared" si="1"/>
        <v>AVEC</v>
      </c>
    </row>
    <row r="629">
      <c r="A629" s="4" t="s">
        <v>450</v>
      </c>
      <c r="B629" s="3">
        <v>800.0</v>
      </c>
      <c r="C629" s="3" t="s">
        <v>6</v>
      </c>
      <c r="D629" s="4" t="str">
        <f t="shared" si="1"/>
        <v>AVEC</v>
      </c>
    </row>
    <row r="630">
      <c r="A630" s="4" t="s">
        <v>540</v>
      </c>
      <c r="B630" s="3">
        <v>800.0</v>
      </c>
      <c r="C630" s="4"/>
      <c r="D630" s="4" t="str">
        <f t="shared" si="1"/>
        <v>AVEC</v>
      </c>
    </row>
    <row r="631">
      <c r="A631" s="4" t="s">
        <v>689</v>
      </c>
      <c r="B631" s="3">
        <v>800.0</v>
      </c>
      <c r="C631" s="3" t="s">
        <v>32</v>
      </c>
      <c r="D631" s="4" t="str">
        <f t="shared" si="1"/>
        <v>AVEC</v>
      </c>
    </row>
    <row r="632">
      <c r="A632" s="4" t="s">
        <v>778</v>
      </c>
      <c r="B632" s="3">
        <v>800.0</v>
      </c>
      <c r="C632" s="3" t="s">
        <v>32</v>
      </c>
      <c r="D632" s="4" t="str">
        <f t="shared" si="1"/>
        <v>AVEC</v>
      </c>
    </row>
    <row r="633">
      <c r="A633" s="4" t="s">
        <v>779</v>
      </c>
      <c r="B633" s="3">
        <v>800.0</v>
      </c>
      <c r="C633" s="4"/>
      <c r="D633" s="4" t="str">
        <f t="shared" si="1"/>
        <v>AVEC</v>
      </c>
    </row>
    <row r="634">
      <c r="A634" s="4" t="s">
        <v>2211</v>
      </c>
      <c r="B634" s="3">
        <v>800.0</v>
      </c>
      <c r="C634" s="3" t="s">
        <v>3</v>
      </c>
      <c r="D634" s="4" t="str">
        <f t="shared" si="1"/>
        <v>AVEC</v>
      </c>
    </row>
    <row r="635">
      <c r="A635" s="4" t="s">
        <v>2213</v>
      </c>
      <c r="B635" s="3">
        <v>800.0</v>
      </c>
      <c r="C635" s="4"/>
      <c r="D635" s="4" t="str">
        <f t="shared" si="1"/>
        <v>AVEC</v>
      </c>
    </row>
    <row r="636">
      <c r="A636" s="4" t="s">
        <v>2257</v>
      </c>
      <c r="B636" s="3">
        <v>800.0</v>
      </c>
      <c r="C636" s="4"/>
      <c r="D636" s="4" t="str">
        <f t="shared" si="1"/>
        <v>AVEC</v>
      </c>
    </row>
    <row r="637">
      <c r="A637" s="4" t="s">
        <v>1269</v>
      </c>
      <c r="B637" s="3">
        <v>800.0</v>
      </c>
      <c r="C637" s="4"/>
      <c r="D637" s="4" t="str">
        <f t="shared" si="1"/>
        <v>AVEC</v>
      </c>
    </row>
    <row r="638">
      <c r="A638" s="4" t="s">
        <v>1385</v>
      </c>
      <c r="B638" s="3">
        <v>800.0</v>
      </c>
      <c r="C638" s="3" t="s">
        <v>3</v>
      </c>
      <c r="D638" s="4" t="str">
        <f t="shared" si="1"/>
        <v>AVEC</v>
      </c>
    </row>
    <row r="639">
      <c r="A639" s="4" t="s">
        <v>1411</v>
      </c>
      <c r="B639" s="3">
        <v>800.0</v>
      </c>
      <c r="C639" s="3" t="s">
        <v>3</v>
      </c>
      <c r="D639" s="4" t="str">
        <f t="shared" si="1"/>
        <v>AVEC</v>
      </c>
    </row>
    <row r="640">
      <c r="A640" s="4" t="s">
        <v>1412</v>
      </c>
      <c r="B640" s="3">
        <v>800.0</v>
      </c>
      <c r="C640" s="4"/>
      <c r="D640" s="4" t="str">
        <f t="shared" si="1"/>
        <v>AVEC</v>
      </c>
    </row>
    <row r="641">
      <c r="A641" s="4" t="s">
        <v>1457</v>
      </c>
      <c r="B641" s="3">
        <v>800.0</v>
      </c>
      <c r="C641" s="4"/>
      <c r="D641" s="4" t="str">
        <f t="shared" si="1"/>
        <v>AVEC</v>
      </c>
    </row>
    <row r="642">
      <c r="A642" s="4" t="s">
        <v>1479</v>
      </c>
      <c r="B642" s="3">
        <v>800.0</v>
      </c>
      <c r="C642" s="4"/>
      <c r="D642" s="4" t="str">
        <f t="shared" si="1"/>
        <v>AVEC</v>
      </c>
    </row>
    <row r="643">
      <c r="A643" s="4" t="s">
        <v>1602</v>
      </c>
      <c r="B643" s="3">
        <v>800.0</v>
      </c>
      <c r="C643" s="4"/>
      <c r="D643" s="4" t="str">
        <f t="shared" si="1"/>
        <v>AVEC</v>
      </c>
    </row>
    <row r="644">
      <c r="A644" s="4" t="s">
        <v>2285</v>
      </c>
      <c r="B644" s="3">
        <v>800.0</v>
      </c>
      <c r="C644" s="3" t="s">
        <v>3</v>
      </c>
      <c r="D644" s="4" t="str">
        <f t="shared" si="1"/>
        <v>AVEC</v>
      </c>
    </row>
    <row r="645">
      <c r="A645" s="4" t="s">
        <v>1696</v>
      </c>
      <c r="B645" s="3">
        <v>800.0</v>
      </c>
      <c r="C645" s="4"/>
      <c r="D645" s="4" t="str">
        <f t="shared" si="1"/>
        <v>AVEC</v>
      </c>
    </row>
    <row r="646">
      <c r="A646" s="4" t="s">
        <v>1777</v>
      </c>
      <c r="B646" s="3">
        <v>800.0</v>
      </c>
      <c r="C646" s="3" t="s">
        <v>29</v>
      </c>
      <c r="D646" s="4" t="str">
        <f t="shared" si="1"/>
        <v>AVEC</v>
      </c>
    </row>
    <row r="647">
      <c r="A647" s="4" t="s">
        <v>2008</v>
      </c>
      <c r="B647" s="3">
        <v>800.0</v>
      </c>
      <c r="C647" s="3" t="s">
        <v>32</v>
      </c>
      <c r="D647" s="4" t="str">
        <f t="shared" si="1"/>
        <v>AVEC</v>
      </c>
    </row>
    <row r="648">
      <c r="A648" s="4" t="s">
        <v>134</v>
      </c>
      <c r="B648" s="3">
        <v>750.0</v>
      </c>
      <c r="C648" s="3" t="s">
        <v>3</v>
      </c>
      <c r="D648" s="4" t="str">
        <f t="shared" si="1"/>
        <v>AVEC</v>
      </c>
    </row>
    <row r="649">
      <c r="A649" s="4" t="s">
        <v>2181</v>
      </c>
      <c r="B649" s="3">
        <v>750.0</v>
      </c>
      <c r="C649" s="4"/>
      <c r="D649" s="4" t="str">
        <f t="shared" si="1"/>
        <v>AVEC</v>
      </c>
    </row>
    <row r="650">
      <c r="A650" s="4" t="s">
        <v>2218</v>
      </c>
      <c r="B650" s="3">
        <v>750.0</v>
      </c>
      <c r="C650" s="3" t="s">
        <v>6</v>
      </c>
      <c r="D650" s="4" t="str">
        <f t="shared" si="1"/>
        <v>AVEC</v>
      </c>
    </row>
    <row r="651">
      <c r="A651" s="4" t="s">
        <v>2221</v>
      </c>
      <c r="B651" s="3">
        <v>750.0</v>
      </c>
      <c r="C651" s="4"/>
      <c r="D651" s="4" t="str">
        <f t="shared" si="1"/>
        <v>AVEC</v>
      </c>
    </row>
    <row r="652">
      <c r="A652" s="4" t="s">
        <v>1106</v>
      </c>
      <c r="B652" s="3">
        <v>750.0</v>
      </c>
      <c r="C652" s="3" t="s">
        <v>3</v>
      </c>
      <c r="D652" s="4" t="str">
        <f t="shared" si="1"/>
        <v>AVEC</v>
      </c>
    </row>
    <row r="653">
      <c r="A653" s="4" t="s">
        <v>1516</v>
      </c>
      <c r="B653" s="3">
        <v>741.0</v>
      </c>
      <c r="C653" s="4"/>
      <c r="D653" s="4" t="str">
        <f t="shared" si="1"/>
        <v>AVEC</v>
      </c>
    </row>
    <row r="654">
      <c r="A654" s="4" t="s">
        <v>2185</v>
      </c>
      <c r="B654" s="3">
        <v>700.0</v>
      </c>
      <c r="C654" s="4"/>
      <c r="D654" s="4" t="str">
        <f t="shared" si="1"/>
        <v>AVEC</v>
      </c>
    </row>
    <row r="655">
      <c r="A655" s="4" t="s">
        <v>979</v>
      </c>
      <c r="B655" s="3">
        <v>700.0</v>
      </c>
      <c r="C655" s="3" t="s">
        <v>3</v>
      </c>
      <c r="D655" s="4" t="str">
        <f t="shared" si="1"/>
        <v>AVEC</v>
      </c>
    </row>
    <row r="656">
      <c r="A656" s="4" t="s">
        <v>1085</v>
      </c>
      <c r="B656" s="3">
        <v>700.0</v>
      </c>
      <c r="C656" s="4"/>
      <c r="D656" s="4" t="str">
        <f t="shared" si="1"/>
        <v>AVEC</v>
      </c>
    </row>
    <row r="657">
      <c r="A657" s="4" t="s">
        <v>1272</v>
      </c>
      <c r="B657" s="3">
        <v>700.0</v>
      </c>
      <c r="C657" s="3" t="s">
        <v>3</v>
      </c>
      <c r="D657" s="4" t="str">
        <f t="shared" si="1"/>
        <v>AVEC</v>
      </c>
    </row>
    <row r="658">
      <c r="A658" s="4" t="s">
        <v>1689</v>
      </c>
      <c r="B658" s="3">
        <v>700.0</v>
      </c>
      <c r="C658" s="4"/>
      <c r="D658" s="4" t="str">
        <f t="shared" si="1"/>
        <v>AVEC</v>
      </c>
    </row>
    <row r="659">
      <c r="A659" s="4" t="s">
        <v>2322</v>
      </c>
      <c r="B659" s="3">
        <v>700.0</v>
      </c>
      <c r="C659" s="3" t="s">
        <v>3</v>
      </c>
      <c r="D659" s="4" t="str">
        <f t="shared" si="1"/>
        <v>AVEC</v>
      </c>
    </row>
    <row r="660">
      <c r="A660" s="4" t="s">
        <v>1778</v>
      </c>
      <c r="B660" s="3">
        <v>650.0</v>
      </c>
      <c r="C660" s="4"/>
      <c r="D660" s="4" t="str">
        <f t="shared" si="1"/>
        <v>AVEC</v>
      </c>
    </row>
    <row r="661">
      <c r="A661" s="4" t="s">
        <v>2110</v>
      </c>
      <c r="B661" s="3">
        <v>600.0</v>
      </c>
      <c r="C661" s="4"/>
      <c r="D661" s="4" t="str">
        <f t="shared" si="1"/>
        <v>AVEC</v>
      </c>
    </row>
    <row r="662">
      <c r="A662" s="4" t="s">
        <v>665</v>
      </c>
      <c r="B662" s="3">
        <v>600.0</v>
      </c>
      <c r="C662" s="3" t="s">
        <v>6</v>
      </c>
      <c r="D662" s="4" t="str">
        <f t="shared" si="1"/>
        <v>AVEC</v>
      </c>
    </row>
    <row r="663">
      <c r="A663" s="4" t="s">
        <v>1345</v>
      </c>
      <c r="B663" s="3">
        <v>600.0</v>
      </c>
      <c r="C663" s="4"/>
      <c r="D663" s="4" t="str">
        <f t="shared" si="1"/>
        <v>AVEC</v>
      </c>
    </row>
    <row r="664">
      <c r="A664" s="4" t="s">
        <v>1659</v>
      </c>
      <c r="B664" s="3">
        <v>600.0</v>
      </c>
      <c r="C664" s="4"/>
      <c r="D664" s="4" t="str">
        <f t="shared" si="1"/>
        <v>AVEC</v>
      </c>
    </row>
    <row r="665">
      <c r="A665" s="4" t="s">
        <v>1663</v>
      </c>
      <c r="B665" s="3">
        <v>600.0</v>
      </c>
      <c r="C665" s="4"/>
      <c r="D665" s="4" t="str">
        <f t="shared" si="1"/>
        <v>AVEC</v>
      </c>
    </row>
    <row r="666">
      <c r="A666" s="4" t="s">
        <v>1765</v>
      </c>
      <c r="B666" s="3">
        <v>600.0</v>
      </c>
      <c r="C666" s="3" t="s">
        <v>32</v>
      </c>
      <c r="D666" s="4" t="str">
        <f t="shared" si="1"/>
        <v>AVEC</v>
      </c>
    </row>
    <row r="667">
      <c r="A667" s="4" t="s">
        <v>2080</v>
      </c>
      <c r="B667" s="3">
        <v>571.0</v>
      </c>
      <c r="C667" s="4"/>
      <c r="D667" s="4" t="str">
        <f t="shared" si="1"/>
        <v>AVEC</v>
      </c>
    </row>
    <row r="668">
      <c r="A668" s="4" t="s">
        <v>17</v>
      </c>
      <c r="B668" s="3">
        <v>500.0</v>
      </c>
      <c r="C668" s="4"/>
      <c r="D668" s="4" t="str">
        <f t="shared" si="1"/>
        <v>AVEC</v>
      </c>
    </row>
    <row r="669">
      <c r="A669" s="4" t="s">
        <v>62</v>
      </c>
      <c r="B669" s="3">
        <v>500.0</v>
      </c>
      <c r="C669" s="4"/>
      <c r="D669" s="4" t="str">
        <f t="shared" si="1"/>
        <v>AVEC</v>
      </c>
    </row>
    <row r="670">
      <c r="A670" s="4" t="s">
        <v>2077</v>
      </c>
      <c r="B670" s="3">
        <v>500.0</v>
      </c>
      <c r="C670" s="4"/>
      <c r="D670" s="4" t="str">
        <f t="shared" si="1"/>
        <v>AVEC</v>
      </c>
    </row>
    <row r="671">
      <c r="A671" s="4" t="s">
        <v>2079</v>
      </c>
      <c r="B671" s="3">
        <v>500.0</v>
      </c>
      <c r="C671" s="4"/>
      <c r="D671" s="4" t="str">
        <f t="shared" si="1"/>
        <v>AVEC</v>
      </c>
    </row>
    <row r="672">
      <c r="A672" s="4" t="s">
        <v>2081</v>
      </c>
      <c r="B672" s="3">
        <v>500.0</v>
      </c>
      <c r="C672" s="4"/>
      <c r="D672" s="4" t="str">
        <f t="shared" si="1"/>
        <v>AVEC</v>
      </c>
    </row>
    <row r="673">
      <c r="A673" s="4" t="s">
        <v>2137</v>
      </c>
      <c r="B673" s="3">
        <v>500.0</v>
      </c>
      <c r="C673" s="4"/>
      <c r="D673" s="4" t="str">
        <f t="shared" si="1"/>
        <v>AVEC</v>
      </c>
    </row>
    <row r="674">
      <c r="A674" s="4" t="s">
        <v>502</v>
      </c>
      <c r="B674" s="3">
        <v>500.0</v>
      </c>
      <c r="C674" s="3" t="s">
        <v>26</v>
      </c>
      <c r="D674" s="4" t="str">
        <f t="shared" si="1"/>
        <v>AVEC</v>
      </c>
    </row>
    <row r="675">
      <c r="A675" s="4" t="s">
        <v>2179</v>
      </c>
      <c r="B675" s="3">
        <v>500.0</v>
      </c>
      <c r="C675" s="3" t="s">
        <v>3</v>
      </c>
      <c r="D675" s="4" t="str">
        <f t="shared" si="1"/>
        <v>AVEC</v>
      </c>
    </row>
    <row r="676">
      <c r="A676" s="4" t="s">
        <v>541</v>
      </c>
      <c r="B676" s="3">
        <v>500.0</v>
      </c>
      <c r="C676" s="4"/>
      <c r="D676" s="4" t="str">
        <f t="shared" si="1"/>
        <v>AVEC</v>
      </c>
    </row>
    <row r="677">
      <c r="A677" s="4" t="s">
        <v>552</v>
      </c>
      <c r="B677" s="3">
        <v>500.0</v>
      </c>
      <c r="C677" s="4"/>
      <c r="D677" s="4" t="str">
        <f t="shared" si="1"/>
        <v>AVEC</v>
      </c>
    </row>
    <row r="678">
      <c r="A678" s="4" t="s">
        <v>2184</v>
      </c>
      <c r="B678" s="3">
        <v>500.0</v>
      </c>
      <c r="C678" s="3" t="s">
        <v>6</v>
      </c>
      <c r="D678" s="4" t="str">
        <f t="shared" si="1"/>
        <v>AVEC</v>
      </c>
    </row>
    <row r="679">
      <c r="A679" s="4" t="s">
        <v>662</v>
      </c>
      <c r="B679" s="3">
        <v>500.0</v>
      </c>
      <c r="C679" s="4"/>
      <c r="D679" s="4" t="str">
        <f t="shared" si="1"/>
        <v>AVEC</v>
      </c>
    </row>
    <row r="680">
      <c r="A680" s="4" t="s">
        <v>833</v>
      </c>
      <c r="B680" s="3">
        <v>500.0</v>
      </c>
      <c r="C680" s="4"/>
      <c r="D680" s="4" t="str">
        <f t="shared" si="1"/>
        <v>AVEC</v>
      </c>
    </row>
    <row r="681">
      <c r="A681" s="4" t="s">
        <v>2220</v>
      </c>
      <c r="B681" s="3">
        <v>500.0</v>
      </c>
      <c r="C681" s="4"/>
      <c r="D681" s="4" t="str">
        <f t="shared" si="1"/>
        <v>AVEC</v>
      </c>
    </row>
    <row r="682">
      <c r="A682" s="4" t="s">
        <v>2225</v>
      </c>
      <c r="B682" s="3">
        <v>500.0</v>
      </c>
      <c r="C682" s="4"/>
      <c r="D682" s="4" t="str">
        <f t="shared" si="1"/>
        <v>AVEC</v>
      </c>
    </row>
    <row r="683">
      <c r="A683" s="4" t="s">
        <v>2232</v>
      </c>
      <c r="B683" s="3">
        <v>500.0</v>
      </c>
      <c r="C683" s="3" t="s">
        <v>3</v>
      </c>
      <c r="D683" s="4" t="str">
        <f t="shared" si="1"/>
        <v>AVEC</v>
      </c>
    </row>
    <row r="684">
      <c r="A684" s="4" t="s">
        <v>1005</v>
      </c>
      <c r="B684" s="3">
        <v>500.0</v>
      </c>
      <c r="C684" s="4"/>
      <c r="D684" s="4" t="str">
        <f t="shared" si="1"/>
        <v>AVEC</v>
      </c>
    </row>
    <row r="685">
      <c r="A685" s="4" t="s">
        <v>1041</v>
      </c>
      <c r="B685" s="3">
        <v>500.0</v>
      </c>
      <c r="C685" s="4"/>
      <c r="D685" s="4" t="str">
        <f t="shared" si="1"/>
        <v>AVEC</v>
      </c>
    </row>
    <row r="686">
      <c r="A686" s="4" t="s">
        <v>1083</v>
      </c>
      <c r="B686" s="3">
        <v>500.0</v>
      </c>
      <c r="C686" s="3" t="s">
        <v>32</v>
      </c>
      <c r="D686" s="4" t="str">
        <f t="shared" si="1"/>
        <v>AVEC</v>
      </c>
    </row>
    <row r="687">
      <c r="A687" s="4" t="s">
        <v>1098</v>
      </c>
      <c r="B687" s="3">
        <v>500.0</v>
      </c>
      <c r="C687" s="4"/>
      <c r="D687" s="4" t="str">
        <f t="shared" si="1"/>
        <v>AVEC</v>
      </c>
    </row>
    <row r="688">
      <c r="A688" s="4" t="s">
        <v>1134</v>
      </c>
      <c r="B688" s="3">
        <v>500.0</v>
      </c>
      <c r="C688" s="4"/>
      <c r="D688" s="4" t="str">
        <f t="shared" si="1"/>
        <v>AVEC</v>
      </c>
    </row>
    <row r="689">
      <c r="A689" s="4" t="s">
        <v>1161</v>
      </c>
      <c r="B689" s="3">
        <v>500.0</v>
      </c>
      <c r="C689" s="4"/>
      <c r="D689" s="4" t="str">
        <f t="shared" si="1"/>
        <v>AVEC</v>
      </c>
    </row>
    <row r="690">
      <c r="A690" s="4" t="s">
        <v>2258</v>
      </c>
      <c r="B690" s="3">
        <v>500.0</v>
      </c>
      <c r="C690" s="4"/>
      <c r="D690" s="4" t="str">
        <f t="shared" si="1"/>
        <v>AVEC</v>
      </c>
    </row>
    <row r="691">
      <c r="A691" s="4" t="s">
        <v>1182</v>
      </c>
      <c r="B691" s="3">
        <v>500.0</v>
      </c>
      <c r="C691" s="4"/>
      <c r="D691" s="4" t="str">
        <f t="shared" si="1"/>
        <v>AVEC</v>
      </c>
    </row>
    <row r="692">
      <c r="A692" s="4" t="s">
        <v>1196</v>
      </c>
      <c r="B692" s="3">
        <v>500.0</v>
      </c>
      <c r="C692" s="4"/>
      <c r="D692" s="4" t="str">
        <f t="shared" si="1"/>
        <v>AVEC</v>
      </c>
    </row>
    <row r="693">
      <c r="A693" s="4" t="s">
        <v>1245</v>
      </c>
      <c r="B693" s="3">
        <v>500.0</v>
      </c>
      <c r="C693" s="4"/>
      <c r="D693" s="4" t="str">
        <f t="shared" si="1"/>
        <v>AVEC</v>
      </c>
    </row>
    <row r="694">
      <c r="A694" s="4" t="s">
        <v>1303</v>
      </c>
      <c r="B694" s="3">
        <v>500.0</v>
      </c>
      <c r="C694" s="3" t="s">
        <v>6</v>
      </c>
      <c r="D694" s="4" t="str">
        <f t="shared" si="1"/>
        <v>AVEC</v>
      </c>
    </row>
    <row r="695">
      <c r="A695" s="4" t="s">
        <v>1312</v>
      </c>
      <c r="B695" s="3">
        <v>500.0</v>
      </c>
      <c r="C695" s="3" t="s">
        <v>3</v>
      </c>
      <c r="D695" s="4" t="str">
        <f t="shared" si="1"/>
        <v>AVEC</v>
      </c>
    </row>
    <row r="696">
      <c r="A696" s="4" t="s">
        <v>1332</v>
      </c>
      <c r="B696" s="3">
        <v>500.0</v>
      </c>
      <c r="C696" s="4"/>
      <c r="D696" s="4" t="str">
        <f t="shared" si="1"/>
        <v>AVEC</v>
      </c>
    </row>
    <row r="697">
      <c r="A697" s="4" t="s">
        <v>1388</v>
      </c>
      <c r="B697" s="3">
        <v>500.0</v>
      </c>
      <c r="C697" s="3" t="s">
        <v>32</v>
      </c>
      <c r="D697" s="4" t="str">
        <f t="shared" si="1"/>
        <v>AVEC</v>
      </c>
    </row>
    <row r="698">
      <c r="A698" s="4" t="s">
        <v>1415</v>
      </c>
      <c r="B698" s="3">
        <v>500.0</v>
      </c>
      <c r="C698" s="4"/>
      <c r="D698" s="4" t="str">
        <f t="shared" si="1"/>
        <v>AVEC</v>
      </c>
    </row>
    <row r="699">
      <c r="A699" s="4" t="s">
        <v>1444</v>
      </c>
      <c r="B699" s="3">
        <v>500.0</v>
      </c>
      <c r="C699" s="4"/>
      <c r="D699" s="4" t="str">
        <f t="shared" si="1"/>
        <v>AVEC</v>
      </c>
    </row>
    <row r="700">
      <c r="A700" s="4" t="s">
        <v>1454</v>
      </c>
      <c r="B700" s="3">
        <v>500.0</v>
      </c>
      <c r="C700" s="3" t="s">
        <v>484</v>
      </c>
      <c r="D700" s="4" t="str">
        <f t="shared" si="1"/>
        <v>AVEC</v>
      </c>
    </row>
    <row r="701">
      <c r="A701" s="4" t="s">
        <v>2275</v>
      </c>
      <c r="B701" s="3">
        <v>500.0</v>
      </c>
      <c r="C701" s="4"/>
      <c r="D701" s="4" t="str">
        <f t="shared" si="1"/>
        <v>AVEC</v>
      </c>
    </row>
    <row r="702">
      <c r="A702" s="4" t="s">
        <v>1491</v>
      </c>
      <c r="B702" s="3">
        <v>500.0</v>
      </c>
      <c r="C702" s="4"/>
      <c r="D702" s="4" t="str">
        <f t="shared" si="1"/>
        <v>AVEC</v>
      </c>
    </row>
    <row r="703">
      <c r="A703" s="4" t="s">
        <v>1641</v>
      </c>
      <c r="B703" s="3">
        <v>500.0</v>
      </c>
      <c r="C703" s="4"/>
      <c r="D703" s="4" t="str">
        <f t="shared" si="1"/>
        <v>AVEC</v>
      </c>
    </row>
    <row r="704">
      <c r="A704" s="4" t="s">
        <v>1697</v>
      </c>
      <c r="B704" s="3">
        <v>500.0</v>
      </c>
      <c r="C704" s="3" t="s">
        <v>32</v>
      </c>
      <c r="D704" s="4" t="str">
        <f t="shared" si="1"/>
        <v>AVEC</v>
      </c>
    </row>
    <row r="705">
      <c r="A705" s="4" t="s">
        <v>1712</v>
      </c>
      <c r="B705" s="3">
        <v>500.0</v>
      </c>
      <c r="C705" s="4"/>
      <c r="D705" s="4" t="str">
        <f t="shared" si="1"/>
        <v>AVEC</v>
      </c>
    </row>
    <row r="706">
      <c r="A706" s="4" t="s">
        <v>2301</v>
      </c>
      <c r="B706" s="3">
        <v>500.0</v>
      </c>
      <c r="C706" s="4"/>
      <c r="D706" s="4" t="str">
        <f t="shared" si="1"/>
        <v>AVEC</v>
      </c>
    </row>
    <row r="707">
      <c r="A707" s="4" t="s">
        <v>1909</v>
      </c>
      <c r="B707" s="3">
        <v>500.0</v>
      </c>
      <c r="C707" s="4"/>
      <c r="D707" s="4" t="str">
        <f t="shared" si="1"/>
        <v>AVEC</v>
      </c>
    </row>
    <row r="708">
      <c r="A708" s="4" t="s">
        <v>1910</v>
      </c>
      <c r="B708" s="3">
        <v>500.0</v>
      </c>
      <c r="C708" s="4"/>
      <c r="D708" s="4" t="str">
        <f t="shared" si="1"/>
        <v>AVEC</v>
      </c>
    </row>
    <row r="709">
      <c r="A709" s="4" t="s">
        <v>2317</v>
      </c>
      <c r="B709" s="3">
        <v>500.0</v>
      </c>
      <c r="C709" s="4"/>
      <c r="D709" s="4" t="str">
        <f t="shared" si="1"/>
        <v>AVEC</v>
      </c>
    </row>
    <row r="710">
      <c r="A710" s="4" t="s">
        <v>1944</v>
      </c>
      <c r="B710" s="3">
        <v>500.0</v>
      </c>
      <c r="C710" s="4"/>
      <c r="D710" s="4" t="str">
        <f t="shared" si="1"/>
        <v>AVEC</v>
      </c>
    </row>
    <row r="711">
      <c r="A711" s="4" t="s">
        <v>1995</v>
      </c>
      <c r="B711" s="3">
        <v>500.0</v>
      </c>
      <c r="C711" s="3" t="s">
        <v>3</v>
      </c>
      <c r="D711" s="4" t="str">
        <f t="shared" si="1"/>
        <v>AVEC</v>
      </c>
    </row>
    <row r="712">
      <c r="A712" s="4" t="s">
        <v>1996</v>
      </c>
      <c r="B712" s="3">
        <v>500.0</v>
      </c>
      <c r="C712" s="3" t="s">
        <v>3</v>
      </c>
      <c r="D712" s="4" t="str">
        <f t="shared" si="1"/>
        <v>AVEC</v>
      </c>
    </row>
    <row r="713">
      <c r="A713" s="4" t="s">
        <v>1395</v>
      </c>
      <c r="B713" s="3">
        <v>420.0</v>
      </c>
      <c r="C713" s="4"/>
      <c r="D713" s="4" t="str">
        <f t="shared" si="1"/>
        <v>AVEC</v>
      </c>
    </row>
    <row r="714">
      <c r="A714" s="4" t="s">
        <v>381</v>
      </c>
      <c r="B714" s="3">
        <v>400.0</v>
      </c>
      <c r="C714" s="3" t="s">
        <v>6</v>
      </c>
      <c r="D714" s="4" t="str">
        <f t="shared" si="1"/>
        <v>AVEC</v>
      </c>
    </row>
    <row r="715">
      <c r="A715" s="4" t="s">
        <v>2168</v>
      </c>
      <c r="B715" s="3">
        <v>400.0</v>
      </c>
      <c r="C715" s="3" t="s">
        <v>3</v>
      </c>
      <c r="D715" s="4" t="str">
        <f t="shared" si="1"/>
        <v>AVEC</v>
      </c>
    </row>
    <row r="716">
      <c r="A716" s="4" t="s">
        <v>2180</v>
      </c>
      <c r="B716" s="3">
        <v>400.0</v>
      </c>
      <c r="C716" s="3" t="s">
        <v>3</v>
      </c>
      <c r="D716" s="4" t="str">
        <f t="shared" si="1"/>
        <v>AVEC</v>
      </c>
    </row>
    <row r="717">
      <c r="A717" s="4" t="s">
        <v>2195</v>
      </c>
      <c r="B717" s="3">
        <v>400.0</v>
      </c>
      <c r="C717" s="3" t="s">
        <v>3</v>
      </c>
      <c r="D717" s="4" t="str">
        <f t="shared" si="1"/>
        <v>AVEC</v>
      </c>
    </row>
    <row r="718">
      <c r="A718" s="4" t="s">
        <v>973</v>
      </c>
      <c r="B718" s="3">
        <v>400.0</v>
      </c>
      <c r="C718" s="4"/>
      <c r="D718" s="4" t="str">
        <f t="shared" si="1"/>
        <v>AVEC</v>
      </c>
    </row>
    <row r="719">
      <c r="A719" s="4" t="s">
        <v>1440</v>
      </c>
      <c r="B719" s="3">
        <v>400.0</v>
      </c>
      <c r="C719" s="4"/>
      <c r="D719" s="4" t="str">
        <f t="shared" si="1"/>
        <v>AVEC</v>
      </c>
    </row>
    <row r="720">
      <c r="A720" s="4" t="s">
        <v>1544</v>
      </c>
      <c r="B720" s="3">
        <v>400.0</v>
      </c>
      <c r="C720" s="4"/>
      <c r="D720" s="4" t="str">
        <f t="shared" si="1"/>
        <v>AVEC</v>
      </c>
    </row>
    <row r="721">
      <c r="A721" s="4" t="s">
        <v>1912</v>
      </c>
      <c r="B721" s="3">
        <v>400.0</v>
      </c>
      <c r="C721" s="4"/>
      <c r="D721" s="4" t="str">
        <f t="shared" si="1"/>
        <v>AVEC</v>
      </c>
    </row>
    <row r="722">
      <c r="A722" s="4" t="s">
        <v>2316</v>
      </c>
      <c r="B722" s="3">
        <v>400.0</v>
      </c>
      <c r="C722" s="4"/>
      <c r="D722" s="4" t="str">
        <f t="shared" si="1"/>
        <v>AVEC</v>
      </c>
    </row>
    <row r="723">
      <c r="A723" s="4" t="s">
        <v>2321</v>
      </c>
      <c r="B723" s="3">
        <v>400.0</v>
      </c>
      <c r="C723" s="3" t="s">
        <v>6</v>
      </c>
      <c r="D723" s="4" t="str">
        <f t="shared" si="1"/>
        <v>AVEC</v>
      </c>
    </row>
    <row r="724">
      <c r="A724" s="4" t="s">
        <v>44</v>
      </c>
      <c r="B724" s="3">
        <v>300.0</v>
      </c>
      <c r="C724" s="3" t="s">
        <v>3</v>
      </c>
      <c r="D724" s="4" t="str">
        <f t="shared" si="1"/>
        <v>AVEC</v>
      </c>
    </row>
    <row r="725">
      <c r="A725" s="4" t="s">
        <v>116</v>
      </c>
      <c r="B725" s="3">
        <v>300.0</v>
      </c>
      <c r="C725" s="4"/>
      <c r="D725" s="4" t="str">
        <f t="shared" si="1"/>
        <v>AVEC</v>
      </c>
    </row>
    <row r="726">
      <c r="A726" s="4" t="s">
        <v>2098</v>
      </c>
      <c r="B726" s="3">
        <v>300.0</v>
      </c>
      <c r="C726" s="3" t="s">
        <v>3</v>
      </c>
      <c r="D726" s="4" t="str">
        <f t="shared" si="1"/>
        <v>AVEC</v>
      </c>
    </row>
    <row r="727">
      <c r="A727" s="4" t="s">
        <v>465</v>
      </c>
      <c r="B727" s="3">
        <v>300.0</v>
      </c>
      <c r="C727" s="3" t="s">
        <v>3</v>
      </c>
      <c r="D727" s="4" t="str">
        <f t="shared" si="1"/>
        <v>AVEC</v>
      </c>
    </row>
    <row r="728">
      <c r="A728" s="4" t="s">
        <v>660</v>
      </c>
      <c r="B728" s="3">
        <v>300.0</v>
      </c>
      <c r="C728" s="4"/>
      <c r="D728" s="4" t="str">
        <f t="shared" si="1"/>
        <v>AVEC</v>
      </c>
    </row>
    <row r="729">
      <c r="A729" s="4" t="s">
        <v>1241</v>
      </c>
      <c r="B729" s="3">
        <v>300.0</v>
      </c>
      <c r="C729" s="4"/>
      <c r="D729" s="4" t="str">
        <f t="shared" si="1"/>
        <v>AVEC</v>
      </c>
    </row>
    <row r="730">
      <c r="A730" s="4" t="s">
        <v>1553</v>
      </c>
      <c r="B730" s="3">
        <v>300.0</v>
      </c>
      <c r="C730" s="4"/>
      <c r="D730" s="4" t="str">
        <f t="shared" si="1"/>
        <v>AVEC</v>
      </c>
    </row>
    <row r="731">
      <c r="A731" s="4" t="s">
        <v>1813</v>
      </c>
      <c r="B731" s="3">
        <v>300.0</v>
      </c>
      <c r="C731" s="4"/>
      <c r="D731" s="4" t="str">
        <f t="shared" si="1"/>
        <v>AVEC</v>
      </c>
    </row>
    <row r="732">
      <c r="A732" s="4" t="s">
        <v>1822</v>
      </c>
      <c r="B732" s="3">
        <v>300.0</v>
      </c>
      <c r="C732" s="4"/>
      <c r="D732" s="4" t="str">
        <f t="shared" si="1"/>
        <v>AVEC</v>
      </c>
    </row>
    <row r="733">
      <c r="A733" s="4" t="s">
        <v>2159</v>
      </c>
      <c r="B733" s="3">
        <v>250.0</v>
      </c>
      <c r="C733" s="3" t="s">
        <v>3</v>
      </c>
      <c r="D733" s="4" t="str">
        <f t="shared" si="1"/>
        <v>AVEC</v>
      </c>
    </row>
    <row r="734">
      <c r="A734" s="4" t="s">
        <v>2178</v>
      </c>
      <c r="B734" s="3">
        <v>250.0</v>
      </c>
      <c r="C734" s="4"/>
      <c r="D734" s="4" t="str">
        <f t="shared" si="1"/>
        <v>AVEC</v>
      </c>
    </row>
    <row r="735">
      <c r="A735" s="4" t="s">
        <v>2287</v>
      </c>
      <c r="B735" s="3">
        <v>200.0</v>
      </c>
      <c r="C735" s="3" t="s">
        <v>3</v>
      </c>
      <c r="D735" s="4" t="str">
        <f t="shared" si="1"/>
        <v>AVEC</v>
      </c>
    </row>
    <row r="736">
      <c r="A736" s="4" t="s">
        <v>1835</v>
      </c>
      <c r="B736" s="3">
        <v>200.0</v>
      </c>
      <c r="C736" s="3" t="s">
        <v>6</v>
      </c>
      <c r="D736" s="4" t="str">
        <f t="shared" si="1"/>
        <v>AVEC</v>
      </c>
    </row>
    <row r="737">
      <c r="A737" s="4" t="s">
        <v>764</v>
      </c>
      <c r="B737" s="3">
        <v>150.0</v>
      </c>
      <c r="C737" s="3" t="s">
        <v>3</v>
      </c>
      <c r="D737" s="4" t="str">
        <f t="shared" si="1"/>
        <v>AVEC</v>
      </c>
    </row>
    <row r="738">
      <c r="A738" s="4" t="s">
        <v>1725</v>
      </c>
      <c r="B738" s="3">
        <v>150.0</v>
      </c>
      <c r="C738" s="4"/>
      <c r="D738" s="4" t="str">
        <f t="shared" si="1"/>
        <v>AVEC</v>
      </c>
    </row>
    <row r="739">
      <c r="A739" s="4" t="s">
        <v>1434</v>
      </c>
      <c r="B739" s="3">
        <v>120.0</v>
      </c>
      <c r="C739" s="3" t="s">
        <v>32</v>
      </c>
      <c r="D739" s="4" t="str">
        <f t="shared" si="1"/>
        <v>AVEC</v>
      </c>
    </row>
    <row r="740">
      <c r="A740" s="4" t="s">
        <v>831</v>
      </c>
      <c r="B740" s="3">
        <v>100.0</v>
      </c>
      <c r="C740" s="3" t="s">
        <v>3</v>
      </c>
      <c r="D740" s="4" t="str">
        <f t="shared" si="1"/>
        <v>AVEC</v>
      </c>
    </row>
    <row r="741">
      <c r="A741" s="4" t="s">
        <v>2343</v>
      </c>
      <c r="B741" s="3">
        <v>82.0</v>
      </c>
      <c r="C741" s="4"/>
      <c r="D741" s="4" t="str">
        <f t="shared" si="1"/>
        <v>AVEC</v>
      </c>
    </row>
    <row r="742">
      <c r="A742" s="4" t="s">
        <v>2069</v>
      </c>
      <c r="B742" s="3">
        <v>0.0</v>
      </c>
      <c r="C742" s="3" t="s">
        <v>3</v>
      </c>
      <c r="D742" s="4" t="str">
        <f t="shared" si="1"/>
        <v>SANS</v>
      </c>
    </row>
    <row r="743">
      <c r="A743" s="4" t="s">
        <v>5</v>
      </c>
      <c r="B743" s="3">
        <v>0.0</v>
      </c>
      <c r="C743" s="3" t="s">
        <v>6</v>
      </c>
      <c r="D743" s="4" t="str">
        <f t="shared" si="1"/>
        <v>SANS</v>
      </c>
    </row>
    <row r="744">
      <c r="A744" s="4" t="s">
        <v>7</v>
      </c>
      <c r="B744" s="3">
        <v>0.0</v>
      </c>
      <c r="C744" s="3" t="s">
        <v>3</v>
      </c>
      <c r="D744" s="4" t="str">
        <f t="shared" si="1"/>
        <v>SANS</v>
      </c>
    </row>
    <row r="745">
      <c r="A745" s="4" t="s">
        <v>8</v>
      </c>
      <c r="B745" s="3">
        <v>0.0</v>
      </c>
      <c r="C745" s="3" t="s">
        <v>3</v>
      </c>
      <c r="D745" s="4" t="str">
        <f t="shared" si="1"/>
        <v>SANS</v>
      </c>
    </row>
    <row r="746">
      <c r="A746" s="4" t="s">
        <v>9</v>
      </c>
      <c r="B746" s="3">
        <v>0.0</v>
      </c>
      <c r="C746" s="3" t="s">
        <v>3</v>
      </c>
      <c r="D746" s="4" t="str">
        <f t="shared" si="1"/>
        <v>SANS</v>
      </c>
    </row>
    <row r="747">
      <c r="A747" s="4" t="s">
        <v>23</v>
      </c>
      <c r="B747" s="3">
        <v>0.0</v>
      </c>
      <c r="C747" s="3" t="s">
        <v>3</v>
      </c>
      <c r="D747" s="4" t="str">
        <f t="shared" si="1"/>
        <v>SANS</v>
      </c>
    </row>
    <row r="748">
      <c r="A748" s="4" t="s">
        <v>24</v>
      </c>
      <c r="B748" s="3">
        <v>0.0</v>
      </c>
      <c r="C748" s="3" t="s">
        <v>3</v>
      </c>
      <c r="D748" s="4" t="str">
        <f t="shared" si="1"/>
        <v>SANS</v>
      </c>
    </row>
    <row r="749">
      <c r="A749" s="4" t="s">
        <v>25</v>
      </c>
      <c r="B749" s="3">
        <v>0.0</v>
      </c>
      <c r="C749" s="3" t="s">
        <v>26</v>
      </c>
      <c r="D749" s="4" t="str">
        <f t="shared" si="1"/>
        <v>SANS</v>
      </c>
    </row>
    <row r="750">
      <c r="A750" s="4" t="s">
        <v>27</v>
      </c>
      <c r="B750" s="3">
        <v>0.0</v>
      </c>
      <c r="C750" s="3" t="s">
        <v>3</v>
      </c>
      <c r="D750" s="4" t="str">
        <f t="shared" si="1"/>
        <v>SANS</v>
      </c>
    </row>
    <row r="751">
      <c r="A751" s="4" t="s">
        <v>28</v>
      </c>
      <c r="B751" s="3">
        <v>0.0</v>
      </c>
      <c r="C751" s="3" t="s">
        <v>29</v>
      </c>
      <c r="D751" s="4" t="str">
        <f t="shared" si="1"/>
        <v>SANS</v>
      </c>
    </row>
    <row r="752">
      <c r="A752" s="4" t="s">
        <v>34</v>
      </c>
      <c r="B752" s="3">
        <v>0.0</v>
      </c>
      <c r="C752" s="3" t="s">
        <v>3</v>
      </c>
      <c r="D752" s="4" t="str">
        <f t="shared" si="1"/>
        <v>SANS</v>
      </c>
    </row>
    <row r="753">
      <c r="A753" s="4" t="s">
        <v>2072</v>
      </c>
      <c r="B753" s="3">
        <v>0.0</v>
      </c>
      <c r="C753" s="3" t="s">
        <v>3</v>
      </c>
      <c r="D753" s="4" t="str">
        <f t="shared" si="1"/>
        <v>SANS</v>
      </c>
    </row>
    <row r="754">
      <c r="A754" s="4" t="s">
        <v>2074</v>
      </c>
      <c r="B754" s="3">
        <v>0.0</v>
      </c>
      <c r="C754" s="3" t="s">
        <v>3</v>
      </c>
      <c r="D754" s="4" t="str">
        <f t="shared" si="1"/>
        <v>SANS</v>
      </c>
    </row>
    <row r="755">
      <c r="A755" s="4" t="s">
        <v>54</v>
      </c>
      <c r="B755" s="3">
        <v>0.0</v>
      </c>
      <c r="C755" s="3" t="s">
        <v>3</v>
      </c>
      <c r="D755" s="4" t="str">
        <f t="shared" si="1"/>
        <v>SANS</v>
      </c>
    </row>
    <row r="756">
      <c r="A756" s="4" t="s">
        <v>59</v>
      </c>
      <c r="B756" s="3">
        <v>0.0</v>
      </c>
      <c r="C756" s="3" t="s">
        <v>3</v>
      </c>
      <c r="D756" s="4" t="str">
        <f t="shared" si="1"/>
        <v>SANS</v>
      </c>
    </row>
    <row r="757">
      <c r="A757" s="4" t="s">
        <v>60</v>
      </c>
      <c r="B757" s="3">
        <v>0.0</v>
      </c>
      <c r="C757" s="3" t="s">
        <v>3</v>
      </c>
      <c r="D757" s="4" t="str">
        <f t="shared" si="1"/>
        <v>SANS</v>
      </c>
    </row>
    <row r="758">
      <c r="A758" s="4" t="s">
        <v>61</v>
      </c>
      <c r="B758" s="3">
        <v>0.0</v>
      </c>
      <c r="C758" s="3" t="s">
        <v>3</v>
      </c>
      <c r="D758" s="4" t="str">
        <f t="shared" si="1"/>
        <v>SANS</v>
      </c>
    </row>
    <row r="759">
      <c r="A759" s="4" t="s">
        <v>66</v>
      </c>
      <c r="B759" s="3">
        <v>0.0</v>
      </c>
      <c r="C759" s="3" t="s">
        <v>6</v>
      </c>
      <c r="D759" s="4" t="str">
        <f t="shared" si="1"/>
        <v>SANS</v>
      </c>
    </row>
    <row r="760">
      <c r="A760" s="4" t="s">
        <v>73</v>
      </c>
      <c r="B760" s="3">
        <v>0.0</v>
      </c>
      <c r="C760" s="3" t="s">
        <v>6</v>
      </c>
      <c r="D760" s="4" t="str">
        <f t="shared" si="1"/>
        <v>SANS</v>
      </c>
    </row>
    <row r="761">
      <c r="A761" s="4" t="s">
        <v>80</v>
      </c>
      <c r="B761" s="3">
        <v>0.0</v>
      </c>
      <c r="C761" s="3" t="s">
        <v>3</v>
      </c>
      <c r="D761" s="4" t="str">
        <f t="shared" si="1"/>
        <v>SANS</v>
      </c>
    </row>
    <row r="762">
      <c r="A762" s="4" t="s">
        <v>86</v>
      </c>
      <c r="B762" s="3">
        <v>0.0</v>
      </c>
      <c r="C762" s="3" t="s">
        <v>32</v>
      </c>
      <c r="D762" s="4" t="str">
        <f t="shared" si="1"/>
        <v>SANS</v>
      </c>
    </row>
    <row r="763">
      <c r="A763" s="4" t="s">
        <v>87</v>
      </c>
      <c r="B763" s="3">
        <v>0.0</v>
      </c>
      <c r="C763" s="3" t="s">
        <v>3</v>
      </c>
      <c r="D763" s="4" t="str">
        <f t="shared" si="1"/>
        <v>SANS</v>
      </c>
    </row>
    <row r="764">
      <c r="A764" s="4" t="s">
        <v>90</v>
      </c>
      <c r="B764" s="3">
        <v>0.0</v>
      </c>
      <c r="C764" s="3" t="s">
        <v>3</v>
      </c>
      <c r="D764" s="4" t="str">
        <f t="shared" si="1"/>
        <v>SANS</v>
      </c>
    </row>
    <row r="765">
      <c r="A765" s="4" t="s">
        <v>91</v>
      </c>
      <c r="B765" s="3">
        <v>0.0</v>
      </c>
      <c r="C765" s="3" t="s">
        <v>3</v>
      </c>
      <c r="D765" s="4" t="str">
        <f t="shared" si="1"/>
        <v>SANS</v>
      </c>
    </row>
    <row r="766">
      <c r="A766" s="4" t="s">
        <v>92</v>
      </c>
      <c r="B766" s="3">
        <v>0.0</v>
      </c>
      <c r="C766" s="3" t="s">
        <v>6</v>
      </c>
      <c r="D766" s="4" t="str">
        <f t="shared" si="1"/>
        <v>SANS</v>
      </c>
    </row>
    <row r="767">
      <c r="A767" s="4" t="s">
        <v>99</v>
      </c>
      <c r="B767" s="3">
        <v>0.0</v>
      </c>
      <c r="C767" s="3" t="s">
        <v>3</v>
      </c>
      <c r="D767" s="4" t="str">
        <f t="shared" si="1"/>
        <v>SANS</v>
      </c>
    </row>
    <row r="768">
      <c r="A768" s="4" t="s">
        <v>100</v>
      </c>
      <c r="B768" s="3">
        <v>0.0</v>
      </c>
      <c r="C768" s="3" t="s">
        <v>3</v>
      </c>
      <c r="D768" s="4" t="str">
        <f t="shared" si="1"/>
        <v>SANS</v>
      </c>
    </row>
    <row r="769">
      <c r="A769" s="4" t="s">
        <v>101</v>
      </c>
      <c r="B769" s="3">
        <v>0.0</v>
      </c>
      <c r="C769" s="3" t="s">
        <v>3</v>
      </c>
      <c r="D769" s="4" t="str">
        <f t="shared" si="1"/>
        <v>SANS</v>
      </c>
    </row>
    <row r="770">
      <c r="A770" s="4" t="s">
        <v>102</v>
      </c>
      <c r="B770" s="3">
        <v>0.0</v>
      </c>
      <c r="C770" s="3" t="s">
        <v>3</v>
      </c>
      <c r="D770" s="4" t="str">
        <f t="shared" si="1"/>
        <v>SANS</v>
      </c>
    </row>
    <row r="771">
      <c r="A771" s="4" t="s">
        <v>104</v>
      </c>
      <c r="B771" s="3">
        <v>0.0</v>
      </c>
      <c r="C771" s="3" t="s">
        <v>3</v>
      </c>
      <c r="D771" s="4" t="str">
        <f t="shared" si="1"/>
        <v>SANS</v>
      </c>
    </row>
    <row r="772">
      <c r="A772" s="4" t="s">
        <v>105</v>
      </c>
      <c r="B772" s="3">
        <v>0.0</v>
      </c>
      <c r="C772" s="3" t="s">
        <v>3</v>
      </c>
      <c r="D772" s="4" t="str">
        <f t="shared" si="1"/>
        <v>SANS</v>
      </c>
    </row>
    <row r="773">
      <c r="A773" s="4" t="s">
        <v>2082</v>
      </c>
      <c r="B773" s="3">
        <v>0.0</v>
      </c>
      <c r="C773" s="3" t="s">
        <v>3</v>
      </c>
      <c r="D773" s="4" t="str">
        <f t="shared" si="1"/>
        <v>SANS</v>
      </c>
    </row>
    <row r="774">
      <c r="A774" s="4" t="s">
        <v>110</v>
      </c>
      <c r="B774" s="3">
        <v>0.0</v>
      </c>
      <c r="C774" s="3" t="s">
        <v>3</v>
      </c>
      <c r="D774" s="4" t="str">
        <f t="shared" si="1"/>
        <v>SANS</v>
      </c>
    </row>
    <row r="775">
      <c r="A775" s="4" t="s">
        <v>2084</v>
      </c>
      <c r="B775" s="3">
        <v>0.0</v>
      </c>
      <c r="C775" s="3" t="s">
        <v>3</v>
      </c>
      <c r="D775" s="4" t="str">
        <f t="shared" si="1"/>
        <v>SANS</v>
      </c>
    </row>
    <row r="776">
      <c r="A776" s="4" t="s">
        <v>121</v>
      </c>
      <c r="B776" s="3">
        <v>0.0</v>
      </c>
      <c r="C776" s="3" t="s">
        <v>3</v>
      </c>
      <c r="D776" s="4" t="str">
        <f t="shared" si="1"/>
        <v>SANS</v>
      </c>
    </row>
    <row r="777">
      <c r="A777" s="4" t="s">
        <v>2087</v>
      </c>
      <c r="B777" s="3">
        <v>0.0</v>
      </c>
      <c r="C777" s="3" t="s">
        <v>29</v>
      </c>
      <c r="D777" s="4" t="str">
        <f t="shared" si="1"/>
        <v>SANS</v>
      </c>
    </row>
    <row r="778">
      <c r="A778" s="4" t="s">
        <v>131</v>
      </c>
      <c r="B778" s="3">
        <v>0.0</v>
      </c>
      <c r="C778" s="3" t="s">
        <v>3</v>
      </c>
      <c r="D778" s="4" t="str">
        <f t="shared" si="1"/>
        <v>SANS</v>
      </c>
    </row>
    <row r="779">
      <c r="A779" s="4" t="s">
        <v>132</v>
      </c>
      <c r="B779" s="3">
        <v>0.0</v>
      </c>
      <c r="C779" s="3" t="s">
        <v>3</v>
      </c>
      <c r="D779" s="4" t="str">
        <f t="shared" si="1"/>
        <v>SANS</v>
      </c>
    </row>
    <row r="780">
      <c r="A780" s="4" t="s">
        <v>140</v>
      </c>
      <c r="B780" s="3">
        <v>0.0</v>
      </c>
      <c r="C780" s="3" t="s">
        <v>6</v>
      </c>
      <c r="D780" s="4" t="str">
        <f t="shared" si="1"/>
        <v>SANS</v>
      </c>
    </row>
    <row r="781">
      <c r="A781" s="4" t="s">
        <v>141</v>
      </c>
      <c r="B781" s="3">
        <v>0.0</v>
      </c>
      <c r="C781" s="3" t="s">
        <v>3</v>
      </c>
      <c r="D781" s="4" t="str">
        <f t="shared" si="1"/>
        <v>SANS</v>
      </c>
    </row>
    <row r="782">
      <c r="A782" s="4" t="s">
        <v>142</v>
      </c>
      <c r="B782" s="3">
        <v>0.0</v>
      </c>
      <c r="C782" s="3" t="s">
        <v>3</v>
      </c>
      <c r="D782" s="4" t="str">
        <f t="shared" si="1"/>
        <v>SANS</v>
      </c>
    </row>
    <row r="783">
      <c r="A783" s="4" t="s">
        <v>143</v>
      </c>
      <c r="B783" s="3">
        <v>0.0</v>
      </c>
      <c r="C783" s="3" t="s">
        <v>32</v>
      </c>
      <c r="D783" s="4" t="str">
        <f t="shared" si="1"/>
        <v>SANS</v>
      </c>
    </row>
    <row r="784">
      <c r="A784" s="4" t="s">
        <v>144</v>
      </c>
      <c r="B784" s="3">
        <v>0.0</v>
      </c>
      <c r="C784" s="3" t="s">
        <v>3</v>
      </c>
      <c r="D784" s="4" t="str">
        <f t="shared" si="1"/>
        <v>SANS</v>
      </c>
    </row>
    <row r="785">
      <c r="A785" s="4" t="s">
        <v>147</v>
      </c>
      <c r="B785" s="3">
        <v>0.0</v>
      </c>
      <c r="C785" s="3" t="s">
        <v>3</v>
      </c>
      <c r="D785" s="4" t="str">
        <f t="shared" si="1"/>
        <v>SANS</v>
      </c>
    </row>
    <row r="786">
      <c r="A786" s="4" t="s">
        <v>148</v>
      </c>
      <c r="B786" s="3">
        <v>0.0</v>
      </c>
      <c r="C786" s="3" t="s">
        <v>6</v>
      </c>
      <c r="D786" s="4" t="str">
        <f t="shared" si="1"/>
        <v>SANS</v>
      </c>
    </row>
    <row r="787">
      <c r="A787" s="4" t="s">
        <v>153</v>
      </c>
      <c r="B787" s="3">
        <v>0.0</v>
      </c>
      <c r="C787" s="3" t="s">
        <v>29</v>
      </c>
      <c r="D787" s="4" t="str">
        <f t="shared" si="1"/>
        <v>SANS</v>
      </c>
    </row>
    <row r="788">
      <c r="A788" s="4" t="s">
        <v>154</v>
      </c>
      <c r="B788" s="3">
        <v>0.0</v>
      </c>
      <c r="C788" s="3" t="s">
        <v>32</v>
      </c>
      <c r="D788" s="4" t="str">
        <f t="shared" si="1"/>
        <v>SANS</v>
      </c>
    </row>
    <row r="789">
      <c r="A789" s="4" t="s">
        <v>155</v>
      </c>
      <c r="B789" s="3">
        <v>0.0</v>
      </c>
      <c r="C789" s="3" t="s">
        <v>3</v>
      </c>
      <c r="D789" s="4" t="str">
        <f t="shared" si="1"/>
        <v>SANS</v>
      </c>
    </row>
    <row r="790">
      <c r="A790" s="4" t="s">
        <v>156</v>
      </c>
      <c r="B790" s="3">
        <v>0.0</v>
      </c>
      <c r="C790" s="3" t="s">
        <v>6</v>
      </c>
      <c r="D790" s="4" t="str">
        <f t="shared" si="1"/>
        <v>SANS</v>
      </c>
    </row>
    <row r="791">
      <c r="A791" s="4" t="s">
        <v>160</v>
      </c>
      <c r="B791" s="3">
        <v>0.0</v>
      </c>
      <c r="C791" s="3" t="s">
        <v>26</v>
      </c>
      <c r="D791" s="4" t="str">
        <f t="shared" si="1"/>
        <v>SANS</v>
      </c>
    </row>
    <row r="792">
      <c r="A792" s="4" t="s">
        <v>169</v>
      </c>
      <c r="B792" s="3">
        <v>0.0</v>
      </c>
      <c r="C792" s="3" t="s">
        <v>29</v>
      </c>
      <c r="D792" s="4" t="str">
        <f t="shared" si="1"/>
        <v>SANS</v>
      </c>
    </row>
    <row r="793">
      <c r="A793" s="4" t="s">
        <v>170</v>
      </c>
      <c r="B793" s="3">
        <v>0.0</v>
      </c>
      <c r="C793" s="3" t="s">
        <v>3</v>
      </c>
      <c r="D793" s="4" t="str">
        <f t="shared" si="1"/>
        <v>SANS</v>
      </c>
    </row>
    <row r="794">
      <c r="A794" s="4" t="s">
        <v>177</v>
      </c>
      <c r="B794" s="3">
        <v>0.0</v>
      </c>
      <c r="C794" s="3" t="s">
        <v>3</v>
      </c>
      <c r="D794" s="4" t="str">
        <f t="shared" si="1"/>
        <v>SANS</v>
      </c>
    </row>
    <row r="795">
      <c r="A795" s="4" t="s">
        <v>178</v>
      </c>
      <c r="B795" s="3">
        <v>0.0</v>
      </c>
      <c r="C795" s="3" t="s">
        <v>6</v>
      </c>
      <c r="D795" s="4" t="str">
        <f t="shared" si="1"/>
        <v>SANS</v>
      </c>
    </row>
    <row r="796">
      <c r="A796" s="4" t="s">
        <v>179</v>
      </c>
      <c r="B796" s="3">
        <v>0.0</v>
      </c>
      <c r="C796" s="3" t="s">
        <v>3</v>
      </c>
      <c r="D796" s="4" t="str">
        <f t="shared" si="1"/>
        <v>SANS</v>
      </c>
    </row>
    <row r="797">
      <c r="A797" s="4" t="s">
        <v>182</v>
      </c>
      <c r="B797" s="3">
        <v>0.0</v>
      </c>
      <c r="C797" s="3" t="s">
        <v>3</v>
      </c>
      <c r="D797" s="4" t="str">
        <f t="shared" si="1"/>
        <v>SANS</v>
      </c>
    </row>
    <row r="798">
      <c r="A798" s="4" t="s">
        <v>183</v>
      </c>
      <c r="B798" s="3">
        <v>0.0</v>
      </c>
      <c r="C798" s="3" t="s">
        <v>3</v>
      </c>
      <c r="D798" s="4" t="str">
        <f t="shared" si="1"/>
        <v>SANS</v>
      </c>
    </row>
    <row r="799">
      <c r="A799" s="4" t="s">
        <v>184</v>
      </c>
      <c r="B799" s="3">
        <v>0.0</v>
      </c>
      <c r="C799" s="3" t="s">
        <v>3</v>
      </c>
      <c r="D799" s="4" t="str">
        <f t="shared" si="1"/>
        <v>SANS</v>
      </c>
    </row>
    <row r="800">
      <c r="A800" s="4" t="s">
        <v>185</v>
      </c>
      <c r="B800" s="3">
        <v>0.0</v>
      </c>
      <c r="C800" s="3" t="s">
        <v>6</v>
      </c>
      <c r="D800" s="4" t="str">
        <f t="shared" si="1"/>
        <v>SANS</v>
      </c>
    </row>
    <row r="801">
      <c r="A801" s="4" t="s">
        <v>186</v>
      </c>
      <c r="B801" s="3">
        <v>0.0</v>
      </c>
      <c r="C801" s="3" t="s">
        <v>6</v>
      </c>
      <c r="D801" s="4" t="str">
        <f t="shared" si="1"/>
        <v>SANS</v>
      </c>
    </row>
    <row r="802">
      <c r="A802" s="4" t="s">
        <v>187</v>
      </c>
      <c r="B802" s="3">
        <v>0.0</v>
      </c>
      <c r="C802" s="3" t="s">
        <v>3</v>
      </c>
      <c r="D802" s="4" t="str">
        <f t="shared" si="1"/>
        <v>SANS</v>
      </c>
    </row>
    <row r="803">
      <c r="A803" s="4" t="s">
        <v>188</v>
      </c>
      <c r="B803" s="3">
        <v>0.0</v>
      </c>
      <c r="C803" s="3" t="s">
        <v>32</v>
      </c>
      <c r="D803" s="4" t="str">
        <f t="shared" si="1"/>
        <v>SANS</v>
      </c>
    </row>
    <row r="804">
      <c r="A804" s="4" t="s">
        <v>2090</v>
      </c>
      <c r="B804" s="3">
        <v>0.0</v>
      </c>
      <c r="C804" s="3" t="s">
        <v>3</v>
      </c>
      <c r="D804" s="4" t="str">
        <f t="shared" si="1"/>
        <v>SANS</v>
      </c>
    </row>
    <row r="805">
      <c r="A805" s="4" t="s">
        <v>191</v>
      </c>
      <c r="B805" s="3">
        <v>0.0</v>
      </c>
      <c r="C805" s="3" t="s">
        <v>3</v>
      </c>
      <c r="D805" s="4" t="str">
        <f t="shared" si="1"/>
        <v>SANS</v>
      </c>
    </row>
    <row r="806">
      <c r="A806" s="4" t="s">
        <v>192</v>
      </c>
      <c r="B806" s="3">
        <v>0.0</v>
      </c>
      <c r="C806" s="3" t="s">
        <v>26</v>
      </c>
      <c r="D806" s="4" t="str">
        <f t="shared" si="1"/>
        <v>SANS</v>
      </c>
    </row>
    <row r="807">
      <c r="A807" s="4" t="s">
        <v>194</v>
      </c>
      <c r="B807" s="3">
        <v>0.0</v>
      </c>
      <c r="C807" s="3" t="s">
        <v>29</v>
      </c>
      <c r="D807" s="4" t="str">
        <f t="shared" si="1"/>
        <v>SANS</v>
      </c>
    </row>
    <row r="808">
      <c r="A808" s="4" t="s">
        <v>2091</v>
      </c>
      <c r="B808" s="3">
        <v>0.0</v>
      </c>
      <c r="C808" s="3" t="s">
        <v>3</v>
      </c>
      <c r="D808" s="4" t="str">
        <f t="shared" si="1"/>
        <v>SANS</v>
      </c>
    </row>
    <row r="809">
      <c r="A809" s="4" t="s">
        <v>197</v>
      </c>
      <c r="B809" s="3">
        <v>0.0</v>
      </c>
      <c r="C809" s="3" t="s">
        <v>29</v>
      </c>
      <c r="D809" s="4" t="str">
        <f t="shared" si="1"/>
        <v>SANS</v>
      </c>
    </row>
    <row r="810">
      <c r="A810" s="4" t="s">
        <v>198</v>
      </c>
      <c r="B810" s="3">
        <v>0.0</v>
      </c>
      <c r="C810" s="3" t="s">
        <v>3</v>
      </c>
      <c r="D810" s="4" t="str">
        <f t="shared" si="1"/>
        <v>SANS</v>
      </c>
    </row>
    <row r="811">
      <c r="A811" s="4" t="s">
        <v>201</v>
      </c>
      <c r="B811" s="3">
        <v>0.0</v>
      </c>
      <c r="C811" s="3" t="s">
        <v>32</v>
      </c>
      <c r="D811" s="4" t="str">
        <f t="shared" si="1"/>
        <v>SANS</v>
      </c>
    </row>
    <row r="812">
      <c r="A812" s="4" t="s">
        <v>202</v>
      </c>
      <c r="B812" s="3">
        <v>0.0</v>
      </c>
      <c r="C812" s="3" t="s">
        <v>3</v>
      </c>
      <c r="D812" s="4" t="str">
        <f t="shared" si="1"/>
        <v>SANS</v>
      </c>
    </row>
    <row r="813">
      <c r="A813" s="4" t="s">
        <v>205</v>
      </c>
      <c r="B813" s="3">
        <v>0.0</v>
      </c>
      <c r="C813" s="3" t="s">
        <v>3</v>
      </c>
      <c r="D813" s="4" t="str">
        <f t="shared" si="1"/>
        <v>SANS</v>
      </c>
    </row>
    <row r="814">
      <c r="A814" s="4" t="s">
        <v>206</v>
      </c>
      <c r="B814" s="3">
        <v>0.0</v>
      </c>
      <c r="C814" s="3" t="s">
        <v>3</v>
      </c>
      <c r="D814" s="4" t="str">
        <f t="shared" si="1"/>
        <v>SANS</v>
      </c>
    </row>
    <row r="815">
      <c r="A815" s="4" t="s">
        <v>207</v>
      </c>
      <c r="B815" s="3">
        <v>0.0</v>
      </c>
      <c r="C815" s="3" t="s">
        <v>3</v>
      </c>
      <c r="D815" s="4" t="str">
        <f t="shared" si="1"/>
        <v>SANS</v>
      </c>
    </row>
    <row r="816">
      <c r="A816" s="4" t="s">
        <v>2092</v>
      </c>
      <c r="B816" s="3">
        <v>0.0</v>
      </c>
      <c r="C816" s="3" t="s">
        <v>3</v>
      </c>
      <c r="D816" s="4" t="str">
        <f t="shared" si="1"/>
        <v>SANS</v>
      </c>
    </row>
    <row r="817">
      <c r="A817" s="4" t="s">
        <v>210</v>
      </c>
      <c r="B817" s="3">
        <v>0.0</v>
      </c>
      <c r="C817" s="3" t="s">
        <v>3</v>
      </c>
      <c r="D817" s="4" t="str">
        <f t="shared" si="1"/>
        <v>SANS</v>
      </c>
    </row>
    <row r="818">
      <c r="A818" s="4" t="s">
        <v>211</v>
      </c>
      <c r="B818" s="3">
        <v>0.0</v>
      </c>
      <c r="C818" s="3" t="s">
        <v>6</v>
      </c>
      <c r="D818" s="4" t="str">
        <f t="shared" si="1"/>
        <v>SANS</v>
      </c>
    </row>
    <row r="819">
      <c r="A819" s="4" t="s">
        <v>212</v>
      </c>
      <c r="B819" s="3">
        <v>0.0</v>
      </c>
      <c r="C819" s="3" t="s">
        <v>29</v>
      </c>
      <c r="D819" s="4" t="str">
        <f t="shared" si="1"/>
        <v>SANS</v>
      </c>
    </row>
    <row r="820">
      <c r="A820" s="4" t="s">
        <v>215</v>
      </c>
      <c r="B820" s="3">
        <v>0.0</v>
      </c>
      <c r="C820" s="3" t="s">
        <v>216</v>
      </c>
      <c r="D820" s="4" t="str">
        <f t="shared" si="1"/>
        <v>SANS</v>
      </c>
    </row>
    <row r="821">
      <c r="A821" s="4" t="s">
        <v>220</v>
      </c>
      <c r="B821" s="3">
        <v>0.0</v>
      </c>
      <c r="C821" s="3" t="s">
        <v>6</v>
      </c>
      <c r="D821" s="4" t="str">
        <f t="shared" si="1"/>
        <v>SANS</v>
      </c>
    </row>
    <row r="822">
      <c r="A822" s="4" t="s">
        <v>2094</v>
      </c>
      <c r="B822" s="3">
        <v>0.0</v>
      </c>
      <c r="C822" s="3" t="s">
        <v>29</v>
      </c>
      <c r="D822" s="4" t="str">
        <f t="shared" si="1"/>
        <v>SANS</v>
      </c>
    </row>
    <row r="823">
      <c r="A823" s="4" t="s">
        <v>225</v>
      </c>
      <c r="B823" s="3">
        <v>0.0</v>
      </c>
      <c r="C823" s="3" t="s">
        <v>3</v>
      </c>
      <c r="D823" s="4" t="str">
        <f t="shared" si="1"/>
        <v>SANS</v>
      </c>
    </row>
    <row r="824">
      <c r="A824" s="4" t="s">
        <v>227</v>
      </c>
      <c r="B824" s="3">
        <v>0.0</v>
      </c>
      <c r="C824" s="3" t="s">
        <v>3</v>
      </c>
      <c r="D824" s="4" t="str">
        <f t="shared" si="1"/>
        <v>SANS</v>
      </c>
    </row>
    <row r="825">
      <c r="A825" s="4" t="s">
        <v>2095</v>
      </c>
      <c r="B825" s="3">
        <v>0.0</v>
      </c>
      <c r="C825" s="3" t="s">
        <v>32</v>
      </c>
      <c r="D825" s="4" t="str">
        <f t="shared" si="1"/>
        <v>SANS</v>
      </c>
    </row>
    <row r="826">
      <c r="A826" s="4" t="s">
        <v>2096</v>
      </c>
      <c r="B826" s="3">
        <v>0.0</v>
      </c>
      <c r="C826" s="3" t="s">
        <v>3</v>
      </c>
      <c r="D826" s="4" t="str">
        <f t="shared" si="1"/>
        <v>SANS</v>
      </c>
    </row>
    <row r="827">
      <c r="A827" s="4" t="s">
        <v>232</v>
      </c>
      <c r="B827" s="3">
        <v>0.0</v>
      </c>
      <c r="C827" s="3" t="s">
        <v>6</v>
      </c>
      <c r="D827" s="4" t="str">
        <f t="shared" si="1"/>
        <v>SANS</v>
      </c>
    </row>
    <row r="828">
      <c r="A828" s="4" t="s">
        <v>233</v>
      </c>
      <c r="B828" s="3">
        <v>0.0</v>
      </c>
      <c r="C828" s="3" t="s">
        <v>6</v>
      </c>
      <c r="D828" s="4" t="str">
        <f t="shared" si="1"/>
        <v>SANS</v>
      </c>
    </row>
    <row r="829">
      <c r="A829" s="4" t="s">
        <v>234</v>
      </c>
      <c r="B829" s="3">
        <v>0.0</v>
      </c>
      <c r="C829" s="3" t="s">
        <v>3</v>
      </c>
      <c r="D829" s="4" t="str">
        <f t="shared" si="1"/>
        <v>SANS</v>
      </c>
    </row>
    <row r="830">
      <c r="A830" s="4" t="s">
        <v>2097</v>
      </c>
      <c r="B830" s="3">
        <v>0.0</v>
      </c>
      <c r="C830" s="3" t="s">
        <v>3</v>
      </c>
      <c r="D830" s="4" t="str">
        <f t="shared" si="1"/>
        <v>SANS</v>
      </c>
    </row>
    <row r="831">
      <c r="A831" s="4" t="s">
        <v>237</v>
      </c>
      <c r="B831" s="3">
        <v>0.0</v>
      </c>
      <c r="C831" s="3" t="s">
        <v>3</v>
      </c>
      <c r="D831" s="4" t="str">
        <f t="shared" si="1"/>
        <v>SANS</v>
      </c>
    </row>
    <row r="832">
      <c r="A832" s="4" t="s">
        <v>239</v>
      </c>
      <c r="B832" s="3">
        <v>0.0</v>
      </c>
      <c r="C832" s="3" t="s">
        <v>3</v>
      </c>
      <c r="D832" s="4" t="str">
        <f t="shared" si="1"/>
        <v>SANS</v>
      </c>
    </row>
    <row r="833">
      <c r="A833" s="4" t="s">
        <v>240</v>
      </c>
      <c r="B833" s="3">
        <v>0.0</v>
      </c>
      <c r="C833" s="3" t="s">
        <v>3</v>
      </c>
      <c r="D833" s="4" t="str">
        <f t="shared" si="1"/>
        <v>SANS</v>
      </c>
    </row>
    <row r="834">
      <c r="A834" s="4" t="s">
        <v>241</v>
      </c>
      <c r="B834" s="3">
        <v>0.0</v>
      </c>
      <c r="C834" s="3" t="s">
        <v>6</v>
      </c>
      <c r="D834" s="4" t="str">
        <f t="shared" si="1"/>
        <v>SANS</v>
      </c>
    </row>
    <row r="835">
      <c r="A835" s="4" t="s">
        <v>2100</v>
      </c>
      <c r="B835" s="3">
        <v>0.0</v>
      </c>
      <c r="C835" s="3" t="s">
        <v>3</v>
      </c>
      <c r="D835" s="4" t="str">
        <f t="shared" si="1"/>
        <v>SANS</v>
      </c>
    </row>
    <row r="836">
      <c r="A836" s="4" t="s">
        <v>249</v>
      </c>
      <c r="B836" s="3">
        <v>0.0</v>
      </c>
      <c r="C836" s="3" t="s">
        <v>3</v>
      </c>
      <c r="D836" s="4" t="str">
        <f t="shared" si="1"/>
        <v>SANS</v>
      </c>
    </row>
    <row r="837">
      <c r="A837" s="4" t="s">
        <v>2101</v>
      </c>
      <c r="B837" s="3">
        <v>0.0</v>
      </c>
      <c r="C837" s="3" t="s">
        <v>32</v>
      </c>
      <c r="D837" s="4" t="str">
        <f t="shared" si="1"/>
        <v>SANS</v>
      </c>
    </row>
    <row r="838">
      <c r="A838" s="4" t="s">
        <v>257</v>
      </c>
      <c r="B838" s="3">
        <v>0.0</v>
      </c>
      <c r="C838" s="3" t="s">
        <v>3</v>
      </c>
      <c r="D838" s="4" t="str">
        <f t="shared" si="1"/>
        <v>SANS</v>
      </c>
    </row>
    <row r="839">
      <c r="A839" s="4" t="s">
        <v>258</v>
      </c>
      <c r="B839" s="3">
        <v>0.0</v>
      </c>
      <c r="C839" s="3" t="s">
        <v>3</v>
      </c>
      <c r="D839" s="4" t="str">
        <f t="shared" si="1"/>
        <v>SANS</v>
      </c>
    </row>
    <row r="840">
      <c r="A840" s="4" t="s">
        <v>259</v>
      </c>
      <c r="B840" s="3">
        <v>0.0</v>
      </c>
      <c r="C840" s="3" t="s">
        <v>3</v>
      </c>
      <c r="D840" s="4" t="str">
        <f t="shared" si="1"/>
        <v>SANS</v>
      </c>
    </row>
    <row r="841">
      <c r="A841" s="4" t="s">
        <v>262</v>
      </c>
      <c r="B841" s="3">
        <v>0.0</v>
      </c>
      <c r="C841" s="3" t="s">
        <v>3</v>
      </c>
      <c r="D841" s="4" t="str">
        <f t="shared" si="1"/>
        <v>SANS</v>
      </c>
    </row>
    <row r="842">
      <c r="A842" s="4" t="s">
        <v>2104</v>
      </c>
      <c r="B842" s="3">
        <v>0.0</v>
      </c>
      <c r="C842" s="3" t="s">
        <v>3</v>
      </c>
      <c r="D842" s="4" t="str">
        <f t="shared" si="1"/>
        <v>SANS</v>
      </c>
    </row>
    <row r="843">
      <c r="A843" s="4" t="s">
        <v>2105</v>
      </c>
      <c r="B843" s="3">
        <v>0.0</v>
      </c>
      <c r="C843" s="3" t="s">
        <v>3</v>
      </c>
      <c r="D843" s="4" t="str">
        <f t="shared" si="1"/>
        <v>SANS</v>
      </c>
    </row>
    <row r="844">
      <c r="A844" s="4" t="s">
        <v>2106</v>
      </c>
      <c r="B844" s="3">
        <v>0.0</v>
      </c>
      <c r="C844" s="3" t="s">
        <v>3</v>
      </c>
      <c r="D844" s="4" t="str">
        <f t="shared" si="1"/>
        <v>SANS</v>
      </c>
    </row>
    <row r="845">
      <c r="A845" s="4" t="s">
        <v>2107</v>
      </c>
      <c r="B845" s="3">
        <v>0.0</v>
      </c>
      <c r="C845" s="3" t="s">
        <v>3</v>
      </c>
      <c r="D845" s="4" t="str">
        <f t="shared" si="1"/>
        <v>SANS</v>
      </c>
    </row>
    <row r="846">
      <c r="A846" s="4" t="s">
        <v>2108</v>
      </c>
      <c r="B846" s="3">
        <v>0.0</v>
      </c>
      <c r="C846" s="3" t="s">
        <v>3</v>
      </c>
      <c r="D846" s="4" t="str">
        <f t="shared" si="1"/>
        <v>SANS</v>
      </c>
    </row>
    <row r="847">
      <c r="A847" s="4" t="s">
        <v>273</v>
      </c>
      <c r="B847" s="3">
        <v>0.0</v>
      </c>
      <c r="C847" s="3" t="s">
        <v>3</v>
      </c>
      <c r="D847" s="4" t="str">
        <f t="shared" si="1"/>
        <v>SANS</v>
      </c>
    </row>
    <row r="848">
      <c r="A848" s="4" t="s">
        <v>276</v>
      </c>
      <c r="B848" s="3">
        <v>0.0</v>
      </c>
      <c r="C848" s="3" t="s">
        <v>3</v>
      </c>
      <c r="D848" s="4" t="str">
        <f t="shared" si="1"/>
        <v>SANS</v>
      </c>
    </row>
    <row r="849">
      <c r="A849" s="4" t="s">
        <v>277</v>
      </c>
      <c r="B849" s="3">
        <v>0.0</v>
      </c>
      <c r="C849" s="3" t="s">
        <v>3</v>
      </c>
      <c r="D849" s="4" t="str">
        <f t="shared" si="1"/>
        <v>SANS</v>
      </c>
    </row>
    <row r="850">
      <c r="A850" s="4" t="s">
        <v>2111</v>
      </c>
      <c r="B850" s="3">
        <v>0.0</v>
      </c>
      <c r="C850" s="3" t="s">
        <v>6</v>
      </c>
      <c r="D850" s="4" t="str">
        <f t="shared" si="1"/>
        <v>SANS</v>
      </c>
    </row>
    <row r="851">
      <c r="A851" s="4" t="s">
        <v>286</v>
      </c>
      <c r="B851" s="3">
        <v>0.0</v>
      </c>
      <c r="C851" s="3" t="s">
        <v>3</v>
      </c>
      <c r="D851" s="4" t="str">
        <f t="shared" si="1"/>
        <v>SANS</v>
      </c>
    </row>
    <row r="852">
      <c r="A852" s="4" t="s">
        <v>2112</v>
      </c>
      <c r="B852" s="3">
        <v>0.0</v>
      </c>
      <c r="C852" s="3" t="s">
        <v>3</v>
      </c>
      <c r="D852" s="4" t="str">
        <f t="shared" si="1"/>
        <v>SANS</v>
      </c>
    </row>
    <row r="853">
      <c r="A853" s="4" t="s">
        <v>2113</v>
      </c>
      <c r="B853" s="3">
        <v>0.0</v>
      </c>
      <c r="C853" s="3" t="s">
        <v>3</v>
      </c>
      <c r="D853" s="4" t="str">
        <f t="shared" si="1"/>
        <v>SANS</v>
      </c>
    </row>
    <row r="854">
      <c r="A854" s="4" t="s">
        <v>2114</v>
      </c>
      <c r="B854" s="3">
        <v>0.0</v>
      </c>
      <c r="C854" s="3" t="s">
        <v>3</v>
      </c>
      <c r="D854" s="4" t="str">
        <f t="shared" si="1"/>
        <v>SANS</v>
      </c>
    </row>
    <row r="855">
      <c r="A855" s="4" t="s">
        <v>296</v>
      </c>
      <c r="B855" s="3">
        <v>0.0</v>
      </c>
      <c r="C855" s="3" t="s">
        <v>3</v>
      </c>
      <c r="D855" s="4" t="str">
        <f t="shared" si="1"/>
        <v>SANS</v>
      </c>
    </row>
    <row r="856">
      <c r="A856" s="4" t="s">
        <v>2118</v>
      </c>
      <c r="B856" s="3">
        <v>0.0</v>
      </c>
      <c r="C856" s="3" t="s">
        <v>3</v>
      </c>
      <c r="D856" s="4" t="str">
        <f t="shared" si="1"/>
        <v>SANS</v>
      </c>
    </row>
    <row r="857">
      <c r="A857" s="4" t="s">
        <v>310</v>
      </c>
      <c r="B857" s="3">
        <v>0.0</v>
      </c>
      <c r="C857" s="3" t="s">
        <v>3</v>
      </c>
      <c r="D857" s="4" t="str">
        <f t="shared" si="1"/>
        <v>SANS</v>
      </c>
    </row>
    <row r="858">
      <c r="A858" s="4" t="s">
        <v>311</v>
      </c>
      <c r="B858" s="3">
        <v>0.0</v>
      </c>
      <c r="C858" s="3" t="s">
        <v>6</v>
      </c>
      <c r="D858" s="4" t="str">
        <f t="shared" si="1"/>
        <v>SANS</v>
      </c>
    </row>
    <row r="859">
      <c r="A859" s="4" t="s">
        <v>2123</v>
      </c>
      <c r="B859" s="3">
        <v>0.0</v>
      </c>
      <c r="C859" s="3" t="s">
        <v>32</v>
      </c>
      <c r="D859" s="4" t="str">
        <f t="shared" si="1"/>
        <v>SANS</v>
      </c>
    </row>
    <row r="860">
      <c r="A860" s="4" t="s">
        <v>2124</v>
      </c>
      <c r="B860" s="3">
        <v>0.0</v>
      </c>
      <c r="C860" s="3" t="s">
        <v>6</v>
      </c>
      <c r="D860" s="4" t="str">
        <f t="shared" si="1"/>
        <v>SANS</v>
      </c>
    </row>
    <row r="861">
      <c r="A861" s="4" t="s">
        <v>2126</v>
      </c>
      <c r="B861" s="3">
        <v>0.0</v>
      </c>
      <c r="C861" s="3" t="s">
        <v>6</v>
      </c>
      <c r="D861" s="4" t="str">
        <f t="shared" si="1"/>
        <v>SANS</v>
      </c>
    </row>
    <row r="862">
      <c r="A862" s="4" t="s">
        <v>347</v>
      </c>
      <c r="B862" s="3">
        <v>0.0</v>
      </c>
      <c r="C862" s="3" t="s">
        <v>32</v>
      </c>
      <c r="D862" s="4" t="str">
        <f t="shared" si="1"/>
        <v>SANS</v>
      </c>
    </row>
    <row r="863">
      <c r="A863" s="4" t="s">
        <v>2129</v>
      </c>
      <c r="B863" s="3">
        <v>0.0</v>
      </c>
      <c r="C863" s="3" t="s">
        <v>3</v>
      </c>
      <c r="D863" s="4" t="str">
        <f t="shared" si="1"/>
        <v>SANS</v>
      </c>
    </row>
    <row r="864">
      <c r="A864" s="4" t="s">
        <v>350</v>
      </c>
      <c r="B864" s="3">
        <v>0.0</v>
      </c>
      <c r="C864" s="3" t="s">
        <v>3</v>
      </c>
      <c r="D864" s="4" t="str">
        <f t="shared" si="1"/>
        <v>SANS</v>
      </c>
    </row>
    <row r="865">
      <c r="A865" s="4" t="s">
        <v>354</v>
      </c>
      <c r="B865" s="3">
        <v>0.0</v>
      </c>
      <c r="C865" s="3" t="s">
        <v>3</v>
      </c>
      <c r="D865" s="4" t="str">
        <f t="shared" si="1"/>
        <v>SANS</v>
      </c>
    </row>
    <row r="866">
      <c r="A866" s="4" t="s">
        <v>2131</v>
      </c>
      <c r="B866" s="3">
        <v>0.0</v>
      </c>
      <c r="C866" s="3" t="s">
        <v>6</v>
      </c>
      <c r="D866" s="4" t="str">
        <f t="shared" si="1"/>
        <v>SANS</v>
      </c>
    </row>
    <row r="867">
      <c r="A867" s="4" t="s">
        <v>357</v>
      </c>
      <c r="B867" s="3">
        <v>0.0</v>
      </c>
      <c r="C867" s="3" t="s">
        <v>3</v>
      </c>
      <c r="D867" s="4" t="str">
        <f t="shared" si="1"/>
        <v>SANS</v>
      </c>
    </row>
    <row r="868">
      <c r="A868" s="4" t="s">
        <v>2132</v>
      </c>
      <c r="B868" s="3">
        <v>0.0</v>
      </c>
      <c r="C868" s="3" t="s">
        <v>3</v>
      </c>
      <c r="D868" s="4" t="str">
        <f t="shared" si="1"/>
        <v>SANS</v>
      </c>
    </row>
    <row r="869">
      <c r="A869" s="4" t="s">
        <v>360</v>
      </c>
      <c r="B869" s="3">
        <v>0.0</v>
      </c>
      <c r="C869" s="3" t="s">
        <v>3</v>
      </c>
      <c r="D869" s="4" t="str">
        <f t="shared" si="1"/>
        <v>SANS</v>
      </c>
    </row>
    <row r="870">
      <c r="A870" s="4" t="s">
        <v>2134</v>
      </c>
      <c r="B870" s="3">
        <v>0.0</v>
      </c>
      <c r="C870" s="3" t="s">
        <v>3</v>
      </c>
      <c r="D870" s="4" t="str">
        <f t="shared" si="1"/>
        <v>SANS</v>
      </c>
    </row>
    <row r="871">
      <c r="A871" s="4" t="s">
        <v>2135</v>
      </c>
      <c r="B871" s="3">
        <v>0.0</v>
      </c>
      <c r="C871" s="3" t="s">
        <v>3</v>
      </c>
      <c r="D871" s="4" t="str">
        <f t="shared" si="1"/>
        <v>SANS</v>
      </c>
    </row>
    <row r="872">
      <c r="A872" s="4" t="s">
        <v>2136</v>
      </c>
      <c r="B872" s="3">
        <v>0.0</v>
      </c>
      <c r="C872" s="3" t="s">
        <v>3</v>
      </c>
      <c r="D872" s="4" t="str">
        <f t="shared" si="1"/>
        <v>SANS</v>
      </c>
    </row>
    <row r="873">
      <c r="A873" s="4" t="s">
        <v>370</v>
      </c>
      <c r="B873" s="3">
        <v>0.0</v>
      </c>
      <c r="C873" s="3" t="s">
        <v>6</v>
      </c>
      <c r="D873" s="4" t="str">
        <f t="shared" si="1"/>
        <v>SANS</v>
      </c>
    </row>
    <row r="874">
      <c r="A874" s="4" t="s">
        <v>373</v>
      </c>
      <c r="B874" s="3">
        <v>0.0</v>
      </c>
      <c r="C874" s="3" t="s">
        <v>6</v>
      </c>
      <c r="D874" s="4" t="str">
        <f t="shared" si="1"/>
        <v>SANS</v>
      </c>
    </row>
    <row r="875">
      <c r="A875" s="4" t="s">
        <v>374</v>
      </c>
      <c r="B875" s="3">
        <v>0.0</v>
      </c>
      <c r="C875" s="3" t="s">
        <v>3</v>
      </c>
      <c r="D875" s="4" t="str">
        <f t="shared" si="1"/>
        <v>SANS</v>
      </c>
    </row>
    <row r="876">
      <c r="A876" s="4" t="s">
        <v>2138</v>
      </c>
      <c r="B876" s="3">
        <v>0.0</v>
      </c>
      <c r="C876" s="3" t="s">
        <v>3</v>
      </c>
      <c r="D876" s="4" t="str">
        <f t="shared" si="1"/>
        <v>SANS</v>
      </c>
    </row>
    <row r="877">
      <c r="A877" s="4" t="s">
        <v>2139</v>
      </c>
      <c r="B877" s="3">
        <v>0.0</v>
      </c>
      <c r="C877" s="3" t="s">
        <v>3</v>
      </c>
      <c r="D877" s="4" t="str">
        <f t="shared" si="1"/>
        <v>SANS</v>
      </c>
    </row>
    <row r="878">
      <c r="A878" s="4" t="s">
        <v>383</v>
      </c>
      <c r="B878" s="3">
        <v>0.0</v>
      </c>
      <c r="C878" s="3" t="s">
        <v>3</v>
      </c>
      <c r="D878" s="4" t="str">
        <f t="shared" si="1"/>
        <v>SANS</v>
      </c>
    </row>
    <row r="879">
      <c r="A879" s="4" t="s">
        <v>384</v>
      </c>
      <c r="B879" s="3">
        <v>0.0</v>
      </c>
      <c r="C879" s="3" t="s">
        <v>3</v>
      </c>
      <c r="D879" s="4" t="str">
        <f t="shared" si="1"/>
        <v>SANS</v>
      </c>
    </row>
    <row r="880">
      <c r="A880" s="4" t="s">
        <v>385</v>
      </c>
      <c r="B880" s="3">
        <v>0.0</v>
      </c>
      <c r="C880" s="3" t="s">
        <v>32</v>
      </c>
      <c r="D880" s="4" t="str">
        <f t="shared" si="1"/>
        <v>SANS</v>
      </c>
    </row>
    <row r="881">
      <c r="A881" s="4" t="s">
        <v>386</v>
      </c>
      <c r="B881" s="3">
        <v>0.0</v>
      </c>
      <c r="C881" s="3" t="s">
        <v>6</v>
      </c>
      <c r="D881" s="4" t="str">
        <f t="shared" si="1"/>
        <v>SANS</v>
      </c>
    </row>
    <row r="882">
      <c r="A882" s="4" t="s">
        <v>387</v>
      </c>
      <c r="B882" s="3">
        <v>0.0</v>
      </c>
      <c r="C882" s="3" t="s">
        <v>6</v>
      </c>
      <c r="D882" s="4" t="str">
        <f t="shared" si="1"/>
        <v>SANS</v>
      </c>
    </row>
    <row r="883">
      <c r="A883" s="4" t="s">
        <v>2140</v>
      </c>
      <c r="B883" s="3">
        <v>0.0</v>
      </c>
      <c r="C883" s="3" t="s">
        <v>3</v>
      </c>
      <c r="D883" s="4" t="str">
        <f t="shared" si="1"/>
        <v>SANS</v>
      </c>
    </row>
    <row r="884">
      <c r="A884" s="4" t="s">
        <v>2141</v>
      </c>
      <c r="B884" s="3">
        <v>0.0</v>
      </c>
      <c r="C884" s="3" t="s">
        <v>3</v>
      </c>
      <c r="D884" s="4" t="str">
        <f t="shared" si="1"/>
        <v>SANS</v>
      </c>
    </row>
    <row r="885">
      <c r="A885" s="4" t="s">
        <v>2143</v>
      </c>
      <c r="B885" s="3">
        <v>0.0</v>
      </c>
      <c r="C885" s="3" t="s">
        <v>26</v>
      </c>
      <c r="D885" s="4" t="str">
        <f t="shared" si="1"/>
        <v>SANS</v>
      </c>
    </row>
    <row r="886">
      <c r="A886" s="4" t="s">
        <v>401</v>
      </c>
      <c r="B886" s="3">
        <v>0.0</v>
      </c>
      <c r="C886" s="3" t="s">
        <v>32</v>
      </c>
      <c r="D886" s="4" t="str">
        <f t="shared" si="1"/>
        <v>SANS</v>
      </c>
    </row>
    <row r="887">
      <c r="A887" s="4" t="s">
        <v>402</v>
      </c>
      <c r="B887" s="3">
        <v>0.0</v>
      </c>
      <c r="C887" s="3" t="s">
        <v>6</v>
      </c>
      <c r="D887" s="4" t="str">
        <f t="shared" si="1"/>
        <v>SANS</v>
      </c>
    </row>
    <row r="888">
      <c r="A888" s="4" t="s">
        <v>403</v>
      </c>
      <c r="B888" s="3">
        <v>0.0</v>
      </c>
      <c r="C888" s="3" t="s">
        <v>3</v>
      </c>
      <c r="D888" s="4" t="str">
        <f t="shared" si="1"/>
        <v>SANS</v>
      </c>
    </row>
    <row r="889">
      <c r="A889" s="4" t="s">
        <v>404</v>
      </c>
      <c r="B889" s="3">
        <v>0.0</v>
      </c>
      <c r="C889" s="3" t="s">
        <v>3</v>
      </c>
      <c r="D889" s="4" t="str">
        <f t="shared" si="1"/>
        <v>SANS</v>
      </c>
    </row>
    <row r="890">
      <c r="A890" s="4" t="s">
        <v>409</v>
      </c>
      <c r="B890" s="3">
        <v>0.0</v>
      </c>
      <c r="C890" s="3" t="s">
        <v>6</v>
      </c>
      <c r="D890" s="4" t="str">
        <f t="shared" si="1"/>
        <v>SANS</v>
      </c>
    </row>
    <row r="891">
      <c r="A891" s="4" t="s">
        <v>411</v>
      </c>
      <c r="B891" s="3">
        <v>0.0</v>
      </c>
      <c r="C891" s="3" t="s">
        <v>3</v>
      </c>
      <c r="D891" s="4" t="str">
        <f t="shared" si="1"/>
        <v>SANS</v>
      </c>
    </row>
    <row r="892">
      <c r="A892" s="4" t="s">
        <v>2145</v>
      </c>
      <c r="B892" s="3">
        <v>0.0</v>
      </c>
      <c r="C892" s="3" t="s">
        <v>6</v>
      </c>
      <c r="D892" s="4" t="str">
        <f t="shared" si="1"/>
        <v>SANS</v>
      </c>
    </row>
    <row r="893">
      <c r="A893" s="4" t="s">
        <v>2146</v>
      </c>
      <c r="B893" s="3">
        <v>0.0</v>
      </c>
      <c r="C893" s="3" t="s">
        <v>3</v>
      </c>
      <c r="D893" s="4" t="str">
        <f t="shared" si="1"/>
        <v>SANS</v>
      </c>
    </row>
    <row r="894">
      <c r="A894" s="4" t="s">
        <v>2147</v>
      </c>
      <c r="B894" s="3">
        <v>0.0</v>
      </c>
      <c r="C894" s="3" t="s">
        <v>3</v>
      </c>
      <c r="D894" s="4" t="str">
        <f t="shared" si="1"/>
        <v>SANS</v>
      </c>
    </row>
    <row r="895">
      <c r="A895" s="4" t="s">
        <v>419</v>
      </c>
      <c r="B895" s="3">
        <v>0.0</v>
      </c>
      <c r="C895" s="3" t="s">
        <v>3</v>
      </c>
      <c r="D895" s="4" t="str">
        <f t="shared" si="1"/>
        <v>SANS</v>
      </c>
    </row>
    <row r="896">
      <c r="A896" s="4" t="s">
        <v>2148</v>
      </c>
      <c r="B896" s="3">
        <v>0.0</v>
      </c>
      <c r="C896" s="3" t="s">
        <v>29</v>
      </c>
      <c r="D896" s="4" t="str">
        <f t="shared" si="1"/>
        <v>SANS</v>
      </c>
    </row>
    <row r="897">
      <c r="A897" s="4" t="s">
        <v>422</v>
      </c>
      <c r="B897" s="3">
        <v>0.0</v>
      </c>
      <c r="C897" s="3" t="s">
        <v>29</v>
      </c>
      <c r="D897" s="4" t="str">
        <f t="shared" si="1"/>
        <v>SANS</v>
      </c>
    </row>
    <row r="898">
      <c r="A898" s="4" t="s">
        <v>423</v>
      </c>
      <c r="B898" s="3">
        <v>0.0</v>
      </c>
      <c r="C898" s="3" t="s">
        <v>3</v>
      </c>
      <c r="D898" s="4" t="str">
        <f t="shared" si="1"/>
        <v>SANS</v>
      </c>
    </row>
    <row r="899">
      <c r="A899" s="4" t="s">
        <v>424</v>
      </c>
      <c r="B899" s="3">
        <v>0.0</v>
      </c>
      <c r="C899" s="3" t="s">
        <v>3</v>
      </c>
      <c r="D899" s="4" t="str">
        <f t="shared" si="1"/>
        <v>SANS</v>
      </c>
    </row>
    <row r="900">
      <c r="A900" s="4" t="s">
        <v>2149</v>
      </c>
      <c r="B900" s="3">
        <v>0.0</v>
      </c>
      <c r="C900" s="3" t="s">
        <v>3</v>
      </c>
      <c r="D900" s="4" t="str">
        <f t="shared" si="1"/>
        <v>SANS</v>
      </c>
    </row>
    <row r="901">
      <c r="A901" s="4" t="s">
        <v>2151</v>
      </c>
      <c r="B901" s="3">
        <v>0.0</v>
      </c>
      <c r="C901" s="3" t="s">
        <v>29</v>
      </c>
      <c r="D901" s="4" t="str">
        <f t="shared" si="1"/>
        <v>SANS</v>
      </c>
    </row>
    <row r="902">
      <c r="A902" s="4" t="s">
        <v>2152</v>
      </c>
      <c r="B902" s="3">
        <v>0.0</v>
      </c>
      <c r="C902" s="3" t="s">
        <v>3</v>
      </c>
      <c r="D902" s="4" t="str">
        <f t="shared" si="1"/>
        <v>SANS</v>
      </c>
    </row>
    <row r="903">
      <c r="A903" s="4" t="s">
        <v>2154</v>
      </c>
      <c r="B903" s="3">
        <v>0.0</v>
      </c>
      <c r="C903" s="3" t="s">
        <v>3</v>
      </c>
      <c r="D903" s="4" t="str">
        <f t="shared" si="1"/>
        <v>SANS</v>
      </c>
    </row>
    <row r="904">
      <c r="A904" s="4" t="s">
        <v>2155</v>
      </c>
      <c r="B904" s="3">
        <v>0.0</v>
      </c>
      <c r="C904" s="3" t="s">
        <v>6</v>
      </c>
      <c r="D904" s="4" t="str">
        <f t="shared" si="1"/>
        <v>SANS</v>
      </c>
    </row>
    <row r="905">
      <c r="A905" s="4" t="s">
        <v>441</v>
      </c>
      <c r="B905" s="3">
        <v>0.0</v>
      </c>
      <c r="C905" s="3" t="s">
        <v>29</v>
      </c>
      <c r="D905" s="4" t="str">
        <f t="shared" si="1"/>
        <v>SANS</v>
      </c>
    </row>
    <row r="906">
      <c r="A906" s="4" t="s">
        <v>449</v>
      </c>
      <c r="B906" s="3">
        <v>0.0</v>
      </c>
      <c r="C906" s="3" t="s">
        <v>32</v>
      </c>
      <c r="D906" s="4" t="str">
        <f t="shared" si="1"/>
        <v>SANS</v>
      </c>
    </row>
    <row r="907">
      <c r="A907" s="4" t="s">
        <v>451</v>
      </c>
      <c r="B907" s="3">
        <v>0.0</v>
      </c>
      <c r="C907" s="3" t="s">
        <v>3</v>
      </c>
      <c r="D907" s="4" t="str">
        <f t="shared" si="1"/>
        <v>SANS</v>
      </c>
    </row>
    <row r="908">
      <c r="A908" s="4" t="s">
        <v>453</v>
      </c>
      <c r="B908" s="3">
        <v>0.0</v>
      </c>
      <c r="C908" s="3" t="s">
        <v>3</v>
      </c>
      <c r="D908" s="4" t="str">
        <f t="shared" si="1"/>
        <v>SANS</v>
      </c>
    </row>
    <row r="909">
      <c r="A909" s="4" t="s">
        <v>454</v>
      </c>
      <c r="B909" s="3">
        <v>0.0</v>
      </c>
      <c r="C909" s="3" t="s">
        <v>3</v>
      </c>
      <c r="D909" s="4" t="str">
        <f t="shared" si="1"/>
        <v>SANS</v>
      </c>
    </row>
    <row r="910">
      <c r="A910" s="4" t="s">
        <v>455</v>
      </c>
      <c r="B910" s="3">
        <v>0.0</v>
      </c>
      <c r="C910" s="3" t="s">
        <v>3</v>
      </c>
      <c r="D910" s="4" t="str">
        <f t="shared" si="1"/>
        <v>SANS</v>
      </c>
    </row>
    <row r="911">
      <c r="A911" s="4" t="s">
        <v>456</v>
      </c>
      <c r="B911" s="3">
        <v>0.0</v>
      </c>
      <c r="C911" s="3" t="s">
        <v>6</v>
      </c>
      <c r="D911" s="4" t="str">
        <f t="shared" si="1"/>
        <v>SANS</v>
      </c>
    </row>
    <row r="912">
      <c r="A912" s="4" t="s">
        <v>2156</v>
      </c>
      <c r="B912" s="3">
        <v>0.0</v>
      </c>
      <c r="C912" s="3" t="s">
        <v>3</v>
      </c>
      <c r="D912" s="4" t="str">
        <f t="shared" si="1"/>
        <v>SANS</v>
      </c>
    </row>
    <row r="913">
      <c r="A913" s="4" t="s">
        <v>2158</v>
      </c>
      <c r="B913" s="3">
        <v>0.0</v>
      </c>
      <c r="C913" s="3" t="s">
        <v>3</v>
      </c>
      <c r="D913" s="4" t="str">
        <f t="shared" si="1"/>
        <v>SANS</v>
      </c>
    </row>
    <row r="914">
      <c r="A914" s="4" t="s">
        <v>464</v>
      </c>
      <c r="B914" s="3">
        <v>0.0</v>
      </c>
      <c r="C914" s="3" t="s">
        <v>3</v>
      </c>
      <c r="D914" s="4" t="str">
        <f t="shared" si="1"/>
        <v>SANS</v>
      </c>
    </row>
    <row r="915">
      <c r="A915" s="4" t="s">
        <v>2160</v>
      </c>
      <c r="B915" s="3">
        <v>0.0</v>
      </c>
      <c r="C915" s="3" t="s">
        <v>3</v>
      </c>
      <c r="D915" s="4" t="str">
        <f t="shared" si="1"/>
        <v>SANS</v>
      </c>
    </row>
    <row r="916">
      <c r="A916" s="4" t="s">
        <v>2161</v>
      </c>
      <c r="B916" s="3">
        <v>0.0</v>
      </c>
      <c r="C916" s="3" t="s">
        <v>3</v>
      </c>
      <c r="D916" s="4" t="str">
        <f t="shared" si="1"/>
        <v>SANS</v>
      </c>
    </row>
    <row r="917">
      <c r="A917" s="4" t="s">
        <v>2163</v>
      </c>
      <c r="B917" s="3">
        <v>0.0</v>
      </c>
      <c r="C917" s="3" t="s">
        <v>3</v>
      </c>
      <c r="D917" s="4" t="str">
        <f t="shared" si="1"/>
        <v>SANS</v>
      </c>
    </row>
    <row r="918">
      <c r="A918" s="4" t="s">
        <v>2164</v>
      </c>
      <c r="B918" s="3">
        <v>0.0</v>
      </c>
      <c r="C918" s="3" t="s">
        <v>3</v>
      </c>
      <c r="D918" s="4" t="str">
        <f t="shared" si="1"/>
        <v>SANS</v>
      </c>
    </row>
    <row r="919">
      <c r="A919" s="4" t="s">
        <v>2166</v>
      </c>
      <c r="B919" s="3">
        <v>0.0</v>
      </c>
      <c r="C919" s="3" t="s">
        <v>3</v>
      </c>
      <c r="D919" s="4" t="str">
        <f t="shared" si="1"/>
        <v>SANS</v>
      </c>
    </row>
    <row r="920">
      <c r="A920" s="4" t="s">
        <v>2167</v>
      </c>
      <c r="B920" s="3">
        <v>0.0</v>
      </c>
      <c r="C920" s="3" t="s">
        <v>3</v>
      </c>
      <c r="D920" s="4" t="str">
        <f t="shared" si="1"/>
        <v>SANS</v>
      </c>
    </row>
    <row r="921">
      <c r="A921" s="4" t="s">
        <v>2169</v>
      </c>
      <c r="B921" s="3">
        <v>0.0</v>
      </c>
      <c r="C921" s="3" t="s">
        <v>6</v>
      </c>
      <c r="D921" s="4" t="str">
        <f t="shared" si="1"/>
        <v>SANS</v>
      </c>
    </row>
    <row r="922">
      <c r="A922" s="4" t="s">
        <v>2170</v>
      </c>
      <c r="B922" s="3">
        <v>0.0</v>
      </c>
      <c r="C922" s="3" t="s">
        <v>3</v>
      </c>
      <c r="D922" s="4" t="str">
        <f t="shared" si="1"/>
        <v>SANS</v>
      </c>
    </row>
    <row r="923">
      <c r="A923" s="4" t="s">
        <v>2171</v>
      </c>
      <c r="B923" s="3">
        <v>0.0</v>
      </c>
      <c r="C923" s="3" t="s">
        <v>3</v>
      </c>
      <c r="D923" s="4" t="str">
        <f t="shared" si="1"/>
        <v>SANS</v>
      </c>
    </row>
    <row r="924">
      <c r="A924" s="4" t="s">
        <v>2172</v>
      </c>
      <c r="B924" s="3">
        <v>0.0</v>
      </c>
      <c r="C924" s="3" t="s">
        <v>3</v>
      </c>
      <c r="D924" s="4" t="str">
        <f t="shared" si="1"/>
        <v>SANS</v>
      </c>
    </row>
    <row r="925">
      <c r="A925" s="4" t="s">
        <v>2173</v>
      </c>
      <c r="B925" s="3">
        <v>0.0</v>
      </c>
      <c r="C925" s="3" t="s">
        <v>6</v>
      </c>
      <c r="D925" s="4" t="str">
        <f t="shared" si="1"/>
        <v>SANS</v>
      </c>
    </row>
    <row r="926">
      <c r="A926" s="4" t="s">
        <v>2174</v>
      </c>
      <c r="B926" s="3">
        <v>0.0</v>
      </c>
      <c r="C926" s="3" t="s">
        <v>3</v>
      </c>
      <c r="D926" s="4" t="str">
        <f t="shared" si="1"/>
        <v>SANS</v>
      </c>
    </row>
    <row r="927">
      <c r="A927" s="4" t="s">
        <v>2175</v>
      </c>
      <c r="B927" s="3">
        <v>0.0</v>
      </c>
      <c r="C927" s="3" t="s">
        <v>3</v>
      </c>
      <c r="D927" s="4" t="str">
        <f t="shared" si="1"/>
        <v>SANS</v>
      </c>
    </row>
    <row r="928">
      <c r="A928" s="4" t="s">
        <v>515</v>
      </c>
      <c r="B928" s="3">
        <v>0.0</v>
      </c>
      <c r="C928" s="3" t="s">
        <v>6</v>
      </c>
      <c r="D928" s="4" t="str">
        <f t="shared" si="1"/>
        <v>SANS</v>
      </c>
    </row>
    <row r="929">
      <c r="A929" s="4" t="s">
        <v>2176</v>
      </c>
      <c r="B929" s="3">
        <v>0.0</v>
      </c>
      <c r="C929" s="3" t="s">
        <v>3</v>
      </c>
      <c r="D929" s="4" t="str">
        <f t="shared" si="1"/>
        <v>SANS</v>
      </c>
    </row>
    <row r="930">
      <c r="A930" s="4" t="s">
        <v>2177</v>
      </c>
      <c r="B930" s="3">
        <v>0.0</v>
      </c>
      <c r="C930" s="3" t="s">
        <v>3</v>
      </c>
      <c r="D930" s="4" t="str">
        <f t="shared" si="1"/>
        <v>SANS</v>
      </c>
    </row>
    <row r="931">
      <c r="A931" s="4" t="s">
        <v>534</v>
      </c>
      <c r="B931" s="3">
        <v>0.0</v>
      </c>
      <c r="C931" s="3" t="s">
        <v>26</v>
      </c>
      <c r="D931" s="4" t="str">
        <f t="shared" si="1"/>
        <v>SANS</v>
      </c>
    </row>
    <row r="932">
      <c r="A932" s="4" t="s">
        <v>539</v>
      </c>
      <c r="B932" s="3">
        <v>0.0</v>
      </c>
      <c r="C932" s="3" t="s">
        <v>6</v>
      </c>
      <c r="D932" s="4" t="str">
        <f t="shared" si="1"/>
        <v>SANS</v>
      </c>
    </row>
    <row r="933">
      <c r="A933" s="4" t="s">
        <v>542</v>
      </c>
      <c r="B933" s="3">
        <v>0.0</v>
      </c>
      <c r="C933" s="3" t="s">
        <v>3</v>
      </c>
      <c r="D933" s="4" t="str">
        <f t="shared" si="1"/>
        <v>SANS</v>
      </c>
    </row>
    <row r="934">
      <c r="A934" s="4" t="s">
        <v>2182</v>
      </c>
      <c r="B934" s="3">
        <v>0.0</v>
      </c>
      <c r="C934" s="3" t="s">
        <v>3</v>
      </c>
      <c r="D934" s="4" t="str">
        <f t="shared" si="1"/>
        <v>SANS</v>
      </c>
    </row>
    <row r="935">
      <c r="A935" s="4" t="s">
        <v>545</v>
      </c>
      <c r="B935" s="3">
        <v>0.0</v>
      </c>
      <c r="C935" s="3" t="s">
        <v>3</v>
      </c>
      <c r="D935" s="4" t="str">
        <f t="shared" si="1"/>
        <v>SANS</v>
      </c>
    </row>
    <row r="936">
      <c r="A936" s="4" t="s">
        <v>546</v>
      </c>
      <c r="B936" s="3">
        <v>0.0</v>
      </c>
      <c r="C936" s="3" t="s">
        <v>3</v>
      </c>
      <c r="D936" s="4" t="str">
        <f t="shared" si="1"/>
        <v>SANS</v>
      </c>
    </row>
    <row r="937">
      <c r="A937" s="4" t="s">
        <v>548</v>
      </c>
      <c r="B937" s="3">
        <v>0.0</v>
      </c>
      <c r="C937" s="3" t="s">
        <v>29</v>
      </c>
      <c r="D937" s="4" t="str">
        <f t="shared" si="1"/>
        <v>SANS</v>
      </c>
    </row>
    <row r="938">
      <c r="A938" s="4" t="s">
        <v>551</v>
      </c>
      <c r="B938" s="3">
        <v>0.0</v>
      </c>
      <c r="C938" s="3" t="s">
        <v>29</v>
      </c>
      <c r="D938" s="4" t="str">
        <f t="shared" si="1"/>
        <v>SANS</v>
      </c>
    </row>
    <row r="939">
      <c r="A939" s="4" t="s">
        <v>553</v>
      </c>
      <c r="B939" s="3">
        <v>0.0</v>
      </c>
      <c r="C939" s="3" t="s">
        <v>29</v>
      </c>
      <c r="D939" s="4" t="str">
        <f t="shared" si="1"/>
        <v>SANS</v>
      </c>
    </row>
    <row r="940">
      <c r="A940" s="4" t="s">
        <v>554</v>
      </c>
      <c r="B940" s="3">
        <v>0.0</v>
      </c>
      <c r="C940" s="3" t="s">
        <v>29</v>
      </c>
      <c r="D940" s="4" t="str">
        <f t="shared" si="1"/>
        <v>SANS</v>
      </c>
    </row>
    <row r="941">
      <c r="A941" s="4" t="s">
        <v>2183</v>
      </c>
      <c r="B941" s="3">
        <v>0.0</v>
      </c>
      <c r="C941" s="3" t="s">
        <v>29</v>
      </c>
      <c r="D941" s="4" t="str">
        <f t="shared" si="1"/>
        <v>SANS</v>
      </c>
    </row>
    <row r="942">
      <c r="A942" s="4" t="s">
        <v>561</v>
      </c>
      <c r="B942" s="3">
        <v>0.0</v>
      </c>
      <c r="C942" s="3" t="s">
        <v>29</v>
      </c>
      <c r="D942" s="4" t="str">
        <f t="shared" si="1"/>
        <v>SANS</v>
      </c>
    </row>
    <row r="943">
      <c r="A943" s="4" t="s">
        <v>562</v>
      </c>
      <c r="B943" s="3">
        <v>0.0</v>
      </c>
      <c r="C943" s="3" t="s">
        <v>29</v>
      </c>
      <c r="D943" s="4" t="str">
        <f t="shared" si="1"/>
        <v>SANS</v>
      </c>
    </row>
    <row r="944">
      <c r="A944" s="4" t="s">
        <v>563</v>
      </c>
      <c r="B944" s="3">
        <v>0.0</v>
      </c>
      <c r="C944" s="3" t="s">
        <v>29</v>
      </c>
      <c r="D944" s="4" t="str">
        <f t="shared" si="1"/>
        <v>SANS</v>
      </c>
    </row>
    <row r="945">
      <c r="A945" s="4" t="s">
        <v>564</v>
      </c>
      <c r="B945" s="3">
        <v>0.0</v>
      </c>
      <c r="C945" s="3" t="s">
        <v>484</v>
      </c>
      <c r="D945" s="4" t="str">
        <f t="shared" si="1"/>
        <v>SANS</v>
      </c>
    </row>
    <row r="946">
      <c r="A946" s="4" t="s">
        <v>565</v>
      </c>
      <c r="B946" s="3">
        <v>0.0</v>
      </c>
      <c r="C946" s="3" t="s">
        <v>29</v>
      </c>
      <c r="D946" s="4" t="str">
        <f t="shared" si="1"/>
        <v>SANS</v>
      </c>
    </row>
    <row r="947">
      <c r="A947" s="4" t="s">
        <v>566</v>
      </c>
      <c r="B947" s="3">
        <v>0.0</v>
      </c>
      <c r="C947" s="3" t="s">
        <v>29</v>
      </c>
      <c r="D947" s="4" t="str">
        <f t="shared" si="1"/>
        <v>SANS</v>
      </c>
    </row>
    <row r="948">
      <c r="A948" s="4" t="s">
        <v>567</v>
      </c>
      <c r="B948" s="3">
        <v>0.0</v>
      </c>
      <c r="C948" s="3" t="s">
        <v>3</v>
      </c>
      <c r="D948" s="4" t="str">
        <f t="shared" si="1"/>
        <v>SANS</v>
      </c>
    </row>
    <row r="949">
      <c r="A949" s="4" t="s">
        <v>568</v>
      </c>
      <c r="B949" s="3">
        <v>0.0</v>
      </c>
      <c r="C949" s="3" t="s">
        <v>3</v>
      </c>
      <c r="D949" s="4" t="str">
        <f t="shared" si="1"/>
        <v>SANS</v>
      </c>
    </row>
    <row r="950">
      <c r="A950" s="4" t="s">
        <v>573</v>
      </c>
      <c r="B950" s="3">
        <v>0.0</v>
      </c>
      <c r="C950" s="3" t="s">
        <v>3</v>
      </c>
      <c r="D950" s="4" t="str">
        <f t="shared" si="1"/>
        <v>SANS</v>
      </c>
    </row>
    <row r="951">
      <c r="A951" s="4" t="s">
        <v>577</v>
      </c>
      <c r="B951" s="3">
        <v>0.0</v>
      </c>
      <c r="C951" s="3" t="s">
        <v>32</v>
      </c>
      <c r="D951" s="4" t="str">
        <f t="shared" si="1"/>
        <v>SANS</v>
      </c>
    </row>
    <row r="952">
      <c r="A952" s="4" t="s">
        <v>2187</v>
      </c>
      <c r="B952" s="3">
        <v>0.0</v>
      </c>
      <c r="C952" s="3" t="s">
        <v>6</v>
      </c>
      <c r="D952" s="4" t="str">
        <f t="shared" si="1"/>
        <v>SANS</v>
      </c>
    </row>
    <row r="953">
      <c r="A953" s="4" t="s">
        <v>588</v>
      </c>
      <c r="B953" s="3">
        <v>0.0</v>
      </c>
      <c r="C953" s="3" t="s">
        <v>3</v>
      </c>
      <c r="D953" s="4" t="str">
        <f t="shared" si="1"/>
        <v>SANS</v>
      </c>
    </row>
    <row r="954">
      <c r="A954" s="4" t="s">
        <v>591</v>
      </c>
      <c r="B954" s="3">
        <v>0.0</v>
      </c>
      <c r="C954" s="3" t="s">
        <v>3</v>
      </c>
      <c r="D954" s="4" t="str">
        <f t="shared" si="1"/>
        <v>SANS</v>
      </c>
    </row>
    <row r="955">
      <c r="A955" s="4" t="s">
        <v>592</v>
      </c>
      <c r="B955" s="3">
        <v>0.0</v>
      </c>
      <c r="C955" s="3" t="s">
        <v>3</v>
      </c>
      <c r="D955" s="4" t="str">
        <f t="shared" si="1"/>
        <v>SANS</v>
      </c>
    </row>
    <row r="956">
      <c r="A956" s="4" t="s">
        <v>593</v>
      </c>
      <c r="B956" s="3">
        <v>0.0</v>
      </c>
      <c r="C956" s="3" t="s">
        <v>3</v>
      </c>
      <c r="D956" s="4" t="str">
        <f t="shared" si="1"/>
        <v>SANS</v>
      </c>
    </row>
    <row r="957">
      <c r="A957" s="4" t="s">
        <v>594</v>
      </c>
      <c r="B957" s="3">
        <v>0.0</v>
      </c>
      <c r="C957" s="3" t="s">
        <v>6</v>
      </c>
      <c r="D957" s="4" t="str">
        <f t="shared" si="1"/>
        <v>SANS</v>
      </c>
    </row>
    <row r="958">
      <c r="A958" s="4" t="s">
        <v>595</v>
      </c>
      <c r="B958" s="3">
        <v>0.0</v>
      </c>
      <c r="C958" s="3" t="s">
        <v>3</v>
      </c>
      <c r="D958" s="4" t="str">
        <f t="shared" si="1"/>
        <v>SANS</v>
      </c>
    </row>
    <row r="959">
      <c r="A959" s="4" t="s">
        <v>2188</v>
      </c>
      <c r="B959" s="3">
        <v>0.0</v>
      </c>
      <c r="C959" s="3" t="s">
        <v>3</v>
      </c>
      <c r="D959" s="4" t="str">
        <f t="shared" si="1"/>
        <v>SANS</v>
      </c>
    </row>
    <row r="960">
      <c r="A960" s="4" t="s">
        <v>598</v>
      </c>
      <c r="B960" s="3">
        <v>0.0</v>
      </c>
      <c r="C960" s="3" t="s">
        <v>3</v>
      </c>
      <c r="D960" s="4" t="str">
        <f t="shared" si="1"/>
        <v>SANS</v>
      </c>
    </row>
    <row r="961">
      <c r="A961" s="4" t="s">
        <v>610</v>
      </c>
      <c r="B961" s="3">
        <v>0.0</v>
      </c>
      <c r="C961" s="3" t="s">
        <v>6</v>
      </c>
      <c r="D961" s="4" t="str">
        <f t="shared" si="1"/>
        <v>SANS</v>
      </c>
    </row>
    <row r="962">
      <c r="A962" s="4" t="s">
        <v>612</v>
      </c>
      <c r="B962" s="3">
        <v>0.0</v>
      </c>
      <c r="C962" s="3" t="s">
        <v>6</v>
      </c>
      <c r="D962" s="4" t="str">
        <f t="shared" si="1"/>
        <v>SANS</v>
      </c>
    </row>
    <row r="963">
      <c r="A963" s="4" t="s">
        <v>613</v>
      </c>
      <c r="B963" s="3">
        <v>0.0</v>
      </c>
      <c r="C963" s="3" t="s">
        <v>3</v>
      </c>
      <c r="D963" s="4" t="str">
        <f t="shared" si="1"/>
        <v>SANS</v>
      </c>
    </row>
    <row r="964">
      <c r="A964" s="4" t="s">
        <v>615</v>
      </c>
      <c r="B964" s="3">
        <v>0.0</v>
      </c>
      <c r="C964" s="3" t="s">
        <v>3</v>
      </c>
      <c r="D964" s="4" t="str">
        <f t="shared" si="1"/>
        <v>SANS</v>
      </c>
    </row>
    <row r="965">
      <c r="A965" s="4" t="s">
        <v>616</v>
      </c>
      <c r="B965" s="3">
        <v>0.0</v>
      </c>
      <c r="C965" s="3" t="s">
        <v>3</v>
      </c>
      <c r="D965" s="4" t="str">
        <f t="shared" si="1"/>
        <v>SANS</v>
      </c>
    </row>
    <row r="966">
      <c r="A966" s="4" t="s">
        <v>617</v>
      </c>
      <c r="B966" s="3">
        <v>0.0</v>
      </c>
      <c r="C966" s="3" t="s">
        <v>3</v>
      </c>
      <c r="D966" s="4" t="str">
        <f t="shared" si="1"/>
        <v>SANS</v>
      </c>
    </row>
    <row r="967">
      <c r="A967" s="4" t="s">
        <v>618</v>
      </c>
      <c r="B967" s="3">
        <v>0.0</v>
      </c>
      <c r="C967" s="3" t="s">
        <v>3</v>
      </c>
      <c r="D967" s="4" t="str">
        <f t="shared" si="1"/>
        <v>SANS</v>
      </c>
    </row>
    <row r="968">
      <c r="A968" s="4" t="s">
        <v>619</v>
      </c>
      <c r="B968" s="3">
        <v>0.0</v>
      </c>
      <c r="C968" s="3" t="s">
        <v>3</v>
      </c>
      <c r="D968" s="4" t="str">
        <f t="shared" si="1"/>
        <v>SANS</v>
      </c>
    </row>
    <row r="969">
      <c r="A969" s="4" t="s">
        <v>620</v>
      </c>
      <c r="B969" s="3">
        <v>0.0</v>
      </c>
      <c r="C969" s="3" t="s">
        <v>6</v>
      </c>
      <c r="D969" s="4" t="str">
        <f t="shared" si="1"/>
        <v>SANS</v>
      </c>
    </row>
    <row r="970">
      <c r="A970" s="4" t="s">
        <v>624</v>
      </c>
      <c r="B970" s="3">
        <v>0.0</v>
      </c>
      <c r="C970" s="3" t="s">
        <v>3</v>
      </c>
      <c r="D970" s="4" t="str">
        <f t="shared" si="1"/>
        <v>SANS</v>
      </c>
    </row>
    <row r="971">
      <c r="A971" s="4" t="s">
        <v>627</v>
      </c>
      <c r="B971" s="3">
        <v>0.0</v>
      </c>
      <c r="C971" s="3" t="s">
        <v>3</v>
      </c>
      <c r="D971" s="4" t="str">
        <f t="shared" si="1"/>
        <v>SANS</v>
      </c>
    </row>
    <row r="972">
      <c r="A972" s="4" t="s">
        <v>632</v>
      </c>
      <c r="B972" s="3">
        <v>0.0</v>
      </c>
      <c r="C972" s="3" t="s">
        <v>3</v>
      </c>
      <c r="D972" s="4" t="str">
        <f t="shared" si="1"/>
        <v>SANS</v>
      </c>
    </row>
    <row r="973">
      <c r="A973" s="4" t="s">
        <v>2191</v>
      </c>
      <c r="B973" s="3">
        <v>0.0</v>
      </c>
      <c r="C973" s="3" t="s">
        <v>37</v>
      </c>
      <c r="D973" s="4" t="str">
        <f t="shared" si="1"/>
        <v>SANS</v>
      </c>
    </row>
    <row r="974">
      <c r="A974" s="4" t="s">
        <v>638</v>
      </c>
      <c r="B974" s="3">
        <v>0.0</v>
      </c>
      <c r="C974" s="3" t="s">
        <v>3</v>
      </c>
      <c r="D974" s="4" t="str">
        <f t="shared" si="1"/>
        <v>SANS</v>
      </c>
    </row>
    <row r="975">
      <c r="A975" s="4" t="s">
        <v>644</v>
      </c>
      <c r="B975" s="3">
        <v>0.0</v>
      </c>
      <c r="C975" s="3" t="s">
        <v>3</v>
      </c>
      <c r="D975" s="4" t="str">
        <f t="shared" si="1"/>
        <v>SANS</v>
      </c>
    </row>
    <row r="976">
      <c r="A976" s="4" t="s">
        <v>651</v>
      </c>
      <c r="B976" s="3">
        <v>0.0</v>
      </c>
      <c r="C976" s="3" t="s">
        <v>3</v>
      </c>
      <c r="D976" s="4" t="str">
        <f t="shared" si="1"/>
        <v>SANS</v>
      </c>
    </row>
    <row r="977">
      <c r="A977" s="4" t="s">
        <v>654</v>
      </c>
      <c r="B977" s="3">
        <v>0.0</v>
      </c>
      <c r="C977" s="3" t="s">
        <v>29</v>
      </c>
      <c r="D977" s="4" t="str">
        <f t="shared" si="1"/>
        <v>SANS</v>
      </c>
    </row>
    <row r="978">
      <c r="A978" s="4" t="s">
        <v>2193</v>
      </c>
      <c r="B978" s="3">
        <v>0.0</v>
      </c>
      <c r="C978" s="3" t="s">
        <v>32</v>
      </c>
      <c r="D978" s="4" t="str">
        <f t="shared" si="1"/>
        <v>SANS</v>
      </c>
    </row>
    <row r="979">
      <c r="A979" s="4" t="s">
        <v>661</v>
      </c>
      <c r="B979" s="3">
        <v>0.0</v>
      </c>
      <c r="C979" s="3" t="s">
        <v>29</v>
      </c>
      <c r="D979" s="4" t="str">
        <f t="shared" si="1"/>
        <v>SANS</v>
      </c>
    </row>
    <row r="980">
      <c r="A980" s="4" t="s">
        <v>667</v>
      </c>
      <c r="B980" s="3">
        <v>0.0</v>
      </c>
      <c r="C980" s="3" t="s">
        <v>668</v>
      </c>
      <c r="D980" s="4" t="str">
        <f t="shared" si="1"/>
        <v>SANS</v>
      </c>
    </row>
    <row r="981">
      <c r="A981" s="4" t="s">
        <v>671</v>
      </c>
      <c r="B981" s="3">
        <v>0.0</v>
      </c>
      <c r="C981" s="3" t="s">
        <v>32</v>
      </c>
      <c r="D981" s="4" t="str">
        <f t="shared" si="1"/>
        <v>SANS</v>
      </c>
    </row>
    <row r="982">
      <c r="A982" s="4" t="s">
        <v>672</v>
      </c>
      <c r="B982" s="3">
        <v>0.0</v>
      </c>
      <c r="C982" s="3" t="s">
        <v>3</v>
      </c>
      <c r="D982" s="4" t="str">
        <f t="shared" si="1"/>
        <v>SANS</v>
      </c>
    </row>
    <row r="983">
      <c r="A983" s="4" t="s">
        <v>673</v>
      </c>
      <c r="B983" s="3">
        <v>0.0</v>
      </c>
      <c r="C983" s="3" t="s">
        <v>29</v>
      </c>
      <c r="D983" s="4" t="str">
        <f t="shared" si="1"/>
        <v>SANS</v>
      </c>
    </row>
    <row r="984">
      <c r="A984" s="4" t="s">
        <v>677</v>
      </c>
      <c r="B984" s="3">
        <v>0.0</v>
      </c>
      <c r="C984" s="3" t="s">
        <v>3</v>
      </c>
      <c r="D984" s="4" t="str">
        <f t="shared" si="1"/>
        <v>SANS</v>
      </c>
    </row>
    <row r="985">
      <c r="A985" s="4" t="s">
        <v>678</v>
      </c>
      <c r="B985" s="3">
        <v>0.0</v>
      </c>
      <c r="C985" s="3" t="s">
        <v>32</v>
      </c>
      <c r="D985" s="4" t="str">
        <f t="shared" si="1"/>
        <v>SANS</v>
      </c>
    </row>
    <row r="986">
      <c r="A986" s="4" t="s">
        <v>682</v>
      </c>
      <c r="B986" s="3">
        <v>0.0</v>
      </c>
      <c r="C986" s="3" t="s">
        <v>26</v>
      </c>
      <c r="D986" s="4" t="str">
        <f t="shared" si="1"/>
        <v>SANS</v>
      </c>
    </row>
    <row r="987">
      <c r="A987" s="4" t="s">
        <v>685</v>
      </c>
      <c r="B987" s="3">
        <v>0.0</v>
      </c>
      <c r="C987" s="3" t="s">
        <v>6</v>
      </c>
      <c r="D987" s="4" t="str">
        <f t="shared" si="1"/>
        <v>SANS</v>
      </c>
    </row>
    <row r="988">
      <c r="A988" s="4" t="s">
        <v>688</v>
      </c>
      <c r="B988" s="3">
        <v>0.0</v>
      </c>
      <c r="C988" s="3" t="s">
        <v>6</v>
      </c>
      <c r="D988" s="4" t="str">
        <f t="shared" si="1"/>
        <v>SANS</v>
      </c>
    </row>
    <row r="989">
      <c r="A989" s="4" t="s">
        <v>690</v>
      </c>
      <c r="B989" s="3">
        <v>0.0</v>
      </c>
      <c r="C989" s="3" t="s">
        <v>29</v>
      </c>
      <c r="D989" s="4" t="str">
        <f t="shared" si="1"/>
        <v>SANS</v>
      </c>
    </row>
    <row r="990">
      <c r="A990" s="4" t="s">
        <v>693</v>
      </c>
      <c r="B990" s="3">
        <v>0.0</v>
      </c>
      <c r="C990" s="3" t="s">
        <v>3</v>
      </c>
      <c r="D990" s="4" t="str">
        <f t="shared" si="1"/>
        <v>SANS</v>
      </c>
    </row>
    <row r="991">
      <c r="A991" s="4" t="s">
        <v>694</v>
      </c>
      <c r="B991" s="3">
        <v>0.0</v>
      </c>
      <c r="C991" s="3" t="s">
        <v>6</v>
      </c>
      <c r="D991" s="4" t="str">
        <f t="shared" si="1"/>
        <v>SANS</v>
      </c>
    </row>
    <row r="992">
      <c r="A992" s="4" t="s">
        <v>695</v>
      </c>
      <c r="B992" s="3">
        <v>0.0</v>
      </c>
      <c r="C992" s="3" t="s">
        <v>3</v>
      </c>
      <c r="D992" s="4" t="str">
        <f t="shared" si="1"/>
        <v>SANS</v>
      </c>
    </row>
    <row r="993">
      <c r="A993" s="4" t="s">
        <v>696</v>
      </c>
      <c r="B993" s="3">
        <v>0.0</v>
      </c>
      <c r="C993" s="3" t="s">
        <v>3</v>
      </c>
      <c r="D993" s="4" t="str">
        <f t="shared" si="1"/>
        <v>SANS</v>
      </c>
    </row>
    <row r="994">
      <c r="A994" s="4" t="s">
        <v>699</v>
      </c>
      <c r="B994" s="3">
        <v>0.0</v>
      </c>
      <c r="C994" s="3" t="s">
        <v>3</v>
      </c>
      <c r="D994" s="4" t="str">
        <f t="shared" si="1"/>
        <v>SANS</v>
      </c>
    </row>
    <row r="995">
      <c r="A995" s="4" t="s">
        <v>2196</v>
      </c>
      <c r="B995" s="3">
        <v>0.0</v>
      </c>
      <c r="C995" s="3" t="s">
        <v>3</v>
      </c>
      <c r="D995" s="4" t="str">
        <f t="shared" si="1"/>
        <v>SANS</v>
      </c>
    </row>
    <row r="996">
      <c r="A996" s="4" t="s">
        <v>709</v>
      </c>
      <c r="B996" s="3">
        <v>0.0</v>
      </c>
      <c r="C996" s="3" t="s">
        <v>29</v>
      </c>
      <c r="D996" s="4" t="str">
        <f t="shared" si="1"/>
        <v>SANS</v>
      </c>
    </row>
    <row r="997">
      <c r="A997" s="4" t="s">
        <v>710</v>
      </c>
      <c r="B997" s="3">
        <v>0.0</v>
      </c>
      <c r="C997" s="3" t="s">
        <v>6</v>
      </c>
      <c r="D997" s="4" t="str">
        <f t="shared" si="1"/>
        <v>SANS</v>
      </c>
    </row>
    <row r="998">
      <c r="A998" s="4" t="s">
        <v>711</v>
      </c>
      <c r="B998" s="3">
        <v>0.0</v>
      </c>
      <c r="C998" s="3" t="s">
        <v>3</v>
      </c>
      <c r="D998" s="4" t="str">
        <f t="shared" si="1"/>
        <v>SANS</v>
      </c>
    </row>
    <row r="999">
      <c r="A999" s="4" t="s">
        <v>714</v>
      </c>
      <c r="B999" s="3">
        <v>0.0</v>
      </c>
      <c r="C999" s="3" t="s">
        <v>6</v>
      </c>
      <c r="D999" s="4" t="str">
        <f t="shared" si="1"/>
        <v>SANS</v>
      </c>
    </row>
    <row r="1000">
      <c r="A1000" s="4" t="s">
        <v>719</v>
      </c>
      <c r="B1000" s="3">
        <v>0.0</v>
      </c>
      <c r="C1000" s="3" t="s">
        <v>29</v>
      </c>
      <c r="D1000" s="4" t="str">
        <f t="shared" si="1"/>
        <v>SANS</v>
      </c>
    </row>
    <row r="1001">
      <c r="A1001" s="4" t="s">
        <v>721</v>
      </c>
      <c r="B1001" s="3">
        <v>0.0</v>
      </c>
      <c r="C1001" s="3" t="s">
        <v>3</v>
      </c>
      <c r="D1001" s="4" t="str">
        <f t="shared" si="1"/>
        <v>SANS</v>
      </c>
    </row>
    <row r="1002">
      <c r="A1002" s="4" t="s">
        <v>724</v>
      </c>
      <c r="B1002" s="3">
        <v>0.0</v>
      </c>
      <c r="C1002" s="3" t="s">
        <v>29</v>
      </c>
      <c r="D1002" s="4" t="str">
        <f t="shared" si="1"/>
        <v>SANS</v>
      </c>
    </row>
    <row r="1003">
      <c r="A1003" s="4" t="s">
        <v>728</v>
      </c>
      <c r="B1003" s="3">
        <v>0.0</v>
      </c>
      <c r="C1003" s="3" t="s">
        <v>3</v>
      </c>
      <c r="D1003" s="4" t="str">
        <f t="shared" si="1"/>
        <v>SANS</v>
      </c>
    </row>
    <row r="1004">
      <c r="A1004" s="4" t="s">
        <v>731</v>
      </c>
      <c r="B1004" s="3">
        <v>0.0</v>
      </c>
      <c r="C1004" s="3" t="s">
        <v>3</v>
      </c>
      <c r="D1004" s="4" t="str">
        <f t="shared" si="1"/>
        <v>SANS</v>
      </c>
    </row>
    <row r="1005">
      <c r="A1005" s="4" t="s">
        <v>2199</v>
      </c>
      <c r="B1005" s="3">
        <v>0.0</v>
      </c>
      <c r="C1005" s="3" t="s">
        <v>3</v>
      </c>
      <c r="D1005" s="4" t="str">
        <f t="shared" si="1"/>
        <v>SANS</v>
      </c>
    </row>
    <row r="1006">
      <c r="A1006" s="4" t="s">
        <v>736</v>
      </c>
      <c r="B1006" s="3">
        <v>0.0</v>
      </c>
      <c r="C1006" s="3" t="s">
        <v>3</v>
      </c>
      <c r="D1006" s="4" t="str">
        <f t="shared" si="1"/>
        <v>SANS</v>
      </c>
    </row>
    <row r="1007">
      <c r="A1007" s="4" t="s">
        <v>2201</v>
      </c>
      <c r="B1007" s="3">
        <v>0.0</v>
      </c>
      <c r="C1007" s="3" t="s">
        <v>3</v>
      </c>
      <c r="D1007" s="4" t="str">
        <f t="shared" si="1"/>
        <v>SANS</v>
      </c>
    </row>
    <row r="1008">
      <c r="A1008" s="4" t="s">
        <v>744</v>
      </c>
      <c r="B1008" s="3">
        <v>0.0</v>
      </c>
      <c r="C1008" s="3" t="s">
        <v>3</v>
      </c>
      <c r="D1008" s="4" t="str">
        <f t="shared" si="1"/>
        <v>SANS</v>
      </c>
    </row>
    <row r="1009">
      <c r="A1009" s="4" t="s">
        <v>747</v>
      </c>
      <c r="B1009" s="3">
        <v>0.0</v>
      </c>
      <c r="C1009" s="3" t="s">
        <v>3</v>
      </c>
      <c r="D1009" s="4" t="str">
        <f t="shared" si="1"/>
        <v>SANS</v>
      </c>
    </row>
    <row r="1010">
      <c r="A1010" s="4" t="s">
        <v>748</v>
      </c>
      <c r="B1010" s="3">
        <v>0.0</v>
      </c>
      <c r="C1010" s="3" t="s">
        <v>32</v>
      </c>
      <c r="D1010" s="4" t="str">
        <f t="shared" si="1"/>
        <v>SANS</v>
      </c>
    </row>
    <row r="1011">
      <c r="A1011" s="4" t="s">
        <v>749</v>
      </c>
      <c r="B1011" s="3">
        <v>0.0</v>
      </c>
      <c r="C1011" s="3" t="s">
        <v>6</v>
      </c>
      <c r="D1011" s="4" t="str">
        <f t="shared" si="1"/>
        <v>SANS</v>
      </c>
    </row>
    <row r="1012">
      <c r="A1012" s="4" t="s">
        <v>2203</v>
      </c>
      <c r="B1012" s="3">
        <v>0.0</v>
      </c>
      <c r="C1012" s="3" t="s">
        <v>3</v>
      </c>
      <c r="D1012" s="4" t="str">
        <f t="shared" si="1"/>
        <v>SANS</v>
      </c>
    </row>
    <row r="1013">
      <c r="A1013" s="4" t="s">
        <v>762</v>
      </c>
      <c r="B1013" s="3">
        <v>0.0</v>
      </c>
      <c r="C1013" s="3" t="s">
        <v>3</v>
      </c>
      <c r="D1013" s="4" t="str">
        <f t="shared" si="1"/>
        <v>SANS</v>
      </c>
    </row>
    <row r="1014">
      <c r="A1014" s="4" t="s">
        <v>763</v>
      </c>
      <c r="B1014" s="3">
        <v>0.0</v>
      </c>
      <c r="C1014" s="3" t="s">
        <v>3</v>
      </c>
      <c r="D1014" s="4" t="str">
        <f t="shared" si="1"/>
        <v>SANS</v>
      </c>
    </row>
    <row r="1015">
      <c r="A1015" s="4" t="s">
        <v>766</v>
      </c>
      <c r="B1015" s="3">
        <v>0.0</v>
      </c>
      <c r="C1015" s="3" t="s">
        <v>3</v>
      </c>
      <c r="D1015" s="4" t="str">
        <f t="shared" si="1"/>
        <v>SANS</v>
      </c>
    </row>
    <row r="1016">
      <c r="A1016" s="4" t="s">
        <v>767</v>
      </c>
      <c r="B1016" s="3">
        <v>0.0</v>
      </c>
      <c r="C1016" s="3" t="s">
        <v>3</v>
      </c>
      <c r="D1016" s="4" t="str">
        <f t="shared" si="1"/>
        <v>SANS</v>
      </c>
    </row>
    <row r="1017">
      <c r="A1017" s="4" t="s">
        <v>768</v>
      </c>
      <c r="B1017" s="3">
        <v>0.0</v>
      </c>
      <c r="C1017" s="3" t="s">
        <v>3</v>
      </c>
      <c r="D1017" s="4" t="str">
        <f t="shared" si="1"/>
        <v>SANS</v>
      </c>
    </row>
    <row r="1018">
      <c r="A1018" s="4" t="s">
        <v>769</v>
      </c>
      <c r="B1018" s="3">
        <v>0.0</v>
      </c>
      <c r="C1018" s="3" t="s">
        <v>3</v>
      </c>
      <c r="D1018" s="4" t="str">
        <f t="shared" si="1"/>
        <v>SANS</v>
      </c>
    </row>
    <row r="1019">
      <c r="A1019" s="4" t="s">
        <v>770</v>
      </c>
      <c r="B1019" s="3">
        <v>0.0</v>
      </c>
      <c r="C1019" s="3" t="s">
        <v>3</v>
      </c>
      <c r="D1019" s="4" t="str">
        <f t="shared" si="1"/>
        <v>SANS</v>
      </c>
    </row>
    <row r="1020">
      <c r="A1020" s="4" t="s">
        <v>771</v>
      </c>
      <c r="B1020" s="3">
        <v>0.0</v>
      </c>
      <c r="C1020" s="3" t="s">
        <v>3</v>
      </c>
      <c r="D1020" s="4" t="str">
        <f t="shared" si="1"/>
        <v>SANS</v>
      </c>
    </row>
    <row r="1021">
      <c r="A1021" s="4" t="s">
        <v>772</v>
      </c>
      <c r="B1021" s="3">
        <v>0.0</v>
      </c>
      <c r="C1021" s="3" t="s">
        <v>3</v>
      </c>
      <c r="D1021" s="4" t="str">
        <f t="shared" si="1"/>
        <v>SANS</v>
      </c>
    </row>
    <row r="1022">
      <c r="A1022" s="4" t="s">
        <v>773</v>
      </c>
      <c r="B1022" s="3">
        <v>0.0</v>
      </c>
      <c r="C1022" s="3" t="s">
        <v>3</v>
      </c>
      <c r="D1022" s="4" t="str">
        <f t="shared" si="1"/>
        <v>SANS</v>
      </c>
    </row>
    <row r="1023">
      <c r="A1023" s="4" t="s">
        <v>2205</v>
      </c>
      <c r="B1023" s="3">
        <v>0.0</v>
      </c>
      <c r="C1023" s="3" t="s">
        <v>3</v>
      </c>
      <c r="D1023" s="4" t="str">
        <f t="shared" si="1"/>
        <v>SANS</v>
      </c>
    </row>
    <row r="1024">
      <c r="A1024" s="4" t="s">
        <v>781</v>
      </c>
      <c r="B1024" s="3">
        <v>0.0</v>
      </c>
      <c r="C1024" s="3" t="s">
        <v>6</v>
      </c>
      <c r="D1024" s="4" t="str">
        <f t="shared" si="1"/>
        <v>SANS</v>
      </c>
    </row>
    <row r="1025">
      <c r="A1025" s="4" t="s">
        <v>782</v>
      </c>
      <c r="B1025" s="3">
        <v>0.0</v>
      </c>
      <c r="C1025" s="3" t="s">
        <v>3</v>
      </c>
      <c r="D1025" s="4" t="str">
        <f t="shared" si="1"/>
        <v>SANS</v>
      </c>
    </row>
    <row r="1026">
      <c r="A1026" s="4" t="s">
        <v>783</v>
      </c>
      <c r="B1026" s="3">
        <v>0.0</v>
      </c>
      <c r="C1026" s="3" t="s">
        <v>29</v>
      </c>
      <c r="D1026" s="4" t="str">
        <f t="shared" si="1"/>
        <v>SANS</v>
      </c>
    </row>
    <row r="1027">
      <c r="A1027" s="4" t="s">
        <v>789</v>
      </c>
      <c r="B1027" s="3">
        <v>0.0</v>
      </c>
      <c r="C1027" s="3" t="s">
        <v>3</v>
      </c>
      <c r="D1027" s="4" t="str">
        <f t="shared" si="1"/>
        <v>SANS</v>
      </c>
    </row>
    <row r="1028">
      <c r="A1028" s="4" t="s">
        <v>791</v>
      </c>
      <c r="B1028" s="3">
        <v>0.0</v>
      </c>
      <c r="C1028" s="3" t="s">
        <v>3</v>
      </c>
      <c r="D1028" s="4" t="str">
        <f t="shared" si="1"/>
        <v>SANS</v>
      </c>
    </row>
    <row r="1029">
      <c r="A1029" s="4" t="s">
        <v>792</v>
      </c>
      <c r="B1029" s="3">
        <v>0.0</v>
      </c>
      <c r="C1029" s="3" t="s">
        <v>3</v>
      </c>
      <c r="D1029" s="4" t="str">
        <f t="shared" si="1"/>
        <v>SANS</v>
      </c>
    </row>
    <row r="1030">
      <c r="A1030" s="4" t="s">
        <v>794</v>
      </c>
      <c r="B1030" s="3">
        <v>0.0</v>
      </c>
      <c r="C1030" s="3" t="s">
        <v>3</v>
      </c>
      <c r="D1030" s="4" t="str">
        <f t="shared" si="1"/>
        <v>SANS</v>
      </c>
    </row>
    <row r="1031">
      <c r="A1031" s="4" t="s">
        <v>795</v>
      </c>
      <c r="B1031" s="3">
        <v>0.0</v>
      </c>
      <c r="C1031" s="3" t="s">
        <v>3</v>
      </c>
      <c r="D1031" s="4" t="str">
        <f t="shared" si="1"/>
        <v>SANS</v>
      </c>
    </row>
    <row r="1032">
      <c r="A1032" s="4" t="s">
        <v>796</v>
      </c>
      <c r="B1032" s="3">
        <v>0.0</v>
      </c>
      <c r="C1032" s="3" t="s">
        <v>3</v>
      </c>
      <c r="D1032" s="4" t="str">
        <f t="shared" si="1"/>
        <v>SANS</v>
      </c>
    </row>
    <row r="1033">
      <c r="A1033" s="4" t="s">
        <v>798</v>
      </c>
      <c r="B1033" s="3">
        <v>0.0</v>
      </c>
      <c r="C1033" s="3" t="s">
        <v>29</v>
      </c>
      <c r="D1033" s="4" t="str">
        <f t="shared" si="1"/>
        <v>SANS</v>
      </c>
    </row>
    <row r="1034">
      <c r="A1034" s="4" t="s">
        <v>799</v>
      </c>
      <c r="B1034" s="3">
        <v>0.0</v>
      </c>
      <c r="C1034" s="3" t="s">
        <v>29</v>
      </c>
      <c r="D1034" s="4" t="str">
        <f t="shared" si="1"/>
        <v>SANS</v>
      </c>
    </row>
    <row r="1035">
      <c r="A1035" s="4" t="s">
        <v>802</v>
      </c>
      <c r="B1035" s="3">
        <v>0.0</v>
      </c>
      <c r="C1035" s="3" t="s">
        <v>3</v>
      </c>
      <c r="D1035" s="4" t="str">
        <f t="shared" si="1"/>
        <v>SANS</v>
      </c>
    </row>
    <row r="1036">
      <c r="A1036" s="4" t="s">
        <v>803</v>
      </c>
      <c r="B1036" s="3">
        <v>0.0</v>
      </c>
      <c r="C1036" s="3" t="s">
        <v>3</v>
      </c>
      <c r="D1036" s="4" t="str">
        <f t="shared" si="1"/>
        <v>SANS</v>
      </c>
    </row>
    <row r="1037">
      <c r="A1037" s="4" t="s">
        <v>804</v>
      </c>
      <c r="B1037" s="3">
        <v>0.0</v>
      </c>
      <c r="C1037" s="3" t="s">
        <v>32</v>
      </c>
      <c r="D1037" s="4" t="str">
        <f t="shared" si="1"/>
        <v>SANS</v>
      </c>
    </row>
    <row r="1038">
      <c r="A1038" s="4" t="s">
        <v>805</v>
      </c>
      <c r="B1038" s="3">
        <v>0.0</v>
      </c>
      <c r="C1038" s="3" t="s">
        <v>6</v>
      </c>
      <c r="D1038" s="4" t="str">
        <f t="shared" si="1"/>
        <v>SANS</v>
      </c>
    </row>
    <row r="1039">
      <c r="A1039" s="4" t="s">
        <v>807</v>
      </c>
      <c r="B1039" s="3">
        <v>0.0</v>
      </c>
      <c r="C1039" s="3" t="s">
        <v>484</v>
      </c>
      <c r="D1039" s="4" t="str">
        <f t="shared" si="1"/>
        <v>SANS</v>
      </c>
    </row>
    <row r="1040">
      <c r="A1040" s="4" t="s">
        <v>808</v>
      </c>
      <c r="B1040" s="3">
        <v>0.0</v>
      </c>
      <c r="C1040" s="3" t="s">
        <v>6</v>
      </c>
      <c r="D1040" s="4" t="str">
        <f t="shared" si="1"/>
        <v>SANS</v>
      </c>
    </row>
    <row r="1041">
      <c r="A1041" s="4" t="s">
        <v>809</v>
      </c>
      <c r="B1041" s="3">
        <v>0.0</v>
      </c>
      <c r="C1041" s="3" t="s">
        <v>29</v>
      </c>
      <c r="D1041" s="4" t="str">
        <f t="shared" si="1"/>
        <v>SANS</v>
      </c>
    </row>
    <row r="1042">
      <c r="A1042" s="4" t="s">
        <v>810</v>
      </c>
      <c r="B1042" s="3">
        <v>0.0</v>
      </c>
      <c r="C1042" s="3" t="s">
        <v>32</v>
      </c>
      <c r="D1042" s="4" t="str">
        <f t="shared" si="1"/>
        <v>SANS</v>
      </c>
    </row>
    <row r="1043">
      <c r="A1043" s="4" t="s">
        <v>814</v>
      </c>
      <c r="B1043" s="3">
        <v>0.0</v>
      </c>
      <c r="C1043" s="3" t="s">
        <v>3</v>
      </c>
      <c r="D1043" s="4" t="str">
        <f t="shared" si="1"/>
        <v>SANS</v>
      </c>
    </row>
    <row r="1044">
      <c r="A1044" s="4" t="s">
        <v>815</v>
      </c>
      <c r="B1044" s="3">
        <v>0.0</v>
      </c>
      <c r="C1044" s="3" t="s">
        <v>3</v>
      </c>
      <c r="D1044" s="4" t="str">
        <f t="shared" si="1"/>
        <v>SANS</v>
      </c>
    </row>
    <row r="1045">
      <c r="A1045" s="4" t="s">
        <v>816</v>
      </c>
      <c r="B1045" s="3">
        <v>0.0</v>
      </c>
      <c r="C1045" s="3" t="s">
        <v>3</v>
      </c>
      <c r="D1045" s="4" t="str">
        <f t="shared" si="1"/>
        <v>SANS</v>
      </c>
    </row>
    <row r="1046">
      <c r="A1046" s="4" t="s">
        <v>818</v>
      </c>
      <c r="B1046" s="3">
        <v>0.0</v>
      </c>
      <c r="C1046" s="3" t="s">
        <v>3</v>
      </c>
      <c r="D1046" s="4" t="str">
        <f t="shared" si="1"/>
        <v>SANS</v>
      </c>
    </row>
    <row r="1047">
      <c r="A1047" s="4" t="s">
        <v>826</v>
      </c>
      <c r="B1047" s="3">
        <v>0.0</v>
      </c>
      <c r="C1047" s="3" t="s">
        <v>668</v>
      </c>
      <c r="D1047" s="4" t="str">
        <f t="shared" si="1"/>
        <v>SANS</v>
      </c>
    </row>
    <row r="1048">
      <c r="A1048" s="4" t="s">
        <v>2209</v>
      </c>
      <c r="B1048" s="3">
        <v>0.0</v>
      </c>
      <c r="C1048" s="3" t="s">
        <v>3</v>
      </c>
      <c r="D1048" s="4" t="str">
        <f t="shared" si="1"/>
        <v>SANS</v>
      </c>
    </row>
    <row r="1049">
      <c r="A1049" s="4" t="s">
        <v>829</v>
      </c>
      <c r="B1049" s="3">
        <v>0.0</v>
      </c>
      <c r="C1049" s="3" t="s">
        <v>3</v>
      </c>
      <c r="D1049" s="4" t="str">
        <f t="shared" si="1"/>
        <v>SANS</v>
      </c>
    </row>
    <row r="1050">
      <c r="A1050" s="4" t="s">
        <v>830</v>
      </c>
      <c r="B1050" s="3">
        <v>0.0</v>
      </c>
      <c r="C1050" s="3" t="s">
        <v>3</v>
      </c>
      <c r="D1050" s="4" t="str">
        <f t="shared" si="1"/>
        <v>SANS</v>
      </c>
    </row>
    <row r="1051">
      <c r="A1051" s="4" t="s">
        <v>2210</v>
      </c>
      <c r="B1051" s="3">
        <v>0.0</v>
      </c>
      <c r="C1051" s="3" t="s">
        <v>6</v>
      </c>
      <c r="D1051" s="4" t="str">
        <f t="shared" si="1"/>
        <v>SANS</v>
      </c>
    </row>
    <row r="1052">
      <c r="A1052" s="4" t="s">
        <v>2212</v>
      </c>
      <c r="B1052" s="3">
        <v>0.0</v>
      </c>
      <c r="C1052" s="3" t="s">
        <v>3</v>
      </c>
      <c r="D1052" s="4" t="str">
        <f t="shared" si="1"/>
        <v>SANS</v>
      </c>
    </row>
    <row r="1053">
      <c r="A1053" s="4" t="s">
        <v>848</v>
      </c>
      <c r="B1053" s="3">
        <v>0.0</v>
      </c>
      <c r="C1053" s="3" t="s">
        <v>3</v>
      </c>
      <c r="D1053" s="4" t="str">
        <f t="shared" si="1"/>
        <v>SANS</v>
      </c>
    </row>
    <row r="1054">
      <c r="A1054" s="4" t="s">
        <v>849</v>
      </c>
      <c r="B1054" s="3">
        <v>0.0</v>
      </c>
      <c r="C1054" s="3" t="s">
        <v>3</v>
      </c>
      <c r="D1054" s="4" t="str">
        <f t="shared" si="1"/>
        <v>SANS</v>
      </c>
    </row>
    <row r="1055">
      <c r="A1055" s="4" t="s">
        <v>850</v>
      </c>
      <c r="B1055" s="3">
        <v>0.0</v>
      </c>
      <c r="C1055" s="3" t="s">
        <v>3</v>
      </c>
      <c r="D1055" s="4" t="str">
        <f t="shared" si="1"/>
        <v>SANS</v>
      </c>
    </row>
    <row r="1056">
      <c r="A1056" s="4" t="s">
        <v>852</v>
      </c>
      <c r="B1056" s="3">
        <v>0.0</v>
      </c>
      <c r="C1056" s="3" t="s">
        <v>3</v>
      </c>
      <c r="D1056" s="4" t="str">
        <f t="shared" si="1"/>
        <v>SANS</v>
      </c>
    </row>
    <row r="1057">
      <c r="A1057" s="4" t="s">
        <v>853</v>
      </c>
      <c r="B1057" s="3">
        <v>0.0</v>
      </c>
      <c r="C1057" s="3" t="s">
        <v>32</v>
      </c>
      <c r="D1057" s="4" t="str">
        <f t="shared" si="1"/>
        <v>SANS</v>
      </c>
    </row>
    <row r="1058">
      <c r="A1058" s="4" t="s">
        <v>854</v>
      </c>
      <c r="B1058" s="3">
        <v>0.0</v>
      </c>
      <c r="C1058" s="3" t="s">
        <v>3</v>
      </c>
      <c r="D1058" s="4" t="str">
        <f t="shared" si="1"/>
        <v>SANS</v>
      </c>
    </row>
    <row r="1059">
      <c r="A1059" s="4" t="s">
        <v>2214</v>
      </c>
      <c r="B1059" s="3">
        <v>0.0</v>
      </c>
      <c r="C1059" s="3" t="s">
        <v>37</v>
      </c>
      <c r="D1059" s="4" t="str">
        <f t="shared" si="1"/>
        <v>SANS</v>
      </c>
    </row>
    <row r="1060">
      <c r="A1060" s="4" t="s">
        <v>2217</v>
      </c>
      <c r="B1060" s="3">
        <v>0.0</v>
      </c>
      <c r="C1060" s="3" t="s">
        <v>6</v>
      </c>
      <c r="D1060" s="4" t="str">
        <f t="shared" si="1"/>
        <v>SANS</v>
      </c>
    </row>
    <row r="1061">
      <c r="A1061" s="4" t="s">
        <v>864</v>
      </c>
      <c r="B1061" s="3">
        <v>0.0</v>
      </c>
      <c r="C1061" s="3" t="s">
        <v>3</v>
      </c>
      <c r="D1061" s="4" t="str">
        <f t="shared" si="1"/>
        <v>SANS</v>
      </c>
    </row>
    <row r="1062">
      <c r="A1062" s="4" t="s">
        <v>2219</v>
      </c>
      <c r="B1062" s="3">
        <v>0.0</v>
      </c>
      <c r="C1062" s="3" t="s">
        <v>3</v>
      </c>
      <c r="D1062" s="4" t="str">
        <f t="shared" si="1"/>
        <v>SANS</v>
      </c>
    </row>
    <row r="1063">
      <c r="A1063" s="4" t="s">
        <v>873</v>
      </c>
      <c r="B1063" s="3">
        <v>0.0</v>
      </c>
      <c r="C1063" s="3" t="s">
        <v>26</v>
      </c>
      <c r="D1063" s="4" t="str">
        <f t="shared" si="1"/>
        <v>SANS</v>
      </c>
    </row>
    <row r="1064">
      <c r="A1064" s="4" t="s">
        <v>875</v>
      </c>
      <c r="B1064" s="3">
        <v>0.0</v>
      </c>
      <c r="C1064" s="3" t="s">
        <v>6</v>
      </c>
      <c r="D1064" s="4" t="str">
        <f t="shared" si="1"/>
        <v>SANS</v>
      </c>
    </row>
    <row r="1065">
      <c r="A1065" s="4" t="s">
        <v>2222</v>
      </c>
      <c r="B1065" s="3">
        <v>0.0</v>
      </c>
      <c r="C1065" s="3" t="s">
        <v>29</v>
      </c>
      <c r="D1065" s="4" t="str">
        <f t="shared" si="1"/>
        <v>SANS</v>
      </c>
    </row>
    <row r="1066">
      <c r="A1066" s="4" t="s">
        <v>2223</v>
      </c>
      <c r="B1066" s="3">
        <v>0.0</v>
      </c>
      <c r="C1066" s="3" t="s">
        <v>29</v>
      </c>
      <c r="D1066" s="4" t="str">
        <f t="shared" si="1"/>
        <v>SANS</v>
      </c>
    </row>
    <row r="1067">
      <c r="A1067" s="4" t="s">
        <v>882</v>
      </c>
      <c r="B1067" s="3">
        <v>0.0</v>
      </c>
      <c r="C1067" s="3" t="s">
        <v>6</v>
      </c>
      <c r="D1067" s="4" t="str">
        <f t="shared" si="1"/>
        <v>SANS</v>
      </c>
    </row>
    <row r="1068">
      <c r="A1068" s="4" t="s">
        <v>2224</v>
      </c>
      <c r="B1068" s="3">
        <v>0.0</v>
      </c>
      <c r="C1068" s="3" t="s">
        <v>29</v>
      </c>
      <c r="D1068" s="4" t="str">
        <f t="shared" si="1"/>
        <v>SANS</v>
      </c>
    </row>
    <row r="1069">
      <c r="A1069" s="4" t="s">
        <v>894</v>
      </c>
      <c r="B1069" s="3">
        <v>0.0</v>
      </c>
      <c r="C1069" s="3" t="s">
        <v>6</v>
      </c>
      <c r="D1069" s="4" t="str">
        <f t="shared" si="1"/>
        <v>SANS</v>
      </c>
    </row>
    <row r="1070">
      <c r="A1070" s="4" t="s">
        <v>895</v>
      </c>
      <c r="B1070" s="3">
        <v>0.0</v>
      </c>
      <c r="C1070" s="3" t="s">
        <v>3</v>
      </c>
      <c r="D1070" s="4" t="str">
        <f t="shared" si="1"/>
        <v>SANS</v>
      </c>
    </row>
    <row r="1071">
      <c r="A1071" s="4" t="s">
        <v>896</v>
      </c>
      <c r="B1071" s="3">
        <v>0.0</v>
      </c>
      <c r="C1071" s="3" t="s">
        <v>32</v>
      </c>
      <c r="D1071" s="4" t="str">
        <f t="shared" si="1"/>
        <v>SANS</v>
      </c>
    </row>
    <row r="1072">
      <c r="A1072" s="4" t="s">
        <v>2228</v>
      </c>
      <c r="B1072" s="3">
        <v>0.0</v>
      </c>
      <c r="C1072" s="3" t="s">
        <v>3</v>
      </c>
      <c r="D1072" s="4" t="str">
        <f t="shared" si="1"/>
        <v>SANS</v>
      </c>
    </row>
    <row r="1073">
      <c r="A1073" s="4" t="s">
        <v>899</v>
      </c>
      <c r="B1073" s="3">
        <v>0.0</v>
      </c>
      <c r="C1073" s="3" t="s">
        <v>3</v>
      </c>
      <c r="D1073" s="4" t="str">
        <f t="shared" si="1"/>
        <v>SANS</v>
      </c>
    </row>
    <row r="1074">
      <c r="A1074" s="4" t="s">
        <v>901</v>
      </c>
      <c r="B1074" s="3">
        <v>0.0</v>
      </c>
      <c r="C1074" s="3" t="s">
        <v>32</v>
      </c>
      <c r="D1074" s="4" t="str">
        <f t="shared" si="1"/>
        <v>SANS</v>
      </c>
    </row>
    <row r="1075">
      <c r="A1075" s="4" t="s">
        <v>2229</v>
      </c>
      <c r="B1075" s="3">
        <v>0.0</v>
      </c>
      <c r="C1075" s="3" t="s">
        <v>6</v>
      </c>
      <c r="D1075" s="4" t="str">
        <f t="shared" si="1"/>
        <v>SANS</v>
      </c>
    </row>
    <row r="1076">
      <c r="A1076" s="4" t="s">
        <v>911</v>
      </c>
      <c r="B1076" s="3">
        <v>0.0</v>
      </c>
      <c r="C1076" s="3" t="s">
        <v>3</v>
      </c>
      <c r="D1076" s="4" t="str">
        <f t="shared" si="1"/>
        <v>SANS</v>
      </c>
    </row>
    <row r="1077">
      <c r="A1077" s="4" t="s">
        <v>912</v>
      </c>
      <c r="B1077" s="3">
        <v>0.0</v>
      </c>
      <c r="C1077" s="3" t="s">
        <v>3</v>
      </c>
      <c r="D1077" s="4" t="str">
        <f t="shared" si="1"/>
        <v>SANS</v>
      </c>
    </row>
    <row r="1078">
      <c r="A1078" s="4" t="s">
        <v>918</v>
      </c>
      <c r="B1078" s="3">
        <v>0.0</v>
      </c>
      <c r="C1078" s="3" t="s">
        <v>32</v>
      </c>
      <c r="D1078" s="4" t="str">
        <f t="shared" si="1"/>
        <v>SANS</v>
      </c>
    </row>
    <row r="1079">
      <c r="A1079" s="4" t="s">
        <v>919</v>
      </c>
      <c r="B1079" s="3">
        <v>0.0</v>
      </c>
      <c r="C1079" s="3" t="s">
        <v>3</v>
      </c>
      <c r="D1079" s="4" t="str">
        <f t="shared" si="1"/>
        <v>SANS</v>
      </c>
    </row>
    <row r="1080">
      <c r="A1080" s="4" t="s">
        <v>920</v>
      </c>
      <c r="B1080" s="3">
        <v>0.0</v>
      </c>
      <c r="C1080" s="3" t="s">
        <v>3</v>
      </c>
      <c r="D1080" s="4" t="str">
        <f t="shared" si="1"/>
        <v>SANS</v>
      </c>
    </row>
    <row r="1081">
      <c r="A1081" s="4" t="s">
        <v>924</v>
      </c>
      <c r="B1081" s="3">
        <v>0.0</v>
      </c>
      <c r="C1081" s="3" t="s">
        <v>3</v>
      </c>
      <c r="D1081" s="4" t="str">
        <f t="shared" si="1"/>
        <v>SANS</v>
      </c>
    </row>
    <row r="1082">
      <c r="A1082" s="4" t="s">
        <v>926</v>
      </c>
      <c r="B1082" s="3">
        <v>0.0</v>
      </c>
      <c r="C1082" s="3" t="s">
        <v>3</v>
      </c>
      <c r="D1082" s="4" t="str">
        <f t="shared" si="1"/>
        <v>SANS</v>
      </c>
    </row>
    <row r="1083">
      <c r="A1083" s="4" t="s">
        <v>928</v>
      </c>
      <c r="B1083" s="3">
        <v>0.0</v>
      </c>
      <c r="C1083" s="3" t="s">
        <v>32</v>
      </c>
      <c r="D1083" s="4" t="str">
        <f t="shared" si="1"/>
        <v>SANS</v>
      </c>
    </row>
    <row r="1084">
      <c r="A1084" s="4" t="s">
        <v>934</v>
      </c>
      <c r="B1084" s="3">
        <v>0.0</v>
      </c>
      <c r="C1084" s="3" t="s">
        <v>3</v>
      </c>
      <c r="D1084" s="4" t="str">
        <f t="shared" si="1"/>
        <v>SANS</v>
      </c>
    </row>
    <row r="1085">
      <c r="A1085" s="4" t="s">
        <v>943</v>
      </c>
      <c r="B1085" s="3">
        <v>0.0</v>
      </c>
      <c r="C1085" s="3" t="s">
        <v>3</v>
      </c>
      <c r="D1085" s="4" t="str">
        <f t="shared" si="1"/>
        <v>SANS</v>
      </c>
    </row>
    <row r="1086">
      <c r="A1086" s="4" t="s">
        <v>944</v>
      </c>
      <c r="B1086" s="3">
        <v>0.0</v>
      </c>
      <c r="C1086" s="3" t="s">
        <v>3</v>
      </c>
      <c r="D1086" s="4" t="str">
        <f t="shared" si="1"/>
        <v>SANS</v>
      </c>
    </row>
    <row r="1087">
      <c r="A1087" s="4" t="s">
        <v>947</v>
      </c>
      <c r="B1087" s="3">
        <v>0.0</v>
      </c>
      <c r="C1087" s="3" t="s">
        <v>29</v>
      </c>
      <c r="D1087" s="4" t="str">
        <f t="shared" si="1"/>
        <v>SANS</v>
      </c>
    </row>
    <row r="1088">
      <c r="A1088" s="4" t="s">
        <v>958</v>
      </c>
      <c r="B1088" s="3">
        <v>0.0</v>
      </c>
      <c r="C1088" s="3" t="s">
        <v>3</v>
      </c>
      <c r="D1088" s="4" t="str">
        <f t="shared" si="1"/>
        <v>SANS</v>
      </c>
    </row>
    <row r="1089">
      <c r="A1089" s="4" t="s">
        <v>2234</v>
      </c>
      <c r="B1089" s="3">
        <v>0.0</v>
      </c>
      <c r="C1089" s="3" t="s">
        <v>3</v>
      </c>
      <c r="D1089" s="4" t="str">
        <f t="shared" si="1"/>
        <v>SANS</v>
      </c>
    </row>
    <row r="1090">
      <c r="A1090" s="4" t="s">
        <v>964</v>
      </c>
      <c r="B1090" s="3">
        <v>0.0</v>
      </c>
      <c r="C1090" s="3" t="s">
        <v>3</v>
      </c>
      <c r="D1090" s="4" t="str">
        <f t="shared" si="1"/>
        <v>SANS</v>
      </c>
    </row>
    <row r="1091">
      <c r="A1091" s="4" t="s">
        <v>969</v>
      </c>
      <c r="B1091" s="3">
        <v>0.0</v>
      </c>
      <c r="C1091" s="3" t="s">
        <v>3</v>
      </c>
      <c r="D1091" s="4" t="str">
        <f t="shared" si="1"/>
        <v>SANS</v>
      </c>
    </row>
    <row r="1092">
      <c r="A1092" s="4" t="s">
        <v>970</v>
      </c>
      <c r="B1092" s="3">
        <v>0.0</v>
      </c>
      <c r="C1092" s="3" t="s">
        <v>3</v>
      </c>
      <c r="D1092" s="4" t="str">
        <f t="shared" si="1"/>
        <v>SANS</v>
      </c>
    </row>
    <row r="1093">
      <c r="A1093" s="4" t="s">
        <v>971</v>
      </c>
      <c r="B1093" s="3">
        <v>0.0</v>
      </c>
      <c r="C1093" s="3" t="s">
        <v>3</v>
      </c>
      <c r="D1093" s="4" t="str">
        <f t="shared" si="1"/>
        <v>SANS</v>
      </c>
    </row>
    <row r="1094">
      <c r="A1094" s="4" t="s">
        <v>972</v>
      </c>
      <c r="B1094" s="3">
        <v>0.0</v>
      </c>
      <c r="C1094" s="3" t="s">
        <v>32</v>
      </c>
      <c r="D1094" s="4" t="str">
        <f t="shared" si="1"/>
        <v>SANS</v>
      </c>
    </row>
    <row r="1095">
      <c r="A1095" s="4" t="s">
        <v>974</v>
      </c>
      <c r="B1095" s="3">
        <v>0.0</v>
      </c>
      <c r="C1095" s="3" t="s">
        <v>3</v>
      </c>
      <c r="D1095" s="4" t="str">
        <f t="shared" si="1"/>
        <v>SANS</v>
      </c>
    </row>
    <row r="1096">
      <c r="A1096" s="4" t="s">
        <v>978</v>
      </c>
      <c r="B1096" s="3">
        <v>0.0</v>
      </c>
      <c r="C1096" s="3" t="s">
        <v>29</v>
      </c>
      <c r="D1096" s="4" t="str">
        <f t="shared" si="1"/>
        <v>SANS</v>
      </c>
    </row>
    <row r="1097">
      <c r="A1097" s="4" t="s">
        <v>980</v>
      </c>
      <c r="B1097" s="3">
        <v>0.0</v>
      </c>
      <c r="C1097" s="3" t="s">
        <v>3</v>
      </c>
      <c r="D1097" s="4" t="str">
        <f t="shared" si="1"/>
        <v>SANS</v>
      </c>
    </row>
    <row r="1098">
      <c r="A1098" s="4" t="s">
        <v>982</v>
      </c>
      <c r="B1098" s="3">
        <v>0.0</v>
      </c>
      <c r="C1098" s="3" t="s">
        <v>6</v>
      </c>
      <c r="D1098" s="4" t="str">
        <f t="shared" si="1"/>
        <v>SANS</v>
      </c>
    </row>
    <row r="1099">
      <c r="A1099" s="4" t="s">
        <v>983</v>
      </c>
      <c r="B1099" s="3">
        <v>0.0</v>
      </c>
      <c r="C1099" s="3" t="s">
        <v>3</v>
      </c>
      <c r="D1099" s="4" t="str">
        <f t="shared" si="1"/>
        <v>SANS</v>
      </c>
    </row>
    <row r="1100">
      <c r="A1100" s="4" t="s">
        <v>987</v>
      </c>
      <c r="B1100" s="3">
        <v>0.0</v>
      </c>
      <c r="C1100" s="3" t="s">
        <v>3</v>
      </c>
      <c r="D1100" s="4" t="str">
        <f t="shared" si="1"/>
        <v>SANS</v>
      </c>
    </row>
    <row r="1101">
      <c r="A1101" s="4" t="s">
        <v>991</v>
      </c>
      <c r="B1101" s="3">
        <v>0.0</v>
      </c>
      <c r="C1101" s="3" t="s">
        <v>3</v>
      </c>
      <c r="D1101" s="4" t="str">
        <f t="shared" si="1"/>
        <v>SANS</v>
      </c>
    </row>
    <row r="1102">
      <c r="A1102" s="4" t="s">
        <v>992</v>
      </c>
      <c r="B1102" s="3">
        <v>0.0</v>
      </c>
      <c r="C1102" s="3" t="s">
        <v>3</v>
      </c>
      <c r="D1102" s="4" t="str">
        <f t="shared" si="1"/>
        <v>SANS</v>
      </c>
    </row>
    <row r="1103">
      <c r="A1103" s="4" t="s">
        <v>993</v>
      </c>
      <c r="B1103" s="3">
        <v>0.0</v>
      </c>
      <c r="C1103" s="3" t="s">
        <v>3</v>
      </c>
      <c r="D1103" s="4" t="str">
        <f t="shared" si="1"/>
        <v>SANS</v>
      </c>
    </row>
    <row r="1104">
      <c r="A1104" s="4" t="s">
        <v>999</v>
      </c>
      <c r="B1104" s="3">
        <v>0.0</v>
      </c>
      <c r="C1104" s="3" t="s">
        <v>3</v>
      </c>
      <c r="D1104" s="4" t="str">
        <f t="shared" si="1"/>
        <v>SANS</v>
      </c>
    </row>
    <row r="1105">
      <c r="A1105" s="4" t="s">
        <v>1001</v>
      </c>
      <c r="B1105" s="3">
        <v>0.0</v>
      </c>
      <c r="C1105" s="3" t="s">
        <v>6</v>
      </c>
      <c r="D1105" s="4" t="str">
        <f t="shared" si="1"/>
        <v>SANS</v>
      </c>
    </row>
    <row r="1106">
      <c r="A1106" s="4" t="s">
        <v>1003</v>
      </c>
      <c r="B1106" s="3">
        <v>0.0</v>
      </c>
      <c r="C1106" s="3" t="s">
        <v>3</v>
      </c>
      <c r="D1106" s="4" t="str">
        <f t="shared" si="1"/>
        <v>SANS</v>
      </c>
    </row>
    <row r="1107">
      <c r="A1107" s="4" t="s">
        <v>1004</v>
      </c>
      <c r="B1107" s="3">
        <v>0.0</v>
      </c>
      <c r="C1107" s="3" t="s">
        <v>3</v>
      </c>
      <c r="D1107" s="4" t="str">
        <f t="shared" si="1"/>
        <v>SANS</v>
      </c>
    </row>
    <row r="1108">
      <c r="A1108" s="4" t="s">
        <v>1006</v>
      </c>
      <c r="B1108" s="3">
        <v>0.0</v>
      </c>
      <c r="C1108" s="3" t="s">
        <v>3</v>
      </c>
      <c r="D1108" s="4" t="str">
        <f t="shared" si="1"/>
        <v>SANS</v>
      </c>
    </row>
    <row r="1109">
      <c r="A1109" s="4" t="s">
        <v>1008</v>
      </c>
      <c r="B1109" s="3">
        <v>0.0</v>
      </c>
      <c r="C1109" s="3" t="s">
        <v>484</v>
      </c>
      <c r="D1109" s="4" t="str">
        <f t="shared" si="1"/>
        <v>SANS</v>
      </c>
    </row>
    <row r="1110">
      <c r="A1110" s="4" t="s">
        <v>1009</v>
      </c>
      <c r="B1110" s="3">
        <v>0.0</v>
      </c>
      <c r="C1110" s="3" t="s">
        <v>3</v>
      </c>
      <c r="D1110" s="4" t="str">
        <f t="shared" si="1"/>
        <v>SANS</v>
      </c>
    </row>
    <row r="1111">
      <c r="A1111" s="4" t="s">
        <v>1010</v>
      </c>
      <c r="B1111" s="3">
        <v>0.0</v>
      </c>
      <c r="C1111" s="3" t="s">
        <v>6</v>
      </c>
      <c r="D1111" s="4" t="str">
        <f t="shared" si="1"/>
        <v>SANS</v>
      </c>
    </row>
    <row r="1112">
      <c r="A1112" s="4" t="s">
        <v>1015</v>
      </c>
      <c r="B1112" s="3">
        <v>0.0</v>
      </c>
      <c r="C1112" s="3" t="s">
        <v>3</v>
      </c>
      <c r="D1112" s="4" t="str">
        <f t="shared" si="1"/>
        <v>SANS</v>
      </c>
    </row>
    <row r="1113">
      <c r="A1113" s="4" t="s">
        <v>1016</v>
      </c>
      <c r="B1113" s="3">
        <v>0.0</v>
      </c>
      <c r="C1113" s="3" t="s">
        <v>6</v>
      </c>
      <c r="D1113" s="4" t="str">
        <f t="shared" si="1"/>
        <v>SANS</v>
      </c>
    </row>
    <row r="1114">
      <c r="A1114" s="4" t="s">
        <v>1018</v>
      </c>
      <c r="B1114" s="3">
        <v>0.0</v>
      </c>
      <c r="C1114" s="3" t="s">
        <v>32</v>
      </c>
      <c r="D1114" s="4" t="str">
        <f t="shared" si="1"/>
        <v>SANS</v>
      </c>
    </row>
    <row r="1115">
      <c r="A1115" s="4" t="s">
        <v>1019</v>
      </c>
      <c r="B1115" s="3">
        <v>0.0</v>
      </c>
      <c r="C1115" s="3" t="s">
        <v>6</v>
      </c>
      <c r="D1115" s="4" t="str">
        <f t="shared" si="1"/>
        <v>SANS</v>
      </c>
    </row>
    <row r="1116">
      <c r="A1116" s="4" t="s">
        <v>1022</v>
      </c>
      <c r="B1116" s="3">
        <v>0.0</v>
      </c>
      <c r="C1116" s="3" t="s">
        <v>6</v>
      </c>
      <c r="D1116" s="4" t="str">
        <f t="shared" si="1"/>
        <v>SANS</v>
      </c>
    </row>
    <row r="1117">
      <c r="A1117" s="4" t="s">
        <v>1025</v>
      </c>
      <c r="B1117" s="3">
        <v>0.0</v>
      </c>
      <c r="C1117" s="3" t="s">
        <v>3</v>
      </c>
      <c r="D1117" s="4" t="str">
        <f t="shared" si="1"/>
        <v>SANS</v>
      </c>
    </row>
    <row r="1118">
      <c r="A1118" s="4" t="s">
        <v>2237</v>
      </c>
      <c r="B1118" s="3">
        <v>0.0</v>
      </c>
      <c r="C1118" s="3" t="s">
        <v>3</v>
      </c>
      <c r="D1118" s="4" t="str">
        <f t="shared" si="1"/>
        <v>SANS</v>
      </c>
    </row>
    <row r="1119">
      <c r="A1119" s="4" t="s">
        <v>1031</v>
      </c>
      <c r="B1119" s="3">
        <v>0.0</v>
      </c>
      <c r="C1119" s="3" t="s">
        <v>3</v>
      </c>
      <c r="D1119" s="4" t="str">
        <f t="shared" si="1"/>
        <v>SANS</v>
      </c>
    </row>
    <row r="1120">
      <c r="A1120" s="4" t="s">
        <v>1032</v>
      </c>
      <c r="B1120" s="3">
        <v>0.0</v>
      </c>
      <c r="C1120" s="3" t="s">
        <v>29</v>
      </c>
      <c r="D1120" s="4" t="str">
        <f t="shared" si="1"/>
        <v>SANS</v>
      </c>
    </row>
    <row r="1121">
      <c r="A1121" s="4" t="s">
        <v>1036</v>
      </c>
      <c r="B1121" s="3">
        <v>0.0</v>
      </c>
      <c r="C1121" s="3" t="s">
        <v>3</v>
      </c>
      <c r="D1121" s="4" t="str">
        <f t="shared" si="1"/>
        <v>SANS</v>
      </c>
    </row>
    <row r="1122">
      <c r="A1122" s="4" t="s">
        <v>1037</v>
      </c>
      <c r="B1122" s="3">
        <v>0.0</v>
      </c>
      <c r="C1122" s="3" t="s">
        <v>26</v>
      </c>
      <c r="D1122" s="4" t="str">
        <f t="shared" si="1"/>
        <v>SANS</v>
      </c>
    </row>
    <row r="1123">
      <c r="A1123" s="4" t="s">
        <v>1038</v>
      </c>
      <c r="B1123" s="3">
        <v>0.0</v>
      </c>
      <c r="C1123" s="3" t="s">
        <v>3</v>
      </c>
      <c r="D1123" s="4" t="str">
        <f t="shared" si="1"/>
        <v>SANS</v>
      </c>
    </row>
    <row r="1124">
      <c r="A1124" s="4" t="s">
        <v>1042</v>
      </c>
      <c r="B1124" s="3">
        <v>0.0</v>
      </c>
      <c r="C1124" s="3" t="s">
        <v>3</v>
      </c>
      <c r="D1124" s="4" t="str">
        <f t="shared" si="1"/>
        <v>SANS</v>
      </c>
    </row>
    <row r="1125">
      <c r="A1125" s="4" t="s">
        <v>1046</v>
      </c>
      <c r="B1125" s="3">
        <v>0.0</v>
      </c>
      <c r="C1125" s="3" t="s">
        <v>3</v>
      </c>
      <c r="D1125" s="4" t="str">
        <f t="shared" si="1"/>
        <v>SANS</v>
      </c>
    </row>
    <row r="1126">
      <c r="A1126" s="4" t="s">
        <v>1048</v>
      </c>
      <c r="B1126" s="3">
        <v>0.0</v>
      </c>
      <c r="C1126" s="3" t="s">
        <v>3</v>
      </c>
      <c r="D1126" s="4" t="str">
        <f t="shared" si="1"/>
        <v>SANS</v>
      </c>
    </row>
    <row r="1127">
      <c r="A1127" s="4" t="s">
        <v>2239</v>
      </c>
      <c r="B1127" s="3">
        <v>0.0</v>
      </c>
      <c r="C1127" s="3" t="s">
        <v>3</v>
      </c>
      <c r="D1127" s="4" t="str">
        <f t="shared" si="1"/>
        <v>SANS</v>
      </c>
    </row>
    <row r="1128">
      <c r="A1128" s="4" t="s">
        <v>1054</v>
      </c>
      <c r="B1128" s="3">
        <v>0.0</v>
      </c>
      <c r="C1128" s="3" t="s">
        <v>3</v>
      </c>
      <c r="D1128" s="4" t="str">
        <f t="shared" si="1"/>
        <v>SANS</v>
      </c>
    </row>
    <row r="1129">
      <c r="A1129" s="4" t="s">
        <v>1057</v>
      </c>
      <c r="B1129" s="3">
        <v>0.0</v>
      </c>
      <c r="C1129" s="3" t="s">
        <v>32</v>
      </c>
      <c r="D1129" s="4" t="str">
        <f t="shared" si="1"/>
        <v>SANS</v>
      </c>
    </row>
    <row r="1130">
      <c r="A1130" s="4" t="s">
        <v>1059</v>
      </c>
      <c r="B1130" s="3">
        <v>0.0</v>
      </c>
      <c r="C1130" s="3" t="s">
        <v>3</v>
      </c>
      <c r="D1130" s="4" t="str">
        <f t="shared" si="1"/>
        <v>SANS</v>
      </c>
    </row>
    <row r="1131">
      <c r="A1131" s="4" t="s">
        <v>1064</v>
      </c>
      <c r="B1131" s="3">
        <v>0.0</v>
      </c>
      <c r="C1131" s="3" t="s">
        <v>3</v>
      </c>
      <c r="D1131" s="4" t="str">
        <f t="shared" si="1"/>
        <v>SANS</v>
      </c>
    </row>
    <row r="1132">
      <c r="A1132" s="4" t="s">
        <v>1072</v>
      </c>
      <c r="B1132" s="3">
        <v>0.0</v>
      </c>
      <c r="C1132" s="3" t="s">
        <v>3</v>
      </c>
      <c r="D1132" s="4" t="str">
        <f t="shared" si="1"/>
        <v>SANS</v>
      </c>
    </row>
    <row r="1133">
      <c r="A1133" s="4" t="s">
        <v>2243</v>
      </c>
      <c r="B1133" s="3">
        <v>0.0</v>
      </c>
      <c r="C1133" s="3" t="s">
        <v>484</v>
      </c>
      <c r="D1133" s="4" t="str">
        <f t="shared" si="1"/>
        <v>SANS</v>
      </c>
    </row>
    <row r="1134">
      <c r="A1134" s="4" t="s">
        <v>1075</v>
      </c>
      <c r="B1134" s="3">
        <v>0.0</v>
      </c>
      <c r="C1134" s="3" t="s">
        <v>3</v>
      </c>
      <c r="D1134" s="4" t="str">
        <f t="shared" si="1"/>
        <v>SANS</v>
      </c>
    </row>
    <row r="1135">
      <c r="A1135" s="4" t="s">
        <v>1076</v>
      </c>
      <c r="B1135" s="3">
        <v>0.0</v>
      </c>
      <c r="C1135" s="3" t="s">
        <v>3</v>
      </c>
      <c r="D1135" s="4" t="str">
        <f t="shared" si="1"/>
        <v>SANS</v>
      </c>
    </row>
    <row r="1136">
      <c r="A1136" s="4" t="s">
        <v>2244</v>
      </c>
      <c r="B1136" s="3">
        <v>0.0</v>
      </c>
      <c r="C1136" s="3" t="s">
        <v>3</v>
      </c>
      <c r="D1136" s="4" t="str">
        <f t="shared" si="1"/>
        <v>SANS</v>
      </c>
    </row>
    <row r="1137">
      <c r="A1137" s="4" t="s">
        <v>1079</v>
      </c>
      <c r="B1137" s="3">
        <v>0.0</v>
      </c>
      <c r="C1137" s="3" t="s">
        <v>3</v>
      </c>
      <c r="D1137" s="4" t="str">
        <f t="shared" si="1"/>
        <v>SANS</v>
      </c>
    </row>
    <row r="1138">
      <c r="A1138" s="4" t="s">
        <v>1081</v>
      </c>
      <c r="B1138" s="3">
        <v>0.0</v>
      </c>
      <c r="C1138" s="3" t="s">
        <v>6</v>
      </c>
      <c r="D1138" s="4" t="str">
        <f t="shared" si="1"/>
        <v>SANS</v>
      </c>
    </row>
    <row r="1139">
      <c r="A1139" s="4" t="s">
        <v>1082</v>
      </c>
      <c r="B1139" s="3">
        <v>0.0</v>
      </c>
      <c r="C1139" s="3" t="s">
        <v>3</v>
      </c>
      <c r="D1139" s="4" t="str">
        <f t="shared" si="1"/>
        <v>SANS</v>
      </c>
    </row>
    <row r="1140">
      <c r="A1140" s="4" t="s">
        <v>1084</v>
      </c>
      <c r="B1140" s="3">
        <v>0.0</v>
      </c>
      <c r="C1140" s="3" t="s">
        <v>3</v>
      </c>
      <c r="D1140" s="4" t="str">
        <f t="shared" si="1"/>
        <v>SANS</v>
      </c>
    </row>
    <row r="1141">
      <c r="A1141" s="4" t="s">
        <v>2245</v>
      </c>
      <c r="B1141" s="3">
        <v>0.0</v>
      </c>
      <c r="C1141" s="3" t="s">
        <v>3</v>
      </c>
      <c r="D1141" s="4" t="str">
        <f t="shared" si="1"/>
        <v>SANS</v>
      </c>
    </row>
    <row r="1142">
      <c r="A1142" s="4" t="s">
        <v>1091</v>
      </c>
      <c r="B1142" s="3">
        <v>0.0</v>
      </c>
      <c r="C1142" s="3" t="s">
        <v>3</v>
      </c>
      <c r="D1142" s="4" t="str">
        <f t="shared" si="1"/>
        <v>SANS</v>
      </c>
    </row>
    <row r="1143">
      <c r="A1143" s="4" t="s">
        <v>1094</v>
      </c>
      <c r="B1143" s="3">
        <v>0.0</v>
      </c>
      <c r="C1143" s="3" t="s">
        <v>3</v>
      </c>
      <c r="D1143" s="4" t="str">
        <f t="shared" si="1"/>
        <v>SANS</v>
      </c>
    </row>
    <row r="1144">
      <c r="A1144" s="4" t="s">
        <v>1095</v>
      </c>
      <c r="B1144" s="3">
        <v>0.0</v>
      </c>
      <c r="C1144" s="3" t="s">
        <v>6</v>
      </c>
      <c r="D1144" s="4" t="str">
        <f t="shared" si="1"/>
        <v>SANS</v>
      </c>
    </row>
    <row r="1145">
      <c r="A1145" s="4" t="s">
        <v>1097</v>
      </c>
      <c r="B1145" s="3">
        <v>0.0</v>
      </c>
      <c r="C1145" s="3" t="s">
        <v>29</v>
      </c>
      <c r="D1145" s="4" t="str">
        <f t="shared" si="1"/>
        <v>SANS</v>
      </c>
    </row>
    <row r="1146">
      <c r="A1146" s="4" t="s">
        <v>1099</v>
      </c>
      <c r="B1146" s="3">
        <v>0.0</v>
      </c>
      <c r="C1146" s="3" t="s">
        <v>3</v>
      </c>
      <c r="D1146" s="4" t="str">
        <f t="shared" si="1"/>
        <v>SANS</v>
      </c>
    </row>
    <row r="1147">
      <c r="A1147" s="4" t="s">
        <v>1100</v>
      </c>
      <c r="B1147" s="3">
        <v>0.0</v>
      </c>
      <c r="C1147" s="3" t="s">
        <v>3</v>
      </c>
      <c r="D1147" s="4" t="str">
        <f t="shared" si="1"/>
        <v>SANS</v>
      </c>
    </row>
    <row r="1148">
      <c r="A1148" s="4" t="s">
        <v>2246</v>
      </c>
      <c r="B1148" s="3">
        <v>0.0</v>
      </c>
      <c r="C1148" s="3" t="s">
        <v>3</v>
      </c>
      <c r="D1148" s="4" t="str">
        <f t="shared" si="1"/>
        <v>SANS</v>
      </c>
    </row>
    <row r="1149">
      <c r="A1149" s="4" t="s">
        <v>1103</v>
      </c>
      <c r="B1149" s="3">
        <v>0.0</v>
      </c>
      <c r="C1149" s="3" t="s">
        <v>3</v>
      </c>
      <c r="D1149" s="4" t="str">
        <f t="shared" si="1"/>
        <v>SANS</v>
      </c>
    </row>
    <row r="1150">
      <c r="A1150" s="4" t="s">
        <v>2247</v>
      </c>
      <c r="B1150" s="3">
        <v>0.0</v>
      </c>
      <c r="C1150" s="3" t="s">
        <v>32</v>
      </c>
      <c r="D1150" s="4" t="str">
        <f t="shared" si="1"/>
        <v>SANS</v>
      </c>
    </row>
    <row r="1151">
      <c r="A1151" s="4" t="s">
        <v>1107</v>
      </c>
      <c r="B1151" s="3">
        <v>0.0</v>
      </c>
      <c r="C1151" s="3" t="s">
        <v>3</v>
      </c>
      <c r="D1151" s="4" t="str">
        <f t="shared" si="1"/>
        <v>SANS</v>
      </c>
    </row>
    <row r="1152">
      <c r="A1152" s="4" t="s">
        <v>2248</v>
      </c>
      <c r="B1152" s="3">
        <v>0.0</v>
      </c>
      <c r="C1152" s="3" t="s">
        <v>3</v>
      </c>
      <c r="D1152" s="4" t="str">
        <f t="shared" si="1"/>
        <v>SANS</v>
      </c>
    </row>
    <row r="1153">
      <c r="A1153" s="4" t="s">
        <v>1114</v>
      </c>
      <c r="B1153" s="3">
        <v>0.0</v>
      </c>
      <c r="C1153" s="3" t="s">
        <v>6</v>
      </c>
      <c r="D1153" s="4" t="str">
        <f t="shared" si="1"/>
        <v>SANS</v>
      </c>
    </row>
    <row r="1154">
      <c r="A1154" s="4" t="s">
        <v>2251</v>
      </c>
      <c r="B1154" s="3">
        <v>0.0</v>
      </c>
      <c r="C1154" s="3" t="s">
        <v>3</v>
      </c>
      <c r="D1154" s="4" t="str">
        <f t="shared" si="1"/>
        <v>SANS</v>
      </c>
    </row>
    <row r="1155">
      <c r="A1155" s="4" t="s">
        <v>1117</v>
      </c>
      <c r="B1155" s="3">
        <v>0.0</v>
      </c>
      <c r="C1155" s="3" t="s">
        <v>3</v>
      </c>
      <c r="D1155" s="4" t="str">
        <f t="shared" si="1"/>
        <v>SANS</v>
      </c>
    </row>
    <row r="1156">
      <c r="A1156" s="4" t="s">
        <v>1118</v>
      </c>
      <c r="B1156" s="3">
        <v>0.0</v>
      </c>
      <c r="C1156" s="3" t="s">
        <v>6</v>
      </c>
      <c r="D1156" s="4" t="str">
        <f t="shared" si="1"/>
        <v>SANS</v>
      </c>
    </row>
    <row r="1157">
      <c r="A1157" s="4" t="s">
        <v>2252</v>
      </c>
      <c r="B1157" s="3">
        <v>0.0</v>
      </c>
      <c r="C1157" s="3" t="s">
        <v>3</v>
      </c>
      <c r="D1157" s="4" t="str">
        <f t="shared" si="1"/>
        <v>SANS</v>
      </c>
    </row>
    <row r="1158">
      <c r="A1158" s="4" t="s">
        <v>2254</v>
      </c>
      <c r="B1158" s="3">
        <v>0.0</v>
      </c>
      <c r="C1158" s="3" t="s">
        <v>3</v>
      </c>
      <c r="D1158" s="4" t="str">
        <f t="shared" si="1"/>
        <v>SANS</v>
      </c>
    </row>
    <row r="1159">
      <c r="A1159" s="4" t="s">
        <v>2255</v>
      </c>
      <c r="B1159" s="3">
        <v>0.0</v>
      </c>
      <c r="C1159" s="3" t="s">
        <v>3</v>
      </c>
      <c r="D1159" s="4" t="str">
        <f t="shared" si="1"/>
        <v>SANS</v>
      </c>
    </row>
    <row r="1160">
      <c r="A1160" s="4" t="s">
        <v>2256</v>
      </c>
      <c r="B1160" s="3">
        <v>0.0</v>
      </c>
      <c r="C1160" s="3" t="s">
        <v>32</v>
      </c>
      <c r="D1160" s="4" t="str">
        <f t="shared" si="1"/>
        <v>SANS</v>
      </c>
    </row>
    <row r="1161">
      <c r="A1161" s="4" t="s">
        <v>1132</v>
      </c>
      <c r="B1161" s="3">
        <v>0.0</v>
      </c>
      <c r="C1161" s="3" t="s">
        <v>6</v>
      </c>
      <c r="D1161" s="4" t="str">
        <f t="shared" si="1"/>
        <v>SANS</v>
      </c>
    </row>
    <row r="1162">
      <c r="A1162" s="4" t="s">
        <v>1133</v>
      </c>
      <c r="B1162" s="3">
        <v>0.0</v>
      </c>
      <c r="C1162" s="3" t="s">
        <v>32</v>
      </c>
      <c r="D1162" s="4" t="str">
        <f t="shared" si="1"/>
        <v>SANS</v>
      </c>
    </row>
    <row r="1163">
      <c r="A1163" s="4" t="s">
        <v>1138</v>
      </c>
      <c r="B1163" s="3">
        <v>0.0</v>
      </c>
      <c r="C1163" s="3" t="s">
        <v>3</v>
      </c>
      <c r="D1163" s="4" t="str">
        <f t="shared" si="1"/>
        <v>SANS</v>
      </c>
    </row>
    <row r="1164">
      <c r="A1164" s="4" t="s">
        <v>1139</v>
      </c>
      <c r="B1164" s="3">
        <v>0.0</v>
      </c>
      <c r="C1164" s="3" t="s">
        <v>3</v>
      </c>
      <c r="D1164" s="4" t="str">
        <f t="shared" si="1"/>
        <v>SANS</v>
      </c>
    </row>
    <row r="1165">
      <c r="A1165" s="4" t="s">
        <v>1140</v>
      </c>
      <c r="B1165" s="3">
        <v>0.0</v>
      </c>
      <c r="C1165" s="3" t="s">
        <v>6</v>
      </c>
      <c r="D1165" s="4" t="str">
        <f t="shared" si="1"/>
        <v>SANS</v>
      </c>
    </row>
    <row r="1166">
      <c r="A1166" s="4" t="s">
        <v>1141</v>
      </c>
      <c r="B1166" s="3">
        <v>0.0</v>
      </c>
      <c r="C1166" s="3" t="s">
        <v>3</v>
      </c>
      <c r="D1166" s="4" t="str">
        <f t="shared" si="1"/>
        <v>SANS</v>
      </c>
    </row>
    <row r="1167">
      <c r="A1167" s="4" t="s">
        <v>1142</v>
      </c>
      <c r="B1167" s="3">
        <v>0.0</v>
      </c>
      <c r="C1167" s="3" t="s">
        <v>6</v>
      </c>
      <c r="D1167" s="4" t="str">
        <f t="shared" si="1"/>
        <v>SANS</v>
      </c>
    </row>
    <row r="1168">
      <c r="A1168" s="4" t="s">
        <v>1143</v>
      </c>
      <c r="B1168" s="3">
        <v>0.0</v>
      </c>
      <c r="C1168" s="3" t="s">
        <v>3</v>
      </c>
      <c r="D1168" s="4" t="str">
        <f t="shared" si="1"/>
        <v>SANS</v>
      </c>
    </row>
    <row r="1169">
      <c r="A1169" s="4" t="s">
        <v>1148</v>
      </c>
      <c r="B1169" s="3">
        <v>0.0</v>
      </c>
      <c r="C1169" s="3" t="s">
        <v>26</v>
      </c>
      <c r="D1169" s="4" t="str">
        <f t="shared" si="1"/>
        <v>SANS</v>
      </c>
    </row>
    <row r="1170">
      <c r="A1170" s="4" t="s">
        <v>1149</v>
      </c>
      <c r="B1170" s="3">
        <v>0.0</v>
      </c>
      <c r="C1170" s="3" t="s">
        <v>29</v>
      </c>
      <c r="D1170" s="4" t="str">
        <f t="shared" si="1"/>
        <v>SANS</v>
      </c>
    </row>
    <row r="1171">
      <c r="A1171" s="4" t="s">
        <v>1152</v>
      </c>
      <c r="B1171" s="3">
        <v>0.0</v>
      </c>
      <c r="C1171" s="3" t="s">
        <v>29</v>
      </c>
      <c r="D1171" s="4" t="str">
        <f t="shared" si="1"/>
        <v>SANS</v>
      </c>
    </row>
    <row r="1172">
      <c r="A1172" s="4" t="s">
        <v>1153</v>
      </c>
      <c r="B1172" s="3">
        <v>0.0</v>
      </c>
      <c r="C1172" s="3" t="s">
        <v>29</v>
      </c>
      <c r="D1172" s="4" t="str">
        <f t="shared" si="1"/>
        <v>SANS</v>
      </c>
    </row>
    <row r="1173">
      <c r="A1173" s="4" t="s">
        <v>1154</v>
      </c>
      <c r="B1173" s="3">
        <v>0.0</v>
      </c>
      <c r="C1173" s="3" t="s">
        <v>3</v>
      </c>
      <c r="D1173" s="4" t="str">
        <f t="shared" si="1"/>
        <v>SANS</v>
      </c>
    </row>
    <row r="1174">
      <c r="A1174" s="4" t="s">
        <v>1155</v>
      </c>
      <c r="B1174" s="3">
        <v>0.0</v>
      </c>
      <c r="C1174" s="3" t="s">
        <v>3</v>
      </c>
      <c r="D1174" s="4" t="str">
        <f t="shared" si="1"/>
        <v>SANS</v>
      </c>
    </row>
    <row r="1175">
      <c r="A1175" s="4" t="s">
        <v>1158</v>
      </c>
      <c r="B1175" s="3">
        <v>0.0</v>
      </c>
      <c r="C1175" s="3" t="s">
        <v>3</v>
      </c>
      <c r="D1175" s="4" t="str">
        <f t="shared" si="1"/>
        <v>SANS</v>
      </c>
    </row>
    <row r="1176">
      <c r="A1176" s="4" t="s">
        <v>1162</v>
      </c>
      <c r="B1176" s="3">
        <v>0.0</v>
      </c>
      <c r="C1176" s="3" t="s">
        <v>3</v>
      </c>
      <c r="D1176" s="4" t="str">
        <f t="shared" si="1"/>
        <v>SANS</v>
      </c>
    </row>
    <row r="1177">
      <c r="A1177" s="4" t="s">
        <v>1163</v>
      </c>
      <c r="B1177" s="3">
        <v>0.0</v>
      </c>
      <c r="C1177" s="3" t="s">
        <v>3</v>
      </c>
      <c r="D1177" s="4" t="str">
        <f t="shared" si="1"/>
        <v>SANS</v>
      </c>
    </row>
    <row r="1178">
      <c r="A1178" s="4" t="s">
        <v>1164</v>
      </c>
      <c r="B1178" s="3">
        <v>0.0</v>
      </c>
      <c r="C1178" s="3" t="s">
        <v>3</v>
      </c>
      <c r="D1178" s="4" t="str">
        <f t="shared" si="1"/>
        <v>SANS</v>
      </c>
    </row>
    <row r="1179">
      <c r="A1179" s="4" t="s">
        <v>1166</v>
      </c>
      <c r="B1179" s="3">
        <v>0.0</v>
      </c>
      <c r="C1179" s="3" t="s">
        <v>3</v>
      </c>
      <c r="D1179" s="4" t="str">
        <f t="shared" si="1"/>
        <v>SANS</v>
      </c>
    </row>
    <row r="1180">
      <c r="A1180" s="4" t="s">
        <v>1167</v>
      </c>
      <c r="B1180" s="3">
        <v>0.0</v>
      </c>
      <c r="C1180" s="3" t="s">
        <v>3</v>
      </c>
      <c r="D1180" s="4" t="str">
        <f t="shared" si="1"/>
        <v>SANS</v>
      </c>
    </row>
    <row r="1181">
      <c r="A1181" s="4" t="s">
        <v>1168</v>
      </c>
      <c r="B1181" s="3">
        <v>0.0</v>
      </c>
      <c r="C1181" s="3" t="s">
        <v>3</v>
      </c>
      <c r="D1181" s="4" t="str">
        <f t="shared" si="1"/>
        <v>SANS</v>
      </c>
    </row>
    <row r="1182">
      <c r="A1182" s="4" t="s">
        <v>1169</v>
      </c>
      <c r="B1182" s="3">
        <v>0.0</v>
      </c>
      <c r="C1182" s="3" t="s">
        <v>3</v>
      </c>
      <c r="D1182" s="4" t="str">
        <f t="shared" si="1"/>
        <v>SANS</v>
      </c>
    </row>
    <row r="1183">
      <c r="A1183" s="4" t="s">
        <v>1170</v>
      </c>
      <c r="B1183" s="3">
        <v>0.0</v>
      </c>
      <c r="C1183" s="3" t="s">
        <v>3</v>
      </c>
      <c r="D1183" s="4" t="str">
        <f t="shared" si="1"/>
        <v>SANS</v>
      </c>
    </row>
    <row r="1184">
      <c r="A1184" s="4" t="s">
        <v>1171</v>
      </c>
      <c r="B1184" s="3">
        <v>0.0</v>
      </c>
      <c r="C1184" s="3" t="s">
        <v>3</v>
      </c>
      <c r="D1184" s="4" t="str">
        <f t="shared" si="1"/>
        <v>SANS</v>
      </c>
    </row>
    <row r="1185">
      <c r="A1185" s="4" t="s">
        <v>1172</v>
      </c>
      <c r="B1185" s="3">
        <v>0.0</v>
      </c>
      <c r="C1185" s="3" t="s">
        <v>6</v>
      </c>
      <c r="D1185" s="4" t="str">
        <f t="shared" si="1"/>
        <v>SANS</v>
      </c>
    </row>
    <row r="1186">
      <c r="A1186" s="4" t="s">
        <v>1173</v>
      </c>
      <c r="B1186" s="3">
        <v>0.0</v>
      </c>
      <c r="C1186" s="3" t="s">
        <v>3</v>
      </c>
      <c r="D1186" s="4" t="str">
        <f t="shared" si="1"/>
        <v>SANS</v>
      </c>
    </row>
    <row r="1187">
      <c r="A1187" s="4" t="s">
        <v>1174</v>
      </c>
      <c r="B1187" s="3">
        <v>0.0</v>
      </c>
      <c r="C1187" s="3" t="s">
        <v>3</v>
      </c>
      <c r="D1187" s="4" t="str">
        <f t="shared" si="1"/>
        <v>SANS</v>
      </c>
    </row>
    <row r="1188">
      <c r="A1188" s="4" t="s">
        <v>1183</v>
      </c>
      <c r="B1188" s="3">
        <v>0.0</v>
      </c>
      <c r="C1188" s="3" t="s">
        <v>3</v>
      </c>
      <c r="D1188" s="4" t="str">
        <f t="shared" si="1"/>
        <v>SANS</v>
      </c>
    </row>
    <row r="1189">
      <c r="A1189" s="4" t="s">
        <v>1186</v>
      </c>
      <c r="B1189" s="3">
        <v>0.0</v>
      </c>
      <c r="C1189" s="3" t="s">
        <v>6</v>
      </c>
      <c r="D1189" s="4" t="str">
        <f t="shared" si="1"/>
        <v>SANS</v>
      </c>
    </row>
    <row r="1190">
      <c r="A1190" s="4" t="s">
        <v>1190</v>
      </c>
      <c r="B1190" s="3">
        <v>0.0</v>
      </c>
      <c r="C1190" s="3" t="s">
        <v>3</v>
      </c>
      <c r="D1190" s="4" t="str">
        <f t="shared" si="1"/>
        <v>SANS</v>
      </c>
    </row>
    <row r="1191">
      <c r="A1191" s="4" t="s">
        <v>1191</v>
      </c>
      <c r="B1191" s="3">
        <v>0.0</v>
      </c>
      <c r="C1191" s="3" t="s">
        <v>6</v>
      </c>
      <c r="D1191" s="4" t="str">
        <f t="shared" si="1"/>
        <v>SANS</v>
      </c>
    </row>
    <row r="1192">
      <c r="A1192" s="4" t="s">
        <v>1195</v>
      </c>
      <c r="B1192" s="3">
        <v>0.0</v>
      </c>
      <c r="C1192" s="3" t="s">
        <v>3</v>
      </c>
      <c r="D1192" s="4" t="str">
        <f t="shared" si="1"/>
        <v>SANS</v>
      </c>
    </row>
    <row r="1193">
      <c r="A1193" s="4" t="s">
        <v>2260</v>
      </c>
      <c r="B1193" s="3">
        <v>0.0</v>
      </c>
      <c r="C1193" s="3" t="s">
        <v>3</v>
      </c>
      <c r="D1193" s="4" t="str">
        <f t="shared" si="1"/>
        <v>SANS</v>
      </c>
    </row>
    <row r="1194">
      <c r="A1194" s="4" t="s">
        <v>2261</v>
      </c>
      <c r="B1194" s="3">
        <v>0.0</v>
      </c>
      <c r="C1194" s="3" t="s">
        <v>3</v>
      </c>
      <c r="D1194" s="4" t="str">
        <f t="shared" si="1"/>
        <v>SANS</v>
      </c>
    </row>
    <row r="1195">
      <c r="A1195" s="4" t="s">
        <v>1201</v>
      </c>
      <c r="B1195" s="3">
        <v>0.0</v>
      </c>
      <c r="C1195" s="3" t="s">
        <v>16</v>
      </c>
      <c r="D1195" s="4" t="str">
        <f t="shared" si="1"/>
        <v>SANS</v>
      </c>
    </row>
    <row r="1196">
      <c r="A1196" s="4" t="s">
        <v>1202</v>
      </c>
      <c r="B1196" s="3">
        <v>0.0</v>
      </c>
      <c r="C1196" s="3" t="s">
        <v>32</v>
      </c>
      <c r="D1196" s="4" t="str">
        <f t="shared" si="1"/>
        <v>SANS</v>
      </c>
    </row>
    <row r="1197">
      <c r="A1197" s="4" t="s">
        <v>2264</v>
      </c>
      <c r="B1197" s="3">
        <v>0.0</v>
      </c>
      <c r="C1197" s="3" t="s">
        <v>3</v>
      </c>
      <c r="D1197" s="4" t="str">
        <f t="shared" si="1"/>
        <v>SANS</v>
      </c>
    </row>
    <row r="1198">
      <c r="A1198" s="4" t="s">
        <v>1215</v>
      </c>
      <c r="B1198" s="3">
        <v>0.0</v>
      </c>
      <c r="C1198" s="3" t="s">
        <v>29</v>
      </c>
      <c r="D1198" s="4" t="str">
        <f t="shared" si="1"/>
        <v>SANS</v>
      </c>
    </row>
    <row r="1199">
      <c r="A1199" s="4" t="s">
        <v>1216</v>
      </c>
      <c r="B1199" s="3">
        <v>0.0</v>
      </c>
      <c r="C1199" s="3" t="s">
        <v>3</v>
      </c>
      <c r="D1199" s="4" t="str">
        <f t="shared" si="1"/>
        <v>SANS</v>
      </c>
    </row>
    <row r="1200">
      <c r="A1200" s="4" t="s">
        <v>1217</v>
      </c>
      <c r="B1200" s="3">
        <v>0.0</v>
      </c>
      <c r="C1200" s="3" t="s">
        <v>29</v>
      </c>
      <c r="D1200" s="4" t="str">
        <f t="shared" si="1"/>
        <v>SANS</v>
      </c>
    </row>
    <row r="1201">
      <c r="A1201" s="4" t="s">
        <v>1218</v>
      </c>
      <c r="B1201" s="3">
        <v>0.0</v>
      </c>
      <c r="C1201" s="3" t="s">
        <v>29</v>
      </c>
      <c r="D1201" s="4" t="str">
        <f t="shared" si="1"/>
        <v>SANS</v>
      </c>
    </row>
    <row r="1202">
      <c r="A1202" s="4" t="s">
        <v>1219</v>
      </c>
      <c r="B1202" s="3">
        <v>0.0</v>
      </c>
      <c r="C1202" s="3" t="s">
        <v>26</v>
      </c>
      <c r="D1202" s="4" t="str">
        <f t="shared" si="1"/>
        <v>SANS</v>
      </c>
    </row>
    <row r="1203">
      <c r="A1203" s="4" t="s">
        <v>1220</v>
      </c>
      <c r="B1203" s="3">
        <v>0.0</v>
      </c>
      <c r="C1203" s="3" t="s">
        <v>3</v>
      </c>
      <c r="D1203" s="4" t="str">
        <f t="shared" si="1"/>
        <v>SANS</v>
      </c>
    </row>
    <row r="1204">
      <c r="A1204" s="4" t="s">
        <v>1221</v>
      </c>
      <c r="B1204" s="3">
        <v>0.0</v>
      </c>
      <c r="C1204" s="3" t="s">
        <v>3</v>
      </c>
      <c r="D1204" s="4" t="str">
        <f t="shared" si="1"/>
        <v>SANS</v>
      </c>
    </row>
    <row r="1205">
      <c r="A1205" s="4" t="s">
        <v>1222</v>
      </c>
      <c r="B1205" s="3">
        <v>0.0</v>
      </c>
      <c r="C1205" s="3" t="s">
        <v>6</v>
      </c>
      <c r="D1205" s="4" t="str">
        <f t="shared" si="1"/>
        <v>SANS</v>
      </c>
    </row>
    <row r="1206">
      <c r="A1206" s="4" t="s">
        <v>1224</v>
      </c>
      <c r="B1206" s="3">
        <v>0.0</v>
      </c>
      <c r="C1206" s="3" t="s">
        <v>6</v>
      </c>
      <c r="D1206" s="4" t="str">
        <f t="shared" si="1"/>
        <v>SANS</v>
      </c>
    </row>
    <row r="1207">
      <c r="A1207" s="4" t="s">
        <v>1225</v>
      </c>
      <c r="B1207" s="3">
        <v>0.0</v>
      </c>
      <c r="C1207" s="3" t="s">
        <v>3</v>
      </c>
      <c r="D1207" s="4" t="str">
        <f t="shared" si="1"/>
        <v>SANS</v>
      </c>
    </row>
    <row r="1208">
      <c r="A1208" s="4" t="s">
        <v>1226</v>
      </c>
      <c r="B1208" s="3">
        <v>0.0</v>
      </c>
      <c r="C1208" s="3" t="s">
        <v>29</v>
      </c>
      <c r="D1208" s="4" t="str">
        <f t="shared" si="1"/>
        <v>SANS</v>
      </c>
    </row>
    <row r="1209">
      <c r="A1209" s="4" t="s">
        <v>1229</v>
      </c>
      <c r="B1209" s="3">
        <v>0.0</v>
      </c>
      <c r="C1209" s="3" t="s">
        <v>6</v>
      </c>
      <c r="D1209" s="4" t="str">
        <f t="shared" si="1"/>
        <v>SANS</v>
      </c>
    </row>
    <row r="1210">
      <c r="A1210" s="4" t="s">
        <v>2266</v>
      </c>
      <c r="B1210" s="3">
        <v>0.0</v>
      </c>
      <c r="C1210" s="3" t="s">
        <v>3</v>
      </c>
      <c r="D1210" s="4" t="str">
        <f t="shared" si="1"/>
        <v>SANS</v>
      </c>
    </row>
    <row r="1211">
      <c r="A1211" s="4" t="s">
        <v>1232</v>
      </c>
      <c r="B1211" s="3">
        <v>0.0</v>
      </c>
      <c r="C1211" s="3" t="s">
        <v>29</v>
      </c>
      <c r="D1211" s="4" t="str">
        <f t="shared" si="1"/>
        <v>SANS</v>
      </c>
    </row>
    <row r="1212">
      <c r="A1212" s="4" t="s">
        <v>1233</v>
      </c>
      <c r="B1212" s="3">
        <v>0.0</v>
      </c>
      <c r="C1212" s="3" t="s">
        <v>3</v>
      </c>
      <c r="D1212" s="4" t="str">
        <f t="shared" si="1"/>
        <v>SANS</v>
      </c>
    </row>
    <row r="1213">
      <c r="A1213" s="4" t="s">
        <v>1236</v>
      </c>
      <c r="B1213" s="3">
        <v>0.0</v>
      </c>
      <c r="C1213" s="3" t="s">
        <v>6</v>
      </c>
      <c r="D1213" s="4" t="str">
        <f t="shared" si="1"/>
        <v>SANS</v>
      </c>
    </row>
    <row r="1214">
      <c r="A1214" s="4" t="s">
        <v>1237</v>
      </c>
      <c r="B1214" s="3">
        <v>0.0</v>
      </c>
      <c r="C1214" s="3" t="s">
        <v>32</v>
      </c>
      <c r="D1214" s="4" t="str">
        <f t="shared" si="1"/>
        <v>SANS</v>
      </c>
    </row>
    <row r="1215">
      <c r="A1215" s="4" t="s">
        <v>1239</v>
      </c>
      <c r="B1215" s="3">
        <v>0.0</v>
      </c>
      <c r="C1215" s="3" t="s">
        <v>3</v>
      </c>
      <c r="D1215" s="4" t="str">
        <f t="shared" si="1"/>
        <v>SANS</v>
      </c>
    </row>
    <row r="1216">
      <c r="A1216" s="4" t="s">
        <v>1240</v>
      </c>
      <c r="B1216" s="3">
        <v>0.0</v>
      </c>
      <c r="C1216" s="3" t="s">
        <v>3</v>
      </c>
      <c r="D1216" s="4" t="str">
        <f t="shared" si="1"/>
        <v>SANS</v>
      </c>
    </row>
    <row r="1217">
      <c r="A1217" s="4" t="s">
        <v>1249</v>
      </c>
      <c r="B1217" s="3">
        <v>0.0</v>
      </c>
      <c r="C1217" s="3" t="s">
        <v>3</v>
      </c>
      <c r="D1217" s="4" t="str">
        <f t="shared" si="1"/>
        <v>SANS</v>
      </c>
    </row>
    <row r="1218">
      <c r="A1218" s="4" t="s">
        <v>2267</v>
      </c>
      <c r="B1218" s="3">
        <v>0.0</v>
      </c>
      <c r="C1218" s="3" t="s">
        <v>3</v>
      </c>
      <c r="D1218" s="4" t="str">
        <f t="shared" si="1"/>
        <v>SANS</v>
      </c>
    </row>
    <row r="1219">
      <c r="A1219" s="4" t="s">
        <v>1253</v>
      </c>
      <c r="B1219" s="3">
        <v>0.0</v>
      </c>
      <c r="C1219" s="3" t="s">
        <v>6</v>
      </c>
      <c r="D1219" s="4" t="str">
        <f t="shared" si="1"/>
        <v>SANS</v>
      </c>
    </row>
    <row r="1220">
      <c r="A1220" s="4" t="s">
        <v>1254</v>
      </c>
      <c r="B1220" s="3">
        <v>0.0</v>
      </c>
      <c r="C1220" s="3" t="s">
        <v>484</v>
      </c>
      <c r="D1220" s="4" t="str">
        <f t="shared" si="1"/>
        <v>SANS</v>
      </c>
    </row>
    <row r="1221">
      <c r="A1221" s="4" t="s">
        <v>2268</v>
      </c>
      <c r="B1221" s="3">
        <v>0.0</v>
      </c>
      <c r="C1221" s="3" t="s">
        <v>3</v>
      </c>
      <c r="D1221" s="4" t="str">
        <f t="shared" si="1"/>
        <v>SANS</v>
      </c>
    </row>
    <row r="1222">
      <c r="A1222" s="4" t="s">
        <v>1257</v>
      </c>
      <c r="B1222" s="3">
        <v>0.0</v>
      </c>
      <c r="C1222" s="3" t="s">
        <v>29</v>
      </c>
      <c r="D1222" s="4" t="str">
        <f t="shared" si="1"/>
        <v>SANS</v>
      </c>
    </row>
    <row r="1223">
      <c r="A1223" s="4" t="s">
        <v>1266</v>
      </c>
      <c r="B1223" s="3">
        <v>0.0</v>
      </c>
      <c r="C1223" s="3" t="s">
        <v>3</v>
      </c>
      <c r="D1223" s="4" t="str">
        <f t="shared" si="1"/>
        <v>SANS</v>
      </c>
    </row>
    <row r="1224">
      <c r="A1224" s="4" t="s">
        <v>1267</v>
      </c>
      <c r="B1224" s="3">
        <v>0.0</v>
      </c>
      <c r="C1224" s="3" t="s">
        <v>29</v>
      </c>
      <c r="D1224" s="4" t="str">
        <f t="shared" si="1"/>
        <v>SANS</v>
      </c>
    </row>
    <row r="1225">
      <c r="A1225" s="4" t="s">
        <v>1268</v>
      </c>
      <c r="B1225" s="3">
        <v>0.0</v>
      </c>
      <c r="C1225" s="3" t="s">
        <v>6</v>
      </c>
      <c r="D1225" s="4" t="str">
        <f t="shared" si="1"/>
        <v>SANS</v>
      </c>
    </row>
    <row r="1226">
      <c r="A1226" s="4" t="s">
        <v>1275</v>
      </c>
      <c r="B1226" s="3">
        <v>0.0</v>
      </c>
      <c r="C1226" s="3" t="s">
        <v>29</v>
      </c>
      <c r="D1226" s="4" t="str">
        <f t="shared" si="1"/>
        <v>SANS</v>
      </c>
    </row>
    <row r="1227">
      <c r="A1227" s="4" t="s">
        <v>1276</v>
      </c>
      <c r="B1227" s="3">
        <v>0.0</v>
      </c>
      <c r="C1227" s="3" t="s">
        <v>3</v>
      </c>
      <c r="D1227" s="4" t="str">
        <f t="shared" si="1"/>
        <v>SANS</v>
      </c>
    </row>
    <row r="1228">
      <c r="A1228" s="4" t="s">
        <v>1280</v>
      </c>
      <c r="B1228" s="3">
        <v>0.0</v>
      </c>
      <c r="C1228" s="3" t="s">
        <v>3</v>
      </c>
      <c r="D1228" s="4" t="str">
        <f t="shared" si="1"/>
        <v>SANS</v>
      </c>
    </row>
    <row r="1229">
      <c r="A1229" s="4" t="s">
        <v>1282</v>
      </c>
      <c r="B1229" s="3">
        <v>0.0</v>
      </c>
      <c r="C1229" s="3" t="s">
        <v>3</v>
      </c>
      <c r="D1229" s="4" t="str">
        <f t="shared" si="1"/>
        <v>SANS</v>
      </c>
    </row>
    <row r="1230">
      <c r="A1230" s="4" t="s">
        <v>1283</v>
      </c>
      <c r="B1230" s="3">
        <v>0.0</v>
      </c>
      <c r="C1230" s="3" t="s">
        <v>3</v>
      </c>
      <c r="D1230" s="4" t="str">
        <f t="shared" si="1"/>
        <v>SANS</v>
      </c>
    </row>
    <row r="1231">
      <c r="A1231" s="4" t="s">
        <v>1284</v>
      </c>
      <c r="B1231" s="3">
        <v>0.0</v>
      </c>
      <c r="C1231" s="3" t="s">
        <v>32</v>
      </c>
      <c r="D1231" s="4" t="str">
        <f t="shared" si="1"/>
        <v>SANS</v>
      </c>
    </row>
    <row r="1232">
      <c r="A1232" s="4" t="s">
        <v>1291</v>
      </c>
      <c r="B1232" s="3">
        <v>0.0</v>
      </c>
      <c r="C1232" s="3" t="s">
        <v>29</v>
      </c>
      <c r="D1232" s="4" t="str">
        <f t="shared" si="1"/>
        <v>SANS</v>
      </c>
    </row>
    <row r="1233">
      <c r="A1233" s="4" t="s">
        <v>1292</v>
      </c>
      <c r="B1233" s="3">
        <v>0.0</v>
      </c>
      <c r="C1233" s="3" t="s">
        <v>3</v>
      </c>
      <c r="D1233" s="4" t="str">
        <f t="shared" si="1"/>
        <v>SANS</v>
      </c>
    </row>
    <row r="1234">
      <c r="A1234" s="4" t="s">
        <v>1295</v>
      </c>
      <c r="B1234" s="3">
        <v>0.0</v>
      </c>
      <c r="C1234" s="3" t="s">
        <v>3</v>
      </c>
      <c r="D1234" s="4" t="str">
        <f t="shared" si="1"/>
        <v>SANS</v>
      </c>
    </row>
    <row r="1235">
      <c r="A1235" s="4" t="s">
        <v>1296</v>
      </c>
      <c r="B1235" s="3">
        <v>0.0</v>
      </c>
      <c r="C1235" s="3" t="s">
        <v>3</v>
      </c>
      <c r="D1235" s="4" t="str">
        <f t="shared" si="1"/>
        <v>SANS</v>
      </c>
    </row>
    <row r="1236">
      <c r="A1236" s="4" t="s">
        <v>1297</v>
      </c>
      <c r="B1236" s="3">
        <v>0.0</v>
      </c>
      <c r="C1236" s="3" t="s">
        <v>3</v>
      </c>
      <c r="D1236" s="4" t="str">
        <f t="shared" si="1"/>
        <v>SANS</v>
      </c>
    </row>
    <row r="1237">
      <c r="A1237" s="4" t="s">
        <v>1298</v>
      </c>
      <c r="B1237" s="3">
        <v>0.0</v>
      </c>
      <c r="C1237" s="3" t="s">
        <v>3</v>
      </c>
      <c r="D1237" s="4" t="str">
        <f t="shared" si="1"/>
        <v>SANS</v>
      </c>
    </row>
    <row r="1238">
      <c r="A1238" s="4" t="s">
        <v>1299</v>
      </c>
      <c r="B1238" s="3">
        <v>0.0</v>
      </c>
      <c r="C1238" s="3" t="s">
        <v>3</v>
      </c>
      <c r="D1238" s="4" t="str">
        <f t="shared" si="1"/>
        <v>SANS</v>
      </c>
    </row>
    <row r="1239">
      <c r="A1239" s="4" t="s">
        <v>1301</v>
      </c>
      <c r="B1239" s="3">
        <v>0.0</v>
      </c>
      <c r="C1239" s="3" t="s">
        <v>3</v>
      </c>
      <c r="D1239" s="4" t="str">
        <f t="shared" si="1"/>
        <v>SANS</v>
      </c>
    </row>
    <row r="1240">
      <c r="A1240" s="4" t="s">
        <v>1302</v>
      </c>
      <c r="B1240" s="3">
        <v>0.0</v>
      </c>
      <c r="C1240" s="3" t="s">
        <v>29</v>
      </c>
      <c r="D1240" s="4" t="str">
        <f t="shared" si="1"/>
        <v>SANS</v>
      </c>
    </row>
    <row r="1241">
      <c r="A1241" s="4" t="s">
        <v>1307</v>
      </c>
      <c r="B1241" s="3">
        <v>0.0</v>
      </c>
      <c r="C1241" s="3" t="s">
        <v>32</v>
      </c>
      <c r="D1241" s="4" t="str">
        <f t="shared" si="1"/>
        <v>SANS</v>
      </c>
    </row>
    <row r="1242">
      <c r="A1242" s="4" t="s">
        <v>1309</v>
      </c>
      <c r="B1242" s="3">
        <v>0.0</v>
      </c>
      <c r="C1242" s="3" t="s">
        <v>3</v>
      </c>
      <c r="D1242" s="4" t="str">
        <f t="shared" si="1"/>
        <v>SANS</v>
      </c>
    </row>
    <row r="1243">
      <c r="A1243" s="4" t="s">
        <v>1310</v>
      </c>
      <c r="B1243" s="3">
        <v>0.0</v>
      </c>
      <c r="C1243" s="3" t="s">
        <v>6</v>
      </c>
      <c r="D1243" s="4" t="str">
        <f t="shared" si="1"/>
        <v>SANS</v>
      </c>
    </row>
    <row r="1244">
      <c r="A1244" s="4" t="s">
        <v>1311</v>
      </c>
      <c r="B1244" s="3">
        <v>0.0</v>
      </c>
      <c r="C1244" s="3" t="s">
        <v>3</v>
      </c>
      <c r="D1244" s="4" t="str">
        <f t="shared" si="1"/>
        <v>SANS</v>
      </c>
    </row>
    <row r="1245">
      <c r="A1245" s="4" t="s">
        <v>1313</v>
      </c>
      <c r="B1245" s="3">
        <v>0.0</v>
      </c>
      <c r="C1245" s="3" t="s">
        <v>3</v>
      </c>
      <c r="D1245" s="4" t="str">
        <f t="shared" si="1"/>
        <v>SANS</v>
      </c>
    </row>
    <row r="1246">
      <c r="A1246" s="4" t="s">
        <v>1316</v>
      </c>
      <c r="B1246" s="3">
        <v>0.0</v>
      </c>
      <c r="C1246" s="3" t="s">
        <v>3</v>
      </c>
      <c r="D1246" s="4" t="str">
        <f t="shared" si="1"/>
        <v>SANS</v>
      </c>
    </row>
    <row r="1247">
      <c r="A1247" s="4" t="s">
        <v>1317</v>
      </c>
      <c r="B1247" s="3">
        <v>0.0</v>
      </c>
      <c r="C1247" s="3" t="s">
        <v>6</v>
      </c>
      <c r="D1247" s="4" t="str">
        <f t="shared" si="1"/>
        <v>SANS</v>
      </c>
    </row>
    <row r="1248">
      <c r="A1248" s="4" t="s">
        <v>2269</v>
      </c>
      <c r="B1248" s="3">
        <v>0.0</v>
      </c>
      <c r="C1248" s="3" t="s">
        <v>3</v>
      </c>
      <c r="D1248" s="4" t="str">
        <f t="shared" si="1"/>
        <v>SANS</v>
      </c>
    </row>
    <row r="1249">
      <c r="A1249" s="4" t="s">
        <v>1323</v>
      </c>
      <c r="B1249" s="3">
        <v>0.0</v>
      </c>
      <c r="C1249" s="3" t="s">
        <v>3</v>
      </c>
      <c r="D1249" s="4" t="str">
        <f t="shared" si="1"/>
        <v>SANS</v>
      </c>
    </row>
    <row r="1250">
      <c r="A1250" s="4" t="s">
        <v>1325</v>
      </c>
      <c r="B1250" s="3">
        <v>0.0</v>
      </c>
      <c r="C1250" s="3" t="s">
        <v>3</v>
      </c>
      <c r="D1250" s="4" t="str">
        <f t="shared" si="1"/>
        <v>SANS</v>
      </c>
    </row>
    <row r="1251">
      <c r="A1251" s="4" t="s">
        <v>1327</v>
      </c>
      <c r="B1251" s="3">
        <v>0.0</v>
      </c>
      <c r="C1251" s="3" t="s">
        <v>6</v>
      </c>
      <c r="D1251" s="4" t="str">
        <f t="shared" si="1"/>
        <v>SANS</v>
      </c>
    </row>
    <row r="1252">
      <c r="A1252" s="4" t="s">
        <v>1328</v>
      </c>
      <c r="B1252" s="3">
        <v>0.0</v>
      </c>
      <c r="C1252" s="3" t="s">
        <v>29</v>
      </c>
      <c r="D1252" s="4" t="str">
        <f t="shared" si="1"/>
        <v>SANS</v>
      </c>
    </row>
    <row r="1253">
      <c r="A1253" s="4" t="s">
        <v>1329</v>
      </c>
      <c r="B1253" s="3">
        <v>0.0</v>
      </c>
      <c r="C1253" s="3" t="s">
        <v>6</v>
      </c>
      <c r="D1253" s="4" t="str">
        <f t="shared" si="1"/>
        <v>SANS</v>
      </c>
    </row>
    <row r="1254">
      <c r="A1254" s="4" t="s">
        <v>1330</v>
      </c>
      <c r="B1254" s="3">
        <v>0.0</v>
      </c>
      <c r="C1254" s="3" t="s">
        <v>6</v>
      </c>
      <c r="D1254" s="4" t="str">
        <f t="shared" si="1"/>
        <v>SANS</v>
      </c>
    </row>
    <row r="1255">
      <c r="A1255" s="4" t="s">
        <v>1344</v>
      </c>
      <c r="B1255" s="3">
        <v>0.0</v>
      </c>
      <c r="C1255" s="3" t="s">
        <v>3</v>
      </c>
      <c r="D1255" s="4" t="str">
        <f t="shared" si="1"/>
        <v>SANS</v>
      </c>
    </row>
    <row r="1256">
      <c r="A1256" s="4" t="s">
        <v>1347</v>
      </c>
      <c r="B1256" s="3">
        <v>0.0</v>
      </c>
      <c r="C1256" s="3" t="s">
        <v>3</v>
      </c>
      <c r="D1256" s="4" t="str">
        <f t="shared" si="1"/>
        <v>SANS</v>
      </c>
    </row>
    <row r="1257">
      <c r="A1257" s="4" t="s">
        <v>1350</v>
      </c>
      <c r="B1257" s="3">
        <v>0.0</v>
      </c>
      <c r="C1257" s="3" t="s">
        <v>3</v>
      </c>
      <c r="D1257" s="4" t="str">
        <f t="shared" si="1"/>
        <v>SANS</v>
      </c>
    </row>
    <row r="1258">
      <c r="A1258" s="4" t="s">
        <v>1352</v>
      </c>
      <c r="B1258" s="3">
        <v>0.0</v>
      </c>
      <c r="C1258" s="3" t="s">
        <v>3</v>
      </c>
      <c r="D1258" s="4" t="str">
        <f t="shared" si="1"/>
        <v>SANS</v>
      </c>
    </row>
    <row r="1259">
      <c r="A1259" s="4" t="s">
        <v>1353</v>
      </c>
      <c r="B1259" s="3">
        <v>0.0</v>
      </c>
      <c r="C1259" s="3" t="s">
        <v>3</v>
      </c>
      <c r="D1259" s="4" t="str">
        <f t="shared" si="1"/>
        <v>SANS</v>
      </c>
    </row>
    <row r="1260">
      <c r="A1260" s="4" t="s">
        <v>1355</v>
      </c>
      <c r="B1260" s="3">
        <v>0.0</v>
      </c>
      <c r="C1260" s="3" t="s">
        <v>3</v>
      </c>
      <c r="D1260" s="4" t="str">
        <f t="shared" si="1"/>
        <v>SANS</v>
      </c>
    </row>
    <row r="1261">
      <c r="A1261" s="4" t="s">
        <v>1356</v>
      </c>
      <c r="B1261" s="3">
        <v>0.0</v>
      </c>
      <c r="C1261" s="3" t="s">
        <v>3</v>
      </c>
      <c r="D1261" s="4" t="str">
        <f t="shared" si="1"/>
        <v>SANS</v>
      </c>
    </row>
    <row r="1262">
      <c r="A1262" s="4" t="s">
        <v>1357</v>
      </c>
      <c r="B1262" s="3">
        <v>0.0</v>
      </c>
      <c r="C1262" s="3" t="s">
        <v>3</v>
      </c>
      <c r="D1262" s="4" t="str">
        <f t="shared" si="1"/>
        <v>SANS</v>
      </c>
    </row>
    <row r="1263">
      <c r="A1263" s="4" t="s">
        <v>1360</v>
      </c>
      <c r="B1263" s="3">
        <v>0.0</v>
      </c>
      <c r="C1263" s="3" t="s">
        <v>3</v>
      </c>
      <c r="D1263" s="4" t="str">
        <f t="shared" si="1"/>
        <v>SANS</v>
      </c>
    </row>
    <row r="1264">
      <c r="A1264" s="4" t="s">
        <v>1362</v>
      </c>
      <c r="B1264" s="3">
        <v>0.0</v>
      </c>
      <c r="C1264" s="3" t="s">
        <v>29</v>
      </c>
      <c r="D1264" s="4" t="str">
        <f t="shared" si="1"/>
        <v>SANS</v>
      </c>
    </row>
    <row r="1265">
      <c r="A1265" s="4" t="s">
        <v>1364</v>
      </c>
      <c r="B1265" s="3">
        <v>0.0</v>
      </c>
      <c r="C1265" s="3" t="s">
        <v>6</v>
      </c>
      <c r="D1265" s="4" t="str">
        <f t="shared" si="1"/>
        <v>SANS</v>
      </c>
    </row>
    <row r="1266">
      <c r="A1266" s="4" t="s">
        <v>1365</v>
      </c>
      <c r="B1266" s="3">
        <v>0.0</v>
      </c>
      <c r="C1266" s="3" t="s">
        <v>3</v>
      </c>
      <c r="D1266" s="4" t="str">
        <f t="shared" si="1"/>
        <v>SANS</v>
      </c>
    </row>
    <row r="1267">
      <c r="A1267" s="4" t="s">
        <v>1366</v>
      </c>
      <c r="B1267" s="3">
        <v>0.0</v>
      </c>
      <c r="C1267" s="3" t="s">
        <v>6</v>
      </c>
      <c r="D1267" s="4" t="str">
        <f t="shared" si="1"/>
        <v>SANS</v>
      </c>
    </row>
    <row r="1268">
      <c r="A1268" s="4" t="s">
        <v>1369</v>
      </c>
      <c r="B1268" s="3">
        <v>0.0</v>
      </c>
      <c r="C1268" s="3" t="s">
        <v>3</v>
      </c>
      <c r="D1268" s="4" t="str">
        <f t="shared" si="1"/>
        <v>SANS</v>
      </c>
    </row>
    <row r="1269">
      <c r="A1269" s="4" t="s">
        <v>1376</v>
      </c>
      <c r="B1269" s="3">
        <v>0.0</v>
      </c>
      <c r="C1269" s="3" t="s">
        <v>3</v>
      </c>
      <c r="D1269" s="4" t="str">
        <f t="shared" si="1"/>
        <v>SANS</v>
      </c>
    </row>
    <row r="1270">
      <c r="A1270" s="4" t="s">
        <v>1380</v>
      </c>
      <c r="B1270" s="3">
        <v>0.0</v>
      </c>
      <c r="C1270" s="3" t="s">
        <v>3</v>
      </c>
      <c r="D1270" s="4" t="str">
        <f t="shared" si="1"/>
        <v>SANS</v>
      </c>
    </row>
    <row r="1271">
      <c r="A1271" s="4" t="s">
        <v>1382</v>
      </c>
      <c r="B1271" s="3">
        <v>0.0</v>
      </c>
      <c r="C1271" s="3" t="s">
        <v>6</v>
      </c>
      <c r="D1271" s="4" t="str">
        <f t="shared" si="1"/>
        <v>SANS</v>
      </c>
    </row>
    <row r="1272">
      <c r="A1272" s="4" t="s">
        <v>1384</v>
      </c>
      <c r="B1272" s="3">
        <v>0.0</v>
      </c>
      <c r="C1272" s="3" t="s">
        <v>3</v>
      </c>
      <c r="D1272" s="4" t="str">
        <f t="shared" si="1"/>
        <v>SANS</v>
      </c>
    </row>
    <row r="1273">
      <c r="A1273" s="4" t="s">
        <v>1391</v>
      </c>
      <c r="B1273" s="3">
        <v>0.0</v>
      </c>
      <c r="C1273" s="3" t="s">
        <v>29</v>
      </c>
      <c r="D1273" s="4" t="str">
        <f t="shared" si="1"/>
        <v>SANS</v>
      </c>
    </row>
    <row r="1274">
      <c r="A1274" s="4" t="s">
        <v>1394</v>
      </c>
      <c r="B1274" s="3">
        <v>0.0</v>
      </c>
      <c r="C1274" s="3" t="s">
        <v>6</v>
      </c>
      <c r="D1274" s="4" t="str">
        <f t="shared" si="1"/>
        <v>SANS</v>
      </c>
    </row>
    <row r="1275">
      <c r="A1275" s="4" t="s">
        <v>1397</v>
      </c>
      <c r="B1275" s="3">
        <v>0.0</v>
      </c>
      <c r="C1275" s="3" t="s">
        <v>3</v>
      </c>
      <c r="D1275" s="4" t="str">
        <f t="shared" si="1"/>
        <v>SANS</v>
      </c>
    </row>
    <row r="1276">
      <c r="A1276" s="4" t="s">
        <v>1398</v>
      </c>
      <c r="B1276" s="3">
        <v>0.0</v>
      </c>
      <c r="C1276" s="3" t="s">
        <v>3</v>
      </c>
      <c r="D1276" s="4" t="str">
        <f t="shared" si="1"/>
        <v>SANS</v>
      </c>
    </row>
    <row r="1277">
      <c r="A1277" s="4" t="s">
        <v>1399</v>
      </c>
      <c r="B1277" s="3">
        <v>0.0</v>
      </c>
      <c r="C1277" s="3" t="s">
        <v>3</v>
      </c>
      <c r="D1277" s="4" t="str">
        <f t="shared" si="1"/>
        <v>SANS</v>
      </c>
    </row>
    <row r="1278">
      <c r="A1278" s="4" t="s">
        <v>1400</v>
      </c>
      <c r="B1278" s="3">
        <v>0.0</v>
      </c>
      <c r="C1278" s="3" t="s">
        <v>3</v>
      </c>
      <c r="D1278" s="4" t="str">
        <f t="shared" si="1"/>
        <v>SANS</v>
      </c>
    </row>
    <row r="1279">
      <c r="A1279" s="4" t="s">
        <v>1403</v>
      </c>
      <c r="B1279" s="3">
        <v>0.0</v>
      </c>
      <c r="C1279" s="3" t="s">
        <v>3</v>
      </c>
      <c r="D1279" s="4" t="str">
        <f t="shared" si="1"/>
        <v>SANS</v>
      </c>
    </row>
    <row r="1280">
      <c r="A1280" s="4" t="s">
        <v>1404</v>
      </c>
      <c r="B1280" s="3">
        <v>0.0</v>
      </c>
      <c r="C1280" s="3" t="s">
        <v>32</v>
      </c>
      <c r="D1280" s="4" t="str">
        <f t="shared" si="1"/>
        <v>SANS</v>
      </c>
    </row>
    <row r="1281">
      <c r="A1281" s="4" t="s">
        <v>1409</v>
      </c>
      <c r="B1281" s="3">
        <v>0.0</v>
      </c>
      <c r="C1281" s="3" t="s">
        <v>6</v>
      </c>
      <c r="D1281" s="4" t="str">
        <f t="shared" si="1"/>
        <v>SANS</v>
      </c>
    </row>
    <row r="1282">
      <c r="A1282" s="4" t="s">
        <v>1410</v>
      </c>
      <c r="B1282" s="3">
        <v>0.0</v>
      </c>
      <c r="C1282" s="3" t="s">
        <v>6</v>
      </c>
      <c r="D1282" s="4" t="str">
        <f t="shared" si="1"/>
        <v>SANS</v>
      </c>
    </row>
    <row r="1283">
      <c r="A1283" s="4" t="s">
        <v>1413</v>
      </c>
      <c r="B1283" s="3">
        <v>0.0</v>
      </c>
      <c r="C1283" s="3" t="s">
        <v>32</v>
      </c>
      <c r="D1283" s="4" t="str">
        <f t="shared" si="1"/>
        <v>SANS</v>
      </c>
    </row>
    <row r="1284">
      <c r="A1284" s="4" t="s">
        <v>1425</v>
      </c>
      <c r="B1284" s="3">
        <v>0.0</v>
      </c>
      <c r="C1284" s="3" t="s">
        <v>3</v>
      </c>
      <c r="D1284" s="4" t="str">
        <f t="shared" si="1"/>
        <v>SANS</v>
      </c>
    </row>
    <row r="1285">
      <c r="A1285" s="4" t="s">
        <v>1426</v>
      </c>
      <c r="B1285" s="3">
        <v>0.0</v>
      </c>
      <c r="C1285" s="3" t="s">
        <v>3</v>
      </c>
      <c r="D1285" s="4" t="str">
        <f t="shared" si="1"/>
        <v>SANS</v>
      </c>
    </row>
    <row r="1286">
      <c r="A1286" s="4" t="s">
        <v>1429</v>
      </c>
      <c r="B1286" s="3">
        <v>0.0</v>
      </c>
      <c r="C1286" s="3" t="s">
        <v>3</v>
      </c>
      <c r="D1286" s="4" t="str">
        <f t="shared" si="1"/>
        <v>SANS</v>
      </c>
    </row>
    <row r="1287">
      <c r="A1287" s="4" t="s">
        <v>1430</v>
      </c>
      <c r="B1287" s="3">
        <v>0.0</v>
      </c>
      <c r="C1287" s="3" t="s">
        <v>6</v>
      </c>
      <c r="D1287" s="4" t="str">
        <f t="shared" si="1"/>
        <v>SANS</v>
      </c>
    </row>
    <row r="1288">
      <c r="A1288" s="4" t="s">
        <v>2273</v>
      </c>
      <c r="B1288" s="3">
        <v>0.0</v>
      </c>
      <c r="C1288" s="3" t="s">
        <v>484</v>
      </c>
      <c r="D1288" s="4" t="str">
        <f t="shared" si="1"/>
        <v>SANS</v>
      </c>
    </row>
    <row r="1289">
      <c r="A1289" s="4" t="s">
        <v>1437</v>
      </c>
      <c r="B1289" s="3">
        <v>0.0</v>
      </c>
      <c r="C1289" s="3" t="s">
        <v>6</v>
      </c>
      <c r="D1289" s="4" t="str">
        <f t="shared" si="1"/>
        <v>SANS</v>
      </c>
    </row>
    <row r="1290">
      <c r="A1290" s="4" t="s">
        <v>1441</v>
      </c>
      <c r="B1290" s="3">
        <v>0.0</v>
      </c>
      <c r="C1290" s="3" t="s">
        <v>3</v>
      </c>
      <c r="D1290" s="4" t="str">
        <f t="shared" si="1"/>
        <v>SANS</v>
      </c>
    </row>
    <row r="1291">
      <c r="A1291" s="4" t="s">
        <v>1442</v>
      </c>
      <c r="B1291" s="3">
        <v>0.0</v>
      </c>
      <c r="C1291" s="3" t="s">
        <v>3</v>
      </c>
      <c r="D1291" s="4" t="str">
        <f t="shared" si="1"/>
        <v>SANS</v>
      </c>
    </row>
    <row r="1292">
      <c r="A1292" s="4" t="s">
        <v>1443</v>
      </c>
      <c r="B1292" s="3">
        <v>0.0</v>
      </c>
      <c r="C1292" s="3" t="s">
        <v>3</v>
      </c>
      <c r="D1292" s="4" t="str">
        <f t="shared" si="1"/>
        <v>SANS</v>
      </c>
    </row>
    <row r="1293">
      <c r="A1293" s="4" t="s">
        <v>1445</v>
      </c>
      <c r="B1293" s="3">
        <v>0.0</v>
      </c>
      <c r="C1293" s="3" t="s">
        <v>3</v>
      </c>
      <c r="D1293" s="4" t="str">
        <f t="shared" si="1"/>
        <v>SANS</v>
      </c>
    </row>
    <row r="1294">
      <c r="A1294" s="4" t="s">
        <v>1446</v>
      </c>
      <c r="B1294" s="3">
        <v>0.0</v>
      </c>
      <c r="C1294" s="3" t="s">
        <v>3</v>
      </c>
      <c r="D1294" s="4" t="str">
        <f t="shared" si="1"/>
        <v>SANS</v>
      </c>
    </row>
    <row r="1295">
      <c r="A1295" s="4" t="s">
        <v>1447</v>
      </c>
      <c r="B1295" s="3">
        <v>0.0</v>
      </c>
      <c r="C1295" s="3" t="s">
        <v>3</v>
      </c>
      <c r="D1295" s="4" t="str">
        <f t="shared" si="1"/>
        <v>SANS</v>
      </c>
    </row>
    <row r="1296">
      <c r="A1296" s="4" t="s">
        <v>1448</v>
      </c>
      <c r="B1296" s="3">
        <v>0.0</v>
      </c>
      <c r="C1296" s="3" t="s">
        <v>3</v>
      </c>
      <c r="D1296" s="4" t="str">
        <f t="shared" si="1"/>
        <v>SANS</v>
      </c>
    </row>
    <row r="1297">
      <c r="A1297" s="4" t="s">
        <v>1452</v>
      </c>
      <c r="B1297" s="3">
        <v>0.0</v>
      </c>
      <c r="C1297" s="3" t="s">
        <v>32</v>
      </c>
      <c r="D1297" s="4" t="str">
        <f t="shared" si="1"/>
        <v>SANS</v>
      </c>
    </row>
    <row r="1298">
      <c r="A1298" s="4" t="s">
        <v>1453</v>
      </c>
      <c r="B1298" s="3">
        <v>0.0</v>
      </c>
      <c r="C1298" s="3" t="s">
        <v>3</v>
      </c>
      <c r="D1298" s="4" t="str">
        <f t="shared" si="1"/>
        <v>SANS</v>
      </c>
    </row>
    <row r="1299">
      <c r="A1299" s="4" t="s">
        <v>1458</v>
      </c>
      <c r="B1299" s="3">
        <v>0.0</v>
      </c>
      <c r="C1299" s="3" t="s">
        <v>3</v>
      </c>
      <c r="D1299" s="4" t="str">
        <f t="shared" si="1"/>
        <v>SANS</v>
      </c>
    </row>
    <row r="1300">
      <c r="A1300" s="4" t="s">
        <v>1459</v>
      </c>
      <c r="B1300" s="3">
        <v>0.0</v>
      </c>
      <c r="C1300" s="3" t="s">
        <v>3</v>
      </c>
      <c r="D1300" s="4" t="str">
        <f t="shared" si="1"/>
        <v>SANS</v>
      </c>
    </row>
    <row r="1301">
      <c r="A1301" s="4" t="s">
        <v>1465</v>
      </c>
      <c r="B1301" s="3">
        <v>0.0</v>
      </c>
      <c r="C1301" s="3" t="s">
        <v>3</v>
      </c>
      <c r="D1301" s="4" t="str">
        <f t="shared" si="1"/>
        <v>SANS</v>
      </c>
    </row>
    <row r="1302">
      <c r="A1302" s="4" t="s">
        <v>1466</v>
      </c>
      <c r="B1302" s="3">
        <v>0.0</v>
      </c>
      <c r="C1302" s="3" t="s">
        <v>3</v>
      </c>
      <c r="D1302" s="4" t="str">
        <f t="shared" si="1"/>
        <v>SANS</v>
      </c>
    </row>
    <row r="1303">
      <c r="A1303" s="4" t="s">
        <v>1469</v>
      </c>
      <c r="B1303" s="3">
        <v>0.0</v>
      </c>
      <c r="C1303" s="3" t="s">
        <v>6</v>
      </c>
      <c r="D1303" s="4" t="str">
        <f t="shared" si="1"/>
        <v>SANS</v>
      </c>
    </row>
    <row r="1304">
      <c r="A1304" s="4" t="s">
        <v>1474</v>
      </c>
      <c r="B1304" s="3">
        <v>0.0</v>
      </c>
      <c r="C1304" s="3" t="s">
        <v>3</v>
      </c>
      <c r="D1304" s="4" t="str">
        <f t="shared" si="1"/>
        <v>SANS</v>
      </c>
    </row>
    <row r="1305">
      <c r="A1305" s="4" t="s">
        <v>1476</v>
      </c>
      <c r="B1305" s="3">
        <v>0.0</v>
      </c>
      <c r="C1305" s="3" t="s">
        <v>3</v>
      </c>
      <c r="D1305" s="4" t="str">
        <f t="shared" si="1"/>
        <v>SANS</v>
      </c>
    </row>
    <row r="1306">
      <c r="A1306" s="4" t="s">
        <v>1477</v>
      </c>
      <c r="B1306" s="3">
        <v>0.0</v>
      </c>
      <c r="C1306" s="3" t="s">
        <v>6</v>
      </c>
      <c r="D1306" s="4" t="str">
        <f t="shared" si="1"/>
        <v>SANS</v>
      </c>
    </row>
    <row r="1307">
      <c r="A1307" s="4" t="s">
        <v>1478</v>
      </c>
      <c r="B1307" s="3">
        <v>0.0</v>
      </c>
      <c r="C1307" s="3" t="s">
        <v>3</v>
      </c>
      <c r="D1307" s="4" t="str">
        <f t="shared" si="1"/>
        <v>SANS</v>
      </c>
    </row>
    <row r="1308">
      <c r="A1308" s="4" t="s">
        <v>1483</v>
      </c>
      <c r="B1308" s="3">
        <v>0.0</v>
      </c>
      <c r="C1308" s="3" t="s">
        <v>3</v>
      </c>
      <c r="D1308" s="4" t="str">
        <f t="shared" si="1"/>
        <v>SANS</v>
      </c>
    </row>
    <row r="1309">
      <c r="A1309" s="4" t="s">
        <v>2277</v>
      </c>
      <c r="B1309" s="3">
        <v>0.0</v>
      </c>
      <c r="C1309" s="3" t="s">
        <v>6</v>
      </c>
      <c r="D1309" s="4" t="str">
        <f t="shared" si="1"/>
        <v>SANS</v>
      </c>
    </row>
    <row r="1310">
      <c r="A1310" s="4" t="s">
        <v>1486</v>
      </c>
      <c r="B1310" s="3">
        <v>0.0</v>
      </c>
      <c r="C1310" s="3" t="s">
        <v>3</v>
      </c>
      <c r="D1310" s="4" t="str">
        <f t="shared" si="1"/>
        <v>SANS</v>
      </c>
    </row>
    <row r="1311">
      <c r="A1311" s="4" t="s">
        <v>1487</v>
      </c>
      <c r="B1311" s="3">
        <v>0.0</v>
      </c>
      <c r="C1311" s="3" t="s">
        <v>3</v>
      </c>
      <c r="D1311" s="4" t="str">
        <f t="shared" si="1"/>
        <v>SANS</v>
      </c>
    </row>
    <row r="1312">
      <c r="A1312" s="4" t="s">
        <v>1488</v>
      </c>
      <c r="B1312" s="3">
        <v>0.0</v>
      </c>
      <c r="C1312" s="3" t="s">
        <v>3</v>
      </c>
      <c r="D1312" s="4" t="str">
        <f t="shared" si="1"/>
        <v>SANS</v>
      </c>
    </row>
    <row r="1313">
      <c r="A1313" s="4" t="s">
        <v>1494</v>
      </c>
      <c r="B1313" s="3">
        <v>0.0</v>
      </c>
      <c r="C1313" s="3" t="s">
        <v>3</v>
      </c>
      <c r="D1313" s="4" t="str">
        <f t="shared" si="1"/>
        <v>SANS</v>
      </c>
    </row>
    <row r="1314">
      <c r="A1314" s="4" t="s">
        <v>1497</v>
      </c>
      <c r="B1314" s="3">
        <v>0.0</v>
      </c>
      <c r="C1314" s="3" t="s">
        <v>3</v>
      </c>
      <c r="D1314" s="4" t="str">
        <f t="shared" si="1"/>
        <v>SANS</v>
      </c>
    </row>
    <row r="1315">
      <c r="A1315" s="4" t="s">
        <v>1498</v>
      </c>
      <c r="B1315" s="3">
        <v>0.0</v>
      </c>
      <c r="C1315" s="3" t="s">
        <v>29</v>
      </c>
      <c r="D1315" s="4" t="str">
        <f t="shared" si="1"/>
        <v>SANS</v>
      </c>
    </row>
    <row r="1316">
      <c r="A1316" s="4" t="s">
        <v>1505</v>
      </c>
      <c r="B1316" s="3">
        <v>0.0</v>
      </c>
      <c r="C1316" s="3" t="s">
        <v>3</v>
      </c>
      <c r="D1316" s="4" t="str">
        <f t="shared" si="1"/>
        <v>SANS</v>
      </c>
    </row>
    <row r="1317">
      <c r="A1317" s="4" t="s">
        <v>1506</v>
      </c>
      <c r="B1317" s="3">
        <v>0.0</v>
      </c>
      <c r="C1317" s="3" t="s">
        <v>3</v>
      </c>
      <c r="D1317" s="4" t="str">
        <f t="shared" si="1"/>
        <v>SANS</v>
      </c>
    </row>
    <row r="1318">
      <c r="A1318" s="4" t="s">
        <v>1507</v>
      </c>
      <c r="B1318" s="3">
        <v>0.0</v>
      </c>
      <c r="C1318" s="3" t="s">
        <v>3</v>
      </c>
      <c r="D1318" s="4" t="str">
        <f t="shared" si="1"/>
        <v>SANS</v>
      </c>
    </row>
    <row r="1319">
      <c r="A1319" s="4" t="s">
        <v>1508</v>
      </c>
      <c r="B1319" s="3">
        <v>0.0</v>
      </c>
      <c r="C1319" s="3" t="s">
        <v>3</v>
      </c>
      <c r="D1319" s="4" t="str">
        <f t="shared" si="1"/>
        <v>SANS</v>
      </c>
    </row>
    <row r="1320">
      <c r="A1320" s="4" t="s">
        <v>1509</v>
      </c>
      <c r="B1320" s="3">
        <v>0.0</v>
      </c>
      <c r="C1320" s="3" t="s">
        <v>3</v>
      </c>
      <c r="D1320" s="4" t="str">
        <f t="shared" si="1"/>
        <v>SANS</v>
      </c>
    </row>
    <row r="1321">
      <c r="A1321" s="4" t="s">
        <v>1511</v>
      </c>
      <c r="B1321" s="3">
        <v>0.0</v>
      </c>
      <c r="C1321" s="3" t="s">
        <v>6</v>
      </c>
      <c r="D1321" s="4" t="str">
        <f t="shared" si="1"/>
        <v>SANS</v>
      </c>
    </row>
    <row r="1322">
      <c r="A1322" s="4" t="s">
        <v>1513</v>
      </c>
      <c r="B1322" s="3">
        <v>0.0</v>
      </c>
      <c r="C1322" s="3" t="s">
        <v>6</v>
      </c>
      <c r="D1322" s="4" t="str">
        <f t="shared" si="1"/>
        <v>SANS</v>
      </c>
    </row>
    <row r="1323">
      <c r="A1323" s="4" t="s">
        <v>1514</v>
      </c>
      <c r="B1323" s="3">
        <v>0.0</v>
      </c>
      <c r="C1323" s="3" t="s">
        <v>6</v>
      </c>
      <c r="D1323" s="4" t="str">
        <f t="shared" si="1"/>
        <v>SANS</v>
      </c>
    </row>
    <row r="1324">
      <c r="A1324" s="4" t="s">
        <v>1518</v>
      </c>
      <c r="B1324" s="3">
        <v>0.0</v>
      </c>
      <c r="C1324" s="3" t="s">
        <v>3</v>
      </c>
      <c r="D1324" s="4" t="str">
        <f t="shared" si="1"/>
        <v>SANS</v>
      </c>
    </row>
    <row r="1325">
      <c r="A1325" s="4" t="s">
        <v>1519</v>
      </c>
      <c r="B1325" s="3">
        <v>0.0</v>
      </c>
      <c r="C1325" s="3" t="s">
        <v>3</v>
      </c>
      <c r="D1325" s="4" t="str">
        <f t="shared" si="1"/>
        <v>SANS</v>
      </c>
    </row>
    <row r="1326">
      <c r="A1326" s="4" t="s">
        <v>1520</v>
      </c>
      <c r="B1326" s="3">
        <v>0.0</v>
      </c>
      <c r="C1326" s="3" t="s">
        <v>32</v>
      </c>
      <c r="D1326" s="4" t="str">
        <f t="shared" si="1"/>
        <v>SANS</v>
      </c>
    </row>
    <row r="1327">
      <c r="A1327" s="4" t="s">
        <v>1521</v>
      </c>
      <c r="B1327" s="3">
        <v>0.0</v>
      </c>
      <c r="C1327" s="3" t="s">
        <v>6</v>
      </c>
      <c r="D1327" s="4" t="str">
        <f t="shared" si="1"/>
        <v>SANS</v>
      </c>
    </row>
    <row r="1328">
      <c r="A1328" s="4" t="s">
        <v>1522</v>
      </c>
      <c r="B1328" s="3">
        <v>0.0</v>
      </c>
      <c r="C1328" s="3" t="s">
        <v>6</v>
      </c>
      <c r="D1328" s="4" t="str">
        <f t="shared" si="1"/>
        <v>SANS</v>
      </c>
    </row>
    <row r="1329">
      <c r="A1329" s="4" t="s">
        <v>2279</v>
      </c>
      <c r="B1329" s="3">
        <v>0.0</v>
      </c>
      <c r="C1329" s="3" t="s">
        <v>3</v>
      </c>
      <c r="D1329" s="4" t="str">
        <f t="shared" si="1"/>
        <v>SANS</v>
      </c>
    </row>
    <row r="1330">
      <c r="A1330" s="4" t="s">
        <v>1528</v>
      </c>
      <c r="B1330" s="3">
        <v>0.0</v>
      </c>
      <c r="C1330" s="3" t="s">
        <v>29</v>
      </c>
      <c r="D1330" s="4" t="str">
        <f t="shared" si="1"/>
        <v>SANS</v>
      </c>
    </row>
    <row r="1331">
      <c r="A1331" s="4" t="s">
        <v>1529</v>
      </c>
      <c r="B1331" s="3">
        <v>0.0</v>
      </c>
      <c r="C1331" s="3" t="s">
        <v>32</v>
      </c>
      <c r="D1331" s="4" t="str">
        <f t="shared" si="1"/>
        <v>SANS</v>
      </c>
    </row>
    <row r="1332">
      <c r="A1332" s="4" t="s">
        <v>1530</v>
      </c>
      <c r="B1332" s="3">
        <v>0.0</v>
      </c>
      <c r="C1332" s="3" t="s">
        <v>32</v>
      </c>
      <c r="D1332" s="4" t="str">
        <f t="shared" si="1"/>
        <v>SANS</v>
      </c>
    </row>
    <row r="1333">
      <c r="A1333" s="4" t="s">
        <v>1531</v>
      </c>
      <c r="B1333" s="3">
        <v>0.0</v>
      </c>
      <c r="C1333" s="3" t="s">
        <v>3</v>
      </c>
      <c r="D1333" s="4" t="str">
        <f t="shared" si="1"/>
        <v>SANS</v>
      </c>
    </row>
    <row r="1334">
      <c r="A1334" s="4" t="s">
        <v>1532</v>
      </c>
      <c r="B1334" s="3">
        <v>0.0</v>
      </c>
      <c r="C1334" s="3" t="s">
        <v>6</v>
      </c>
      <c r="D1334" s="4" t="str">
        <f t="shared" si="1"/>
        <v>SANS</v>
      </c>
    </row>
    <row r="1335">
      <c r="A1335" s="4" t="s">
        <v>1533</v>
      </c>
      <c r="B1335" s="3">
        <v>0.0</v>
      </c>
      <c r="C1335" s="3" t="s">
        <v>32</v>
      </c>
      <c r="D1335" s="4" t="str">
        <f t="shared" si="1"/>
        <v>SANS</v>
      </c>
    </row>
    <row r="1336">
      <c r="A1336" s="4" t="s">
        <v>1534</v>
      </c>
      <c r="B1336" s="3">
        <v>0.0</v>
      </c>
      <c r="C1336" s="3" t="s">
        <v>6</v>
      </c>
      <c r="D1336" s="4" t="str">
        <f t="shared" si="1"/>
        <v>SANS</v>
      </c>
    </row>
    <row r="1337">
      <c r="A1337" s="4" t="s">
        <v>1535</v>
      </c>
      <c r="B1337" s="3">
        <v>0.0</v>
      </c>
      <c r="C1337" s="3" t="s">
        <v>6</v>
      </c>
      <c r="D1337" s="4" t="str">
        <f t="shared" si="1"/>
        <v>SANS</v>
      </c>
    </row>
    <row r="1338">
      <c r="A1338" s="4" t="s">
        <v>1537</v>
      </c>
      <c r="B1338" s="3">
        <v>0.0</v>
      </c>
      <c r="C1338" s="3" t="s">
        <v>32</v>
      </c>
      <c r="D1338" s="4" t="str">
        <f t="shared" si="1"/>
        <v>SANS</v>
      </c>
    </row>
    <row r="1339">
      <c r="A1339" s="4" t="s">
        <v>1538</v>
      </c>
      <c r="B1339" s="3">
        <v>0.0</v>
      </c>
      <c r="C1339" s="3" t="s">
        <v>3</v>
      </c>
      <c r="D1339" s="4" t="str">
        <f t="shared" si="1"/>
        <v>SANS</v>
      </c>
    </row>
    <row r="1340">
      <c r="A1340" s="4" t="s">
        <v>1542</v>
      </c>
      <c r="B1340" s="3">
        <v>0.0</v>
      </c>
      <c r="C1340" s="3" t="s">
        <v>3</v>
      </c>
      <c r="D1340" s="4" t="str">
        <f t="shared" si="1"/>
        <v>SANS</v>
      </c>
    </row>
    <row r="1341">
      <c r="A1341" s="4" t="s">
        <v>1543</v>
      </c>
      <c r="B1341" s="3">
        <v>0.0</v>
      </c>
      <c r="C1341" s="3" t="s">
        <v>3</v>
      </c>
      <c r="D1341" s="4" t="str">
        <f t="shared" si="1"/>
        <v>SANS</v>
      </c>
    </row>
    <row r="1342">
      <c r="A1342" s="4" t="s">
        <v>2281</v>
      </c>
      <c r="B1342" s="3">
        <v>0.0</v>
      </c>
      <c r="C1342" s="3" t="s">
        <v>3</v>
      </c>
      <c r="D1342" s="4" t="str">
        <f t="shared" si="1"/>
        <v>SANS</v>
      </c>
    </row>
    <row r="1343">
      <c r="A1343" s="4" t="s">
        <v>1548</v>
      </c>
      <c r="B1343" s="3">
        <v>0.0</v>
      </c>
      <c r="C1343" s="3" t="s">
        <v>484</v>
      </c>
      <c r="D1343" s="4" t="str">
        <f t="shared" si="1"/>
        <v>SANS</v>
      </c>
    </row>
    <row r="1344">
      <c r="A1344" s="4" t="s">
        <v>1549</v>
      </c>
      <c r="B1344" s="3">
        <v>0.0</v>
      </c>
      <c r="C1344" s="3" t="s">
        <v>3</v>
      </c>
      <c r="D1344" s="4" t="str">
        <f t="shared" si="1"/>
        <v>SANS</v>
      </c>
    </row>
    <row r="1345">
      <c r="A1345" s="4" t="s">
        <v>1551</v>
      </c>
      <c r="B1345" s="3">
        <v>0.0</v>
      </c>
      <c r="C1345" s="3" t="s">
        <v>3</v>
      </c>
      <c r="D1345" s="4" t="str">
        <f t="shared" si="1"/>
        <v>SANS</v>
      </c>
    </row>
    <row r="1346">
      <c r="A1346" s="4" t="s">
        <v>1555</v>
      </c>
      <c r="B1346" s="3">
        <v>0.0</v>
      </c>
      <c r="C1346" s="3" t="s">
        <v>32</v>
      </c>
      <c r="D1346" s="4" t="str">
        <f t="shared" si="1"/>
        <v>SANS</v>
      </c>
    </row>
    <row r="1347">
      <c r="A1347" s="4" t="s">
        <v>1562</v>
      </c>
      <c r="B1347" s="3">
        <v>0.0</v>
      </c>
      <c r="C1347" s="3" t="s">
        <v>3</v>
      </c>
      <c r="D1347" s="4" t="str">
        <f t="shared" si="1"/>
        <v>SANS</v>
      </c>
    </row>
    <row r="1348">
      <c r="A1348" s="4" t="s">
        <v>1572</v>
      </c>
      <c r="B1348" s="3">
        <v>0.0</v>
      </c>
      <c r="C1348" s="3" t="s">
        <v>3</v>
      </c>
      <c r="D1348" s="4" t="str">
        <f t="shared" si="1"/>
        <v>SANS</v>
      </c>
    </row>
    <row r="1349">
      <c r="A1349" s="4" t="s">
        <v>1573</v>
      </c>
      <c r="B1349" s="3">
        <v>0.0</v>
      </c>
      <c r="C1349" s="3" t="s">
        <v>3</v>
      </c>
      <c r="D1349" s="4" t="str">
        <f t="shared" si="1"/>
        <v>SANS</v>
      </c>
    </row>
    <row r="1350">
      <c r="A1350" s="4" t="s">
        <v>1576</v>
      </c>
      <c r="B1350" s="3">
        <v>0.0</v>
      </c>
      <c r="C1350" s="3" t="s">
        <v>3</v>
      </c>
      <c r="D1350" s="4" t="str">
        <f t="shared" si="1"/>
        <v>SANS</v>
      </c>
    </row>
    <row r="1351">
      <c r="A1351" s="4" t="s">
        <v>1578</v>
      </c>
      <c r="B1351" s="3">
        <v>0.0</v>
      </c>
      <c r="C1351" s="3" t="s">
        <v>6</v>
      </c>
      <c r="D1351" s="4" t="str">
        <f t="shared" si="1"/>
        <v>SANS</v>
      </c>
    </row>
    <row r="1352">
      <c r="A1352" s="4" t="s">
        <v>1582</v>
      </c>
      <c r="B1352" s="3">
        <v>0.0</v>
      </c>
      <c r="C1352" s="3" t="s">
        <v>29</v>
      </c>
      <c r="D1352" s="4" t="str">
        <f t="shared" si="1"/>
        <v>SANS</v>
      </c>
    </row>
    <row r="1353">
      <c r="A1353" s="4" t="s">
        <v>1583</v>
      </c>
      <c r="B1353" s="3">
        <v>0.0</v>
      </c>
      <c r="C1353" s="3" t="s">
        <v>6</v>
      </c>
      <c r="D1353" s="4" t="str">
        <f t="shared" si="1"/>
        <v>SANS</v>
      </c>
    </row>
    <row r="1354">
      <c r="A1354" s="4" t="s">
        <v>1584</v>
      </c>
      <c r="B1354" s="3">
        <v>0.0</v>
      </c>
      <c r="C1354" s="3" t="s">
        <v>6</v>
      </c>
      <c r="D1354" s="4" t="str">
        <f t="shared" si="1"/>
        <v>SANS</v>
      </c>
    </row>
    <row r="1355">
      <c r="A1355" s="4" t="s">
        <v>1587</v>
      </c>
      <c r="B1355" s="3">
        <v>0.0</v>
      </c>
      <c r="C1355" s="3" t="s">
        <v>3</v>
      </c>
      <c r="D1355" s="4" t="str">
        <f t="shared" si="1"/>
        <v>SANS</v>
      </c>
    </row>
    <row r="1356">
      <c r="A1356" s="4" t="s">
        <v>1588</v>
      </c>
      <c r="B1356" s="3">
        <v>0.0</v>
      </c>
      <c r="C1356" s="3" t="s">
        <v>3</v>
      </c>
      <c r="D1356" s="4" t="str">
        <f t="shared" si="1"/>
        <v>SANS</v>
      </c>
    </row>
    <row r="1357">
      <c r="A1357" s="4" t="s">
        <v>1591</v>
      </c>
      <c r="B1357" s="3">
        <v>0.0</v>
      </c>
      <c r="C1357" s="3" t="s">
        <v>3</v>
      </c>
      <c r="D1357" s="4" t="str">
        <f t="shared" si="1"/>
        <v>SANS</v>
      </c>
    </row>
    <row r="1358">
      <c r="A1358" s="4" t="s">
        <v>1593</v>
      </c>
      <c r="B1358" s="3">
        <v>0.0</v>
      </c>
      <c r="C1358" s="3" t="s">
        <v>3</v>
      </c>
      <c r="D1358" s="4" t="str">
        <f t="shared" si="1"/>
        <v>SANS</v>
      </c>
    </row>
    <row r="1359">
      <c r="A1359" s="4" t="s">
        <v>1595</v>
      </c>
      <c r="B1359" s="3">
        <v>0.0</v>
      </c>
      <c r="C1359" s="3" t="s">
        <v>6</v>
      </c>
      <c r="D1359" s="4" t="str">
        <f t="shared" si="1"/>
        <v>SANS</v>
      </c>
    </row>
    <row r="1360">
      <c r="A1360" s="4" t="s">
        <v>1598</v>
      </c>
      <c r="B1360" s="3">
        <v>0.0</v>
      </c>
      <c r="C1360" s="3" t="s">
        <v>32</v>
      </c>
      <c r="D1360" s="4" t="str">
        <f t="shared" si="1"/>
        <v>SANS</v>
      </c>
    </row>
    <row r="1361">
      <c r="A1361" s="4" t="s">
        <v>1599</v>
      </c>
      <c r="B1361" s="3">
        <v>0.0</v>
      </c>
      <c r="C1361" s="3" t="s">
        <v>6</v>
      </c>
      <c r="D1361" s="4" t="str">
        <f t="shared" si="1"/>
        <v>SANS</v>
      </c>
    </row>
    <row r="1362">
      <c r="A1362" s="4" t="s">
        <v>1607</v>
      </c>
      <c r="B1362" s="3">
        <v>0.0</v>
      </c>
      <c r="C1362" s="3" t="s">
        <v>3</v>
      </c>
      <c r="D1362" s="4" t="str">
        <f t="shared" si="1"/>
        <v>SANS</v>
      </c>
    </row>
    <row r="1363">
      <c r="A1363" s="4" t="s">
        <v>1608</v>
      </c>
      <c r="B1363" s="3">
        <v>0.0</v>
      </c>
      <c r="C1363" s="3" t="s">
        <v>3</v>
      </c>
      <c r="D1363" s="4" t="str">
        <f t="shared" si="1"/>
        <v>SANS</v>
      </c>
    </row>
    <row r="1364">
      <c r="A1364" s="4" t="s">
        <v>1614</v>
      </c>
      <c r="B1364" s="3">
        <v>0.0</v>
      </c>
      <c r="C1364" s="3" t="s">
        <v>3</v>
      </c>
      <c r="D1364" s="4" t="str">
        <f t="shared" si="1"/>
        <v>SANS</v>
      </c>
    </row>
    <row r="1365">
      <c r="A1365" s="4" t="s">
        <v>1617</v>
      </c>
      <c r="B1365" s="3">
        <v>0.0</v>
      </c>
      <c r="C1365" s="3" t="s">
        <v>3</v>
      </c>
      <c r="D1365" s="4" t="str">
        <f t="shared" si="1"/>
        <v>SANS</v>
      </c>
    </row>
    <row r="1366">
      <c r="A1366" s="4" t="s">
        <v>1618</v>
      </c>
      <c r="B1366" s="3">
        <v>0.0</v>
      </c>
      <c r="C1366" s="3" t="s">
        <v>3</v>
      </c>
      <c r="D1366" s="4" t="str">
        <f t="shared" si="1"/>
        <v>SANS</v>
      </c>
    </row>
    <row r="1367">
      <c r="A1367" s="4" t="s">
        <v>1619</v>
      </c>
      <c r="B1367" s="3">
        <v>0.0</v>
      </c>
      <c r="C1367" s="3" t="s">
        <v>29</v>
      </c>
      <c r="D1367" s="4" t="str">
        <f t="shared" si="1"/>
        <v>SANS</v>
      </c>
    </row>
    <row r="1368">
      <c r="A1368" s="4" t="s">
        <v>1622</v>
      </c>
      <c r="B1368" s="3">
        <v>0.0</v>
      </c>
      <c r="C1368" s="3" t="s">
        <v>3</v>
      </c>
      <c r="D1368" s="4" t="str">
        <f t="shared" si="1"/>
        <v>SANS</v>
      </c>
    </row>
    <row r="1369">
      <c r="A1369" s="4" t="s">
        <v>1623</v>
      </c>
      <c r="B1369" s="3">
        <v>0.0</v>
      </c>
      <c r="C1369" s="3" t="s">
        <v>6</v>
      </c>
      <c r="D1369" s="4" t="str">
        <f t="shared" si="1"/>
        <v>SANS</v>
      </c>
    </row>
    <row r="1370">
      <c r="A1370" s="4" t="s">
        <v>1625</v>
      </c>
      <c r="B1370" s="3">
        <v>0.0</v>
      </c>
      <c r="C1370" s="3" t="s">
        <v>29</v>
      </c>
      <c r="D1370" s="4" t="str">
        <f t="shared" si="1"/>
        <v>SANS</v>
      </c>
    </row>
    <row r="1371">
      <c r="A1371" s="4" t="s">
        <v>1627</v>
      </c>
      <c r="B1371" s="3">
        <v>0.0</v>
      </c>
      <c r="C1371" s="3" t="s">
        <v>6</v>
      </c>
      <c r="D1371" s="4" t="str">
        <f t="shared" si="1"/>
        <v>SANS</v>
      </c>
    </row>
    <row r="1372">
      <c r="A1372" s="4" t="s">
        <v>1629</v>
      </c>
      <c r="B1372" s="3">
        <v>0.0</v>
      </c>
      <c r="C1372" s="3" t="s">
        <v>3</v>
      </c>
      <c r="D1372" s="4" t="str">
        <f t="shared" si="1"/>
        <v>SANS</v>
      </c>
    </row>
    <row r="1373">
      <c r="A1373" s="4" t="s">
        <v>1630</v>
      </c>
      <c r="B1373" s="3">
        <v>0.0</v>
      </c>
      <c r="C1373" s="3" t="s">
        <v>3</v>
      </c>
      <c r="D1373" s="4" t="str">
        <f t="shared" si="1"/>
        <v>SANS</v>
      </c>
    </row>
    <row r="1374">
      <c r="A1374" s="4" t="s">
        <v>1631</v>
      </c>
      <c r="B1374" s="3">
        <v>0.0</v>
      </c>
      <c r="C1374" s="3" t="s">
        <v>3</v>
      </c>
      <c r="D1374" s="4" t="str">
        <f t="shared" si="1"/>
        <v>SANS</v>
      </c>
    </row>
    <row r="1375">
      <c r="A1375" s="4" t="s">
        <v>1632</v>
      </c>
      <c r="B1375" s="3">
        <v>0.0</v>
      </c>
      <c r="C1375" s="3" t="s">
        <v>3</v>
      </c>
      <c r="D1375" s="4" t="str">
        <f t="shared" si="1"/>
        <v>SANS</v>
      </c>
    </row>
    <row r="1376">
      <c r="A1376" s="4" t="s">
        <v>1633</v>
      </c>
      <c r="B1376" s="3">
        <v>0.0</v>
      </c>
      <c r="C1376" s="3" t="s">
        <v>668</v>
      </c>
      <c r="D1376" s="4" t="str">
        <f t="shared" si="1"/>
        <v>SANS</v>
      </c>
    </row>
    <row r="1377">
      <c r="A1377" s="4" t="s">
        <v>1634</v>
      </c>
      <c r="B1377" s="3">
        <v>0.0</v>
      </c>
      <c r="C1377" s="3" t="s">
        <v>3</v>
      </c>
      <c r="D1377" s="4" t="str">
        <f t="shared" si="1"/>
        <v>SANS</v>
      </c>
    </row>
    <row r="1378">
      <c r="A1378" s="4" t="s">
        <v>1645</v>
      </c>
      <c r="B1378" s="3">
        <v>0.0</v>
      </c>
      <c r="C1378" s="3" t="s">
        <v>3</v>
      </c>
      <c r="D1378" s="4" t="str">
        <f t="shared" si="1"/>
        <v>SANS</v>
      </c>
    </row>
    <row r="1379">
      <c r="A1379" s="4" t="s">
        <v>1646</v>
      </c>
      <c r="B1379" s="3">
        <v>0.0</v>
      </c>
      <c r="C1379" s="3" t="s">
        <v>32</v>
      </c>
      <c r="D1379" s="4" t="str">
        <f t="shared" si="1"/>
        <v>SANS</v>
      </c>
    </row>
    <row r="1380">
      <c r="A1380" s="4" t="s">
        <v>1650</v>
      </c>
      <c r="B1380" s="3">
        <v>0.0</v>
      </c>
      <c r="C1380" s="3" t="s">
        <v>1651</v>
      </c>
      <c r="D1380" s="4" t="str">
        <f t="shared" si="1"/>
        <v>SANS</v>
      </c>
    </row>
    <row r="1381">
      <c r="A1381" s="4" t="s">
        <v>1652</v>
      </c>
      <c r="B1381" s="3">
        <v>0.0</v>
      </c>
      <c r="C1381" s="3" t="s">
        <v>3</v>
      </c>
      <c r="D1381" s="4" t="str">
        <f t="shared" si="1"/>
        <v>SANS</v>
      </c>
    </row>
    <row r="1382">
      <c r="A1382" s="4" t="s">
        <v>1657</v>
      </c>
      <c r="B1382" s="3">
        <v>0.0</v>
      </c>
      <c r="C1382" s="3" t="s">
        <v>3</v>
      </c>
      <c r="D1382" s="4" t="str">
        <f t="shared" si="1"/>
        <v>SANS</v>
      </c>
    </row>
    <row r="1383">
      <c r="A1383" s="4" t="s">
        <v>1660</v>
      </c>
      <c r="B1383" s="3">
        <v>0.0</v>
      </c>
      <c r="C1383" s="3" t="s">
        <v>3</v>
      </c>
      <c r="D1383" s="4" t="str">
        <f t="shared" si="1"/>
        <v>SANS</v>
      </c>
    </row>
    <row r="1384">
      <c r="A1384" s="4" t="s">
        <v>1661</v>
      </c>
      <c r="B1384" s="3">
        <v>0.0</v>
      </c>
      <c r="C1384" s="3" t="s">
        <v>3</v>
      </c>
      <c r="D1384" s="4" t="str">
        <f t="shared" si="1"/>
        <v>SANS</v>
      </c>
    </row>
    <row r="1385">
      <c r="A1385" s="4" t="s">
        <v>1664</v>
      </c>
      <c r="B1385" s="3">
        <v>0.0</v>
      </c>
      <c r="C1385" s="3" t="s">
        <v>3</v>
      </c>
      <c r="D1385" s="4" t="str">
        <f t="shared" si="1"/>
        <v>SANS</v>
      </c>
    </row>
    <row r="1386">
      <c r="A1386" s="4" t="s">
        <v>1666</v>
      </c>
      <c r="B1386" s="3">
        <v>0.0</v>
      </c>
      <c r="C1386" s="3" t="s">
        <v>6</v>
      </c>
      <c r="D1386" s="4" t="str">
        <f t="shared" si="1"/>
        <v>SANS</v>
      </c>
    </row>
    <row r="1387">
      <c r="A1387" s="4" t="s">
        <v>1668</v>
      </c>
      <c r="B1387" s="3">
        <v>0.0</v>
      </c>
      <c r="C1387" s="3" t="s">
        <v>3</v>
      </c>
      <c r="D1387" s="4" t="str">
        <f t="shared" si="1"/>
        <v>SANS</v>
      </c>
    </row>
    <row r="1388">
      <c r="A1388" s="4" t="s">
        <v>1670</v>
      </c>
      <c r="B1388" s="3">
        <v>0.0</v>
      </c>
      <c r="C1388" s="3" t="s">
        <v>3</v>
      </c>
      <c r="D1388" s="4" t="str">
        <f t="shared" si="1"/>
        <v>SANS</v>
      </c>
    </row>
    <row r="1389">
      <c r="A1389" s="4" t="s">
        <v>1675</v>
      </c>
      <c r="B1389" s="3">
        <v>0.0</v>
      </c>
      <c r="C1389" s="3" t="s">
        <v>3</v>
      </c>
      <c r="D1389" s="4" t="str">
        <f t="shared" si="1"/>
        <v>SANS</v>
      </c>
    </row>
    <row r="1390">
      <c r="A1390" s="4" t="s">
        <v>2290</v>
      </c>
      <c r="B1390" s="3">
        <v>0.0</v>
      </c>
      <c r="C1390" s="3" t="s">
        <v>3</v>
      </c>
      <c r="D1390" s="4" t="str">
        <f t="shared" si="1"/>
        <v>SANS</v>
      </c>
    </row>
    <row r="1391">
      <c r="A1391" s="4" t="s">
        <v>1682</v>
      </c>
      <c r="B1391" s="3">
        <v>0.0</v>
      </c>
      <c r="C1391" s="3" t="s">
        <v>3</v>
      </c>
      <c r="D1391" s="4" t="str">
        <f t="shared" si="1"/>
        <v>SANS</v>
      </c>
    </row>
    <row r="1392">
      <c r="A1392" s="4" t="s">
        <v>1685</v>
      </c>
      <c r="B1392" s="3">
        <v>0.0</v>
      </c>
      <c r="C1392" s="3" t="s">
        <v>3</v>
      </c>
      <c r="D1392" s="4" t="str">
        <f t="shared" si="1"/>
        <v>SANS</v>
      </c>
    </row>
    <row r="1393">
      <c r="A1393" s="4" t="s">
        <v>1686</v>
      </c>
      <c r="B1393" s="3">
        <v>0.0</v>
      </c>
      <c r="C1393" s="3" t="s">
        <v>3</v>
      </c>
      <c r="D1393" s="4" t="str">
        <f t="shared" si="1"/>
        <v>SANS</v>
      </c>
    </row>
    <row r="1394">
      <c r="A1394" s="4" t="s">
        <v>1687</v>
      </c>
      <c r="B1394" s="3">
        <v>0.0</v>
      </c>
      <c r="C1394" s="3" t="s">
        <v>29</v>
      </c>
      <c r="D1394" s="4" t="str">
        <f t="shared" si="1"/>
        <v>SANS</v>
      </c>
    </row>
    <row r="1395">
      <c r="A1395" s="4" t="s">
        <v>1690</v>
      </c>
      <c r="B1395" s="3">
        <v>0.0</v>
      </c>
      <c r="C1395" s="3" t="s">
        <v>29</v>
      </c>
      <c r="D1395" s="4" t="str">
        <f t="shared" si="1"/>
        <v>SANS</v>
      </c>
    </row>
    <row r="1396">
      <c r="A1396" s="4" t="s">
        <v>1691</v>
      </c>
      <c r="B1396" s="3">
        <v>0.0</v>
      </c>
      <c r="C1396" s="3" t="s">
        <v>484</v>
      </c>
      <c r="D1396" s="4" t="str">
        <f t="shared" si="1"/>
        <v>SANS</v>
      </c>
    </row>
    <row r="1397">
      <c r="A1397" s="4" t="s">
        <v>1694</v>
      </c>
      <c r="B1397" s="3">
        <v>0.0</v>
      </c>
      <c r="C1397" s="3" t="s">
        <v>32</v>
      </c>
      <c r="D1397" s="4" t="str">
        <f t="shared" si="1"/>
        <v>SANS</v>
      </c>
    </row>
    <row r="1398">
      <c r="A1398" s="4" t="s">
        <v>1695</v>
      </c>
      <c r="B1398" s="3">
        <v>0.0</v>
      </c>
      <c r="C1398" s="3" t="s">
        <v>3</v>
      </c>
      <c r="D1398" s="4" t="str">
        <f t="shared" si="1"/>
        <v>SANS</v>
      </c>
    </row>
    <row r="1399">
      <c r="A1399" s="4" t="s">
        <v>1699</v>
      </c>
      <c r="B1399" s="3">
        <v>0.0</v>
      </c>
      <c r="C1399" s="3" t="s">
        <v>3</v>
      </c>
      <c r="D1399" s="4" t="str">
        <f t="shared" si="1"/>
        <v>SANS</v>
      </c>
    </row>
    <row r="1400">
      <c r="A1400" s="4" t="s">
        <v>1700</v>
      </c>
      <c r="B1400" s="3">
        <v>0.0</v>
      </c>
      <c r="C1400" s="3" t="s">
        <v>3</v>
      </c>
      <c r="D1400" s="4" t="str">
        <f t="shared" si="1"/>
        <v>SANS</v>
      </c>
    </row>
    <row r="1401">
      <c r="A1401" s="4" t="s">
        <v>1703</v>
      </c>
      <c r="B1401" s="3">
        <v>0.0</v>
      </c>
      <c r="C1401" s="3" t="s">
        <v>3</v>
      </c>
      <c r="D1401" s="4" t="str">
        <f t="shared" si="1"/>
        <v>SANS</v>
      </c>
    </row>
    <row r="1402">
      <c r="A1402" s="4" t="s">
        <v>1704</v>
      </c>
      <c r="B1402" s="3">
        <v>0.0</v>
      </c>
      <c r="C1402" s="3" t="s">
        <v>3</v>
      </c>
      <c r="D1402" s="4" t="str">
        <f t="shared" si="1"/>
        <v>SANS</v>
      </c>
    </row>
    <row r="1403">
      <c r="A1403" s="4" t="s">
        <v>1705</v>
      </c>
      <c r="B1403" s="3">
        <v>0.0</v>
      </c>
      <c r="C1403" s="3" t="s">
        <v>3</v>
      </c>
      <c r="D1403" s="4" t="str">
        <f t="shared" si="1"/>
        <v>SANS</v>
      </c>
    </row>
    <row r="1404">
      <c r="A1404" s="4" t="s">
        <v>1706</v>
      </c>
      <c r="B1404" s="3">
        <v>0.0</v>
      </c>
      <c r="C1404" s="3" t="s">
        <v>6</v>
      </c>
      <c r="D1404" s="4" t="str">
        <f t="shared" si="1"/>
        <v>SANS</v>
      </c>
    </row>
    <row r="1405">
      <c r="A1405" s="4" t="s">
        <v>1707</v>
      </c>
      <c r="B1405" s="3">
        <v>0.0</v>
      </c>
      <c r="C1405" s="3" t="s">
        <v>6</v>
      </c>
      <c r="D1405" s="4" t="str">
        <f t="shared" si="1"/>
        <v>SANS</v>
      </c>
    </row>
    <row r="1406">
      <c r="A1406" s="4" t="s">
        <v>1708</v>
      </c>
      <c r="B1406" s="3">
        <v>0.0</v>
      </c>
      <c r="C1406" s="3" t="s">
        <v>3</v>
      </c>
      <c r="D1406" s="4" t="str">
        <f t="shared" si="1"/>
        <v>SANS</v>
      </c>
    </row>
    <row r="1407">
      <c r="A1407" s="4" t="s">
        <v>1711</v>
      </c>
      <c r="B1407" s="3">
        <v>0.0</v>
      </c>
      <c r="C1407" s="3" t="s">
        <v>3</v>
      </c>
      <c r="D1407" s="4" t="str">
        <f t="shared" si="1"/>
        <v>SANS</v>
      </c>
    </row>
    <row r="1408">
      <c r="A1408" s="4" t="s">
        <v>1720</v>
      </c>
      <c r="B1408" s="3">
        <v>0.0</v>
      </c>
      <c r="C1408" s="3" t="s">
        <v>3</v>
      </c>
      <c r="D1408" s="4" t="str">
        <f t="shared" si="1"/>
        <v>SANS</v>
      </c>
    </row>
    <row r="1409">
      <c r="A1409" s="4" t="s">
        <v>1721</v>
      </c>
      <c r="B1409" s="3">
        <v>0.0</v>
      </c>
      <c r="C1409" s="3" t="s">
        <v>3</v>
      </c>
      <c r="D1409" s="4" t="str">
        <f t="shared" si="1"/>
        <v>SANS</v>
      </c>
    </row>
    <row r="1410">
      <c r="A1410" s="4" t="s">
        <v>1722</v>
      </c>
      <c r="B1410" s="3">
        <v>0.0</v>
      </c>
      <c r="C1410" s="3" t="s">
        <v>3</v>
      </c>
      <c r="D1410" s="4" t="str">
        <f t="shared" si="1"/>
        <v>SANS</v>
      </c>
    </row>
    <row r="1411">
      <c r="A1411" s="4" t="s">
        <v>2293</v>
      </c>
      <c r="B1411" s="3">
        <v>0.0</v>
      </c>
      <c r="C1411" s="3" t="s">
        <v>32</v>
      </c>
      <c r="D1411" s="4" t="str">
        <f t="shared" si="1"/>
        <v>SANS</v>
      </c>
    </row>
    <row r="1412">
      <c r="A1412" s="4" t="s">
        <v>1728</v>
      </c>
      <c r="B1412" s="3">
        <v>0.0</v>
      </c>
      <c r="C1412" s="3" t="s">
        <v>3</v>
      </c>
      <c r="D1412" s="4" t="str">
        <f t="shared" si="1"/>
        <v>SANS</v>
      </c>
    </row>
    <row r="1413">
      <c r="A1413" s="4" t="s">
        <v>1729</v>
      </c>
      <c r="B1413" s="3">
        <v>0.0</v>
      </c>
      <c r="C1413" s="3" t="s">
        <v>3</v>
      </c>
      <c r="D1413" s="4" t="str">
        <f t="shared" si="1"/>
        <v>SANS</v>
      </c>
    </row>
    <row r="1414">
      <c r="A1414" s="4" t="s">
        <v>1730</v>
      </c>
      <c r="B1414" s="3">
        <v>0.0</v>
      </c>
      <c r="C1414" s="3" t="s">
        <v>29</v>
      </c>
      <c r="D1414" s="4" t="str">
        <f t="shared" si="1"/>
        <v>SANS</v>
      </c>
    </row>
    <row r="1415">
      <c r="A1415" s="4" t="s">
        <v>1731</v>
      </c>
      <c r="B1415" s="3">
        <v>0.0</v>
      </c>
      <c r="C1415" s="3" t="s">
        <v>6</v>
      </c>
      <c r="D1415" s="4" t="str">
        <f t="shared" si="1"/>
        <v>SANS</v>
      </c>
    </row>
    <row r="1416">
      <c r="A1416" s="4" t="s">
        <v>1732</v>
      </c>
      <c r="B1416" s="3">
        <v>0.0</v>
      </c>
      <c r="C1416" s="3" t="s">
        <v>3</v>
      </c>
      <c r="D1416" s="4" t="str">
        <f t="shared" si="1"/>
        <v>SANS</v>
      </c>
    </row>
    <row r="1417">
      <c r="A1417" s="4" t="s">
        <v>1737</v>
      </c>
      <c r="B1417" s="3">
        <v>0.0</v>
      </c>
      <c r="C1417" s="3" t="s">
        <v>3</v>
      </c>
      <c r="D1417" s="4" t="str">
        <f t="shared" si="1"/>
        <v>SANS</v>
      </c>
    </row>
    <row r="1418">
      <c r="A1418" s="4" t="s">
        <v>1740</v>
      </c>
      <c r="B1418" s="3">
        <v>0.0</v>
      </c>
      <c r="C1418" s="3" t="s">
        <v>3</v>
      </c>
      <c r="D1418" s="4" t="str">
        <f t="shared" si="1"/>
        <v>SANS</v>
      </c>
    </row>
    <row r="1419">
      <c r="A1419" s="4" t="s">
        <v>2294</v>
      </c>
      <c r="B1419" s="3">
        <v>0.0</v>
      </c>
      <c r="C1419" s="3" t="s">
        <v>3</v>
      </c>
      <c r="D1419" s="4" t="str">
        <f t="shared" si="1"/>
        <v>SANS</v>
      </c>
    </row>
    <row r="1420">
      <c r="A1420" s="4" t="s">
        <v>1743</v>
      </c>
      <c r="B1420" s="3">
        <v>0.0</v>
      </c>
      <c r="C1420" s="3" t="s">
        <v>3</v>
      </c>
      <c r="D1420" s="4" t="str">
        <f t="shared" si="1"/>
        <v>SANS</v>
      </c>
    </row>
    <row r="1421">
      <c r="A1421" s="4" t="s">
        <v>1749</v>
      </c>
      <c r="B1421" s="3">
        <v>0.0</v>
      </c>
      <c r="C1421" s="3" t="s">
        <v>6</v>
      </c>
      <c r="D1421" s="4" t="str">
        <f t="shared" si="1"/>
        <v>SANS</v>
      </c>
    </row>
    <row r="1422">
      <c r="A1422" s="4" t="s">
        <v>1750</v>
      </c>
      <c r="B1422" s="3">
        <v>0.0</v>
      </c>
      <c r="C1422" s="3" t="s">
        <v>6</v>
      </c>
      <c r="D1422" s="4" t="str">
        <f t="shared" si="1"/>
        <v>SANS</v>
      </c>
    </row>
    <row r="1423">
      <c r="A1423" s="4" t="s">
        <v>1753</v>
      </c>
      <c r="B1423" s="3">
        <v>0.0</v>
      </c>
      <c r="C1423" s="3" t="s">
        <v>32</v>
      </c>
      <c r="D1423" s="4" t="str">
        <f t="shared" si="1"/>
        <v>SANS</v>
      </c>
    </row>
    <row r="1424">
      <c r="A1424" s="4" t="s">
        <v>1755</v>
      </c>
      <c r="B1424" s="3">
        <v>0.0</v>
      </c>
      <c r="C1424" s="3" t="s">
        <v>3</v>
      </c>
      <c r="D1424" s="4" t="str">
        <f t="shared" si="1"/>
        <v>SANS</v>
      </c>
    </row>
    <row r="1425">
      <c r="A1425" s="4" t="s">
        <v>1760</v>
      </c>
      <c r="B1425" s="3">
        <v>0.0</v>
      </c>
      <c r="C1425" s="3" t="s">
        <v>3</v>
      </c>
      <c r="D1425" s="4" t="str">
        <f t="shared" si="1"/>
        <v>SANS</v>
      </c>
    </row>
    <row r="1426">
      <c r="A1426" s="4" t="s">
        <v>1763</v>
      </c>
      <c r="B1426" s="3">
        <v>0.0</v>
      </c>
      <c r="C1426" s="3" t="s">
        <v>3</v>
      </c>
      <c r="D1426" s="4" t="str">
        <f t="shared" si="1"/>
        <v>SANS</v>
      </c>
    </row>
    <row r="1427">
      <c r="A1427" s="4" t="s">
        <v>1768</v>
      </c>
      <c r="B1427" s="3">
        <v>0.0</v>
      </c>
      <c r="C1427" s="3" t="s">
        <v>6</v>
      </c>
      <c r="D1427" s="4" t="str">
        <f t="shared" si="1"/>
        <v>SANS</v>
      </c>
    </row>
    <row r="1428">
      <c r="A1428" s="4" t="s">
        <v>1769</v>
      </c>
      <c r="B1428" s="3">
        <v>0.0</v>
      </c>
      <c r="C1428" s="3" t="s">
        <v>3</v>
      </c>
      <c r="D1428" s="4" t="str">
        <f t="shared" si="1"/>
        <v>SANS</v>
      </c>
    </row>
    <row r="1429">
      <c r="A1429" s="4" t="s">
        <v>1770</v>
      </c>
      <c r="B1429" s="3">
        <v>0.0</v>
      </c>
      <c r="C1429" s="3" t="s">
        <v>29</v>
      </c>
      <c r="D1429" s="4" t="str">
        <f t="shared" si="1"/>
        <v>SANS</v>
      </c>
    </row>
    <row r="1430">
      <c r="A1430" s="4" t="s">
        <v>1771</v>
      </c>
      <c r="B1430" s="3">
        <v>0.0</v>
      </c>
      <c r="C1430" s="3" t="s">
        <v>3</v>
      </c>
      <c r="D1430" s="4" t="str">
        <f t="shared" si="1"/>
        <v>SANS</v>
      </c>
    </row>
    <row r="1431">
      <c r="A1431" s="4" t="s">
        <v>1772</v>
      </c>
      <c r="B1431" s="3">
        <v>0.0</v>
      </c>
      <c r="C1431" s="3" t="s">
        <v>32</v>
      </c>
      <c r="D1431" s="4" t="str">
        <f t="shared" si="1"/>
        <v>SANS</v>
      </c>
    </row>
    <row r="1432">
      <c r="A1432" s="4" t="s">
        <v>1780</v>
      </c>
      <c r="B1432" s="3">
        <v>0.0</v>
      </c>
      <c r="C1432" s="3" t="s">
        <v>32</v>
      </c>
      <c r="D1432" s="4" t="str">
        <f t="shared" si="1"/>
        <v>SANS</v>
      </c>
    </row>
    <row r="1433">
      <c r="A1433" s="4" t="s">
        <v>1784</v>
      </c>
      <c r="B1433" s="3">
        <v>0.0</v>
      </c>
      <c r="C1433" s="3" t="s">
        <v>3</v>
      </c>
      <c r="D1433" s="4" t="str">
        <f t="shared" si="1"/>
        <v>SANS</v>
      </c>
    </row>
    <row r="1434">
      <c r="A1434" s="4" t="s">
        <v>1785</v>
      </c>
      <c r="B1434" s="3">
        <v>0.0</v>
      </c>
      <c r="C1434" s="3" t="s">
        <v>3</v>
      </c>
      <c r="D1434" s="4" t="str">
        <f t="shared" si="1"/>
        <v>SANS</v>
      </c>
    </row>
    <row r="1435">
      <c r="A1435" s="4" t="s">
        <v>1786</v>
      </c>
      <c r="B1435" s="3">
        <v>0.0</v>
      </c>
      <c r="C1435" s="3" t="s">
        <v>6</v>
      </c>
      <c r="D1435" s="4" t="str">
        <f t="shared" si="1"/>
        <v>SANS</v>
      </c>
    </row>
    <row r="1436">
      <c r="A1436" s="4" t="s">
        <v>1794</v>
      </c>
      <c r="B1436" s="3">
        <v>0.0</v>
      </c>
      <c r="C1436" s="3" t="s">
        <v>3</v>
      </c>
      <c r="D1436" s="4" t="str">
        <f t="shared" si="1"/>
        <v>SANS</v>
      </c>
    </row>
    <row r="1437">
      <c r="A1437" s="4" t="s">
        <v>1796</v>
      </c>
      <c r="B1437" s="3">
        <v>0.0</v>
      </c>
      <c r="C1437" s="3" t="s">
        <v>3</v>
      </c>
      <c r="D1437" s="4" t="str">
        <f t="shared" si="1"/>
        <v>SANS</v>
      </c>
    </row>
    <row r="1438">
      <c r="A1438" s="4" t="s">
        <v>2297</v>
      </c>
      <c r="B1438" s="3">
        <v>0.0</v>
      </c>
      <c r="C1438" s="3" t="s">
        <v>32</v>
      </c>
      <c r="D1438" s="4" t="str">
        <f t="shared" si="1"/>
        <v>SANS</v>
      </c>
    </row>
    <row r="1439">
      <c r="A1439" s="4" t="s">
        <v>1799</v>
      </c>
      <c r="B1439" s="3">
        <v>0.0</v>
      </c>
      <c r="C1439" s="3" t="s">
        <v>29</v>
      </c>
      <c r="D1439" s="4" t="str">
        <f t="shared" si="1"/>
        <v>SANS</v>
      </c>
    </row>
    <row r="1440">
      <c r="A1440" s="4" t="s">
        <v>2299</v>
      </c>
      <c r="B1440" s="3">
        <v>0.0</v>
      </c>
      <c r="C1440" s="3" t="s">
        <v>6</v>
      </c>
      <c r="D1440" s="4" t="str">
        <f t="shared" si="1"/>
        <v>SANS</v>
      </c>
    </row>
    <row r="1441">
      <c r="A1441" s="4" t="s">
        <v>2300</v>
      </c>
      <c r="B1441" s="3">
        <v>0.0</v>
      </c>
      <c r="C1441" s="3" t="s">
        <v>29</v>
      </c>
      <c r="D1441" s="4" t="str">
        <f t="shared" si="1"/>
        <v>SANS</v>
      </c>
    </row>
    <row r="1442">
      <c r="A1442" s="4" t="s">
        <v>1807</v>
      </c>
      <c r="B1442" s="3">
        <v>0.0</v>
      </c>
      <c r="C1442" s="3" t="s">
        <v>668</v>
      </c>
      <c r="D1442" s="4" t="str">
        <f t="shared" si="1"/>
        <v>SANS</v>
      </c>
    </row>
    <row r="1443">
      <c r="A1443" s="4" t="s">
        <v>1814</v>
      </c>
      <c r="B1443" s="3">
        <v>0.0</v>
      </c>
      <c r="C1443" s="3" t="s">
        <v>3</v>
      </c>
      <c r="D1443" s="4" t="str">
        <f t="shared" si="1"/>
        <v>SANS</v>
      </c>
    </row>
    <row r="1444">
      <c r="A1444" s="4" t="s">
        <v>2302</v>
      </c>
      <c r="B1444" s="3">
        <v>0.0</v>
      </c>
      <c r="C1444" s="3" t="s">
        <v>3</v>
      </c>
      <c r="D1444" s="4" t="str">
        <f t="shared" si="1"/>
        <v>SANS</v>
      </c>
    </row>
    <row r="1445">
      <c r="A1445" s="4" t="s">
        <v>1818</v>
      </c>
      <c r="B1445" s="3">
        <v>0.0</v>
      </c>
      <c r="C1445" s="3" t="s">
        <v>3</v>
      </c>
      <c r="D1445" s="4" t="str">
        <f t="shared" si="1"/>
        <v>SANS</v>
      </c>
    </row>
    <row r="1446">
      <c r="A1446" s="4" t="s">
        <v>1821</v>
      </c>
      <c r="B1446" s="3">
        <v>0.0</v>
      </c>
      <c r="C1446" s="3" t="s">
        <v>3</v>
      </c>
      <c r="D1446" s="4" t="str">
        <f t="shared" si="1"/>
        <v>SANS</v>
      </c>
    </row>
    <row r="1447">
      <c r="A1447" s="4" t="s">
        <v>1825</v>
      </c>
      <c r="B1447" s="3">
        <v>0.0</v>
      </c>
      <c r="C1447" s="3" t="s">
        <v>3</v>
      </c>
      <c r="D1447" s="4" t="str">
        <f t="shared" si="1"/>
        <v>SANS</v>
      </c>
    </row>
    <row r="1448">
      <c r="A1448" s="4" t="s">
        <v>1826</v>
      </c>
      <c r="B1448" s="3">
        <v>0.0</v>
      </c>
      <c r="C1448" s="3" t="s">
        <v>3</v>
      </c>
      <c r="D1448" s="4" t="str">
        <f t="shared" si="1"/>
        <v>SANS</v>
      </c>
    </row>
    <row r="1449">
      <c r="A1449" s="4" t="s">
        <v>2305</v>
      </c>
      <c r="B1449" s="3">
        <v>0.0</v>
      </c>
      <c r="C1449" s="3" t="s">
        <v>3</v>
      </c>
      <c r="D1449" s="4" t="str">
        <f t="shared" si="1"/>
        <v>SANS</v>
      </c>
    </row>
    <row r="1450">
      <c r="A1450" s="4" t="s">
        <v>1829</v>
      </c>
      <c r="B1450" s="3">
        <v>0.0</v>
      </c>
      <c r="C1450" s="3" t="s">
        <v>3</v>
      </c>
      <c r="D1450" s="4" t="str">
        <f t="shared" si="1"/>
        <v>SANS</v>
      </c>
    </row>
    <row r="1451">
      <c r="A1451" s="4" t="s">
        <v>1831</v>
      </c>
      <c r="B1451" s="3">
        <v>0.0</v>
      </c>
      <c r="C1451" s="3" t="s">
        <v>3</v>
      </c>
      <c r="D1451" s="4" t="str">
        <f t="shared" si="1"/>
        <v>SANS</v>
      </c>
    </row>
    <row r="1452">
      <c r="A1452" s="4" t="s">
        <v>1834</v>
      </c>
      <c r="B1452" s="3">
        <v>0.0</v>
      </c>
      <c r="C1452" s="3" t="s">
        <v>29</v>
      </c>
      <c r="D1452" s="4" t="str">
        <f t="shared" si="1"/>
        <v>SANS</v>
      </c>
    </row>
    <row r="1453">
      <c r="A1453" s="4" t="s">
        <v>1837</v>
      </c>
      <c r="B1453" s="3">
        <v>0.0</v>
      </c>
      <c r="C1453" s="3" t="s">
        <v>3</v>
      </c>
      <c r="D1453" s="4" t="str">
        <f t="shared" si="1"/>
        <v>SANS</v>
      </c>
    </row>
    <row r="1454">
      <c r="A1454" s="4" t="s">
        <v>1840</v>
      </c>
      <c r="B1454" s="3">
        <v>0.0</v>
      </c>
      <c r="C1454" s="3" t="s">
        <v>3</v>
      </c>
      <c r="D1454" s="4" t="str">
        <f t="shared" si="1"/>
        <v>SANS</v>
      </c>
    </row>
    <row r="1455">
      <c r="A1455" s="4" t="s">
        <v>1841</v>
      </c>
      <c r="B1455" s="3">
        <v>0.0</v>
      </c>
      <c r="C1455" s="3" t="s">
        <v>29</v>
      </c>
      <c r="D1455" s="4" t="str">
        <f t="shared" si="1"/>
        <v>SANS</v>
      </c>
    </row>
    <row r="1456">
      <c r="A1456" s="4" t="s">
        <v>1843</v>
      </c>
      <c r="B1456" s="3">
        <v>0.0</v>
      </c>
      <c r="C1456" s="3" t="s">
        <v>3</v>
      </c>
      <c r="D1456" s="4" t="str">
        <f t="shared" si="1"/>
        <v>SANS</v>
      </c>
    </row>
    <row r="1457">
      <c r="A1457" s="4" t="s">
        <v>2307</v>
      </c>
      <c r="B1457" s="3">
        <v>0.0</v>
      </c>
      <c r="C1457" s="3" t="s">
        <v>32</v>
      </c>
      <c r="D1457" s="4" t="str">
        <f t="shared" si="1"/>
        <v>SANS</v>
      </c>
    </row>
    <row r="1458">
      <c r="A1458" s="4" t="s">
        <v>1846</v>
      </c>
      <c r="B1458" s="3">
        <v>0.0</v>
      </c>
      <c r="C1458" s="3" t="s">
        <v>6</v>
      </c>
      <c r="D1458" s="4" t="str">
        <f t="shared" si="1"/>
        <v>SANS</v>
      </c>
    </row>
    <row r="1459">
      <c r="A1459" s="4" t="s">
        <v>1847</v>
      </c>
      <c r="B1459" s="3">
        <v>0.0</v>
      </c>
      <c r="C1459" s="3" t="s">
        <v>6</v>
      </c>
      <c r="D1459" s="4" t="str">
        <f t="shared" si="1"/>
        <v>SANS</v>
      </c>
    </row>
    <row r="1460">
      <c r="A1460" s="4" t="s">
        <v>1854</v>
      </c>
      <c r="B1460" s="3">
        <v>0.0</v>
      </c>
      <c r="C1460" s="3" t="s">
        <v>6</v>
      </c>
      <c r="D1460" s="4" t="str">
        <f t="shared" si="1"/>
        <v>SANS</v>
      </c>
    </row>
    <row r="1461">
      <c r="A1461" s="4" t="s">
        <v>1855</v>
      </c>
      <c r="B1461" s="3">
        <v>0.0</v>
      </c>
      <c r="C1461" s="3" t="s">
        <v>29</v>
      </c>
      <c r="D1461" s="4" t="str">
        <f t="shared" si="1"/>
        <v>SANS</v>
      </c>
    </row>
    <row r="1462">
      <c r="A1462" s="4" t="s">
        <v>2310</v>
      </c>
      <c r="B1462" s="3">
        <v>0.0</v>
      </c>
      <c r="C1462" s="3" t="s">
        <v>3</v>
      </c>
      <c r="D1462" s="4" t="str">
        <f t="shared" si="1"/>
        <v>SANS</v>
      </c>
    </row>
    <row r="1463">
      <c r="A1463" s="4" t="s">
        <v>1861</v>
      </c>
      <c r="B1463" s="3">
        <v>0.0</v>
      </c>
      <c r="C1463" s="3" t="s">
        <v>3</v>
      </c>
      <c r="D1463" s="4" t="str">
        <f t="shared" si="1"/>
        <v>SANS</v>
      </c>
    </row>
    <row r="1464">
      <c r="A1464" s="4" t="s">
        <v>1863</v>
      </c>
      <c r="B1464" s="3">
        <v>0.0</v>
      </c>
      <c r="C1464" s="3" t="s">
        <v>6</v>
      </c>
      <c r="D1464" s="4" t="str">
        <f t="shared" si="1"/>
        <v>SANS</v>
      </c>
    </row>
    <row r="1465">
      <c r="A1465" s="4" t="s">
        <v>1864</v>
      </c>
      <c r="B1465" s="3">
        <v>0.0</v>
      </c>
      <c r="C1465" s="3" t="s">
        <v>6</v>
      </c>
      <c r="D1465" s="4" t="str">
        <f t="shared" si="1"/>
        <v>SANS</v>
      </c>
    </row>
    <row r="1466">
      <c r="A1466" s="4" t="s">
        <v>1865</v>
      </c>
      <c r="B1466" s="3">
        <v>0.0</v>
      </c>
      <c r="C1466" s="3" t="s">
        <v>32</v>
      </c>
      <c r="D1466" s="4" t="str">
        <f t="shared" si="1"/>
        <v>SANS</v>
      </c>
    </row>
    <row r="1467">
      <c r="A1467" s="4" t="s">
        <v>1866</v>
      </c>
      <c r="B1467" s="3">
        <v>0.0</v>
      </c>
      <c r="C1467" s="3" t="s">
        <v>3</v>
      </c>
      <c r="D1467" s="4" t="str">
        <f t="shared" si="1"/>
        <v>SANS</v>
      </c>
    </row>
    <row r="1468">
      <c r="A1468" s="4" t="s">
        <v>1867</v>
      </c>
      <c r="B1468" s="3">
        <v>0.0</v>
      </c>
      <c r="C1468" s="3" t="s">
        <v>3</v>
      </c>
      <c r="D1468" s="4" t="str">
        <f t="shared" si="1"/>
        <v>SANS</v>
      </c>
    </row>
    <row r="1469">
      <c r="A1469" s="4" t="s">
        <v>1868</v>
      </c>
      <c r="B1469" s="3">
        <v>0.0</v>
      </c>
      <c r="C1469" s="3" t="s">
        <v>26</v>
      </c>
      <c r="D1469" s="4" t="str">
        <f t="shared" si="1"/>
        <v>SANS</v>
      </c>
    </row>
    <row r="1470">
      <c r="A1470" s="4" t="s">
        <v>1869</v>
      </c>
      <c r="B1470" s="3">
        <v>0.0</v>
      </c>
      <c r="C1470" s="3" t="s">
        <v>3</v>
      </c>
      <c r="D1470" s="4" t="str">
        <f t="shared" si="1"/>
        <v>SANS</v>
      </c>
    </row>
    <row r="1471">
      <c r="A1471" s="4" t="s">
        <v>1870</v>
      </c>
      <c r="B1471" s="3">
        <v>0.0</v>
      </c>
      <c r="C1471" s="3" t="s">
        <v>3</v>
      </c>
      <c r="D1471" s="4" t="str">
        <f t="shared" si="1"/>
        <v>SANS</v>
      </c>
    </row>
    <row r="1472">
      <c r="A1472" s="4" t="s">
        <v>1871</v>
      </c>
      <c r="B1472" s="3">
        <v>0.0</v>
      </c>
      <c r="C1472" s="3" t="s">
        <v>3</v>
      </c>
      <c r="D1472" s="4" t="str">
        <f t="shared" si="1"/>
        <v>SANS</v>
      </c>
    </row>
    <row r="1473">
      <c r="A1473" s="4" t="s">
        <v>2311</v>
      </c>
      <c r="B1473" s="3">
        <v>0.0</v>
      </c>
      <c r="C1473" s="3" t="s">
        <v>3</v>
      </c>
      <c r="D1473" s="4" t="str">
        <f t="shared" si="1"/>
        <v>SANS</v>
      </c>
    </row>
    <row r="1474">
      <c r="A1474" s="4" t="s">
        <v>1875</v>
      </c>
      <c r="B1474" s="3">
        <v>0.0</v>
      </c>
      <c r="C1474" s="3" t="s">
        <v>32</v>
      </c>
      <c r="D1474" s="4" t="str">
        <f t="shared" si="1"/>
        <v>SANS</v>
      </c>
    </row>
    <row r="1475">
      <c r="A1475" s="4" t="s">
        <v>1876</v>
      </c>
      <c r="B1475" s="3">
        <v>0.0</v>
      </c>
      <c r="C1475" s="3" t="s">
        <v>3</v>
      </c>
      <c r="D1475" s="4" t="str">
        <f t="shared" si="1"/>
        <v>SANS</v>
      </c>
    </row>
    <row r="1476">
      <c r="A1476" s="4" t="s">
        <v>1877</v>
      </c>
      <c r="B1476" s="3">
        <v>0.0</v>
      </c>
      <c r="C1476" s="3" t="s">
        <v>3</v>
      </c>
      <c r="D1476" s="4" t="str">
        <f t="shared" si="1"/>
        <v>SANS</v>
      </c>
    </row>
    <row r="1477">
      <c r="A1477" s="4" t="s">
        <v>1878</v>
      </c>
      <c r="B1477" s="3">
        <v>0.0</v>
      </c>
      <c r="C1477" s="3" t="s">
        <v>3</v>
      </c>
      <c r="D1477" s="4" t="str">
        <f t="shared" si="1"/>
        <v>SANS</v>
      </c>
    </row>
    <row r="1478">
      <c r="A1478" s="4" t="s">
        <v>1879</v>
      </c>
      <c r="B1478" s="3">
        <v>0.0</v>
      </c>
      <c r="C1478" s="3" t="s">
        <v>6</v>
      </c>
      <c r="D1478" s="4" t="str">
        <f t="shared" si="1"/>
        <v>SANS</v>
      </c>
    </row>
    <row r="1479">
      <c r="A1479" s="4" t="s">
        <v>1881</v>
      </c>
      <c r="B1479" s="3">
        <v>0.0</v>
      </c>
      <c r="C1479" s="3" t="s">
        <v>3</v>
      </c>
      <c r="D1479" s="4" t="str">
        <f t="shared" si="1"/>
        <v>SANS</v>
      </c>
    </row>
    <row r="1480">
      <c r="A1480" s="4" t="s">
        <v>1882</v>
      </c>
      <c r="B1480" s="3">
        <v>0.0</v>
      </c>
      <c r="C1480" s="3" t="s">
        <v>32</v>
      </c>
      <c r="D1480" s="4" t="str">
        <f t="shared" si="1"/>
        <v>SANS</v>
      </c>
    </row>
    <row r="1481">
      <c r="A1481" s="4" t="s">
        <v>1883</v>
      </c>
      <c r="B1481" s="3">
        <v>0.0</v>
      </c>
      <c r="C1481" s="3" t="s">
        <v>3</v>
      </c>
      <c r="D1481" s="4" t="str">
        <f t="shared" si="1"/>
        <v>SANS</v>
      </c>
    </row>
    <row r="1482">
      <c r="A1482" s="4" t="s">
        <v>1887</v>
      </c>
      <c r="B1482" s="3">
        <v>0.0</v>
      </c>
      <c r="C1482" s="3" t="s">
        <v>6</v>
      </c>
      <c r="D1482" s="4" t="str">
        <f t="shared" si="1"/>
        <v>SANS</v>
      </c>
    </row>
    <row r="1483">
      <c r="A1483" s="4" t="s">
        <v>1891</v>
      </c>
      <c r="B1483" s="3">
        <v>0.0</v>
      </c>
      <c r="C1483" s="3" t="s">
        <v>3</v>
      </c>
      <c r="D1483" s="4" t="str">
        <f t="shared" si="1"/>
        <v>SANS</v>
      </c>
    </row>
    <row r="1484">
      <c r="A1484" s="4" t="s">
        <v>1892</v>
      </c>
      <c r="B1484" s="3">
        <v>0.0</v>
      </c>
      <c r="C1484" s="3" t="s">
        <v>3</v>
      </c>
      <c r="D1484" s="4" t="str">
        <f t="shared" si="1"/>
        <v>SANS</v>
      </c>
    </row>
    <row r="1485">
      <c r="A1485" s="4" t="s">
        <v>1893</v>
      </c>
      <c r="B1485" s="3">
        <v>0.0</v>
      </c>
      <c r="C1485" s="3" t="s">
        <v>3</v>
      </c>
      <c r="D1485" s="4" t="str">
        <f t="shared" si="1"/>
        <v>SANS</v>
      </c>
    </row>
    <row r="1486">
      <c r="A1486" s="4" t="s">
        <v>1894</v>
      </c>
      <c r="B1486" s="3">
        <v>0.0</v>
      </c>
      <c r="C1486" s="3" t="s">
        <v>3</v>
      </c>
      <c r="D1486" s="4" t="str">
        <f t="shared" si="1"/>
        <v>SANS</v>
      </c>
    </row>
    <row r="1487">
      <c r="A1487" s="4" t="s">
        <v>1898</v>
      </c>
      <c r="B1487" s="3">
        <v>0.0</v>
      </c>
      <c r="C1487" s="3" t="s">
        <v>3</v>
      </c>
      <c r="D1487" s="4" t="str">
        <f t="shared" si="1"/>
        <v>SANS</v>
      </c>
    </row>
    <row r="1488">
      <c r="A1488" s="4" t="s">
        <v>1900</v>
      </c>
      <c r="B1488" s="3">
        <v>0.0</v>
      </c>
      <c r="C1488" s="3" t="s">
        <v>3</v>
      </c>
      <c r="D1488" s="4" t="str">
        <f t="shared" si="1"/>
        <v>SANS</v>
      </c>
    </row>
    <row r="1489">
      <c r="A1489" s="4" t="s">
        <v>1901</v>
      </c>
      <c r="B1489" s="3">
        <v>0.0</v>
      </c>
      <c r="C1489" s="3" t="s">
        <v>3</v>
      </c>
      <c r="D1489" s="4" t="str">
        <f t="shared" si="1"/>
        <v>SANS</v>
      </c>
    </row>
    <row r="1490">
      <c r="A1490" s="4" t="s">
        <v>1905</v>
      </c>
      <c r="B1490" s="3">
        <v>0.0</v>
      </c>
      <c r="C1490" s="3" t="s">
        <v>3</v>
      </c>
      <c r="D1490" s="4" t="str">
        <f t="shared" si="1"/>
        <v>SANS</v>
      </c>
    </row>
    <row r="1491">
      <c r="A1491" s="4" t="s">
        <v>1906</v>
      </c>
      <c r="B1491" s="3">
        <v>0.0</v>
      </c>
      <c r="C1491" s="3" t="s">
        <v>32</v>
      </c>
      <c r="D1491" s="4" t="str">
        <f t="shared" si="1"/>
        <v>SANS</v>
      </c>
    </row>
    <row r="1492">
      <c r="A1492" s="4" t="s">
        <v>1908</v>
      </c>
      <c r="B1492" s="3">
        <v>0.0</v>
      </c>
      <c r="C1492" s="3" t="s">
        <v>3</v>
      </c>
      <c r="D1492" s="4" t="str">
        <f t="shared" si="1"/>
        <v>SANS</v>
      </c>
    </row>
    <row r="1493">
      <c r="A1493" s="4" t="s">
        <v>1913</v>
      </c>
      <c r="B1493" s="3">
        <v>0.0</v>
      </c>
      <c r="C1493" s="3" t="s">
        <v>3</v>
      </c>
      <c r="D1493" s="4" t="str">
        <f t="shared" si="1"/>
        <v>SANS</v>
      </c>
    </row>
    <row r="1494">
      <c r="A1494" s="4" t="s">
        <v>1914</v>
      </c>
      <c r="B1494" s="3">
        <v>0.0</v>
      </c>
      <c r="C1494" s="3" t="s">
        <v>3</v>
      </c>
      <c r="D1494" s="4" t="str">
        <f t="shared" si="1"/>
        <v>SANS</v>
      </c>
    </row>
    <row r="1495">
      <c r="A1495" s="4" t="s">
        <v>1915</v>
      </c>
      <c r="B1495" s="3">
        <v>0.0</v>
      </c>
      <c r="C1495" s="3" t="s">
        <v>3</v>
      </c>
      <c r="D1495" s="4" t="str">
        <f t="shared" si="1"/>
        <v>SANS</v>
      </c>
    </row>
    <row r="1496">
      <c r="A1496" s="4" t="s">
        <v>1916</v>
      </c>
      <c r="B1496" s="3">
        <v>0.0</v>
      </c>
      <c r="C1496" s="3" t="s">
        <v>3</v>
      </c>
      <c r="D1496" s="4" t="str">
        <f t="shared" si="1"/>
        <v>SANS</v>
      </c>
    </row>
    <row r="1497">
      <c r="A1497" s="4" t="s">
        <v>1917</v>
      </c>
      <c r="B1497" s="3">
        <v>0.0</v>
      </c>
      <c r="C1497" s="3" t="s">
        <v>3</v>
      </c>
      <c r="D1497" s="4" t="str">
        <f t="shared" si="1"/>
        <v>SANS</v>
      </c>
    </row>
    <row r="1498">
      <c r="A1498" s="4" t="s">
        <v>1922</v>
      </c>
      <c r="B1498" s="3">
        <v>0.0</v>
      </c>
      <c r="C1498" s="3" t="s">
        <v>29</v>
      </c>
      <c r="D1498" s="4" t="str">
        <f t="shared" si="1"/>
        <v>SANS</v>
      </c>
    </row>
    <row r="1499">
      <c r="A1499" s="4" t="s">
        <v>1923</v>
      </c>
      <c r="B1499" s="3">
        <v>0.0</v>
      </c>
      <c r="C1499" s="3" t="s">
        <v>6</v>
      </c>
      <c r="D1499" s="4" t="str">
        <f t="shared" si="1"/>
        <v>SANS</v>
      </c>
    </row>
    <row r="1500">
      <c r="A1500" s="4" t="s">
        <v>1936</v>
      </c>
      <c r="B1500" s="3">
        <v>0.0</v>
      </c>
      <c r="C1500" s="3" t="s">
        <v>6</v>
      </c>
      <c r="D1500" s="4" t="str">
        <f t="shared" si="1"/>
        <v>SANS</v>
      </c>
    </row>
    <row r="1501">
      <c r="A1501" s="4" t="s">
        <v>1937</v>
      </c>
      <c r="B1501" s="3">
        <v>0.0</v>
      </c>
      <c r="C1501" s="3" t="s">
        <v>3</v>
      </c>
      <c r="D1501" s="4" t="str">
        <f t="shared" si="1"/>
        <v>SANS</v>
      </c>
    </row>
    <row r="1502">
      <c r="A1502" s="4" t="s">
        <v>2318</v>
      </c>
      <c r="B1502" s="3">
        <v>0.0</v>
      </c>
      <c r="C1502" s="3" t="s">
        <v>6</v>
      </c>
      <c r="D1502" s="4" t="str">
        <f t="shared" si="1"/>
        <v>SANS</v>
      </c>
    </row>
    <row r="1503">
      <c r="A1503" s="4" t="s">
        <v>2319</v>
      </c>
      <c r="B1503" s="3">
        <v>0.0</v>
      </c>
      <c r="C1503" s="3" t="s">
        <v>3</v>
      </c>
      <c r="D1503" s="4" t="str">
        <f t="shared" si="1"/>
        <v>SANS</v>
      </c>
    </row>
    <row r="1504">
      <c r="A1504" s="4" t="s">
        <v>2320</v>
      </c>
      <c r="B1504" s="3">
        <v>0.0</v>
      </c>
      <c r="C1504" s="3" t="s">
        <v>3</v>
      </c>
      <c r="D1504" s="4" t="str">
        <f t="shared" si="1"/>
        <v>SANS</v>
      </c>
    </row>
    <row r="1505">
      <c r="A1505" s="4" t="s">
        <v>1951</v>
      </c>
      <c r="B1505" s="3">
        <v>0.0</v>
      </c>
      <c r="C1505" s="3" t="s">
        <v>484</v>
      </c>
      <c r="D1505" s="4" t="str">
        <f t="shared" si="1"/>
        <v>SANS</v>
      </c>
    </row>
    <row r="1506">
      <c r="A1506" s="4" t="s">
        <v>2325</v>
      </c>
      <c r="B1506" s="3">
        <v>0.0</v>
      </c>
      <c r="C1506" s="3" t="s">
        <v>3</v>
      </c>
      <c r="D1506" s="4" t="str">
        <f t="shared" si="1"/>
        <v>SANS</v>
      </c>
    </row>
    <row r="1507">
      <c r="A1507" s="4" t="s">
        <v>1970</v>
      </c>
      <c r="B1507" s="3">
        <v>0.0</v>
      </c>
      <c r="C1507" s="3" t="s">
        <v>6</v>
      </c>
      <c r="D1507" s="4" t="str">
        <f t="shared" si="1"/>
        <v>SANS</v>
      </c>
    </row>
    <row r="1508">
      <c r="A1508" s="4" t="s">
        <v>2330</v>
      </c>
      <c r="B1508" s="3">
        <v>0.0</v>
      </c>
      <c r="C1508" s="3" t="s">
        <v>6</v>
      </c>
      <c r="D1508" s="4" t="str">
        <f t="shared" si="1"/>
        <v>SANS</v>
      </c>
    </row>
    <row r="1509">
      <c r="A1509" s="4" t="s">
        <v>1974</v>
      </c>
      <c r="B1509" s="3">
        <v>0.0</v>
      </c>
      <c r="C1509" s="3" t="s">
        <v>3</v>
      </c>
      <c r="D1509" s="4" t="str">
        <f t="shared" si="1"/>
        <v>SANS</v>
      </c>
    </row>
    <row r="1510">
      <c r="A1510" s="4" t="s">
        <v>1978</v>
      </c>
      <c r="B1510" s="3">
        <v>0.0</v>
      </c>
      <c r="C1510" s="3" t="s">
        <v>3</v>
      </c>
      <c r="D1510" s="4" t="str">
        <f t="shared" si="1"/>
        <v>SANS</v>
      </c>
    </row>
    <row r="1511">
      <c r="A1511" s="4" t="s">
        <v>1982</v>
      </c>
      <c r="B1511" s="3">
        <v>0.0</v>
      </c>
      <c r="C1511" s="3" t="s">
        <v>3</v>
      </c>
      <c r="D1511" s="4" t="str">
        <f t="shared" si="1"/>
        <v>SANS</v>
      </c>
    </row>
    <row r="1512">
      <c r="A1512" s="4" t="s">
        <v>1983</v>
      </c>
      <c r="B1512" s="3">
        <v>0.0</v>
      </c>
      <c r="C1512" s="3" t="s">
        <v>6</v>
      </c>
      <c r="D1512" s="4" t="str">
        <f t="shared" si="1"/>
        <v>SANS</v>
      </c>
    </row>
    <row r="1513">
      <c r="A1513" s="4" t="s">
        <v>1984</v>
      </c>
      <c r="B1513" s="3">
        <v>0.0</v>
      </c>
      <c r="C1513" s="3" t="s">
        <v>3</v>
      </c>
      <c r="D1513" s="4" t="str">
        <f t="shared" si="1"/>
        <v>SANS</v>
      </c>
    </row>
    <row r="1514">
      <c r="A1514" s="4" t="s">
        <v>1985</v>
      </c>
      <c r="B1514" s="3">
        <v>0.0</v>
      </c>
      <c r="C1514" s="3" t="s">
        <v>3</v>
      </c>
      <c r="D1514" s="4" t="str">
        <f t="shared" si="1"/>
        <v>SANS</v>
      </c>
    </row>
    <row r="1515">
      <c r="A1515" s="4" t="s">
        <v>1986</v>
      </c>
      <c r="B1515" s="3">
        <v>0.0</v>
      </c>
      <c r="C1515" s="3" t="s">
        <v>3</v>
      </c>
      <c r="D1515" s="4" t="str">
        <f t="shared" si="1"/>
        <v>SANS</v>
      </c>
    </row>
    <row r="1516">
      <c r="A1516" s="4" t="s">
        <v>1987</v>
      </c>
      <c r="B1516" s="3">
        <v>0.0</v>
      </c>
      <c r="C1516" s="3" t="s">
        <v>3</v>
      </c>
      <c r="D1516" s="4" t="str">
        <f t="shared" si="1"/>
        <v>SANS</v>
      </c>
    </row>
    <row r="1517">
      <c r="A1517" s="4" t="s">
        <v>1988</v>
      </c>
      <c r="B1517" s="3">
        <v>0.0</v>
      </c>
      <c r="C1517" s="3" t="s">
        <v>3</v>
      </c>
      <c r="D1517" s="4" t="str">
        <f t="shared" si="1"/>
        <v>SANS</v>
      </c>
    </row>
    <row r="1518">
      <c r="A1518" s="4" t="s">
        <v>1997</v>
      </c>
      <c r="B1518" s="3">
        <v>0.0</v>
      </c>
      <c r="C1518" s="3" t="s">
        <v>6</v>
      </c>
      <c r="D1518" s="4" t="str">
        <f t="shared" si="1"/>
        <v>SANS</v>
      </c>
    </row>
    <row r="1519">
      <c r="A1519" s="4" t="s">
        <v>2001</v>
      </c>
      <c r="B1519" s="3">
        <v>0.0</v>
      </c>
      <c r="C1519" s="3" t="s">
        <v>6</v>
      </c>
      <c r="D1519" s="4" t="str">
        <f t="shared" si="1"/>
        <v>SANS</v>
      </c>
    </row>
    <row r="1520">
      <c r="A1520" s="4" t="s">
        <v>2004</v>
      </c>
      <c r="B1520" s="3">
        <v>0.0</v>
      </c>
      <c r="C1520" s="3" t="s">
        <v>3</v>
      </c>
      <c r="D1520" s="4" t="str">
        <f t="shared" si="1"/>
        <v>SANS</v>
      </c>
    </row>
    <row r="1521">
      <c r="A1521" s="4" t="s">
        <v>2005</v>
      </c>
      <c r="B1521" s="3">
        <v>0.0</v>
      </c>
      <c r="C1521" s="3" t="s">
        <v>3</v>
      </c>
      <c r="D1521" s="4" t="str">
        <f t="shared" si="1"/>
        <v>SANS</v>
      </c>
    </row>
    <row r="1522">
      <c r="A1522" s="4" t="s">
        <v>2332</v>
      </c>
      <c r="B1522" s="3">
        <v>0.0</v>
      </c>
      <c r="C1522" s="3" t="s">
        <v>3</v>
      </c>
      <c r="D1522" s="4" t="str">
        <f t="shared" si="1"/>
        <v>SANS</v>
      </c>
    </row>
    <row r="1523">
      <c r="A1523" s="4" t="s">
        <v>2012</v>
      </c>
      <c r="B1523" s="3">
        <v>0.0</v>
      </c>
      <c r="C1523" s="3" t="s">
        <v>3</v>
      </c>
      <c r="D1523" s="4" t="str">
        <f t="shared" si="1"/>
        <v>SANS</v>
      </c>
    </row>
    <row r="1524">
      <c r="A1524" s="4" t="s">
        <v>2013</v>
      </c>
      <c r="B1524" s="3">
        <v>0.0</v>
      </c>
      <c r="C1524" s="3" t="s">
        <v>6</v>
      </c>
      <c r="D1524" s="4" t="str">
        <f t="shared" si="1"/>
        <v>SANS</v>
      </c>
    </row>
    <row r="1525">
      <c r="A1525" s="4" t="s">
        <v>2016</v>
      </c>
      <c r="B1525" s="3">
        <v>0.0</v>
      </c>
      <c r="C1525" s="3" t="s">
        <v>29</v>
      </c>
      <c r="D1525" s="4" t="str">
        <f t="shared" si="1"/>
        <v>SANS</v>
      </c>
    </row>
    <row r="1526">
      <c r="A1526" s="4" t="s">
        <v>2017</v>
      </c>
      <c r="B1526" s="3">
        <v>0.0</v>
      </c>
      <c r="C1526" s="3" t="s">
        <v>3</v>
      </c>
      <c r="D1526" s="4" t="str">
        <f t="shared" si="1"/>
        <v>SANS</v>
      </c>
    </row>
    <row r="1527">
      <c r="A1527" s="4" t="s">
        <v>2019</v>
      </c>
      <c r="B1527" s="3">
        <v>0.0</v>
      </c>
      <c r="C1527" s="3" t="s">
        <v>29</v>
      </c>
      <c r="D1527" s="4" t="str">
        <f t="shared" si="1"/>
        <v>SANS</v>
      </c>
    </row>
    <row r="1528">
      <c r="A1528" s="4" t="s">
        <v>2020</v>
      </c>
      <c r="B1528" s="3">
        <v>0.0</v>
      </c>
      <c r="C1528" s="3" t="s">
        <v>29</v>
      </c>
      <c r="D1528" s="4" t="str">
        <f t="shared" si="1"/>
        <v>SANS</v>
      </c>
    </row>
    <row r="1529">
      <c r="A1529" s="4" t="s">
        <v>2021</v>
      </c>
      <c r="B1529" s="3">
        <v>0.0</v>
      </c>
      <c r="C1529" s="3" t="s">
        <v>3</v>
      </c>
      <c r="D1529" s="4" t="str">
        <f t="shared" si="1"/>
        <v>SANS</v>
      </c>
    </row>
    <row r="1530">
      <c r="A1530" s="4" t="s">
        <v>2025</v>
      </c>
      <c r="B1530" s="3">
        <v>0.0</v>
      </c>
      <c r="C1530" s="3" t="s">
        <v>32</v>
      </c>
      <c r="D1530" s="4" t="str">
        <f t="shared" si="1"/>
        <v>SANS</v>
      </c>
    </row>
    <row r="1531">
      <c r="A1531" s="4" t="s">
        <v>2026</v>
      </c>
      <c r="B1531" s="3">
        <v>0.0</v>
      </c>
      <c r="C1531" s="3" t="s">
        <v>3</v>
      </c>
      <c r="D1531" s="4" t="str">
        <f t="shared" si="1"/>
        <v>SANS</v>
      </c>
    </row>
    <row r="1532">
      <c r="A1532" s="4" t="s">
        <v>2027</v>
      </c>
      <c r="B1532" s="3">
        <v>0.0</v>
      </c>
      <c r="C1532" s="3" t="s">
        <v>3</v>
      </c>
      <c r="D1532" s="4" t="str">
        <f t="shared" si="1"/>
        <v>SANS</v>
      </c>
    </row>
    <row r="1533">
      <c r="A1533" s="4" t="s">
        <v>2028</v>
      </c>
      <c r="B1533" s="3">
        <v>0.0</v>
      </c>
      <c r="C1533" s="3" t="s">
        <v>29</v>
      </c>
      <c r="D1533" s="4" t="str">
        <f t="shared" si="1"/>
        <v>SANS</v>
      </c>
    </row>
    <row r="1534">
      <c r="A1534" s="4" t="s">
        <v>2029</v>
      </c>
      <c r="B1534" s="3">
        <v>0.0</v>
      </c>
      <c r="C1534" s="3" t="s">
        <v>29</v>
      </c>
      <c r="D1534" s="4" t="str">
        <f t="shared" si="1"/>
        <v>SANS</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0"/>
  </cols>
  <sheetData>
    <row r="1"/>
    <row r="2">
      <c r="E2" s="11" t="s">
        <v>2358</v>
      </c>
      <c r="F2" s="11" t="s">
        <v>2359</v>
      </c>
    </row>
    <row r="3">
      <c r="E3" s="12">
        <f t="shared" ref="E3:E22" si="1">B3/$B$23</f>
        <v>0.5148648649</v>
      </c>
      <c r="F3" s="12">
        <f t="shared" ref="F3:F22" si="2">C3/$C$23</f>
        <v>0</v>
      </c>
    </row>
    <row r="4">
      <c r="E4" s="12">
        <f t="shared" si="1"/>
        <v>0.002702702703</v>
      </c>
      <c r="F4" s="12">
        <f t="shared" si="2"/>
        <v>0.005044136192</v>
      </c>
    </row>
    <row r="5">
      <c r="E5" s="12">
        <f t="shared" si="1"/>
        <v>0.001351351351</v>
      </c>
      <c r="F5" s="12">
        <f t="shared" si="2"/>
        <v>0</v>
      </c>
    </row>
    <row r="6">
      <c r="E6" s="12">
        <f t="shared" si="1"/>
        <v>0.01081081081</v>
      </c>
      <c r="F6" s="12">
        <f t="shared" si="2"/>
        <v>0.001261034048</v>
      </c>
    </row>
    <row r="7">
      <c r="E7" s="12">
        <f t="shared" si="1"/>
        <v>0.001351351351</v>
      </c>
      <c r="F7" s="12">
        <f t="shared" si="2"/>
        <v>0</v>
      </c>
    </row>
    <row r="8">
      <c r="E8" s="12">
        <f t="shared" si="1"/>
        <v>0.002702702703</v>
      </c>
      <c r="F8" s="12">
        <f t="shared" si="2"/>
        <v>0</v>
      </c>
    </row>
    <row r="9">
      <c r="E9" s="12">
        <f t="shared" si="1"/>
        <v>0.01216216216</v>
      </c>
      <c r="F9" s="12">
        <f t="shared" si="2"/>
        <v>0</v>
      </c>
    </row>
    <row r="10">
      <c r="E10" s="12">
        <f t="shared" si="1"/>
        <v>0.001351351351</v>
      </c>
      <c r="F10" s="12">
        <f t="shared" si="2"/>
        <v>0</v>
      </c>
    </row>
    <row r="11">
      <c r="E11" s="12">
        <f t="shared" si="1"/>
        <v>0.004054054054</v>
      </c>
      <c r="F11" s="12">
        <f t="shared" si="2"/>
        <v>0.001261034048</v>
      </c>
    </row>
    <row r="12">
      <c r="E12" s="12">
        <f t="shared" si="1"/>
        <v>0.002702702703</v>
      </c>
      <c r="F12" s="12">
        <f t="shared" si="2"/>
        <v>0</v>
      </c>
    </row>
    <row r="13">
      <c r="E13" s="12">
        <f t="shared" si="1"/>
        <v>0.02837837838</v>
      </c>
      <c r="F13" s="12">
        <f t="shared" si="2"/>
        <v>0.09583858764</v>
      </c>
    </row>
    <row r="14">
      <c r="E14" s="12">
        <f t="shared" si="1"/>
        <v>0.01351351351</v>
      </c>
      <c r="F14" s="12">
        <f t="shared" si="2"/>
        <v>0.01134930643</v>
      </c>
    </row>
    <row r="15">
      <c r="E15" s="12">
        <f t="shared" si="1"/>
        <v>0.1675675676</v>
      </c>
      <c r="F15" s="12">
        <f t="shared" si="2"/>
        <v>0.630517024</v>
      </c>
    </row>
    <row r="16">
      <c r="E16" s="12">
        <f t="shared" si="1"/>
        <v>0.009459459459</v>
      </c>
      <c r="F16" s="12">
        <f t="shared" si="2"/>
        <v>0.01387137453</v>
      </c>
    </row>
    <row r="17">
      <c r="E17" s="12">
        <f t="shared" si="1"/>
        <v>0.02837837838</v>
      </c>
      <c r="F17" s="12">
        <f t="shared" si="2"/>
        <v>0.002522068096</v>
      </c>
    </row>
    <row r="18">
      <c r="E18" s="12">
        <f t="shared" si="1"/>
        <v>0.002702702703</v>
      </c>
      <c r="F18" s="12">
        <f t="shared" si="2"/>
        <v>0</v>
      </c>
    </row>
    <row r="19">
      <c r="E19" s="12">
        <f t="shared" si="1"/>
        <v>0.08918918919</v>
      </c>
      <c r="F19" s="12">
        <f t="shared" si="2"/>
        <v>0.07187894073</v>
      </c>
    </row>
    <row r="20">
      <c r="E20" s="12">
        <f t="shared" si="1"/>
        <v>0.008108108108</v>
      </c>
      <c r="F20" s="12">
        <f t="shared" si="2"/>
        <v>0</v>
      </c>
    </row>
    <row r="21">
      <c r="E21" s="12">
        <f t="shared" si="1"/>
        <v>0.001351351351</v>
      </c>
      <c r="F21" s="12">
        <f t="shared" si="2"/>
        <v>0.001261034048</v>
      </c>
    </row>
    <row r="22">
      <c r="E22" s="12">
        <f t="shared" si="1"/>
        <v>0.0972972973</v>
      </c>
      <c r="F22" s="12">
        <f t="shared" si="2"/>
        <v>0.1651954603</v>
      </c>
    </row>
    <row r="23">
      <c r="E23" s="12">
        <f t="shared" ref="E23:F23" si="3">SUM(E3:E22)</f>
        <v>1</v>
      </c>
      <c r="F23" s="12">
        <f t="shared" si="3"/>
        <v>1</v>
      </c>
    </row>
  </sheetData>
  <conditionalFormatting sqref="B3:C22">
    <cfRule type="colorScale" priority="1">
      <colorScale>
        <cfvo type="min"/>
        <cfvo type="max"/>
        <color rgb="FFFFFFFF"/>
        <color rgb="FFE67C73"/>
      </colorScale>
    </cfRule>
  </conditionalFormatting>
  <conditionalFormatting sqref="E3:F22">
    <cfRule type="colorScale" priority="2">
      <colorScale>
        <cfvo type="min"/>
        <cfvo type="max"/>
        <color rgb="FFFFFFFF"/>
        <color rgb="FFE67C73"/>
      </colorScale>
    </cfRule>
  </conditionalFormatting>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5.88"/>
    <col customWidth="1" min="3" max="3" width="18.38"/>
  </cols>
  <sheetData>
    <row r="1">
      <c r="A1" s="7" t="s">
        <v>2068</v>
      </c>
      <c r="B1" s="13" t="s">
        <v>2065</v>
      </c>
      <c r="C1" s="7" t="s">
        <v>2066</v>
      </c>
    </row>
    <row r="2">
      <c r="A2" s="4" t="s">
        <v>2360</v>
      </c>
      <c r="B2" s="14">
        <v>760.0</v>
      </c>
      <c r="C2" s="4"/>
    </row>
    <row r="3">
      <c r="A3" s="4" t="s">
        <v>5</v>
      </c>
      <c r="B3" s="14">
        <v>0.0</v>
      </c>
      <c r="C3" s="3" t="s">
        <v>6</v>
      </c>
    </row>
    <row r="4">
      <c r="A4" s="4" t="s">
        <v>2361</v>
      </c>
      <c r="B4" s="14">
        <v>0.0</v>
      </c>
      <c r="C4" s="3" t="s">
        <v>3</v>
      </c>
    </row>
    <row r="5">
      <c r="A5" s="4" t="s">
        <v>2362</v>
      </c>
      <c r="B5" s="14">
        <v>500.0</v>
      </c>
      <c r="C5" s="4"/>
    </row>
    <row r="6">
      <c r="A6" s="4" t="s">
        <v>10</v>
      </c>
      <c r="B6" s="14">
        <v>2000.0</v>
      </c>
      <c r="C6" s="4"/>
    </row>
    <row r="7">
      <c r="A7" s="4" t="s">
        <v>12</v>
      </c>
      <c r="B7" s="14">
        <v>1800.0</v>
      </c>
      <c r="C7" s="4"/>
    </row>
    <row r="8">
      <c r="A8" s="4" t="s">
        <v>2363</v>
      </c>
      <c r="B8" s="14">
        <v>1600.0</v>
      </c>
      <c r="C8" s="4"/>
    </row>
    <row r="9">
      <c r="A9" s="4" t="s">
        <v>2364</v>
      </c>
      <c r="B9" s="14">
        <v>0.0</v>
      </c>
      <c r="C9" s="3" t="s">
        <v>6</v>
      </c>
    </row>
    <row r="10">
      <c r="A10" s="4" t="s">
        <v>2365</v>
      </c>
      <c r="B10" s="14">
        <v>0.0</v>
      </c>
      <c r="C10" s="3" t="s">
        <v>3</v>
      </c>
    </row>
    <row r="11">
      <c r="A11" s="4" t="s">
        <v>19</v>
      </c>
      <c r="B11" s="14">
        <v>700.0</v>
      </c>
      <c r="C11" s="3" t="s">
        <v>6</v>
      </c>
    </row>
    <row r="12">
      <c r="A12" s="4" t="s">
        <v>23</v>
      </c>
      <c r="B12" s="14">
        <v>0.0</v>
      </c>
      <c r="C12" s="3" t="s">
        <v>3</v>
      </c>
    </row>
    <row r="13">
      <c r="A13" s="4" t="s">
        <v>2366</v>
      </c>
      <c r="B13" s="14">
        <v>2000.0</v>
      </c>
      <c r="C13" s="4"/>
    </row>
    <row r="14">
      <c r="A14" s="4" t="s">
        <v>24</v>
      </c>
      <c r="B14" s="14">
        <v>0.0</v>
      </c>
      <c r="C14" s="3" t="s">
        <v>3</v>
      </c>
    </row>
    <row r="15">
      <c r="A15" s="4" t="s">
        <v>2367</v>
      </c>
      <c r="B15" s="14">
        <v>0.0</v>
      </c>
      <c r="C15" s="3" t="s">
        <v>2368</v>
      </c>
    </row>
    <row r="16">
      <c r="A16" s="4" t="s">
        <v>27</v>
      </c>
      <c r="B16" s="14">
        <v>0.0</v>
      </c>
      <c r="C16" s="3" t="s">
        <v>3</v>
      </c>
    </row>
    <row r="17">
      <c r="A17" s="4" t="s">
        <v>2369</v>
      </c>
      <c r="B17" s="14">
        <v>0.0</v>
      </c>
      <c r="C17" s="3" t="s">
        <v>6</v>
      </c>
    </row>
    <row r="18">
      <c r="A18" s="4" t="s">
        <v>28</v>
      </c>
      <c r="B18" s="14">
        <v>0.0</v>
      </c>
      <c r="C18" s="3" t="s">
        <v>29</v>
      </c>
    </row>
    <row r="19">
      <c r="A19" s="4" t="s">
        <v>2070</v>
      </c>
      <c r="B19" s="14">
        <v>7600.0</v>
      </c>
      <c r="C19" s="3" t="s">
        <v>3</v>
      </c>
    </row>
    <row r="20">
      <c r="A20" s="4" t="s">
        <v>2071</v>
      </c>
      <c r="B20" s="14">
        <v>22016.0</v>
      </c>
      <c r="C20" s="3" t="s">
        <v>2370</v>
      </c>
    </row>
    <row r="21">
      <c r="A21" s="4" t="s">
        <v>2371</v>
      </c>
      <c r="B21" s="14">
        <v>0.0</v>
      </c>
      <c r="C21" s="3" t="s">
        <v>29</v>
      </c>
    </row>
    <row r="22">
      <c r="A22" s="4" t="s">
        <v>2072</v>
      </c>
      <c r="B22" s="14">
        <v>0.0</v>
      </c>
      <c r="C22" s="3" t="s">
        <v>3</v>
      </c>
    </row>
    <row r="23">
      <c r="A23" s="4" t="s">
        <v>2073</v>
      </c>
      <c r="B23" s="14">
        <v>7000.0</v>
      </c>
      <c r="C23" s="3" t="s">
        <v>3</v>
      </c>
    </row>
    <row r="24">
      <c r="A24" s="4" t="s">
        <v>2372</v>
      </c>
      <c r="B24" s="14">
        <v>1500.0</v>
      </c>
      <c r="C24" s="4"/>
    </row>
    <row r="25">
      <c r="A25" s="4" t="s">
        <v>44</v>
      </c>
      <c r="B25" s="14">
        <v>300.0</v>
      </c>
      <c r="C25" s="3" t="s">
        <v>3</v>
      </c>
    </row>
    <row r="26">
      <c r="A26" s="4" t="s">
        <v>2373</v>
      </c>
      <c r="B26" s="14">
        <v>6180.0</v>
      </c>
      <c r="C26" s="3" t="s">
        <v>3</v>
      </c>
    </row>
    <row r="27">
      <c r="A27" s="4" t="s">
        <v>2374</v>
      </c>
      <c r="B27" s="14">
        <v>0.0</v>
      </c>
      <c r="C27" s="3" t="s">
        <v>6</v>
      </c>
    </row>
    <row r="28">
      <c r="A28" s="4" t="s">
        <v>2075</v>
      </c>
      <c r="B28" s="14">
        <v>10000.0</v>
      </c>
      <c r="C28" s="3" t="s">
        <v>3</v>
      </c>
    </row>
    <row r="29">
      <c r="A29" s="4" t="s">
        <v>53</v>
      </c>
      <c r="B29" s="14">
        <v>20000.0</v>
      </c>
      <c r="C29" s="4"/>
    </row>
    <row r="30">
      <c r="A30" s="4" t="s">
        <v>54</v>
      </c>
      <c r="B30" s="14">
        <v>0.0</v>
      </c>
      <c r="C30" s="3" t="s">
        <v>3</v>
      </c>
    </row>
    <row r="31">
      <c r="A31" s="4" t="s">
        <v>55</v>
      </c>
      <c r="B31" s="14">
        <v>2400.0</v>
      </c>
      <c r="C31" s="4"/>
    </row>
    <row r="32">
      <c r="A32" s="4" t="s">
        <v>57</v>
      </c>
      <c r="B32" s="14">
        <v>29000.0</v>
      </c>
      <c r="C32" s="3" t="s">
        <v>3</v>
      </c>
    </row>
    <row r="33">
      <c r="A33" s="4" t="s">
        <v>2375</v>
      </c>
      <c r="B33" s="14">
        <v>0.0</v>
      </c>
      <c r="C33" s="3" t="s">
        <v>3</v>
      </c>
    </row>
    <row r="34">
      <c r="A34" s="4" t="s">
        <v>2376</v>
      </c>
      <c r="B34" s="14">
        <v>10738.0</v>
      </c>
      <c r="C34" s="3" t="s">
        <v>2377</v>
      </c>
    </row>
    <row r="35">
      <c r="A35" s="4" t="s">
        <v>2378</v>
      </c>
      <c r="B35" s="14">
        <v>0.0</v>
      </c>
      <c r="C35" s="3" t="s">
        <v>3</v>
      </c>
    </row>
    <row r="36">
      <c r="A36" s="4" t="s">
        <v>2379</v>
      </c>
      <c r="B36" s="14">
        <v>0.0</v>
      </c>
      <c r="C36" s="3" t="s">
        <v>3</v>
      </c>
    </row>
    <row r="37">
      <c r="A37" s="4" t="s">
        <v>62</v>
      </c>
      <c r="B37" s="14">
        <v>500.0</v>
      </c>
      <c r="C37" s="4"/>
    </row>
    <row r="38">
      <c r="A38" s="4" t="s">
        <v>2380</v>
      </c>
      <c r="B38" s="14">
        <v>8000.0</v>
      </c>
      <c r="C38" s="3" t="s">
        <v>3</v>
      </c>
    </row>
    <row r="39">
      <c r="A39" s="4" t="s">
        <v>2381</v>
      </c>
      <c r="B39" s="14">
        <v>800.0</v>
      </c>
      <c r="C39" s="4"/>
    </row>
    <row r="40">
      <c r="A40" s="4" t="s">
        <v>2382</v>
      </c>
      <c r="B40" s="14">
        <v>0.0</v>
      </c>
      <c r="C40" s="3" t="s">
        <v>3</v>
      </c>
    </row>
    <row r="41">
      <c r="A41" s="4" t="s">
        <v>67</v>
      </c>
      <c r="B41" s="14">
        <v>1500.0</v>
      </c>
      <c r="C41" s="4"/>
    </row>
    <row r="42">
      <c r="A42" s="4" t="s">
        <v>2076</v>
      </c>
      <c r="B42" s="14">
        <v>60000.0</v>
      </c>
      <c r="C42" s="4"/>
    </row>
    <row r="43">
      <c r="A43" s="4" t="s">
        <v>2383</v>
      </c>
      <c r="B43" s="14">
        <v>0.0</v>
      </c>
      <c r="C43" s="3" t="s">
        <v>3</v>
      </c>
    </row>
    <row r="44">
      <c r="A44" s="4" t="s">
        <v>2384</v>
      </c>
      <c r="B44" s="14">
        <v>500.0</v>
      </c>
      <c r="C44" s="4"/>
    </row>
    <row r="45">
      <c r="A45" s="4" t="s">
        <v>76</v>
      </c>
      <c r="B45" s="14">
        <v>1500.0</v>
      </c>
      <c r="C45" s="3" t="s">
        <v>2377</v>
      </c>
    </row>
    <row r="46">
      <c r="A46" s="4" t="s">
        <v>77</v>
      </c>
      <c r="B46" s="14">
        <v>2000.0</v>
      </c>
      <c r="C46" s="4"/>
    </row>
    <row r="47">
      <c r="A47" s="4" t="s">
        <v>2385</v>
      </c>
      <c r="B47" s="14">
        <v>0.0</v>
      </c>
      <c r="C47" s="3" t="s">
        <v>3</v>
      </c>
    </row>
    <row r="48">
      <c r="A48" s="4" t="s">
        <v>2386</v>
      </c>
      <c r="B48" s="14">
        <v>0.0</v>
      </c>
      <c r="C48" s="3" t="s">
        <v>3</v>
      </c>
    </row>
    <row r="49">
      <c r="A49" s="4" t="s">
        <v>78</v>
      </c>
      <c r="B49" s="14">
        <v>2000.0</v>
      </c>
      <c r="C49" s="4"/>
    </row>
    <row r="50">
      <c r="A50" s="4" t="s">
        <v>2387</v>
      </c>
      <c r="B50" s="14">
        <v>0.0</v>
      </c>
      <c r="C50" s="3" t="s">
        <v>3</v>
      </c>
    </row>
    <row r="51">
      <c r="A51" s="4" t="s">
        <v>80</v>
      </c>
      <c r="B51" s="14">
        <v>0.0</v>
      </c>
      <c r="C51" s="3" t="s">
        <v>3</v>
      </c>
    </row>
    <row r="52">
      <c r="A52" s="4" t="s">
        <v>81</v>
      </c>
      <c r="B52" s="14">
        <v>0.0</v>
      </c>
      <c r="C52" s="3" t="s">
        <v>29</v>
      </c>
    </row>
    <row r="53">
      <c r="A53" s="4" t="s">
        <v>82</v>
      </c>
      <c r="B53" s="14">
        <v>25000.0</v>
      </c>
      <c r="C53" s="4"/>
    </row>
    <row r="54">
      <c r="A54" s="4" t="s">
        <v>2388</v>
      </c>
      <c r="B54" s="14">
        <v>0.0</v>
      </c>
      <c r="C54" s="3" t="s">
        <v>3</v>
      </c>
    </row>
    <row r="55">
      <c r="A55" s="4" t="s">
        <v>84</v>
      </c>
      <c r="B55" s="14">
        <v>9000.0</v>
      </c>
      <c r="C55" s="3" t="s">
        <v>2368</v>
      </c>
    </row>
    <row r="56">
      <c r="A56" s="4" t="s">
        <v>2389</v>
      </c>
      <c r="B56" s="14">
        <v>0.0</v>
      </c>
      <c r="C56" s="3" t="s">
        <v>3</v>
      </c>
    </row>
    <row r="57">
      <c r="A57" s="4" t="s">
        <v>2390</v>
      </c>
      <c r="B57" s="14">
        <v>550.0</v>
      </c>
      <c r="C57" s="4"/>
    </row>
    <row r="58">
      <c r="A58" s="4" t="s">
        <v>87</v>
      </c>
      <c r="B58" s="14">
        <v>0.0</v>
      </c>
      <c r="C58" s="3" t="s">
        <v>3</v>
      </c>
    </row>
    <row r="59">
      <c r="A59" s="4" t="s">
        <v>2078</v>
      </c>
      <c r="B59" s="14">
        <v>5000.0</v>
      </c>
      <c r="C59" s="3" t="s">
        <v>2377</v>
      </c>
    </row>
    <row r="60">
      <c r="A60" s="4" t="s">
        <v>2391</v>
      </c>
      <c r="B60" s="14">
        <v>0.0</v>
      </c>
      <c r="C60" s="3" t="s">
        <v>6</v>
      </c>
    </row>
    <row r="61">
      <c r="A61" s="4" t="s">
        <v>2392</v>
      </c>
      <c r="B61" s="14">
        <v>0.0</v>
      </c>
      <c r="C61" s="3" t="s">
        <v>6</v>
      </c>
    </row>
    <row r="62">
      <c r="A62" s="4" t="s">
        <v>2393</v>
      </c>
      <c r="B62" s="14">
        <v>1000.0</v>
      </c>
      <c r="C62" s="4"/>
    </row>
    <row r="63">
      <c r="A63" s="4" t="s">
        <v>2394</v>
      </c>
      <c r="B63" s="14">
        <v>2000.0</v>
      </c>
      <c r="C63" s="4"/>
    </row>
    <row r="64">
      <c r="A64" s="4" t="s">
        <v>93</v>
      </c>
      <c r="B64" s="14">
        <v>1000.0</v>
      </c>
      <c r="C64" s="4"/>
    </row>
    <row r="65">
      <c r="A65" s="4" t="s">
        <v>100</v>
      </c>
      <c r="B65" s="14">
        <v>0.0</v>
      </c>
      <c r="C65" s="3" t="s">
        <v>3</v>
      </c>
    </row>
    <row r="66">
      <c r="A66" s="4" t="s">
        <v>2395</v>
      </c>
      <c r="B66" s="14">
        <v>0.0</v>
      </c>
      <c r="C66" s="3" t="s">
        <v>3</v>
      </c>
    </row>
    <row r="67">
      <c r="A67" s="4" t="s">
        <v>103</v>
      </c>
      <c r="B67" s="14">
        <v>1000.0</v>
      </c>
      <c r="C67" s="4"/>
    </row>
    <row r="68">
      <c r="A68" s="4" t="s">
        <v>104</v>
      </c>
      <c r="B68" s="14">
        <v>0.0</v>
      </c>
      <c r="C68" s="3" t="s">
        <v>3</v>
      </c>
    </row>
    <row r="69">
      <c r="A69" s="4" t="s">
        <v>2081</v>
      </c>
      <c r="B69" s="14">
        <v>500.0</v>
      </c>
      <c r="C69" s="4"/>
    </row>
    <row r="70">
      <c r="A70" s="4" t="s">
        <v>2082</v>
      </c>
      <c r="B70" s="14">
        <v>0.0</v>
      </c>
      <c r="C70" s="3" t="s">
        <v>3</v>
      </c>
    </row>
    <row r="71">
      <c r="A71" s="4" t="s">
        <v>110</v>
      </c>
      <c r="B71" s="14">
        <v>0.0</v>
      </c>
      <c r="C71" s="3" t="s">
        <v>3</v>
      </c>
    </row>
    <row r="72">
      <c r="A72" s="4" t="s">
        <v>2083</v>
      </c>
      <c r="B72" s="14">
        <v>88869.0</v>
      </c>
      <c r="C72" s="3" t="s">
        <v>2370</v>
      </c>
    </row>
    <row r="73">
      <c r="A73" s="4" t="s">
        <v>2396</v>
      </c>
      <c r="B73" s="14">
        <v>0.0</v>
      </c>
      <c r="C73" s="3" t="s">
        <v>3</v>
      </c>
    </row>
    <row r="74">
      <c r="A74" s="4" t="s">
        <v>114</v>
      </c>
      <c r="B74" s="14">
        <v>6500.0</v>
      </c>
      <c r="C74" s="4"/>
    </row>
    <row r="75">
      <c r="A75" s="4" t="s">
        <v>116</v>
      </c>
      <c r="B75" s="14">
        <v>300.0</v>
      </c>
      <c r="C75" s="4"/>
    </row>
    <row r="76">
      <c r="A76" s="4" t="s">
        <v>117</v>
      </c>
      <c r="B76" s="14">
        <v>8605.0</v>
      </c>
      <c r="C76" s="4"/>
    </row>
    <row r="77">
      <c r="A77" s="4" t="s">
        <v>121</v>
      </c>
      <c r="B77" s="14">
        <v>0.0</v>
      </c>
      <c r="C77" s="3" t="s">
        <v>3</v>
      </c>
    </row>
    <row r="78">
      <c r="A78" s="4" t="s">
        <v>2397</v>
      </c>
      <c r="B78" s="14">
        <v>0.0</v>
      </c>
      <c r="C78" s="3" t="s">
        <v>6</v>
      </c>
    </row>
    <row r="79">
      <c r="A79" s="4" t="s">
        <v>2085</v>
      </c>
      <c r="B79" s="14">
        <v>0.0</v>
      </c>
      <c r="C79" s="3" t="s">
        <v>6</v>
      </c>
    </row>
    <row r="80">
      <c r="A80" s="4" t="s">
        <v>2398</v>
      </c>
      <c r="B80" s="14">
        <v>1759.0</v>
      </c>
      <c r="C80" s="4"/>
    </row>
    <row r="81">
      <c r="A81" s="4" t="s">
        <v>124</v>
      </c>
      <c r="B81" s="14">
        <v>2500.0</v>
      </c>
      <c r="C81" s="3" t="s">
        <v>2368</v>
      </c>
    </row>
    <row r="82">
      <c r="A82" s="4" t="s">
        <v>2086</v>
      </c>
      <c r="B82" s="14">
        <v>389346.0</v>
      </c>
      <c r="C82" s="4"/>
    </row>
    <row r="83">
      <c r="A83" s="4" t="s">
        <v>2087</v>
      </c>
      <c r="B83" s="14">
        <v>0.0</v>
      </c>
      <c r="C83" s="3" t="s">
        <v>29</v>
      </c>
    </row>
    <row r="84">
      <c r="A84" s="4" t="s">
        <v>133</v>
      </c>
      <c r="B84" s="14">
        <v>2000.0</v>
      </c>
      <c r="C84" s="3" t="s">
        <v>2377</v>
      </c>
    </row>
    <row r="85">
      <c r="A85" s="4" t="s">
        <v>136</v>
      </c>
      <c r="B85" s="14">
        <v>2434.58</v>
      </c>
      <c r="C85" s="4"/>
    </row>
    <row r="86">
      <c r="A86" s="4" t="s">
        <v>138</v>
      </c>
      <c r="B86" s="14">
        <v>4000.0</v>
      </c>
      <c r="C86" s="4"/>
    </row>
    <row r="87">
      <c r="A87" s="4" t="s">
        <v>140</v>
      </c>
      <c r="B87" s="14">
        <v>0.0</v>
      </c>
      <c r="C87" s="3" t="s">
        <v>6</v>
      </c>
    </row>
    <row r="88">
      <c r="A88" s="4" t="s">
        <v>2399</v>
      </c>
      <c r="B88" s="14">
        <v>2250.0</v>
      </c>
      <c r="C88" s="4"/>
    </row>
    <row r="89">
      <c r="A89" s="4" t="s">
        <v>2400</v>
      </c>
      <c r="B89" s="14">
        <v>0.0</v>
      </c>
      <c r="C89" s="3" t="s">
        <v>3</v>
      </c>
    </row>
    <row r="90">
      <c r="A90" s="4" t="s">
        <v>141</v>
      </c>
      <c r="B90" s="14">
        <v>0.0</v>
      </c>
      <c r="C90" s="3" t="s">
        <v>3</v>
      </c>
    </row>
    <row r="91">
      <c r="A91" s="4" t="s">
        <v>142</v>
      </c>
      <c r="B91" s="14">
        <v>0.0</v>
      </c>
      <c r="C91" s="3" t="s">
        <v>3</v>
      </c>
    </row>
    <row r="92">
      <c r="A92" s="4" t="s">
        <v>143</v>
      </c>
      <c r="B92" s="14">
        <v>0.0</v>
      </c>
      <c r="C92" s="3" t="s">
        <v>3</v>
      </c>
    </row>
    <row r="93">
      <c r="A93" s="4" t="s">
        <v>145</v>
      </c>
      <c r="B93" s="14">
        <v>15000.0</v>
      </c>
      <c r="C93" s="4"/>
    </row>
    <row r="94">
      <c r="A94" s="4" t="s">
        <v>147</v>
      </c>
      <c r="B94" s="14">
        <v>0.0</v>
      </c>
      <c r="C94" s="3" t="s">
        <v>3</v>
      </c>
    </row>
    <row r="95">
      <c r="A95" s="4" t="s">
        <v>148</v>
      </c>
      <c r="B95" s="14">
        <v>0.0</v>
      </c>
      <c r="C95" s="3" t="s">
        <v>2377</v>
      </c>
    </row>
    <row r="96">
      <c r="A96" s="4" t="s">
        <v>2088</v>
      </c>
      <c r="B96" s="14">
        <v>10000.0</v>
      </c>
      <c r="C96" s="3" t="s">
        <v>3</v>
      </c>
    </row>
    <row r="97">
      <c r="A97" s="4" t="s">
        <v>2401</v>
      </c>
      <c r="B97" s="14">
        <v>0.0</v>
      </c>
      <c r="C97" s="3" t="s">
        <v>3</v>
      </c>
    </row>
    <row r="98">
      <c r="A98" s="4" t="s">
        <v>2402</v>
      </c>
      <c r="B98" s="14">
        <v>1512.0</v>
      </c>
      <c r="C98" s="4"/>
    </row>
    <row r="99">
      <c r="A99" s="4" t="s">
        <v>2403</v>
      </c>
      <c r="B99" s="14">
        <v>700.0</v>
      </c>
      <c r="C99" s="4"/>
    </row>
    <row r="100">
      <c r="A100" s="4" t="s">
        <v>153</v>
      </c>
      <c r="B100" s="14">
        <v>0.0</v>
      </c>
      <c r="C100" s="3" t="s">
        <v>29</v>
      </c>
    </row>
    <row r="101">
      <c r="A101" s="4" t="s">
        <v>2404</v>
      </c>
      <c r="B101" s="14">
        <v>1200.0</v>
      </c>
      <c r="C101" s="3" t="s">
        <v>3</v>
      </c>
    </row>
    <row r="102">
      <c r="A102" s="4" t="s">
        <v>154</v>
      </c>
      <c r="B102" s="14">
        <v>0.0</v>
      </c>
      <c r="C102" s="3" t="s">
        <v>2377</v>
      </c>
    </row>
    <row r="103">
      <c r="A103" s="4" t="s">
        <v>155</v>
      </c>
      <c r="B103" s="14">
        <v>0.0</v>
      </c>
      <c r="C103" s="3" t="s">
        <v>3</v>
      </c>
    </row>
    <row r="104">
      <c r="A104" s="4" t="s">
        <v>157</v>
      </c>
      <c r="B104" s="14">
        <v>1000.0</v>
      </c>
      <c r="C104" s="4"/>
    </row>
    <row r="105">
      <c r="A105" s="4" t="s">
        <v>158</v>
      </c>
      <c r="B105" s="14">
        <v>8000.0</v>
      </c>
      <c r="C105" s="4"/>
    </row>
    <row r="106">
      <c r="A106" s="4" t="s">
        <v>160</v>
      </c>
      <c r="B106" s="14">
        <v>0.0</v>
      </c>
      <c r="C106" s="3" t="s">
        <v>2368</v>
      </c>
    </row>
    <row r="107">
      <c r="A107" s="4" t="s">
        <v>2089</v>
      </c>
      <c r="B107" s="14">
        <v>21000.0</v>
      </c>
      <c r="C107" s="4"/>
    </row>
    <row r="108">
      <c r="A108" s="4" t="s">
        <v>164</v>
      </c>
      <c r="B108" s="14">
        <v>7500.0</v>
      </c>
      <c r="C108" s="3" t="s">
        <v>3</v>
      </c>
    </row>
    <row r="109">
      <c r="A109" s="4" t="s">
        <v>2405</v>
      </c>
      <c r="B109" s="14">
        <v>0.0</v>
      </c>
      <c r="C109" s="3" t="s">
        <v>3</v>
      </c>
    </row>
    <row r="110">
      <c r="A110" s="4" t="s">
        <v>2406</v>
      </c>
      <c r="B110" s="14">
        <v>0.0</v>
      </c>
      <c r="C110" s="3" t="s">
        <v>6</v>
      </c>
    </row>
    <row r="111">
      <c r="A111" s="4" t="s">
        <v>166</v>
      </c>
      <c r="B111" s="14">
        <v>1000.0</v>
      </c>
      <c r="C111" s="4"/>
    </row>
    <row r="112">
      <c r="A112" s="4" t="s">
        <v>168</v>
      </c>
      <c r="B112" s="14">
        <v>2500.0</v>
      </c>
      <c r="C112" s="3" t="s">
        <v>6</v>
      </c>
    </row>
    <row r="113">
      <c r="A113" s="4" t="s">
        <v>2407</v>
      </c>
      <c r="B113" s="14">
        <v>0.0</v>
      </c>
      <c r="C113" s="3" t="s">
        <v>6</v>
      </c>
    </row>
    <row r="114">
      <c r="A114" s="4" t="s">
        <v>171</v>
      </c>
      <c r="B114" s="14">
        <v>9000.0</v>
      </c>
      <c r="C114" s="3" t="s">
        <v>6</v>
      </c>
    </row>
    <row r="115">
      <c r="A115" s="4" t="s">
        <v>174</v>
      </c>
      <c r="B115" s="14">
        <v>481688.0</v>
      </c>
      <c r="C115" s="3" t="s">
        <v>176</v>
      </c>
    </row>
    <row r="116">
      <c r="A116" s="4" t="s">
        <v>177</v>
      </c>
      <c r="B116" s="14">
        <v>0.0</v>
      </c>
      <c r="C116" s="3" t="s">
        <v>3</v>
      </c>
    </row>
    <row r="117">
      <c r="A117" s="4" t="s">
        <v>2408</v>
      </c>
      <c r="B117" s="14">
        <v>0.0</v>
      </c>
      <c r="C117" s="3" t="s">
        <v>6</v>
      </c>
    </row>
    <row r="118">
      <c r="A118" s="4" t="s">
        <v>178</v>
      </c>
      <c r="B118" s="14">
        <v>800.0</v>
      </c>
      <c r="C118" s="3" t="s">
        <v>2377</v>
      </c>
    </row>
    <row r="119">
      <c r="A119" s="4" t="s">
        <v>2409</v>
      </c>
      <c r="B119" s="14">
        <v>0.0</v>
      </c>
      <c r="C119" s="3" t="s">
        <v>3</v>
      </c>
    </row>
    <row r="120">
      <c r="A120" s="4" t="s">
        <v>2410</v>
      </c>
      <c r="B120" s="14">
        <v>0.0</v>
      </c>
      <c r="C120" s="3" t="s">
        <v>3</v>
      </c>
    </row>
    <row r="121">
      <c r="A121" s="4" t="s">
        <v>2411</v>
      </c>
      <c r="B121" s="14">
        <v>0.0</v>
      </c>
      <c r="C121" s="3" t="s">
        <v>2377</v>
      </c>
    </row>
    <row r="122">
      <c r="A122" s="4" t="s">
        <v>182</v>
      </c>
      <c r="B122" s="14">
        <v>0.0</v>
      </c>
      <c r="C122" s="3" t="s">
        <v>3</v>
      </c>
    </row>
    <row r="123">
      <c r="A123" s="4" t="s">
        <v>2412</v>
      </c>
      <c r="B123" s="14">
        <v>0.0</v>
      </c>
      <c r="C123" s="3" t="s">
        <v>3</v>
      </c>
    </row>
    <row r="124">
      <c r="A124" s="4" t="s">
        <v>185</v>
      </c>
      <c r="B124" s="14">
        <v>0.0</v>
      </c>
      <c r="C124" s="3" t="s">
        <v>6</v>
      </c>
    </row>
    <row r="125">
      <c r="A125" s="4" t="s">
        <v>2413</v>
      </c>
      <c r="B125" s="14">
        <v>6000.0</v>
      </c>
      <c r="C125" s="4"/>
    </row>
    <row r="126">
      <c r="A126" s="4" t="s">
        <v>2414</v>
      </c>
      <c r="B126" s="14">
        <v>0.0</v>
      </c>
      <c r="C126" s="3" t="s">
        <v>6</v>
      </c>
    </row>
    <row r="127">
      <c r="A127" s="4" t="s">
        <v>2415</v>
      </c>
      <c r="B127" s="14">
        <v>3000.0</v>
      </c>
      <c r="C127" s="4"/>
    </row>
    <row r="128">
      <c r="A128" s="4" t="s">
        <v>2416</v>
      </c>
      <c r="B128" s="14">
        <v>0.0</v>
      </c>
      <c r="C128" s="3" t="s">
        <v>2377</v>
      </c>
    </row>
    <row r="129">
      <c r="A129" s="4" t="s">
        <v>2417</v>
      </c>
      <c r="B129" s="14">
        <v>0.0</v>
      </c>
      <c r="C129" s="3" t="s">
        <v>3</v>
      </c>
    </row>
    <row r="130">
      <c r="A130" s="4" t="s">
        <v>186</v>
      </c>
      <c r="B130" s="14">
        <v>0.0</v>
      </c>
      <c r="C130" s="3" t="s">
        <v>2377</v>
      </c>
    </row>
    <row r="131">
      <c r="A131" s="4" t="s">
        <v>2418</v>
      </c>
      <c r="B131" s="14">
        <v>0.0</v>
      </c>
      <c r="C131" s="3" t="s">
        <v>6</v>
      </c>
    </row>
    <row r="132">
      <c r="A132" s="4" t="s">
        <v>188</v>
      </c>
      <c r="B132" s="14">
        <v>0.0</v>
      </c>
      <c r="C132" s="3" t="s">
        <v>2377</v>
      </c>
    </row>
    <row r="133">
      <c r="A133" s="4" t="s">
        <v>2090</v>
      </c>
      <c r="B133" s="14">
        <v>0.0</v>
      </c>
      <c r="C133" s="3" t="s">
        <v>2377</v>
      </c>
    </row>
    <row r="134">
      <c r="A134" s="4" t="s">
        <v>191</v>
      </c>
      <c r="B134" s="14">
        <v>0.0</v>
      </c>
      <c r="C134" s="3" t="s">
        <v>3</v>
      </c>
    </row>
    <row r="135">
      <c r="A135" s="4" t="s">
        <v>192</v>
      </c>
      <c r="B135" s="14">
        <v>0.0</v>
      </c>
      <c r="C135" s="3" t="s">
        <v>29</v>
      </c>
    </row>
    <row r="136">
      <c r="A136" s="4" t="s">
        <v>193</v>
      </c>
      <c r="B136" s="14">
        <v>700.0</v>
      </c>
      <c r="C136" s="3" t="s">
        <v>29</v>
      </c>
    </row>
    <row r="137">
      <c r="A137" s="4" t="s">
        <v>194</v>
      </c>
      <c r="B137" s="14">
        <v>0.0</v>
      </c>
      <c r="C137" s="3" t="s">
        <v>29</v>
      </c>
    </row>
    <row r="138">
      <c r="A138" s="4" t="s">
        <v>2419</v>
      </c>
      <c r="B138" s="14">
        <v>0.0</v>
      </c>
      <c r="C138" s="3" t="s">
        <v>3</v>
      </c>
    </row>
    <row r="139">
      <c r="A139" s="4" t="s">
        <v>197</v>
      </c>
      <c r="B139" s="14">
        <v>0.0</v>
      </c>
      <c r="C139" s="3" t="s">
        <v>29</v>
      </c>
    </row>
    <row r="140">
      <c r="A140" s="4" t="s">
        <v>2420</v>
      </c>
      <c r="B140" s="14">
        <v>0.0</v>
      </c>
      <c r="C140" s="3" t="s">
        <v>3</v>
      </c>
    </row>
    <row r="141">
      <c r="A141" s="4" t="s">
        <v>198</v>
      </c>
      <c r="B141" s="14">
        <v>0.0</v>
      </c>
      <c r="C141" s="3" t="s">
        <v>3</v>
      </c>
    </row>
    <row r="142">
      <c r="A142" s="4" t="s">
        <v>2421</v>
      </c>
      <c r="B142" s="14">
        <v>1410.0</v>
      </c>
      <c r="C142" s="3" t="s">
        <v>3</v>
      </c>
    </row>
    <row r="143">
      <c r="A143" s="4" t="s">
        <v>2422</v>
      </c>
      <c r="B143" s="14">
        <v>300.0</v>
      </c>
      <c r="C143" s="3" t="s">
        <v>2377</v>
      </c>
    </row>
    <row r="144">
      <c r="A144" s="4" t="s">
        <v>2423</v>
      </c>
      <c r="B144" s="14">
        <v>1728.0</v>
      </c>
      <c r="C144" s="3" t="s">
        <v>668</v>
      </c>
    </row>
    <row r="145">
      <c r="A145" s="4" t="s">
        <v>2424</v>
      </c>
      <c r="B145" s="14">
        <v>0.0</v>
      </c>
      <c r="C145" s="3" t="s">
        <v>3</v>
      </c>
    </row>
    <row r="146">
      <c r="A146" s="4" t="s">
        <v>2425</v>
      </c>
      <c r="B146" s="14">
        <v>0.0</v>
      </c>
      <c r="C146" s="3" t="s">
        <v>3</v>
      </c>
    </row>
    <row r="147">
      <c r="A147" s="4" t="s">
        <v>2426</v>
      </c>
      <c r="B147" s="14">
        <v>0.0</v>
      </c>
      <c r="C147" s="3" t="s">
        <v>29</v>
      </c>
    </row>
    <row r="148">
      <c r="A148" s="4" t="s">
        <v>2427</v>
      </c>
      <c r="B148" s="14">
        <v>0.0</v>
      </c>
      <c r="C148" s="3" t="s">
        <v>6</v>
      </c>
    </row>
    <row r="149">
      <c r="A149" s="4" t="s">
        <v>2428</v>
      </c>
      <c r="B149" s="14">
        <v>1000.0</v>
      </c>
      <c r="C149" s="4"/>
    </row>
    <row r="150">
      <c r="A150" s="4" t="s">
        <v>203</v>
      </c>
      <c r="B150" s="14">
        <v>16000.0</v>
      </c>
      <c r="C150" s="3" t="s">
        <v>6</v>
      </c>
    </row>
    <row r="151">
      <c r="A151" s="4" t="s">
        <v>2429</v>
      </c>
      <c r="B151" s="14">
        <v>800.0</v>
      </c>
      <c r="C151" s="3" t="s">
        <v>3</v>
      </c>
    </row>
    <row r="152">
      <c r="A152" s="4" t="s">
        <v>2092</v>
      </c>
      <c r="B152" s="14">
        <v>2500.0</v>
      </c>
      <c r="C152" s="4"/>
    </row>
    <row r="153">
      <c r="A153" s="4" t="s">
        <v>210</v>
      </c>
      <c r="B153" s="14">
        <v>0.0</v>
      </c>
      <c r="C153" s="3" t="s">
        <v>3</v>
      </c>
    </row>
    <row r="154">
      <c r="A154" s="4" t="s">
        <v>211</v>
      </c>
      <c r="B154" s="14">
        <v>0.0</v>
      </c>
      <c r="C154" s="3" t="s">
        <v>6</v>
      </c>
    </row>
    <row r="155">
      <c r="A155" s="4" t="s">
        <v>212</v>
      </c>
      <c r="B155" s="14">
        <v>0.0</v>
      </c>
      <c r="C155" s="3" t="s">
        <v>29</v>
      </c>
    </row>
    <row r="156">
      <c r="A156" s="4" t="s">
        <v>213</v>
      </c>
      <c r="B156" s="14">
        <v>3220.0</v>
      </c>
      <c r="C156" s="4"/>
    </row>
    <row r="157">
      <c r="A157" s="4" t="s">
        <v>2093</v>
      </c>
      <c r="B157" s="14">
        <v>3000.0</v>
      </c>
      <c r="C157" s="3" t="s">
        <v>3</v>
      </c>
    </row>
    <row r="158">
      <c r="A158" s="4" t="s">
        <v>220</v>
      </c>
      <c r="B158" s="14">
        <v>500.0</v>
      </c>
      <c r="C158" s="4"/>
    </row>
    <row r="159">
      <c r="A159" s="4" t="s">
        <v>2094</v>
      </c>
      <c r="B159" s="14">
        <v>0.0</v>
      </c>
      <c r="C159" s="3" t="s">
        <v>29</v>
      </c>
    </row>
    <row r="160">
      <c r="A160" s="4" t="s">
        <v>223</v>
      </c>
      <c r="B160" s="14">
        <v>532800.0</v>
      </c>
      <c r="C160" s="4"/>
    </row>
    <row r="161">
      <c r="A161" s="4" t="s">
        <v>225</v>
      </c>
      <c r="B161" s="14">
        <v>0.0</v>
      </c>
      <c r="C161" s="3" t="s">
        <v>3</v>
      </c>
    </row>
    <row r="162">
      <c r="A162" s="4" t="s">
        <v>2430</v>
      </c>
      <c r="B162" s="14">
        <v>0.0</v>
      </c>
      <c r="C162" s="3" t="s">
        <v>6</v>
      </c>
    </row>
    <row r="163">
      <c r="A163" s="4" t="s">
        <v>226</v>
      </c>
      <c r="B163" s="14">
        <v>0.0</v>
      </c>
      <c r="C163" s="3" t="s">
        <v>3</v>
      </c>
    </row>
    <row r="164">
      <c r="A164" s="4" t="s">
        <v>227</v>
      </c>
      <c r="B164" s="14">
        <v>0.0</v>
      </c>
      <c r="C164" s="3" t="s">
        <v>3</v>
      </c>
    </row>
    <row r="165">
      <c r="A165" s="4" t="s">
        <v>2095</v>
      </c>
      <c r="B165" s="14">
        <v>0.0</v>
      </c>
      <c r="C165" s="3" t="s">
        <v>3</v>
      </c>
    </row>
    <row r="166">
      <c r="A166" s="4" t="s">
        <v>2431</v>
      </c>
      <c r="B166" s="14">
        <v>0.0</v>
      </c>
      <c r="C166" s="3" t="s">
        <v>6</v>
      </c>
    </row>
    <row r="167">
      <c r="A167" s="4" t="s">
        <v>232</v>
      </c>
      <c r="B167" s="14">
        <v>0.0</v>
      </c>
      <c r="C167" s="3" t="s">
        <v>6</v>
      </c>
    </row>
    <row r="168">
      <c r="A168" s="4" t="s">
        <v>2432</v>
      </c>
      <c r="B168" s="14">
        <v>0.0</v>
      </c>
      <c r="C168" s="3" t="s">
        <v>3</v>
      </c>
    </row>
    <row r="169">
      <c r="A169" s="4" t="s">
        <v>2433</v>
      </c>
      <c r="B169" s="14">
        <v>0.0</v>
      </c>
      <c r="C169" s="3" t="s">
        <v>6</v>
      </c>
    </row>
    <row r="170">
      <c r="A170" s="4" t="s">
        <v>234</v>
      </c>
      <c r="B170" s="14">
        <v>0.0</v>
      </c>
      <c r="C170" s="3" t="s">
        <v>3</v>
      </c>
    </row>
    <row r="171">
      <c r="A171" s="4" t="s">
        <v>2097</v>
      </c>
      <c r="B171" s="14">
        <v>0.0</v>
      </c>
      <c r="C171" s="3" t="s">
        <v>3</v>
      </c>
    </row>
    <row r="172">
      <c r="A172" s="4" t="s">
        <v>237</v>
      </c>
      <c r="B172" s="14">
        <v>0.0</v>
      </c>
      <c r="C172" s="3" t="s">
        <v>2377</v>
      </c>
    </row>
    <row r="173">
      <c r="A173" s="4" t="s">
        <v>238</v>
      </c>
      <c r="B173" s="14">
        <v>8800.0</v>
      </c>
      <c r="C173" s="3" t="s">
        <v>2377</v>
      </c>
    </row>
    <row r="174">
      <c r="A174" s="4" t="s">
        <v>2434</v>
      </c>
      <c r="B174" s="14">
        <v>2700.0</v>
      </c>
      <c r="C174" s="3" t="s">
        <v>2377</v>
      </c>
    </row>
    <row r="175">
      <c r="A175" s="4" t="s">
        <v>2435</v>
      </c>
      <c r="B175" s="14">
        <v>0.0</v>
      </c>
      <c r="C175" s="3" t="s">
        <v>3</v>
      </c>
    </row>
    <row r="176">
      <c r="A176" s="4" t="s">
        <v>2436</v>
      </c>
      <c r="B176" s="14">
        <v>0.0</v>
      </c>
      <c r="C176" s="3" t="s">
        <v>6</v>
      </c>
    </row>
    <row r="177">
      <c r="A177" s="4" t="s">
        <v>240</v>
      </c>
      <c r="B177" s="14">
        <v>0.0</v>
      </c>
      <c r="C177" s="3" t="s">
        <v>3</v>
      </c>
    </row>
    <row r="178">
      <c r="A178" s="4" t="s">
        <v>241</v>
      </c>
      <c r="B178" s="14">
        <v>0.0</v>
      </c>
      <c r="C178" s="3" t="s">
        <v>6</v>
      </c>
    </row>
    <row r="179">
      <c r="A179" s="4" t="s">
        <v>2098</v>
      </c>
      <c r="B179" s="14">
        <v>300.0</v>
      </c>
      <c r="C179" s="3" t="s">
        <v>3</v>
      </c>
    </row>
    <row r="180">
      <c r="A180" s="4" t="s">
        <v>2099</v>
      </c>
      <c r="B180" s="14">
        <v>35374.0</v>
      </c>
      <c r="C180" s="3" t="s">
        <v>216</v>
      </c>
    </row>
    <row r="181">
      <c r="A181" s="4" t="s">
        <v>2100</v>
      </c>
      <c r="B181" s="14">
        <v>0.0</v>
      </c>
      <c r="C181" s="3" t="s">
        <v>3</v>
      </c>
    </row>
    <row r="182">
      <c r="A182" s="4" t="s">
        <v>2437</v>
      </c>
      <c r="B182" s="14">
        <v>0.0</v>
      </c>
      <c r="C182" s="3" t="s">
        <v>3</v>
      </c>
    </row>
    <row r="183">
      <c r="A183" s="4" t="s">
        <v>2101</v>
      </c>
      <c r="B183" s="14">
        <v>0.0</v>
      </c>
      <c r="C183" s="3" t="s">
        <v>2377</v>
      </c>
    </row>
    <row r="184">
      <c r="A184" s="4" t="s">
        <v>2103</v>
      </c>
      <c r="B184" s="14">
        <v>522000.0</v>
      </c>
      <c r="C184" s="4"/>
    </row>
    <row r="185">
      <c r="A185" s="4" t="s">
        <v>258</v>
      </c>
      <c r="B185" s="14">
        <v>0.0</v>
      </c>
      <c r="C185" s="3" t="s">
        <v>3</v>
      </c>
    </row>
    <row r="186">
      <c r="A186" s="4" t="s">
        <v>2438</v>
      </c>
      <c r="B186" s="14">
        <v>0.0</v>
      </c>
      <c r="C186" s="3" t="s">
        <v>3</v>
      </c>
    </row>
    <row r="187">
      <c r="A187" s="4" t="s">
        <v>259</v>
      </c>
      <c r="B187" s="14">
        <v>0.0</v>
      </c>
      <c r="C187" s="3" t="s">
        <v>3</v>
      </c>
    </row>
    <row r="188">
      <c r="A188" s="4" t="s">
        <v>260</v>
      </c>
      <c r="B188" s="14">
        <v>1000.0</v>
      </c>
      <c r="C188" s="3" t="s">
        <v>2377</v>
      </c>
    </row>
    <row r="189">
      <c r="A189" s="4" t="s">
        <v>2439</v>
      </c>
      <c r="B189" s="14">
        <v>0.0</v>
      </c>
      <c r="C189" s="3" t="s">
        <v>2377</v>
      </c>
    </row>
    <row r="190">
      <c r="A190" s="4" t="s">
        <v>2440</v>
      </c>
      <c r="B190" s="14">
        <v>0.0</v>
      </c>
      <c r="C190" s="3" t="s">
        <v>3</v>
      </c>
    </row>
    <row r="191">
      <c r="A191" s="4" t="s">
        <v>2441</v>
      </c>
      <c r="B191" s="14">
        <v>0.0</v>
      </c>
      <c r="C191" s="3" t="s">
        <v>2377</v>
      </c>
    </row>
    <row r="192">
      <c r="A192" s="4" t="s">
        <v>2109</v>
      </c>
      <c r="B192" s="14">
        <v>5000.0</v>
      </c>
      <c r="C192" s="3" t="s">
        <v>3</v>
      </c>
    </row>
    <row r="193">
      <c r="A193" s="4" t="s">
        <v>2442</v>
      </c>
      <c r="B193" s="14">
        <v>0.0</v>
      </c>
      <c r="C193" s="3" t="s">
        <v>3</v>
      </c>
    </row>
    <row r="194">
      <c r="A194" s="4" t="s">
        <v>278</v>
      </c>
      <c r="B194" s="14">
        <v>4000.0</v>
      </c>
      <c r="C194" s="3" t="s">
        <v>2377</v>
      </c>
    </row>
    <row r="195">
      <c r="A195" s="4" t="s">
        <v>2443</v>
      </c>
      <c r="B195" s="14">
        <v>0.0</v>
      </c>
      <c r="C195" s="3" t="s">
        <v>29</v>
      </c>
    </row>
    <row r="196">
      <c r="A196" s="4" t="s">
        <v>2444</v>
      </c>
      <c r="B196" s="14">
        <v>0.0</v>
      </c>
      <c r="C196" s="3" t="s">
        <v>3</v>
      </c>
    </row>
    <row r="197">
      <c r="A197" s="4" t="s">
        <v>286</v>
      </c>
      <c r="B197" s="14">
        <v>0.0</v>
      </c>
      <c r="C197" s="3" t="s">
        <v>3</v>
      </c>
    </row>
    <row r="198">
      <c r="A198" s="4" t="s">
        <v>2112</v>
      </c>
      <c r="B198" s="14">
        <v>400.0</v>
      </c>
      <c r="C198" s="3" t="s">
        <v>3</v>
      </c>
    </row>
    <row r="199">
      <c r="A199" s="4" t="s">
        <v>2445</v>
      </c>
      <c r="B199" s="14">
        <v>0.0</v>
      </c>
      <c r="C199" s="3" t="s">
        <v>3</v>
      </c>
    </row>
    <row r="200">
      <c r="A200" s="4" t="s">
        <v>2114</v>
      </c>
      <c r="B200" s="14">
        <v>0.0</v>
      </c>
      <c r="C200" s="3" t="s">
        <v>3</v>
      </c>
    </row>
    <row r="201">
      <c r="A201" s="4" t="s">
        <v>2446</v>
      </c>
      <c r="B201" s="14">
        <v>0.0</v>
      </c>
      <c r="C201" s="3" t="s">
        <v>3</v>
      </c>
    </row>
    <row r="202">
      <c r="A202" s="4" t="s">
        <v>2115</v>
      </c>
      <c r="B202" s="14">
        <v>3030.0</v>
      </c>
      <c r="C202" s="4"/>
    </row>
    <row r="203">
      <c r="A203" s="4" t="s">
        <v>296</v>
      </c>
      <c r="B203" s="14">
        <v>0.0</v>
      </c>
      <c r="C203" s="3" t="s">
        <v>3</v>
      </c>
    </row>
    <row r="204">
      <c r="A204" s="4" t="s">
        <v>299</v>
      </c>
      <c r="B204" s="14">
        <v>6782.0</v>
      </c>
      <c r="C204" s="3" t="s">
        <v>6</v>
      </c>
    </row>
    <row r="205">
      <c r="A205" s="4" t="s">
        <v>2117</v>
      </c>
      <c r="B205" s="14">
        <v>8035091.0</v>
      </c>
      <c r="C205" s="3" t="s">
        <v>2447</v>
      </c>
    </row>
    <row r="206">
      <c r="A206" s="4" t="s">
        <v>2118</v>
      </c>
      <c r="B206" s="14">
        <v>0.0</v>
      </c>
      <c r="C206" s="3" t="s">
        <v>3</v>
      </c>
    </row>
    <row r="207">
      <c r="A207" s="4" t="s">
        <v>2119</v>
      </c>
      <c r="B207" s="14">
        <v>4400.0</v>
      </c>
      <c r="C207" s="4"/>
    </row>
    <row r="208">
      <c r="A208" s="4" t="s">
        <v>2448</v>
      </c>
      <c r="B208" s="14">
        <v>10100.0</v>
      </c>
      <c r="C208" s="3" t="s">
        <v>6</v>
      </c>
    </row>
    <row r="209">
      <c r="A209" s="4" t="s">
        <v>314</v>
      </c>
      <c r="B209" s="14">
        <v>4880.0</v>
      </c>
      <c r="C209" s="3" t="s">
        <v>6</v>
      </c>
    </row>
    <row r="210">
      <c r="A210" s="4" t="s">
        <v>316</v>
      </c>
      <c r="B210" s="14">
        <v>3750.0</v>
      </c>
      <c r="C210" s="4"/>
    </row>
    <row r="211">
      <c r="A211" s="4" t="s">
        <v>318</v>
      </c>
      <c r="B211" s="14">
        <v>0.0</v>
      </c>
      <c r="C211" s="4"/>
    </row>
    <row r="212">
      <c r="A212" s="4" t="s">
        <v>320</v>
      </c>
      <c r="B212" s="14">
        <v>450.0</v>
      </c>
      <c r="C212" s="4"/>
    </row>
    <row r="213">
      <c r="A213" s="4" t="s">
        <v>322</v>
      </c>
      <c r="B213" s="14">
        <v>7601.0</v>
      </c>
      <c r="C213" s="3" t="s">
        <v>2377</v>
      </c>
    </row>
    <row r="214">
      <c r="A214" s="4" t="s">
        <v>2121</v>
      </c>
      <c r="B214" s="14">
        <v>4400.0</v>
      </c>
      <c r="C214" s="4"/>
    </row>
    <row r="215">
      <c r="A215" s="4" t="s">
        <v>330</v>
      </c>
      <c r="B215" s="14">
        <v>9000.0</v>
      </c>
      <c r="C215" s="3" t="s">
        <v>6</v>
      </c>
    </row>
    <row r="216">
      <c r="A216" s="4" t="s">
        <v>2123</v>
      </c>
      <c r="B216" s="14">
        <v>4500.0</v>
      </c>
      <c r="C216" s="3" t="s">
        <v>6</v>
      </c>
    </row>
    <row r="217">
      <c r="A217" s="4" t="s">
        <v>2125</v>
      </c>
      <c r="B217" s="14">
        <v>4000.0</v>
      </c>
      <c r="C217" s="3" t="s">
        <v>6</v>
      </c>
    </row>
    <row r="218">
      <c r="A218" s="4" t="s">
        <v>2127</v>
      </c>
      <c r="B218" s="14">
        <v>11000.0</v>
      </c>
      <c r="C218" s="3" t="s">
        <v>6</v>
      </c>
    </row>
    <row r="219">
      <c r="A219" s="4" t="s">
        <v>2449</v>
      </c>
      <c r="B219" s="14">
        <v>3500.0</v>
      </c>
      <c r="C219" s="3" t="s">
        <v>6</v>
      </c>
    </row>
    <row r="220">
      <c r="A220" s="4" t="s">
        <v>343</v>
      </c>
      <c r="B220" s="14">
        <v>2670.0</v>
      </c>
      <c r="C220" s="4"/>
    </row>
    <row r="221">
      <c r="A221" s="4" t="s">
        <v>347</v>
      </c>
      <c r="B221" s="14">
        <v>0.0</v>
      </c>
      <c r="C221" s="3" t="s">
        <v>2377</v>
      </c>
    </row>
    <row r="222">
      <c r="A222" s="4" t="s">
        <v>2129</v>
      </c>
      <c r="B222" s="14">
        <v>0.0</v>
      </c>
      <c r="C222" s="3" t="s">
        <v>6</v>
      </c>
    </row>
    <row r="223">
      <c r="A223" s="4" t="s">
        <v>2450</v>
      </c>
      <c r="B223" s="14">
        <v>0.0</v>
      </c>
      <c r="C223" s="3" t="s">
        <v>3</v>
      </c>
    </row>
    <row r="224">
      <c r="A224" s="4" t="s">
        <v>350</v>
      </c>
      <c r="B224" s="14">
        <v>1000.0</v>
      </c>
      <c r="C224" s="3" t="s">
        <v>3</v>
      </c>
    </row>
    <row r="225">
      <c r="A225" s="4" t="s">
        <v>2130</v>
      </c>
      <c r="B225" s="14">
        <v>2500.0</v>
      </c>
      <c r="C225" s="4"/>
    </row>
    <row r="226">
      <c r="A226" s="4" t="s">
        <v>2451</v>
      </c>
      <c r="B226" s="14">
        <v>0.0</v>
      </c>
      <c r="C226" s="3" t="s">
        <v>3</v>
      </c>
    </row>
    <row r="227">
      <c r="A227" s="4" t="s">
        <v>2452</v>
      </c>
      <c r="B227" s="14">
        <v>0.0</v>
      </c>
      <c r="C227" s="3" t="s">
        <v>3</v>
      </c>
    </row>
    <row r="228">
      <c r="A228" s="4" t="s">
        <v>360</v>
      </c>
      <c r="B228" s="14">
        <v>0.0</v>
      </c>
      <c r="C228" s="3" t="s">
        <v>3</v>
      </c>
    </row>
    <row r="229">
      <c r="A229" s="4" t="s">
        <v>2453</v>
      </c>
      <c r="B229" s="14">
        <v>4400.0</v>
      </c>
      <c r="C229" s="3" t="s">
        <v>6</v>
      </c>
    </row>
    <row r="230">
      <c r="A230" s="4" t="s">
        <v>2454</v>
      </c>
      <c r="B230" s="14">
        <v>0.0</v>
      </c>
      <c r="C230" s="3" t="s">
        <v>3</v>
      </c>
    </row>
    <row r="231">
      <c r="A231" s="4" t="s">
        <v>2455</v>
      </c>
      <c r="B231" s="14">
        <v>0.0</v>
      </c>
      <c r="C231" s="3" t="s">
        <v>3</v>
      </c>
    </row>
    <row r="232">
      <c r="A232" s="4" t="s">
        <v>2456</v>
      </c>
      <c r="B232" s="14">
        <v>0.0</v>
      </c>
      <c r="C232" s="3" t="s">
        <v>3</v>
      </c>
    </row>
    <row r="233">
      <c r="A233" s="4" t="s">
        <v>374</v>
      </c>
      <c r="B233" s="14">
        <v>0.0</v>
      </c>
      <c r="C233" s="3" t="s">
        <v>3</v>
      </c>
    </row>
    <row r="234">
      <c r="A234" s="4" t="s">
        <v>2457</v>
      </c>
      <c r="B234" s="14">
        <v>0.0</v>
      </c>
      <c r="C234" s="3" t="s">
        <v>3</v>
      </c>
    </row>
    <row r="235">
      <c r="A235" s="4" t="s">
        <v>2458</v>
      </c>
      <c r="B235" s="14">
        <v>0.0</v>
      </c>
      <c r="C235" s="3" t="s">
        <v>3</v>
      </c>
    </row>
    <row r="236">
      <c r="A236" s="4" t="s">
        <v>375</v>
      </c>
      <c r="B236" s="14">
        <v>3200.0</v>
      </c>
      <c r="C236" s="3" t="s">
        <v>6</v>
      </c>
    </row>
    <row r="237">
      <c r="A237" s="4" t="s">
        <v>2459</v>
      </c>
      <c r="B237" s="14">
        <v>0.0</v>
      </c>
      <c r="C237" s="3" t="s">
        <v>3</v>
      </c>
    </row>
    <row r="238">
      <c r="A238" s="4" t="s">
        <v>2460</v>
      </c>
      <c r="B238" s="14">
        <v>0.0</v>
      </c>
      <c r="C238" s="3" t="s">
        <v>6</v>
      </c>
    </row>
    <row r="239">
      <c r="A239" s="4" t="s">
        <v>2461</v>
      </c>
      <c r="B239" s="14">
        <v>0.0</v>
      </c>
      <c r="C239" s="3" t="s">
        <v>6</v>
      </c>
    </row>
    <row r="240">
      <c r="A240" s="4" t="s">
        <v>2139</v>
      </c>
      <c r="B240" s="14">
        <v>0.0</v>
      </c>
      <c r="C240" s="3" t="s">
        <v>3</v>
      </c>
    </row>
    <row r="241">
      <c r="A241" s="4" t="s">
        <v>383</v>
      </c>
      <c r="B241" s="14">
        <v>0.0</v>
      </c>
      <c r="C241" s="3" t="s">
        <v>3</v>
      </c>
    </row>
    <row r="242">
      <c r="A242" s="4" t="s">
        <v>2462</v>
      </c>
      <c r="B242" s="14">
        <v>0.0</v>
      </c>
      <c r="C242" s="3" t="s">
        <v>2377</v>
      </c>
    </row>
    <row r="243">
      <c r="A243" s="4" t="s">
        <v>2463</v>
      </c>
      <c r="B243" s="14">
        <v>1000.0</v>
      </c>
      <c r="C243" s="3" t="s">
        <v>3</v>
      </c>
    </row>
    <row r="244">
      <c r="A244" s="4" t="s">
        <v>387</v>
      </c>
      <c r="B244" s="14">
        <v>1000.0</v>
      </c>
      <c r="C244" s="3" t="s">
        <v>6</v>
      </c>
    </row>
    <row r="245">
      <c r="A245" s="4" t="s">
        <v>2464</v>
      </c>
      <c r="B245" s="14">
        <v>0.0</v>
      </c>
      <c r="C245" s="3" t="s">
        <v>6</v>
      </c>
    </row>
    <row r="246">
      <c r="A246" s="4" t="s">
        <v>2465</v>
      </c>
      <c r="B246" s="14">
        <v>7000.0</v>
      </c>
      <c r="C246" s="4"/>
    </row>
    <row r="247">
      <c r="A247" s="4" t="s">
        <v>2142</v>
      </c>
      <c r="B247" s="14">
        <v>380000.0</v>
      </c>
      <c r="C247" s="4"/>
    </row>
    <row r="248">
      <c r="A248" s="4" t="s">
        <v>2466</v>
      </c>
      <c r="B248" s="14">
        <v>0.0</v>
      </c>
      <c r="C248" s="3" t="s">
        <v>6</v>
      </c>
    </row>
    <row r="249">
      <c r="A249" s="4" t="s">
        <v>395</v>
      </c>
      <c r="B249" s="14">
        <v>28500.0</v>
      </c>
      <c r="C249" s="3" t="s">
        <v>3</v>
      </c>
    </row>
    <row r="250">
      <c r="A250" s="4" t="s">
        <v>397</v>
      </c>
      <c r="B250" s="14">
        <v>2800.0</v>
      </c>
      <c r="C250" s="4"/>
    </row>
    <row r="251">
      <c r="A251" s="4" t="s">
        <v>399</v>
      </c>
      <c r="B251" s="14">
        <v>5000.0</v>
      </c>
      <c r="C251" s="4"/>
    </row>
    <row r="252">
      <c r="A252" s="4" t="s">
        <v>2143</v>
      </c>
      <c r="B252" s="14">
        <v>0.0</v>
      </c>
      <c r="C252" s="3" t="s">
        <v>29</v>
      </c>
    </row>
    <row r="253">
      <c r="A253" s="4" t="s">
        <v>401</v>
      </c>
      <c r="B253" s="14">
        <v>0.0</v>
      </c>
      <c r="C253" s="3" t="s">
        <v>6</v>
      </c>
    </row>
    <row r="254">
      <c r="A254" s="4" t="s">
        <v>404</v>
      </c>
      <c r="B254" s="14">
        <v>0.0</v>
      </c>
      <c r="C254" s="3" t="s">
        <v>29</v>
      </c>
    </row>
    <row r="255">
      <c r="A255" s="4" t="s">
        <v>405</v>
      </c>
      <c r="B255" s="14">
        <v>1400.0</v>
      </c>
      <c r="C255" s="4"/>
    </row>
    <row r="256">
      <c r="A256" s="4" t="s">
        <v>2467</v>
      </c>
      <c r="B256" s="14">
        <v>0.0</v>
      </c>
      <c r="C256" s="3" t="s">
        <v>6</v>
      </c>
    </row>
    <row r="257">
      <c r="A257" s="4" t="s">
        <v>2144</v>
      </c>
      <c r="B257" s="14">
        <v>7000.0</v>
      </c>
      <c r="C257" s="3" t="s">
        <v>3</v>
      </c>
    </row>
    <row r="258">
      <c r="A258" s="4" t="s">
        <v>410</v>
      </c>
      <c r="B258" s="14">
        <v>1500.0</v>
      </c>
      <c r="C258" s="4"/>
    </row>
    <row r="259">
      <c r="A259" s="4" t="s">
        <v>411</v>
      </c>
      <c r="B259" s="14">
        <v>0.0</v>
      </c>
      <c r="C259" s="3" t="s">
        <v>3</v>
      </c>
    </row>
    <row r="260">
      <c r="A260" s="4" t="s">
        <v>2468</v>
      </c>
      <c r="B260" s="14">
        <v>1100.0</v>
      </c>
      <c r="C260" s="4"/>
    </row>
    <row r="261">
      <c r="A261" s="4" t="s">
        <v>2469</v>
      </c>
      <c r="B261" s="14">
        <v>3000.0</v>
      </c>
      <c r="C261" s="4"/>
    </row>
    <row r="262">
      <c r="A262" s="4" t="s">
        <v>413</v>
      </c>
      <c r="B262" s="14">
        <v>26600.0</v>
      </c>
      <c r="C262" s="3" t="s">
        <v>3</v>
      </c>
    </row>
    <row r="263">
      <c r="A263" s="4" t="s">
        <v>2470</v>
      </c>
      <c r="B263" s="14">
        <v>0.0</v>
      </c>
      <c r="C263" s="3" t="s">
        <v>668</v>
      </c>
    </row>
    <row r="264">
      <c r="A264" s="4" t="s">
        <v>2471</v>
      </c>
      <c r="B264" s="14">
        <v>0.0</v>
      </c>
      <c r="C264" s="3" t="s">
        <v>6</v>
      </c>
    </row>
    <row r="265">
      <c r="A265" s="4" t="s">
        <v>2147</v>
      </c>
      <c r="B265" s="14">
        <v>0.0</v>
      </c>
      <c r="C265" s="3" t="s">
        <v>3</v>
      </c>
    </row>
    <row r="266">
      <c r="A266" s="4" t="s">
        <v>2472</v>
      </c>
      <c r="B266" s="14">
        <v>0.0</v>
      </c>
      <c r="C266" s="3" t="s">
        <v>3</v>
      </c>
    </row>
    <row r="267">
      <c r="A267" s="4" t="s">
        <v>2473</v>
      </c>
      <c r="B267" s="14">
        <v>0.0</v>
      </c>
      <c r="C267" s="3" t="s">
        <v>3</v>
      </c>
    </row>
    <row r="268">
      <c r="A268" s="4" t="s">
        <v>2148</v>
      </c>
      <c r="B268" s="14">
        <v>0.0</v>
      </c>
      <c r="C268" s="3" t="s">
        <v>29</v>
      </c>
    </row>
    <row r="269">
      <c r="A269" s="4" t="s">
        <v>422</v>
      </c>
      <c r="B269" s="14">
        <v>0.0</v>
      </c>
      <c r="C269" s="3" t="s">
        <v>29</v>
      </c>
    </row>
    <row r="270">
      <c r="A270" s="4" t="s">
        <v>2474</v>
      </c>
      <c r="B270" s="14">
        <v>0.0</v>
      </c>
      <c r="C270" s="3" t="s">
        <v>6</v>
      </c>
    </row>
    <row r="271">
      <c r="A271" s="4" t="s">
        <v>2475</v>
      </c>
      <c r="B271" s="14">
        <v>2000.0</v>
      </c>
      <c r="C271" s="3" t="s">
        <v>3</v>
      </c>
    </row>
    <row r="272">
      <c r="A272" s="4" t="s">
        <v>2476</v>
      </c>
      <c r="B272" s="14">
        <v>0.0</v>
      </c>
      <c r="C272" s="3" t="s">
        <v>3</v>
      </c>
    </row>
    <row r="273">
      <c r="A273" s="4" t="s">
        <v>2477</v>
      </c>
      <c r="B273" s="14">
        <v>0.0</v>
      </c>
      <c r="C273" s="3" t="s">
        <v>3</v>
      </c>
    </row>
    <row r="274">
      <c r="A274" s="4" t="s">
        <v>2478</v>
      </c>
      <c r="B274" s="14">
        <v>0.0</v>
      </c>
      <c r="C274" s="3" t="s">
        <v>3</v>
      </c>
    </row>
    <row r="275">
      <c r="A275" s="4" t="s">
        <v>424</v>
      </c>
      <c r="B275" s="14">
        <v>0.0</v>
      </c>
      <c r="C275" s="3" t="s">
        <v>3</v>
      </c>
    </row>
    <row r="276">
      <c r="A276" s="4" t="s">
        <v>427</v>
      </c>
      <c r="B276" s="14">
        <v>10623.0</v>
      </c>
      <c r="C276" s="3" t="s">
        <v>29</v>
      </c>
    </row>
    <row r="277">
      <c r="A277" s="4" t="s">
        <v>2479</v>
      </c>
      <c r="B277" s="14">
        <v>3000.0</v>
      </c>
      <c r="C277" s="3" t="s">
        <v>3</v>
      </c>
    </row>
    <row r="278">
      <c r="A278" s="4" t="s">
        <v>2150</v>
      </c>
      <c r="B278" s="14">
        <v>45000.0</v>
      </c>
      <c r="C278" s="3" t="s">
        <v>3</v>
      </c>
    </row>
    <row r="279">
      <c r="A279" s="4" t="s">
        <v>2151</v>
      </c>
      <c r="B279" s="14">
        <v>0.0</v>
      </c>
      <c r="C279" s="3" t="s">
        <v>29</v>
      </c>
    </row>
    <row r="280">
      <c r="A280" s="4" t="s">
        <v>2480</v>
      </c>
      <c r="B280" s="14">
        <v>0.0</v>
      </c>
      <c r="C280" s="3" t="s">
        <v>3</v>
      </c>
    </row>
    <row r="281">
      <c r="A281" s="4" t="s">
        <v>2481</v>
      </c>
      <c r="B281" s="14">
        <v>0.0</v>
      </c>
      <c r="C281" s="3" t="s">
        <v>3</v>
      </c>
    </row>
    <row r="282">
      <c r="A282" s="4" t="s">
        <v>2152</v>
      </c>
      <c r="B282" s="14">
        <v>0.0</v>
      </c>
      <c r="C282" s="3" t="s">
        <v>3</v>
      </c>
    </row>
    <row r="283">
      <c r="A283" s="4" t="s">
        <v>2153</v>
      </c>
      <c r="B283" s="14">
        <v>1500.0</v>
      </c>
      <c r="C283" s="4"/>
    </row>
    <row r="284">
      <c r="A284" s="4" t="s">
        <v>2482</v>
      </c>
      <c r="B284" s="14">
        <v>0.0</v>
      </c>
      <c r="C284" s="3" t="s">
        <v>6</v>
      </c>
    </row>
    <row r="285">
      <c r="A285" s="4" t="s">
        <v>2483</v>
      </c>
      <c r="B285" s="14">
        <v>0.0</v>
      </c>
      <c r="C285" s="3" t="s">
        <v>3</v>
      </c>
    </row>
    <row r="286">
      <c r="A286" s="4" t="s">
        <v>2154</v>
      </c>
      <c r="B286" s="14">
        <v>0.0</v>
      </c>
      <c r="C286" s="3" t="s">
        <v>3</v>
      </c>
    </row>
    <row r="287">
      <c r="A287" s="4" t="s">
        <v>2484</v>
      </c>
      <c r="B287" s="14">
        <v>0.0</v>
      </c>
      <c r="C287" s="3" t="s">
        <v>29</v>
      </c>
    </row>
    <row r="288">
      <c r="A288" s="4" t="s">
        <v>442</v>
      </c>
      <c r="B288" s="14">
        <v>4400.0</v>
      </c>
      <c r="C288" s="4"/>
    </row>
    <row r="289">
      <c r="A289" s="4" t="s">
        <v>445</v>
      </c>
      <c r="B289" s="14">
        <v>180000.0</v>
      </c>
      <c r="C289" s="4"/>
    </row>
    <row r="290">
      <c r="A290" s="4" t="s">
        <v>2485</v>
      </c>
      <c r="B290" s="14">
        <v>3600.0</v>
      </c>
      <c r="C290" s="3" t="s">
        <v>6</v>
      </c>
    </row>
    <row r="291">
      <c r="A291" s="4" t="s">
        <v>2486</v>
      </c>
      <c r="B291" s="14">
        <v>55000.0</v>
      </c>
      <c r="C291" s="3" t="s">
        <v>3</v>
      </c>
    </row>
    <row r="292">
      <c r="A292" s="4" t="s">
        <v>449</v>
      </c>
      <c r="B292" s="14">
        <v>0.0</v>
      </c>
      <c r="C292" s="3" t="s">
        <v>2377</v>
      </c>
    </row>
    <row r="293">
      <c r="A293" s="4" t="s">
        <v>450</v>
      </c>
      <c r="B293" s="14">
        <v>1600.0</v>
      </c>
      <c r="C293" s="3" t="s">
        <v>6</v>
      </c>
    </row>
    <row r="294">
      <c r="A294" s="4" t="s">
        <v>451</v>
      </c>
      <c r="B294" s="14">
        <v>0.0</v>
      </c>
      <c r="C294" s="3" t="s">
        <v>3</v>
      </c>
    </row>
    <row r="295">
      <c r="A295" s="4" t="s">
        <v>452</v>
      </c>
      <c r="B295" s="14">
        <v>0.0</v>
      </c>
      <c r="C295" s="3" t="s">
        <v>3</v>
      </c>
    </row>
    <row r="296">
      <c r="A296" s="4" t="s">
        <v>2487</v>
      </c>
      <c r="B296" s="14">
        <v>3000.0</v>
      </c>
      <c r="C296" s="4"/>
    </row>
    <row r="297">
      <c r="A297" s="4" t="s">
        <v>2488</v>
      </c>
      <c r="B297" s="14">
        <v>0.0</v>
      </c>
      <c r="C297" s="3" t="s">
        <v>3</v>
      </c>
    </row>
    <row r="298">
      <c r="A298" s="4" t="s">
        <v>2489</v>
      </c>
      <c r="B298" s="14">
        <v>0.0</v>
      </c>
      <c r="C298" s="3" t="s">
        <v>3</v>
      </c>
    </row>
    <row r="299">
      <c r="A299" s="4" t="s">
        <v>453</v>
      </c>
      <c r="B299" s="14">
        <v>1000.0</v>
      </c>
      <c r="C299" s="4"/>
    </row>
    <row r="300">
      <c r="A300" s="4" t="s">
        <v>454</v>
      </c>
      <c r="B300" s="14">
        <v>0.0</v>
      </c>
      <c r="C300" s="3" t="s">
        <v>3</v>
      </c>
    </row>
    <row r="301">
      <c r="A301" s="4" t="s">
        <v>455</v>
      </c>
      <c r="B301" s="14">
        <v>0.0</v>
      </c>
      <c r="C301" s="3" t="s">
        <v>3</v>
      </c>
    </row>
    <row r="302">
      <c r="A302" s="4" t="s">
        <v>2490</v>
      </c>
      <c r="B302" s="14">
        <v>500.0</v>
      </c>
      <c r="C302" s="4"/>
    </row>
    <row r="303">
      <c r="A303" s="4" t="s">
        <v>456</v>
      </c>
      <c r="B303" s="14">
        <v>0.0</v>
      </c>
      <c r="C303" s="3" t="s">
        <v>6</v>
      </c>
    </row>
    <row r="304">
      <c r="A304" s="4" t="s">
        <v>2491</v>
      </c>
      <c r="B304" s="14">
        <v>1700.0</v>
      </c>
      <c r="C304" s="4"/>
    </row>
    <row r="305">
      <c r="A305" s="4" t="s">
        <v>457</v>
      </c>
      <c r="B305" s="14">
        <v>1500.0</v>
      </c>
      <c r="C305" s="3" t="s">
        <v>3</v>
      </c>
    </row>
    <row r="306">
      <c r="A306" s="4" t="s">
        <v>2492</v>
      </c>
      <c r="B306" s="14">
        <v>0.0</v>
      </c>
      <c r="C306" s="3" t="s">
        <v>3</v>
      </c>
    </row>
    <row r="307">
      <c r="A307" s="4" t="s">
        <v>2157</v>
      </c>
      <c r="B307" s="14">
        <v>3000.0</v>
      </c>
      <c r="C307" s="4"/>
    </row>
    <row r="308">
      <c r="A308" s="4" t="s">
        <v>2493</v>
      </c>
      <c r="B308" s="14">
        <v>0.0</v>
      </c>
      <c r="C308" s="3" t="s">
        <v>3</v>
      </c>
    </row>
    <row r="309">
      <c r="A309" s="4" t="s">
        <v>2494</v>
      </c>
      <c r="B309" s="14">
        <v>0.0</v>
      </c>
      <c r="C309" s="3" t="s">
        <v>3</v>
      </c>
    </row>
    <row r="310">
      <c r="A310" s="4" t="s">
        <v>465</v>
      </c>
      <c r="B310" s="14">
        <v>300.0</v>
      </c>
      <c r="C310" s="4"/>
    </row>
    <row r="311">
      <c r="A311" s="4" t="s">
        <v>466</v>
      </c>
      <c r="B311" s="14">
        <v>3000.0</v>
      </c>
      <c r="C311" s="3" t="s">
        <v>3</v>
      </c>
    </row>
    <row r="312">
      <c r="A312" s="4" t="s">
        <v>2495</v>
      </c>
      <c r="B312" s="14">
        <v>0.0</v>
      </c>
      <c r="C312" s="3" t="s">
        <v>3</v>
      </c>
    </row>
    <row r="313">
      <c r="A313" s="4" t="s">
        <v>2160</v>
      </c>
      <c r="B313" s="14">
        <v>0.0</v>
      </c>
      <c r="C313" s="3" t="s">
        <v>3</v>
      </c>
    </row>
    <row r="314">
      <c r="A314" s="4" t="s">
        <v>2496</v>
      </c>
      <c r="B314" s="14">
        <v>0.0</v>
      </c>
      <c r="C314" s="3" t="s">
        <v>3</v>
      </c>
    </row>
    <row r="315">
      <c r="A315" s="4" t="s">
        <v>2497</v>
      </c>
      <c r="B315" s="14">
        <v>0.0</v>
      </c>
      <c r="C315" s="3" t="s">
        <v>3</v>
      </c>
    </row>
    <row r="316">
      <c r="A316" s="4" t="s">
        <v>2498</v>
      </c>
      <c r="B316" s="14">
        <v>0.0</v>
      </c>
      <c r="C316" s="3" t="s">
        <v>3</v>
      </c>
    </row>
    <row r="317">
      <c r="A317" s="4" t="s">
        <v>472</v>
      </c>
      <c r="B317" s="14">
        <v>3000.0</v>
      </c>
      <c r="C317" s="3" t="s">
        <v>2377</v>
      </c>
    </row>
    <row r="318">
      <c r="A318" s="4" t="s">
        <v>473</v>
      </c>
      <c r="B318" s="14">
        <v>2500.0</v>
      </c>
      <c r="C318" s="3" t="s">
        <v>3</v>
      </c>
    </row>
    <row r="319">
      <c r="A319" s="4" t="s">
        <v>2161</v>
      </c>
      <c r="B319" s="14">
        <v>0.0</v>
      </c>
      <c r="C319" s="3" t="s">
        <v>3</v>
      </c>
    </row>
    <row r="320">
      <c r="A320" s="4" t="s">
        <v>2499</v>
      </c>
      <c r="B320" s="14">
        <v>1000.0</v>
      </c>
      <c r="C320" s="4"/>
    </row>
    <row r="321">
      <c r="A321" s="4" t="s">
        <v>2500</v>
      </c>
      <c r="B321" s="14">
        <v>336.0</v>
      </c>
      <c r="C321" s="4"/>
    </row>
    <row r="322">
      <c r="A322" s="4" t="s">
        <v>476</v>
      </c>
      <c r="B322" s="14">
        <v>1691826.0</v>
      </c>
      <c r="C322" s="3" t="s">
        <v>3</v>
      </c>
    </row>
    <row r="323">
      <c r="A323" s="4" t="s">
        <v>478</v>
      </c>
      <c r="B323" s="14">
        <v>310000.0</v>
      </c>
      <c r="C323" s="4"/>
    </row>
    <row r="324">
      <c r="A324" s="4" t="s">
        <v>481</v>
      </c>
      <c r="B324" s="14">
        <v>1815900.0</v>
      </c>
      <c r="C324" s="3" t="s">
        <v>3</v>
      </c>
    </row>
    <row r="325">
      <c r="A325" s="4" t="s">
        <v>2162</v>
      </c>
      <c r="B325" s="14">
        <v>1000.0</v>
      </c>
      <c r="C325" s="3" t="s">
        <v>6</v>
      </c>
    </row>
    <row r="326">
      <c r="A326" s="4" t="s">
        <v>2163</v>
      </c>
      <c r="B326" s="14">
        <v>0.0</v>
      </c>
      <c r="C326" s="3" t="s">
        <v>3</v>
      </c>
    </row>
    <row r="327">
      <c r="A327" s="4" t="s">
        <v>2165</v>
      </c>
      <c r="B327" s="14">
        <v>2000.0</v>
      </c>
      <c r="C327" s="4"/>
    </row>
    <row r="328">
      <c r="A328" s="4" t="s">
        <v>2501</v>
      </c>
      <c r="B328" s="14">
        <v>380000.0</v>
      </c>
      <c r="C328" s="3" t="s">
        <v>3</v>
      </c>
    </row>
    <row r="329">
      <c r="A329" s="4" t="s">
        <v>2167</v>
      </c>
      <c r="B329" s="14">
        <v>0.0</v>
      </c>
      <c r="C329" s="3" t="s">
        <v>3</v>
      </c>
    </row>
    <row r="330">
      <c r="A330" s="4" t="s">
        <v>2502</v>
      </c>
      <c r="B330" s="14">
        <v>0.0</v>
      </c>
      <c r="C330" s="3" t="s">
        <v>3</v>
      </c>
    </row>
    <row r="331">
      <c r="A331" s="4" t="s">
        <v>2168</v>
      </c>
      <c r="B331" s="14">
        <v>1500.0</v>
      </c>
      <c r="C331" s="4"/>
    </row>
    <row r="332">
      <c r="A332" s="4" t="s">
        <v>2503</v>
      </c>
      <c r="B332" s="14">
        <v>0.0</v>
      </c>
      <c r="C332" s="3" t="s">
        <v>3</v>
      </c>
    </row>
    <row r="333">
      <c r="A333" s="4" t="s">
        <v>2504</v>
      </c>
      <c r="B333" s="14">
        <v>0.0</v>
      </c>
      <c r="C333" s="3" t="s">
        <v>3</v>
      </c>
    </row>
    <row r="334">
      <c r="A334" s="4" t="s">
        <v>502</v>
      </c>
      <c r="B334" s="14">
        <v>0.0</v>
      </c>
      <c r="C334" s="3" t="s">
        <v>2368</v>
      </c>
    </row>
    <row r="335">
      <c r="A335" s="4" t="s">
        <v>2170</v>
      </c>
      <c r="B335" s="14">
        <v>0.0</v>
      </c>
      <c r="C335" s="3" t="s">
        <v>3</v>
      </c>
    </row>
    <row r="336">
      <c r="A336" s="4" t="s">
        <v>2505</v>
      </c>
      <c r="B336" s="14">
        <v>0.0</v>
      </c>
      <c r="C336" s="3" t="s">
        <v>3</v>
      </c>
    </row>
    <row r="337">
      <c r="A337" s="4" t="s">
        <v>2175</v>
      </c>
      <c r="B337" s="14">
        <v>0.0</v>
      </c>
      <c r="C337" s="3" t="s">
        <v>3</v>
      </c>
    </row>
    <row r="338">
      <c r="A338" s="4" t="s">
        <v>515</v>
      </c>
      <c r="B338" s="14">
        <v>0.0</v>
      </c>
      <c r="C338" s="3" t="s">
        <v>6</v>
      </c>
    </row>
    <row r="339">
      <c r="A339" s="4" t="s">
        <v>2506</v>
      </c>
      <c r="B339" s="14">
        <v>23606.0</v>
      </c>
      <c r="C339" s="3" t="s">
        <v>29</v>
      </c>
    </row>
    <row r="340">
      <c r="A340" s="4" t="s">
        <v>2507</v>
      </c>
      <c r="B340" s="14">
        <v>0.0</v>
      </c>
      <c r="C340" s="3" t="s">
        <v>3</v>
      </c>
    </row>
    <row r="341">
      <c r="A341" s="4" t="s">
        <v>520</v>
      </c>
      <c r="B341" s="14">
        <v>2500.0</v>
      </c>
      <c r="C341" s="3" t="s">
        <v>6</v>
      </c>
    </row>
    <row r="342">
      <c r="A342" s="4" t="s">
        <v>521</v>
      </c>
      <c r="B342" s="14">
        <v>3500.0</v>
      </c>
      <c r="C342" s="4"/>
    </row>
    <row r="343">
      <c r="A343" s="4" t="s">
        <v>522</v>
      </c>
      <c r="B343" s="14">
        <v>36821.0</v>
      </c>
      <c r="C343" s="3" t="s">
        <v>2508</v>
      </c>
    </row>
    <row r="344">
      <c r="A344" s="4" t="s">
        <v>2509</v>
      </c>
      <c r="B344" s="14">
        <v>0.0</v>
      </c>
      <c r="C344" s="3" t="s">
        <v>3</v>
      </c>
    </row>
    <row r="345">
      <c r="A345" s="4" t="s">
        <v>2510</v>
      </c>
      <c r="B345" s="14">
        <v>500.0</v>
      </c>
      <c r="C345" s="4"/>
    </row>
    <row r="346">
      <c r="A346" s="4" t="s">
        <v>526</v>
      </c>
      <c r="B346" s="14">
        <v>4000.0</v>
      </c>
      <c r="C346" s="4"/>
    </row>
    <row r="347">
      <c r="A347" s="4" t="s">
        <v>2511</v>
      </c>
      <c r="B347" s="14">
        <v>0.0</v>
      </c>
      <c r="C347" s="3" t="s">
        <v>3</v>
      </c>
    </row>
    <row r="348">
      <c r="A348" s="4" t="s">
        <v>2178</v>
      </c>
      <c r="B348" s="14">
        <v>250.0</v>
      </c>
      <c r="C348" s="4"/>
    </row>
    <row r="349">
      <c r="A349" s="4" t="s">
        <v>2512</v>
      </c>
      <c r="B349" s="14">
        <v>0.0</v>
      </c>
      <c r="C349" s="3" t="s">
        <v>3</v>
      </c>
    </row>
    <row r="350">
      <c r="A350" s="4" t="s">
        <v>2179</v>
      </c>
      <c r="B350" s="14">
        <v>500.0</v>
      </c>
      <c r="C350" s="3" t="s">
        <v>3</v>
      </c>
    </row>
    <row r="351">
      <c r="A351" s="4" t="s">
        <v>2513</v>
      </c>
      <c r="B351" s="14">
        <v>0.0</v>
      </c>
      <c r="C351" s="3" t="s">
        <v>3</v>
      </c>
    </row>
    <row r="352">
      <c r="A352" s="4" t="s">
        <v>532</v>
      </c>
      <c r="B352" s="14">
        <v>7000.0</v>
      </c>
      <c r="C352" s="3" t="s">
        <v>3</v>
      </c>
    </row>
    <row r="353">
      <c r="A353" s="4" t="s">
        <v>534</v>
      </c>
      <c r="B353" s="14">
        <v>0.0</v>
      </c>
      <c r="C353" s="3" t="s">
        <v>2368</v>
      </c>
    </row>
    <row r="354">
      <c r="A354" s="4" t="s">
        <v>2514</v>
      </c>
      <c r="B354" s="14">
        <v>0.0</v>
      </c>
      <c r="C354" s="3" t="s">
        <v>3</v>
      </c>
    </row>
    <row r="355">
      <c r="A355" s="4" t="s">
        <v>2515</v>
      </c>
      <c r="B355" s="14">
        <v>0.0</v>
      </c>
      <c r="C355" s="3" t="s">
        <v>6</v>
      </c>
    </row>
    <row r="356">
      <c r="A356" s="4" t="s">
        <v>2181</v>
      </c>
      <c r="B356" s="14">
        <v>750.0</v>
      </c>
      <c r="C356" s="4"/>
    </row>
    <row r="357">
      <c r="A357" s="4" t="s">
        <v>539</v>
      </c>
      <c r="B357" s="14">
        <v>0.0</v>
      </c>
      <c r="C357" s="3" t="s">
        <v>6</v>
      </c>
    </row>
    <row r="358">
      <c r="A358" s="4" t="s">
        <v>2516</v>
      </c>
      <c r="B358" s="14">
        <v>0.0</v>
      </c>
      <c r="C358" s="3" t="s">
        <v>3</v>
      </c>
    </row>
    <row r="359">
      <c r="A359" s="4" t="s">
        <v>546</v>
      </c>
      <c r="B359" s="14">
        <v>0.0</v>
      </c>
      <c r="C359" s="3" t="s">
        <v>3</v>
      </c>
    </row>
    <row r="360">
      <c r="A360" s="4" t="s">
        <v>547</v>
      </c>
      <c r="B360" s="14">
        <v>4000.0</v>
      </c>
      <c r="C360" s="4"/>
    </row>
    <row r="361">
      <c r="A361" s="4" t="s">
        <v>2517</v>
      </c>
      <c r="B361" s="14">
        <v>0.0</v>
      </c>
      <c r="C361" s="3" t="s">
        <v>6</v>
      </c>
    </row>
    <row r="362">
      <c r="A362" s="4" t="s">
        <v>2518</v>
      </c>
      <c r="B362" s="14">
        <v>0.0</v>
      </c>
      <c r="C362" s="3" t="s">
        <v>29</v>
      </c>
    </row>
    <row r="363">
      <c r="A363" s="4" t="s">
        <v>2519</v>
      </c>
      <c r="B363" s="14">
        <v>31796.0</v>
      </c>
      <c r="C363" s="3" t="s">
        <v>29</v>
      </c>
    </row>
    <row r="364">
      <c r="A364" s="4" t="s">
        <v>2520</v>
      </c>
      <c r="B364" s="14">
        <v>0.0</v>
      </c>
      <c r="C364" s="3" t="s">
        <v>6</v>
      </c>
    </row>
    <row r="365">
      <c r="A365" s="4" t="s">
        <v>554</v>
      </c>
      <c r="B365" s="14">
        <v>0.0</v>
      </c>
      <c r="C365" s="3" t="s">
        <v>29</v>
      </c>
    </row>
    <row r="366">
      <c r="A366" s="4" t="s">
        <v>2521</v>
      </c>
      <c r="B366" s="14">
        <v>0.0</v>
      </c>
      <c r="C366" s="3" t="s">
        <v>6</v>
      </c>
    </row>
    <row r="367">
      <c r="A367" s="4" t="s">
        <v>2522</v>
      </c>
      <c r="B367" s="14">
        <v>0.0</v>
      </c>
      <c r="C367" s="3" t="s">
        <v>29</v>
      </c>
    </row>
    <row r="368">
      <c r="A368" s="4" t="s">
        <v>557</v>
      </c>
      <c r="B368" s="14">
        <v>1500.0</v>
      </c>
      <c r="C368" s="3" t="s">
        <v>29</v>
      </c>
    </row>
    <row r="369">
      <c r="A369" s="4" t="s">
        <v>558</v>
      </c>
      <c r="B369" s="14">
        <v>1000.0</v>
      </c>
      <c r="C369" s="3" t="s">
        <v>2508</v>
      </c>
    </row>
    <row r="370">
      <c r="A370" s="4" t="s">
        <v>559</v>
      </c>
      <c r="B370" s="14">
        <v>5600.0</v>
      </c>
      <c r="C370" s="4"/>
    </row>
    <row r="371">
      <c r="A371" s="4" t="s">
        <v>561</v>
      </c>
      <c r="B371" s="14">
        <v>0.0</v>
      </c>
      <c r="C371" s="3" t="s">
        <v>29</v>
      </c>
    </row>
    <row r="372">
      <c r="A372" s="4" t="s">
        <v>2523</v>
      </c>
      <c r="B372" s="14">
        <v>0.0</v>
      </c>
      <c r="C372" s="3" t="s">
        <v>29</v>
      </c>
    </row>
    <row r="373">
      <c r="A373" s="4" t="s">
        <v>562</v>
      </c>
      <c r="B373" s="14">
        <v>0.0</v>
      </c>
      <c r="C373" s="3" t="s">
        <v>29</v>
      </c>
    </row>
    <row r="374">
      <c r="A374" s="4" t="s">
        <v>563</v>
      </c>
      <c r="B374" s="14">
        <v>0.0</v>
      </c>
      <c r="C374" s="3" t="s">
        <v>29</v>
      </c>
    </row>
    <row r="375">
      <c r="A375" s="4" t="s">
        <v>564</v>
      </c>
      <c r="B375" s="14">
        <v>0.0</v>
      </c>
      <c r="C375" s="3" t="s">
        <v>29</v>
      </c>
    </row>
    <row r="376">
      <c r="A376" s="4" t="s">
        <v>565</v>
      </c>
      <c r="B376" s="14">
        <v>0.0</v>
      </c>
      <c r="C376" s="3" t="s">
        <v>29</v>
      </c>
    </row>
    <row r="377">
      <c r="A377" s="4" t="s">
        <v>2524</v>
      </c>
      <c r="B377" s="14">
        <v>1180.0</v>
      </c>
      <c r="C377" s="4"/>
    </row>
    <row r="378">
      <c r="A378" s="4" t="s">
        <v>2525</v>
      </c>
      <c r="B378" s="14">
        <v>0.0</v>
      </c>
      <c r="C378" s="3" t="s">
        <v>2377</v>
      </c>
    </row>
    <row r="379">
      <c r="A379" s="4" t="s">
        <v>2526</v>
      </c>
      <c r="B379" s="14">
        <v>0.0</v>
      </c>
      <c r="C379" s="3" t="s">
        <v>3</v>
      </c>
    </row>
    <row r="380">
      <c r="A380" s="4" t="s">
        <v>567</v>
      </c>
      <c r="B380" s="14">
        <v>5000.0</v>
      </c>
      <c r="C380" s="3" t="s">
        <v>3</v>
      </c>
    </row>
    <row r="381">
      <c r="A381" s="4" t="s">
        <v>568</v>
      </c>
      <c r="B381" s="14">
        <v>0.0</v>
      </c>
      <c r="C381" s="3" t="s">
        <v>3</v>
      </c>
    </row>
    <row r="382">
      <c r="A382" s="4" t="s">
        <v>2527</v>
      </c>
      <c r="B382" s="14">
        <v>0.0</v>
      </c>
      <c r="C382" s="3" t="s">
        <v>3</v>
      </c>
    </row>
    <row r="383">
      <c r="A383" s="4" t="s">
        <v>2528</v>
      </c>
      <c r="B383" s="14">
        <v>0.0</v>
      </c>
      <c r="C383" s="3" t="s">
        <v>3</v>
      </c>
    </row>
    <row r="384">
      <c r="A384" s="4" t="s">
        <v>569</v>
      </c>
      <c r="B384" s="14">
        <v>45000.0</v>
      </c>
      <c r="C384" s="4"/>
    </row>
    <row r="385">
      <c r="A385" s="4" t="s">
        <v>2184</v>
      </c>
      <c r="B385" s="14">
        <v>500.0</v>
      </c>
      <c r="C385" s="4"/>
    </row>
    <row r="386">
      <c r="A386" s="4" t="s">
        <v>2529</v>
      </c>
      <c r="B386" s="14">
        <v>0.0</v>
      </c>
      <c r="C386" s="3" t="s">
        <v>3</v>
      </c>
    </row>
    <row r="387">
      <c r="A387" s="4" t="s">
        <v>573</v>
      </c>
      <c r="B387" s="14">
        <v>0.0</v>
      </c>
      <c r="C387" s="3" t="s">
        <v>3</v>
      </c>
    </row>
    <row r="388">
      <c r="A388" s="4" t="s">
        <v>2530</v>
      </c>
      <c r="B388" s="14">
        <v>0.0</v>
      </c>
      <c r="C388" s="3" t="s">
        <v>3</v>
      </c>
    </row>
    <row r="389">
      <c r="A389" s="4" t="s">
        <v>2531</v>
      </c>
      <c r="B389" s="14">
        <v>8000.0</v>
      </c>
      <c r="C389" s="3" t="s">
        <v>3</v>
      </c>
    </row>
    <row r="390">
      <c r="A390" s="4" t="s">
        <v>577</v>
      </c>
      <c r="B390" s="14">
        <v>0.0</v>
      </c>
      <c r="C390" s="3" t="s">
        <v>2377</v>
      </c>
    </row>
    <row r="391">
      <c r="A391" s="4" t="s">
        <v>578</v>
      </c>
      <c r="B391" s="14">
        <v>1000.0</v>
      </c>
      <c r="C391" s="3" t="s">
        <v>3</v>
      </c>
    </row>
    <row r="392">
      <c r="A392" s="4" t="s">
        <v>2532</v>
      </c>
      <c r="B392" s="14">
        <v>152533.0</v>
      </c>
      <c r="C392" s="3" t="s">
        <v>2370</v>
      </c>
    </row>
    <row r="393">
      <c r="A393" s="4" t="s">
        <v>2533</v>
      </c>
      <c r="B393" s="14">
        <v>800.0</v>
      </c>
      <c r="C393" s="3" t="s">
        <v>2377</v>
      </c>
    </row>
    <row r="394">
      <c r="A394" s="4" t="s">
        <v>2534</v>
      </c>
      <c r="B394" s="14">
        <v>0.0</v>
      </c>
      <c r="C394" s="3" t="s">
        <v>3</v>
      </c>
    </row>
    <row r="395">
      <c r="A395" s="4" t="s">
        <v>586</v>
      </c>
      <c r="B395" s="14">
        <v>4000.0</v>
      </c>
      <c r="C395" s="3" t="s">
        <v>6</v>
      </c>
    </row>
    <row r="396">
      <c r="A396" s="4" t="s">
        <v>588</v>
      </c>
      <c r="B396" s="14">
        <v>0.0</v>
      </c>
      <c r="C396" s="3" t="s">
        <v>3</v>
      </c>
    </row>
    <row r="397">
      <c r="A397" s="4" t="s">
        <v>589</v>
      </c>
      <c r="B397" s="14">
        <v>42900.0</v>
      </c>
      <c r="C397" s="4"/>
    </row>
    <row r="398">
      <c r="A398" s="4" t="s">
        <v>591</v>
      </c>
      <c r="B398" s="14">
        <v>0.0</v>
      </c>
      <c r="C398" s="3" t="s">
        <v>3</v>
      </c>
    </row>
    <row r="399">
      <c r="A399" s="4" t="s">
        <v>592</v>
      </c>
      <c r="B399" s="14">
        <v>0.0</v>
      </c>
      <c r="C399" s="3" t="s">
        <v>3</v>
      </c>
    </row>
    <row r="400">
      <c r="A400" s="4" t="s">
        <v>594</v>
      </c>
      <c r="B400" s="14">
        <v>0.0</v>
      </c>
      <c r="C400" s="3" t="s">
        <v>6</v>
      </c>
    </row>
    <row r="401">
      <c r="A401" s="4" t="s">
        <v>2535</v>
      </c>
      <c r="B401" s="14">
        <v>3000.0</v>
      </c>
      <c r="C401" s="4"/>
    </row>
    <row r="402">
      <c r="A402" s="4" t="s">
        <v>2536</v>
      </c>
      <c r="B402" s="14">
        <v>0.0</v>
      </c>
      <c r="C402" s="3" t="s">
        <v>3</v>
      </c>
    </row>
    <row r="403">
      <c r="A403" s="4" t="s">
        <v>599</v>
      </c>
      <c r="B403" s="14">
        <v>347000.0</v>
      </c>
      <c r="C403" s="4"/>
    </row>
    <row r="404">
      <c r="A404" s="4" t="s">
        <v>2537</v>
      </c>
      <c r="B404" s="14">
        <v>0.0</v>
      </c>
      <c r="C404" s="3" t="s">
        <v>29</v>
      </c>
    </row>
    <row r="405">
      <c r="A405" s="4" t="s">
        <v>2189</v>
      </c>
      <c r="B405" s="14">
        <v>1074006.0</v>
      </c>
      <c r="C405" s="3" t="s">
        <v>2370</v>
      </c>
    </row>
    <row r="406">
      <c r="A406" s="4" t="s">
        <v>2538</v>
      </c>
      <c r="B406" s="14">
        <v>3000.0</v>
      </c>
      <c r="C406" s="4"/>
    </row>
    <row r="407">
      <c r="A407" s="4" t="s">
        <v>605</v>
      </c>
      <c r="B407" s="14">
        <v>5000.0</v>
      </c>
      <c r="C407" s="3" t="s">
        <v>29</v>
      </c>
    </row>
    <row r="408">
      <c r="A408" s="4" t="s">
        <v>606</v>
      </c>
      <c r="B408" s="14">
        <v>3000.0</v>
      </c>
      <c r="C408" s="3" t="s">
        <v>2508</v>
      </c>
    </row>
    <row r="409">
      <c r="A409" s="4" t="s">
        <v>607</v>
      </c>
      <c r="B409" s="14">
        <v>49012.08</v>
      </c>
      <c r="C409" s="3" t="s">
        <v>2377</v>
      </c>
    </row>
    <row r="410">
      <c r="A410" s="4" t="s">
        <v>609</v>
      </c>
      <c r="B410" s="14">
        <v>750.0</v>
      </c>
      <c r="C410" s="3" t="s">
        <v>29</v>
      </c>
    </row>
    <row r="411">
      <c r="A411" s="4" t="s">
        <v>2539</v>
      </c>
      <c r="B411" s="14">
        <v>0.0</v>
      </c>
      <c r="C411" s="3" t="s">
        <v>3</v>
      </c>
    </row>
    <row r="412">
      <c r="A412" s="4" t="s">
        <v>611</v>
      </c>
      <c r="B412" s="14">
        <v>2500.0</v>
      </c>
      <c r="C412" s="3" t="s">
        <v>3</v>
      </c>
    </row>
    <row r="413">
      <c r="A413" s="4" t="s">
        <v>2540</v>
      </c>
      <c r="B413" s="14">
        <v>0.0</v>
      </c>
      <c r="C413" s="3" t="s">
        <v>3</v>
      </c>
    </row>
    <row r="414">
      <c r="A414" s="4" t="s">
        <v>613</v>
      </c>
      <c r="B414" s="14">
        <v>7500.0</v>
      </c>
      <c r="C414" s="3" t="s">
        <v>3</v>
      </c>
    </row>
    <row r="415">
      <c r="A415" s="4" t="s">
        <v>2541</v>
      </c>
      <c r="B415" s="14">
        <v>0.0</v>
      </c>
      <c r="C415" s="3" t="s">
        <v>6</v>
      </c>
    </row>
    <row r="416">
      <c r="A416" s="4" t="s">
        <v>2542</v>
      </c>
      <c r="B416" s="14">
        <v>0.0</v>
      </c>
      <c r="C416" s="3" t="s">
        <v>29</v>
      </c>
    </row>
    <row r="417">
      <c r="A417" s="4" t="s">
        <v>615</v>
      </c>
      <c r="B417" s="14">
        <v>0.0</v>
      </c>
      <c r="C417" s="3" t="s">
        <v>3</v>
      </c>
    </row>
    <row r="418">
      <c r="A418" s="4" t="s">
        <v>2543</v>
      </c>
      <c r="B418" s="14">
        <v>0.0</v>
      </c>
      <c r="C418" s="3" t="s">
        <v>3</v>
      </c>
    </row>
    <row r="419">
      <c r="A419" s="4" t="s">
        <v>616</v>
      </c>
      <c r="B419" s="14">
        <v>0.0</v>
      </c>
      <c r="C419" s="3" t="s">
        <v>3</v>
      </c>
    </row>
    <row r="420">
      <c r="A420" s="4" t="s">
        <v>618</v>
      </c>
      <c r="B420" s="14">
        <v>0.0</v>
      </c>
      <c r="C420" s="3" t="s">
        <v>3</v>
      </c>
    </row>
    <row r="421">
      <c r="A421" s="4" t="s">
        <v>2544</v>
      </c>
      <c r="B421" s="14">
        <v>0.0</v>
      </c>
      <c r="C421" s="3" t="s">
        <v>6</v>
      </c>
    </row>
    <row r="422">
      <c r="A422" s="4" t="s">
        <v>621</v>
      </c>
      <c r="B422" s="14">
        <v>2071.77</v>
      </c>
      <c r="C422" s="3" t="s">
        <v>2377</v>
      </c>
    </row>
    <row r="423">
      <c r="A423" s="4" t="s">
        <v>2545</v>
      </c>
      <c r="B423" s="14">
        <v>0.0</v>
      </c>
      <c r="C423" s="3" t="s">
        <v>2377</v>
      </c>
    </row>
    <row r="424">
      <c r="A424" s="4" t="s">
        <v>2546</v>
      </c>
      <c r="B424" s="14">
        <v>0.0</v>
      </c>
      <c r="C424" s="3" t="s">
        <v>6</v>
      </c>
    </row>
    <row r="425">
      <c r="A425" s="4" t="s">
        <v>2547</v>
      </c>
      <c r="B425" s="14">
        <v>500.0</v>
      </c>
      <c r="C425" s="4"/>
    </row>
    <row r="426">
      <c r="A426" s="4" t="s">
        <v>2190</v>
      </c>
      <c r="B426" s="14">
        <v>13000.0</v>
      </c>
      <c r="C426" s="3" t="s">
        <v>2370</v>
      </c>
    </row>
    <row r="427">
      <c r="A427" s="4" t="s">
        <v>627</v>
      </c>
      <c r="B427" s="14">
        <v>0.0</v>
      </c>
      <c r="C427" s="3" t="s">
        <v>6</v>
      </c>
    </row>
    <row r="428">
      <c r="A428" s="4" t="s">
        <v>628</v>
      </c>
      <c r="B428" s="14">
        <v>38117.0</v>
      </c>
      <c r="C428" s="3" t="s">
        <v>29</v>
      </c>
    </row>
    <row r="429">
      <c r="A429" s="4" t="s">
        <v>2548</v>
      </c>
      <c r="B429" s="14">
        <v>0.0</v>
      </c>
      <c r="C429" s="3" t="s">
        <v>6</v>
      </c>
    </row>
    <row r="430">
      <c r="A430" s="4" t="s">
        <v>631</v>
      </c>
      <c r="B430" s="14">
        <v>1000.0</v>
      </c>
      <c r="C430" s="4"/>
    </row>
    <row r="431">
      <c r="A431" s="4" t="s">
        <v>2549</v>
      </c>
      <c r="B431" s="14">
        <v>0.0</v>
      </c>
      <c r="C431" s="3" t="s">
        <v>3</v>
      </c>
    </row>
    <row r="432">
      <c r="A432" s="4" t="s">
        <v>633</v>
      </c>
      <c r="B432" s="14">
        <v>2000.0</v>
      </c>
      <c r="C432" s="3" t="s">
        <v>3</v>
      </c>
    </row>
    <row r="433">
      <c r="A433" s="4" t="s">
        <v>635</v>
      </c>
      <c r="B433" s="14">
        <v>0.0</v>
      </c>
      <c r="C433" s="3" t="s">
        <v>2377</v>
      </c>
    </row>
    <row r="434">
      <c r="A434" s="4" t="s">
        <v>637</v>
      </c>
      <c r="B434" s="14">
        <v>500.0</v>
      </c>
      <c r="C434" s="3" t="s">
        <v>2368</v>
      </c>
    </row>
    <row r="435">
      <c r="A435" s="4" t="s">
        <v>2550</v>
      </c>
      <c r="B435" s="14">
        <v>0.0</v>
      </c>
      <c r="C435" s="3" t="s">
        <v>3</v>
      </c>
    </row>
    <row r="436">
      <c r="A436" s="4" t="s">
        <v>2551</v>
      </c>
      <c r="B436" s="14">
        <v>0.0</v>
      </c>
      <c r="C436" s="3" t="s">
        <v>3</v>
      </c>
    </row>
    <row r="437">
      <c r="A437" s="4" t="s">
        <v>639</v>
      </c>
      <c r="B437" s="14">
        <v>21600.0</v>
      </c>
      <c r="C437" s="3" t="s">
        <v>3</v>
      </c>
    </row>
    <row r="438">
      <c r="A438" s="4" t="s">
        <v>2192</v>
      </c>
      <c r="B438" s="14">
        <v>209595.0</v>
      </c>
      <c r="C438" s="3" t="s">
        <v>2370</v>
      </c>
    </row>
    <row r="439">
      <c r="A439" s="4" t="s">
        <v>2552</v>
      </c>
      <c r="B439" s="14">
        <v>0.0</v>
      </c>
      <c r="C439" s="3" t="s">
        <v>6</v>
      </c>
    </row>
    <row r="440">
      <c r="A440" s="4" t="s">
        <v>643</v>
      </c>
      <c r="B440" s="14">
        <v>4300.0</v>
      </c>
      <c r="C440" s="3" t="s">
        <v>29</v>
      </c>
    </row>
    <row r="441">
      <c r="A441" s="4" t="s">
        <v>2553</v>
      </c>
      <c r="B441" s="14">
        <v>32000.0</v>
      </c>
      <c r="C441" s="3" t="s">
        <v>3</v>
      </c>
    </row>
    <row r="442">
      <c r="A442" s="4" t="s">
        <v>646</v>
      </c>
      <c r="B442" s="14">
        <v>68775.0</v>
      </c>
      <c r="C442" s="4"/>
    </row>
    <row r="443">
      <c r="A443" s="4" t="s">
        <v>2554</v>
      </c>
      <c r="B443" s="14">
        <v>2500.0</v>
      </c>
      <c r="C443" s="3" t="s">
        <v>3</v>
      </c>
    </row>
    <row r="444">
      <c r="A444" s="4" t="s">
        <v>648</v>
      </c>
      <c r="B444" s="14">
        <v>300000.0</v>
      </c>
      <c r="C444" s="3" t="s">
        <v>16</v>
      </c>
    </row>
    <row r="445">
      <c r="A445" s="4" t="s">
        <v>2555</v>
      </c>
      <c r="B445" s="14">
        <v>0.0</v>
      </c>
      <c r="C445" s="3" t="s">
        <v>3</v>
      </c>
    </row>
    <row r="446">
      <c r="A446" s="4" t="s">
        <v>650</v>
      </c>
      <c r="B446" s="14">
        <v>1000.0</v>
      </c>
      <c r="C446" s="4"/>
    </row>
    <row r="447">
      <c r="A447" s="4" t="s">
        <v>651</v>
      </c>
      <c r="B447" s="14">
        <v>0.0</v>
      </c>
      <c r="C447" s="3" t="s">
        <v>3</v>
      </c>
    </row>
    <row r="448">
      <c r="A448" s="4" t="s">
        <v>652</v>
      </c>
      <c r="B448" s="14">
        <v>2700.0</v>
      </c>
      <c r="C448" s="3" t="s">
        <v>29</v>
      </c>
    </row>
    <row r="449">
      <c r="A449" s="4" t="s">
        <v>654</v>
      </c>
      <c r="B449" s="14">
        <v>0.0</v>
      </c>
      <c r="C449" s="3" t="s">
        <v>29</v>
      </c>
    </row>
    <row r="450">
      <c r="A450" s="4" t="s">
        <v>655</v>
      </c>
      <c r="B450" s="14">
        <v>84000.0</v>
      </c>
      <c r="C450" s="3" t="s">
        <v>2508</v>
      </c>
    </row>
    <row r="451">
      <c r="A451" s="4" t="s">
        <v>2193</v>
      </c>
      <c r="B451" s="14">
        <v>0.0</v>
      </c>
      <c r="C451" s="3" t="s">
        <v>6</v>
      </c>
    </row>
    <row r="452">
      <c r="A452" s="4" t="s">
        <v>659</v>
      </c>
      <c r="B452" s="14">
        <v>15000.0</v>
      </c>
      <c r="C452" s="3" t="s">
        <v>216</v>
      </c>
    </row>
    <row r="453">
      <c r="A453" s="4" t="s">
        <v>661</v>
      </c>
      <c r="B453" s="14">
        <v>0.0</v>
      </c>
      <c r="C453" s="3" t="s">
        <v>29</v>
      </c>
    </row>
    <row r="454">
      <c r="A454" s="4" t="s">
        <v>2556</v>
      </c>
      <c r="B454" s="14">
        <v>0.0</v>
      </c>
      <c r="C454" s="3" t="s">
        <v>3</v>
      </c>
    </row>
    <row r="455">
      <c r="A455" s="4" t="s">
        <v>2557</v>
      </c>
      <c r="B455" s="14">
        <v>15000.0</v>
      </c>
      <c r="C455" s="3" t="s">
        <v>2447</v>
      </c>
    </row>
    <row r="456">
      <c r="A456" s="4" t="s">
        <v>666</v>
      </c>
      <c r="B456" s="14">
        <v>18000.0</v>
      </c>
      <c r="C456" s="4"/>
    </row>
    <row r="457">
      <c r="A457" s="4" t="s">
        <v>667</v>
      </c>
      <c r="B457" s="14">
        <v>2000.0</v>
      </c>
      <c r="C457" s="4"/>
    </row>
    <row r="458">
      <c r="A458" s="4" t="s">
        <v>669</v>
      </c>
      <c r="B458" s="14">
        <v>25000.0</v>
      </c>
      <c r="C458" s="3" t="s">
        <v>3</v>
      </c>
    </row>
    <row r="459">
      <c r="A459" s="4" t="s">
        <v>2558</v>
      </c>
      <c r="B459" s="14">
        <v>0.0</v>
      </c>
      <c r="C459" s="3" t="s">
        <v>3</v>
      </c>
    </row>
    <row r="460">
      <c r="A460" s="4" t="s">
        <v>672</v>
      </c>
      <c r="B460" s="14">
        <v>0.0</v>
      </c>
      <c r="C460" s="3" t="s">
        <v>2377</v>
      </c>
    </row>
    <row r="461">
      <c r="A461" s="4" t="s">
        <v>2559</v>
      </c>
      <c r="B461" s="14">
        <v>8300.0</v>
      </c>
      <c r="C461" s="3" t="s">
        <v>2377</v>
      </c>
    </row>
    <row r="462">
      <c r="A462" s="4" t="s">
        <v>675</v>
      </c>
      <c r="B462" s="14">
        <v>2000.0</v>
      </c>
      <c r="C462" s="3" t="s">
        <v>2508</v>
      </c>
    </row>
    <row r="463">
      <c r="A463" s="4" t="s">
        <v>2560</v>
      </c>
      <c r="B463" s="14">
        <v>0.0</v>
      </c>
      <c r="C463" s="3" t="s">
        <v>6</v>
      </c>
    </row>
    <row r="464">
      <c r="A464" s="4" t="s">
        <v>677</v>
      </c>
      <c r="B464" s="14">
        <v>0.0</v>
      </c>
      <c r="C464" s="3" t="s">
        <v>3</v>
      </c>
    </row>
    <row r="465">
      <c r="A465" s="4" t="s">
        <v>678</v>
      </c>
      <c r="B465" s="14">
        <v>0.0</v>
      </c>
      <c r="C465" s="3" t="s">
        <v>2377</v>
      </c>
    </row>
    <row r="466">
      <c r="A466" s="4" t="s">
        <v>679</v>
      </c>
      <c r="B466" s="14">
        <v>280000.0</v>
      </c>
      <c r="C466" s="4"/>
    </row>
    <row r="467">
      <c r="A467" s="4" t="s">
        <v>681</v>
      </c>
      <c r="B467" s="14">
        <v>8000.0</v>
      </c>
      <c r="C467" s="3" t="s">
        <v>29</v>
      </c>
    </row>
    <row r="468">
      <c r="A468" s="4" t="s">
        <v>682</v>
      </c>
      <c r="B468" s="14">
        <v>1200.0</v>
      </c>
      <c r="C468" s="4"/>
    </row>
    <row r="469">
      <c r="A469" s="4" t="s">
        <v>683</v>
      </c>
      <c r="B469" s="14">
        <v>4000.0</v>
      </c>
      <c r="C469" s="3" t="s">
        <v>2508</v>
      </c>
    </row>
    <row r="470">
      <c r="A470" s="4" t="s">
        <v>2561</v>
      </c>
      <c r="B470" s="14">
        <v>0.0</v>
      </c>
      <c r="C470" s="3" t="s">
        <v>3</v>
      </c>
    </row>
    <row r="471">
      <c r="A471" s="4" t="s">
        <v>687</v>
      </c>
      <c r="B471" s="14">
        <v>16250.0</v>
      </c>
      <c r="C471" s="3" t="s">
        <v>6</v>
      </c>
    </row>
    <row r="472">
      <c r="A472" s="4" t="s">
        <v>2562</v>
      </c>
      <c r="B472" s="14">
        <v>0.0</v>
      </c>
      <c r="C472" s="3" t="s">
        <v>29</v>
      </c>
    </row>
    <row r="473">
      <c r="A473" s="4" t="s">
        <v>688</v>
      </c>
      <c r="B473" s="14">
        <v>0.0</v>
      </c>
      <c r="C473" s="3" t="s">
        <v>6</v>
      </c>
    </row>
    <row r="474">
      <c r="A474" s="4" t="s">
        <v>689</v>
      </c>
      <c r="B474" s="14">
        <v>1000.0</v>
      </c>
      <c r="C474" s="3" t="s">
        <v>2377</v>
      </c>
    </row>
    <row r="475">
      <c r="A475" s="4" t="s">
        <v>690</v>
      </c>
      <c r="B475" s="14">
        <v>0.0</v>
      </c>
      <c r="C475" s="3" t="s">
        <v>29</v>
      </c>
    </row>
    <row r="476">
      <c r="A476" s="4" t="s">
        <v>2563</v>
      </c>
      <c r="B476" s="14">
        <v>0.0</v>
      </c>
      <c r="C476" s="3" t="s">
        <v>3</v>
      </c>
    </row>
    <row r="477">
      <c r="A477" s="4" t="s">
        <v>2564</v>
      </c>
      <c r="B477" s="14">
        <v>0.0</v>
      </c>
      <c r="C477" s="3" t="s">
        <v>6</v>
      </c>
    </row>
    <row r="478">
      <c r="A478" s="4" t="s">
        <v>2565</v>
      </c>
      <c r="B478" s="14">
        <v>0.0</v>
      </c>
      <c r="C478" s="3" t="s">
        <v>3</v>
      </c>
    </row>
    <row r="479">
      <c r="A479" s="4" t="s">
        <v>695</v>
      </c>
      <c r="B479" s="14">
        <v>0.0</v>
      </c>
      <c r="C479" s="3" t="s">
        <v>3</v>
      </c>
    </row>
    <row r="480">
      <c r="A480" s="4" t="s">
        <v>696</v>
      </c>
      <c r="B480" s="14">
        <v>0.0</v>
      </c>
      <c r="C480" s="3" t="s">
        <v>3</v>
      </c>
    </row>
    <row r="481">
      <c r="A481" s="4" t="s">
        <v>2566</v>
      </c>
      <c r="B481" s="14">
        <v>115000.0</v>
      </c>
      <c r="C481" s="3" t="s">
        <v>6</v>
      </c>
    </row>
    <row r="482">
      <c r="A482" s="4" t="s">
        <v>699</v>
      </c>
      <c r="B482" s="14">
        <v>0.0</v>
      </c>
      <c r="C482" s="3" t="s">
        <v>3</v>
      </c>
    </row>
    <row r="483">
      <c r="A483" s="4" t="s">
        <v>700</v>
      </c>
      <c r="B483" s="14">
        <v>2415.0</v>
      </c>
      <c r="C483" s="3" t="s">
        <v>6</v>
      </c>
    </row>
    <row r="484">
      <c r="A484" s="4" t="s">
        <v>2567</v>
      </c>
      <c r="B484" s="14">
        <v>0.0</v>
      </c>
      <c r="C484" s="3" t="s">
        <v>3</v>
      </c>
    </row>
    <row r="485">
      <c r="A485" s="4" t="s">
        <v>705</v>
      </c>
      <c r="B485" s="14">
        <v>1104.1</v>
      </c>
      <c r="C485" s="3" t="s">
        <v>6</v>
      </c>
    </row>
    <row r="486">
      <c r="A486" s="4" t="s">
        <v>2568</v>
      </c>
      <c r="B486" s="14">
        <v>0.0</v>
      </c>
      <c r="C486" s="3" t="s">
        <v>6</v>
      </c>
    </row>
    <row r="487">
      <c r="A487" s="4" t="s">
        <v>709</v>
      </c>
      <c r="B487" s="14">
        <v>0.0</v>
      </c>
      <c r="C487" s="3" t="s">
        <v>29</v>
      </c>
    </row>
    <row r="488">
      <c r="A488" s="4" t="s">
        <v>2569</v>
      </c>
      <c r="B488" s="14">
        <v>56264.0</v>
      </c>
      <c r="C488" s="3" t="s">
        <v>216</v>
      </c>
    </row>
    <row r="489">
      <c r="A489" s="4" t="s">
        <v>714</v>
      </c>
      <c r="B489" s="14">
        <v>0.0</v>
      </c>
      <c r="C489" s="3" t="s">
        <v>6</v>
      </c>
    </row>
    <row r="490">
      <c r="A490" s="4" t="s">
        <v>2570</v>
      </c>
      <c r="B490" s="14">
        <v>0.0</v>
      </c>
      <c r="C490" s="3" t="s">
        <v>6</v>
      </c>
    </row>
    <row r="491">
      <c r="A491" s="4" t="s">
        <v>716</v>
      </c>
      <c r="B491" s="14">
        <v>7000.0</v>
      </c>
      <c r="C491" s="3" t="s">
        <v>2377</v>
      </c>
    </row>
    <row r="492">
      <c r="A492" s="4" t="s">
        <v>2571</v>
      </c>
      <c r="B492" s="14">
        <v>0.0</v>
      </c>
      <c r="C492" s="3" t="s">
        <v>3</v>
      </c>
    </row>
    <row r="493">
      <c r="A493" s="4" t="s">
        <v>717</v>
      </c>
      <c r="B493" s="14">
        <v>4000.0</v>
      </c>
      <c r="C493" s="3" t="s">
        <v>3</v>
      </c>
    </row>
    <row r="494">
      <c r="A494" s="4" t="s">
        <v>719</v>
      </c>
      <c r="B494" s="14">
        <v>0.0</v>
      </c>
      <c r="C494" s="3" t="s">
        <v>29</v>
      </c>
    </row>
    <row r="495">
      <c r="A495" s="4" t="s">
        <v>720</v>
      </c>
      <c r="B495" s="14">
        <v>5400.0</v>
      </c>
      <c r="C495" s="4"/>
    </row>
    <row r="496">
      <c r="A496" s="4" t="s">
        <v>722</v>
      </c>
      <c r="B496" s="14">
        <v>9000.0</v>
      </c>
      <c r="C496" s="4"/>
    </row>
    <row r="497">
      <c r="A497" s="4" t="s">
        <v>725</v>
      </c>
      <c r="B497" s="14">
        <v>30000.0</v>
      </c>
      <c r="C497" s="3" t="s">
        <v>6</v>
      </c>
    </row>
    <row r="498">
      <c r="A498" s="4" t="s">
        <v>2197</v>
      </c>
      <c r="B498" s="14">
        <v>19000.0</v>
      </c>
      <c r="C498" s="3" t="s">
        <v>3</v>
      </c>
    </row>
    <row r="499">
      <c r="A499" s="4" t="s">
        <v>2572</v>
      </c>
      <c r="B499" s="14">
        <v>0.0</v>
      </c>
      <c r="C499" s="3" t="s">
        <v>3</v>
      </c>
    </row>
    <row r="500">
      <c r="A500" s="4" t="s">
        <v>729</v>
      </c>
      <c r="B500" s="14">
        <v>40000.0</v>
      </c>
      <c r="C500" s="3" t="s">
        <v>2377</v>
      </c>
    </row>
    <row r="501">
      <c r="A501" s="4" t="s">
        <v>731</v>
      </c>
      <c r="B501" s="14">
        <v>0.0</v>
      </c>
      <c r="C501" s="3" t="s">
        <v>3</v>
      </c>
    </row>
    <row r="502">
      <c r="A502" s="4" t="s">
        <v>2573</v>
      </c>
      <c r="B502" s="14">
        <v>7000.0</v>
      </c>
      <c r="C502" s="3" t="s">
        <v>6</v>
      </c>
    </row>
    <row r="503">
      <c r="A503" s="4" t="s">
        <v>2574</v>
      </c>
      <c r="B503" s="14">
        <v>0.0</v>
      </c>
      <c r="C503" s="3" t="s">
        <v>3</v>
      </c>
    </row>
    <row r="504">
      <c r="A504" s="4" t="s">
        <v>2575</v>
      </c>
      <c r="B504" s="14">
        <v>10000.0</v>
      </c>
      <c r="C504" s="3" t="s">
        <v>3</v>
      </c>
    </row>
    <row r="505">
      <c r="A505" s="4" t="s">
        <v>2202</v>
      </c>
      <c r="B505" s="14">
        <v>0.0</v>
      </c>
      <c r="C505" s="3" t="s">
        <v>3</v>
      </c>
    </row>
    <row r="506">
      <c r="A506" s="4" t="s">
        <v>2576</v>
      </c>
      <c r="B506" s="14">
        <v>9000.0</v>
      </c>
      <c r="C506" s="3" t="s">
        <v>3</v>
      </c>
    </row>
    <row r="507">
      <c r="A507" s="4" t="s">
        <v>747</v>
      </c>
      <c r="B507" s="14">
        <v>0.0</v>
      </c>
      <c r="C507" s="3" t="s">
        <v>3</v>
      </c>
    </row>
    <row r="508">
      <c r="A508" s="4" t="s">
        <v>748</v>
      </c>
      <c r="B508" s="14">
        <v>1000.0</v>
      </c>
      <c r="C508" s="3" t="s">
        <v>3</v>
      </c>
    </row>
    <row r="509">
      <c r="A509" s="4" t="s">
        <v>749</v>
      </c>
      <c r="B509" s="14">
        <v>0.0</v>
      </c>
      <c r="C509" s="3" t="s">
        <v>6</v>
      </c>
    </row>
    <row r="510">
      <c r="A510" s="4" t="s">
        <v>750</v>
      </c>
      <c r="B510" s="14">
        <v>800.0</v>
      </c>
      <c r="C510" s="4"/>
    </row>
    <row r="511">
      <c r="A511" s="4" t="s">
        <v>751</v>
      </c>
      <c r="B511" s="14">
        <v>0.0</v>
      </c>
      <c r="C511" s="3" t="s">
        <v>3</v>
      </c>
    </row>
    <row r="512">
      <c r="A512" s="4" t="s">
        <v>2577</v>
      </c>
      <c r="B512" s="14">
        <v>0.0</v>
      </c>
      <c r="C512" s="3" t="s">
        <v>3</v>
      </c>
    </row>
    <row r="513">
      <c r="A513" s="4" t="s">
        <v>755</v>
      </c>
      <c r="B513" s="14">
        <v>8000.0</v>
      </c>
      <c r="C513" s="3" t="s">
        <v>6</v>
      </c>
    </row>
    <row r="514">
      <c r="A514" s="4" t="s">
        <v>756</v>
      </c>
      <c r="B514" s="14">
        <v>20000.0</v>
      </c>
      <c r="C514" s="4"/>
    </row>
    <row r="515">
      <c r="A515" s="4" t="s">
        <v>757</v>
      </c>
      <c r="B515" s="14">
        <v>11358.0</v>
      </c>
      <c r="C515" s="4"/>
    </row>
    <row r="516">
      <c r="A516" s="4" t="s">
        <v>2204</v>
      </c>
      <c r="B516" s="14">
        <v>460887.0</v>
      </c>
      <c r="C516" s="3" t="s">
        <v>2370</v>
      </c>
    </row>
    <row r="517">
      <c r="A517" s="4" t="s">
        <v>761</v>
      </c>
      <c r="B517" s="14">
        <v>2500.0</v>
      </c>
      <c r="C517" s="4"/>
    </row>
    <row r="518">
      <c r="A518" s="4" t="s">
        <v>2578</v>
      </c>
      <c r="B518" s="14">
        <v>0.0</v>
      </c>
      <c r="C518" s="3" t="s">
        <v>3</v>
      </c>
    </row>
    <row r="519">
      <c r="A519" s="4" t="s">
        <v>2579</v>
      </c>
      <c r="B519" s="14">
        <v>0.0</v>
      </c>
      <c r="C519" s="3" t="s">
        <v>3</v>
      </c>
    </row>
    <row r="520">
      <c r="A520" s="4" t="s">
        <v>764</v>
      </c>
      <c r="B520" s="14">
        <v>150.0</v>
      </c>
      <c r="C520" s="3" t="s">
        <v>3</v>
      </c>
    </row>
    <row r="521">
      <c r="A521" s="4" t="s">
        <v>766</v>
      </c>
      <c r="B521" s="14">
        <v>0.0</v>
      </c>
      <c r="C521" s="3" t="s">
        <v>3</v>
      </c>
    </row>
    <row r="522">
      <c r="A522" s="4" t="s">
        <v>2580</v>
      </c>
      <c r="B522" s="14">
        <v>0.0</v>
      </c>
      <c r="C522" s="3" t="s">
        <v>3</v>
      </c>
    </row>
    <row r="523">
      <c r="A523" s="4" t="s">
        <v>769</v>
      </c>
      <c r="B523" s="14">
        <v>0.0</v>
      </c>
      <c r="C523" s="3" t="s">
        <v>3</v>
      </c>
    </row>
    <row r="524">
      <c r="A524" s="4" t="s">
        <v>770</v>
      </c>
      <c r="B524" s="14">
        <v>0.0</v>
      </c>
      <c r="C524" s="3" t="s">
        <v>3</v>
      </c>
    </row>
    <row r="525">
      <c r="A525" s="4" t="s">
        <v>771</v>
      </c>
      <c r="B525" s="14">
        <v>0.0</v>
      </c>
      <c r="C525" s="3" t="s">
        <v>3</v>
      </c>
    </row>
    <row r="526">
      <c r="A526" s="4" t="s">
        <v>772</v>
      </c>
      <c r="B526" s="14">
        <v>0.0</v>
      </c>
      <c r="C526" s="3" t="s">
        <v>3</v>
      </c>
    </row>
    <row r="527">
      <c r="A527" s="4" t="s">
        <v>774</v>
      </c>
      <c r="B527" s="14">
        <v>57000.0</v>
      </c>
      <c r="C527" s="3" t="s">
        <v>176</v>
      </c>
    </row>
    <row r="528">
      <c r="A528" s="4" t="s">
        <v>2059</v>
      </c>
      <c r="B528" s="14">
        <v>11033.13</v>
      </c>
      <c r="C528" s="4"/>
    </row>
    <row r="529">
      <c r="A529" s="4" t="s">
        <v>2581</v>
      </c>
      <c r="B529" s="14">
        <v>0.0</v>
      </c>
      <c r="C529" s="3" t="s">
        <v>3</v>
      </c>
    </row>
    <row r="530">
      <c r="A530" s="4" t="s">
        <v>778</v>
      </c>
      <c r="B530" s="14">
        <v>1000.0</v>
      </c>
      <c r="C530" s="3" t="s">
        <v>3</v>
      </c>
    </row>
    <row r="531">
      <c r="A531" s="4" t="s">
        <v>779</v>
      </c>
      <c r="B531" s="14">
        <v>800.0</v>
      </c>
      <c r="C531" s="4"/>
    </row>
    <row r="532">
      <c r="A532" s="4" t="s">
        <v>2582</v>
      </c>
      <c r="B532" s="14">
        <v>0.0</v>
      </c>
      <c r="C532" s="3" t="s">
        <v>3</v>
      </c>
    </row>
    <row r="533">
      <c r="A533" s="4" t="s">
        <v>782</v>
      </c>
      <c r="B533" s="14">
        <v>0.0</v>
      </c>
      <c r="C533" s="3" t="s">
        <v>3</v>
      </c>
    </row>
    <row r="534">
      <c r="A534" s="4" t="s">
        <v>783</v>
      </c>
      <c r="B534" s="14">
        <v>0.0</v>
      </c>
      <c r="C534" s="3" t="s">
        <v>29</v>
      </c>
    </row>
    <row r="535">
      <c r="A535" s="4" t="s">
        <v>2583</v>
      </c>
      <c r="B535" s="14">
        <v>0.0</v>
      </c>
      <c r="C535" s="3" t="s">
        <v>6</v>
      </c>
    </row>
    <row r="536">
      <c r="A536" s="4" t="s">
        <v>786</v>
      </c>
      <c r="B536" s="14">
        <v>25000.0</v>
      </c>
      <c r="C536" s="4"/>
    </row>
    <row r="537">
      <c r="A537" s="4" t="s">
        <v>788</v>
      </c>
      <c r="B537" s="14">
        <v>2000.0</v>
      </c>
      <c r="C537" s="3" t="s">
        <v>2377</v>
      </c>
    </row>
    <row r="538">
      <c r="A538" s="4" t="s">
        <v>2584</v>
      </c>
      <c r="B538" s="14">
        <v>2000.0</v>
      </c>
      <c r="C538" s="4"/>
    </row>
    <row r="539">
      <c r="A539" s="4" t="s">
        <v>2585</v>
      </c>
      <c r="B539" s="14">
        <v>0.0</v>
      </c>
      <c r="C539" s="3" t="s">
        <v>3</v>
      </c>
    </row>
    <row r="540">
      <c r="A540" s="4" t="s">
        <v>2586</v>
      </c>
      <c r="B540" s="14">
        <v>0.0</v>
      </c>
      <c r="C540" s="3" t="s">
        <v>3</v>
      </c>
    </row>
    <row r="541">
      <c r="A541" s="4" t="s">
        <v>790</v>
      </c>
      <c r="B541" s="14">
        <v>14000.0</v>
      </c>
      <c r="C541" s="4"/>
    </row>
    <row r="542">
      <c r="A542" s="4" t="s">
        <v>2587</v>
      </c>
      <c r="B542" s="14">
        <v>4000.0</v>
      </c>
      <c r="C542" s="4"/>
    </row>
    <row r="543">
      <c r="A543" s="4" t="s">
        <v>792</v>
      </c>
      <c r="B543" s="14">
        <v>0.0</v>
      </c>
      <c r="C543" s="3" t="s">
        <v>3</v>
      </c>
    </row>
    <row r="544">
      <c r="A544" s="4" t="s">
        <v>793</v>
      </c>
      <c r="B544" s="14">
        <v>6000.0</v>
      </c>
      <c r="C544" s="4"/>
    </row>
    <row r="545">
      <c r="A545" s="4" t="s">
        <v>795</v>
      </c>
      <c r="B545" s="14">
        <v>0.0</v>
      </c>
      <c r="C545" s="3" t="s">
        <v>3</v>
      </c>
    </row>
    <row r="546">
      <c r="A546" s="4" t="s">
        <v>2588</v>
      </c>
      <c r="B546" s="14">
        <v>0.0</v>
      </c>
      <c r="C546" s="3" t="s">
        <v>3</v>
      </c>
    </row>
    <row r="547">
      <c r="A547" s="4" t="s">
        <v>2589</v>
      </c>
      <c r="B547" s="14">
        <v>2000.0</v>
      </c>
      <c r="C547" s="3" t="s">
        <v>3</v>
      </c>
    </row>
    <row r="548">
      <c r="A548" s="4" t="s">
        <v>798</v>
      </c>
      <c r="B548" s="14">
        <v>0.0</v>
      </c>
      <c r="C548" s="3" t="s">
        <v>29</v>
      </c>
    </row>
    <row r="549">
      <c r="A549" s="4" t="s">
        <v>799</v>
      </c>
      <c r="B549" s="14">
        <v>0.0</v>
      </c>
      <c r="C549" s="3" t="s">
        <v>29</v>
      </c>
    </row>
    <row r="550">
      <c r="A550" s="4" t="s">
        <v>2206</v>
      </c>
      <c r="B550" s="14">
        <v>229827.0</v>
      </c>
      <c r="C550" s="3" t="s">
        <v>2370</v>
      </c>
    </row>
    <row r="551">
      <c r="A551" s="4" t="s">
        <v>802</v>
      </c>
      <c r="B551" s="14">
        <v>0.0</v>
      </c>
      <c r="C551" s="3" t="s">
        <v>3</v>
      </c>
    </row>
    <row r="552">
      <c r="A552" s="4" t="s">
        <v>803</v>
      </c>
      <c r="B552" s="14">
        <v>1000.0</v>
      </c>
      <c r="C552" s="3" t="s">
        <v>2377</v>
      </c>
    </row>
    <row r="553">
      <c r="A553" s="4" t="s">
        <v>2590</v>
      </c>
      <c r="B553" s="14">
        <v>0.0</v>
      </c>
      <c r="C553" s="3" t="s">
        <v>3</v>
      </c>
    </row>
    <row r="554">
      <c r="A554" s="4" t="s">
        <v>806</v>
      </c>
      <c r="B554" s="14">
        <v>1000.0</v>
      </c>
      <c r="C554" s="3" t="s">
        <v>6</v>
      </c>
    </row>
    <row r="555">
      <c r="A555" s="4" t="s">
        <v>807</v>
      </c>
      <c r="B555" s="14">
        <v>0.0</v>
      </c>
      <c r="C555" s="3" t="s">
        <v>29</v>
      </c>
    </row>
    <row r="556">
      <c r="A556" s="4" t="s">
        <v>809</v>
      </c>
      <c r="B556" s="14">
        <v>0.0</v>
      </c>
      <c r="C556" s="3" t="s">
        <v>29</v>
      </c>
    </row>
    <row r="557">
      <c r="A557" s="4" t="s">
        <v>810</v>
      </c>
      <c r="B557" s="14">
        <v>0.0</v>
      </c>
      <c r="C557" s="3" t="s">
        <v>3</v>
      </c>
    </row>
    <row r="558">
      <c r="A558" s="4" t="s">
        <v>2591</v>
      </c>
      <c r="B558" s="14">
        <v>15800.0</v>
      </c>
      <c r="C558" s="4"/>
    </row>
    <row r="559">
      <c r="A559" s="4" t="s">
        <v>2592</v>
      </c>
      <c r="B559" s="14">
        <v>0.0</v>
      </c>
      <c r="C559" s="3" t="s">
        <v>3</v>
      </c>
    </row>
    <row r="560">
      <c r="A560" s="4" t="s">
        <v>816</v>
      </c>
      <c r="B560" s="14">
        <v>0.0</v>
      </c>
      <c r="C560" s="3" t="s">
        <v>3</v>
      </c>
    </row>
    <row r="561">
      <c r="A561" s="4" t="s">
        <v>2593</v>
      </c>
      <c r="B561" s="14">
        <v>0.0</v>
      </c>
      <c r="C561" s="3" t="s">
        <v>3</v>
      </c>
    </row>
    <row r="562">
      <c r="A562" s="4" t="s">
        <v>2594</v>
      </c>
      <c r="B562" s="14">
        <v>0.0</v>
      </c>
      <c r="C562" s="3" t="s">
        <v>6</v>
      </c>
    </row>
    <row r="563">
      <c r="A563" s="4" t="s">
        <v>817</v>
      </c>
      <c r="B563" s="14">
        <v>1000.0</v>
      </c>
      <c r="C563" s="3" t="s">
        <v>3</v>
      </c>
    </row>
    <row r="564">
      <c r="A564" s="4" t="s">
        <v>2207</v>
      </c>
      <c r="B564" s="14">
        <v>627135.0</v>
      </c>
      <c r="C564" s="3" t="s">
        <v>2370</v>
      </c>
    </row>
    <row r="565">
      <c r="A565" s="4" t="s">
        <v>824</v>
      </c>
      <c r="B565" s="14">
        <v>5000.0</v>
      </c>
      <c r="C565" s="4"/>
    </row>
    <row r="566">
      <c r="A566" s="4" t="s">
        <v>2595</v>
      </c>
      <c r="B566" s="14">
        <v>0.0</v>
      </c>
      <c r="C566" s="3" t="s">
        <v>3</v>
      </c>
    </row>
    <row r="567">
      <c r="A567" s="4" t="s">
        <v>830</v>
      </c>
      <c r="B567" s="14">
        <v>0.0</v>
      </c>
      <c r="C567" s="3" t="s">
        <v>3</v>
      </c>
    </row>
    <row r="568">
      <c r="A568" s="4" t="s">
        <v>831</v>
      </c>
      <c r="B568" s="14">
        <v>0.0</v>
      </c>
      <c r="C568" s="3" t="s">
        <v>3</v>
      </c>
    </row>
    <row r="569">
      <c r="A569" s="4" t="s">
        <v>833</v>
      </c>
      <c r="B569" s="14">
        <v>0.0</v>
      </c>
      <c r="C569" s="3" t="s">
        <v>3</v>
      </c>
    </row>
    <row r="570">
      <c r="A570" s="4" t="s">
        <v>2596</v>
      </c>
      <c r="B570" s="14">
        <v>0.0</v>
      </c>
      <c r="C570" s="3" t="s">
        <v>3</v>
      </c>
    </row>
    <row r="571">
      <c r="A571" s="4" t="s">
        <v>2597</v>
      </c>
      <c r="B571" s="14">
        <v>0.0</v>
      </c>
      <c r="C571" s="3" t="s">
        <v>3</v>
      </c>
    </row>
    <row r="572">
      <c r="A572" s="4" t="s">
        <v>834</v>
      </c>
      <c r="B572" s="14">
        <v>28000.0</v>
      </c>
      <c r="C572" s="4"/>
    </row>
    <row r="573">
      <c r="A573" s="4" t="s">
        <v>2598</v>
      </c>
      <c r="B573" s="14">
        <v>0.0</v>
      </c>
      <c r="C573" s="3" t="s">
        <v>3</v>
      </c>
    </row>
    <row r="574">
      <c r="A574" s="4" t="s">
        <v>839</v>
      </c>
      <c r="B574" s="14">
        <v>0.0</v>
      </c>
      <c r="C574" s="3" t="s">
        <v>6</v>
      </c>
    </row>
    <row r="575">
      <c r="A575" s="4" t="s">
        <v>2212</v>
      </c>
      <c r="B575" s="14">
        <v>0.0</v>
      </c>
      <c r="C575" s="3" t="s">
        <v>3</v>
      </c>
    </row>
    <row r="576">
      <c r="A576" s="4" t="s">
        <v>2599</v>
      </c>
      <c r="B576" s="14">
        <v>2000.0</v>
      </c>
      <c r="C576" s="3" t="s">
        <v>3</v>
      </c>
    </row>
    <row r="577">
      <c r="A577" s="4" t="s">
        <v>2600</v>
      </c>
      <c r="B577" s="14">
        <v>0.0</v>
      </c>
      <c r="C577" s="3" t="s">
        <v>2377</v>
      </c>
    </row>
    <row r="578">
      <c r="A578" s="4" t="s">
        <v>2601</v>
      </c>
      <c r="B578" s="14">
        <v>2000.0</v>
      </c>
      <c r="C578" s="4"/>
    </row>
    <row r="579">
      <c r="A579" s="4" t="s">
        <v>2602</v>
      </c>
      <c r="B579" s="14">
        <v>0.0</v>
      </c>
      <c r="C579" s="3" t="s">
        <v>3</v>
      </c>
    </row>
    <row r="580">
      <c r="A580" s="4" t="s">
        <v>843</v>
      </c>
      <c r="B580" s="14">
        <v>3100.0</v>
      </c>
      <c r="C580" s="3" t="s">
        <v>2377</v>
      </c>
    </row>
    <row r="581">
      <c r="A581" s="4" t="s">
        <v>2603</v>
      </c>
      <c r="B581" s="14">
        <v>0.0</v>
      </c>
      <c r="C581" s="3" t="s">
        <v>3</v>
      </c>
    </row>
    <row r="582">
      <c r="A582" s="4" t="s">
        <v>845</v>
      </c>
      <c r="B582" s="14">
        <v>8000.0</v>
      </c>
      <c r="C582" s="3" t="s">
        <v>3</v>
      </c>
    </row>
    <row r="583">
      <c r="A583" s="4" t="s">
        <v>2604</v>
      </c>
      <c r="B583" s="14">
        <v>2500.0</v>
      </c>
      <c r="C583" s="4"/>
    </row>
    <row r="584">
      <c r="A584" s="4" t="s">
        <v>847</v>
      </c>
      <c r="B584" s="14">
        <v>1500.0</v>
      </c>
      <c r="C584" s="4"/>
    </row>
    <row r="585">
      <c r="A585" s="4" t="s">
        <v>849</v>
      </c>
      <c r="B585" s="14">
        <v>0.0</v>
      </c>
      <c r="C585" s="3" t="s">
        <v>3</v>
      </c>
    </row>
    <row r="586">
      <c r="A586" s="4" t="s">
        <v>2605</v>
      </c>
      <c r="B586" s="14">
        <v>800.0</v>
      </c>
      <c r="C586" s="3" t="s">
        <v>6</v>
      </c>
    </row>
    <row r="587">
      <c r="A587" s="4" t="s">
        <v>850</v>
      </c>
      <c r="B587" s="14">
        <v>0.0</v>
      </c>
      <c r="C587" s="3" t="s">
        <v>3</v>
      </c>
    </row>
    <row r="588">
      <c r="A588" s="4" t="s">
        <v>851</v>
      </c>
      <c r="B588" s="14">
        <v>1000.0</v>
      </c>
      <c r="C588" s="4"/>
    </row>
    <row r="589">
      <c r="A589" s="4" t="s">
        <v>2606</v>
      </c>
      <c r="B589" s="14">
        <v>0.0</v>
      </c>
      <c r="C589" s="3" t="s">
        <v>3</v>
      </c>
    </row>
    <row r="590">
      <c r="A590" s="4" t="s">
        <v>2607</v>
      </c>
      <c r="B590" s="14">
        <v>0.0</v>
      </c>
      <c r="C590" s="3" t="s">
        <v>6</v>
      </c>
    </row>
    <row r="591">
      <c r="A591" s="4" t="s">
        <v>854</v>
      </c>
      <c r="B591" s="14">
        <v>0.0</v>
      </c>
      <c r="C591" s="3" t="s">
        <v>3</v>
      </c>
    </row>
    <row r="592">
      <c r="A592" s="4" t="s">
        <v>2214</v>
      </c>
      <c r="B592" s="14">
        <v>3700.0</v>
      </c>
      <c r="C592" s="3" t="s">
        <v>2370</v>
      </c>
    </row>
    <row r="593">
      <c r="A593" s="4" t="s">
        <v>2216</v>
      </c>
      <c r="B593" s="14">
        <v>1000.0</v>
      </c>
      <c r="C593" s="4"/>
    </row>
    <row r="594">
      <c r="A594" s="4" t="s">
        <v>2608</v>
      </c>
      <c r="B594" s="14">
        <v>0.0</v>
      </c>
      <c r="C594" s="3" t="s">
        <v>3</v>
      </c>
    </row>
    <row r="595">
      <c r="A595" s="4" t="s">
        <v>2609</v>
      </c>
      <c r="B595" s="14">
        <v>0.0</v>
      </c>
      <c r="C595" s="3" t="s">
        <v>6</v>
      </c>
    </row>
    <row r="596">
      <c r="A596" s="4" t="s">
        <v>2610</v>
      </c>
      <c r="B596" s="14">
        <v>0.0</v>
      </c>
      <c r="C596" s="3" t="s">
        <v>29</v>
      </c>
    </row>
    <row r="597">
      <c r="A597" s="4" t="s">
        <v>869</v>
      </c>
      <c r="B597" s="14">
        <v>1600.0</v>
      </c>
      <c r="C597" s="4"/>
    </row>
    <row r="598">
      <c r="A598" s="4" t="s">
        <v>2220</v>
      </c>
      <c r="B598" s="14">
        <v>500.0</v>
      </c>
      <c r="C598" s="4"/>
    </row>
    <row r="599">
      <c r="A599" s="4" t="s">
        <v>873</v>
      </c>
      <c r="B599" s="14">
        <v>0.0</v>
      </c>
      <c r="C599" s="3" t="s">
        <v>2368</v>
      </c>
    </row>
    <row r="600">
      <c r="A600" s="4" t="s">
        <v>874</v>
      </c>
      <c r="B600" s="14">
        <v>0.0</v>
      </c>
      <c r="C600" s="3" t="s">
        <v>3</v>
      </c>
    </row>
    <row r="601">
      <c r="A601" s="4" t="s">
        <v>2611</v>
      </c>
      <c r="B601" s="14">
        <v>0.0</v>
      </c>
      <c r="C601" s="3" t="s">
        <v>2377</v>
      </c>
    </row>
    <row r="602">
      <c r="A602" s="4" t="s">
        <v>2612</v>
      </c>
      <c r="B602" s="14">
        <v>500.0</v>
      </c>
      <c r="C602" s="3" t="s">
        <v>3</v>
      </c>
    </row>
    <row r="603">
      <c r="A603" s="4" t="s">
        <v>2222</v>
      </c>
      <c r="B603" s="14">
        <v>0.0</v>
      </c>
      <c r="C603" s="3" t="s">
        <v>29</v>
      </c>
    </row>
    <row r="604">
      <c r="A604" s="4" t="s">
        <v>2613</v>
      </c>
      <c r="B604" s="14">
        <v>0.0</v>
      </c>
      <c r="C604" s="3" t="s">
        <v>2377</v>
      </c>
    </row>
    <row r="605">
      <c r="A605" s="4" t="s">
        <v>2614</v>
      </c>
      <c r="B605" s="14">
        <v>0.0</v>
      </c>
      <c r="C605" s="3" t="s">
        <v>3</v>
      </c>
    </row>
    <row r="606">
      <c r="A606" s="4" t="s">
        <v>882</v>
      </c>
      <c r="B606" s="14">
        <v>0.0</v>
      </c>
      <c r="C606" s="3" t="s">
        <v>6</v>
      </c>
    </row>
    <row r="607">
      <c r="A607" s="4" t="s">
        <v>2615</v>
      </c>
      <c r="B607" s="14">
        <v>0.0</v>
      </c>
      <c r="C607" s="3" t="s">
        <v>3</v>
      </c>
    </row>
    <row r="608">
      <c r="A608" s="4" t="s">
        <v>2224</v>
      </c>
      <c r="B608" s="14">
        <v>0.0</v>
      </c>
      <c r="C608" s="3" t="s">
        <v>29</v>
      </c>
    </row>
    <row r="609">
      <c r="A609" s="4" t="s">
        <v>2616</v>
      </c>
      <c r="B609" s="14">
        <v>750.0</v>
      </c>
      <c r="C609" s="4"/>
    </row>
    <row r="610">
      <c r="A610" s="4" t="s">
        <v>885</v>
      </c>
      <c r="B610" s="14">
        <v>0.0</v>
      </c>
      <c r="C610" s="3" t="s">
        <v>3</v>
      </c>
    </row>
    <row r="611">
      <c r="A611" s="4" t="s">
        <v>2617</v>
      </c>
      <c r="B611" s="14">
        <v>1650.0</v>
      </c>
      <c r="C611" s="4"/>
    </row>
    <row r="612">
      <c r="A612" s="4" t="s">
        <v>886</v>
      </c>
      <c r="B612" s="14">
        <v>0.0</v>
      </c>
      <c r="C612" s="3" t="s">
        <v>2377</v>
      </c>
    </row>
    <row r="613">
      <c r="A613" s="4" t="s">
        <v>2225</v>
      </c>
      <c r="B613" s="14">
        <v>500.0</v>
      </c>
      <c r="C613" s="4"/>
    </row>
    <row r="614">
      <c r="A614" s="4" t="s">
        <v>2618</v>
      </c>
      <c r="B614" s="14">
        <v>9200.0</v>
      </c>
      <c r="C614" s="3" t="s">
        <v>2377</v>
      </c>
    </row>
    <row r="615">
      <c r="A615" s="4" t="s">
        <v>2619</v>
      </c>
      <c r="B615" s="14">
        <v>41400.0</v>
      </c>
      <c r="C615" s="3" t="s">
        <v>2370</v>
      </c>
    </row>
    <row r="616">
      <c r="A616" s="4" t="s">
        <v>2226</v>
      </c>
      <c r="B616" s="14">
        <v>1000.0</v>
      </c>
      <c r="C616" s="3" t="s">
        <v>2377</v>
      </c>
    </row>
    <row r="617">
      <c r="A617" s="4" t="s">
        <v>2620</v>
      </c>
      <c r="B617" s="14">
        <v>0.0</v>
      </c>
      <c r="C617" s="3" t="s">
        <v>3</v>
      </c>
    </row>
    <row r="618">
      <c r="A618" s="4" t="s">
        <v>894</v>
      </c>
      <c r="B618" s="14">
        <v>0.0</v>
      </c>
      <c r="C618" s="3" t="s">
        <v>6</v>
      </c>
    </row>
    <row r="619">
      <c r="A619" s="4" t="s">
        <v>895</v>
      </c>
      <c r="B619" s="14">
        <v>0.0</v>
      </c>
      <c r="C619" s="3" t="s">
        <v>3</v>
      </c>
    </row>
    <row r="620">
      <c r="A620" s="4" t="s">
        <v>896</v>
      </c>
      <c r="B620" s="14">
        <v>0.0</v>
      </c>
      <c r="C620" s="3" t="s">
        <v>3</v>
      </c>
    </row>
    <row r="621">
      <c r="A621" s="4" t="s">
        <v>2621</v>
      </c>
      <c r="B621" s="14">
        <v>0.0</v>
      </c>
      <c r="C621" s="3" t="s">
        <v>6</v>
      </c>
    </row>
    <row r="622">
      <c r="A622" s="4" t="s">
        <v>899</v>
      </c>
      <c r="B622" s="14">
        <v>0.0</v>
      </c>
      <c r="C622" s="3" t="s">
        <v>3</v>
      </c>
    </row>
    <row r="623">
      <c r="A623" s="4" t="s">
        <v>900</v>
      </c>
      <c r="B623" s="14">
        <v>2000.0</v>
      </c>
      <c r="C623" s="4"/>
    </row>
    <row r="624">
      <c r="A624" s="4" t="s">
        <v>2622</v>
      </c>
      <c r="B624" s="14">
        <v>0.0</v>
      </c>
      <c r="C624" s="3" t="s">
        <v>3</v>
      </c>
    </row>
    <row r="625">
      <c r="A625" s="4" t="s">
        <v>2623</v>
      </c>
      <c r="B625" s="14">
        <v>0.0</v>
      </c>
      <c r="C625" s="3" t="s">
        <v>3</v>
      </c>
    </row>
    <row r="626">
      <c r="A626" s="4" t="s">
        <v>904</v>
      </c>
      <c r="B626" s="14">
        <v>2085.0</v>
      </c>
      <c r="C626" s="4"/>
    </row>
    <row r="627">
      <c r="A627" s="4" t="s">
        <v>906</v>
      </c>
      <c r="B627" s="14">
        <v>0.0</v>
      </c>
      <c r="C627" s="4"/>
    </row>
    <row r="628">
      <c r="A628" s="4" t="s">
        <v>911</v>
      </c>
      <c r="B628" s="14">
        <v>0.0</v>
      </c>
      <c r="C628" s="3" t="s">
        <v>3</v>
      </c>
    </row>
    <row r="629">
      <c r="A629" s="4" t="s">
        <v>2624</v>
      </c>
      <c r="B629" s="14">
        <v>980.0</v>
      </c>
      <c r="C629" s="3" t="s">
        <v>6</v>
      </c>
    </row>
    <row r="630">
      <c r="A630" s="4" t="s">
        <v>912</v>
      </c>
      <c r="B630" s="14">
        <v>0.0</v>
      </c>
      <c r="C630" s="3" t="s">
        <v>3</v>
      </c>
    </row>
    <row r="631">
      <c r="A631" s="4" t="s">
        <v>2625</v>
      </c>
      <c r="B631" s="14">
        <v>0.0</v>
      </c>
      <c r="C631" s="3" t="s">
        <v>3</v>
      </c>
    </row>
    <row r="632">
      <c r="A632" s="4" t="s">
        <v>2626</v>
      </c>
      <c r="B632" s="14">
        <v>10000.0</v>
      </c>
      <c r="C632" s="4"/>
    </row>
    <row r="633">
      <c r="A633" s="4" t="s">
        <v>2627</v>
      </c>
      <c r="B633" s="14">
        <v>0.0</v>
      </c>
      <c r="C633" s="3" t="s">
        <v>3</v>
      </c>
    </row>
    <row r="634">
      <c r="A634" s="4" t="s">
        <v>913</v>
      </c>
      <c r="B634" s="14">
        <v>3000.0</v>
      </c>
      <c r="C634" s="4"/>
    </row>
    <row r="635">
      <c r="A635" s="4" t="s">
        <v>2628</v>
      </c>
      <c r="B635" s="14">
        <v>0.0</v>
      </c>
      <c r="C635" s="3" t="s">
        <v>3</v>
      </c>
    </row>
    <row r="636">
      <c r="A636" s="4" t="s">
        <v>914</v>
      </c>
      <c r="B636" s="14">
        <v>2000.0</v>
      </c>
      <c r="C636" s="3" t="s">
        <v>2377</v>
      </c>
    </row>
    <row r="637">
      <c r="A637" s="4" t="s">
        <v>916</v>
      </c>
      <c r="B637" s="14">
        <v>35000.0</v>
      </c>
      <c r="C637" s="3" t="s">
        <v>176</v>
      </c>
    </row>
    <row r="638">
      <c r="A638" s="4" t="s">
        <v>918</v>
      </c>
      <c r="B638" s="14">
        <v>2000.0</v>
      </c>
      <c r="C638" s="3" t="s">
        <v>3</v>
      </c>
    </row>
    <row r="639">
      <c r="A639" s="4" t="s">
        <v>2629</v>
      </c>
      <c r="B639" s="14">
        <v>0.0</v>
      </c>
      <c r="C639" s="3" t="s">
        <v>6</v>
      </c>
    </row>
    <row r="640">
      <c r="A640" s="4" t="s">
        <v>2630</v>
      </c>
      <c r="B640" s="14">
        <v>0.0</v>
      </c>
      <c r="C640" s="3" t="s">
        <v>3</v>
      </c>
    </row>
    <row r="641">
      <c r="A641" s="4" t="s">
        <v>920</v>
      </c>
      <c r="B641" s="14">
        <v>0.0</v>
      </c>
      <c r="C641" s="3" t="s">
        <v>3</v>
      </c>
    </row>
    <row r="642">
      <c r="A642" s="4" t="s">
        <v>2631</v>
      </c>
      <c r="B642" s="14">
        <v>0.0</v>
      </c>
      <c r="C642" s="3" t="s">
        <v>3</v>
      </c>
    </row>
    <row r="643">
      <c r="A643" s="4" t="s">
        <v>2632</v>
      </c>
      <c r="B643" s="14">
        <v>42000.0</v>
      </c>
      <c r="C643" s="3" t="s">
        <v>2377</v>
      </c>
    </row>
    <row r="644">
      <c r="A644" s="4" t="s">
        <v>924</v>
      </c>
      <c r="B644" s="14">
        <v>0.0</v>
      </c>
      <c r="C644" s="3" t="s">
        <v>3</v>
      </c>
    </row>
    <row r="645">
      <c r="A645" s="4" t="s">
        <v>925</v>
      </c>
      <c r="B645" s="14">
        <v>3000.0</v>
      </c>
      <c r="C645" s="4"/>
    </row>
    <row r="646">
      <c r="A646" s="4" t="s">
        <v>2633</v>
      </c>
      <c r="B646" s="14">
        <v>0.0</v>
      </c>
      <c r="C646" s="3" t="s">
        <v>3</v>
      </c>
    </row>
    <row r="647">
      <c r="A647" s="4" t="s">
        <v>928</v>
      </c>
      <c r="B647" s="14">
        <v>0.0</v>
      </c>
      <c r="C647" s="3" t="s">
        <v>2377</v>
      </c>
    </row>
    <row r="648">
      <c r="A648" s="4" t="s">
        <v>2634</v>
      </c>
      <c r="B648" s="14">
        <v>1000.0</v>
      </c>
      <c r="C648" s="4"/>
    </row>
    <row r="649">
      <c r="A649" s="4" t="s">
        <v>929</v>
      </c>
      <c r="B649" s="14">
        <v>11000.0</v>
      </c>
      <c r="C649" s="4"/>
    </row>
    <row r="650">
      <c r="A650" s="4" t="s">
        <v>931</v>
      </c>
      <c r="B650" s="14">
        <v>10500.0</v>
      </c>
      <c r="C650" s="3" t="s">
        <v>3</v>
      </c>
    </row>
    <row r="651">
      <c r="A651" s="4" t="s">
        <v>933</v>
      </c>
      <c r="B651" s="14">
        <v>3500.0</v>
      </c>
      <c r="C651" s="4"/>
    </row>
    <row r="652">
      <c r="A652" s="4" t="s">
        <v>935</v>
      </c>
      <c r="B652" s="14">
        <v>13000.0</v>
      </c>
      <c r="C652" s="4"/>
    </row>
    <row r="653">
      <c r="A653" s="4" t="s">
        <v>2635</v>
      </c>
      <c r="B653" s="14">
        <v>17500.0</v>
      </c>
      <c r="C653" s="3" t="s">
        <v>3</v>
      </c>
    </row>
    <row r="654">
      <c r="A654" s="4" t="s">
        <v>939</v>
      </c>
      <c r="B654" s="14">
        <v>13000.0</v>
      </c>
      <c r="C654" s="4"/>
    </row>
    <row r="655">
      <c r="A655" s="4" t="s">
        <v>2636</v>
      </c>
      <c r="B655" s="14">
        <v>2100.0</v>
      </c>
      <c r="C655" s="4"/>
    </row>
    <row r="656">
      <c r="A656" s="4" t="s">
        <v>943</v>
      </c>
      <c r="B656" s="14">
        <v>0.0</v>
      </c>
      <c r="C656" s="3" t="s">
        <v>3</v>
      </c>
    </row>
    <row r="657">
      <c r="A657" s="4" t="s">
        <v>944</v>
      </c>
      <c r="B657" s="14">
        <v>0.0</v>
      </c>
      <c r="C657" s="3" t="s">
        <v>3</v>
      </c>
    </row>
    <row r="658">
      <c r="A658" s="4" t="s">
        <v>2637</v>
      </c>
      <c r="B658" s="14">
        <v>1500.0</v>
      </c>
      <c r="C658" s="4"/>
    </row>
    <row r="659">
      <c r="A659" s="4" t="s">
        <v>2638</v>
      </c>
      <c r="B659" s="14">
        <v>10000.0</v>
      </c>
      <c r="C659" s="4"/>
    </row>
    <row r="660">
      <c r="A660" s="4" t="s">
        <v>945</v>
      </c>
      <c r="B660" s="14">
        <v>30000.0</v>
      </c>
      <c r="C660" s="3" t="s">
        <v>668</v>
      </c>
    </row>
    <row r="661">
      <c r="A661" s="4" t="s">
        <v>2639</v>
      </c>
      <c r="B661" s="14">
        <v>2500.0</v>
      </c>
      <c r="C661" s="4"/>
    </row>
    <row r="662">
      <c r="A662" s="4" t="s">
        <v>2231</v>
      </c>
      <c r="B662" s="14">
        <v>18000.0</v>
      </c>
      <c r="C662" s="4"/>
    </row>
    <row r="663">
      <c r="A663" s="4" t="s">
        <v>2640</v>
      </c>
      <c r="B663" s="14">
        <v>0.0</v>
      </c>
      <c r="C663" s="3" t="s">
        <v>668</v>
      </c>
    </row>
    <row r="664">
      <c r="A664" s="4" t="s">
        <v>2641</v>
      </c>
      <c r="B664" s="14">
        <v>0.0</v>
      </c>
      <c r="C664" s="3" t="s">
        <v>3</v>
      </c>
    </row>
    <row r="665">
      <c r="A665" s="4" t="s">
        <v>2233</v>
      </c>
      <c r="B665" s="14">
        <v>250.0</v>
      </c>
      <c r="C665" s="3" t="s">
        <v>3</v>
      </c>
    </row>
    <row r="666">
      <c r="A666" s="4" t="s">
        <v>954</v>
      </c>
      <c r="B666" s="14">
        <v>1400.0</v>
      </c>
      <c r="C666" s="4"/>
    </row>
    <row r="667">
      <c r="A667" s="4" t="s">
        <v>956</v>
      </c>
      <c r="B667" s="14">
        <v>6000.0</v>
      </c>
      <c r="C667" s="4"/>
    </row>
    <row r="668">
      <c r="A668" s="4" t="s">
        <v>2642</v>
      </c>
      <c r="B668" s="14">
        <v>0.0</v>
      </c>
      <c r="C668" s="3" t="s">
        <v>6</v>
      </c>
    </row>
    <row r="669">
      <c r="A669" s="4" t="s">
        <v>959</v>
      </c>
      <c r="B669" s="14">
        <v>3000.0</v>
      </c>
      <c r="C669" s="4"/>
    </row>
    <row r="670">
      <c r="A670" s="4" t="s">
        <v>2643</v>
      </c>
      <c r="B670" s="14">
        <v>1000.0</v>
      </c>
      <c r="C670" s="4"/>
    </row>
    <row r="671">
      <c r="A671" s="4" t="s">
        <v>963</v>
      </c>
      <c r="B671" s="14">
        <v>119000.0</v>
      </c>
      <c r="C671" s="4"/>
    </row>
    <row r="672">
      <c r="A672" s="4" t="s">
        <v>2644</v>
      </c>
      <c r="B672" s="14">
        <v>0.0</v>
      </c>
      <c r="C672" s="3" t="s">
        <v>3</v>
      </c>
    </row>
    <row r="673">
      <c r="A673" s="4" t="s">
        <v>964</v>
      </c>
      <c r="B673" s="14">
        <v>1000.0</v>
      </c>
      <c r="C673" s="3" t="s">
        <v>2377</v>
      </c>
    </row>
    <row r="674">
      <c r="A674" s="4" t="s">
        <v>965</v>
      </c>
      <c r="B674" s="14">
        <v>11040.0</v>
      </c>
      <c r="C674" s="4"/>
    </row>
    <row r="675">
      <c r="A675" s="4" t="s">
        <v>2645</v>
      </c>
      <c r="B675" s="14">
        <v>0.0</v>
      </c>
      <c r="C675" s="3" t="s">
        <v>2377</v>
      </c>
    </row>
    <row r="676">
      <c r="A676" s="4" t="s">
        <v>2646</v>
      </c>
      <c r="B676" s="14">
        <v>0.0</v>
      </c>
      <c r="C676" s="3" t="s">
        <v>3</v>
      </c>
    </row>
    <row r="677">
      <c r="A677" s="4" t="s">
        <v>968</v>
      </c>
      <c r="B677" s="14">
        <v>1000.0</v>
      </c>
      <c r="C677" s="4"/>
    </row>
    <row r="678">
      <c r="A678" s="4" t="s">
        <v>2647</v>
      </c>
      <c r="B678" s="14">
        <v>0.0</v>
      </c>
      <c r="C678" s="3" t="s">
        <v>3</v>
      </c>
    </row>
    <row r="679">
      <c r="A679" s="4" t="s">
        <v>973</v>
      </c>
      <c r="B679" s="14">
        <v>400.0</v>
      </c>
      <c r="C679" s="4"/>
    </row>
    <row r="680">
      <c r="A680" s="4" t="s">
        <v>2648</v>
      </c>
      <c r="B680" s="14">
        <v>0.0</v>
      </c>
      <c r="C680" s="3" t="s">
        <v>6</v>
      </c>
    </row>
    <row r="681">
      <c r="A681" s="4" t="s">
        <v>974</v>
      </c>
      <c r="B681" s="14">
        <v>0.0</v>
      </c>
      <c r="C681" s="3" t="s">
        <v>3</v>
      </c>
    </row>
    <row r="682">
      <c r="A682" s="4" t="s">
        <v>2235</v>
      </c>
      <c r="B682" s="14">
        <v>5500.0</v>
      </c>
      <c r="C682" s="4"/>
    </row>
    <row r="683">
      <c r="A683" s="4" t="s">
        <v>978</v>
      </c>
      <c r="B683" s="14">
        <v>0.0</v>
      </c>
      <c r="C683" s="3" t="s">
        <v>29</v>
      </c>
    </row>
    <row r="684">
      <c r="A684" s="4" t="s">
        <v>979</v>
      </c>
      <c r="B684" s="14">
        <v>0.0</v>
      </c>
      <c r="C684" s="3" t="s">
        <v>6</v>
      </c>
    </row>
    <row r="685">
      <c r="A685" s="4" t="s">
        <v>2649</v>
      </c>
      <c r="B685" s="14">
        <v>750.0</v>
      </c>
      <c r="C685" s="3" t="s">
        <v>3</v>
      </c>
    </row>
    <row r="686">
      <c r="A686" s="4" t="s">
        <v>981</v>
      </c>
      <c r="B686" s="14">
        <v>1000.0</v>
      </c>
      <c r="C686" s="4"/>
    </row>
    <row r="687">
      <c r="A687" s="4" t="s">
        <v>2650</v>
      </c>
      <c r="B687" s="14">
        <v>400.0</v>
      </c>
      <c r="C687" s="4"/>
    </row>
    <row r="688">
      <c r="A688" s="4" t="s">
        <v>2651</v>
      </c>
      <c r="B688" s="14">
        <v>0.0</v>
      </c>
      <c r="C688" s="3" t="s">
        <v>6</v>
      </c>
    </row>
    <row r="689">
      <c r="A689" s="4" t="s">
        <v>983</v>
      </c>
      <c r="B689" s="14">
        <v>0.0</v>
      </c>
      <c r="C689" s="3" t="s">
        <v>3</v>
      </c>
    </row>
    <row r="690">
      <c r="A690" s="4" t="s">
        <v>984</v>
      </c>
      <c r="B690" s="14">
        <v>9000.0</v>
      </c>
      <c r="C690" s="4"/>
    </row>
    <row r="691">
      <c r="A691" s="4" t="s">
        <v>2652</v>
      </c>
      <c r="B691" s="14">
        <v>1000.0</v>
      </c>
      <c r="C691" s="4"/>
    </row>
    <row r="692">
      <c r="A692" s="4" t="s">
        <v>2653</v>
      </c>
      <c r="B692" s="14">
        <v>0.0</v>
      </c>
      <c r="C692" s="3" t="s">
        <v>3</v>
      </c>
    </row>
    <row r="693">
      <c r="A693" s="4" t="s">
        <v>988</v>
      </c>
      <c r="B693" s="14">
        <v>7000.0</v>
      </c>
      <c r="C693" s="3" t="s">
        <v>216</v>
      </c>
    </row>
    <row r="694">
      <c r="A694" s="4" t="s">
        <v>2654</v>
      </c>
      <c r="B694" s="14">
        <v>0.0</v>
      </c>
      <c r="C694" s="3" t="s">
        <v>2377</v>
      </c>
    </row>
    <row r="695">
      <c r="A695" s="4" t="s">
        <v>2655</v>
      </c>
      <c r="B695" s="14">
        <v>5000.0</v>
      </c>
      <c r="C695" s="4"/>
    </row>
    <row r="696">
      <c r="A696" s="4" t="s">
        <v>991</v>
      </c>
      <c r="B696" s="14">
        <v>0.0</v>
      </c>
      <c r="C696" s="3" t="s">
        <v>3</v>
      </c>
    </row>
    <row r="697">
      <c r="A697" s="4" t="s">
        <v>992</v>
      </c>
      <c r="B697" s="14">
        <v>0.0</v>
      </c>
      <c r="C697" s="3" t="s">
        <v>6</v>
      </c>
    </row>
    <row r="698">
      <c r="A698" s="4" t="s">
        <v>2656</v>
      </c>
      <c r="B698" s="14">
        <v>0.0</v>
      </c>
      <c r="C698" s="3" t="s">
        <v>3</v>
      </c>
    </row>
    <row r="699">
      <c r="A699" s="4" t="s">
        <v>2657</v>
      </c>
      <c r="B699" s="14">
        <v>0.0</v>
      </c>
      <c r="C699" s="3" t="s">
        <v>3</v>
      </c>
    </row>
    <row r="700">
      <c r="A700" s="4" t="s">
        <v>994</v>
      </c>
      <c r="B700" s="14">
        <v>8000.0</v>
      </c>
      <c r="C700" s="4"/>
    </row>
    <row r="701">
      <c r="A701" s="4" t="s">
        <v>2658</v>
      </c>
      <c r="B701" s="14">
        <v>0.0</v>
      </c>
      <c r="C701" s="3" t="s">
        <v>2368</v>
      </c>
    </row>
    <row r="702">
      <c r="A702" s="4" t="s">
        <v>995</v>
      </c>
      <c r="B702" s="14">
        <v>1000.0</v>
      </c>
      <c r="C702" s="3" t="s">
        <v>6</v>
      </c>
    </row>
    <row r="703">
      <c r="A703" s="4" t="s">
        <v>999</v>
      </c>
      <c r="B703" s="14">
        <v>0.0</v>
      </c>
      <c r="C703" s="3" t="s">
        <v>3</v>
      </c>
    </row>
    <row r="704">
      <c r="A704" s="4" t="s">
        <v>1000</v>
      </c>
      <c r="B704" s="14">
        <v>30000.0</v>
      </c>
      <c r="C704" s="3" t="s">
        <v>3</v>
      </c>
    </row>
    <row r="705">
      <c r="A705" s="4" t="s">
        <v>1002</v>
      </c>
      <c r="B705" s="14">
        <v>9000.0</v>
      </c>
      <c r="C705" s="3" t="s">
        <v>2377</v>
      </c>
    </row>
    <row r="706">
      <c r="A706" s="4" t="s">
        <v>1003</v>
      </c>
      <c r="B706" s="14">
        <v>0.0</v>
      </c>
      <c r="C706" s="3" t="s">
        <v>3</v>
      </c>
    </row>
    <row r="707">
      <c r="A707" s="4" t="s">
        <v>1005</v>
      </c>
      <c r="B707" s="14">
        <v>0.0</v>
      </c>
      <c r="C707" s="3" t="s">
        <v>6</v>
      </c>
    </row>
    <row r="708">
      <c r="A708" s="4" t="s">
        <v>1007</v>
      </c>
      <c r="B708" s="14">
        <v>3000.0</v>
      </c>
      <c r="C708" s="4"/>
    </row>
    <row r="709">
      <c r="A709" s="4" t="s">
        <v>1008</v>
      </c>
      <c r="B709" s="14">
        <v>0.0</v>
      </c>
      <c r="C709" s="3" t="s">
        <v>2508</v>
      </c>
    </row>
    <row r="710">
      <c r="A710" s="4" t="s">
        <v>2659</v>
      </c>
      <c r="B710" s="14">
        <v>0.0</v>
      </c>
      <c r="C710" s="3" t="s">
        <v>3</v>
      </c>
    </row>
    <row r="711">
      <c r="A711" s="4" t="s">
        <v>2660</v>
      </c>
      <c r="B711" s="14">
        <v>0.0</v>
      </c>
      <c r="C711" s="3" t="s">
        <v>2377</v>
      </c>
    </row>
    <row r="712">
      <c r="A712" s="4" t="s">
        <v>1010</v>
      </c>
      <c r="B712" s="14">
        <v>0.0</v>
      </c>
      <c r="C712" s="3" t="s">
        <v>6</v>
      </c>
    </row>
    <row r="713">
      <c r="A713" s="4" t="s">
        <v>1012</v>
      </c>
      <c r="B713" s="14">
        <v>150.0</v>
      </c>
      <c r="C713" s="4"/>
    </row>
    <row r="714">
      <c r="A714" s="4" t="s">
        <v>1013</v>
      </c>
      <c r="B714" s="14">
        <v>6500.0</v>
      </c>
      <c r="C714" s="3" t="s">
        <v>6</v>
      </c>
    </row>
    <row r="715">
      <c r="A715" s="4" t="s">
        <v>1015</v>
      </c>
      <c r="B715" s="14">
        <v>0.0</v>
      </c>
      <c r="C715" s="3" t="s">
        <v>3</v>
      </c>
    </row>
    <row r="716">
      <c r="A716" s="4" t="s">
        <v>1016</v>
      </c>
      <c r="B716" s="14">
        <v>0.0</v>
      </c>
      <c r="C716" s="3" t="s">
        <v>6</v>
      </c>
    </row>
    <row r="717">
      <c r="A717" s="4" t="s">
        <v>1017</v>
      </c>
      <c r="B717" s="14">
        <v>1500.0</v>
      </c>
      <c r="C717" s="4"/>
    </row>
    <row r="718">
      <c r="A718" s="4" t="s">
        <v>1018</v>
      </c>
      <c r="B718" s="14">
        <v>0.0</v>
      </c>
      <c r="C718" s="3" t="s">
        <v>2377</v>
      </c>
    </row>
    <row r="719">
      <c r="A719" s="4" t="s">
        <v>2661</v>
      </c>
      <c r="B719" s="14">
        <v>0.0</v>
      </c>
      <c r="C719" s="3" t="s">
        <v>3</v>
      </c>
    </row>
    <row r="720">
      <c r="A720" s="4" t="s">
        <v>2662</v>
      </c>
      <c r="B720" s="14">
        <v>0.0</v>
      </c>
      <c r="C720" s="3" t="s">
        <v>3</v>
      </c>
    </row>
    <row r="721">
      <c r="A721" s="4" t="s">
        <v>2663</v>
      </c>
      <c r="B721" s="14">
        <v>0.0</v>
      </c>
      <c r="C721" s="3" t="s">
        <v>3</v>
      </c>
    </row>
    <row r="722">
      <c r="A722" s="4" t="s">
        <v>2664</v>
      </c>
      <c r="B722" s="14">
        <v>0.0</v>
      </c>
      <c r="C722" s="3" t="s">
        <v>3</v>
      </c>
    </row>
    <row r="723">
      <c r="A723" s="4" t="s">
        <v>1020</v>
      </c>
      <c r="B723" s="14">
        <v>3882.0</v>
      </c>
      <c r="C723" s="4"/>
    </row>
    <row r="724">
      <c r="A724" s="4" t="s">
        <v>1023</v>
      </c>
      <c r="B724" s="14">
        <v>21000.0</v>
      </c>
      <c r="C724" s="3" t="s">
        <v>2377</v>
      </c>
    </row>
    <row r="725">
      <c r="A725" s="4" t="s">
        <v>2665</v>
      </c>
      <c r="B725" s="14">
        <v>8000.0</v>
      </c>
      <c r="C725" s="4"/>
    </row>
    <row r="726">
      <c r="A726" s="4" t="s">
        <v>1025</v>
      </c>
      <c r="B726" s="14">
        <v>0.0</v>
      </c>
      <c r="C726" s="3" t="s">
        <v>3</v>
      </c>
    </row>
    <row r="727">
      <c r="A727" s="4" t="s">
        <v>2236</v>
      </c>
      <c r="B727" s="14">
        <v>43000.0</v>
      </c>
      <c r="C727" s="3" t="s">
        <v>3</v>
      </c>
    </row>
    <row r="728">
      <c r="A728" s="4" t="s">
        <v>2666</v>
      </c>
      <c r="B728" s="14">
        <v>0.0</v>
      </c>
      <c r="C728" s="3" t="s">
        <v>3</v>
      </c>
    </row>
    <row r="729">
      <c r="A729" s="4" t="s">
        <v>2237</v>
      </c>
      <c r="B729" s="14">
        <v>1551.0</v>
      </c>
      <c r="C729" s="3" t="s">
        <v>3</v>
      </c>
    </row>
    <row r="730">
      <c r="A730" s="4" t="s">
        <v>1031</v>
      </c>
      <c r="B730" s="14">
        <v>0.0</v>
      </c>
      <c r="C730" s="3" t="s">
        <v>3</v>
      </c>
    </row>
    <row r="731">
      <c r="A731" s="4" t="s">
        <v>1033</v>
      </c>
      <c r="B731" s="14">
        <v>118107.65</v>
      </c>
      <c r="C731" s="4"/>
    </row>
    <row r="732">
      <c r="A732" s="4" t="s">
        <v>2667</v>
      </c>
      <c r="B732" s="14">
        <v>0.0</v>
      </c>
      <c r="C732" s="3" t="s">
        <v>3</v>
      </c>
    </row>
    <row r="733">
      <c r="A733" s="4" t="s">
        <v>1036</v>
      </c>
      <c r="B733" s="14">
        <v>0.0</v>
      </c>
      <c r="C733" s="3" t="s">
        <v>3</v>
      </c>
    </row>
    <row r="734">
      <c r="A734" s="4" t="s">
        <v>1037</v>
      </c>
      <c r="B734" s="14">
        <v>0.0</v>
      </c>
      <c r="C734" s="3" t="s">
        <v>29</v>
      </c>
    </row>
    <row r="735">
      <c r="A735" s="4" t="s">
        <v>2668</v>
      </c>
      <c r="B735" s="14">
        <v>10100.0</v>
      </c>
      <c r="C735" s="4"/>
    </row>
    <row r="736">
      <c r="A736" s="4" t="s">
        <v>2669</v>
      </c>
      <c r="B736" s="14">
        <v>0.0</v>
      </c>
      <c r="C736" s="3" t="s">
        <v>3</v>
      </c>
    </row>
    <row r="737">
      <c r="A737" s="4" t="s">
        <v>2670</v>
      </c>
      <c r="B737" s="14">
        <v>0.0</v>
      </c>
      <c r="C737" s="3" t="s">
        <v>3</v>
      </c>
    </row>
    <row r="738">
      <c r="A738" s="4" t="s">
        <v>1039</v>
      </c>
      <c r="B738" s="14">
        <v>8560.0</v>
      </c>
      <c r="C738" s="4"/>
    </row>
    <row r="739">
      <c r="A739" s="4" t="s">
        <v>2671</v>
      </c>
      <c r="B739" s="14">
        <v>200.0</v>
      </c>
      <c r="C739" s="4"/>
    </row>
    <row r="740">
      <c r="A740" s="4" t="s">
        <v>1044</v>
      </c>
      <c r="B740" s="14">
        <v>113603.0</v>
      </c>
      <c r="C740" s="3" t="s">
        <v>2368</v>
      </c>
    </row>
    <row r="741">
      <c r="A741" s="4" t="s">
        <v>2672</v>
      </c>
      <c r="B741" s="14">
        <v>0.0</v>
      </c>
      <c r="C741" s="3" t="s">
        <v>3</v>
      </c>
    </row>
    <row r="742">
      <c r="A742" s="4" t="s">
        <v>2673</v>
      </c>
      <c r="B742" s="14">
        <v>3000.0</v>
      </c>
      <c r="C742" s="4"/>
    </row>
    <row r="743">
      <c r="A743" s="4" t="s">
        <v>2674</v>
      </c>
      <c r="B743" s="14">
        <v>0.0</v>
      </c>
      <c r="C743" s="3" t="s">
        <v>3</v>
      </c>
    </row>
    <row r="744">
      <c r="A744" s="4" t="s">
        <v>2675</v>
      </c>
      <c r="B744" s="14">
        <v>0.0</v>
      </c>
      <c r="C744" s="3" t="s">
        <v>3</v>
      </c>
    </row>
    <row r="745">
      <c r="A745" s="4" t="s">
        <v>1047</v>
      </c>
      <c r="B745" s="14">
        <v>4500.0</v>
      </c>
      <c r="C745" s="4"/>
    </row>
    <row r="746">
      <c r="A746" s="4" t="s">
        <v>2676</v>
      </c>
      <c r="B746" s="14">
        <v>400.0</v>
      </c>
      <c r="C746" s="4"/>
    </row>
    <row r="747">
      <c r="A747" s="4" t="s">
        <v>2677</v>
      </c>
      <c r="B747" s="14">
        <v>0.0</v>
      </c>
      <c r="C747" s="3" t="s">
        <v>3</v>
      </c>
    </row>
    <row r="748">
      <c r="A748" s="4" t="s">
        <v>2678</v>
      </c>
      <c r="B748" s="14">
        <v>0.0</v>
      </c>
      <c r="C748" s="3" t="s">
        <v>3</v>
      </c>
    </row>
    <row r="749">
      <c r="A749" s="4" t="s">
        <v>2679</v>
      </c>
      <c r="B749" s="14">
        <v>0.0</v>
      </c>
      <c r="C749" s="3" t="s">
        <v>3</v>
      </c>
    </row>
    <row r="750">
      <c r="A750" s="4" t="s">
        <v>1051</v>
      </c>
      <c r="B750" s="14">
        <v>2500.0</v>
      </c>
      <c r="C750" s="4"/>
    </row>
    <row r="751">
      <c r="A751" s="4" t="s">
        <v>2680</v>
      </c>
      <c r="B751" s="14">
        <v>0.0</v>
      </c>
      <c r="C751" s="3" t="s">
        <v>3</v>
      </c>
    </row>
    <row r="752">
      <c r="A752" s="4" t="s">
        <v>1053</v>
      </c>
      <c r="B752" s="14">
        <v>0.0</v>
      </c>
      <c r="C752" s="3" t="s">
        <v>3</v>
      </c>
    </row>
    <row r="753">
      <c r="A753" s="4" t="s">
        <v>1055</v>
      </c>
      <c r="B753" s="14">
        <v>38000.0</v>
      </c>
      <c r="C753" s="4"/>
    </row>
    <row r="754">
      <c r="A754" s="4" t="s">
        <v>1057</v>
      </c>
      <c r="B754" s="14">
        <v>9000.0</v>
      </c>
      <c r="C754" s="4"/>
    </row>
    <row r="755">
      <c r="A755" s="4" t="s">
        <v>1058</v>
      </c>
      <c r="B755" s="14">
        <v>1500.0</v>
      </c>
      <c r="C755" s="4"/>
    </row>
    <row r="756">
      <c r="A756" s="4" t="s">
        <v>2681</v>
      </c>
      <c r="B756" s="14">
        <v>0.0</v>
      </c>
      <c r="C756" s="3" t="s">
        <v>3</v>
      </c>
    </row>
    <row r="757">
      <c r="A757" s="4" t="s">
        <v>2240</v>
      </c>
      <c r="B757" s="14">
        <v>4000.0</v>
      </c>
      <c r="C757" s="3" t="s">
        <v>3</v>
      </c>
    </row>
    <row r="758">
      <c r="A758" s="4" t="s">
        <v>1063</v>
      </c>
      <c r="B758" s="14">
        <v>10300.0</v>
      </c>
      <c r="C758" s="3" t="s">
        <v>2377</v>
      </c>
    </row>
    <row r="759">
      <c r="A759" s="4" t="s">
        <v>1064</v>
      </c>
      <c r="B759" s="14">
        <v>0.0</v>
      </c>
      <c r="C759" s="3" t="s">
        <v>3</v>
      </c>
    </row>
    <row r="760">
      <c r="A760" s="4" t="s">
        <v>2241</v>
      </c>
      <c r="B760" s="14">
        <v>15000.0</v>
      </c>
      <c r="C760" s="3" t="s">
        <v>3</v>
      </c>
    </row>
    <row r="761">
      <c r="A761" s="4" t="s">
        <v>1067</v>
      </c>
      <c r="B761" s="14">
        <v>14712.0</v>
      </c>
      <c r="C761" s="3" t="s">
        <v>2508</v>
      </c>
    </row>
    <row r="762">
      <c r="A762" s="4" t="s">
        <v>1069</v>
      </c>
      <c r="B762" s="14">
        <v>4000.0</v>
      </c>
      <c r="C762" s="4"/>
    </row>
    <row r="763">
      <c r="A763" s="4" t="s">
        <v>2682</v>
      </c>
      <c r="B763" s="14">
        <v>0.0</v>
      </c>
      <c r="C763" s="3" t="s">
        <v>3</v>
      </c>
    </row>
    <row r="764">
      <c r="A764" s="4" t="s">
        <v>2683</v>
      </c>
      <c r="B764" s="14">
        <v>0.0</v>
      </c>
      <c r="C764" s="3" t="s">
        <v>2377</v>
      </c>
    </row>
    <row r="765">
      <c r="A765" s="4" t="s">
        <v>1070</v>
      </c>
      <c r="B765" s="14">
        <v>177500.0</v>
      </c>
      <c r="C765" s="3" t="s">
        <v>176</v>
      </c>
    </row>
    <row r="766">
      <c r="A766" s="4" t="s">
        <v>2684</v>
      </c>
      <c r="B766" s="14">
        <v>0.0</v>
      </c>
      <c r="C766" s="3" t="s">
        <v>2377</v>
      </c>
    </row>
    <row r="767">
      <c r="A767" s="4" t="s">
        <v>2243</v>
      </c>
      <c r="B767" s="14">
        <v>3800.0</v>
      </c>
      <c r="C767" s="3" t="s">
        <v>2508</v>
      </c>
    </row>
    <row r="768">
      <c r="A768" s="4" t="s">
        <v>2685</v>
      </c>
      <c r="B768" s="14">
        <v>0.0</v>
      </c>
      <c r="C768" s="3" t="s">
        <v>29</v>
      </c>
    </row>
    <row r="769">
      <c r="A769" s="4" t="s">
        <v>2686</v>
      </c>
      <c r="B769" s="14">
        <v>0.0</v>
      </c>
      <c r="C769" s="3" t="s">
        <v>3</v>
      </c>
    </row>
    <row r="770">
      <c r="A770" s="4" t="s">
        <v>2687</v>
      </c>
      <c r="B770" s="14">
        <v>1250.0</v>
      </c>
      <c r="C770" s="3" t="s">
        <v>3</v>
      </c>
    </row>
    <row r="771">
      <c r="A771" s="4" t="s">
        <v>2688</v>
      </c>
      <c r="B771" s="14">
        <v>700.0</v>
      </c>
      <c r="C771" s="3" t="s">
        <v>6</v>
      </c>
    </row>
    <row r="772">
      <c r="A772" s="4" t="s">
        <v>2689</v>
      </c>
      <c r="B772" s="14">
        <v>44000.0</v>
      </c>
      <c r="C772" s="3" t="s">
        <v>6</v>
      </c>
    </row>
    <row r="773">
      <c r="A773" s="4" t="s">
        <v>1080</v>
      </c>
      <c r="B773" s="14">
        <v>0.0</v>
      </c>
      <c r="C773" s="3" t="s">
        <v>6</v>
      </c>
    </row>
    <row r="774">
      <c r="A774" s="4" t="s">
        <v>1082</v>
      </c>
      <c r="B774" s="14">
        <v>0.0</v>
      </c>
      <c r="C774" s="3" t="s">
        <v>3</v>
      </c>
    </row>
    <row r="775">
      <c r="A775" s="4" t="s">
        <v>2690</v>
      </c>
      <c r="B775" s="14">
        <v>3000.0</v>
      </c>
      <c r="C775" s="4"/>
    </row>
    <row r="776">
      <c r="A776" s="4" t="s">
        <v>1083</v>
      </c>
      <c r="B776" s="14">
        <v>500.0</v>
      </c>
      <c r="C776" s="3" t="s">
        <v>2377</v>
      </c>
    </row>
    <row r="777">
      <c r="A777" s="4" t="s">
        <v>2691</v>
      </c>
      <c r="B777" s="14">
        <v>0.0</v>
      </c>
      <c r="C777" s="3" t="s">
        <v>6</v>
      </c>
    </row>
    <row r="778">
      <c r="A778" s="4" t="s">
        <v>2692</v>
      </c>
      <c r="B778" s="14">
        <v>8000.0</v>
      </c>
      <c r="C778" s="3" t="s">
        <v>6</v>
      </c>
    </row>
    <row r="779">
      <c r="A779" s="4" t="s">
        <v>1085</v>
      </c>
      <c r="B779" s="14">
        <v>150.0</v>
      </c>
      <c r="C779" s="3" t="s">
        <v>3</v>
      </c>
    </row>
    <row r="780">
      <c r="A780" s="4" t="s">
        <v>2693</v>
      </c>
      <c r="B780" s="14">
        <v>0.0</v>
      </c>
      <c r="C780" s="3" t="s">
        <v>3</v>
      </c>
    </row>
    <row r="781">
      <c r="A781" s="4" t="s">
        <v>1088</v>
      </c>
      <c r="B781" s="14">
        <v>0.0</v>
      </c>
      <c r="C781" s="3" t="s">
        <v>3</v>
      </c>
    </row>
    <row r="782">
      <c r="A782" s="4" t="s">
        <v>1089</v>
      </c>
      <c r="B782" s="14">
        <v>210000.0</v>
      </c>
      <c r="C782" s="4"/>
    </row>
    <row r="783">
      <c r="A783" s="4" t="s">
        <v>2694</v>
      </c>
      <c r="B783" s="14">
        <v>4000.0</v>
      </c>
      <c r="C783" s="3" t="s">
        <v>3</v>
      </c>
    </row>
    <row r="784">
      <c r="A784" s="4" t="s">
        <v>2695</v>
      </c>
      <c r="B784" s="14">
        <v>0.0</v>
      </c>
      <c r="C784" s="3" t="s">
        <v>3</v>
      </c>
    </row>
    <row r="785">
      <c r="A785" s="4" t="s">
        <v>1091</v>
      </c>
      <c r="B785" s="14">
        <v>0.0</v>
      </c>
      <c r="C785" s="3" t="s">
        <v>3</v>
      </c>
    </row>
    <row r="786">
      <c r="A786" s="4" t="s">
        <v>2696</v>
      </c>
      <c r="B786" s="14">
        <v>300.0</v>
      </c>
      <c r="C786" s="4"/>
    </row>
    <row r="787">
      <c r="A787" s="4" t="s">
        <v>1092</v>
      </c>
      <c r="B787" s="14">
        <v>4664.0</v>
      </c>
      <c r="C787" s="4"/>
    </row>
    <row r="788">
      <c r="A788" s="4" t="s">
        <v>2697</v>
      </c>
      <c r="B788" s="14">
        <v>0.0</v>
      </c>
      <c r="C788" s="3" t="s">
        <v>3</v>
      </c>
    </row>
    <row r="789">
      <c r="A789" s="4" t="s">
        <v>1095</v>
      </c>
      <c r="B789" s="14">
        <v>1500.0</v>
      </c>
      <c r="C789" s="3" t="s">
        <v>2377</v>
      </c>
    </row>
    <row r="790">
      <c r="A790" s="4" t="s">
        <v>2698</v>
      </c>
      <c r="B790" s="14">
        <v>2000.0</v>
      </c>
      <c r="C790" s="4"/>
    </row>
    <row r="791">
      <c r="A791" s="4" t="s">
        <v>1096</v>
      </c>
      <c r="B791" s="14">
        <v>15500.0</v>
      </c>
      <c r="C791" s="3" t="s">
        <v>3</v>
      </c>
    </row>
    <row r="792">
      <c r="A792" s="4" t="s">
        <v>1097</v>
      </c>
      <c r="B792" s="14">
        <v>0.0</v>
      </c>
      <c r="C792" s="3" t="s">
        <v>29</v>
      </c>
    </row>
    <row r="793">
      <c r="A793" s="4" t="s">
        <v>2699</v>
      </c>
      <c r="B793" s="14">
        <v>1000.0</v>
      </c>
      <c r="C793" s="4"/>
    </row>
    <row r="794">
      <c r="A794" s="4" t="s">
        <v>2700</v>
      </c>
      <c r="B794" s="14">
        <v>0.0</v>
      </c>
      <c r="C794" s="3" t="s">
        <v>3</v>
      </c>
    </row>
    <row r="795">
      <c r="A795" s="4" t="s">
        <v>2247</v>
      </c>
      <c r="B795" s="14">
        <v>0.0</v>
      </c>
      <c r="C795" s="3" t="s">
        <v>176</v>
      </c>
    </row>
    <row r="796">
      <c r="A796" s="4" t="s">
        <v>1106</v>
      </c>
      <c r="B796" s="14">
        <v>750.0</v>
      </c>
      <c r="C796" s="4"/>
    </row>
    <row r="797">
      <c r="A797" s="4" t="s">
        <v>2701</v>
      </c>
      <c r="B797" s="14">
        <v>0.0</v>
      </c>
      <c r="C797" s="3" t="s">
        <v>3</v>
      </c>
    </row>
    <row r="798">
      <c r="A798" s="4" t="s">
        <v>2702</v>
      </c>
      <c r="B798" s="14">
        <v>2000.0</v>
      </c>
      <c r="C798" s="4"/>
    </row>
    <row r="799">
      <c r="A799" s="4" t="s">
        <v>2249</v>
      </c>
      <c r="B799" s="14">
        <v>1000.0</v>
      </c>
      <c r="C799" s="4"/>
    </row>
    <row r="800">
      <c r="A800" s="4" t="s">
        <v>2250</v>
      </c>
      <c r="B800" s="14">
        <v>16000.0</v>
      </c>
      <c r="C800" s="4"/>
    </row>
    <row r="801">
      <c r="A801" s="4" t="s">
        <v>1113</v>
      </c>
      <c r="B801" s="14">
        <v>0.0</v>
      </c>
      <c r="C801" s="3" t="s">
        <v>668</v>
      </c>
    </row>
    <row r="802">
      <c r="A802" s="4" t="s">
        <v>2703</v>
      </c>
      <c r="B802" s="14">
        <v>0.0</v>
      </c>
      <c r="C802" s="3" t="s">
        <v>6</v>
      </c>
    </row>
    <row r="803">
      <c r="A803" s="4" t="s">
        <v>2704</v>
      </c>
      <c r="B803" s="14">
        <v>0.0</v>
      </c>
      <c r="C803" s="3" t="s">
        <v>3</v>
      </c>
    </row>
    <row r="804">
      <c r="A804" s="4" t="s">
        <v>2251</v>
      </c>
      <c r="B804" s="14">
        <v>0.0</v>
      </c>
      <c r="C804" s="3" t="s">
        <v>16</v>
      </c>
    </row>
    <row r="805">
      <c r="A805" s="4" t="s">
        <v>2705</v>
      </c>
      <c r="B805" s="14">
        <v>0.0</v>
      </c>
      <c r="C805" s="3" t="s">
        <v>6</v>
      </c>
    </row>
    <row r="806">
      <c r="A806" s="4" t="s">
        <v>2706</v>
      </c>
      <c r="B806" s="14">
        <v>0.0</v>
      </c>
      <c r="C806" s="3" t="s">
        <v>3</v>
      </c>
    </row>
    <row r="807">
      <c r="A807" s="4" t="s">
        <v>2707</v>
      </c>
      <c r="B807" s="14">
        <v>0.0</v>
      </c>
      <c r="C807" s="3" t="s">
        <v>3</v>
      </c>
    </row>
    <row r="808">
      <c r="A808" s="4" t="s">
        <v>2708</v>
      </c>
      <c r="B808" s="14">
        <v>0.0</v>
      </c>
      <c r="C808" s="3" t="s">
        <v>3</v>
      </c>
    </row>
    <row r="809">
      <c r="A809" s="4" t="s">
        <v>2253</v>
      </c>
      <c r="B809" s="14">
        <v>500.0</v>
      </c>
      <c r="C809" s="4"/>
    </row>
    <row r="810">
      <c r="A810" s="4" t="s">
        <v>2709</v>
      </c>
      <c r="B810" s="14">
        <v>0.0</v>
      </c>
      <c r="C810" s="3" t="s">
        <v>6</v>
      </c>
    </row>
    <row r="811">
      <c r="A811" s="4" t="s">
        <v>2710</v>
      </c>
      <c r="B811" s="14">
        <v>0.0</v>
      </c>
      <c r="C811" s="3" t="s">
        <v>3</v>
      </c>
    </row>
    <row r="812">
      <c r="A812" s="4" t="s">
        <v>2256</v>
      </c>
      <c r="B812" s="14">
        <v>0.0</v>
      </c>
      <c r="C812" s="3" t="s">
        <v>6</v>
      </c>
    </row>
    <row r="813">
      <c r="A813" s="4" t="s">
        <v>2711</v>
      </c>
      <c r="B813" s="14">
        <v>0.0</v>
      </c>
      <c r="C813" s="3" t="s">
        <v>3</v>
      </c>
    </row>
    <row r="814">
      <c r="A814" s="4" t="s">
        <v>2257</v>
      </c>
      <c r="B814" s="14">
        <v>800.0</v>
      </c>
      <c r="C814" s="4"/>
    </row>
    <row r="815">
      <c r="A815" s="4" t="s">
        <v>1131</v>
      </c>
      <c r="B815" s="14">
        <v>3000.0</v>
      </c>
      <c r="C815" s="3" t="s">
        <v>3</v>
      </c>
    </row>
    <row r="816">
      <c r="A816" s="4" t="s">
        <v>1133</v>
      </c>
      <c r="B816" s="14">
        <v>0.0</v>
      </c>
      <c r="C816" s="3" t="s">
        <v>3</v>
      </c>
    </row>
    <row r="817">
      <c r="A817" s="4" t="s">
        <v>1134</v>
      </c>
      <c r="B817" s="14">
        <v>3000.0</v>
      </c>
      <c r="C817" s="4"/>
    </row>
    <row r="818">
      <c r="A818" s="4" t="s">
        <v>1135</v>
      </c>
      <c r="B818" s="14">
        <v>4750.0</v>
      </c>
      <c r="C818" s="3" t="s">
        <v>6</v>
      </c>
    </row>
    <row r="819">
      <c r="A819" s="4" t="s">
        <v>2712</v>
      </c>
      <c r="B819" s="14">
        <v>0.0</v>
      </c>
      <c r="C819" s="3" t="s">
        <v>6</v>
      </c>
    </row>
    <row r="820">
      <c r="A820" s="4" t="s">
        <v>1136</v>
      </c>
      <c r="B820" s="14">
        <v>327000.0</v>
      </c>
      <c r="C820" s="3" t="s">
        <v>176</v>
      </c>
    </row>
    <row r="821">
      <c r="A821" s="4" t="s">
        <v>2713</v>
      </c>
      <c r="B821" s="14">
        <v>3000.0</v>
      </c>
      <c r="C821" s="3" t="s">
        <v>2508</v>
      </c>
    </row>
    <row r="822">
      <c r="A822" s="4" t="s">
        <v>1138</v>
      </c>
      <c r="B822" s="14">
        <v>0.0</v>
      </c>
      <c r="C822" s="3" t="s">
        <v>3</v>
      </c>
    </row>
    <row r="823">
      <c r="A823" s="4" t="s">
        <v>1139</v>
      </c>
      <c r="B823" s="14">
        <v>0.0</v>
      </c>
      <c r="C823" s="3" t="s">
        <v>3</v>
      </c>
    </row>
    <row r="824">
      <c r="A824" s="4" t="s">
        <v>2714</v>
      </c>
      <c r="B824" s="14">
        <v>0.0</v>
      </c>
      <c r="C824" s="3" t="s">
        <v>3</v>
      </c>
    </row>
    <row r="825">
      <c r="A825" s="4" t="s">
        <v>1140</v>
      </c>
      <c r="B825" s="14">
        <v>0.0</v>
      </c>
      <c r="C825" s="3" t="s">
        <v>216</v>
      </c>
    </row>
    <row r="826">
      <c r="A826" s="4" t="s">
        <v>1141</v>
      </c>
      <c r="B826" s="14">
        <v>0.0</v>
      </c>
      <c r="C826" s="3" t="s">
        <v>3</v>
      </c>
    </row>
    <row r="827">
      <c r="A827" s="4" t="s">
        <v>2715</v>
      </c>
      <c r="B827" s="14">
        <v>6190.0</v>
      </c>
      <c r="C827" s="4"/>
    </row>
    <row r="828">
      <c r="A828" s="4" t="s">
        <v>1143</v>
      </c>
      <c r="B828" s="14">
        <v>0.0</v>
      </c>
      <c r="C828" s="3" t="s">
        <v>3</v>
      </c>
    </row>
    <row r="829">
      <c r="A829" s="4" t="s">
        <v>2716</v>
      </c>
      <c r="B829" s="14">
        <v>0.0</v>
      </c>
      <c r="C829" s="3" t="s">
        <v>668</v>
      </c>
    </row>
    <row r="830">
      <c r="A830" s="4" t="s">
        <v>1144</v>
      </c>
      <c r="B830" s="14">
        <v>1000.0</v>
      </c>
      <c r="C830" s="4"/>
    </row>
    <row r="831">
      <c r="A831" s="4" t="s">
        <v>2717</v>
      </c>
      <c r="B831" s="14">
        <v>15000.0</v>
      </c>
      <c r="C831" s="3" t="s">
        <v>668</v>
      </c>
    </row>
    <row r="832">
      <c r="A832" s="4" t="s">
        <v>1146</v>
      </c>
      <c r="B832" s="14">
        <v>1450.0</v>
      </c>
      <c r="C832" s="3" t="s">
        <v>29</v>
      </c>
    </row>
    <row r="833">
      <c r="A833" s="4" t="s">
        <v>2718</v>
      </c>
      <c r="B833" s="14">
        <v>0.0</v>
      </c>
      <c r="C833" s="3" t="s">
        <v>29</v>
      </c>
    </row>
    <row r="834">
      <c r="A834" s="4" t="s">
        <v>2719</v>
      </c>
      <c r="B834" s="14">
        <v>0.0</v>
      </c>
      <c r="C834" s="3" t="s">
        <v>29</v>
      </c>
    </row>
    <row r="835">
      <c r="A835" s="4" t="s">
        <v>1150</v>
      </c>
      <c r="B835" s="14">
        <v>90000.0</v>
      </c>
      <c r="C835" s="3" t="s">
        <v>29</v>
      </c>
    </row>
    <row r="836">
      <c r="A836" s="4" t="s">
        <v>2720</v>
      </c>
      <c r="B836" s="14">
        <v>0.0</v>
      </c>
      <c r="C836" s="3" t="s">
        <v>29</v>
      </c>
    </row>
    <row r="837">
      <c r="A837" s="4" t="s">
        <v>2721</v>
      </c>
      <c r="B837" s="14">
        <v>0.0</v>
      </c>
      <c r="C837" s="3" t="s">
        <v>29</v>
      </c>
    </row>
    <row r="838">
      <c r="A838" s="4" t="s">
        <v>2722</v>
      </c>
      <c r="B838" s="14">
        <v>0.0</v>
      </c>
      <c r="C838" s="3" t="s">
        <v>29</v>
      </c>
    </row>
    <row r="839">
      <c r="A839" s="4" t="s">
        <v>1152</v>
      </c>
      <c r="B839" s="14">
        <v>0.0</v>
      </c>
      <c r="C839" s="3" t="s">
        <v>29</v>
      </c>
    </row>
    <row r="840">
      <c r="A840" s="4" t="s">
        <v>1153</v>
      </c>
      <c r="B840" s="14">
        <v>0.0</v>
      </c>
      <c r="C840" s="3" t="s">
        <v>29</v>
      </c>
    </row>
    <row r="841">
      <c r="A841" s="4" t="s">
        <v>1154</v>
      </c>
      <c r="B841" s="14">
        <v>0.0</v>
      </c>
      <c r="C841" s="3" t="s">
        <v>3</v>
      </c>
    </row>
    <row r="842">
      <c r="A842" s="4" t="s">
        <v>2723</v>
      </c>
      <c r="B842" s="14">
        <v>2200.0</v>
      </c>
      <c r="C842" s="4"/>
    </row>
    <row r="843">
      <c r="A843" s="4" t="s">
        <v>2724</v>
      </c>
      <c r="B843" s="14">
        <v>0.0</v>
      </c>
      <c r="C843" s="3" t="s">
        <v>2370</v>
      </c>
    </row>
    <row r="844">
      <c r="A844" s="4" t="s">
        <v>1158</v>
      </c>
      <c r="B844" s="14">
        <v>0.0</v>
      </c>
      <c r="C844" s="3" t="s">
        <v>3</v>
      </c>
    </row>
    <row r="845">
      <c r="A845" s="4" t="s">
        <v>2725</v>
      </c>
      <c r="B845" s="14">
        <v>444542.0</v>
      </c>
      <c r="C845" s="3" t="s">
        <v>2370</v>
      </c>
    </row>
    <row r="846">
      <c r="A846" s="4" t="s">
        <v>2726</v>
      </c>
      <c r="B846" s="14">
        <v>2500.0</v>
      </c>
      <c r="C846" s="4"/>
    </row>
    <row r="847">
      <c r="A847" s="4" t="s">
        <v>2727</v>
      </c>
      <c r="B847" s="14">
        <v>0.0</v>
      </c>
      <c r="C847" s="3" t="s">
        <v>29</v>
      </c>
    </row>
    <row r="848">
      <c r="A848" s="4" t="s">
        <v>2728</v>
      </c>
      <c r="B848" s="14">
        <v>4000.0</v>
      </c>
      <c r="C848" s="4"/>
    </row>
    <row r="849">
      <c r="A849" s="4" t="s">
        <v>1163</v>
      </c>
      <c r="B849" s="14">
        <v>0.0</v>
      </c>
      <c r="C849" s="3" t="s">
        <v>3</v>
      </c>
    </row>
    <row r="850">
      <c r="A850" s="4" t="s">
        <v>1164</v>
      </c>
      <c r="B850" s="14">
        <v>0.0</v>
      </c>
      <c r="C850" s="3" t="s">
        <v>3</v>
      </c>
    </row>
    <row r="851">
      <c r="A851" s="4" t="s">
        <v>2729</v>
      </c>
      <c r="B851" s="14">
        <v>0.0</v>
      </c>
      <c r="C851" s="3" t="s">
        <v>3</v>
      </c>
    </row>
    <row r="852">
      <c r="A852" s="4" t="s">
        <v>1165</v>
      </c>
      <c r="B852" s="14">
        <v>3000.0</v>
      </c>
      <c r="C852" s="3" t="s">
        <v>3</v>
      </c>
    </row>
    <row r="853">
      <c r="A853" s="4" t="s">
        <v>2730</v>
      </c>
      <c r="B853" s="14">
        <v>0.0</v>
      </c>
      <c r="C853" s="3" t="s">
        <v>3</v>
      </c>
    </row>
    <row r="854">
      <c r="A854" s="4" t="s">
        <v>1166</v>
      </c>
      <c r="B854" s="14">
        <v>0.0</v>
      </c>
      <c r="C854" s="3" t="s">
        <v>3</v>
      </c>
    </row>
    <row r="855">
      <c r="A855" s="4" t="s">
        <v>2731</v>
      </c>
      <c r="B855" s="14">
        <v>0.0</v>
      </c>
      <c r="C855" s="3" t="s">
        <v>3</v>
      </c>
    </row>
    <row r="856">
      <c r="A856" s="4" t="s">
        <v>2732</v>
      </c>
      <c r="B856" s="14">
        <v>3000.0</v>
      </c>
      <c r="C856" s="4"/>
    </row>
    <row r="857">
      <c r="A857" s="4" t="s">
        <v>2733</v>
      </c>
      <c r="B857" s="14">
        <v>0.0</v>
      </c>
      <c r="C857" s="3" t="s">
        <v>3</v>
      </c>
    </row>
    <row r="858">
      <c r="A858" s="4" t="s">
        <v>1170</v>
      </c>
      <c r="B858" s="14">
        <v>0.0</v>
      </c>
      <c r="C858" s="3" t="s">
        <v>3</v>
      </c>
    </row>
    <row r="859">
      <c r="A859" s="4" t="s">
        <v>1171</v>
      </c>
      <c r="B859" s="14">
        <v>0.0</v>
      </c>
      <c r="C859" s="3" t="s">
        <v>3</v>
      </c>
    </row>
    <row r="860">
      <c r="A860" s="4" t="s">
        <v>1172</v>
      </c>
      <c r="B860" s="14">
        <v>0.0</v>
      </c>
      <c r="C860" s="3" t="s">
        <v>6</v>
      </c>
    </row>
    <row r="861">
      <c r="A861" s="4" t="s">
        <v>1174</v>
      </c>
      <c r="B861" s="14">
        <v>0.0</v>
      </c>
      <c r="C861" s="3" t="s">
        <v>2377</v>
      </c>
    </row>
    <row r="862">
      <c r="A862" s="4" t="s">
        <v>2734</v>
      </c>
      <c r="B862" s="14">
        <v>0.0</v>
      </c>
      <c r="C862" s="3" t="s">
        <v>3</v>
      </c>
    </row>
    <row r="863">
      <c r="A863" s="4" t="s">
        <v>1177</v>
      </c>
      <c r="B863" s="14">
        <v>2800.0</v>
      </c>
      <c r="C863" s="3" t="s">
        <v>3</v>
      </c>
    </row>
    <row r="864">
      <c r="A864" s="4" t="s">
        <v>1179</v>
      </c>
      <c r="B864" s="14">
        <v>334000.0</v>
      </c>
      <c r="C864" s="4"/>
    </row>
    <row r="865">
      <c r="A865" s="4" t="s">
        <v>1182</v>
      </c>
      <c r="B865" s="14">
        <v>500.0</v>
      </c>
      <c r="C865" s="4"/>
    </row>
    <row r="866">
      <c r="A866" s="4" t="s">
        <v>1183</v>
      </c>
      <c r="B866" s="14">
        <v>0.0</v>
      </c>
      <c r="C866" s="3" t="s">
        <v>3</v>
      </c>
    </row>
    <row r="867">
      <c r="A867" s="4" t="s">
        <v>2259</v>
      </c>
      <c r="B867" s="14">
        <v>129693.0</v>
      </c>
      <c r="C867" s="3" t="s">
        <v>2370</v>
      </c>
    </row>
    <row r="868">
      <c r="A868" s="4" t="s">
        <v>1187</v>
      </c>
      <c r="B868" s="14">
        <v>115000.0</v>
      </c>
      <c r="C868" s="3" t="s">
        <v>2377</v>
      </c>
    </row>
    <row r="869">
      <c r="A869" s="4" t="s">
        <v>2735</v>
      </c>
      <c r="B869" s="14">
        <v>0.0</v>
      </c>
      <c r="C869" s="3" t="s">
        <v>3</v>
      </c>
    </row>
    <row r="870">
      <c r="A870" s="4" t="s">
        <v>1188</v>
      </c>
      <c r="B870" s="14">
        <v>470044.0</v>
      </c>
      <c r="C870" s="3" t="s">
        <v>2377</v>
      </c>
    </row>
    <row r="871">
      <c r="A871" s="4" t="s">
        <v>1190</v>
      </c>
      <c r="B871" s="14">
        <v>500.0</v>
      </c>
      <c r="C871" s="3" t="s">
        <v>3</v>
      </c>
    </row>
    <row r="872">
      <c r="A872" s="4" t="s">
        <v>2736</v>
      </c>
      <c r="B872" s="14">
        <v>0.0</v>
      </c>
      <c r="C872" s="3" t="s">
        <v>3</v>
      </c>
    </row>
    <row r="873">
      <c r="A873" s="4" t="s">
        <v>1191</v>
      </c>
      <c r="B873" s="14">
        <v>3200.0</v>
      </c>
      <c r="C873" s="3" t="s">
        <v>6</v>
      </c>
    </row>
    <row r="874">
      <c r="A874" s="4" t="s">
        <v>1192</v>
      </c>
      <c r="B874" s="14">
        <v>2600.0</v>
      </c>
      <c r="C874" s="3" t="s">
        <v>3</v>
      </c>
    </row>
    <row r="875">
      <c r="A875" s="4" t="s">
        <v>2737</v>
      </c>
      <c r="B875" s="14">
        <v>0.0</v>
      </c>
      <c r="C875" s="3" t="s">
        <v>3</v>
      </c>
    </row>
    <row r="876">
      <c r="A876" s="4" t="s">
        <v>1193</v>
      </c>
      <c r="B876" s="14">
        <v>4000.0</v>
      </c>
      <c r="C876" s="4"/>
    </row>
    <row r="877">
      <c r="A877" s="4" t="s">
        <v>1194</v>
      </c>
      <c r="B877" s="14">
        <v>10000.0</v>
      </c>
      <c r="C877" s="4"/>
    </row>
    <row r="878">
      <c r="A878" s="4" t="s">
        <v>2738</v>
      </c>
      <c r="B878" s="14">
        <v>4000.0</v>
      </c>
      <c r="C878" s="3" t="s">
        <v>3</v>
      </c>
    </row>
    <row r="879">
      <c r="A879" s="4" t="s">
        <v>2739</v>
      </c>
      <c r="B879" s="14">
        <v>500.0</v>
      </c>
      <c r="C879" s="4"/>
    </row>
    <row r="880">
      <c r="A880" s="4" t="s">
        <v>2740</v>
      </c>
      <c r="B880" s="14">
        <v>0.0</v>
      </c>
      <c r="C880" s="3" t="s">
        <v>6</v>
      </c>
    </row>
    <row r="881">
      <c r="A881" s="4" t="s">
        <v>1202</v>
      </c>
      <c r="B881" s="14">
        <v>0.0</v>
      </c>
      <c r="C881" s="3" t="s">
        <v>6</v>
      </c>
    </row>
    <row r="882">
      <c r="A882" s="4" t="s">
        <v>2262</v>
      </c>
      <c r="B882" s="14">
        <v>60000.0</v>
      </c>
      <c r="C882" s="4"/>
    </row>
    <row r="883">
      <c r="A883" s="4" t="s">
        <v>2263</v>
      </c>
      <c r="B883" s="14">
        <v>1000.0</v>
      </c>
      <c r="C883" s="4"/>
    </row>
    <row r="884">
      <c r="A884" s="4" t="s">
        <v>2741</v>
      </c>
      <c r="B884" s="14">
        <v>0.0</v>
      </c>
      <c r="C884" s="3" t="s">
        <v>3</v>
      </c>
    </row>
    <row r="885">
      <c r="A885" s="4" t="s">
        <v>2742</v>
      </c>
      <c r="B885" s="14">
        <v>0.0</v>
      </c>
      <c r="C885" s="3" t="s">
        <v>6</v>
      </c>
    </row>
    <row r="886">
      <c r="A886" s="4" t="s">
        <v>1209</v>
      </c>
      <c r="B886" s="14">
        <v>1500.0</v>
      </c>
      <c r="C886" s="4"/>
    </row>
    <row r="887">
      <c r="A887" s="4" t="s">
        <v>2743</v>
      </c>
      <c r="B887" s="14">
        <v>0.0</v>
      </c>
      <c r="C887" s="3" t="s">
        <v>3</v>
      </c>
    </row>
    <row r="888">
      <c r="A888" s="4" t="s">
        <v>2265</v>
      </c>
      <c r="B888" s="14">
        <v>2500.0</v>
      </c>
      <c r="C888" s="3" t="s">
        <v>3</v>
      </c>
    </row>
    <row r="889">
      <c r="A889" s="4" t="s">
        <v>1214</v>
      </c>
      <c r="B889" s="14">
        <v>5000.0</v>
      </c>
      <c r="C889" s="3" t="s">
        <v>29</v>
      </c>
    </row>
    <row r="890">
      <c r="A890" s="4" t="s">
        <v>1215</v>
      </c>
      <c r="B890" s="14">
        <v>0.0</v>
      </c>
      <c r="C890" s="3" t="s">
        <v>29</v>
      </c>
    </row>
    <row r="891">
      <c r="A891" s="4" t="s">
        <v>1216</v>
      </c>
      <c r="B891" s="14">
        <v>0.0</v>
      </c>
      <c r="C891" s="3" t="s">
        <v>3</v>
      </c>
    </row>
    <row r="892">
      <c r="A892" s="4" t="s">
        <v>1217</v>
      </c>
      <c r="B892" s="14">
        <v>0.0</v>
      </c>
      <c r="C892" s="3" t="s">
        <v>29</v>
      </c>
    </row>
    <row r="893">
      <c r="A893" s="4" t="s">
        <v>2744</v>
      </c>
      <c r="B893" s="14">
        <v>0.0</v>
      </c>
      <c r="C893" s="3" t="s">
        <v>3</v>
      </c>
    </row>
    <row r="894">
      <c r="A894" s="4" t="s">
        <v>1218</v>
      </c>
      <c r="B894" s="14">
        <v>0.0</v>
      </c>
      <c r="C894" s="3" t="s">
        <v>29</v>
      </c>
    </row>
    <row r="895">
      <c r="A895" s="4" t="s">
        <v>1219</v>
      </c>
      <c r="B895" s="14">
        <v>0.0</v>
      </c>
      <c r="C895" s="3" t="s">
        <v>2368</v>
      </c>
    </row>
    <row r="896">
      <c r="A896" s="4" t="s">
        <v>1221</v>
      </c>
      <c r="B896" s="14">
        <v>0.0</v>
      </c>
      <c r="C896" s="3" t="s">
        <v>3</v>
      </c>
    </row>
    <row r="897">
      <c r="A897" s="4" t="s">
        <v>1222</v>
      </c>
      <c r="B897" s="14">
        <v>0.0</v>
      </c>
      <c r="C897" s="3" t="s">
        <v>6</v>
      </c>
    </row>
    <row r="898">
      <c r="A898" s="4" t="s">
        <v>1223</v>
      </c>
      <c r="B898" s="14">
        <v>3000.0</v>
      </c>
      <c r="C898" s="3" t="s">
        <v>3</v>
      </c>
    </row>
    <row r="899">
      <c r="A899" s="4" t="s">
        <v>1226</v>
      </c>
      <c r="B899" s="14">
        <v>0.0</v>
      </c>
      <c r="C899" s="3" t="s">
        <v>29</v>
      </c>
    </row>
    <row r="900">
      <c r="A900" s="4" t="s">
        <v>1227</v>
      </c>
      <c r="B900" s="14">
        <v>66000.0</v>
      </c>
      <c r="C900" s="4"/>
    </row>
    <row r="901">
      <c r="A901" s="4" t="s">
        <v>2745</v>
      </c>
      <c r="B901" s="14">
        <v>2500.0</v>
      </c>
      <c r="C901" s="3" t="s">
        <v>3</v>
      </c>
    </row>
    <row r="902">
      <c r="A902" s="4" t="s">
        <v>2746</v>
      </c>
      <c r="B902" s="14">
        <v>0.0</v>
      </c>
      <c r="C902" s="3" t="s">
        <v>3</v>
      </c>
    </row>
    <row r="903">
      <c r="A903" s="4" t="s">
        <v>2747</v>
      </c>
      <c r="B903" s="14">
        <v>0.0</v>
      </c>
      <c r="C903" s="3" t="s">
        <v>3</v>
      </c>
    </row>
    <row r="904">
      <c r="A904" s="4" t="s">
        <v>1229</v>
      </c>
      <c r="B904" s="14">
        <v>0.0</v>
      </c>
      <c r="C904" s="3" t="s">
        <v>2377</v>
      </c>
    </row>
    <row r="905">
      <c r="A905" s="4" t="s">
        <v>2748</v>
      </c>
      <c r="B905" s="14">
        <v>22000.0</v>
      </c>
      <c r="C905" s="3" t="s">
        <v>6</v>
      </c>
    </row>
    <row r="906">
      <c r="A906" s="4" t="s">
        <v>2749</v>
      </c>
      <c r="B906" s="14">
        <v>0.0</v>
      </c>
      <c r="C906" s="3" t="s">
        <v>3</v>
      </c>
    </row>
    <row r="907">
      <c r="A907" s="4" t="s">
        <v>1232</v>
      </c>
      <c r="B907" s="14">
        <v>0.0</v>
      </c>
      <c r="C907" s="3" t="s">
        <v>29</v>
      </c>
    </row>
    <row r="908">
      <c r="A908" s="4" t="s">
        <v>2750</v>
      </c>
      <c r="B908" s="14">
        <v>1000.0</v>
      </c>
      <c r="C908" s="3" t="s">
        <v>3</v>
      </c>
    </row>
    <row r="909">
      <c r="A909" s="4" t="s">
        <v>2751</v>
      </c>
      <c r="B909" s="14">
        <v>0.0</v>
      </c>
      <c r="C909" s="3" t="s">
        <v>3</v>
      </c>
    </row>
    <row r="910">
      <c r="A910" s="4" t="s">
        <v>2752</v>
      </c>
      <c r="B910" s="14">
        <v>0.0</v>
      </c>
      <c r="C910" s="3" t="s">
        <v>6</v>
      </c>
    </row>
    <row r="911">
      <c r="A911" s="4" t="s">
        <v>1234</v>
      </c>
      <c r="B911" s="14">
        <v>12041.0</v>
      </c>
      <c r="C911" s="3" t="s">
        <v>29</v>
      </c>
    </row>
    <row r="912">
      <c r="A912" s="4" t="s">
        <v>1236</v>
      </c>
      <c r="B912" s="14">
        <v>12000.0</v>
      </c>
      <c r="C912" s="3" t="s">
        <v>6</v>
      </c>
    </row>
    <row r="913">
      <c r="A913" s="4" t="s">
        <v>2753</v>
      </c>
      <c r="B913" s="14">
        <v>0.0</v>
      </c>
      <c r="C913" s="3" t="s">
        <v>3</v>
      </c>
    </row>
    <row r="914">
      <c r="A914" s="4" t="s">
        <v>1240</v>
      </c>
      <c r="B914" s="14">
        <v>0.0</v>
      </c>
      <c r="C914" s="3" t="s">
        <v>3</v>
      </c>
    </row>
    <row r="915">
      <c r="A915" s="4" t="s">
        <v>1242</v>
      </c>
      <c r="B915" s="14">
        <v>2800.0</v>
      </c>
      <c r="C915" s="3" t="s">
        <v>3</v>
      </c>
    </row>
    <row r="916">
      <c r="A916" s="4" t="s">
        <v>2754</v>
      </c>
      <c r="B916" s="14">
        <v>3000.0</v>
      </c>
      <c r="C916" s="3" t="s">
        <v>2368</v>
      </c>
    </row>
    <row r="917">
      <c r="A917" s="4" t="s">
        <v>2755</v>
      </c>
      <c r="B917" s="14">
        <v>4800.0</v>
      </c>
      <c r="C917" s="4"/>
    </row>
    <row r="918">
      <c r="A918" s="4" t="s">
        <v>1245</v>
      </c>
      <c r="B918" s="14">
        <v>0.0</v>
      </c>
      <c r="C918" s="3" t="s">
        <v>3</v>
      </c>
    </row>
    <row r="919">
      <c r="A919" s="4" t="s">
        <v>1246</v>
      </c>
      <c r="B919" s="14">
        <v>21000.0</v>
      </c>
      <c r="C919" s="4"/>
    </row>
    <row r="920">
      <c r="A920" s="4" t="s">
        <v>1247</v>
      </c>
      <c r="B920" s="14">
        <v>2500.0</v>
      </c>
      <c r="C920" s="4"/>
    </row>
    <row r="921">
      <c r="A921" s="4" t="s">
        <v>1248</v>
      </c>
      <c r="B921" s="14">
        <v>12000.0</v>
      </c>
      <c r="C921" s="4"/>
    </row>
    <row r="922">
      <c r="A922" s="4" t="s">
        <v>2756</v>
      </c>
      <c r="B922" s="14">
        <v>0.0</v>
      </c>
      <c r="C922" s="3" t="s">
        <v>3</v>
      </c>
    </row>
    <row r="923">
      <c r="A923" s="4" t="s">
        <v>1254</v>
      </c>
      <c r="B923" s="14">
        <v>0.0</v>
      </c>
      <c r="C923" s="3" t="s">
        <v>6</v>
      </c>
    </row>
    <row r="924">
      <c r="A924" s="4" t="s">
        <v>2757</v>
      </c>
      <c r="B924" s="14">
        <v>0.0</v>
      </c>
      <c r="C924" s="3" t="s">
        <v>3</v>
      </c>
    </row>
    <row r="925">
      <c r="A925" s="4" t="s">
        <v>2758</v>
      </c>
      <c r="B925" s="14">
        <v>0.0</v>
      </c>
      <c r="C925" s="3" t="s">
        <v>3</v>
      </c>
    </row>
    <row r="926">
      <c r="A926" s="4" t="s">
        <v>1258</v>
      </c>
      <c r="B926" s="14">
        <v>1300.0</v>
      </c>
      <c r="C926" s="3" t="s">
        <v>3</v>
      </c>
    </row>
    <row r="927">
      <c r="A927" s="4" t="s">
        <v>1260</v>
      </c>
      <c r="B927" s="14">
        <v>1550.0</v>
      </c>
      <c r="C927" s="3" t="s">
        <v>2508</v>
      </c>
    </row>
    <row r="928">
      <c r="A928" s="4" t="s">
        <v>1262</v>
      </c>
      <c r="B928" s="14">
        <v>25000.0</v>
      </c>
      <c r="C928" s="4"/>
    </row>
    <row r="929">
      <c r="A929" s="4" t="s">
        <v>2759</v>
      </c>
      <c r="B929" s="14">
        <v>0.0</v>
      </c>
      <c r="C929" s="3" t="s">
        <v>3</v>
      </c>
    </row>
    <row r="930">
      <c r="A930" s="4" t="s">
        <v>2760</v>
      </c>
      <c r="B930" s="14">
        <v>0.0</v>
      </c>
      <c r="C930" s="3" t="s">
        <v>6</v>
      </c>
    </row>
    <row r="931">
      <c r="A931" s="4" t="s">
        <v>2761</v>
      </c>
      <c r="B931" s="14">
        <v>4000.0</v>
      </c>
      <c r="C931" s="4"/>
    </row>
    <row r="932">
      <c r="A932" s="4" t="s">
        <v>1270</v>
      </c>
      <c r="B932" s="14">
        <v>481561.0</v>
      </c>
      <c r="C932" s="3" t="s">
        <v>2377</v>
      </c>
    </row>
    <row r="933">
      <c r="A933" s="4" t="s">
        <v>1272</v>
      </c>
      <c r="B933" s="14">
        <v>500.0</v>
      </c>
      <c r="C933" s="4"/>
    </row>
    <row r="934">
      <c r="A934" s="4" t="s">
        <v>2762</v>
      </c>
      <c r="B934" s="14">
        <v>0.0</v>
      </c>
      <c r="C934" s="3" t="s">
        <v>3</v>
      </c>
    </row>
    <row r="935">
      <c r="A935" s="4" t="s">
        <v>2763</v>
      </c>
      <c r="B935" s="14">
        <v>0.0</v>
      </c>
      <c r="C935" s="3" t="s">
        <v>3</v>
      </c>
    </row>
    <row r="936">
      <c r="A936" s="4" t="s">
        <v>1273</v>
      </c>
      <c r="B936" s="14">
        <v>19500.0</v>
      </c>
      <c r="C936" s="3" t="s">
        <v>2377</v>
      </c>
    </row>
    <row r="937">
      <c r="A937" s="4" t="s">
        <v>1275</v>
      </c>
      <c r="B937" s="14">
        <v>0.0</v>
      </c>
      <c r="C937" s="3" t="s">
        <v>29</v>
      </c>
    </row>
    <row r="938">
      <c r="A938" s="4" t="s">
        <v>2764</v>
      </c>
      <c r="B938" s="14">
        <v>300.0</v>
      </c>
      <c r="C938" s="3" t="s">
        <v>3</v>
      </c>
    </row>
    <row r="939">
      <c r="A939" s="4" t="s">
        <v>2765</v>
      </c>
      <c r="B939" s="14">
        <v>3500.0</v>
      </c>
      <c r="C939" s="4"/>
    </row>
    <row r="940">
      <c r="A940" s="4" t="s">
        <v>1277</v>
      </c>
      <c r="B940" s="14">
        <v>18000.0</v>
      </c>
      <c r="C940" s="3" t="s">
        <v>16</v>
      </c>
    </row>
    <row r="941">
      <c r="A941" s="4" t="s">
        <v>1278</v>
      </c>
      <c r="B941" s="14">
        <v>10000.0</v>
      </c>
      <c r="C941" s="4"/>
    </row>
    <row r="942">
      <c r="A942" s="4" t="s">
        <v>1279</v>
      </c>
      <c r="B942" s="14">
        <v>4000.0</v>
      </c>
      <c r="C942" s="3" t="s">
        <v>3</v>
      </c>
    </row>
    <row r="943">
      <c r="A943" s="4" t="s">
        <v>2766</v>
      </c>
      <c r="B943" s="14">
        <v>0.0</v>
      </c>
      <c r="C943" s="3" t="s">
        <v>3</v>
      </c>
    </row>
    <row r="944">
      <c r="A944" s="4" t="s">
        <v>1281</v>
      </c>
      <c r="B944" s="14">
        <v>2000.0</v>
      </c>
      <c r="C944" s="3" t="s">
        <v>3</v>
      </c>
    </row>
    <row r="945">
      <c r="A945" s="4" t="s">
        <v>2767</v>
      </c>
      <c r="B945" s="14">
        <v>0.0</v>
      </c>
      <c r="C945" s="3" t="s">
        <v>2377</v>
      </c>
    </row>
    <row r="946">
      <c r="A946" s="4" t="s">
        <v>1285</v>
      </c>
      <c r="B946" s="14">
        <v>3300.0</v>
      </c>
      <c r="C946" s="4"/>
    </row>
    <row r="947">
      <c r="A947" s="4" t="s">
        <v>2768</v>
      </c>
      <c r="B947" s="14">
        <v>0.0</v>
      </c>
      <c r="C947" s="3" t="s">
        <v>3</v>
      </c>
    </row>
    <row r="948">
      <c r="A948" s="4" t="s">
        <v>1287</v>
      </c>
      <c r="B948" s="14">
        <v>4000.0</v>
      </c>
      <c r="C948" s="3" t="s">
        <v>2377</v>
      </c>
    </row>
    <row r="949">
      <c r="A949" s="4" t="s">
        <v>1288</v>
      </c>
      <c r="B949" s="14">
        <v>10533.0</v>
      </c>
      <c r="C949" s="3" t="s">
        <v>3</v>
      </c>
    </row>
    <row r="950">
      <c r="A950" s="4" t="s">
        <v>2769</v>
      </c>
      <c r="B950" s="14">
        <v>0.0</v>
      </c>
      <c r="C950" s="3" t="s">
        <v>3</v>
      </c>
    </row>
    <row r="951">
      <c r="A951" s="4" t="s">
        <v>2770</v>
      </c>
      <c r="B951" s="14">
        <v>400.0</v>
      </c>
      <c r="C951" s="4"/>
    </row>
    <row r="952">
      <c r="A952" s="4" t="s">
        <v>2771</v>
      </c>
      <c r="B952" s="14">
        <v>50000.0</v>
      </c>
      <c r="C952" s="3" t="s">
        <v>29</v>
      </c>
    </row>
    <row r="953">
      <c r="A953" s="4" t="s">
        <v>1290</v>
      </c>
      <c r="B953" s="14">
        <v>3000.0</v>
      </c>
      <c r="C953" s="4"/>
    </row>
    <row r="954">
      <c r="A954" s="4" t="s">
        <v>1291</v>
      </c>
      <c r="B954" s="14">
        <v>0.0</v>
      </c>
      <c r="C954" s="3" t="s">
        <v>29</v>
      </c>
    </row>
    <row r="955">
      <c r="A955" s="4" t="s">
        <v>2772</v>
      </c>
      <c r="B955" s="14">
        <v>0.0</v>
      </c>
      <c r="C955" s="3" t="s">
        <v>6</v>
      </c>
    </row>
    <row r="956">
      <c r="A956" s="4" t="s">
        <v>1292</v>
      </c>
      <c r="B956" s="14">
        <v>0.0</v>
      </c>
      <c r="C956" s="3" t="s">
        <v>3</v>
      </c>
    </row>
    <row r="957">
      <c r="A957" s="4" t="s">
        <v>2773</v>
      </c>
      <c r="B957" s="14">
        <v>1000.0</v>
      </c>
      <c r="C957" s="4"/>
    </row>
    <row r="958">
      <c r="A958" s="4" t="s">
        <v>1293</v>
      </c>
      <c r="B958" s="14">
        <v>2000.0</v>
      </c>
      <c r="C958" s="3" t="s">
        <v>29</v>
      </c>
    </row>
    <row r="959">
      <c r="A959" s="4" t="s">
        <v>1295</v>
      </c>
      <c r="B959" s="14">
        <v>0.0</v>
      </c>
      <c r="C959" s="3" t="s">
        <v>3</v>
      </c>
    </row>
    <row r="960">
      <c r="A960" s="4" t="s">
        <v>2774</v>
      </c>
      <c r="B960" s="14">
        <v>0.0</v>
      </c>
      <c r="C960" s="3" t="s">
        <v>3</v>
      </c>
    </row>
    <row r="961">
      <c r="A961" s="4" t="s">
        <v>1298</v>
      </c>
      <c r="B961" s="14">
        <v>0.0</v>
      </c>
      <c r="C961" s="3" t="s">
        <v>3</v>
      </c>
    </row>
    <row r="962">
      <c r="A962" s="4" t="s">
        <v>1299</v>
      </c>
      <c r="B962" s="14">
        <v>0.0</v>
      </c>
      <c r="C962" s="3" t="s">
        <v>3</v>
      </c>
    </row>
    <row r="963">
      <c r="A963" s="4" t="s">
        <v>1300</v>
      </c>
      <c r="B963" s="14">
        <v>2000.0</v>
      </c>
      <c r="C963" s="3" t="s">
        <v>2377</v>
      </c>
    </row>
    <row r="964">
      <c r="A964" s="4" t="s">
        <v>2775</v>
      </c>
      <c r="B964" s="14">
        <v>0.0</v>
      </c>
      <c r="C964" s="3" t="s">
        <v>6</v>
      </c>
    </row>
    <row r="965">
      <c r="A965" s="4" t="s">
        <v>1302</v>
      </c>
      <c r="B965" s="14">
        <v>0.0</v>
      </c>
      <c r="C965" s="3" t="s">
        <v>29</v>
      </c>
    </row>
    <row r="966">
      <c r="A966" s="4" t="s">
        <v>1303</v>
      </c>
      <c r="B966" s="14">
        <v>1500.0</v>
      </c>
      <c r="C966" s="3" t="s">
        <v>6</v>
      </c>
    </row>
    <row r="967">
      <c r="A967" s="4" t="s">
        <v>2776</v>
      </c>
      <c r="B967" s="14">
        <v>0.0</v>
      </c>
      <c r="C967" s="3" t="s">
        <v>3</v>
      </c>
    </row>
    <row r="968">
      <c r="A968" s="4" t="s">
        <v>1304</v>
      </c>
      <c r="B968" s="14">
        <v>45000.0</v>
      </c>
      <c r="C968" s="3" t="s">
        <v>2377</v>
      </c>
    </row>
    <row r="969">
      <c r="A969" s="4" t="s">
        <v>1305</v>
      </c>
      <c r="B969" s="14">
        <v>7000.0</v>
      </c>
      <c r="C969" s="3" t="s">
        <v>3</v>
      </c>
    </row>
    <row r="970">
      <c r="A970" s="4" t="s">
        <v>1306</v>
      </c>
      <c r="B970" s="14">
        <v>1700.0</v>
      </c>
      <c r="C970" s="3" t="s">
        <v>6</v>
      </c>
    </row>
    <row r="971">
      <c r="A971" s="4" t="s">
        <v>1307</v>
      </c>
      <c r="B971" s="14">
        <v>0.0</v>
      </c>
      <c r="C971" s="3" t="s">
        <v>2377</v>
      </c>
    </row>
    <row r="972">
      <c r="A972" s="4" t="s">
        <v>2777</v>
      </c>
      <c r="B972" s="14">
        <v>3000.0</v>
      </c>
      <c r="C972" s="4"/>
    </row>
    <row r="973">
      <c r="A973" s="4" t="s">
        <v>2778</v>
      </c>
      <c r="B973" s="14">
        <v>0.0</v>
      </c>
      <c r="C973" s="3" t="s">
        <v>6</v>
      </c>
    </row>
    <row r="974">
      <c r="A974" s="4" t="s">
        <v>2779</v>
      </c>
      <c r="B974" s="14">
        <v>10000.0</v>
      </c>
      <c r="C974" s="3" t="s">
        <v>3</v>
      </c>
    </row>
    <row r="975">
      <c r="A975" s="4" t="s">
        <v>2780</v>
      </c>
      <c r="B975" s="14">
        <v>860.0</v>
      </c>
      <c r="C975" s="4"/>
    </row>
    <row r="976">
      <c r="A976" s="4" t="s">
        <v>2781</v>
      </c>
      <c r="B976" s="14">
        <v>0.0</v>
      </c>
      <c r="C976" s="3" t="s">
        <v>3</v>
      </c>
    </row>
    <row r="977">
      <c r="A977" s="4" t="s">
        <v>1309</v>
      </c>
      <c r="B977" s="14">
        <v>0.0</v>
      </c>
      <c r="C977" s="3" t="s">
        <v>3</v>
      </c>
    </row>
    <row r="978">
      <c r="A978" s="4" t="s">
        <v>1310</v>
      </c>
      <c r="B978" s="14">
        <v>0.0</v>
      </c>
      <c r="C978" s="3" t="s">
        <v>6</v>
      </c>
    </row>
    <row r="979">
      <c r="A979" s="4" t="s">
        <v>1312</v>
      </c>
      <c r="B979" s="14">
        <v>500.0</v>
      </c>
      <c r="C979" s="4"/>
    </row>
    <row r="980">
      <c r="A980" s="4" t="s">
        <v>1313</v>
      </c>
      <c r="B980" s="14">
        <v>0.0</v>
      </c>
      <c r="C980" s="3" t="s">
        <v>3</v>
      </c>
    </row>
    <row r="981">
      <c r="A981" s="4" t="s">
        <v>1314</v>
      </c>
      <c r="B981" s="14">
        <v>4000.0</v>
      </c>
      <c r="C981" s="4"/>
    </row>
    <row r="982">
      <c r="A982" s="4" t="s">
        <v>1315</v>
      </c>
      <c r="B982" s="14">
        <v>16000.0</v>
      </c>
      <c r="C982" s="3" t="s">
        <v>3</v>
      </c>
    </row>
    <row r="983">
      <c r="A983" s="4" t="s">
        <v>1317</v>
      </c>
      <c r="B983" s="14">
        <v>0.0</v>
      </c>
      <c r="C983" s="3" t="s">
        <v>6</v>
      </c>
    </row>
    <row r="984">
      <c r="A984" s="4" t="s">
        <v>2269</v>
      </c>
      <c r="B984" s="14">
        <v>0.0</v>
      </c>
      <c r="C984" s="3" t="s">
        <v>3</v>
      </c>
    </row>
    <row r="985">
      <c r="A985" s="4" t="s">
        <v>2782</v>
      </c>
      <c r="B985" s="14">
        <v>0.0</v>
      </c>
      <c r="C985" s="3" t="s">
        <v>3</v>
      </c>
    </row>
    <row r="986">
      <c r="A986" s="4" t="s">
        <v>2783</v>
      </c>
      <c r="B986" s="14">
        <v>0.0</v>
      </c>
      <c r="C986" s="3" t="s">
        <v>6</v>
      </c>
    </row>
    <row r="987">
      <c r="A987" s="4" t="s">
        <v>2784</v>
      </c>
      <c r="B987" s="14">
        <v>0.0</v>
      </c>
      <c r="C987" s="3" t="s">
        <v>3</v>
      </c>
    </row>
    <row r="988">
      <c r="A988" s="4" t="s">
        <v>1322</v>
      </c>
      <c r="B988" s="14">
        <v>23000.0</v>
      </c>
      <c r="C988" s="3" t="s">
        <v>3</v>
      </c>
    </row>
    <row r="989">
      <c r="A989" s="4" t="s">
        <v>1324</v>
      </c>
      <c r="B989" s="14">
        <v>4500.0</v>
      </c>
      <c r="C989" s="3" t="s">
        <v>216</v>
      </c>
    </row>
    <row r="990">
      <c r="A990" s="4" t="s">
        <v>2785</v>
      </c>
      <c r="B990" s="14">
        <v>0.0</v>
      </c>
      <c r="C990" s="3" t="s">
        <v>3</v>
      </c>
    </row>
    <row r="991">
      <c r="A991" s="4" t="s">
        <v>1325</v>
      </c>
      <c r="B991" s="14">
        <v>0.0</v>
      </c>
      <c r="C991" s="3" t="s">
        <v>3</v>
      </c>
    </row>
    <row r="992">
      <c r="A992" s="4" t="s">
        <v>2786</v>
      </c>
      <c r="B992" s="14">
        <v>500.0</v>
      </c>
      <c r="C992" s="4"/>
    </row>
    <row r="993">
      <c r="A993" s="4" t="s">
        <v>2787</v>
      </c>
      <c r="B993" s="14">
        <v>2500.0</v>
      </c>
      <c r="C993" s="4"/>
    </row>
    <row r="994">
      <c r="A994" s="4" t="s">
        <v>1328</v>
      </c>
      <c r="B994" s="14">
        <v>0.0</v>
      </c>
      <c r="C994" s="3" t="s">
        <v>29</v>
      </c>
    </row>
    <row r="995">
      <c r="A995" s="4" t="s">
        <v>1329</v>
      </c>
      <c r="B995" s="14">
        <v>2000.0</v>
      </c>
      <c r="C995" s="3" t="s">
        <v>6</v>
      </c>
    </row>
    <row r="996">
      <c r="A996" s="4" t="s">
        <v>2788</v>
      </c>
      <c r="B996" s="14">
        <v>0.0</v>
      </c>
      <c r="C996" s="3" t="s">
        <v>2377</v>
      </c>
    </row>
    <row r="997">
      <c r="A997" s="4" t="s">
        <v>1331</v>
      </c>
      <c r="B997" s="14">
        <v>8000.0</v>
      </c>
      <c r="C997" s="3" t="s">
        <v>6</v>
      </c>
    </row>
    <row r="998">
      <c r="A998" s="4" t="s">
        <v>1332</v>
      </c>
      <c r="B998" s="14">
        <v>500.0</v>
      </c>
      <c r="C998" s="4"/>
    </row>
    <row r="999">
      <c r="A999" s="4" t="s">
        <v>1333</v>
      </c>
      <c r="B999" s="14">
        <v>1500.0</v>
      </c>
      <c r="C999" s="4"/>
    </row>
    <row r="1000">
      <c r="A1000" s="4" t="s">
        <v>2789</v>
      </c>
      <c r="B1000" s="14">
        <v>2000.0</v>
      </c>
      <c r="C1000" s="3" t="s">
        <v>6</v>
      </c>
    </row>
    <row r="1001">
      <c r="A1001" s="4" t="s">
        <v>1335</v>
      </c>
      <c r="B1001" s="14">
        <v>0.0</v>
      </c>
      <c r="C1001" s="3" t="s">
        <v>3</v>
      </c>
    </row>
    <row r="1002">
      <c r="A1002" s="4" t="s">
        <v>1336</v>
      </c>
      <c r="B1002" s="14">
        <v>18000.0</v>
      </c>
      <c r="C1002" s="3" t="s">
        <v>3</v>
      </c>
    </row>
    <row r="1003">
      <c r="A1003" s="4" t="s">
        <v>1337</v>
      </c>
      <c r="B1003" s="14">
        <v>3000.0</v>
      </c>
      <c r="C1003" s="4"/>
    </row>
    <row r="1004">
      <c r="A1004" s="4" t="s">
        <v>2790</v>
      </c>
      <c r="B1004" s="14">
        <v>8000.0</v>
      </c>
      <c r="C1004" s="3" t="s">
        <v>3</v>
      </c>
    </row>
    <row r="1005">
      <c r="A1005" s="4" t="s">
        <v>1338</v>
      </c>
      <c r="B1005" s="14">
        <v>4000.0</v>
      </c>
      <c r="C1005" s="3" t="s">
        <v>3</v>
      </c>
    </row>
    <row r="1006">
      <c r="A1006" s="4" t="s">
        <v>1339</v>
      </c>
      <c r="B1006" s="14">
        <v>57357.0</v>
      </c>
      <c r="C1006" s="4"/>
    </row>
    <row r="1007">
      <c r="A1007" s="4" t="s">
        <v>2791</v>
      </c>
      <c r="B1007" s="14">
        <v>5000.0</v>
      </c>
      <c r="C1007" s="4"/>
    </row>
    <row r="1008">
      <c r="A1008" s="4" t="s">
        <v>2792</v>
      </c>
      <c r="B1008" s="14">
        <v>0.0</v>
      </c>
      <c r="C1008" s="3" t="s">
        <v>6</v>
      </c>
    </row>
    <row r="1009">
      <c r="A1009" s="4" t="s">
        <v>2793</v>
      </c>
      <c r="B1009" s="14">
        <v>0.0</v>
      </c>
      <c r="C1009" s="3" t="s">
        <v>3</v>
      </c>
    </row>
    <row r="1010">
      <c r="A1010" s="4" t="s">
        <v>2794</v>
      </c>
      <c r="B1010" s="14">
        <v>0.0</v>
      </c>
      <c r="C1010" s="3" t="s">
        <v>3</v>
      </c>
    </row>
    <row r="1011">
      <c r="A1011" s="4" t="s">
        <v>1347</v>
      </c>
      <c r="B1011" s="14">
        <v>0.0</v>
      </c>
      <c r="C1011" s="3" t="s">
        <v>3</v>
      </c>
    </row>
    <row r="1012">
      <c r="A1012" s="4" t="s">
        <v>1348</v>
      </c>
      <c r="B1012" s="14">
        <v>13000.0</v>
      </c>
      <c r="C1012" s="4"/>
    </row>
    <row r="1013">
      <c r="A1013" s="4" t="s">
        <v>2795</v>
      </c>
      <c r="B1013" s="14">
        <v>0.0</v>
      </c>
      <c r="C1013" s="3" t="s">
        <v>3</v>
      </c>
    </row>
    <row r="1014">
      <c r="A1014" s="4" t="s">
        <v>2796</v>
      </c>
      <c r="B1014" s="14">
        <v>2000.0</v>
      </c>
      <c r="C1014" s="3" t="s">
        <v>6</v>
      </c>
    </row>
    <row r="1015">
      <c r="A1015" s="4" t="s">
        <v>1351</v>
      </c>
      <c r="B1015" s="14">
        <v>4000.0</v>
      </c>
      <c r="C1015" s="4"/>
    </row>
    <row r="1016">
      <c r="A1016" s="4" t="s">
        <v>1352</v>
      </c>
      <c r="B1016" s="14">
        <v>0.0</v>
      </c>
      <c r="C1016" s="3" t="s">
        <v>3</v>
      </c>
    </row>
    <row r="1017">
      <c r="A1017" s="4" t="s">
        <v>2797</v>
      </c>
      <c r="B1017" s="14">
        <v>0.0</v>
      </c>
      <c r="C1017" s="3" t="s">
        <v>3</v>
      </c>
    </row>
    <row r="1018">
      <c r="A1018" s="4" t="s">
        <v>2798</v>
      </c>
      <c r="B1018" s="14">
        <v>0.0</v>
      </c>
      <c r="C1018" s="3" t="s">
        <v>3</v>
      </c>
    </row>
    <row r="1019">
      <c r="A1019" s="4" t="s">
        <v>2799</v>
      </c>
      <c r="B1019" s="14">
        <v>0.0</v>
      </c>
      <c r="C1019" s="3" t="s">
        <v>3</v>
      </c>
    </row>
    <row r="1020">
      <c r="A1020" s="4" t="s">
        <v>2800</v>
      </c>
      <c r="B1020" s="14">
        <v>6300.0</v>
      </c>
      <c r="C1020" s="3" t="s">
        <v>3</v>
      </c>
    </row>
    <row r="1021">
      <c r="A1021" s="4" t="s">
        <v>1355</v>
      </c>
      <c r="B1021" s="14">
        <v>0.0</v>
      </c>
      <c r="C1021" s="3" t="s">
        <v>3</v>
      </c>
    </row>
    <row r="1022">
      <c r="A1022" s="4" t="s">
        <v>2801</v>
      </c>
      <c r="B1022" s="14">
        <v>0.0</v>
      </c>
      <c r="C1022" s="3" t="s">
        <v>3</v>
      </c>
    </row>
    <row r="1023">
      <c r="A1023" s="4" t="s">
        <v>1357</v>
      </c>
      <c r="B1023" s="14">
        <v>0.0</v>
      </c>
      <c r="C1023" s="3" t="s">
        <v>3</v>
      </c>
    </row>
    <row r="1024">
      <c r="A1024" s="4" t="s">
        <v>2802</v>
      </c>
      <c r="B1024" s="14">
        <v>0.0</v>
      </c>
      <c r="C1024" s="3" t="s">
        <v>6</v>
      </c>
    </row>
    <row r="1025">
      <c r="A1025" s="4" t="s">
        <v>1358</v>
      </c>
      <c r="B1025" s="14">
        <v>27000.0</v>
      </c>
      <c r="C1025" s="3" t="s">
        <v>2377</v>
      </c>
    </row>
    <row r="1026">
      <c r="A1026" s="4" t="s">
        <v>2803</v>
      </c>
      <c r="B1026" s="14">
        <v>0.0</v>
      </c>
      <c r="C1026" s="3" t="s">
        <v>3</v>
      </c>
    </row>
    <row r="1027">
      <c r="A1027" s="4" t="s">
        <v>2270</v>
      </c>
      <c r="B1027" s="14">
        <v>8900.0</v>
      </c>
      <c r="C1027" s="3" t="s">
        <v>2370</v>
      </c>
    </row>
    <row r="1028">
      <c r="A1028" s="4" t="s">
        <v>1361</v>
      </c>
      <c r="B1028" s="14">
        <v>10000.0</v>
      </c>
      <c r="C1028" s="4"/>
    </row>
    <row r="1029">
      <c r="A1029" s="4" t="s">
        <v>1362</v>
      </c>
      <c r="B1029" s="14">
        <v>650.0</v>
      </c>
      <c r="C1029" s="3" t="s">
        <v>2368</v>
      </c>
    </row>
    <row r="1030">
      <c r="A1030" s="4" t="s">
        <v>1363</v>
      </c>
      <c r="B1030" s="14">
        <v>74000.0</v>
      </c>
      <c r="C1030" s="3" t="s">
        <v>2377</v>
      </c>
    </row>
    <row r="1031">
      <c r="A1031" s="4" t="s">
        <v>2804</v>
      </c>
      <c r="B1031" s="14">
        <v>0.0</v>
      </c>
      <c r="C1031" s="3" t="s">
        <v>6</v>
      </c>
    </row>
    <row r="1032">
      <c r="A1032" s="4" t="s">
        <v>2805</v>
      </c>
      <c r="B1032" s="14">
        <v>0.0</v>
      </c>
      <c r="C1032" s="3" t="s">
        <v>3</v>
      </c>
    </row>
    <row r="1033">
      <c r="A1033" s="4" t="s">
        <v>2806</v>
      </c>
      <c r="B1033" s="14">
        <v>0.0</v>
      </c>
      <c r="C1033" s="3" t="s">
        <v>2370</v>
      </c>
    </row>
    <row r="1034">
      <c r="A1034" s="4" t="s">
        <v>1365</v>
      </c>
      <c r="B1034" s="14">
        <v>0.0</v>
      </c>
      <c r="C1034" s="3" t="s">
        <v>2377</v>
      </c>
    </row>
    <row r="1035">
      <c r="A1035" s="4" t="s">
        <v>2807</v>
      </c>
      <c r="B1035" s="14">
        <v>0.0</v>
      </c>
      <c r="C1035" s="3" t="s">
        <v>3</v>
      </c>
    </row>
    <row r="1036">
      <c r="A1036" s="4" t="s">
        <v>1367</v>
      </c>
      <c r="B1036" s="14">
        <v>11500.0</v>
      </c>
      <c r="C1036" s="3" t="s">
        <v>3</v>
      </c>
    </row>
    <row r="1037">
      <c r="A1037" s="4" t="s">
        <v>1368</v>
      </c>
      <c r="B1037" s="14">
        <v>3000.0</v>
      </c>
      <c r="C1037" s="4"/>
    </row>
    <row r="1038">
      <c r="A1038" s="4" t="s">
        <v>1369</v>
      </c>
      <c r="B1038" s="14">
        <v>0.0</v>
      </c>
      <c r="C1038" s="3" t="s">
        <v>3</v>
      </c>
    </row>
    <row r="1039">
      <c r="A1039" s="4" t="s">
        <v>1370</v>
      </c>
      <c r="B1039" s="14">
        <v>2500.0</v>
      </c>
      <c r="C1039" s="3" t="s">
        <v>2377</v>
      </c>
    </row>
    <row r="1040">
      <c r="A1040" s="4" t="s">
        <v>1371</v>
      </c>
      <c r="B1040" s="14">
        <v>190000.0</v>
      </c>
      <c r="C1040" s="3" t="s">
        <v>176</v>
      </c>
    </row>
    <row r="1041">
      <c r="A1041" s="4" t="s">
        <v>1375</v>
      </c>
      <c r="B1041" s="14">
        <v>0.0</v>
      </c>
      <c r="C1041" s="3" t="s">
        <v>3</v>
      </c>
    </row>
    <row r="1042">
      <c r="A1042" s="4" t="s">
        <v>1376</v>
      </c>
      <c r="B1042" s="14">
        <v>0.0</v>
      </c>
      <c r="C1042" s="3" t="s">
        <v>3</v>
      </c>
    </row>
    <row r="1043">
      <c r="A1043" s="4" t="s">
        <v>1377</v>
      </c>
      <c r="B1043" s="14">
        <v>51819.78</v>
      </c>
      <c r="C1043" s="3" t="s">
        <v>3</v>
      </c>
    </row>
    <row r="1044">
      <c r="A1044" s="4" t="s">
        <v>2808</v>
      </c>
      <c r="B1044" s="14">
        <v>0.0</v>
      </c>
      <c r="C1044" s="3" t="s">
        <v>3</v>
      </c>
    </row>
    <row r="1045">
      <c r="A1045" s="4" t="s">
        <v>1381</v>
      </c>
      <c r="B1045" s="14">
        <v>0.0</v>
      </c>
      <c r="C1045" s="3" t="s">
        <v>1651</v>
      </c>
    </row>
    <row r="1046">
      <c r="A1046" s="4" t="s">
        <v>1384</v>
      </c>
      <c r="B1046" s="14">
        <v>0.0</v>
      </c>
      <c r="C1046" s="3" t="s">
        <v>3</v>
      </c>
    </row>
    <row r="1047">
      <c r="A1047" s="4" t="s">
        <v>2809</v>
      </c>
      <c r="B1047" s="14">
        <v>0.0</v>
      </c>
      <c r="C1047" s="3" t="s">
        <v>3</v>
      </c>
    </row>
    <row r="1048">
      <c r="A1048" s="4" t="s">
        <v>2810</v>
      </c>
      <c r="B1048" s="14">
        <v>12000.0</v>
      </c>
      <c r="C1048" s="4"/>
    </row>
    <row r="1049">
      <c r="A1049" s="4" t="s">
        <v>1386</v>
      </c>
      <c r="B1049" s="14">
        <v>2200.0</v>
      </c>
      <c r="C1049" s="3" t="s">
        <v>2377</v>
      </c>
    </row>
    <row r="1050">
      <c r="A1050" s="4" t="s">
        <v>1387</v>
      </c>
      <c r="B1050" s="14">
        <v>4000.0</v>
      </c>
      <c r="C1050" s="3" t="s">
        <v>3</v>
      </c>
    </row>
    <row r="1051">
      <c r="A1051" s="4" t="s">
        <v>1389</v>
      </c>
      <c r="B1051" s="14">
        <v>121000.0</v>
      </c>
      <c r="C1051" s="3" t="s">
        <v>176</v>
      </c>
    </row>
    <row r="1052">
      <c r="A1052" s="4" t="s">
        <v>2811</v>
      </c>
      <c r="B1052" s="14">
        <v>0.0</v>
      </c>
      <c r="C1052" s="3" t="s">
        <v>2508</v>
      </c>
    </row>
    <row r="1053">
      <c r="A1053" s="4" t="s">
        <v>2812</v>
      </c>
      <c r="B1053" s="14">
        <v>1000.0</v>
      </c>
      <c r="C1053" s="4"/>
    </row>
    <row r="1054">
      <c r="A1054" s="4" t="s">
        <v>1393</v>
      </c>
      <c r="B1054" s="14">
        <v>4000.0</v>
      </c>
      <c r="C1054" s="3" t="s">
        <v>6</v>
      </c>
    </row>
    <row r="1055">
      <c r="A1055" s="4" t="s">
        <v>2813</v>
      </c>
      <c r="B1055" s="14">
        <v>0.0</v>
      </c>
      <c r="C1055" s="3" t="s">
        <v>6</v>
      </c>
    </row>
    <row r="1056">
      <c r="A1056" s="4" t="s">
        <v>2814</v>
      </c>
      <c r="B1056" s="14">
        <v>4000.0</v>
      </c>
      <c r="C1056" s="3" t="s">
        <v>3</v>
      </c>
    </row>
    <row r="1057">
      <c r="A1057" s="4" t="s">
        <v>2815</v>
      </c>
      <c r="B1057" s="14">
        <v>0.0</v>
      </c>
      <c r="C1057" s="3" t="s">
        <v>3</v>
      </c>
    </row>
    <row r="1058">
      <c r="A1058" s="4" t="s">
        <v>2816</v>
      </c>
      <c r="B1058" s="14">
        <v>0.0</v>
      </c>
      <c r="C1058" s="3" t="s">
        <v>2377</v>
      </c>
    </row>
    <row r="1059">
      <c r="A1059" s="4" t="s">
        <v>1394</v>
      </c>
      <c r="B1059" s="14">
        <v>0.0</v>
      </c>
      <c r="C1059" s="3" t="s">
        <v>6</v>
      </c>
    </row>
    <row r="1060">
      <c r="A1060" s="4" t="s">
        <v>1395</v>
      </c>
      <c r="B1060" s="14">
        <v>480.0</v>
      </c>
      <c r="C1060" s="4"/>
    </row>
    <row r="1061">
      <c r="A1061" s="4" t="s">
        <v>1399</v>
      </c>
      <c r="B1061" s="14">
        <v>0.0</v>
      </c>
      <c r="C1061" s="3" t="s">
        <v>3</v>
      </c>
    </row>
    <row r="1062">
      <c r="A1062" s="4" t="s">
        <v>1400</v>
      </c>
      <c r="B1062" s="14">
        <v>0.0</v>
      </c>
      <c r="C1062" s="3" t="s">
        <v>3</v>
      </c>
    </row>
    <row r="1063">
      <c r="A1063" s="4" t="s">
        <v>2817</v>
      </c>
      <c r="B1063" s="14">
        <v>4800.0</v>
      </c>
      <c r="C1063" s="4"/>
    </row>
    <row r="1064">
      <c r="A1064" s="4" t="s">
        <v>1401</v>
      </c>
      <c r="B1064" s="14">
        <v>5400.0</v>
      </c>
      <c r="C1064" s="4"/>
    </row>
    <row r="1065">
      <c r="A1065" s="4" t="s">
        <v>2818</v>
      </c>
      <c r="B1065" s="14">
        <v>0.0</v>
      </c>
      <c r="C1065" s="3" t="s">
        <v>3</v>
      </c>
    </row>
    <row r="1066">
      <c r="A1066" s="4" t="s">
        <v>1403</v>
      </c>
      <c r="B1066" s="14">
        <v>0.0</v>
      </c>
      <c r="C1066" s="3" t="s">
        <v>3</v>
      </c>
    </row>
    <row r="1067">
      <c r="A1067" s="4" t="s">
        <v>1404</v>
      </c>
      <c r="B1067" s="14">
        <v>0.0</v>
      </c>
      <c r="C1067" s="3" t="s">
        <v>2377</v>
      </c>
    </row>
    <row r="1068">
      <c r="A1068" s="4" t="s">
        <v>1405</v>
      </c>
      <c r="B1068" s="14">
        <v>14000.0</v>
      </c>
      <c r="C1068" s="4"/>
    </row>
    <row r="1069">
      <c r="A1069" s="4" t="s">
        <v>1406</v>
      </c>
      <c r="B1069" s="14">
        <v>15180.0</v>
      </c>
      <c r="C1069" s="3" t="s">
        <v>2377</v>
      </c>
    </row>
    <row r="1070">
      <c r="A1070" s="4" t="s">
        <v>2819</v>
      </c>
      <c r="B1070" s="14">
        <v>0.0</v>
      </c>
      <c r="C1070" s="3" t="s">
        <v>668</v>
      </c>
    </row>
    <row r="1071">
      <c r="A1071" s="4" t="s">
        <v>1408</v>
      </c>
      <c r="B1071" s="14">
        <v>1500.0</v>
      </c>
      <c r="C1071" s="4"/>
    </row>
    <row r="1072">
      <c r="A1072" s="4" t="s">
        <v>1409</v>
      </c>
      <c r="B1072" s="14">
        <v>0.0</v>
      </c>
      <c r="C1072" s="3" t="s">
        <v>6</v>
      </c>
    </row>
    <row r="1073">
      <c r="A1073" s="4" t="s">
        <v>2820</v>
      </c>
      <c r="B1073" s="14">
        <v>0.0</v>
      </c>
      <c r="C1073" s="3" t="s">
        <v>3</v>
      </c>
    </row>
    <row r="1074">
      <c r="A1074" s="4" t="s">
        <v>1410</v>
      </c>
      <c r="B1074" s="14">
        <v>0.0</v>
      </c>
      <c r="C1074" s="3" t="s">
        <v>6</v>
      </c>
    </row>
    <row r="1075">
      <c r="A1075" s="4" t="s">
        <v>1411</v>
      </c>
      <c r="B1075" s="14">
        <v>0.0</v>
      </c>
      <c r="C1075" s="3" t="s">
        <v>2377</v>
      </c>
    </row>
    <row r="1076">
      <c r="A1076" s="4" t="s">
        <v>1412</v>
      </c>
      <c r="B1076" s="14">
        <v>0.0</v>
      </c>
      <c r="C1076" s="3" t="s">
        <v>3</v>
      </c>
    </row>
    <row r="1077">
      <c r="A1077" s="4" t="s">
        <v>1413</v>
      </c>
      <c r="B1077" s="14">
        <v>0.0</v>
      </c>
      <c r="C1077" s="3" t="s">
        <v>3</v>
      </c>
    </row>
    <row r="1078">
      <c r="A1078" s="4" t="s">
        <v>2821</v>
      </c>
      <c r="B1078" s="14">
        <v>4000.0</v>
      </c>
      <c r="C1078" s="4"/>
    </row>
    <row r="1079">
      <c r="A1079" s="4" t="s">
        <v>1415</v>
      </c>
      <c r="B1079" s="14">
        <v>500.0</v>
      </c>
      <c r="C1079" s="4"/>
    </row>
    <row r="1080">
      <c r="A1080" s="4" t="s">
        <v>1417</v>
      </c>
      <c r="B1080" s="14">
        <v>4500.0</v>
      </c>
      <c r="C1080" s="4"/>
    </row>
    <row r="1081">
      <c r="A1081" s="4" t="s">
        <v>2822</v>
      </c>
      <c r="B1081" s="14">
        <v>0.0</v>
      </c>
      <c r="C1081" s="3" t="s">
        <v>3</v>
      </c>
    </row>
    <row r="1082">
      <c r="A1082" s="4" t="s">
        <v>1418</v>
      </c>
      <c r="B1082" s="14">
        <v>5000.0</v>
      </c>
      <c r="C1082" s="3" t="s">
        <v>216</v>
      </c>
    </row>
    <row r="1083">
      <c r="A1083" s="4" t="s">
        <v>2823</v>
      </c>
      <c r="B1083" s="14">
        <v>0.0</v>
      </c>
      <c r="C1083" s="3" t="s">
        <v>3</v>
      </c>
    </row>
    <row r="1084">
      <c r="A1084" s="4" t="s">
        <v>2824</v>
      </c>
      <c r="B1084" s="14">
        <v>4000.0</v>
      </c>
      <c r="C1084" s="4"/>
    </row>
    <row r="1085">
      <c r="A1085" s="4" t="s">
        <v>1420</v>
      </c>
      <c r="B1085" s="14">
        <v>10000.0</v>
      </c>
      <c r="C1085" s="3" t="s">
        <v>6</v>
      </c>
    </row>
    <row r="1086">
      <c r="A1086" s="4" t="s">
        <v>2825</v>
      </c>
      <c r="B1086" s="14">
        <v>0.0</v>
      </c>
      <c r="C1086" s="3" t="s">
        <v>3</v>
      </c>
    </row>
    <row r="1087">
      <c r="A1087" s="4" t="s">
        <v>1427</v>
      </c>
      <c r="B1087" s="14">
        <v>5955.0</v>
      </c>
      <c r="C1087" s="3" t="s">
        <v>2377</v>
      </c>
    </row>
    <row r="1088">
      <c r="A1088" s="4" t="s">
        <v>2826</v>
      </c>
      <c r="B1088" s="14">
        <v>0.0</v>
      </c>
      <c r="C1088" s="3" t="s">
        <v>3</v>
      </c>
    </row>
    <row r="1089">
      <c r="A1089" s="4" t="s">
        <v>1429</v>
      </c>
      <c r="B1089" s="14">
        <v>0.0</v>
      </c>
      <c r="C1089" s="3" t="s">
        <v>3</v>
      </c>
    </row>
    <row r="1090">
      <c r="A1090" s="4" t="s">
        <v>2827</v>
      </c>
      <c r="B1090" s="14">
        <v>800.0</v>
      </c>
      <c r="C1090" s="3" t="s">
        <v>3</v>
      </c>
    </row>
    <row r="1091">
      <c r="A1091" s="4" t="s">
        <v>1430</v>
      </c>
      <c r="B1091" s="14">
        <v>500.0</v>
      </c>
      <c r="C1091" s="3" t="s">
        <v>6</v>
      </c>
    </row>
    <row r="1092">
      <c r="A1092" s="4" t="s">
        <v>1431</v>
      </c>
      <c r="B1092" s="14">
        <v>5000.0</v>
      </c>
      <c r="C1092" s="3" t="s">
        <v>6</v>
      </c>
    </row>
    <row r="1093">
      <c r="A1093" s="4" t="s">
        <v>2273</v>
      </c>
      <c r="B1093" s="14">
        <v>0.0</v>
      </c>
      <c r="C1093" s="3" t="s">
        <v>2508</v>
      </c>
    </row>
    <row r="1094">
      <c r="A1094" s="4" t="s">
        <v>2828</v>
      </c>
      <c r="B1094" s="14">
        <v>0.0</v>
      </c>
      <c r="C1094" s="3" t="s">
        <v>3</v>
      </c>
    </row>
    <row r="1095">
      <c r="A1095" s="4" t="s">
        <v>1434</v>
      </c>
      <c r="B1095" s="14">
        <v>3500.0</v>
      </c>
      <c r="C1095" s="3" t="s">
        <v>3</v>
      </c>
    </row>
    <row r="1096">
      <c r="A1096" s="4" t="s">
        <v>1436</v>
      </c>
      <c r="B1096" s="14">
        <v>4000.0</v>
      </c>
      <c r="C1096" s="4"/>
    </row>
    <row r="1097">
      <c r="A1097" s="4" t="s">
        <v>2829</v>
      </c>
      <c r="B1097" s="14">
        <v>1500.0</v>
      </c>
      <c r="C1097" s="4"/>
    </row>
    <row r="1098">
      <c r="A1098" s="4" t="s">
        <v>2830</v>
      </c>
      <c r="B1098" s="14">
        <v>0.0</v>
      </c>
      <c r="C1098" s="3" t="s">
        <v>3</v>
      </c>
    </row>
    <row r="1099">
      <c r="A1099" s="4" t="s">
        <v>1438</v>
      </c>
      <c r="B1099" s="14">
        <v>50000.0</v>
      </c>
      <c r="C1099" s="4"/>
    </row>
    <row r="1100">
      <c r="A1100" s="4" t="s">
        <v>2274</v>
      </c>
      <c r="B1100" s="14">
        <v>26852.0</v>
      </c>
      <c r="C1100" s="3" t="s">
        <v>2370</v>
      </c>
    </row>
    <row r="1101">
      <c r="A1101" s="4" t="s">
        <v>2831</v>
      </c>
      <c r="B1101" s="14">
        <v>6000.0</v>
      </c>
      <c r="C1101" s="3" t="s">
        <v>6</v>
      </c>
    </row>
    <row r="1102">
      <c r="A1102" s="4" t="s">
        <v>2832</v>
      </c>
      <c r="B1102" s="14">
        <v>5000.0</v>
      </c>
      <c r="C1102" s="4"/>
    </row>
    <row r="1103">
      <c r="A1103" s="4" t="s">
        <v>1443</v>
      </c>
      <c r="B1103" s="14">
        <v>0.0</v>
      </c>
      <c r="C1103" s="3" t="s">
        <v>3</v>
      </c>
    </row>
    <row r="1104">
      <c r="A1104" s="4" t="s">
        <v>1444</v>
      </c>
      <c r="B1104" s="14">
        <v>1000.0</v>
      </c>
      <c r="C1104" s="4"/>
    </row>
    <row r="1105">
      <c r="A1105" s="4" t="s">
        <v>2833</v>
      </c>
      <c r="B1105" s="14">
        <v>0.0</v>
      </c>
      <c r="C1105" s="3" t="s">
        <v>3</v>
      </c>
    </row>
    <row r="1106">
      <c r="A1106" s="4" t="s">
        <v>2834</v>
      </c>
      <c r="B1106" s="14">
        <v>15000.0</v>
      </c>
      <c r="C1106" s="3" t="s">
        <v>6</v>
      </c>
    </row>
    <row r="1107">
      <c r="A1107" s="4" t="s">
        <v>1447</v>
      </c>
      <c r="B1107" s="14">
        <v>0.0</v>
      </c>
      <c r="C1107" s="3" t="s">
        <v>6</v>
      </c>
    </row>
    <row r="1108">
      <c r="A1108" s="4" t="s">
        <v>1449</v>
      </c>
      <c r="B1108" s="14">
        <v>0.0</v>
      </c>
      <c r="C1108" s="3" t="s">
        <v>6</v>
      </c>
    </row>
    <row r="1109">
      <c r="A1109" s="4" t="s">
        <v>1450</v>
      </c>
      <c r="B1109" s="14">
        <v>0.0</v>
      </c>
      <c r="C1109" s="3" t="s">
        <v>3</v>
      </c>
    </row>
    <row r="1110">
      <c r="A1110" s="4" t="s">
        <v>2835</v>
      </c>
      <c r="B1110" s="14">
        <v>0.0</v>
      </c>
      <c r="C1110" s="3" t="s">
        <v>6</v>
      </c>
    </row>
    <row r="1111">
      <c r="A1111" s="4" t="s">
        <v>1451</v>
      </c>
      <c r="B1111" s="14">
        <v>1000.0</v>
      </c>
      <c r="C1111" s="3" t="s">
        <v>3</v>
      </c>
    </row>
    <row r="1112">
      <c r="A1112" s="4" t="s">
        <v>2836</v>
      </c>
      <c r="B1112" s="14">
        <v>0.0</v>
      </c>
      <c r="C1112" s="3" t="s">
        <v>2377</v>
      </c>
    </row>
    <row r="1113">
      <c r="A1113" s="4" t="s">
        <v>1452</v>
      </c>
      <c r="B1113" s="14">
        <v>0.0</v>
      </c>
      <c r="C1113" s="3" t="s">
        <v>2377</v>
      </c>
    </row>
    <row r="1114">
      <c r="A1114" s="4" t="s">
        <v>2837</v>
      </c>
      <c r="B1114" s="14">
        <v>0.0</v>
      </c>
      <c r="C1114" s="3" t="s">
        <v>3</v>
      </c>
    </row>
    <row r="1115">
      <c r="A1115" s="4" t="s">
        <v>2838</v>
      </c>
      <c r="B1115" s="14">
        <v>0.0</v>
      </c>
      <c r="C1115" s="3" t="s">
        <v>3</v>
      </c>
    </row>
    <row r="1116">
      <c r="A1116" s="4" t="s">
        <v>1454</v>
      </c>
      <c r="B1116" s="14">
        <v>500.0</v>
      </c>
      <c r="C1116" s="3" t="s">
        <v>2508</v>
      </c>
    </row>
    <row r="1117">
      <c r="A1117" s="4" t="s">
        <v>2839</v>
      </c>
      <c r="B1117" s="14">
        <v>0.0</v>
      </c>
      <c r="C1117" s="3" t="s">
        <v>3</v>
      </c>
    </row>
    <row r="1118">
      <c r="A1118" s="4" t="s">
        <v>2840</v>
      </c>
      <c r="B1118" s="14">
        <v>0.0</v>
      </c>
      <c r="C1118" s="3" t="s">
        <v>3</v>
      </c>
    </row>
    <row r="1119">
      <c r="A1119" s="4" t="s">
        <v>2841</v>
      </c>
      <c r="B1119" s="14">
        <v>0.0</v>
      </c>
      <c r="C1119" s="3" t="s">
        <v>3</v>
      </c>
    </row>
    <row r="1120">
      <c r="A1120" s="4" t="s">
        <v>2275</v>
      </c>
      <c r="B1120" s="14">
        <v>500.0</v>
      </c>
      <c r="C1120" s="4"/>
    </row>
    <row r="1121">
      <c r="A1121" s="4" t="s">
        <v>2842</v>
      </c>
      <c r="B1121" s="14">
        <v>800.0</v>
      </c>
      <c r="C1121" s="3" t="s">
        <v>3</v>
      </c>
    </row>
    <row r="1122">
      <c r="A1122" s="4" t="s">
        <v>1458</v>
      </c>
      <c r="B1122" s="14">
        <v>0.0</v>
      </c>
      <c r="C1122" s="3" t="s">
        <v>3</v>
      </c>
    </row>
    <row r="1123">
      <c r="A1123" s="4" t="s">
        <v>1460</v>
      </c>
      <c r="B1123" s="14">
        <v>6000.0</v>
      </c>
      <c r="C1123" s="3" t="s">
        <v>6</v>
      </c>
    </row>
    <row r="1124">
      <c r="A1124" s="4" t="s">
        <v>2843</v>
      </c>
      <c r="B1124" s="14">
        <v>0.0</v>
      </c>
      <c r="C1124" s="3" t="s">
        <v>6</v>
      </c>
    </row>
    <row r="1125">
      <c r="A1125" s="4" t="s">
        <v>1461</v>
      </c>
      <c r="B1125" s="14">
        <v>1000.0</v>
      </c>
      <c r="C1125" s="4"/>
    </row>
    <row r="1126">
      <c r="A1126" s="4" t="s">
        <v>1462</v>
      </c>
      <c r="B1126" s="14">
        <v>6200.0</v>
      </c>
      <c r="C1126" s="3" t="s">
        <v>6</v>
      </c>
    </row>
    <row r="1127">
      <c r="A1127" s="4" t="s">
        <v>2844</v>
      </c>
      <c r="B1127" s="14">
        <v>500.0</v>
      </c>
      <c r="C1127" s="4"/>
    </row>
    <row r="1128">
      <c r="A1128" s="4" t="s">
        <v>1463</v>
      </c>
      <c r="B1128" s="14">
        <v>350358.0</v>
      </c>
      <c r="C1128" s="3" t="s">
        <v>2508</v>
      </c>
    </row>
    <row r="1129">
      <c r="A1129" s="4" t="s">
        <v>1465</v>
      </c>
      <c r="B1129" s="14">
        <v>450.0</v>
      </c>
      <c r="C1129" s="4"/>
    </row>
    <row r="1130">
      <c r="A1130" s="4" t="s">
        <v>1466</v>
      </c>
      <c r="B1130" s="14">
        <v>0.0</v>
      </c>
      <c r="C1130" s="3" t="s">
        <v>3</v>
      </c>
    </row>
    <row r="1131">
      <c r="A1131" s="4" t="s">
        <v>2845</v>
      </c>
      <c r="B1131" s="14">
        <v>4000.0</v>
      </c>
      <c r="C1131" s="4"/>
    </row>
    <row r="1132">
      <c r="A1132" s="4" t="s">
        <v>1469</v>
      </c>
      <c r="B1132" s="14">
        <v>0.0</v>
      </c>
      <c r="C1132" s="3" t="s">
        <v>6</v>
      </c>
    </row>
    <row r="1133">
      <c r="A1133" s="4" t="s">
        <v>2846</v>
      </c>
      <c r="B1133" s="14">
        <v>0.0</v>
      </c>
      <c r="C1133" s="3" t="s">
        <v>3</v>
      </c>
    </row>
    <row r="1134">
      <c r="A1134" s="4" t="s">
        <v>1470</v>
      </c>
      <c r="B1134" s="14">
        <v>1500.0</v>
      </c>
      <c r="C1134" s="4"/>
    </row>
    <row r="1135">
      <c r="A1135" s="4" t="s">
        <v>1472</v>
      </c>
      <c r="B1135" s="14">
        <v>374400.0</v>
      </c>
      <c r="C1135" s="3" t="s">
        <v>2377</v>
      </c>
    </row>
    <row r="1136">
      <c r="A1136" s="4" t="s">
        <v>1475</v>
      </c>
      <c r="B1136" s="14">
        <v>11000.0</v>
      </c>
      <c r="C1136" s="4"/>
    </row>
    <row r="1137">
      <c r="A1137" s="4" t="s">
        <v>1476</v>
      </c>
      <c r="B1137" s="14">
        <v>0.0</v>
      </c>
      <c r="C1137" s="3" t="s">
        <v>3</v>
      </c>
    </row>
    <row r="1138">
      <c r="A1138" s="4" t="s">
        <v>1477</v>
      </c>
      <c r="B1138" s="14">
        <v>0.0</v>
      </c>
      <c r="C1138" s="3" t="s">
        <v>6</v>
      </c>
    </row>
    <row r="1139">
      <c r="A1139" s="4" t="s">
        <v>2847</v>
      </c>
      <c r="B1139" s="14">
        <v>0.0</v>
      </c>
      <c r="C1139" s="3" t="s">
        <v>2377</v>
      </c>
    </row>
    <row r="1140">
      <c r="A1140" s="4" t="s">
        <v>2848</v>
      </c>
      <c r="B1140" s="14">
        <v>0.0</v>
      </c>
      <c r="C1140" s="3" t="s">
        <v>3</v>
      </c>
    </row>
    <row r="1141">
      <c r="A1141" s="4" t="s">
        <v>1478</v>
      </c>
      <c r="B1141" s="14">
        <v>0.0</v>
      </c>
      <c r="C1141" s="3" t="s">
        <v>3</v>
      </c>
    </row>
    <row r="1142">
      <c r="A1142" s="4" t="s">
        <v>2276</v>
      </c>
      <c r="B1142" s="14">
        <v>111800.0</v>
      </c>
      <c r="C1142" s="3" t="s">
        <v>2370</v>
      </c>
    </row>
    <row r="1143">
      <c r="A1143" s="4" t="s">
        <v>2277</v>
      </c>
      <c r="B1143" s="14">
        <v>0.0</v>
      </c>
      <c r="C1143" s="3" t="s">
        <v>6</v>
      </c>
    </row>
    <row r="1144">
      <c r="A1144" s="4" t="s">
        <v>1486</v>
      </c>
      <c r="B1144" s="14">
        <v>0.0</v>
      </c>
      <c r="C1144" s="3" t="s">
        <v>3</v>
      </c>
    </row>
    <row r="1145">
      <c r="A1145" s="4" t="s">
        <v>1487</v>
      </c>
      <c r="B1145" s="14">
        <v>0.0</v>
      </c>
      <c r="C1145" s="3" t="s">
        <v>3</v>
      </c>
    </row>
    <row r="1146">
      <c r="A1146" s="4" t="s">
        <v>1488</v>
      </c>
      <c r="B1146" s="14">
        <v>0.0</v>
      </c>
      <c r="C1146" s="3" t="s">
        <v>3</v>
      </c>
    </row>
    <row r="1147">
      <c r="A1147" s="4" t="s">
        <v>1489</v>
      </c>
      <c r="B1147" s="14">
        <v>0.0</v>
      </c>
      <c r="C1147" s="3" t="s">
        <v>3</v>
      </c>
    </row>
    <row r="1148">
      <c r="A1148" s="4" t="s">
        <v>1491</v>
      </c>
      <c r="B1148" s="14">
        <v>800.0</v>
      </c>
      <c r="C1148" s="4"/>
    </row>
    <row r="1149">
      <c r="A1149" s="4" t="s">
        <v>2278</v>
      </c>
      <c r="B1149" s="14">
        <v>946685.0</v>
      </c>
      <c r="C1149" s="3" t="s">
        <v>2370</v>
      </c>
    </row>
    <row r="1150">
      <c r="A1150" s="4" t="s">
        <v>1495</v>
      </c>
      <c r="B1150" s="14">
        <v>0.0</v>
      </c>
      <c r="C1150" s="3" t="s">
        <v>3</v>
      </c>
    </row>
    <row r="1151">
      <c r="A1151" s="4" t="s">
        <v>1496</v>
      </c>
      <c r="B1151" s="14">
        <v>12000.0</v>
      </c>
      <c r="C1151" s="3" t="s">
        <v>29</v>
      </c>
    </row>
    <row r="1152">
      <c r="A1152" s="4" t="s">
        <v>2849</v>
      </c>
      <c r="B1152" s="14">
        <v>3400.0</v>
      </c>
      <c r="C1152" s="4"/>
    </row>
    <row r="1153">
      <c r="A1153" s="4" t="s">
        <v>2850</v>
      </c>
      <c r="B1153" s="14">
        <v>0.0</v>
      </c>
      <c r="C1153" s="3" t="s">
        <v>3</v>
      </c>
    </row>
    <row r="1154">
      <c r="A1154" s="4" t="s">
        <v>2851</v>
      </c>
      <c r="B1154" s="14">
        <v>0.0</v>
      </c>
      <c r="C1154" s="3" t="s">
        <v>6</v>
      </c>
    </row>
    <row r="1155">
      <c r="A1155" s="4" t="s">
        <v>2852</v>
      </c>
      <c r="B1155" s="14">
        <v>0.0</v>
      </c>
      <c r="C1155" s="3" t="s">
        <v>3</v>
      </c>
    </row>
    <row r="1156">
      <c r="A1156" s="4" t="s">
        <v>1497</v>
      </c>
      <c r="B1156" s="14">
        <v>0.0</v>
      </c>
      <c r="C1156" s="3" t="s">
        <v>3</v>
      </c>
    </row>
    <row r="1157">
      <c r="A1157" s="4" t="s">
        <v>1498</v>
      </c>
      <c r="B1157" s="14">
        <v>0.0</v>
      </c>
      <c r="C1157" s="3" t="s">
        <v>29</v>
      </c>
    </row>
    <row r="1158">
      <c r="A1158" s="4" t="s">
        <v>2853</v>
      </c>
      <c r="B1158" s="14">
        <v>500.0</v>
      </c>
      <c r="C1158" s="3" t="s">
        <v>3</v>
      </c>
    </row>
    <row r="1159">
      <c r="A1159" s="4" t="s">
        <v>2854</v>
      </c>
      <c r="B1159" s="14">
        <v>3700.0</v>
      </c>
      <c r="C1159" s="4"/>
    </row>
    <row r="1160">
      <c r="A1160" s="4" t="s">
        <v>1499</v>
      </c>
      <c r="B1160" s="14">
        <v>12500.0</v>
      </c>
      <c r="C1160" s="3" t="s">
        <v>2377</v>
      </c>
    </row>
    <row r="1161">
      <c r="A1161" s="4" t="s">
        <v>1500</v>
      </c>
      <c r="B1161" s="14">
        <v>205000.0</v>
      </c>
      <c r="C1161" s="4"/>
    </row>
    <row r="1162">
      <c r="A1162" s="4" t="s">
        <v>2855</v>
      </c>
      <c r="B1162" s="14">
        <v>0.0</v>
      </c>
      <c r="C1162" s="3" t="s">
        <v>3</v>
      </c>
    </row>
    <row r="1163">
      <c r="A1163" s="4" t="s">
        <v>1502</v>
      </c>
      <c r="B1163" s="14">
        <v>44620.0</v>
      </c>
      <c r="C1163" s="4"/>
    </row>
    <row r="1164">
      <c r="A1164" s="4" t="s">
        <v>1504</v>
      </c>
      <c r="B1164" s="14">
        <v>3500.0</v>
      </c>
      <c r="C1164" s="3" t="s">
        <v>2377</v>
      </c>
    </row>
    <row r="1165">
      <c r="A1165" s="4" t="s">
        <v>1505</v>
      </c>
      <c r="B1165" s="14">
        <v>500.0</v>
      </c>
      <c r="C1165" s="3" t="s">
        <v>3</v>
      </c>
    </row>
    <row r="1166">
      <c r="A1166" s="4" t="s">
        <v>1506</v>
      </c>
      <c r="B1166" s="14">
        <v>500.0</v>
      </c>
      <c r="C1166" s="4"/>
    </row>
    <row r="1167">
      <c r="A1167" s="4" t="s">
        <v>1507</v>
      </c>
      <c r="B1167" s="14">
        <v>0.0</v>
      </c>
      <c r="C1167" s="3" t="s">
        <v>3</v>
      </c>
    </row>
    <row r="1168">
      <c r="A1168" s="4" t="s">
        <v>2856</v>
      </c>
      <c r="B1168" s="14">
        <v>2000.0</v>
      </c>
      <c r="C1168" s="4"/>
    </row>
    <row r="1169">
      <c r="A1169" s="4" t="s">
        <v>1508</v>
      </c>
      <c r="B1169" s="14">
        <v>0.0</v>
      </c>
      <c r="C1169" s="3" t="s">
        <v>3</v>
      </c>
    </row>
    <row r="1170">
      <c r="A1170" s="4" t="s">
        <v>2857</v>
      </c>
      <c r="B1170" s="14">
        <v>0.0</v>
      </c>
      <c r="C1170" s="3" t="s">
        <v>29</v>
      </c>
    </row>
    <row r="1171">
      <c r="A1171" s="4" t="s">
        <v>1510</v>
      </c>
      <c r="B1171" s="14">
        <v>8000.0</v>
      </c>
      <c r="C1171" s="3" t="s">
        <v>3</v>
      </c>
    </row>
    <row r="1172">
      <c r="A1172" s="4" t="s">
        <v>2858</v>
      </c>
      <c r="B1172" s="14">
        <v>0.0</v>
      </c>
      <c r="C1172" s="3" t="s">
        <v>6</v>
      </c>
    </row>
    <row r="1173">
      <c r="A1173" s="4" t="s">
        <v>1511</v>
      </c>
      <c r="B1173" s="14">
        <v>0.0</v>
      </c>
      <c r="C1173" s="3" t="s">
        <v>6</v>
      </c>
    </row>
    <row r="1174">
      <c r="A1174" s="4" t="s">
        <v>1512</v>
      </c>
      <c r="B1174" s="14">
        <v>8000.0</v>
      </c>
      <c r="C1174" s="3" t="s">
        <v>6</v>
      </c>
    </row>
    <row r="1175">
      <c r="A1175" s="4" t="s">
        <v>1515</v>
      </c>
      <c r="B1175" s="14">
        <v>13000.0</v>
      </c>
      <c r="C1175" s="3" t="s">
        <v>176</v>
      </c>
    </row>
    <row r="1176">
      <c r="A1176" s="4" t="s">
        <v>2859</v>
      </c>
      <c r="B1176" s="14">
        <v>0.0</v>
      </c>
      <c r="C1176" s="3" t="s">
        <v>6</v>
      </c>
    </row>
    <row r="1177">
      <c r="A1177" s="4" t="s">
        <v>2860</v>
      </c>
      <c r="B1177" s="14">
        <v>0.0</v>
      </c>
      <c r="C1177" s="3" t="s">
        <v>6</v>
      </c>
    </row>
    <row r="1178">
      <c r="A1178" s="4" t="s">
        <v>2861</v>
      </c>
      <c r="B1178" s="14">
        <v>0.0</v>
      </c>
      <c r="C1178" s="3" t="s">
        <v>6</v>
      </c>
    </row>
    <row r="1179">
      <c r="A1179" s="4" t="s">
        <v>2862</v>
      </c>
      <c r="B1179" s="14">
        <v>0.0</v>
      </c>
      <c r="C1179" s="3" t="s">
        <v>3</v>
      </c>
    </row>
    <row r="1180">
      <c r="A1180" s="4" t="s">
        <v>2280</v>
      </c>
      <c r="B1180" s="14">
        <v>8000.0</v>
      </c>
      <c r="C1180" s="3" t="s">
        <v>6</v>
      </c>
    </row>
    <row r="1181">
      <c r="A1181" s="4" t="s">
        <v>2863</v>
      </c>
      <c r="B1181" s="14">
        <v>0.0</v>
      </c>
      <c r="C1181" s="3" t="s">
        <v>6</v>
      </c>
    </row>
    <row r="1182">
      <c r="A1182" s="4" t="s">
        <v>1532</v>
      </c>
      <c r="B1182" s="14">
        <v>0.0</v>
      </c>
      <c r="C1182" s="3" t="s">
        <v>2377</v>
      </c>
    </row>
    <row r="1183">
      <c r="A1183" s="4" t="s">
        <v>2864</v>
      </c>
      <c r="B1183" s="14">
        <v>0.0</v>
      </c>
      <c r="C1183" s="3" t="s">
        <v>3</v>
      </c>
    </row>
    <row r="1184">
      <c r="A1184" s="4" t="s">
        <v>2865</v>
      </c>
      <c r="B1184" s="14">
        <v>0.0</v>
      </c>
      <c r="C1184" s="3" t="s">
        <v>2377</v>
      </c>
    </row>
    <row r="1185">
      <c r="A1185" s="4" t="s">
        <v>1533</v>
      </c>
      <c r="B1185" s="14">
        <v>0.0</v>
      </c>
      <c r="C1185" s="3" t="s">
        <v>2377</v>
      </c>
    </row>
    <row r="1186">
      <c r="A1186" s="4" t="s">
        <v>2866</v>
      </c>
      <c r="B1186" s="14">
        <v>0.0</v>
      </c>
      <c r="C1186" s="3" t="s">
        <v>2377</v>
      </c>
    </row>
    <row r="1187">
      <c r="A1187" s="4" t="s">
        <v>2867</v>
      </c>
      <c r="B1187" s="14">
        <v>0.0</v>
      </c>
      <c r="C1187" s="3" t="s">
        <v>6</v>
      </c>
    </row>
    <row r="1188">
      <c r="A1188" s="4" t="s">
        <v>2868</v>
      </c>
      <c r="B1188" s="14">
        <v>0.0</v>
      </c>
      <c r="C1188" s="3" t="s">
        <v>3</v>
      </c>
    </row>
    <row r="1189">
      <c r="A1189" s="4" t="s">
        <v>2869</v>
      </c>
      <c r="B1189" s="14">
        <v>0.0</v>
      </c>
      <c r="C1189" s="3" t="s">
        <v>3</v>
      </c>
    </row>
    <row r="1190">
      <c r="A1190" s="4" t="s">
        <v>2870</v>
      </c>
      <c r="B1190" s="14">
        <v>4000.0</v>
      </c>
      <c r="C1190" s="4"/>
    </row>
    <row r="1191">
      <c r="A1191" s="4" t="s">
        <v>1537</v>
      </c>
      <c r="B1191" s="14">
        <v>0.0</v>
      </c>
      <c r="C1191" s="3" t="s">
        <v>2377</v>
      </c>
    </row>
    <row r="1192">
      <c r="A1192" s="4" t="s">
        <v>1538</v>
      </c>
      <c r="B1192" s="14">
        <v>0.0</v>
      </c>
      <c r="C1192" s="3" t="s">
        <v>3</v>
      </c>
    </row>
    <row r="1193">
      <c r="A1193" s="4" t="s">
        <v>1539</v>
      </c>
      <c r="B1193" s="14">
        <v>200000.0</v>
      </c>
      <c r="C1193" s="4"/>
    </row>
    <row r="1194">
      <c r="A1194" s="4" t="s">
        <v>1541</v>
      </c>
      <c r="B1194" s="14">
        <v>300.0</v>
      </c>
      <c r="C1194" s="3" t="s">
        <v>6</v>
      </c>
    </row>
    <row r="1195">
      <c r="A1195" s="4" t="s">
        <v>1542</v>
      </c>
      <c r="B1195" s="14">
        <v>0.0</v>
      </c>
      <c r="C1195" s="3" t="s">
        <v>3</v>
      </c>
    </row>
    <row r="1196">
      <c r="A1196" s="4" t="s">
        <v>2871</v>
      </c>
      <c r="B1196" s="14">
        <v>0.0</v>
      </c>
      <c r="C1196" s="3" t="s">
        <v>6</v>
      </c>
    </row>
    <row r="1197">
      <c r="A1197" s="4" t="s">
        <v>2872</v>
      </c>
      <c r="B1197" s="14">
        <v>0.0</v>
      </c>
      <c r="C1197" s="3" t="s">
        <v>3</v>
      </c>
    </row>
    <row r="1198">
      <c r="A1198" s="4" t="s">
        <v>1544</v>
      </c>
      <c r="B1198" s="14">
        <v>1000.0</v>
      </c>
      <c r="C1198" s="4"/>
    </row>
    <row r="1199">
      <c r="A1199" s="4" t="s">
        <v>2873</v>
      </c>
      <c r="B1199" s="14">
        <v>0.0</v>
      </c>
      <c r="C1199" s="3" t="s">
        <v>6</v>
      </c>
    </row>
    <row r="1200">
      <c r="A1200" s="4" t="s">
        <v>1548</v>
      </c>
      <c r="B1200" s="14">
        <v>0.0</v>
      </c>
      <c r="C1200" s="3" t="s">
        <v>29</v>
      </c>
    </row>
    <row r="1201">
      <c r="A1201" s="4" t="s">
        <v>1549</v>
      </c>
      <c r="B1201" s="14">
        <v>0.0</v>
      </c>
      <c r="C1201" s="3" t="s">
        <v>3</v>
      </c>
    </row>
    <row r="1202">
      <c r="A1202" s="4" t="s">
        <v>1551</v>
      </c>
      <c r="B1202" s="14">
        <v>0.0</v>
      </c>
      <c r="C1202" s="3" t="s">
        <v>3</v>
      </c>
    </row>
    <row r="1203">
      <c r="A1203" s="4" t="s">
        <v>2874</v>
      </c>
      <c r="B1203" s="14">
        <v>3813.45</v>
      </c>
      <c r="C1203" s="4"/>
    </row>
    <row r="1204">
      <c r="A1204" s="4" t="s">
        <v>1552</v>
      </c>
      <c r="B1204" s="14">
        <v>50000.0</v>
      </c>
      <c r="C1204" s="4"/>
    </row>
    <row r="1205">
      <c r="A1205" s="4" t="s">
        <v>1553</v>
      </c>
      <c r="B1205" s="14">
        <v>300.0</v>
      </c>
      <c r="C1205" s="4"/>
    </row>
    <row r="1206">
      <c r="A1206" s="4" t="s">
        <v>1554</v>
      </c>
      <c r="B1206" s="14">
        <v>1800.0</v>
      </c>
      <c r="C1206" s="4"/>
    </row>
    <row r="1207">
      <c r="A1207" s="4" t="s">
        <v>1555</v>
      </c>
      <c r="B1207" s="14">
        <v>0.0</v>
      </c>
      <c r="C1207" s="3" t="s">
        <v>3</v>
      </c>
    </row>
    <row r="1208">
      <c r="A1208" s="4" t="s">
        <v>2282</v>
      </c>
      <c r="B1208" s="14">
        <v>648000.0</v>
      </c>
      <c r="C1208" s="3" t="s">
        <v>6</v>
      </c>
    </row>
    <row r="1209">
      <c r="A1209" s="4" t="s">
        <v>1559</v>
      </c>
      <c r="B1209" s="14">
        <v>50000.0</v>
      </c>
      <c r="C1209" s="3" t="s">
        <v>2377</v>
      </c>
    </row>
    <row r="1210">
      <c r="A1210" s="4" t="s">
        <v>1561</v>
      </c>
      <c r="B1210" s="14">
        <v>12000.0</v>
      </c>
      <c r="C1210" s="4"/>
    </row>
    <row r="1211">
      <c r="A1211" s="4" t="s">
        <v>2875</v>
      </c>
      <c r="B1211" s="14">
        <v>0.0</v>
      </c>
      <c r="C1211" s="3" t="s">
        <v>2377</v>
      </c>
    </row>
    <row r="1212">
      <c r="A1212" s="4" t="s">
        <v>1563</v>
      </c>
      <c r="B1212" s="14">
        <v>45000.0</v>
      </c>
      <c r="C1212" s="4"/>
    </row>
    <row r="1213">
      <c r="A1213" s="4" t="s">
        <v>1565</v>
      </c>
      <c r="B1213" s="14">
        <v>5000.0</v>
      </c>
      <c r="C1213" s="4"/>
    </row>
    <row r="1214">
      <c r="A1214" s="4" t="s">
        <v>2876</v>
      </c>
      <c r="B1214" s="14">
        <v>13262.69</v>
      </c>
      <c r="C1214" s="3" t="s">
        <v>2377</v>
      </c>
    </row>
    <row r="1215">
      <c r="A1215" s="4" t="s">
        <v>1568</v>
      </c>
      <c r="B1215" s="14">
        <v>5000.0</v>
      </c>
      <c r="C1215" s="3" t="s">
        <v>6</v>
      </c>
    </row>
    <row r="1216">
      <c r="A1216" s="4" t="s">
        <v>2283</v>
      </c>
      <c r="B1216" s="14">
        <v>112450.0</v>
      </c>
      <c r="C1216" s="4"/>
    </row>
    <row r="1217">
      <c r="A1217" s="4" t="s">
        <v>2877</v>
      </c>
      <c r="B1217" s="14">
        <v>0.0</v>
      </c>
      <c r="C1217" s="3" t="s">
        <v>3</v>
      </c>
    </row>
    <row r="1218">
      <c r="A1218" s="4" t="s">
        <v>1573</v>
      </c>
      <c r="B1218" s="14">
        <v>0.0</v>
      </c>
      <c r="C1218" s="3" t="s">
        <v>3</v>
      </c>
    </row>
    <row r="1219">
      <c r="A1219" s="4" t="s">
        <v>2878</v>
      </c>
      <c r="B1219" s="14">
        <v>0.0</v>
      </c>
      <c r="C1219" s="3" t="s">
        <v>3</v>
      </c>
    </row>
    <row r="1220">
      <c r="A1220" s="4" t="s">
        <v>1575</v>
      </c>
      <c r="B1220" s="14">
        <v>2000.0</v>
      </c>
      <c r="C1220" s="4"/>
    </row>
    <row r="1221">
      <c r="A1221" s="4" t="s">
        <v>1576</v>
      </c>
      <c r="B1221" s="14">
        <v>0.0</v>
      </c>
      <c r="C1221" s="3" t="s">
        <v>3</v>
      </c>
    </row>
    <row r="1222">
      <c r="A1222" s="4" t="s">
        <v>2879</v>
      </c>
      <c r="B1222" s="14">
        <v>0.0</v>
      </c>
      <c r="C1222" s="3" t="s">
        <v>3</v>
      </c>
    </row>
    <row r="1223">
      <c r="A1223" s="4" t="s">
        <v>2880</v>
      </c>
      <c r="B1223" s="14">
        <v>3000.0</v>
      </c>
      <c r="C1223" s="4"/>
    </row>
    <row r="1224">
      <c r="A1224" s="4" t="s">
        <v>2881</v>
      </c>
      <c r="B1224" s="14">
        <v>3500.0</v>
      </c>
      <c r="C1224" s="4"/>
    </row>
    <row r="1225">
      <c r="A1225" s="4" t="s">
        <v>2882</v>
      </c>
      <c r="B1225" s="14">
        <v>3000.0</v>
      </c>
      <c r="C1225" s="4"/>
    </row>
    <row r="1226">
      <c r="A1226" s="4" t="s">
        <v>1578</v>
      </c>
      <c r="B1226" s="14">
        <v>0.0</v>
      </c>
      <c r="C1226" s="3" t="s">
        <v>6</v>
      </c>
    </row>
    <row r="1227">
      <c r="A1227" s="4" t="s">
        <v>1579</v>
      </c>
      <c r="B1227" s="14">
        <v>43000.0</v>
      </c>
      <c r="C1227" s="3" t="s">
        <v>3</v>
      </c>
    </row>
    <row r="1228">
      <c r="A1228" s="4" t="s">
        <v>1581</v>
      </c>
      <c r="B1228" s="14">
        <v>6000.0</v>
      </c>
      <c r="C1228" s="3" t="s">
        <v>216</v>
      </c>
    </row>
    <row r="1229">
      <c r="A1229" s="4" t="s">
        <v>2883</v>
      </c>
      <c r="B1229" s="14">
        <v>0.0</v>
      </c>
      <c r="C1229" s="3" t="s">
        <v>3</v>
      </c>
    </row>
    <row r="1230">
      <c r="A1230" s="4" t="s">
        <v>1582</v>
      </c>
      <c r="B1230" s="14">
        <v>0.0</v>
      </c>
      <c r="C1230" s="3" t="s">
        <v>29</v>
      </c>
    </row>
    <row r="1231">
      <c r="A1231" s="4" t="s">
        <v>2884</v>
      </c>
      <c r="B1231" s="14">
        <v>0.0</v>
      </c>
      <c r="C1231" s="3" t="s">
        <v>3</v>
      </c>
    </row>
    <row r="1232">
      <c r="A1232" s="4" t="s">
        <v>1585</v>
      </c>
      <c r="B1232" s="14">
        <v>3300.0</v>
      </c>
      <c r="C1232" s="3" t="s">
        <v>2377</v>
      </c>
    </row>
    <row r="1233">
      <c r="A1233" s="4" t="s">
        <v>2885</v>
      </c>
      <c r="B1233" s="14">
        <v>0.0</v>
      </c>
      <c r="C1233" s="3" t="s">
        <v>3</v>
      </c>
    </row>
    <row r="1234">
      <c r="A1234" s="4" t="s">
        <v>2886</v>
      </c>
      <c r="B1234" s="14">
        <v>2000.0</v>
      </c>
      <c r="C1234" s="3" t="s">
        <v>3</v>
      </c>
    </row>
    <row r="1235">
      <c r="A1235" s="4" t="s">
        <v>1589</v>
      </c>
      <c r="B1235" s="14">
        <v>3000.0</v>
      </c>
      <c r="C1235" s="3" t="s">
        <v>3</v>
      </c>
    </row>
    <row r="1236">
      <c r="A1236" s="4" t="s">
        <v>2887</v>
      </c>
      <c r="B1236" s="14">
        <v>4000.0</v>
      </c>
      <c r="C1236" s="4"/>
    </row>
    <row r="1237">
      <c r="A1237" s="4" t="s">
        <v>2888</v>
      </c>
      <c r="B1237" s="14">
        <v>10000.0</v>
      </c>
      <c r="C1237" s="4"/>
    </row>
    <row r="1238">
      <c r="A1238" s="4" t="s">
        <v>2889</v>
      </c>
      <c r="B1238" s="14">
        <v>5500.0</v>
      </c>
      <c r="C1238" s="3" t="s">
        <v>3</v>
      </c>
    </row>
    <row r="1239">
      <c r="A1239" s="4" t="s">
        <v>1592</v>
      </c>
      <c r="B1239" s="14">
        <v>2000.0</v>
      </c>
      <c r="C1239" s="3" t="s">
        <v>2377</v>
      </c>
    </row>
    <row r="1240">
      <c r="A1240" s="4" t="s">
        <v>1593</v>
      </c>
      <c r="B1240" s="14">
        <v>0.0</v>
      </c>
      <c r="C1240" s="3" t="s">
        <v>3</v>
      </c>
    </row>
    <row r="1241">
      <c r="A1241" s="4" t="s">
        <v>1594</v>
      </c>
      <c r="B1241" s="14">
        <v>7000.0</v>
      </c>
      <c r="C1241" s="3" t="s">
        <v>6</v>
      </c>
    </row>
    <row r="1242">
      <c r="A1242" s="4" t="s">
        <v>2890</v>
      </c>
      <c r="B1242" s="14">
        <v>0.0</v>
      </c>
      <c r="C1242" s="3" t="s">
        <v>6</v>
      </c>
    </row>
    <row r="1243">
      <c r="A1243" s="4" t="s">
        <v>1596</v>
      </c>
      <c r="B1243" s="14">
        <v>22500.0</v>
      </c>
      <c r="C1243" s="3" t="s">
        <v>2377</v>
      </c>
    </row>
    <row r="1244">
      <c r="A1244" s="4" t="s">
        <v>1598</v>
      </c>
      <c r="B1244" s="14">
        <v>0.0</v>
      </c>
      <c r="C1244" s="3" t="s">
        <v>2377</v>
      </c>
    </row>
    <row r="1245">
      <c r="A1245" s="4" t="s">
        <v>2891</v>
      </c>
      <c r="B1245" s="14">
        <v>1000.0</v>
      </c>
      <c r="C1245" s="4"/>
    </row>
    <row r="1246">
      <c r="A1246" s="4" t="s">
        <v>2892</v>
      </c>
      <c r="B1246" s="14">
        <v>3000.0</v>
      </c>
      <c r="C1246" s="4"/>
    </row>
    <row r="1247">
      <c r="A1247" s="4" t="s">
        <v>1600</v>
      </c>
      <c r="B1247" s="14">
        <v>494000.0</v>
      </c>
      <c r="C1247" s="3" t="s">
        <v>3</v>
      </c>
    </row>
    <row r="1248">
      <c r="A1248" s="4" t="s">
        <v>1602</v>
      </c>
      <c r="B1248" s="14">
        <v>1400.0</v>
      </c>
      <c r="C1248" s="4"/>
    </row>
    <row r="1249">
      <c r="A1249" s="4" t="s">
        <v>1603</v>
      </c>
      <c r="B1249" s="14">
        <v>1000.0</v>
      </c>
      <c r="C1249" s="3" t="s">
        <v>3</v>
      </c>
    </row>
    <row r="1250">
      <c r="A1250" s="4" t="s">
        <v>1604</v>
      </c>
      <c r="B1250" s="14">
        <v>11000.0</v>
      </c>
      <c r="C1250" s="3" t="s">
        <v>1379</v>
      </c>
    </row>
    <row r="1251">
      <c r="A1251" s="4" t="s">
        <v>2893</v>
      </c>
      <c r="B1251" s="14">
        <v>0.0</v>
      </c>
      <c r="C1251" s="3" t="s">
        <v>6</v>
      </c>
    </row>
    <row r="1252">
      <c r="A1252" s="4" t="s">
        <v>1606</v>
      </c>
      <c r="B1252" s="14">
        <v>4500.0</v>
      </c>
      <c r="C1252" s="4"/>
    </row>
    <row r="1253">
      <c r="A1253" s="4" t="s">
        <v>2894</v>
      </c>
      <c r="B1253" s="14">
        <v>0.0</v>
      </c>
      <c r="C1253" s="3" t="s">
        <v>3</v>
      </c>
    </row>
    <row r="1254">
      <c r="A1254" s="4" t="s">
        <v>1609</v>
      </c>
      <c r="B1254" s="14">
        <v>9000.0</v>
      </c>
      <c r="C1254" s="3" t="s">
        <v>2377</v>
      </c>
    </row>
    <row r="1255">
      <c r="A1255" s="4" t="s">
        <v>2895</v>
      </c>
      <c r="B1255" s="14">
        <v>0.0</v>
      </c>
      <c r="C1255" s="3" t="s">
        <v>3</v>
      </c>
    </row>
    <row r="1256">
      <c r="A1256" s="4" t="s">
        <v>1614</v>
      </c>
      <c r="B1256" s="14">
        <v>0.0</v>
      </c>
      <c r="C1256" s="3" t="s">
        <v>2377</v>
      </c>
    </row>
    <row r="1257">
      <c r="A1257" s="4" t="s">
        <v>2286</v>
      </c>
      <c r="B1257" s="14">
        <v>2000.0</v>
      </c>
      <c r="C1257" s="3" t="s">
        <v>3</v>
      </c>
    </row>
    <row r="1258">
      <c r="A1258" s="4" t="s">
        <v>1617</v>
      </c>
      <c r="B1258" s="14">
        <v>0.0</v>
      </c>
      <c r="C1258" s="3" t="s">
        <v>3</v>
      </c>
    </row>
    <row r="1259">
      <c r="A1259" s="4" t="s">
        <v>1618</v>
      </c>
      <c r="B1259" s="14">
        <v>0.0</v>
      </c>
      <c r="C1259" s="3" t="s">
        <v>3</v>
      </c>
    </row>
    <row r="1260">
      <c r="A1260" s="4" t="s">
        <v>2896</v>
      </c>
      <c r="B1260" s="14">
        <v>0.0</v>
      </c>
      <c r="C1260" s="3" t="s">
        <v>3</v>
      </c>
    </row>
    <row r="1261">
      <c r="A1261" s="4" t="s">
        <v>1620</v>
      </c>
      <c r="B1261" s="14">
        <v>32000.0</v>
      </c>
      <c r="C1261" s="3" t="s">
        <v>668</v>
      </c>
    </row>
    <row r="1262">
      <c r="A1262" s="4" t="s">
        <v>1623</v>
      </c>
      <c r="B1262" s="14">
        <v>0.0</v>
      </c>
      <c r="C1262" s="3" t="s">
        <v>6</v>
      </c>
    </row>
    <row r="1263">
      <c r="A1263" s="4" t="s">
        <v>1624</v>
      </c>
      <c r="B1263" s="14">
        <v>9000.0</v>
      </c>
      <c r="C1263" s="4"/>
    </row>
    <row r="1264">
      <c r="A1264" s="4" t="s">
        <v>2897</v>
      </c>
      <c r="B1264" s="14">
        <v>0.0</v>
      </c>
      <c r="C1264" s="3" t="s">
        <v>3</v>
      </c>
    </row>
    <row r="1265">
      <c r="A1265" s="4" t="s">
        <v>2898</v>
      </c>
      <c r="B1265" s="14">
        <v>69000.0</v>
      </c>
      <c r="C1265" s="4"/>
    </row>
    <row r="1266">
      <c r="A1266" s="4" t="s">
        <v>2899</v>
      </c>
      <c r="B1266" s="14">
        <v>0.0</v>
      </c>
      <c r="C1266" s="3" t="s">
        <v>29</v>
      </c>
    </row>
    <row r="1267">
      <c r="A1267" s="4" t="s">
        <v>2900</v>
      </c>
      <c r="B1267" s="14">
        <v>0.0</v>
      </c>
      <c r="C1267" s="3" t="s">
        <v>3</v>
      </c>
    </row>
    <row r="1268">
      <c r="A1268" s="4" t="s">
        <v>1626</v>
      </c>
      <c r="B1268" s="14">
        <v>10500.0</v>
      </c>
      <c r="C1268" s="3" t="s">
        <v>29</v>
      </c>
    </row>
    <row r="1269">
      <c r="A1269" s="4" t="s">
        <v>1627</v>
      </c>
      <c r="B1269" s="14">
        <v>0.0</v>
      </c>
      <c r="C1269" s="3" t="s">
        <v>6</v>
      </c>
    </row>
    <row r="1270">
      <c r="A1270" s="4" t="s">
        <v>2901</v>
      </c>
      <c r="B1270" s="14">
        <v>1500.0</v>
      </c>
      <c r="C1270" s="4"/>
    </row>
    <row r="1271">
      <c r="A1271" s="4" t="s">
        <v>1630</v>
      </c>
      <c r="B1271" s="14">
        <v>0.0</v>
      </c>
      <c r="C1271" s="3" t="s">
        <v>3</v>
      </c>
    </row>
    <row r="1272">
      <c r="A1272" s="4" t="s">
        <v>2902</v>
      </c>
      <c r="B1272" s="14">
        <v>0.0</v>
      </c>
      <c r="C1272" s="3" t="s">
        <v>2377</v>
      </c>
    </row>
    <row r="1273">
      <c r="A1273" s="4" t="s">
        <v>1634</v>
      </c>
      <c r="B1273" s="14">
        <v>0.0</v>
      </c>
      <c r="C1273" s="3" t="s">
        <v>3</v>
      </c>
    </row>
    <row r="1274">
      <c r="A1274" s="4" t="s">
        <v>2903</v>
      </c>
      <c r="B1274" s="14">
        <v>0.0</v>
      </c>
      <c r="C1274" s="3" t="s">
        <v>3</v>
      </c>
    </row>
    <row r="1275">
      <c r="A1275" s="4" t="s">
        <v>2904</v>
      </c>
      <c r="B1275" s="14">
        <v>0.0</v>
      </c>
      <c r="C1275" s="3" t="s">
        <v>3</v>
      </c>
    </row>
    <row r="1276">
      <c r="A1276" s="4" t="s">
        <v>2905</v>
      </c>
      <c r="B1276" s="14">
        <v>0.0</v>
      </c>
      <c r="C1276" s="3" t="s">
        <v>3</v>
      </c>
    </row>
    <row r="1277">
      <c r="A1277" s="4" t="s">
        <v>1635</v>
      </c>
      <c r="B1277" s="14">
        <v>130000.0</v>
      </c>
      <c r="C1277" s="4"/>
    </row>
    <row r="1278">
      <c r="A1278" s="4" t="s">
        <v>2906</v>
      </c>
      <c r="B1278" s="14">
        <v>0.0</v>
      </c>
      <c r="C1278" s="3" t="s">
        <v>3</v>
      </c>
    </row>
    <row r="1279">
      <c r="A1279" s="4" t="s">
        <v>1637</v>
      </c>
      <c r="B1279" s="14">
        <v>31418.0</v>
      </c>
      <c r="C1279" s="3" t="s">
        <v>3</v>
      </c>
    </row>
    <row r="1280">
      <c r="A1280" s="4" t="s">
        <v>2907</v>
      </c>
      <c r="B1280" s="14">
        <v>175215.0</v>
      </c>
      <c r="C1280" s="3" t="s">
        <v>3</v>
      </c>
    </row>
    <row r="1281">
      <c r="A1281" s="4" t="s">
        <v>1646</v>
      </c>
      <c r="B1281" s="14">
        <v>0.0</v>
      </c>
      <c r="C1281" s="3" t="s">
        <v>3</v>
      </c>
    </row>
    <row r="1282">
      <c r="A1282" s="4" t="s">
        <v>2908</v>
      </c>
      <c r="B1282" s="14">
        <v>0.0</v>
      </c>
      <c r="C1282" s="3" t="s">
        <v>2377</v>
      </c>
    </row>
    <row r="1283">
      <c r="A1283" s="4" t="s">
        <v>2909</v>
      </c>
      <c r="B1283" s="14">
        <v>200.0</v>
      </c>
      <c r="C1283" s="3" t="s">
        <v>3</v>
      </c>
    </row>
    <row r="1284">
      <c r="A1284" s="4" t="s">
        <v>1654</v>
      </c>
      <c r="B1284" s="14">
        <v>120000.0</v>
      </c>
      <c r="C1284" s="4"/>
    </row>
    <row r="1285">
      <c r="A1285" s="4" t="s">
        <v>1656</v>
      </c>
      <c r="B1285" s="14">
        <v>1500.0</v>
      </c>
      <c r="C1285" s="4"/>
    </row>
    <row r="1286">
      <c r="A1286" s="4" t="s">
        <v>1658</v>
      </c>
      <c r="B1286" s="14">
        <v>2000.0</v>
      </c>
      <c r="C1286" s="4"/>
    </row>
    <row r="1287">
      <c r="A1287" s="4" t="s">
        <v>1660</v>
      </c>
      <c r="B1287" s="14">
        <v>0.0</v>
      </c>
      <c r="C1287" s="3" t="s">
        <v>3</v>
      </c>
    </row>
    <row r="1288">
      <c r="A1288" s="4" t="s">
        <v>1661</v>
      </c>
      <c r="B1288" s="14">
        <v>0.0</v>
      </c>
      <c r="C1288" s="3" t="s">
        <v>3</v>
      </c>
    </row>
    <row r="1289">
      <c r="A1289" s="4" t="s">
        <v>1662</v>
      </c>
      <c r="B1289" s="14">
        <v>16000.0</v>
      </c>
      <c r="C1289" s="4"/>
    </row>
    <row r="1290">
      <c r="A1290" s="4" t="s">
        <v>1664</v>
      </c>
      <c r="B1290" s="14">
        <v>0.0</v>
      </c>
      <c r="C1290" s="3" t="s">
        <v>3</v>
      </c>
    </row>
    <row r="1291">
      <c r="A1291" s="4" t="s">
        <v>1665</v>
      </c>
      <c r="B1291" s="14">
        <v>16000.0</v>
      </c>
      <c r="C1291" s="3" t="s">
        <v>2910</v>
      </c>
    </row>
    <row r="1292">
      <c r="A1292" s="4" t="s">
        <v>2911</v>
      </c>
      <c r="B1292" s="14">
        <v>0.0</v>
      </c>
      <c r="C1292" s="3" t="s">
        <v>3</v>
      </c>
    </row>
    <row r="1293">
      <c r="A1293" s="4" t="s">
        <v>1668</v>
      </c>
      <c r="B1293" s="14">
        <v>0.0</v>
      </c>
      <c r="C1293" s="3" t="s">
        <v>3</v>
      </c>
    </row>
    <row r="1294">
      <c r="A1294" s="4" t="s">
        <v>1669</v>
      </c>
      <c r="B1294" s="14">
        <v>1000.0</v>
      </c>
      <c r="C1294" s="3" t="s">
        <v>3</v>
      </c>
    </row>
    <row r="1295">
      <c r="A1295" s="4" t="s">
        <v>1671</v>
      </c>
      <c r="B1295" s="14">
        <v>27000.0</v>
      </c>
      <c r="C1295" s="4"/>
    </row>
    <row r="1296">
      <c r="A1296" s="4" t="s">
        <v>2912</v>
      </c>
      <c r="B1296" s="14">
        <v>0.0</v>
      </c>
      <c r="C1296" s="3" t="s">
        <v>3</v>
      </c>
    </row>
    <row r="1297">
      <c r="A1297" s="4" t="s">
        <v>1672</v>
      </c>
      <c r="B1297" s="14">
        <v>3700.0</v>
      </c>
      <c r="C1297" s="3" t="s">
        <v>3</v>
      </c>
    </row>
    <row r="1298">
      <c r="A1298" s="4" t="s">
        <v>1673</v>
      </c>
      <c r="B1298" s="14">
        <v>567000.0</v>
      </c>
      <c r="C1298" s="3" t="s">
        <v>6</v>
      </c>
    </row>
    <row r="1299">
      <c r="A1299" s="4" t="s">
        <v>2913</v>
      </c>
      <c r="B1299" s="14">
        <v>7000.0</v>
      </c>
      <c r="C1299" s="4"/>
    </row>
    <row r="1300">
      <c r="A1300" s="4" t="s">
        <v>1676</v>
      </c>
      <c r="B1300" s="14">
        <v>238200.0</v>
      </c>
      <c r="C1300" s="3" t="s">
        <v>176</v>
      </c>
    </row>
    <row r="1301">
      <c r="A1301" s="4" t="s">
        <v>2914</v>
      </c>
      <c r="B1301" s="14">
        <v>0.0</v>
      </c>
      <c r="C1301" s="3" t="s">
        <v>3</v>
      </c>
    </row>
    <row r="1302">
      <c r="A1302" s="4" t="s">
        <v>1678</v>
      </c>
      <c r="B1302" s="14">
        <v>1000.0</v>
      </c>
      <c r="C1302" s="3" t="s">
        <v>3</v>
      </c>
    </row>
    <row r="1303">
      <c r="A1303" s="4" t="s">
        <v>1679</v>
      </c>
      <c r="B1303" s="14">
        <v>0.0</v>
      </c>
      <c r="C1303" s="3" t="s">
        <v>3</v>
      </c>
    </row>
    <row r="1304">
      <c r="A1304" s="4" t="s">
        <v>2915</v>
      </c>
      <c r="B1304" s="14">
        <v>0.0</v>
      </c>
      <c r="C1304" s="3" t="s">
        <v>3</v>
      </c>
    </row>
    <row r="1305">
      <c r="A1305" s="4" t="s">
        <v>2290</v>
      </c>
      <c r="B1305" s="14">
        <v>0.0</v>
      </c>
      <c r="C1305" s="3" t="s">
        <v>3</v>
      </c>
    </row>
    <row r="1306">
      <c r="A1306" s="4" t="s">
        <v>1682</v>
      </c>
      <c r="B1306" s="14">
        <v>0.0</v>
      </c>
      <c r="C1306" s="3" t="s">
        <v>3</v>
      </c>
    </row>
    <row r="1307">
      <c r="A1307" s="4" t="s">
        <v>1685</v>
      </c>
      <c r="B1307" s="14">
        <v>0.0</v>
      </c>
      <c r="C1307" s="3" t="s">
        <v>6</v>
      </c>
    </row>
    <row r="1308">
      <c r="A1308" s="4" t="s">
        <v>1687</v>
      </c>
      <c r="B1308" s="14">
        <v>0.0</v>
      </c>
      <c r="C1308" s="3" t="s">
        <v>29</v>
      </c>
    </row>
    <row r="1309">
      <c r="A1309" s="4" t="s">
        <v>1689</v>
      </c>
      <c r="B1309" s="14">
        <v>1500.0</v>
      </c>
      <c r="C1309" s="4"/>
    </row>
    <row r="1310">
      <c r="A1310" s="4" t="s">
        <v>1691</v>
      </c>
      <c r="B1310" s="14">
        <v>0.0</v>
      </c>
      <c r="C1310" s="3" t="s">
        <v>29</v>
      </c>
    </row>
    <row r="1311">
      <c r="A1311" s="4" t="s">
        <v>1692</v>
      </c>
      <c r="B1311" s="14">
        <v>5000.0</v>
      </c>
      <c r="C1311" s="3" t="s">
        <v>668</v>
      </c>
    </row>
    <row r="1312">
      <c r="A1312" s="4" t="s">
        <v>1694</v>
      </c>
      <c r="B1312" s="14">
        <v>0.0</v>
      </c>
      <c r="C1312" s="3" t="s">
        <v>2377</v>
      </c>
    </row>
    <row r="1313">
      <c r="A1313" s="4" t="s">
        <v>1695</v>
      </c>
      <c r="B1313" s="14">
        <v>500.0</v>
      </c>
      <c r="C1313" s="3" t="s">
        <v>3</v>
      </c>
    </row>
    <row r="1314">
      <c r="A1314" s="4" t="s">
        <v>1697</v>
      </c>
      <c r="B1314" s="14">
        <v>0.0</v>
      </c>
      <c r="C1314" s="3" t="s">
        <v>2377</v>
      </c>
    </row>
    <row r="1315">
      <c r="A1315" s="4" t="s">
        <v>1698</v>
      </c>
      <c r="B1315" s="14">
        <v>1500.0</v>
      </c>
      <c r="C1315" s="3" t="s">
        <v>6</v>
      </c>
    </row>
    <row r="1316">
      <c r="A1316" s="4" t="s">
        <v>2916</v>
      </c>
      <c r="B1316" s="14">
        <v>3500.0</v>
      </c>
      <c r="C1316" s="3" t="s">
        <v>3</v>
      </c>
    </row>
    <row r="1317">
      <c r="A1317" s="4" t="s">
        <v>1700</v>
      </c>
      <c r="B1317" s="14">
        <v>0.0</v>
      </c>
      <c r="C1317" s="3" t="s">
        <v>3</v>
      </c>
    </row>
    <row r="1318">
      <c r="A1318" s="4" t="s">
        <v>1701</v>
      </c>
      <c r="B1318" s="14">
        <v>2500.0</v>
      </c>
      <c r="C1318" s="3" t="s">
        <v>3</v>
      </c>
    </row>
    <row r="1319">
      <c r="A1319" s="4" t="s">
        <v>1702</v>
      </c>
      <c r="B1319" s="14">
        <v>3000.0</v>
      </c>
      <c r="C1319" s="3" t="s">
        <v>2377</v>
      </c>
    </row>
    <row r="1320">
      <c r="A1320" s="4" t="s">
        <v>1703</v>
      </c>
      <c r="B1320" s="14">
        <v>0.0</v>
      </c>
      <c r="C1320" s="3" t="s">
        <v>3</v>
      </c>
    </row>
    <row r="1321">
      <c r="A1321" s="4" t="s">
        <v>1704</v>
      </c>
      <c r="B1321" s="14">
        <v>0.0</v>
      </c>
      <c r="C1321" s="3" t="s">
        <v>3</v>
      </c>
    </row>
    <row r="1322">
      <c r="A1322" s="4" t="s">
        <v>2917</v>
      </c>
      <c r="B1322" s="14">
        <v>0.0</v>
      </c>
      <c r="C1322" s="3" t="s">
        <v>6</v>
      </c>
    </row>
    <row r="1323">
      <c r="A1323" s="4" t="s">
        <v>1705</v>
      </c>
      <c r="B1323" s="14">
        <v>0.0</v>
      </c>
      <c r="C1323" s="3" t="s">
        <v>2377</v>
      </c>
    </row>
    <row r="1324">
      <c r="A1324" s="4" t="s">
        <v>1709</v>
      </c>
      <c r="B1324" s="14">
        <v>4000.0</v>
      </c>
      <c r="C1324" s="4"/>
    </row>
    <row r="1325">
      <c r="A1325" s="4" t="s">
        <v>2918</v>
      </c>
      <c r="B1325" s="14">
        <v>0.0</v>
      </c>
      <c r="C1325" s="3" t="s">
        <v>3</v>
      </c>
    </row>
    <row r="1326">
      <c r="A1326" s="4" t="s">
        <v>2291</v>
      </c>
      <c r="B1326" s="14">
        <v>500.0</v>
      </c>
      <c r="C1326" s="3" t="s">
        <v>6</v>
      </c>
    </row>
    <row r="1327">
      <c r="A1327" s="4" t="s">
        <v>2292</v>
      </c>
      <c r="B1327" s="14">
        <v>337986.0</v>
      </c>
      <c r="C1327" s="4"/>
    </row>
    <row r="1328">
      <c r="A1328" s="4" t="s">
        <v>1718</v>
      </c>
      <c r="B1328" s="14">
        <v>30000.0</v>
      </c>
      <c r="C1328" s="3" t="s">
        <v>2377</v>
      </c>
    </row>
    <row r="1329">
      <c r="A1329" s="4" t="s">
        <v>1720</v>
      </c>
      <c r="B1329" s="14">
        <v>0.0</v>
      </c>
      <c r="C1329" s="3" t="s">
        <v>3</v>
      </c>
    </row>
    <row r="1330">
      <c r="A1330" s="4" t="s">
        <v>2919</v>
      </c>
      <c r="B1330" s="14">
        <v>1000.0</v>
      </c>
      <c r="C1330" s="4"/>
    </row>
    <row r="1331">
      <c r="A1331" s="4" t="s">
        <v>2920</v>
      </c>
      <c r="B1331" s="14">
        <v>0.0</v>
      </c>
      <c r="C1331" s="3" t="s">
        <v>3</v>
      </c>
    </row>
    <row r="1332">
      <c r="A1332" s="4" t="s">
        <v>2921</v>
      </c>
      <c r="B1332" s="14">
        <v>0.0</v>
      </c>
      <c r="C1332" s="3" t="s">
        <v>3</v>
      </c>
    </row>
    <row r="1333">
      <c r="A1333" s="4" t="s">
        <v>1729</v>
      </c>
      <c r="B1333" s="14">
        <v>0.0</v>
      </c>
      <c r="C1333" s="3" t="s">
        <v>3</v>
      </c>
    </row>
    <row r="1334">
      <c r="A1334" s="4" t="s">
        <v>1730</v>
      </c>
      <c r="B1334" s="14">
        <v>0.0</v>
      </c>
      <c r="C1334" s="3" t="s">
        <v>29</v>
      </c>
    </row>
    <row r="1335">
      <c r="A1335" s="4" t="s">
        <v>2922</v>
      </c>
      <c r="B1335" s="14">
        <v>900.0</v>
      </c>
      <c r="C1335" s="3" t="s">
        <v>2377</v>
      </c>
    </row>
    <row r="1336">
      <c r="A1336" s="4" t="s">
        <v>1733</v>
      </c>
      <c r="B1336" s="14">
        <v>31500.0</v>
      </c>
      <c r="C1336" s="3" t="s">
        <v>3</v>
      </c>
    </row>
    <row r="1337">
      <c r="A1337" s="4" t="s">
        <v>1735</v>
      </c>
      <c r="B1337" s="14">
        <v>10000.0</v>
      </c>
      <c r="C1337" s="3" t="s">
        <v>3</v>
      </c>
    </row>
    <row r="1338">
      <c r="A1338" s="4" t="s">
        <v>1736</v>
      </c>
      <c r="B1338" s="14">
        <v>5000.0</v>
      </c>
      <c r="C1338" s="3" t="s">
        <v>16</v>
      </c>
    </row>
    <row r="1339">
      <c r="A1339" s="4" t="s">
        <v>1737</v>
      </c>
      <c r="B1339" s="14">
        <v>0.0</v>
      </c>
      <c r="C1339" s="3" t="s">
        <v>3</v>
      </c>
    </row>
    <row r="1340">
      <c r="A1340" s="4" t="s">
        <v>1738</v>
      </c>
      <c r="B1340" s="14">
        <v>3500.0</v>
      </c>
      <c r="C1340" s="3" t="s">
        <v>2377</v>
      </c>
    </row>
    <row r="1341">
      <c r="A1341" s="4" t="s">
        <v>1739</v>
      </c>
      <c r="B1341" s="14">
        <v>22520.0</v>
      </c>
      <c r="C1341" s="3" t="s">
        <v>2508</v>
      </c>
    </row>
    <row r="1342">
      <c r="A1342" s="4" t="s">
        <v>1740</v>
      </c>
      <c r="B1342" s="14">
        <v>1700.0</v>
      </c>
      <c r="C1342" s="3" t="s">
        <v>3</v>
      </c>
    </row>
    <row r="1343">
      <c r="A1343" s="4" t="s">
        <v>2923</v>
      </c>
      <c r="B1343" s="14">
        <v>0.0</v>
      </c>
      <c r="C1343" s="3" t="s">
        <v>3</v>
      </c>
    </row>
    <row r="1344">
      <c r="A1344" s="4" t="s">
        <v>1747</v>
      </c>
      <c r="B1344" s="14">
        <v>7560.0</v>
      </c>
      <c r="C1344" s="3" t="s">
        <v>6</v>
      </c>
    </row>
    <row r="1345">
      <c r="A1345" s="4" t="s">
        <v>1749</v>
      </c>
      <c r="B1345" s="14">
        <v>0.0</v>
      </c>
      <c r="C1345" s="3" t="s">
        <v>6</v>
      </c>
    </row>
    <row r="1346">
      <c r="A1346" s="4" t="s">
        <v>2924</v>
      </c>
      <c r="B1346" s="14">
        <v>20000.0</v>
      </c>
      <c r="C1346" s="3" t="s">
        <v>176</v>
      </c>
    </row>
    <row r="1347">
      <c r="A1347" s="4" t="s">
        <v>1750</v>
      </c>
      <c r="B1347" s="14">
        <v>0.0</v>
      </c>
      <c r="C1347" s="3" t="s">
        <v>6</v>
      </c>
    </row>
    <row r="1348">
      <c r="A1348" s="4" t="s">
        <v>1751</v>
      </c>
      <c r="B1348" s="14">
        <v>47500.0</v>
      </c>
      <c r="C1348" s="3" t="s">
        <v>3</v>
      </c>
    </row>
    <row r="1349">
      <c r="A1349" s="4" t="s">
        <v>1753</v>
      </c>
      <c r="B1349" s="14">
        <v>0.0</v>
      </c>
      <c r="C1349" s="3" t="s">
        <v>3</v>
      </c>
    </row>
    <row r="1350">
      <c r="A1350" s="4" t="s">
        <v>1754</v>
      </c>
      <c r="B1350" s="14">
        <v>6000.0</v>
      </c>
      <c r="C1350" s="3" t="s">
        <v>3</v>
      </c>
    </row>
    <row r="1351">
      <c r="A1351" s="4" t="s">
        <v>2925</v>
      </c>
      <c r="B1351" s="14">
        <v>4000.0</v>
      </c>
      <c r="C1351" s="4"/>
    </row>
    <row r="1352">
      <c r="A1352" s="4" t="s">
        <v>1756</v>
      </c>
      <c r="B1352" s="14">
        <v>30192.0</v>
      </c>
      <c r="C1352" s="4"/>
    </row>
    <row r="1353">
      <c r="A1353" s="4" t="s">
        <v>1758</v>
      </c>
      <c r="B1353" s="14">
        <v>2500.0</v>
      </c>
      <c r="C1353" s="4"/>
    </row>
    <row r="1354">
      <c r="A1354" s="4" t="s">
        <v>1759</v>
      </c>
      <c r="B1354" s="14">
        <v>10000.0</v>
      </c>
      <c r="C1354" s="3" t="s">
        <v>3</v>
      </c>
    </row>
    <row r="1355">
      <c r="A1355" s="4" t="s">
        <v>2926</v>
      </c>
      <c r="B1355" s="14">
        <v>0.0</v>
      </c>
      <c r="C1355" s="3" t="s">
        <v>3</v>
      </c>
    </row>
    <row r="1356">
      <c r="A1356" s="4" t="s">
        <v>1760</v>
      </c>
      <c r="B1356" s="14">
        <v>0.0</v>
      </c>
      <c r="C1356" s="3" t="s">
        <v>3</v>
      </c>
    </row>
    <row r="1357">
      <c r="A1357" s="4" t="s">
        <v>1761</v>
      </c>
      <c r="B1357" s="14">
        <v>67600.0</v>
      </c>
      <c r="C1357" s="4"/>
    </row>
    <row r="1358">
      <c r="A1358" s="4" t="s">
        <v>2927</v>
      </c>
      <c r="B1358" s="14">
        <v>0.0</v>
      </c>
      <c r="C1358" s="3" t="s">
        <v>2377</v>
      </c>
    </row>
    <row r="1359">
      <c r="A1359" s="4" t="s">
        <v>1763</v>
      </c>
      <c r="B1359" s="14">
        <v>0.0</v>
      </c>
      <c r="C1359" s="3" t="s">
        <v>3</v>
      </c>
    </row>
    <row r="1360">
      <c r="A1360" s="4" t="s">
        <v>2928</v>
      </c>
      <c r="B1360" s="14">
        <v>0.0</v>
      </c>
      <c r="C1360" s="3" t="s">
        <v>3</v>
      </c>
    </row>
    <row r="1361">
      <c r="A1361" s="4" t="s">
        <v>1764</v>
      </c>
      <c r="B1361" s="14">
        <v>10000.0</v>
      </c>
      <c r="C1361" s="3" t="s">
        <v>2377</v>
      </c>
    </row>
    <row r="1362">
      <c r="A1362" s="4" t="s">
        <v>1765</v>
      </c>
      <c r="B1362" s="14">
        <v>0.0</v>
      </c>
      <c r="C1362" s="3" t="s">
        <v>2377</v>
      </c>
    </row>
    <row r="1363">
      <c r="A1363" s="4" t="s">
        <v>2929</v>
      </c>
      <c r="B1363" s="14">
        <v>3000.0</v>
      </c>
      <c r="C1363" s="4"/>
    </row>
    <row r="1364">
      <c r="A1364" s="4" t="s">
        <v>1766</v>
      </c>
      <c r="B1364" s="14">
        <v>13000.0</v>
      </c>
      <c r="C1364" s="4"/>
    </row>
    <row r="1365">
      <c r="A1365" s="4" t="s">
        <v>2930</v>
      </c>
      <c r="B1365" s="14">
        <v>640.0</v>
      </c>
      <c r="C1365" s="4"/>
    </row>
    <row r="1366">
      <c r="A1366" s="4" t="s">
        <v>2931</v>
      </c>
      <c r="B1366" s="14">
        <v>0.0</v>
      </c>
      <c r="C1366" s="3" t="s">
        <v>3</v>
      </c>
    </row>
    <row r="1367">
      <c r="A1367" s="4" t="s">
        <v>1769</v>
      </c>
      <c r="B1367" s="14">
        <v>0.0</v>
      </c>
      <c r="C1367" s="3" t="s">
        <v>6</v>
      </c>
    </row>
    <row r="1368">
      <c r="A1368" s="4" t="s">
        <v>2932</v>
      </c>
      <c r="B1368" s="14">
        <v>0.0</v>
      </c>
      <c r="C1368" s="3" t="s">
        <v>3</v>
      </c>
    </row>
    <row r="1369">
      <c r="A1369" s="4" t="s">
        <v>1771</v>
      </c>
      <c r="B1369" s="14">
        <v>0.0</v>
      </c>
      <c r="C1369" s="3" t="s">
        <v>2377</v>
      </c>
    </row>
    <row r="1370">
      <c r="A1370" s="4" t="s">
        <v>2933</v>
      </c>
      <c r="B1370" s="14">
        <v>0.0</v>
      </c>
      <c r="C1370" s="3" t="s">
        <v>3</v>
      </c>
    </row>
    <row r="1371">
      <c r="A1371" s="4" t="s">
        <v>1772</v>
      </c>
      <c r="B1371" s="14">
        <v>0.0</v>
      </c>
      <c r="C1371" s="3" t="s">
        <v>3</v>
      </c>
    </row>
    <row r="1372">
      <c r="A1372" s="4" t="s">
        <v>2934</v>
      </c>
      <c r="B1372" s="14">
        <v>0.0</v>
      </c>
      <c r="C1372" s="3" t="s">
        <v>3</v>
      </c>
    </row>
    <row r="1373">
      <c r="A1373" s="4" t="s">
        <v>2935</v>
      </c>
      <c r="B1373" s="14">
        <v>0.0</v>
      </c>
      <c r="C1373" s="3" t="s">
        <v>6</v>
      </c>
    </row>
    <row r="1374">
      <c r="A1374" s="4" t="s">
        <v>2936</v>
      </c>
      <c r="B1374" s="14">
        <v>5487.0</v>
      </c>
      <c r="C1374" s="3" t="s">
        <v>6</v>
      </c>
    </row>
    <row r="1375">
      <c r="A1375" s="4" t="s">
        <v>2295</v>
      </c>
      <c r="B1375" s="14">
        <v>2000.0</v>
      </c>
      <c r="C1375" s="3" t="s">
        <v>3</v>
      </c>
    </row>
    <row r="1376">
      <c r="A1376" s="4" t="s">
        <v>1777</v>
      </c>
      <c r="B1376" s="14">
        <v>1000.0</v>
      </c>
      <c r="C1376" s="3" t="s">
        <v>29</v>
      </c>
    </row>
    <row r="1377">
      <c r="A1377" s="4" t="s">
        <v>1778</v>
      </c>
      <c r="B1377" s="14">
        <v>1150.0</v>
      </c>
      <c r="C1377" s="4"/>
    </row>
    <row r="1378">
      <c r="A1378" s="4" t="s">
        <v>1780</v>
      </c>
      <c r="B1378" s="14">
        <v>0.0</v>
      </c>
      <c r="C1378" s="3" t="s">
        <v>3</v>
      </c>
    </row>
    <row r="1379">
      <c r="A1379" s="4" t="s">
        <v>1782</v>
      </c>
      <c r="B1379" s="14">
        <v>4200.0</v>
      </c>
      <c r="C1379" s="3" t="s">
        <v>2377</v>
      </c>
    </row>
    <row r="1380">
      <c r="A1380" s="4" t="s">
        <v>1783</v>
      </c>
      <c r="B1380" s="14">
        <v>4400.0</v>
      </c>
      <c r="C1380" s="4"/>
    </row>
    <row r="1381">
      <c r="A1381" s="4" t="s">
        <v>1784</v>
      </c>
      <c r="B1381" s="14">
        <v>0.0</v>
      </c>
      <c r="C1381" s="3" t="s">
        <v>3</v>
      </c>
    </row>
    <row r="1382">
      <c r="A1382" s="4" t="s">
        <v>1785</v>
      </c>
      <c r="B1382" s="14">
        <v>0.0</v>
      </c>
      <c r="C1382" s="3" t="s">
        <v>3</v>
      </c>
    </row>
    <row r="1383">
      <c r="A1383" s="4" t="s">
        <v>2937</v>
      </c>
      <c r="B1383" s="14">
        <v>0.0</v>
      </c>
      <c r="C1383" s="3" t="s">
        <v>3</v>
      </c>
    </row>
    <row r="1384">
      <c r="A1384" s="4" t="s">
        <v>2938</v>
      </c>
      <c r="B1384" s="14">
        <v>0.0</v>
      </c>
      <c r="C1384" s="3" t="s">
        <v>3</v>
      </c>
    </row>
    <row r="1385">
      <c r="A1385" s="4" t="s">
        <v>1787</v>
      </c>
      <c r="B1385" s="14">
        <v>200000.0</v>
      </c>
      <c r="C1385" s="4"/>
    </row>
    <row r="1386">
      <c r="A1386" s="4" t="s">
        <v>1789</v>
      </c>
      <c r="B1386" s="14">
        <v>450000.0</v>
      </c>
      <c r="C1386" s="4"/>
    </row>
    <row r="1387">
      <c r="A1387" s="4" t="s">
        <v>2939</v>
      </c>
      <c r="B1387" s="14">
        <v>0.0</v>
      </c>
      <c r="C1387" s="3" t="s">
        <v>3</v>
      </c>
    </row>
    <row r="1388">
      <c r="A1388" s="4" t="s">
        <v>1791</v>
      </c>
      <c r="B1388" s="14">
        <v>1000.0</v>
      </c>
      <c r="C1388" s="3" t="s">
        <v>29</v>
      </c>
    </row>
    <row r="1389">
      <c r="A1389" s="4" t="s">
        <v>2940</v>
      </c>
      <c r="B1389" s="14">
        <v>0.0</v>
      </c>
      <c r="C1389" s="3" t="s">
        <v>3</v>
      </c>
    </row>
    <row r="1390">
      <c r="A1390" s="4" t="s">
        <v>2941</v>
      </c>
      <c r="B1390" s="14">
        <v>0.0</v>
      </c>
      <c r="C1390" s="3" t="s">
        <v>6</v>
      </c>
    </row>
    <row r="1391">
      <c r="A1391" s="4" t="s">
        <v>1796</v>
      </c>
      <c r="B1391" s="14">
        <v>0.0</v>
      </c>
      <c r="C1391" s="3" t="s">
        <v>3</v>
      </c>
    </row>
    <row r="1392">
      <c r="A1392" s="4" t="s">
        <v>2297</v>
      </c>
      <c r="B1392" s="14">
        <v>0.0</v>
      </c>
      <c r="C1392" s="3" t="s">
        <v>176</v>
      </c>
    </row>
    <row r="1393">
      <c r="A1393" s="4" t="s">
        <v>1799</v>
      </c>
      <c r="B1393" s="14">
        <v>0.0</v>
      </c>
      <c r="C1393" s="3" t="s">
        <v>29</v>
      </c>
    </row>
    <row r="1394">
      <c r="A1394" s="4" t="s">
        <v>2298</v>
      </c>
      <c r="B1394" s="14">
        <v>72000.0</v>
      </c>
      <c r="C1394" s="3" t="s">
        <v>2447</v>
      </c>
    </row>
    <row r="1395">
      <c r="A1395" s="4" t="s">
        <v>2942</v>
      </c>
      <c r="B1395" s="14">
        <v>0.0</v>
      </c>
      <c r="C1395" s="3" t="s">
        <v>6</v>
      </c>
    </row>
    <row r="1396">
      <c r="A1396" s="4" t="s">
        <v>2943</v>
      </c>
      <c r="B1396" s="14">
        <v>0.0</v>
      </c>
      <c r="C1396" s="3" t="s">
        <v>3</v>
      </c>
    </row>
    <row r="1397">
      <c r="A1397" s="4" t="s">
        <v>1805</v>
      </c>
      <c r="B1397" s="14">
        <v>9000.0</v>
      </c>
      <c r="C1397" s="4"/>
    </row>
    <row r="1398">
      <c r="A1398" s="4" t="s">
        <v>2944</v>
      </c>
      <c r="B1398" s="14">
        <v>0.0</v>
      </c>
      <c r="C1398" s="3" t="s">
        <v>3</v>
      </c>
    </row>
    <row r="1399">
      <c r="A1399" s="4" t="s">
        <v>1807</v>
      </c>
      <c r="B1399" s="14">
        <v>0.0</v>
      </c>
      <c r="C1399" s="3" t="s">
        <v>668</v>
      </c>
    </row>
    <row r="1400">
      <c r="A1400" s="4" t="s">
        <v>1809</v>
      </c>
      <c r="B1400" s="14">
        <v>500.0</v>
      </c>
      <c r="C1400" s="4"/>
    </row>
    <row r="1401">
      <c r="A1401" s="4" t="s">
        <v>2945</v>
      </c>
      <c r="B1401" s="14">
        <v>0.0</v>
      </c>
      <c r="C1401" s="3" t="s">
        <v>29</v>
      </c>
    </row>
    <row r="1402">
      <c r="A1402" s="4" t="s">
        <v>2946</v>
      </c>
      <c r="B1402" s="14">
        <v>0.0</v>
      </c>
      <c r="C1402" s="3" t="s">
        <v>6</v>
      </c>
    </row>
    <row r="1403">
      <c r="A1403" s="4" t="s">
        <v>1810</v>
      </c>
      <c r="B1403" s="14">
        <v>8815.0</v>
      </c>
      <c r="C1403" s="3" t="s">
        <v>2377</v>
      </c>
    </row>
    <row r="1404">
      <c r="A1404" s="4" t="s">
        <v>2947</v>
      </c>
      <c r="B1404" s="14">
        <v>0.0</v>
      </c>
      <c r="C1404" s="3" t="s">
        <v>3</v>
      </c>
    </row>
    <row r="1405">
      <c r="A1405" s="4" t="s">
        <v>1811</v>
      </c>
      <c r="B1405" s="14">
        <v>16770.0</v>
      </c>
      <c r="C1405" s="3" t="s">
        <v>3</v>
      </c>
    </row>
    <row r="1406">
      <c r="A1406" s="4" t="s">
        <v>1813</v>
      </c>
      <c r="B1406" s="14">
        <v>300.0</v>
      </c>
      <c r="C1406" s="4"/>
    </row>
    <row r="1407">
      <c r="A1407" s="4" t="s">
        <v>1814</v>
      </c>
      <c r="B1407" s="14">
        <v>0.0</v>
      </c>
      <c r="C1407" s="3" t="s">
        <v>3</v>
      </c>
    </row>
    <row r="1408">
      <c r="A1408" s="4" t="s">
        <v>2301</v>
      </c>
      <c r="B1408" s="14">
        <v>500.0</v>
      </c>
      <c r="C1408" s="4"/>
    </row>
    <row r="1409">
      <c r="A1409" s="4" t="s">
        <v>1818</v>
      </c>
      <c r="B1409" s="14">
        <v>2000.0</v>
      </c>
      <c r="C1409" s="3" t="s">
        <v>3</v>
      </c>
    </row>
    <row r="1410">
      <c r="A1410" s="4" t="s">
        <v>2303</v>
      </c>
      <c r="B1410" s="14">
        <v>1500.0</v>
      </c>
      <c r="C1410" s="3" t="s">
        <v>3</v>
      </c>
    </row>
    <row r="1411">
      <c r="A1411" s="4" t="s">
        <v>2948</v>
      </c>
      <c r="B1411" s="14">
        <v>0.0</v>
      </c>
      <c r="C1411" s="3" t="s">
        <v>3</v>
      </c>
    </row>
    <row r="1412">
      <c r="A1412" s="4" t="s">
        <v>1821</v>
      </c>
      <c r="B1412" s="14">
        <v>0.0</v>
      </c>
      <c r="C1412" s="3" t="s">
        <v>3</v>
      </c>
    </row>
    <row r="1413">
      <c r="A1413" s="4" t="s">
        <v>2304</v>
      </c>
      <c r="B1413" s="14">
        <v>9500.0</v>
      </c>
      <c r="C1413" s="3" t="s">
        <v>2377</v>
      </c>
    </row>
    <row r="1414">
      <c r="A1414" s="4" t="s">
        <v>1825</v>
      </c>
      <c r="B1414" s="14">
        <v>0.0</v>
      </c>
      <c r="C1414" s="3" t="s">
        <v>3</v>
      </c>
    </row>
    <row r="1415">
      <c r="A1415" s="4" t="s">
        <v>1826</v>
      </c>
      <c r="B1415" s="14">
        <v>0.0</v>
      </c>
      <c r="C1415" s="3" t="s">
        <v>3</v>
      </c>
    </row>
    <row r="1416">
      <c r="A1416" s="4" t="s">
        <v>2306</v>
      </c>
      <c r="B1416" s="14">
        <v>2100.0</v>
      </c>
      <c r="C1416" s="4"/>
    </row>
    <row r="1417">
      <c r="A1417" s="4" t="s">
        <v>2949</v>
      </c>
      <c r="B1417" s="14">
        <v>0.0</v>
      </c>
      <c r="C1417" s="3" t="s">
        <v>6</v>
      </c>
    </row>
    <row r="1418">
      <c r="A1418" s="4" t="s">
        <v>1833</v>
      </c>
      <c r="B1418" s="14">
        <v>12000.0</v>
      </c>
      <c r="C1418" s="3" t="s">
        <v>3</v>
      </c>
    </row>
    <row r="1419">
      <c r="A1419" s="4" t="s">
        <v>2950</v>
      </c>
      <c r="B1419" s="14">
        <v>0.0</v>
      </c>
      <c r="C1419" s="3" t="s">
        <v>29</v>
      </c>
    </row>
    <row r="1420">
      <c r="A1420" s="4" t="s">
        <v>2951</v>
      </c>
      <c r="B1420" s="14">
        <v>0.0</v>
      </c>
      <c r="C1420" s="3" t="s">
        <v>3</v>
      </c>
    </row>
    <row r="1421">
      <c r="A1421" s="4" t="s">
        <v>2952</v>
      </c>
      <c r="B1421" s="14">
        <v>0.0</v>
      </c>
      <c r="C1421" s="3" t="s">
        <v>6</v>
      </c>
    </row>
    <row r="1422">
      <c r="A1422" s="4" t="s">
        <v>1836</v>
      </c>
      <c r="B1422" s="14">
        <v>0.0</v>
      </c>
      <c r="C1422" s="3" t="s">
        <v>3</v>
      </c>
    </row>
    <row r="1423">
      <c r="A1423" s="4" t="s">
        <v>2953</v>
      </c>
      <c r="B1423" s="14">
        <v>0.0</v>
      </c>
      <c r="C1423" s="3" t="s">
        <v>3</v>
      </c>
    </row>
    <row r="1424">
      <c r="A1424" s="4" t="s">
        <v>1837</v>
      </c>
      <c r="B1424" s="14">
        <v>0.0</v>
      </c>
      <c r="C1424" s="3" t="s">
        <v>3</v>
      </c>
    </row>
    <row r="1425">
      <c r="A1425" s="4" t="s">
        <v>2954</v>
      </c>
      <c r="B1425" s="14">
        <v>0.0</v>
      </c>
      <c r="C1425" s="3" t="s">
        <v>3</v>
      </c>
    </row>
    <row r="1426">
      <c r="A1426" s="4" t="s">
        <v>2955</v>
      </c>
      <c r="B1426" s="14">
        <v>0.0</v>
      </c>
      <c r="C1426" s="3" t="s">
        <v>3</v>
      </c>
    </row>
    <row r="1427">
      <c r="A1427" s="4" t="s">
        <v>1838</v>
      </c>
      <c r="B1427" s="14">
        <v>72400.0</v>
      </c>
      <c r="C1427" s="3" t="s">
        <v>3</v>
      </c>
    </row>
    <row r="1428">
      <c r="A1428" s="4" t="s">
        <v>2956</v>
      </c>
      <c r="B1428" s="14">
        <v>0.0</v>
      </c>
      <c r="C1428" s="3" t="s">
        <v>3</v>
      </c>
    </row>
    <row r="1429">
      <c r="A1429" s="4" t="s">
        <v>1841</v>
      </c>
      <c r="B1429" s="14">
        <v>0.0</v>
      </c>
      <c r="C1429" s="3" t="s">
        <v>29</v>
      </c>
    </row>
    <row r="1430">
      <c r="A1430" s="4" t="s">
        <v>2957</v>
      </c>
      <c r="B1430" s="14">
        <v>1500.0</v>
      </c>
      <c r="C1430" s="4"/>
    </row>
    <row r="1431">
      <c r="A1431" s="4" t="s">
        <v>2958</v>
      </c>
      <c r="B1431" s="14">
        <v>0.0</v>
      </c>
      <c r="C1431" s="3" t="s">
        <v>3</v>
      </c>
    </row>
    <row r="1432">
      <c r="A1432" s="4" t="s">
        <v>1842</v>
      </c>
      <c r="B1432" s="14">
        <v>2000.0</v>
      </c>
      <c r="C1432" s="3" t="s">
        <v>3</v>
      </c>
    </row>
    <row r="1433">
      <c r="A1433" s="4" t="s">
        <v>1843</v>
      </c>
      <c r="B1433" s="14">
        <v>1000.0</v>
      </c>
      <c r="C1433" s="3" t="s">
        <v>3</v>
      </c>
    </row>
    <row r="1434">
      <c r="A1434" s="4" t="s">
        <v>2307</v>
      </c>
      <c r="B1434" s="14">
        <v>0.0</v>
      </c>
      <c r="C1434" s="3" t="s">
        <v>3</v>
      </c>
    </row>
    <row r="1435">
      <c r="A1435" s="4" t="s">
        <v>2959</v>
      </c>
      <c r="B1435" s="14">
        <v>2000.0</v>
      </c>
      <c r="C1435" s="3" t="s">
        <v>3</v>
      </c>
    </row>
    <row r="1436">
      <c r="A1436" s="4" t="s">
        <v>1846</v>
      </c>
      <c r="B1436" s="14">
        <v>0.0</v>
      </c>
      <c r="C1436" s="3" t="s">
        <v>6</v>
      </c>
    </row>
    <row r="1437">
      <c r="A1437" s="4" t="s">
        <v>1847</v>
      </c>
      <c r="B1437" s="14">
        <v>0.0</v>
      </c>
      <c r="C1437" s="3" t="s">
        <v>3</v>
      </c>
    </row>
    <row r="1438">
      <c r="A1438" s="4" t="s">
        <v>2960</v>
      </c>
      <c r="B1438" s="14">
        <v>3000.0</v>
      </c>
      <c r="C1438" s="4"/>
    </row>
    <row r="1439">
      <c r="A1439" s="4" t="s">
        <v>2961</v>
      </c>
      <c r="B1439" s="14">
        <v>0.0</v>
      </c>
      <c r="C1439" s="3" t="s">
        <v>3</v>
      </c>
    </row>
    <row r="1440">
      <c r="A1440" s="4" t="s">
        <v>2308</v>
      </c>
      <c r="B1440" s="14">
        <v>1026622.0</v>
      </c>
      <c r="C1440" s="3" t="s">
        <v>2370</v>
      </c>
    </row>
    <row r="1441">
      <c r="A1441" s="4" t="s">
        <v>2962</v>
      </c>
      <c r="B1441" s="14">
        <v>863827.0</v>
      </c>
      <c r="C1441" s="3" t="s">
        <v>2370</v>
      </c>
    </row>
    <row r="1442">
      <c r="A1442" s="4" t="s">
        <v>2963</v>
      </c>
      <c r="B1442" s="14">
        <v>0.0</v>
      </c>
      <c r="C1442" s="3" t="s">
        <v>3</v>
      </c>
    </row>
    <row r="1443">
      <c r="A1443" s="4" t="s">
        <v>1855</v>
      </c>
      <c r="B1443" s="14">
        <v>0.0</v>
      </c>
      <c r="C1443" s="3" t="s">
        <v>29</v>
      </c>
    </row>
    <row r="1444">
      <c r="A1444" s="4" t="s">
        <v>2964</v>
      </c>
      <c r="B1444" s="14">
        <v>0.0</v>
      </c>
      <c r="C1444" s="3" t="s">
        <v>3</v>
      </c>
    </row>
    <row r="1445">
      <c r="A1445" s="4" t="s">
        <v>2965</v>
      </c>
      <c r="B1445" s="14">
        <v>0.0</v>
      </c>
      <c r="C1445" s="3" t="s">
        <v>3</v>
      </c>
    </row>
    <row r="1446">
      <c r="A1446" s="4" t="s">
        <v>2966</v>
      </c>
      <c r="B1446" s="14">
        <v>0.0</v>
      </c>
      <c r="C1446" s="3" t="s">
        <v>6</v>
      </c>
    </row>
    <row r="1447">
      <c r="A1447" s="4" t="s">
        <v>2967</v>
      </c>
      <c r="B1447" s="14">
        <v>0.0</v>
      </c>
      <c r="C1447" s="3" t="s">
        <v>6</v>
      </c>
    </row>
    <row r="1448">
      <c r="A1448" s="4" t="s">
        <v>2968</v>
      </c>
      <c r="B1448" s="14">
        <v>0.0</v>
      </c>
      <c r="C1448" s="3" t="s">
        <v>3</v>
      </c>
    </row>
    <row r="1449">
      <c r="A1449" s="4" t="s">
        <v>2969</v>
      </c>
      <c r="B1449" s="14">
        <v>0.0</v>
      </c>
      <c r="C1449" s="3" t="s">
        <v>3</v>
      </c>
    </row>
    <row r="1450">
      <c r="A1450" s="4" t="s">
        <v>1859</v>
      </c>
      <c r="B1450" s="14">
        <v>19000.0</v>
      </c>
      <c r="C1450" s="4"/>
    </row>
    <row r="1451">
      <c r="A1451" s="4" t="s">
        <v>2970</v>
      </c>
      <c r="B1451" s="14">
        <v>0.0</v>
      </c>
      <c r="C1451" s="3" t="s">
        <v>176</v>
      </c>
    </row>
    <row r="1452">
      <c r="A1452" s="4" t="s">
        <v>2971</v>
      </c>
      <c r="B1452" s="14">
        <v>0.0</v>
      </c>
      <c r="C1452" s="3" t="s">
        <v>3</v>
      </c>
    </row>
    <row r="1453">
      <c r="A1453" s="4" t="s">
        <v>1862</v>
      </c>
      <c r="B1453" s="14">
        <v>2000.0</v>
      </c>
      <c r="C1453" s="3" t="s">
        <v>2377</v>
      </c>
    </row>
    <row r="1454">
      <c r="A1454" s="4" t="s">
        <v>2972</v>
      </c>
      <c r="B1454" s="14">
        <v>0.0</v>
      </c>
      <c r="C1454" s="3" t="s">
        <v>3</v>
      </c>
    </row>
    <row r="1455">
      <c r="A1455" s="4" t="s">
        <v>1865</v>
      </c>
      <c r="B1455" s="14">
        <v>0.0</v>
      </c>
      <c r="C1455" s="3" t="s">
        <v>2377</v>
      </c>
    </row>
    <row r="1456">
      <c r="A1456" s="4" t="s">
        <v>1867</v>
      </c>
      <c r="B1456" s="14">
        <v>0.0</v>
      </c>
      <c r="C1456" s="3" t="s">
        <v>3</v>
      </c>
    </row>
    <row r="1457">
      <c r="A1457" s="4" t="s">
        <v>1868</v>
      </c>
      <c r="B1457" s="14">
        <v>0.0</v>
      </c>
      <c r="C1457" s="3" t="s">
        <v>3</v>
      </c>
    </row>
    <row r="1458">
      <c r="A1458" s="4" t="s">
        <v>1869</v>
      </c>
      <c r="B1458" s="14">
        <v>0.0</v>
      </c>
      <c r="C1458" s="3" t="s">
        <v>3</v>
      </c>
    </row>
    <row r="1459">
      <c r="A1459" s="4" t="s">
        <v>1871</v>
      </c>
      <c r="B1459" s="14">
        <v>0.0</v>
      </c>
      <c r="C1459" s="3" t="s">
        <v>3</v>
      </c>
    </row>
    <row r="1460">
      <c r="A1460" s="4" t="s">
        <v>2973</v>
      </c>
      <c r="B1460" s="14">
        <v>0.0</v>
      </c>
      <c r="C1460" s="3" t="s">
        <v>3</v>
      </c>
    </row>
    <row r="1461">
      <c r="A1461" s="4" t="s">
        <v>1874</v>
      </c>
      <c r="B1461" s="14">
        <v>4000.0</v>
      </c>
      <c r="C1461" s="3" t="s">
        <v>29</v>
      </c>
    </row>
    <row r="1462">
      <c r="A1462" s="4" t="s">
        <v>1875</v>
      </c>
      <c r="B1462" s="14">
        <v>0.0</v>
      </c>
      <c r="C1462" s="3" t="s">
        <v>2377</v>
      </c>
    </row>
    <row r="1463">
      <c r="A1463" s="4" t="s">
        <v>1878</v>
      </c>
      <c r="B1463" s="14">
        <v>0.0</v>
      </c>
      <c r="C1463" s="3" t="s">
        <v>3</v>
      </c>
    </row>
    <row r="1464">
      <c r="A1464" s="4" t="s">
        <v>1880</v>
      </c>
      <c r="B1464" s="14">
        <v>13500.0</v>
      </c>
      <c r="C1464" s="3" t="s">
        <v>3</v>
      </c>
    </row>
    <row r="1465">
      <c r="A1465" s="4" t="s">
        <v>2974</v>
      </c>
      <c r="B1465" s="14">
        <v>1000.0</v>
      </c>
      <c r="C1465" s="4"/>
    </row>
    <row r="1466">
      <c r="A1466" s="4" t="s">
        <v>1881</v>
      </c>
      <c r="B1466" s="14">
        <v>0.0</v>
      </c>
      <c r="C1466" s="3" t="s">
        <v>3</v>
      </c>
    </row>
    <row r="1467">
      <c r="A1467" s="4" t="s">
        <v>1884</v>
      </c>
      <c r="B1467" s="14">
        <v>51500.0</v>
      </c>
      <c r="C1467" s="4"/>
    </row>
    <row r="1468">
      <c r="A1468" s="4" t="s">
        <v>2975</v>
      </c>
      <c r="B1468" s="14">
        <v>0.0</v>
      </c>
      <c r="C1468" s="3" t="s">
        <v>3</v>
      </c>
    </row>
    <row r="1469">
      <c r="A1469" s="4" t="s">
        <v>1890</v>
      </c>
      <c r="B1469" s="14">
        <v>8000.0</v>
      </c>
      <c r="C1469" s="4"/>
    </row>
    <row r="1470">
      <c r="A1470" s="4" t="s">
        <v>1892</v>
      </c>
      <c r="B1470" s="14">
        <v>0.0</v>
      </c>
      <c r="C1470" s="3" t="s">
        <v>2377</v>
      </c>
    </row>
    <row r="1471">
      <c r="A1471" s="4" t="s">
        <v>1893</v>
      </c>
      <c r="B1471" s="14">
        <v>0.0</v>
      </c>
      <c r="C1471" s="3" t="s">
        <v>3</v>
      </c>
    </row>
    <row r="1472">
      <c r="A1472" s="4" t="s">
        <v>2976</v>
      </c>
      <c r="B1472" s="14">
        <v>0.0</v>
      </c>
      <c r="C1472" s="3" t="s">
        <v>3</v>
      </c>
    </row>
    <row r="1473">
      <c r="A1473" s="4" t="s">
        <v>2977</v>
      </c>
      <c r="B1473" s="14">
        <v>0.0</v>
      </c>
      <c r="C1473" s="3" t="s">
        <v>6</v>
      </c>
    </row>
    <row r="1474">
      <c r="A1474" s="4" t="s">
        <v>1896</v>
      </c>
      <c r="B1474" s="14">
        <v>6000.0</v>
      </c>
      <c r="C1474" s="4"/>
    </row>
    <row r="1475">
      <c r="A1475" s="4" t="s">
        <v>1897</v>
      </c>
      <c r="B1475" s="14">
        <v>1500.0</v>
      </c>
      <c r="C1475" s="4"/>
    </row>
    <row r="1476">
      <c r="A1476" s="4" t="s">
        <v>2978</v>
      </c>
      <c r="B1476" s="14">
        <v>500.0</v>
      </c>
      <c r="C1476" s="4"/>
    </row>
    <row r="1477">
      <c r="A1477" s="4" t="s">
        <v>1898</v>
      </c>
      <c r="B1477" s="14">
        <v>0.0</v>
      </c>
      <c r="C1477" s="3" t="s">
        <v>3</v>
      </c>
    </row>
    <row r="1478">
      <c r="A1478" s="4" t="s">
        <v>2979</v>
      </c>
      <c r="B1478" s="14">
        <v>0.0</v>
      </c>
      <c r="C1478" s="3" t="s">
        <v>2377</v>
      </c>
    </row>
    <row r="1479">
      <c r="A1479" s="4" t="s">
        <v>1899</v>
      </c>
      <c r="B1479" s="14">
        <v>1500.0</v>
      </c>
      <c r="C1479" s="3" t="s">
        <v>3</v>
      </c>
    </row>
    <row r="1480">
      <c r="A1480" s="4" t="s">
        <v>2980</v>
      </c>
      <c r="B1480" s="14">
        <v>0.0</v>
      </c>
      <c r="C1480" s="3" t="s">
        <v>3</v>
      </c>
    </row>
    <row r="1481">
      <c r="A1481" s="4" t="s">
        <v>2981</v>
      </c>
      <c r="B1481" s="14">
        <v>0.0</v>
      </c>
      <c r="C1481" s="3" t="s">
        <v>3</v>
      </c>
    </row>
    <row r="1482">
      <c r="A1482" s="4" t="s">
        <v>2982</v>
      </c>
      <c r="B1482" s="14">
        <v>0.0</v>
      </c>
      <c r="C1482" s="3" t="s">
        <v>3</v>
      </c>
    </row>
    <row r="1483">
      <c r="A1483" s="4" t="s">
        <v>1900</v>
      </c>
      <c r="B1483" s="14">
        <v>0.0</v>
      </c>
      <c r="C1483" s="3" t="s">
        <v>3</v>
      </c>
    </row>
    <row r="1484">
      <c r="A1484" s="4" t="s">
        <v>1901</v>
      </c>
      <c r="B1484" s="14">
        <v>0.0</v>
      </c>
      <c r="C1484" s="3" t="s">
        <v>3</v>
      </c>
    </row>
    <row r="1485">
      <c r="A1485" s="4" t="s">
        <v>1903</v>
      </c>
      <c r="B1485" s="14">
        <v>18000.0</v>
      </c>
      <c r="C1485" s="3" t="s">
        <v>2377</v>
      </c>
    </row>
    <row r="1486">
      <c r="A1486" s="4" t="s">
        <v>1905</v>
      </c>
      <c r="B1486" s="14">
        <v>200.0</v>
      </c>
      <c r="C1486" s="3" t="s">
        <v>3</v>
      </c>
    </row>
    <row r="1487">
      <c r="A1487" s="4" t="s">
        <v>1907</v>
      </c>
      <c r="B1487" s="14">
        <v>12000.0</v>
      </c>
      <c r="C1487" s="4"/>
    </row>
    <row r="1488">
      <c r="A1488" s="4" t="s">
        <v>1908</v>
      </c>
      <c r="B1488" s="14">
        <v>0.0</v>
      </c>
      <c r="C1488" s="3" t="s">
        <v>3</v>
      </c>
    </row>
    <row r="1489">
      <c r="A1489" s="4" t="s">
        <v>1909</v>
      </c>
      <c r="B1489" s="14">
        <v>0.0</v>
      </c>
      <c r="C1489" s="3" t="s">
        <v>3</v>
      </c>
    </row>
    <row r="1490">
      <c r="A1490" s="4" t="s">
        <v>2983</v>
      </c>
      <c r="B1490" s="14">
        <v>0.0</v>
      </c>
      <c r="C1490" s="3" t="s">
        <v>3</v>
      </c>
    </row>
    <row r="1491">
      <c r="A1491" s="4" t="s">
        <v>2984</v>
      </c>
      <c r="B1491" s="14">
        <v>0.0</v>
      </c>
      <c r="C1491" s="3" t="s">
        <v>3</v>
      </c>
    </row>
    <row r="1492">
      <c r="A1492" s="4" t="s">
        <v>2985</v>
      </c>
      <c r="B1492" s="14">
        <v>0.0</v>
      </c>
      <c r="C1492" s="3" t="s">
        <v>3</v>
      </c>
    </row>
    <row r="1493">
      <c r="A1493" s="4" t="s">
        <v>1914</v>
      </c>
      <c r="B1493" s="14">
        <v>200.0</v>
      </c>
      <c r="C1493" s="4"/>
    </row>
    <row r="1494">
      <c r="A1494" s="4" t="s">
        <v>2986</v>
      </c>
      <c r="B1494" s="14">
        <v>0.0</v>
      </c>
      <c r="C1494" s="3" t="s">
        <v>2377</v>
      </c>
    </row>
    <row r="1495">
      <c r="A1495" s="4" t="s">
        <v>1916</v>
      </c>
      <c r="B1495" s="14">
        <v>0.0</v>
      </c>
      <c r="C1495" s="3" t="s">
        <v>3</v>
      </c>
    </row>
    <row r="1496">
      <c r="A1496" s="4" t="s">
        <v>2987</v>
      </c>
      <c r="B1496" s="14">
        <v>0.0</v>
      </c>
      <c r="C1496" s="3" t="s">
        <v>29</v>
      </c>
    </row>
    <row r="1497">
      <c r="A1497" s="4" t="s">
        <v>1918</v>
      </c>
      <c r="B1497" s="14">
        <v>80300.0</v>
      </c>
      <c r="C1497" s="3" t="s">
        <v>2368</v>
      </c>
    </row>
    <row r="1498">
      <c r="A1498" s="4" t="s">
        <v>2988</v>
      </c>
      <c r="B1498" s="14">
        <v>15600.0</v>
      </c>
      <c r="C1498" s="3" t="s">
        <v>2508</v>
      </c>
    </row>
    <row r="1499">
      <c r="A1499" s="4" t="s">
        <v>2313</v>
      </c>
      <c r="B1499" s="14">
        <v>5300.0</v>
      </c>
      <c r="C1499" s="4"/>
    </row>
    <row r="1500">
      <c r="A1500" s="4" t="s">
        <v>2315</v>
      </c>
      <c r="B1500" s="14">
        <v>8000.0</v>
      </c>
      <c r="C1500" s="4"/>
    </row>
    <row r="1501">
      <c r="A1501" s="4" t="s">
        <v>1931</v>
      </c>
      <c r="B1501" s="14">
        <v>500.0</v>
      </c>
      <c r="C1501" s="3" t="s">
        <v>3</v>
      </c>
    </row>
    <row r="1502">
      <c r="A1502" s="4" t="s">
        <v>2316</v>
      </c>
      <c r="B1502" s="14">
        <v>400.0</v>
      </c>
      <c r="C1502" s="4"/>
    </row>
    <row r="1503">
      <c r="A1503" s="4" t="s">
        <v>2317</v>
      </c>
      <c r="B1503" s="14">
        <v>500.0</v>
      </c>
      <c r="C1503" s="4"/>
    </row>
    <row r="1504">
      <c r="A1504" s="4" t="s">
        <v>2989</v>
      </c>
      <c r="B1504" s="14">
        <v>0.0</v>
      </c>
      <c r="C1504" s="3" t="s">
        <v>3</v>
      </c>
    </row>
    <row r="1505">
      <c r="A1505" s="4" t="s">
        <v>1937</v>
      </c>
      <c r="B1505" s="14">
        <v>0.0</v>
      </c>
      <c r="C1505" s="3" t="s">
        <v>3</v>
      </c>
    </row>
    <row r="1506">
      <c r="A1506" s="4" t="s">
        <v>2990</v>
      </c>
      <c r="B1506" s="14">
        <v>3000.0</v>
      </c>
      <c r="C1506" s="4"/>
    </row>
    <row r="1507">
      <c r="A1507" s="4" t="s">
        <v>2991</v>
      </c>
      <c r="B1507" s="14">
        <v>0.0</v>
      </c>
      <c r="C1507" s="3" t="s">
        <v>3</v>
      </c>
    </row>
    <row r="1508">
      <c r="A1508" s="4" t="s">
        <v>1938</v>
      </c>
      <c r="B1508" s="14">
        <v>6075.0</v>
      </c>
      <c r="C1508" s="4"/>
    </row>
    <row r="1509">
      <c r="A1509" s="4" t="s">
        <v>2992</v>
      </c>
      <c r="B1509" s="14">
        <v>0.0</v>
      </c>
      <c r="C1509" s="3" t="s">
        <v>6</v>
      </c>
    </row>
    <row r="1510">
      <c r="A1510" s="4" t="s">
        <v>2319</v>
      </c>
      <c r="B1510" s="14">
        <v>0.0</v>
      </c>
      <c r="C1510" s="3" t="s">
        <v>3</v>
      </c>
    </row>
    <row r="1511">
      <c r="A1511" s="4" t="s">
        <v>2993</v>
      </c>
      <c r="B1511" s="14">
        <v>0.0</v>
      </c>
      <c r="C1511" s="3" t="s">
        <v>3</v>
      </c>
    </row>
    <row r="1512">
      <c r="A1512" s="4" t="s">
        <v>2994</v>
      </c>
      <c r="B1512" s="14">
        <v>0.0</v>
      </c>
      <c r="C1512" s="3" t="s">
        <v>3</v>
      </c>
    </row>
    <row r="1513">
      <c r="A1513" s="4" t="s">
        <v>1944</v>
      </c>
      <c r="B1513" s="14">
        <v>500.0</v>
      </c>
      <c r="C1513" s="4"/>
    </row>
    <row r="1514">
      <c r="A1514" s="4" t="s">
        <v>2320</v>
      </c>
      <c r="B1514" s="14">
        <v>0.0</v>
      </c>
      <c r="C1514" s="3" t="s">
        <v>3</v>
      </c>
    </row>
    <row r="1515">
      <c r="A1515" s="4" t="s">
        <v>2321</v>
      </c>
      <c r="B1515" s="14">
        <v>400.0</v>
      </c>
      <c r="C1515" s="3" t="s">
        <v>3</v>
      </c>
    </row>
    <row r="1516">
      <c r="A1516" s="4" t="s">
        <v>2322</v>
      </c>
      <c r="B1516" s="14">
        <v>0.0</v>
      </c>
      <c r="C1516" s="3" t="s">
        <v>3</v>
      </c>
    </row>
    <row r="1517">
      <c r="A1517" s="4" t="s">
        <v>2322</v>
      </c>
      <c r="B1517" s="14">
        <v>950.0</v>
      </c>
      <c r="C1517" s="4"/>
    </row>
    <row r="1518">
      <c r="A1518" s="4" t="s">
        <v>2995</v>
      </c>
      <c r="B1518" s="14">
        <v>0.0</v>
      </c>
      <c r="C1518" s="3" t="s">
        <v>3</v>
      </c>
    </row>
    <row r="1519">
      <c r="A1519" s="4" t="s">
        <v>2323</v>
      </c>
      <c r="B1519" s="14">
        <v>750.0</v>
      </c>
      <c r="C1519" s="4"/>
    </row>
    <row r="1520">
      <c r="A1520" s="4" t="s">
        <v>2996</v>
      </c>
      <c r="B1520" s="14">
        <v>0.0</v>
      </c>
      <c r="C1520" s="3" t="s">
        <v>3</v>
      </c>
    </row>
    <row r="1521">
      <c r="A1521" s="4" t="s">
        <v>2324</v>
      </c>
      <c r="B1521" s="14">
        <v>1500.0</v>
      </c>
      <c r="C1521" s="3" t="s">
        <v>3</v>
      </c>
    </row>
    <row r="1522">
      <c r="A1522" s="4" t="s">
        <v>2997</v>
      </c>
      <c r="B1522" s="14">
        <v>0.0</v>
      </c>
      <c r="C1522" s="3" t="s">
        <v>3</v>
      </c>
    </row>
    <row r="1523">
      <c r="A1523" s="4" t="s">
        <v>2326</v>
      </c>
      <c r="B1523" s="14">
        <v>750595.0</v>
      </c>
      <c r="C1523" s="3" t="s">
        <v>2370</v>
      </c>
    </row>
    <row r="1524">
      <c r="A1524" s="4" t="s">
        <v>2327</v>
      </c>
      <c r="B1524" s="14">
        <v>1495999.0</v>
      </c>
      <c r="C1524" s="3" t="s">
        <v>2370</v>
      </c>
    </row>
    <row r="1525">
      <c r="A1525" s="4" t="s">
        <v>2328</v>
      </c>
      <c r="B1525" s="14">
        <v>17000.0</v>
      </c>
      <c r="C1525" s="3" t="s">
        <v>29</v>
      </c>
    </row>
    <row r="1526">
      <c r="A1526" s="4" t="s">
        <v>2329</v>
      </c>
      <c r="B1526" s="14">
        <v>980549.0</v>
      </c>
      <c r="C1526" s="3" t="s">
        <v>2370</v>
      </c>
    </row>
    <row r="1527">
      <c r="A1527" s="4" t="s">
        <v>1967</v>
      </c>
      <c r="B1527" s="14">
        <v>105000.0</v>
      </c>
      <c r="C1527" s="3" t="s">
        <v>3</v>
      </c>
    </row>
    <row r="1528">
      <c r="A1528" s="4" t="s">
        <v>1969</v>
      </c>
      <c r="B1528" s="14">
        <v>4000.0</v>
      </c>
      <c r="C1528" s="4"/>
    </row>
    <row r="1529">
      <c r="A1529" s="4" t="s">
        <v>1970</v>
      </c>
      <c r="B1529" s="14">
        <v>0.0</v>
      </c>
      <c r="C1529" s="3" t="s">
        <v>3</v>
      </c>
    </row>
    <row r="1530">
      <c r="A1530" s="4" t="s">
        <v>1974</v>
      </c>
      <c r="B1530" s="14">
        <v>0.0</v>
      </c>
      <c r="C1530" s="3" t="s">
        <v>3</v>
      </c>
    </row>
    <row r="1531">
      <c r="A1531" s="4" t="s">
        <v>1976</v>
      </c>
      <c r="B1531" s="14">
        <v>40250.0</v>
      </c>
      <c r="C1531" s="3" t="s">
        <v>6</v>
      </c>
    </row>
    <row r="1532">
      <c r="A1532" s="4" t="s">
        <v>2998</v>
      </c>
      <c r="B1532" s="14">
        <v>4940.0</v>
      </c>
      <c r="C1532" s="4"/>
    </row>
    <row r="1533">
      <c r="A1533" s="4" t="s">
        <v>1980</v>
      </c>
      <c r="B1533" s="14">
        <v>3558.0</v>
      </c>
      <c r="C1533" s="4"/>
    </row>
    <row r="1534">
      <c r="A1534" s="4" t="s">
        <v>2999</v>
      </c>
      <c r="B1534" s="14">
        <v>1500.0</v>
      </c>
      <c r="C1534" s="3" t="s">
        <v>3</v>
      </c>
    </row>
    <row r="1535">
      <c r="A1535" s="4" t="s">
        <v>1983</v>
      </c>
      <c r="B1535" s="14">
        <v>0.0</v>
      </c>
      <c r="C1535" s="3" t="s">
        <v>6</v>
      </c>
    </row>
    <row r="1536">
      <c r="A1536" s="4" t="s">
        <v>1984</v>
      </c>
      <c r="B1536" s="14">
        <v>0.0</v>
      </c>
      <c r="C1536" s="3" t="s">
        <v>3</v>
      </c>
    </row>
    <row r="1537">
      <c r="A1537" s="4" t="s">
        <v>3000</v>
      </c>
      <c r="B1537" s="14">
        <v>0.0</v>
      </c>
      <c r="C1537" s="3" t="s">
        <v>3</v>
      </c>
    </row>
    <row r="1538">
      <c r="A1538" s="4" t="s">
        <v>3001</v>
      </c>
      <c r="B1538" s="14">
        <v>0.0</v>
      </c>
      <c r="C1538" s="3" t="s">
        <v>29</v>
      </c>
    </row>
    <row r="1539">
      <c r="A1539" s="4" t="s">
        <v>1989</v>
      </c>
      <c r="B1539" s="14">
        <v>3000.0</v>
      </c>
      <c r="C1539" s="3" t="s">
        <v>176</v>
      </c>
    </row>
    <row r="1540">
      <c r="A1540" s="4" t="s">
        <v>1991</v>
      </c>
      <c r="B1540" s="14">
        <v>700.0</v>
      </c>
      <c r="C1540" s="4"/>
    </row>
    <row r="1541">
      <c r="A1541" s="4" t="s">
        <v>3002</v>
      </c>
      <c r="B1541" s="14">
        <v>0.0</v>
      </c>
      <c r="C1541" s="3" t="s">
        <v>3</v>
      </c>
    </row>
    <row r="1542">
      <c r="A1542" s="4" t="s">
        <v>3003</v>
      </c>
      <c r="B1542" s="14">
        <v>0.0</v>
      </c>
      <c r="C1542" s="3" t="s">
        <v>3</v>
      </c>
    </row>
    <row r="1543">
      <c r="A1543" s="4" t="s">
        <v>1995</v>
      </c>
      <c r="B1543" s="14">
        <v>0.0</v>
      </c>
      <c r="C1543" s="3" t="s">
        <v>2377</v>
      </c>
    </row>
    <row r="1544">
      <c r="A1544" s="4" t="s">
        <v>1996</v>
      </c>
      <c r="B1544" s="14">
        <v>500.0</v>
      </c>
      <c r="C1544" s="3" t="s">
        <v>3</v>
      </c>
    </row>
    <row r="1545">
      <c r="A1545" s="4" t="s">
        <v>1997</v>
      </c>
      <c r="B1545" s="14">
        <v>0.0</v>
      </c>
      <c r="C1545" s="3" t="s">
        <v>6</v>
      </c>
    </row>
    <row r="1546">
      <c r="A1546" s="4" t="s">
        <v>2331</v>
      </c>
      <c r="B1546" s="14">
        <v>126000.0</v>
      </c>
      <c r="C1546" s="3" t="s">
        <v>2447</v>
      </c>
    </row>
    <row r="1547">
      <c r="A1547" s="4" t="s">
        <v>2001</v>
      </c>
      <c r="B1547" s="14">
        <v>0.0</v>
      </c>
      <c r="C1547" s="3" t="s">
        <v>6</v>
      </c>
    </row>
    <row r="1548">
      <c r="A1548" s="4" t="s">
        <v>2002</v>
      </c>
      <c r="B1548" s="14">
        <v>9800.0</v>
      </c>
      <c r="C1548" s="3" t="s">
        <v>6</v>
      </c>
    </row>
    <row r="1549">
      <c r="A1549" s="4" t="s">
        <v>2004</v>
      </c>
      <c r="B1549" s="14">
        <v>0.0</v>
      </c>
      <c r="C1549" s="3" t="s">
        <v>3</v>
      </c>
    </row>
    <row r="1550">
      <c r="A1550" s="4" t="s">
        <v>2005</v>
      </c>
      <c r="B1550" s="14">
        <v>0.0</v>
      </c>
      <c r="C1550" s="3" t="s">
        <v>3</v>
      </c>
    </row>
    <row r="1551">
      <c r="A1551" s="4" t="s">
        <v>2332</v>
      </c>
      <c r="B1551" s="14">
        <v>500.0</v>
      </c>
      <c r="C1551" s="3" t="s">
        <v>3</v>
      </c>
    </row>
    <row r="1552">
      <c r="A1552" s="4" t="s">
        <v>2008</v>
      </c>
      <c r="B1552" s="14">
        <v>0.0</v>
      </c>
      <c r="C1552" s="3" t="s">
        <v>2377</v>
      </c>
    </row>
    <row r="1553">
      <c r="A1553" s="4" t="s">
        <v>2009</v>
      </c>
      <c r="B1553" s="14">
        <v>5000.0</v>
      </c>
      <c r="C1553" s="3" t="s">
        <v>6</v>
      </c>
    </row>
    <row r="1554">
      <c r="A1554" s="4" t="s">
        <v>2011</v>
      </c>
      <c r="B1554" s="14">
        <v>1500.0</v>
      </c>
      <c r="C1554" s="3" t="s">
        <v>3</v>
      </c>
    </row>
    <row r="1555">
      <c r="A1555" s="4" t="s">
        <v>3004</v>
      </c>
      <c r="B1555" s="14">
        <v>0.0</v>
      </c>
      <c r="C1555" s="3" t="s">
        <v>3</v>
      </c>
    </row>
    <row r="1556">
      <c r="A1556" s="4" t="s">
        <v>3005</v>
      </c>
      <c r="B1556" s="14">
        <v>0.0</v>
      </c>
      <c r="C1556" s="3" t="s">
        <v>29</v>
      </c>
    </row>
    <row r="1557">
      <c r="A1557" s="4" t="s">
        <v>3006</v>
      </c>
      <c r="B1557" s="14">
        <v>7000.0</v>
      </c>
      <c r="C1557" s="3" t="s">
        <v>3</v>
      </c>
    </row>
    <row r="1558">
      <c r="A1558" s="4" t="s">
        <v>2017</v>
      </c>
      <c r="B1558" s="14">
        <v>500.0</v>
      </c>
      <c r="C1558" s="3" t="s">
        <v>3</v>
      </c>
    </row>
    <row r="1559">
      <c r="A1559" s="4" t="s">
        <v>3007</v>
      </c>
      <c r="B1559" s="14">
        <v>0.0</v>
      </c>
      <c r="C1559" s="3" t="s">
        <v>3</v>
      </c>
    </row>
    <row r="1560">
      <c r="A1560" s="4" t="s">
        <v>2018</v>
      </c>
      <c r="B1560" s="14">
        <v>5000.0</v>
      </c>
      <c r="C1560" s="3" t="s">
        <v>3</v>
      </c>
    </row>
    <row r="1561">
      <c r="A1561" s="4" t="s">
        <v>3008</v>
      </c>
      <c r="B1561" s="14">
        <v>1000.0</v>
      </c>
      <c r="C1561" s="3" t="s">
        <v>3</v>
      </c>
    </row>
    <row r="1562">
      <c r="A1562" s="4" t="s">
        <v>3009</v>
      </c>
      <c r="B1562" s="14">
        <v>0.0</v>
      </c>
      <c r="C1562" s="3" t="s">
        <v>29</v>
      </c>
    </row>
    <row r="1563">
      <c r="A1563" s="4" t="s">
        <v>3010</v>
      </c>
      <c r="B1563" s="14">
        <v>2000.0</v>
      </c>
      <c r="C1563" s="4"/>
    </row>
    <row r="1564">
      <c r="A1564" s="4" t="s">
        <v>3011</v>
      </c>
      <c r="B1564" s="14">
        <v>0.0</v>
      </c>
      <c r="C1564" s="3" t="s">
        <v>6</v>
      </c>
    </row>
    <row r="1565">
      <c r="A1565" s="4" t="s">
        <v>3012</v>
      </c>
      <c r="B1565" s="14">
        <v>300.0</v>
      </c>
      <c r="C1565" s="4"/>
    </row>
    <row r="1566">
      <c r="A1566" s="4" t="s">
        <v>2022</v>
      </c>
      <c r="B1566" s="14">
        <v>21000.0</v>
      </c>
      <c r="C1566" s="3" t="s">
        <v>2377</v>
      </c>
    </row>
    <row r="1567">
      <c r="A1567" s="4" t="s">
        <v>2333</v>
      </c>
      <c r="B1567" s="14">
        <v>11800.0</v>
      </c>
      <c r="C1567" s="3" t="s">
        <v>3</v>
      </c>
    </row>
    <row r="1568">
      <c r="A1568" s="4" t="s">
        <v>2025</v>
      </c>
      <c r="B1568" s="14">
        <v>0.0</v>
      </c>
      <c r="C1568" s="3" t="s">
        <v>2377</v>
      </c>
    </row>
    <row r="1569">
      <c r="A1569" s="4" t="s">
        <v>2026</v>
      </c>
      <c r="B1569" s="14">
        <v>0.0</v>
      </c>
      <c r="C1569" s="3" t="s">
        <v>3</v>
      </c>
    </row>
    <row r="1570">
      <c r="A1570" s="4" t="s">
        <v>3013</v>
      </c>
      <c r="B1570" s="14">
        <v>0.0</v>
      </c>
      <c r="C1570" s="3" t="s">
        <v>3</v>
      </c>
    </row>
    <row r="1571">
      <c r="A1571" s="4" t="s">
        <v>2028</v>
      </c>
      <c r="B1571" s="14">
        <v>0.0</v>
      </c>
      <c r="C1571" s="3" t="s">
        <v>29</v>
      </c>
    </row>
    <row r="1572">
      <c r="A1572" s="4" t="s">
        <v>2029</v>
      </c>
      <c r="B1572" s="14">
        <v>0.0</v>
      </c>
      <c r="C1572" s="3" t="s">
        <v>29</v>
      </c>
    </row>
    <row r="1573">
      <c r="A1573" s="4" t="s">
        <v>3014</v>
      </c>
      <c r="B1573" s="14">
        <v>3000.0</v>
      </c>
      <c r="C1573" s="4"/>
    </row>
    <row r="1574">
      <c r="A1574" s="4" t="s">
        <v>2030</v>
      </c>
      <c r="B1574" s="14">
        <v>17000.0</v>
      </c>
      <c r="C1574" s="3" t="s">
        <v>3</v>
      </c>
    </row>
    <row r="1575">
      <c r="A1575" s="4" t="s">
        <v>2031</v>
      </c>
      <c r="B1575" s="14">
        <v>14000.0</v>
      </c>
      <c r="C1575" s="4"/>
    </row>
    <row r="1576">
      <c r="A1576" s="4" t="s">
        <v>3015</v>
      </c>
      <c r="B1576" s="14">
        <v>0.0</v>
      </c>
      <c r="C1576" s="3" t="s">
        <v>3</v>
      </c>
    </row>
    <row r="1577">
      <c r="A1577" s="4" t="s">
        <v>2334</v>
      </c>
      <c r="B1577" s="14">
        <v>5000.0</v>
      </c>
      <c r="C1577" s="4"/>
    </row>
    <row r="1578">
      <c r="A1578" s="4" t="s">
        <v>3016</v>
      </c>
      <c r="B1578" s="14">
        <v>0.0</v>
      </c>
      <c r="C1578" s="3" t="s">
        <v>6</v>
      </c>
    </row>
    <row r="1579">
      <c r="A1579" s="4" t="s">
        <v>673</v>
      </c>
      <c r="B1579" s="14">
        <v>0.0</v>
      </c>
      <c r="C1579" s="3" t="s">
        <v>29</v>
      </c>
    </row>
    <row r="1580">
      <c r="A1580" s="4" t="s">
        <v>3017</v>
      </c>
      <c r="B1580" s="14">
        <v>0.0</v>
      </c>
      <c r="C1580" s="3" t="s">
        <v>6</v>
      </c>
    </row>
    <row r="1581">
      <c r="A1581" s="4" t="s">
        <v>3018</v>
      </c>
      <c r="B1581" s="14">
        <v>0.0</v>
      </c>
      <c r="C1581" s="3" t="s">
        <v>668</v>
      </c>
    </row>
    <row r="1582">
      <c r="A1582" s="4" t="s">
        <v>1253</v>
      </c>
      <c r="B1582" s="14">
        <v>0.0</v>
      </c>
      <c r="C1582" s="3" t="s">
        <v>6</v>
      </c>
    </row>
    <row r="1583">
      <c r="A1583" s="4" t="s">
        <v>1327</v>
      </c>
      <c r="B1583" s="14">
        <v>0.0</v>
      </c>
      <c r="C1583" s="3" t="s">
        <v>6</v>
      </c>
    </row>
    <row r="1584">
      <c r="A1584" s="4" t="s">
        <v>3019</v>
      </c>
      <c r="B1584" s="14">
        <v>0.0</v>
      </c>
      <c r="C1584" s="3" t="s">
        <v>668</v>
      </c>
    </row>
    <row r="1585">
      <c r="A1585" s="4" t="s">
        <v>3020</v>
      </c>
      <c r="B1585" s="14">
        <v>0.0</v>
      </c>
      <c r="C1585" s="3" t="s">
        <v>6</v>
      </c>
    </row>
    <row r="1586">
      <c r="A1586" s="4" t="s">
        <v>3021</v>
      </c>
      <c r="B1586" s="14">
        <v>0.0</v>
      </c>
      <c r="C1586" s="3" t="s">
        <v>668</v>
      </c>
    </row>
    <row r="1587">
      <c r="A1587" s="4" t="s">
        <v>1888</v>
      </c>
      <c r="B1587" s="14">
        <v>1660153.0</v>
      </c>
      <c r="C1587" s="3" t="s">
        <v>668</v>
      </c>
    </row>
    <row r="1588">
      <c r="A1588" s="4" t="s">
        <v>3022</v>
      </c>
      <c r="B1588" s="14">
        <v>0.0</v>
      </c>
      <c r="C1588" s="3" t="s">
        <v>29</v>
      </c>
    </row>
    <row r="1589">
      <c r="A1589" s="4" t="s">
        <v>3023</v>
      </c>
      <c r="B1589" s="14">
        <v>0.0</v>
      </c>
      <c r="C1589" s="3" t="s">
        <v>3</v>
      </c>
    </row>
    <row r="1590">
      <c r="A1590" s="4" t="s">
        <v>1132</v>
      </c>
      <c r="B1590" s="14">
        <v>0.0</v>
      </c>
      <c r="C1590" s="3" t="s">
        <v>6</v>
      </c>
    </row>
    <row r="1591">
      <c r="A1591" s="4" t="s">
        <v>3024</v>
      </c>
      <c r="B1591" s="14">
        <v>0.0</v>
      </c>
      <c r="C1591" s="3" t="s">
        <v>29</v>
      </c>
    </row>
    <row r="1592">
      <c r="A1592" s="4" t="s">
        <v>3025</v>
      </c>
      <c r="B1592" s="14">
        <v>0.0</v>
      </c>
      <c r="C1592" s="3" t="s">
        <v>3</v>
      </c>
    </row>
    <row r="1593">
      <c r="A1593" s="4" t="s">
        <v>3026</v>
      </c>
      <c r="B1593" s="14">
        <v>0.0</v>
      </c>
      <c r="C1593" s="3" t="s">
        <v>29</v>
      </c>
    </row>
    <row r="1594">
      <c r="A1594" s="4" t="s">
        <v>283</v>
      </c>
      <c r="B1594" s="14">
        <v>5000.0</v>
      </c>
      <c r="C1594" s="4"/>
    </row>
    <row r="1595">
      <c r="A1595" s="4" t="s">
        <v>2045</v>
      </c>
      <c r="B1595" s="14">
        <v>53250.0</v>
      </c>
      <c r="C1595" s="3" t="s">
        <v>2377</v>
      </c>
    </row>
    <row r="1596">
      <c r="A1596" s="4" t="s">
        <v>2047</v>
      </c>
      <c r="B1596" s="14">
        <v>7000.0</v>
      </c>
      <c r="C1596" s="4"/>
    </row>
    <row r="1597">
      <c r="A1597" s="4" t="s">
        <v>1257</v>
      </c>
      <c r="B1597" s="14">
        <v>0.0</v>
      </c>
      <c r="C1597" s="3" t="s">
        <v>29</v>
      </c>
    </row>
    <row r="1598">
      <c r="A1598" s="4" t="s">
        <v>2049</v>
      </c>
      <c r="B1598" s="14">
        <v>13003.28</v>
      </c>
      <c r="C1598" s="4"/>
    </row>
    <row r="1599">
      <c r="A1599" s="4" t="s">
        <v>2051</v>
      </c>
      <c r="B1599" s="14">
        <v>44521.21</v>
      </c>
      <c r="C1599" s="4"/>
    </row>
    <row r="1600">
      <c r="A1600" s="4" t="s">
        <v>2053</v>
      </c>
      <c r="B1600" s="14">
        <v>1.6115663E7</v>
      </c>
      <c r="C1600" s="4"/>
    </row>
    <row r="1601">
      <c r="A1601" s="4" t="s">
        <v>3027</v>
      </c>
      <c r="B1601" s="14">
        <v>6700.0</v>
      </c>
      <c r="C1601" s="3" t="s">
        <v>3028</v>
      </c>
    </row>
    <row r="1602">
      <c r="A1602" s="4" t="s">
        <v>2057</v>
      </c>
      <c r="B1602" s="14">
        <v>7823937.0</v>
      </c>
      <c r="C1602" s="4"/>
    </row>
    <row r="1603">
      <c r="A1603" s="4" t="s">
        <v>3029</v>
      </c>
      <c r="B1603" s="14">
        <v>30000.0</v>
      </c>
      <c r="C1603" s="4"/>
    </row>
    <row r="1604">
      <c r="A1604" s="4" t="s">
        <v>3030</v>
      </c>
      <c r="B1604" s="14">
        <v>3140000.0</v>
      </c>
      <c r="C1604" s="4"/>
    </row>
    <row r="1605">
      <c r="A1605" s="4" t="s">
        <v>3031</v>
      </c>
      <c r="B1605" s="14">
        <v>0.0</v>
      </c>
      <c r="C1605" s="3" t="s">
        <v>6</v>
      </c>
    </row>
    <row r="1606">
      <c r="A1606" s="4" t="s">
        <v>1203</v>
      </c>
      <c r="B1606" s="14">
        <v>290000.0</v>
      </c>
      <c r="C1606" s="4"/>
    </row>
    <row r="1607">
      <c r="A1607" s="4" t="s">
        <v>3032</v>
      </c>
      <c r="B1607" s="14">
        <v>0.0</v>
      </c>
      <c r="C1607" s="3" t="s">
        <v>668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40.25"/>
    <col customWidth="1" min="3" max="3" width="18.88"/>
    <col customWidth="1" min="4" max="4" width="24.88"/>
  </cols>
  <sheetData>
    <row r="1">
      <c r="A1" s="3" t="s">
        <v>3033</v>
      </c>
      <c r="B1" s="6" t="s">
        <v>2068</v>
      </c>
      <c r="C1" s="5" t="s">
        <v>2065</v>
      </c>
      <c r="D1" s="5" t="s">
        <v>2066</v>
      </c>
    </row>
    <row r="2">
      <c r="A2" s="3">
        <v>2016.0</v>
      </c>
      <c r="B2" s="4" t="s">
        <v>2053</v>
      </c>
      <c r="C2" s="3">
        <v>1.616767E7</v>
      </c>
      <c r="D2" s="4"/>
    </row>
    <row r="3">
      <c r="A3" s="3">
        <v>2016.0</v>
      </c>
      <c r="B3" s="4" t="s">
        <v>2117</v>
      </c>
      <c r="C3" s="3">
        <v>8060927.5</v>
      </c>
      <c r="D3" s="3" t="s">
        <v>303</v>
      </c>
    </row>
    <row r="4">
      <c r="A4" s="3">
        <v>2016.0</v>
      </c>
      <c r="B4" s="4" t="s">
        <v>2057</v>
      </c>
      <c r="C4" s="3">
        <v>7912204.0</v>
      </c>
      <c r="D4" s="4"/>
    </row>
    <row r="5">
      <c r="A5" s="3">
        <v>2016.0</v>
      </c>
      <c r="B5" s="4" t="s">
        <v>2043</v>
      </c>
      <c r="C5" s="3">
        <v>3120000.0</v>
      </c>
      <c r="D5" s="4"/>
    </row>
    <row r="6">
      <c r="A6" s="3">
        <v>2016.0</v>
      </c>
      <c r="B6" s="4" t="s">
        <v>481</v>
      </c>
      <c r="C6" s="3">
        <v>1735000.0</v>
      </c>
      <c r="D6" s="3" t="s">
        <v>3</v>
      </c>
    </row>
    <row r="7">
      <c r="A7" s="3">
        <v>2016.0</v>
      </c>
      <c r="B7" s="4" t="s">
        <v>1888</v>
      </c>
      <c r="C7" s="3">
        <v>1646816.0</v>
      </c>
      <c r="D7" s="3" t="s">
        <v>16</v>
      </c>
    </row>
    <row r="8">
      <c r="A8" s="3">
        <v>2016.0</v>
      </c>
      <c r="B8" s="4" t="s">
        <v>476</v>
      </c>
      <c r="C8" s="3">
        <v>1578403.0</v>
      </c>
      <c r="D8" s="3" t="s">
        <v>32</v>
      </c>
    </row>
    <row r="9">
      <c r="A9" s="3">
        <v>2016.0</v>
      </c>
      <c r="B9" s="4" t="s">
        <v>2327</v>
      </c>
      <c r="C9" s="3">
        <v>1537650.0</v>
      </c>
      <c r="D9" s="3" t="s">
        <v>37</v>
      </c>
    </row>
    <row r="10">
      <c r="A10" s="3">
        <v>2016.0</v>
      </c>
      <c r="B10" s="4" t="s">
        <v>2308</v>
      </c>
      <c r="C10" s="3">
        <v>1128560.0</v>
      </c>
      <c r="D10" s="3" t="s">
        <v>37</v>
      </c>
    </row>
    <row r="11">
      <c r="A11" s="3">
        <v>2016.0</v>
      </c>
      <c r="B11" s="4" t="s">
        <v>2189</v>
      </c>
      <c r="C11" s="3">
        <v>1089439.0</v>
      </c>
      <c r="D11" s="3" t="s">
        <v>37</v>
      </c>
    </row>
    <row r="12">
      <c r="A12" s="3">
        <v>2016.0</v>
      </c>
      <c r="B12" s="4" t="s">
        <v>2329</v>
      </c>
      <c r="C12" s="3">
        <v>896350.0</v>
      </c>
      <c r="D12" s="3" t="s">
        <v>37</v>
      </c>
    </row>
    <row r="13">
      <c r="A13" s="3">
        <v>2016.0</v>
      </c>
      <c r="B13" s="4" t="s">
        <v>2278</v>
      </c>
      <c r="C13" s="3">
        <v>892663.0</v>
      </c>
      <c r="D13" s="3" t="s">
        <v>37</v>
      </c>
    </row>
    <row r="14">
      <c r="A14" s="3">
        <v>2016.0</v>
      </c>
      <c r="B14" s="4" t="s">
        <v>2326</v>
      </c>
      <c r="C14" s="3">
        <v>879983.0</v>
      </c>
      <c r="D14" s="3" t="s">
        <v>37</v>
      </c>
    </row>
    <row r="15">
      <c r="A15" s="3">
        <v>2016.0</v>
      </c>
      <c r="B15" s="4" t="s">
        <v>2309</v>
      </c>
      <c r="C15" s="3">
        <v>819458.0</v>
      </c>
      <c r="D15" s="3" t="s">
        <v>37</v>
      </c>
    </row>
    <row r="16">
      <c r="A16" s="3">
        <v>2016.0</v>
      </c>
      <c r="B16" s="4" t="s">
        <v>174</v>
      </c>
      <c r="C16" s="3">
        <v>752250.0</v>
      </c>
      <c r="D16" s="3" t="s">
        <v>176</v>
      </c>
    </row>
    <row r="17">
      <c r="A17" s="3">
        <v>2016.0</v>
      </c>
      <c r="B17" s="4" t="s">
        <v>2282</v>
      </c>
      <c r="C17" s="3">
        <v>678000.0</v>
      </c>
      <c r="D17" s="4"/>
    </row>
    <row r="18">
      <c r="A18" s="3">
        <v>2016.0</v>
      </c>
      <c r="B18" s="4" t="s">
        <v>2207</v>
      </c>
      <c r="C18" s="3">
        <v>634600.0</v>
      </c>
      <c r="D18" s="3" t="s">
        <v>37</v>
      </c>
    </row>
    <row r="19">
      <c r="A19" s="3">
        <v>2016.0</v>
      </c>
      <c r="B19" s="4" t="s">
        <v>1673</v>
      </c>
      <c r="C19" s="3">
        <v>567000.0</v>
      </c>
      <c r="D19" s="3" t="s">
        <v>6</v>
      </c>
    </row>
    <row r="20">
      <c r="A20" s="3">
        <v>2016.0</v>
      </c>
      <c r="B20" s="4" t="s">
        <v>223</v>
      </c>
      <c r="C20" s="3">
        <v>532800.0</v>
      </c>
      <c r="D20" s="4"/>
    </row>
    <row r="21">
      <c r="A21" s="3">
        <v>2016.0</v>
      </c>
      <c r="B21" s="4" t="s">
        <v>2103</v>
      </c>
      <c r="C21" s="3">
        <v>512833.33</v>
      </c>
      <c r="D21" s="4"/>
    </row>
    <row r="22">
      <c r="A22" s="3">
        <v>2016.0</v>
      </c>
      <c r="B22" s="4" t="s">
        <v>1600</v>
      </c>
      <c r="C22" s="3">
        <v>494000.0</v>
      </c>
      <c r="D22" s="3" t="s">
        <v>32</v>
      </c>
    </row>
    <row r="23">
      <c r="A23" s="3">
        <v>2016.0</v>
      </c>
      <c r="B23" s="4" t="s">
        <v>1188</v>
      </c>
      <c r="C23" s="3">
        <v>492222.0</v>
      </c>
      <c r="D23" s="3" t="s">
        <v>32</v>
      </c>
    </row>
    <row r="24">
      <c r="A24" s="3">
        <v>2016.0</v>
      </c>
      <c r="B24" s="4" t="s">
        <v>1270</v>
      </c>
      <c r="C24" s="3">
        <v>478850.0</v>
      </c>
      <c r="D24" s="3" t="s">
        <v>32</v>
      </c>
    </row>
    <row r="25">
      <c r="A25" s="3">
        <v>2016.0</v>
      </c>
      <c r="B25" s="4" t="s">
        <v>2204</v>
      </c>
      <c r="C25" s="3">
        <v>461165.0</v>
      </c>
      <c r="D25" s="3" t="s">
        <v>37</v>
      </c>
    </row>
    <row r="26">
      <c r="A26" s="3">
        <v>2016.0</v>
      </c>
      <c r="B26" s="4" t="s">
        <v>2086</v>
      </c>
      <c r="C26" s="3">
        <v>450195.0</v>
      </c>
      <c r="D26" s="3" t="s">
        <v>29</v>
      </c>
    </row>
    <row r="27">
      <c r="A27" s="3">
        <v>2016.0</v>
      </c>
      <c r="B27" s="4" t="s">
        <v>1789</v>
      </c>
      <c r="C27" s="3">
        <v>450000.0</v>
      </c>
      <c r="D27" s="3" t="s">
        <v>6</v>
      </c>
    </row>
    <row r="28">
      <c r="A28" s="3">
        <v>2016.0</v>
      </c>
      <c r="B28" s="4" t="s">
        <v>1159</v>
      </c>
      <c r="C28" s="3">
        <v>426565.0</v>
      </c>
      <c r="D28" s="3" t="s">
        <v>32</v>
      </c>
    </row>
    <row r="29">
      <c r="A29" s="3">
        <v>2016.0</v>
      </c>
      <c r="B29" s="4" t="s">
        <v>1136</v>
      </c>
      <c r="C29" s="3">
        <v>402000.0</v>
      </c>
      <c r="D29" s="3" t="s">
        <v>16</v>
      </c>
    </row>
    <row r="30">
      <c r="A30" s="3">
        <v>2016.0</v>
      </c>
      <c r="B30" s="4" t="s">
        <v>2142</v>
      </c>
      <c r="C30" s="3">
        <v>380000.0</v>
      </c>
      <c r="D30" s="3" t="s">
        <v>6</v>
      </c>
    </row>
    <row r="31">
      <c r="A31" s="3">
        <v>2016.0</v>
      </c>
      <c r="B31" s="4" t="s">
        <v>2292</v>
      </c>
      <c r="C31" s="3">
        <v>357672.0</v>
      </c>
      <c r="D31" s="3" t="s">
        <v>3</v>
      </c>
    </row>
    <row r="32">
      <c r="A32" s="3">
        <v>2016.0</v>
      </c>
      <c r="B32" s="4" t="s">
        <v>599</v>
      </c>
      <c r="C32" s="3">
        <v>347000.0</v>
      </c>
      <c r="D32" s="4"/>
    </row>
    <row r="33">
      <c r="A33" s="3">
        <v>2016.0</v>
      </c>
      <c r="B33" s="4" t="s">
        <v>1463</v>
      </c>
      <c r="C33" s="3">
        <v>343924.0</v>
      </c>
      <c r="D33" s="3" t="s">
        <v>484</v>
      </c>
    </row>
    <row r="34">
      <c r="A34" s="3">
        <v>2016.0</v>
      </c>
      <c r="B34" s="4" t="s">
        <v>648</v>
      </c>
      <c r="C34" s="3">
        <v>339500.0</v>
      </c>
      <c r="D34" s="3" t="s">
        <v>16</v>
      </c>
    </row>
    <row r="35">
      <c r="A35" s="3">
        <v>2016.0</v>
      </c>
      <c r="B35" s="4" t="s">
        <v>1179</v>
      </c>
      <c r="C35" s="3">
        <v>334000.0</v>
      </c>
      <c r="D35" s="4"/>
    </row>
    <row r="36">
      <c r="A36" s="3">
        <v>2016.0</v>
      </c>
      <c r="B36" s="4" t="s">
        <v>478</v>
      </c>
      <c r="C36" s="3">
        <v>311500.0</v>
      </c>
      <c r="D36" s="4"/>
    </row>
    <row r="37">
      <c r="A37" s="3">
        <v>2016.0</v>
      </c>
      <c r="B37" s="4" t="s">
        <v>491</v>
      </c>
      <c r="C37" s="3">
        <v>300000.0</v>
      </c>
      <c r="D37" s="4"/>
    </row>
    <row r="38">
      <c r="A38" s="3">
        <v>2016.0</v>
      </c>
      <c r="B38" s="4" t="s">
        <v>679</v>
      </c>
      <c r="C38" s="3">
        <v>283000.0</v>
      </c>
      <c r="D38" s="4"/>
    </row>
    <row r="39">
      <c r="A39" s="3">
        <v>2016.0</v>
      </c>
      <c r="B39" s="4" t="s">
        <v>1787</v>
      </c>
      <c r="C39" s="3">
        <v>280000.0</v>
      </c>
      <c r="D39" s="3" t="s">
        <v>6</v>
      </c>
    </row>
    <row r="40">
      <c r="A40" s="3">
        <v>2016.0</v>
      </c>
      <c r="B40" s="4" t="s">
        <v>2206</v>
      </c>
      <c r="C40" s="3">
        <v>243834.0</v>
      </c>
      <c r="D40" s="3" t="s">
        <v>37</v>
      </c>
    </row>
    <row r="41">
      <c r="A41" s="3">
        <v>2016.0</v>
      </c>
      <c r="B41" s="4" t="s">
        <v>1472</v>
      </c>
      <c r="C41" s="3">
        <v>240000.0</v>
      </c>
      <c r="D41" s="4"/>
    </row>
    <row r="42">
      <c r="A42" s="3">
        <v>2016.0</v>
      </c>
      <c r="B42" s="4" t="s">
        <v>2289</v>
      </c>
      <c r="C42" s="3">
        <v>237000.0</v>
      </c>
      <c r="D42" s="3" t="s">
        <v>580</v>
      </c>
    </row>
    <row r="43">
      <c r="A43" s="3">
        <v>2016.0</v>
      </c>
      <c r="B43" s="4" t="s">
        <v>2192</v>
      </c>
      <c r="C43" s="3">
        <v>223734.0</v>
      </c>
      <c r="D43" s="3" t="s">
        <v>37</v>
      </c>
    </row>
    <row r="44">
      <c r="A44" s="3">
        <v>2016.0</v>
      </c>
      <c r="B44" s="4" t="s">
        <v>1089</v>
      </c>
      <c r="C44" s="3">
        <v>210000.0</v>
      </c>
      <c r="D44" s="4"/>
    </row>
    <row r="45">
      <c r="A45" s="3">
        <v>2016.0</v>
      </c>
      <c r="B45" s="4" t="s">
        <v>1500</v>
      </c>
      <c r="C45" s="3">
        <v>205000.0</v>
      </c>
      <c r="D45" s="4"/>
    </row>
    <row r="46">
      <c r="A46" s="3">
        <v>2016.0</v>
      </c>
      <c r="B46" s="4" t="s">
        <v>1539</v>
      </c>
      <c r="C46" s="3">
        <v>200000.0</v>
      </c>
      <c r="D46" s="4"/>
    </row>
    <row r="47">
      <c r="A47" s="3">
        <v>2016.0</v>
      </c>
      <c r="B47" s="4" t="s">
        <v>646</v>
      </c>
      <c r="C47" s="3">
        <v>198775.0</v>
      </c>
      <c r="D47" s="3" t="s">
        <v>6</v>
      </c>
    </row>
    <row r="48">
      <c r="A48" s="3">
        <v>2016.0</v>
      </c>
      <c r="B48" s="4" t="s">
        <v>2271</v>
      </c>
      <c r="C48" s="3">
        <v>198000.0</v>
      </c>
      <c r="D48" s="3" t="s">
        <v>1373</v>
      </c>
    </row>
    <row r="49">
      <c r="A49" s="3">
        <v>2016.0</v>
      </c>
      <c r="B49" s="4" t="s">
        <v>1203</v>
      </c>
      <c r="C49" s="3">
        <v>190000.0</v>
      </c>
      <c r="D49" s="4"/>
    </row>
    <row r="50">
      <c r="A50" s="3">
        <v>2016.0</v>
      </c>
      <c r="B50" s="4" t="s">
        <v>1070</v>
      </c>
      <c r="C50" s="3">
        <v>185000.0</v>
      </c>
      <c r="D50" s="3" t="s">
        <v>280</v>
      </c>
    </row>
    <row r="51">
      <c r="A51" s="3">
        <v>2016.0</v>
      </c>
      <c r="B51" s="4" t="s">
        <v>445</v>
      </c>
      <c r="C51" s="3">
        <v>180000.0</v>
      </c>
      <c r="D51" s="4"/>
    </row>
    <row r="52">
      <c r="A52" s="3">
        <v>2016.0</v>
      </c>
      <c r="B52" s="4" t="s">
        <v>1639</v>
      </c>
      <c r="C52" s="3">
        <v>170592.0</v>
      </c>
      <c r="D52" s="4"/>
    </row>
    <row r="53">
      <c r="A53" s="3">
        <v>2016.0</v>
      </c>
      <c r="B53" s="4" t="s">
        <v>582</v>
      </c>
      <c r="C53" s="3">
        <v>153407.0</v>
      </c>
      <c r="D53" s="3" t="s">
        <v>32</v>
      </c>
    </row>
    <row r="54">
      <c r="A54" s="3">
        <v>2016.0</v>
      </c>
      <c r="B54" s="4" t="s">
        <v>2259</v>
      </c>
      <c r="C54" s="3">
        <v>141174.0</v>
      </c>
      <c r="D54" s="3" t="s">
        <v>37</v>
      </c>
    </row>
    <row r="55">
      <c r="A55" s="3">
        <v>2016.0</v>
      </c>
      <c r="B55" s="4" t="s">
        <v>2276</v>
      </c>
      <c r="C55" s="3">
        <v>132000.0</v>
      </c>
      <c r="D55" s="3" t="s">
        <v>37</v>
      </c>
    </row>
    <row r="56">
      <c r="A56" s="3">
        <v>2016.0</v>
      </c>
      <c r="B56" s="4" t="s">
        <v>1635</v>
      </c>
      <c r="C56" s="3">
        <v>130000.0</v>
      </c>
      <c r="D56" s="3" t="s">
        <v>3</v>
      </c>
    </row>
    <row r="57">
      <c r="A57" s="3">
        <v>2016.0</v>
      </c>
      <c r="B57" s="4" t="s">
        <v>1654</v>
      </c>
      <c r="C57" s="3">
        <v>120000.0</v>
      </c>
      <c r="D57" s="4"/>
    </row>
    <row r="58">
      <c r="A58" s="3">
        <v>2016.0</v>
      </c>
      <c r="B58" s="4" t="s">
        <v>1389</v>
      </c>
      <c r="C58" s="3">
        <v>119100.0</v>
      </c>
      <c r="D58" s="3" t="s">
        <v>280</v>
      </c>
    </row>
    <row r="59">
      <c r="A59" s="3">
        <v>2016.0</v>
      </c>
      <c r="B59" s="4" t="s">
        <v>2331</v>
      </c>
      <c r="C59" s="3">
        <v>119000.0</v>
      </c>
      <c r="D59" s="3" t="s">
        <v>2000</v>
      </c>
    </row>
    <row r="60">
      <c r="A60" s="3">
        <v>2016.0</v>
      </c>
      <c r="B60" s="4" t="s">
        <v>2238</v>
      </c>
      <c r="C60" s="3">
        <v>118603.0</v>
      </c>
      <c r="D60" s="3" t="s">
        <v>37</v>
      </c>
    </row>
    <row r="61">
      <c r="A61" s="3">
        <v>2016.0</v>
      </c>
      <c r="B61" s="4" t="s">
        <v>697</v>
      </c>
      <c r="C61" s="3">
        <v>115000.0</v>
      </c>
      <c r="D61" s="4"/>
    </row>
    <row r="62">
      <c r="A62" s="3">
        <v>2016.0</v>
      </c>
      <c r="B62" s="4" t="s">
        <v>963</v>
      </c>
      <c r="C62" s="3">
        <v>115000.0</v>
      </c>
      <c r="D62" s="3" t="s">
        <v>6</v>
      </c>
    </row>
    <row r="63">
      <c r="A63" s="3">
        <v>2016.0</v>
      </c>
      <c r="B63" s="4" t="s">
        <v>1187</v>
      </c>
      <c r="C63" s="3">
        <v>115000.0</v>
      </c>
      <c r="D63" s="3" t="s">
        <v>32</v>
      </c>
    </row>
    <row r="64">
      <c r="A64" s="3">
        <v>2016.0</v>
      </c>
      <c r="B64" s="4" t="s">
        <v>2283</v>
      </c>
      <c r="C64" s="3">
        <v>110350.0</v>
      </c>
      <c r="D64" s="3" t="s">
        <v>6</v>
      </c>
    </row>
    <row r="65">
      <c r="A65" s="3">
        <v>2016.0</v>
      </c>
      <c r="B65" s="4" t="s">
        <v>1033</v>
      </c>
      <c r="C65" s="3">
        <v>109834.0</v>
      </c>
      <c r="D65" s="4"/>
    </row>
    <row r="66">
      <c r="A66" s="3">
        <v>2016.0</v>
      </c>
      <c r="B66" s="4" t="s">
        <v>1967</v>
      </c>
      <c r="C66" s="3">
        <v>105000.0</v>
      </c>
      <c r="D66" s="3" t="s">
        <v>32</v>
      </c>
    </row>
    <row r="67">
      <c r="A67" s="3">
        <v>2016.0</v>
      </c>
      <c r="B67" s="4" t="s">
        <v>1150</v>
      </c>
      <c r="C67" s="3">
        <v>100000.0</v>
      </c>
      <c r="D67" s="3" t="s">
        <v>29</v>
      </c>
    </row>
    <row r="68">
      <c r="A68" s="3">
        <v>2016.0</v>
      </c>
      <c r="B68" s="4" t="s">
        <v>1918</v>
      </c>
      <c r="C68" s="3">
        <v>83680.0</v>
      </c>
      <c r="D68" s="3" t="s">
        <v>26</v>
      </c>
    </row>
    <row r="69">
      <c r="A69" s="3">
        <v>2016.0</v>
      </c>
      <c r="B69" s="4" t="s">
        <v>2083</v>
      </c>
      <c r="C69" s="3">
        <v>82238.0</v>
      </c>
      <c r="D69" s="3" t="s">
        <v>37</v>
      </c>
    </row>
    <row r="70">
      <c r="A70" s="3">
        <v>2016.0</v>
      </c>
      <c r="B70" s="4" t="s">
        <v>712</v>
      </c>
      <c r="C70" s="3">
        <v>81568.0</v>
      </c>
      <c r="D70" s="4"/>
    </row>
    <row r="71">
      <c r="A71" s="3">
        <v>2016.0</v>
      </c>
      <c r="B71" s="4" t="s">
        <v>655</v>
      </c>
      <c r="C71" s="3">
        <v>80000.0</v>
      </c>
      <c r="D71" s="3" t="s">
        <v>29</v>
      </c>
    </row>
    <row r="72">
      <c r="A72" s="3">
        <v>2016.0</v>
      </c>
      <c r="B72" s="4" t="s">
        <v>1363</v>
      </c>
      <c r="C72" s="3">
        <v>80000.0</v>
      </c>
      <c r="D72" s="3" t="s">
        <v>3</v>
      </c>
    </row>
    <row r="73">
      <c r="A73" s="3">
        <v>2016.0</v>
      </c>
      <c r="B73" s="4" t="s">
        <v>1838</v>
      </c>
      <c r="C73" s="3">
        <v>73900.0</v>
      </c>
      <c r="D73" s="3" t="s">
        <v>3</v>
      </c>
    </row>
    <row r="74">
      <c r="A74" s="3">
        <v>2016.0</v>
      </c>
      <c r="B74" s="4" t="s">
        <v>2298</v>
      </c>
      <c r="C74" s="3">
        <v>73250.0</v>
      </c>
      <c r="D74" s="3" t="s">
        <v>1373</v>
      </c>
    </row>
    <row r="75">
      <c r="A75" s="3">
        <v>2016.0</v>
      </c>
      <c r="B75" s="4" t="s">
        <v>1227</v>
      </c>
      <c r="C75" s="3">
        <v>66000.0</v>
      </c>
      <c r="D75" s="4"/>
    </row>
    <row r="76">
      <c r="A76" s="3">
        <v>2016.0</v>
      </c>
      <c r="B76" s="4" t="s">
        <v>1761</v>
      </c>
      <c r="C76" s="3">
        <v>64000.0</v>
      </c>
      <c r="D76" s="4"/>
    </row>
    <row r="77">
      <c r="A77" s="3">
        <v>2016.0</v>
      </c>
      <c r="B77" s="4" t="s">
        <v>2076</v>
      </c>
      <c r="C77" s="3">
        <v>60000.0</v>
      </c>
      <c r="D77" s="4"/>
    </row>
    <row r="78">
      <c r="A78" s="3">
        <v>2016.0</v>
      </c>
      <c r="B78" s="4" t="s">
        <v>774</v>
      </c>
      <c r="C78" s="3">
        <v>57500.0</v>
      </c>
      <c r="D78" s="3" t="s">
        <v>280</v>
      </c>
    </row>
    <row r="79">
      <c r="A79" s="3">
        <v>2016.0</v>
      </c>
      <c r="B79" s="4" t="s">
        <v>1339</v>
      </c>
      <c r="C79" s="3">
        <v>57005.0</v>
      </c>
      <c r="D79" s="4"/>
    </row>
    <row r="80">
      <c r="A80" s="3">
        <v>2016.0</v>
      </c>
      <c r="B80" s="4" t="s">
        <v>1377</v>
      </c>
      <c r="C80" s="3">
        <v>56105.0</v>
      </c>
      <c r="D80" s="3" t="s">
        <v>1379</v>
      </c>
    </row>
    <row r="81">
      <c r="A81" s="3">
        <v>2016.0</v>
      </c>
      <c r="B81" s="4" t="s">
        <v>1559</v>
      </c>
      <c r="C81" s="3">
        <v>56000.0</v>
      </c>
      <c r="D81" s="3" t="s">
        <v>3</v>
      </c>
    </row>
    <row r="82">
      <c r="A82" s="3">
        <v>2016.0</v>
      </c>
      <c r="B82" s="4" t="s">
        <v>447</v>
      </c>
      <c r="C82" s="3">
        <v>55000.0</v>
      </c>
      <c r="D82" s="4"/>
    </row>
    <row r="83">
      <c r="A83" s="3">
        <v>2016.0</v>
      </c>
      <c r="B83" s="4" t="s">
        <v>1502</v>
      </c>
      <c r="C83" s="3">
        <v>54201.0</v>
      </c>
      <c r="D83" s="3" t="s">
        <v>6</v>
      </c>
    </row>
    <row r="84">
      <c r="A84" s="3">
        <v>2016.0</v>
      </c>
      <c r="B84" s="4" t="s">
        <v>2045</v>
      </c>
      <c r="C84" s="3">
        <v>52500.0</v>
      </c>
      <c r="D84" s="3" t="s">
        <v>3</v>
      </c>
    </row>
    <row r="85">
      <c r="A85" s="3">
        <v>2016.0</v>
      </c>
      <c r="B85" s="4" t="s">
        <v>1884</v>
      </c>
      <c r="C85" s="3">
        <v>52250.0</v>
      </c>
      <c r="D85" s="4"/>
    </row>
    <row r="86">
      <c r="A86" s="3">
        <v>2016.0</v>
      </c>
      <c r="B86" s="4" t="s">
        <v>1751</v>
      </c>
      <c r="C86" s="3">
        <v>51000.0</v>
      </c>
      <c r="D86" s="3" t="s">
        <v>3</v>
      </c>
    </row>
    <row r="87">
      <c r="A87" s="3">
        <v>2016.0</v>
      </c>
      <c r="B87" s="4" t="s">
        <v>2099</v>
      </c>
      <c r="C87" s="3">
        <v>50580.0</v>
      </c>
      <c r="D87" s="3" t="s">
        <v>216</v>
      </c>
    </row>
    <row r="88">
      <c r="A88" s="3">
        <v>2016.0</v>
      </c>
      <c r="B88" s="4" t="s">
        <v>569</v>
      </c>
      <c r="C88" s="3">
        <v>50000.0</v>
      </c>
      <c r="D88" s="3" t="s">
        <v>6</v>
      </c>
    </row>
    <row r="89">
      <c r="A89" s="3">
        <v>2016.0</v>
      </c>
      <c r="B89" s="4" t="s">
        <v>1346</v>
      </c>
      <c r="C89" s="3">
        <v>50000.0</v>
      </c>
      <c r="D89" s="4"/>
    </row>
    <row r="90">
      <c r="A90" s="3">
        <v>2016.0</v>
      </c>
      <c r="B90" s="4" t="s">
        <v>1438</v>
      </c>
      <c r="C90" s="3">
        <v>50000.0</v>
      </c>
      <c r="D90" s="4"/>
    </row>
    <row r="91">
      <c r="A91" s="3">
        <v>2016.0</v>
      </c>
      <c r="B91" s="4" t="s">
        <v>1552</v>
      </c>
      <c r="C91" s="3">
        <v>50000.0</v>
      </c>
      <c r="D91" s="4"/>
    </row>
    <row r="92">
      <c r="A92" s="3">
        <v>2016.0</v>
      </c>
      <c r="B92" s="4" t="s">
        <v>729</v>
      </c>
      <c r="C92" s="3">
        <v>49000.0</v>
      </c>
      <c r="D92" s="3" t="s">
        <v>32</v>
      </c>
    </row>
    <row r="93">
      <c r="A93" s="3">
        <v>2016.0</v>
      </c>
      <c r="B93" s="4" t="s">
        <v>2236</v>
      </c>
      <c r="C93" s="3">
        <v>46500.0</v>
      </c>
      <c r="D93" s="3" t="s">
        <v>3</v>
      </c>
    </row>
    <row r="94">
      <c r="A94" s="3">
        <v>2016.0</v>
      </c>
      <c r="B94" s="4" t="s">
        <v>1563</v>
      </c>
      <c r="C94" s="3">
        <v>46000.0</v>
      </c>
      <c r="D94" s="4"/>
    </row>
    <row r="95">
      <c r="A95" s="3">
        <v>2016.0</v>
      </c>
      <c r="B95" s="4" t="s">
        <v>2150</v>
      </c>
      <c r="C95" s="3">
        <v>45400.0</v>
      </c>
      <c r="D95" s="3" t="s">
        <v>3</v>
      </c>
    </row>
    <row r="96">
      <c r="A96" s="3">
        <v>2016.0</v>
      </c>
      <c r="B96" s="4" t="s">
        <v>589</v>
      </c>
      <c r="C96" s="3">
        <v>44200.0</v>
      </c>
      <c r="D96" s="3" t="s">
        <v>3</v>
      </c>
    </row>
    <row r="97">
      <c r="A97" s="3">
        <v>2016.0</v>
      </c>
      <c r="B97" s="4" t="s">
        <v>916</v>
      </c>
      <c r="C97" s="3">
        <v>41500.0</v>
      </c>
      <c r="D97" s="3" t="s">
        <v>280</v>
      </c>
    </row>
    <row r="98">
      <c r="A98" s="3">
        <v>2016.0</v>
      </c>
      <c r="B98" s="4" t="s">
        <v>1620</v>
      </c>
      <c r="C98" s="3">
        <v>40700.0</v>
      </c>
      <c r="D98" s="3" t="s">
        <v>216</v>
      </c>
    </row>
    <row r="99">
      <c r="A99" s="3">
        <v>2016.0</v>
      </c>
      <c r="B99" s="4" t="s">
        <v>945</v>
      </c>
      <c r="C99" s="3">
        <v>40000.0</v>
      </c>
      <c r="D99" s="3" t="s">
        <v>216</v>
      </c>
    </row>
    <row r="100">
      <c r="A100" s="3">
        <v>2016.0</v>
      </c>
      <c r="B100" s="4" t="s">
        <v>522</v>
      </c>
      <c r="C100" s="3">
        <v>37754.0</v>
      </c>
      <c r="D100" s="3" t="s">
        <v>484</v>
      </c>
    </row>
    <row r="101">
      <c r="A101" s="3">
        <v>2016.0</v>
      </c>
      <c r="B101" s="4" t="s">
        <v>2284</v>
      </c>
      <c r="C101" s="3">
        <v>37500.0</v>
      </c>
      <c r="D101" s="3" t="s">
        <v>580</v>
      </c>
    </row>
    <row r="102">
      <c r="A102" s="3">
        <v>2016.0</v>
      </c>
      <c r="B102" s="4" t="s">
        <v>395</v>
      </c>
      <c r="C102" s="3">
        <v>37000.0</v>
      </c>
      <c r="D102" s="3" t="s">
        <v>32</v>
      </c>
    </row>
    <row r="103">
      <c r="A103" s="3">
        <v>2016.0</v>
      </c>
      <c r="B103" s="4" t="s">
        <v>628</v>
      </c>
      <c r="C103" s="3">
        <v>35895.0</v>
      </c>
      <c r="D103" s="3" t="s">
        <v>484</v>
      </c>
    </row>
    <row r="104">
      <c r="A104" s="3">
        <v>2016.0</v>
      </c>
      <c r="B104" s="4" t="s">
        <v>1579</v>
      </c>
      <c r="C104" s="3">
        <v>35500.0</v>
      </c>
      <c r="D104" s="3" t="s">
        <v>32</v>
      </c>
    </row>
    <row r="105">
      <c r="A105" s="3">
        <v>2016.0</v>
      </c>
      <c r="B105" s="4" t="s">
        <v>2262</v>
      </c>
      <c r="C105" s="3">
        <v>35000.0</v>
      </c>
      <c r="D105" s="4"/>
    </row>
    <row r="106">
      <c r="A106" s="3">
        <v>2016.0</v>
      </c>
      <c r="B106" s="4" t="s">
        <v>1736</v>
      </c>
      <c r="C106" s="3">
        <v>35000.0</v>
      </c>
      <c r="D106" s="3" t="s">
        <v>280</v>
      </c>
    </row>
    <row r="107">
      <c r="A107" s="3">
        <v>2016.0</v>
      </c>
      <c r="B107" s="4" t="s">
        <v>1156</v>
      </c>
      <c r="C107" s="3">
        <v>33251.0</v>
      </c>
      <c r="D107" s="4"/>
    </row>
    <row r="108">
      <c r="A108" s="3">
        <v>2016.0</v>
      </c>
      <c r="B108" s="4" t="s">
        <v>1903</v>
      </c>
      <c r="C108" s="3">
        <v>32987.75</v>
      </c>
      <c r="D108" s="3" t="s">
        <v>280</v>
      </c>
    </row>
    <row r="109">
      <c r="A109" s="3">
        <v>2016.0</v>
      </c>
      <c r="B109" s="4" t="s">
        <v>786</v>
      </c>
      <c r="C109" s="3">
        <v>32500.0</v>
      </c>
      <c r="D109" s="4"/>
    </row>
    <row r="110">
      <c r="A110" s="3">
        <v>2016.0</v>
      </c>
      <c r="B110" s="4" t="s">
        <v>1733</v>
      </c>
      <c r="C110" s="3">
        <v>31500.0</v>
      </c>
      <c r="D110" s="3" t="s">
        <v>3</v>
      </c>
    </row>
    <row r="111">
      <c r="A111" s="3">
        <v>2016.0</v>
      </c>
      <c r="B111" s="4" t="s">
        <v>1055</v>
      </c>
      <c r="C111" s="3">
        <v>31000.0</v>
      </c>
      <c r="D111" s="4"/>
    </row>
    <row r="112">
      <c r="A112" s="3">
        <v>2016.0</v>
      </c>
      <c r="B112" s="4" t="s">
        <v>607</v>
      </c>
      <c r="C112" s="3">
        <v>30500.0</v>
      </c>
      <c r="D112" s="3" t="s">
        <v>32</v>
      </c>
    </row>
    <row r="113">
      <c r="A113" s="3">
        <v>2016.0</v>
      </c>
      <c r="B113" s="4" t="s">
        <v>2088</v>
      </c>
      <c r="C113" s="3">
        <v>30000.0</v>
      </c>
      <c r="D113" s="3" t="s">
        <v>3</v>
      </c>
    </row>
    <row r="114">
      <c r="A114" s="3">
        <v>2016.0</v>
      </c>
      <c r="B114" s="4" t="s">
        <v>645</v>
      </c>
      <c r="C114" s="3">
        <v>30000.0</v>
      </c>
      <c r="D114" s="4"/>
    </row>
    <row r="115">
      <c r="A115" s="3">
        <v>2016.0</v>
      </c>
      <c r="B115" s="4" t="s">
        <v>725</v>
      </c>
      <c r="C115" s="3">
        <v>30000.0</v>
      </c>
      <c r="D115" s="3" t="s">
        <v>6</v>
      </c>
    </row>
    <row r="116">
      <c r="A116" s="3">
        <v>2016.0</v>
      </c>
      <c r="B116" s="4" t="s">
        <v>1000</v>
      </c>
      <c r="C116" s="3">
        <v>30000.0</v>
      </c>
      <c r="D116" s="3" t="s">
        <v>3</v>
      </c>
    </row>
    <row r="117">
      <c r="A117" s="3">
        <v>2016.0</v>
      </c>
      <c r="B117" s="4" t="s">
        <v>1756</v>
      </c>
      <c r="C117" s="3">
        <v>29985.0</v>
      </c>
      <c r="D117" s="4"/>
    </row>
    <row r="118">
      <c r="A118" s="3">
        <v>2016.0</v>
      </c>
      <c r="B118" s="4" t="s">
        <v>1489</v>
      </c>
      <c r="C118" s="3">
        <v>29750.0</v>
      </c>
      <c r="D118" s="3" t="s">
        <v>32</v>
      </c>
    </row>
    <row r="119">
      <c r="A119" s="3">
        <v>2016.0</v>
      </c>
      <c r="B119" s="4" t="s">
        <v>1585</v>
      </c>
      <c r="C119" s="3">
        <v>29000.0</v>
      </c>
      <c r="D119" s="3" t="s">
        <v>32</v>
      </c>
    </row>
    <row r="120">
      <c r="A120" s="3">
        <v>2016.0</v>
      </c>
      <c r="B120" s="4" t="s">
        <v>1976</v>
      </c>
      <c r="C120" s="3">
        <v>28500.0</v>
      </c>
      <c r="D120" s="3" t="s">
        <v>32</v>
      </c>
    </row>
    <row r="121">
      <c r="A121" s="3">
        <v>2016.0</v>
      </c>
      <c r="B121" s="4" t="s">
        <v>669</v>
      </c>
      <c r="C121" s="3">
        <v>28000.0</v>
      </c>
      <c r="D121" s="3" t="s">
        <v>3</v>
      </c>
    </row>
    <row r="122">
      <c r="A122" s="3">
        <v>2016.0</v>
      </c>
      <c r="B122" s="4" t="s">
        <v>834</v>
      </c>
      <c r="C122" s="3">
        <v>28000.0</v>
      </c>
      <c r="D122" s="3" t="s">
        <v>6</v>
      </c>
    </row>
    <row r="123">
      <c r="A123" s="3">
        <v>2016.0</v>
      </c>
      <c r="B123" s="4" t="s">
        <v>549</v>
      </c>
      <c r="C123" s="3">
        <v>27778.0</v>
      </c>
      <c r="D123" s="4"/>
    </row>
    <row r="124">
      <c r="A124" s="3">
        <v>2016.0</v>
      </c>
      <c r="B124" s="4" t="s">
        <v>413</v>
      </c>
      <c r="C124" s="3">
        <v>27500.0</v>
      </c>
      <c r="D124" s="3" t="s">
        <v>32</v>
      </c>
    </row>
    <row r="125">
      <c r="A125" s="3">
        <v>2016.0</v>
      </c>
      <c r="B125" s="4" t="s">
        <v>1023</v>
      </c>
      <c r="C125" s="3">
        <v>27000.0</v>
      </c>
      <c r="D125" s="3" t="s">
        <v>3</v>
      </c>
    </row>
    <row r="126">
      <c r="A126" s="3">
        <v>2016.0</v>
      </c>
      <c r="B126" s="4" t="s">
        <v>2288</v>
      </c>
      <c r="C126" s="3">
        <v>27000.0</v>
      </c>
      <c r="D126" s="3" t="s">
        <v>580</v>
      </c>
    </row>
    <row r="127">
      <c r="A127" s="3">
        <v>2016.0</v>
      </c>
      <c r="B127" s="4" t="s">
        <v>518</v>
      </c>
      <c r="C127" s="3">
        <v>25062.0</v>
      </c>
      <c r="D127" s="4"/>
    </row>
    <row r="128">
      <c r="A128" s="3">
        <v>2016.0</v>
      </c>
      <c r="B128" s="4" t="s">
        <v>1262</v>
      </c>
      <c r="C128" s="3">
        <v>25000.0</v>
      </c>
      <c r="D128" s="4"/>
    </row>
    <row r="129">
      <c r="A129" s="3">
        <v>2016.0</v>
      </c>
      <c r="B129" s="4" t="s">
        <v>1902</v>
      </c>
      <c r="C129" s="3">
        <v>25000.0</v>
      </c>
      <c r="D129" s="4"/>
    </row>
    <row r="130">
      <c r="A130" s="3">
        <v>2016.0</v>
      </c>
      <c r="B130" s="4" t="s">
        <v>1273</v>
      </c>
      <c r="C130" s="3">
        <v>24500.0</v>
      </c>
      <c r="D130" s="3" t="s">
        <v>3</v>
      </c>
    </row>
    <row r="131">
      <c r="A131" s="3">
        <v>2016.0</v>
      </c>
      <c r="B131" s="4" t="s">
        <v>935</v>
      </c>
      <c r="C131" s="3">
        <v>23000.0</v>
      </c>
      <c r="D131" s="4"/>
    </row>
    <row r="132">
      <c r="A132" s="3">
        <v>2016.0</v>
      </c>
      <c r="B132" s="4" t="s">
        <v>1322</v>
      </c>
      <c r="C132" s="3">
        <v>23000.0</v>
      </c>
      <c r="D132" s="3" t="s">
        <v>3</v>
      </c>
    </row>
    <row r="133">
      <c r="A133" s="3">
        <v>2016.0</v>
      </c>
      <c r="B133" s="4" t="s">
        <v>2274</v>
      </c>
      <c r="C133" s="3">
        <v>23000.0</v>
      </c>
      <c r="D133" s="3" t="s">
        <v>37</v>
      </c>
    </row>
    <row r="134">
      <c r="A134" s="3">
        <v>2016.0</v>
      </c>
      <c r="B134" s="4" t="s">
        <v>2030</v>
      </c>
      <c r="C134" s="3">
        <v>23000.0</v>
      </c>
      <c r="D134" s="3" t="s">
        <v>3</v>
      </c>
    </row>
    <row r="135">
      <c r="A135" s="3">
        <v>2016.0</v>
      </c>
      <c r="B135" s="4" t="s">
        <v>1423</v>
      </c>
      <c r="C135" s="3">
        <v>22500.0</v>
      </c>
      <c r="D135" s="3" t="s">
        <v>3</v>
      </c>
    </row>
    <row r="136">
      <c r="A136" s="3">
        <v>2016.0</v>
      </c>
      <c r="B136" s="4" t="s">
        <v>1671</v>
      </c>
      <c r="C136" s="3">
        <v>22500.0</v>
      </c>
      <c r="D136" s="4"/>
    </row>
    <row r="137">
      <c r="A137" s="3">
        <v>2016.0</v>
      </c>
      <c r="B137" s="4" t="s">
        <v>2071</v>
      </c>
      <c r="C137" s="3">
        <v>22000.0</v>
      </c>
      <c r="D137" s="3" t="s">
        <v>37</v>
      </c>
    </row>
    <row r="138">
      <c r="A138" s="3">
        <v>2016.0</v>
      </c>
      <c r="B138" s="4" t="s">
        <v>53</v>
      </c>
      <c r="C138" s="3">
        <v>22000.0</v>
      </c>
      <c r="D138" s="4"/>
    </row>
    <row r="139">
      <c r="A139" s="3">
        <v>2016.0</v>
      </c>
      <c r="B139" s="4" t="s">
        <v>1336</v>
      </c>
      <c r="C139" s="3">
        <v>22000.0</v>
      </c>
      <c r="D139" s="4"/>
    </row>
    <row r="140">
      <c r="A140" s="3">
        <v>2016.0</v>
      </c>
      <c r="B140" s="4" t="s">
        <v>1739</v>
      </c>
      <c r="C140" s="3">
        <v>22000.0</v>
      </c>
      <c r="D140" s="3" t="s">
        <v>484</v>
      </c>
    </row>
    <row r="141">
      <c r="A141" s="3">
        <v>2016.0</v>
      </c>
      <c r="B141" s="4" t="s">
        <v>639</v>
      </c>
      <c r="C141" s="3">
        <v>21600.0</v>
      </c>
      <c r="D141" s="3" t="s">
        <v>3</v>
      </c>
    </row>
    <row r="142">
      <c r="A142" s="3">
        <v>2016.0</v>
      </c>
      <c r="B142" s="4" t="s">
        <v>1992</v>
      </c>
      <c r="C142" s="3">
        <v>21500.0</v>
      </c>
      <c r="D142" s="4"/>
    </row>
    <row r="143">
      <c r="A143" s="3">
        <v>2016.0</v>
      </c>
      <c r="B143" s="4" t="s">
        <v>1718</v>
      </c>
      <c r="C143" s="3">
        <v>21350.0</v>
      </c>
      <c r="D143" s="3" t="s">
        <v>32</v>
      </c>
    </row>
    <row r="144">
      <c r="A144" s="3">
        <v>2016.0</v>
      </c>
      <c r="B144" s="4" t="s">
        <v>2089</v>
      </c>
      <c r="C144" s="3">
        <v>21000.0</v>
      </c>
      <c r="D144" s="3" t="s">
        <v>32</v>
      </c>
    </row>
    <row r="145">
      <c r="A145" s="3">
        <v>2016.0</v>
      </c>
      <c r="B145" s="4" t="s">
        <v>666</v>
      </c>
      <c r="C145" s="3">
        <v>21000.0</v>
      </c>
      <c r="D145" s="4"/>
    </row>
    <row r="146">
      <c r="A146" s="3">
        <v>2016.0</v>
      </c>
      <c r="B146" s="4" t="s">
        <v>1246</v>
      </c>
      <c r="C146" s="3">
        <v>21000.0</v>
      </c>
      <c r="D146" s="4"/>
    </row>
    <row r="147">
      <c r="A147" s="3">
        <v>2016.0</v>
      </c>
      <c r="B147" s="4" t="s">
        <v>1637</v>
      </c>
      <c r="C147" s="3">
        <v>20686.0</v>
      </c>
      <c r="D147" s="4"/>
    </row>
    <row r="148">
      <c r="A148" s="3">
        <v>2016.0</v>
      </c>
      <c r="B148" s="4" t="s">
        <v>751</v>
      </c>
      <c r="C148" s="3">
        <v>20500.0</v>
      </c>
      <c r="D148" s="3" t="s">
        <v>280</v>
      </c>
    </row>
    <row r="149">
      <c r="A149" s="3">
        <v>2016.0</v>
      </c>
      <c r="B149" s="4" t="s">
        <v>2215</v>
      </c>
      <c r="C149" s="3">
        <v>20500.0</v>
      </c>
      <c r="D149" s="3" t="s">
        <v>37</v>
      </c>
    </row>
    <row r="150">
      <c r="A150" s="3">
        <v>2016.0</v>
      </c>
      <c r="B150" s="4" t="s">
        <v>82</v>
      </c>
      <c r="C150" s="3">
        <v>20060.0</v>
      </c>
      <c r="D150" s="4"/>
    </row>
    <row r="151">
      <c r="A151" s="3">
        <v>2016.0</v>
      </c>
      <c r="B151" s="4" t="s">
        <v>2328</v>
      </c>
      <c r="C151" s="3">
        <v>19500.0</v>
      </c>
      <c r="D151" s="3" t="s">
        <v>6</v>
      </c>
    </row>
    <row r="152">
      <c r="A152" s="3">
        <v>2016.0</v>
      </c>
      <c r="B152" s="4" t="s">
        <v>14</v>
      </c>
      <c r="C152" s="3">
        <v>19000.0</v>
      </c>
      <c r="D152" s="3" t="s">
        <v>16</v>
      </c>
    </row>
    <row r="153">
      <c r="A153" s="3">
        <v>2016.0</v>
      </c>
      <c r="B153" s="4" t="s">
        <v>790</v>
      </c>
      <c r="C153" s="3">
        <v>19000.0</v>
      </c>
      <c r="D153" s="4"/>
    </row>
    <row r="154">
      <c r="A154" s="3">
        <v>2016.0</v>
      </c>
      <c r="B154" s="4" t="s">
        <v>1859</v>
      </c>
      <c r="C154" s="3">
        <v>19000.0</v>
      </c>
      <c r="D154" s="4"/>
    </row>
    <row r="155">
      <c r="A155" s="3">
        <v>2016.0</v>
      </c>
      <c r="B155" s="4" t="s">
        <v>1421</v>
      </c>
      <c r="C155" s="3">
        <v>18800.0</v>
      </c>
      <c r="D155" s="3" t="s">
        <v>6</v>
      </c>
    </row>
    <row r="156">
      <c r="A156" s="3">
        <v>2016.0</v>
      </c>
      <c r="B156" s="4" t="s">
        <v>1604</v>
      </c>
      <c r="C156" s="3">
        <v>17528.0</v>
      </c>
      <c r="D156" s="4"/>
    </row>
    <row r="157">
      <c r="A157" s="3">
        <v>2016.0</v>
      </c>
      <c r="B157" s="4" t="s">
        <v>929</v>
      </c>
      <c r="C157" s="3">
        <v>17500.0</v>
      </c>
      <c r="D157" s="4"/>
    </row>
    <row r="158">
      <c r="A158" s="3">
        <v>2016.0</v>
      </c>
      <c r="B158" s="4" t="s">
        <v>937</v>
      </c>
      <c r="C158" s="3">
        <v>17000.0</v>
      </c>
      <c r="D158" s="4"/>
    </row>
    <row r="159">
      <c r="A159" s="3">
        <v>2016.0</v>
      </c>
      <c r="B159" s="4" t="s">
        <v>1624</v>
      </c>
      <c r="C159" s="3">
        <v>17000.0</v>
      </c>
      <c r="D159" s="4"/>
    </row>
    <row r="160">
      <c r="A160" s="3">
        <v>2016.0</v>
      </c>
      <c r="B160" s="4" t="s">
        <v>2022</v>
      </c>
      <c r="C160" s="3">
        <v>17000.0</v>
      </c>
      <c r="D160" s="3" t="s">
        <v>32</v>
      </c>
    </row>
    <row r="161">
      <c r="A161" s="3">
        <v>2016.0</v>
      </c>
      <c r="B161" s="4" t="s">
        <v>1811</v>
      </c>
      <c r="C161" s="3">
        <v>16770.0</v>
      </c>
      <c r="D161" s="3" t="s">
        <v>3</v>
      </c>
    </row>
    <row r="162">
      <c r="A162" s="3">
        <v>2016.0</v>
      </c>
      <c r="B162" s="4" t="s">
        <v>2049</v>
      </c>
      <c r="C162" s="3">
        <v>16628.76</v>
      </c>
      <c r="D162" s="4"/>
    </row>
    <row r="163">
      <c r="A163" s="3">
        <v>2016.0</v>
      </c>
      <c r="B163" s="4" t="s">
        <v>939</v>
      </c>
      <c r="C163" s="3">
        <v>16000.0</v>
      </c>
      <c r="D163" s="4"/>
    </row>
    <row r="164">
      <c r="A164" s="3">
        <v>2016.0</v>
      </c>
      <c r="B164" s="4" t="s">
        <v>2250</v>
      </c>
      <c r="C164" s="3">
        <v>16000.0</v>
      </c>
      <c r="D164" s="3" t="s">
        <v>6</v>
      </c>
    </row>
    <row r="165">
      <c r="A165" s="3">
        <v>2016.0</v>
      </c>
      <c r="B165" s="4" t="s">
        <v>1194</v>
      </c>
      <c r="C165" s="3">
        <v>16000.0</v>
      </c>
      <c r="D165" s="4"/>
    </row>
    <row r="166">
      <c r="A166" s="3">
        <v>2016.0</v>
      </c>
      <c r="B166" s="4" t="s">
        <v>1315</v>
      </c>
      <c r="C166" s="3">
        <v>16000.0</v>
      </c>
      <c r="D166" s="3" t="s">
        <v>3</v>
      </c>
    </row>
    <row r="167">
      <c r="A167" s="3">
        <v>2016.0</v>
      </c>
      <c r="B167" s="4" t="s">
        <v>2051</v>
      </c>
      <c r="C167" s="3">
        <v>15920.46</v>
      </c>
      <c r="D167" s="4"/>
    </row>
    <row r="168">
      <c r="A168" s="3">
        <v>2016.0</v>
      </c>
      <c r="B168" s="4" t="s">
        <v>811</v>
      </c>
      <c r="C168" s="3">
        <v>15800.0</v>
      </c>
      <c r="D168" s="3" t="s">
        <v>6</v>
      </c>
    </row>
    <row r="169">
      <c r="A169" s="3">
        <v>2016.0</v>
      </c>
      <c r="B169" s="4" t="s">
        <v>278</v>
      </c>
      <c r="C169" s="3">
        <v>15500.0</v>
      </c>
      <c r="D169" s="3" t="s">
        <v>280</v>
      </c>
    </row>
    <row r="170">
      <c r="A170" s="3">
        <v>2016.0</v>
      </c>
      <c r="B170" s="4" t="s">
        <v>1096</v>
      </c>
      <c r="C170" s="3">
        <v>15500.0</v>
      </c>
      <c r="D170" s="3" t="s">
        <v>3</v>
      </c>
    </row>
    <row r="171">
      <c r="A171" s="3">
        <v>2016.0</v>
      </c>
      <c r="B171" s="4" t="s">
        <v>203</v>
      </c>
      <c r="C171" s="3">
        <v>15280.0</v>
      </c>
      <c r="D171" s="4"/>
    </row>
    <row r="172">
      <c r="A172" s="3">
        <v>2016.0</v>
      </c>
      <c r="B172" s="4" t="s">
        <v>145</v>
      </c>
      <c r="C172" s="3">
        <v>15000.0</v>
      </c>
      <c r="D172" s="4"/>
    </row>
    <row r="173">
      <c r="A173" s="3">
        <v>2016.0</v>
      </c>
      <c r="B173" s="4" t="s">
        <v>687</v>
      </c>
      <c r="C173" s="3">
        <v>15000.0</v>
      </c>
      <c r="D173" s="3" t="s">
        <v>6</v>
      </c>
    </row>
    <row r="174">
      <c r="A174" s="3">
        <v>2016.0</v>
      </c>
      <c r="B174" s="4" t="s">
        <v>715</v>
      </c>
      <c r="C174" s="3">
        <v>15000.0</v>
      </c>
      <c r="D174" s="4"/>
    </row>
    <row r="175">
      <c r="A175" s="3">
        <v>2016.0</v>
      </c>
      <c r="B175" s="4" t="s">
        <v>2231</v>
      </c>
      <c r="C175" s="3">
        <v>15000.0</v>
      </c>
      <c r="D175" s="3" t="s">
        <v>3</v>
      </c>
    </row>
    <row r="176">
      <c r="A176" s="3">
        <v>2016.0</v>
      </c>
      <c r="B176" s="4" t="s">
        <v>2241</v>
      </c>
      <c r="C176" s="3">
        <v>15000.0</v>
      </c>
      <c r="D176" s="3" t="s">
        <v>3</v>
      </c>
    </row>
    <row r="177">
      <c r="A177" s="3">
        <v>2016.0</v>
      </c>
      <c r="B177" s="4" t="s">
        <v>1145</v>
      </c>
      <c r="C177" s="3">
        <v>15000.0</v>
      </c>
      <c r="D177" s="3" t="s">
        <v>668</v>
      </c>
    </row>
    <row r="178">
      <c r="A178" s="3">
        <v>2016.0</v>
      </c>
      <c r="B178" s="4" t="s">
        <v>1358</v>
      </c>
      <c r="C178" s="3">
        <v>15000.0</v>
      </c>
      <c r="D178" s="3" t="s">
        <v>32</v>
      </c>
    </row>
    <row r="179">
      <c r="A179" s="3">
        <v>2016.0</v>
      </c>
      <c r="B179" s="4" t="s">
        <v>1932</v>
      </c>
      <c r="C179" s="3">
        <v>15000.0</v>
      </c>
      <c r="D179" s="4"/>
    </row>
    <row r="180">
      <c r="A180" s="3">
        <v>2016.0</v>
      </c>
      <c r="B180" s="4" t="s">
        <v>757</v>
      </c>
      <c r="C180" s="3">
        <v>14800.0</v>
      </c>
      <c r="D180" s="4"/>
    </row>
    <row r="181">
      <c r="A181" s="3">
        <v>2016.0</v>
      </c>
      <c r="B181" s="4" t="s">
        <v>1063</v>
      </c>
      <c r="C181" s="3">
        <v>14800.0</v>
      </c>
      <c r="D181" s="4"/>
    </row>
    <row r="182">
      <c r="A182" s="3">
        <v>2016.0</v>
      </c>
      <c r="B182" s="4" t="s">
        <v>1566</v>
      </c>
      <c r="C182" s="3">
        <v>14653.49</v>
      </c>
      <c r="D182" s="3" t="s">
        <v>32</v>
      </c>
    </row>
    <row r="183">
      <c r="A183" s="3">
        <v>2016.0</v>
      </c>
      <c r="B183" s="4" t="s">
        <v>663</v>
      </c>
      <c r="C183" s="3">
        <v>14500.0</v>
      </c>
      <c r="D183" s="3" t="s">
        <v>176</v>
      </c>
    </row>
    <row r="184">
      <c r="A184" s="3">
        <v>2016.0</v>
      </c>
      <c r="B184" s="4" t="s">
        <v>1039</v>
      </c>
      <c r="C184" s="3">
        <v>14000.0</v>
      </c>
      <c r="D184" s="3" t="s">
        <v>3</v>
      </c>
    </row>
    <row r="185">
      <c r="A185" s="3">
        <v>2016.0</v>
      </c>
      <c r="B185" s="4" t="s">
        <v>1277</v>
      </c>
      <c r="C185" s="3">
        <v>14000.0</v>
      </c>
      <c r="D185" s="3" t="s">
        <v>16</v>
      </c>
    </row>
    <row r="186">
      <c r="A186" s="3">
        <v>2016.0</v>
      </c>
      <c r="B186" s="4" t="s">
        <v>1405</v>
      </c>
      <c r="C186" s="3">
        <v>14000.0</v>
      </c>
      <c r="D186" s="4"/>
    </row>
    <row r="187">
      <c r="A187" s="3">
        <v>2016.0</v>
      </c>
      <c r="B187" s="4" t="s">
        <v>1496</v>
      </c>
      <c r="C187" s="3">
        <v>14000.0</v>
      </c>
      <c r="D187" s="3" t="s">
        <v>29</v>
      </c>
    </row>
    <row r="188">
      <c r="A188" s="3">
        <v>2016.0</v>
      </c>
      <c r="B188" s="4" t="s">
        <v>1662</v>
      </c>
      <c r="C188" s="3">
        <v>14000.0</v>
      </c>
      <c r="D188" s="4"/>
    </row>
    <row r="189">
      <c r="A189" s="3">
        <v>2016.0</v>
      </c>
      <c r="B189" s="4" t="s">
        <v>2190</v>
      </c>
      <c r="C189" s="3">
        <v>13600.0</v>
      </c>
      <c r="D189" s="3" t="s">
        <v>37</v>
      </c>
    </row>
    <row r="190">
      <c r="A190" s="3">
        <v>2016.0</v>
      </c>
      <c r="B190" s="4" t="s">
        <v>2242</v>
      </c>
      <c r="C190" s="3">
        <v>13050.0</v>
      </c>
      <c r="D190" s="3" t="s">
        <v>37</v>
      </c>
    </row>
    <row r="191">
      <c r="A191" s="3">
        <v>2016.0</v>
      </c>
      <c r="B191" s="4" t="s">
        <v>1348</v>
      </c>
      <c r="C191" s="3">
        <v>13000.0</v>
      </c>
      <c r="D191" s="4"/>
    </row>
    <row r="192">
      <c r="A192" s="3">
        <v>2016.0</v>
      </c>
      <c r="B192" s="4" t="s">
        <v>2333</v>
      </c>
      <c r="C192" s="3">
        <v>13000.0</v>
      </c>
      <c r="D192" s="3" t="s">
        <v>6</v>
      </c>
    </row>
    <row r="193">
      <c r="A193" s="3">
        <v>2016.0</v>
      </c>
      <c r="B193" s="4" t="s">
        <v>2061</v>
      </c>
      <c r="C193" s="3">
        <v>13000.0</v>
      </c>
      <c r="D193" s="4"/>
    </row>
    <row r="194">
      <c r="A194" s="3">
        <v>2016.0</v>
      </c>
      <c r="B194" s="4" t="s">
        <v>171</v>
      </c>
      <c r="C194" s="3">
        <v>12000.0</v>
      </c>
      <c r="D194" s="3" t="s">
        <v>6</v>
      </c>
    </row>
    <row r="195">
      <c r="A195" s="3">
        <v>2016.0</v>
      </c>
      <c r="B195" s="4" t="s">
        <v>1248</v>
      </c>
      <c r="C195" s="3">
        <v>12000.0</v>
      </c>
      <c r="D195" s="4"/>
    </row>
    <row r="196">
      <c r="A196" s="3">
        <v>2016.0</v>
      </c>
      <c r="B196" s="4" t="s">
        <v>1561</v>
      </c>
      <c r="C196" s="3">
        <v>12000.0</v>
      </c>
      <c r="D196" s="3" t="s">
        <v>6</v>
      </c>
    </row>
    <row r="197">
      <c r="A197" s="3">
        <v>2016.0</v>
      </c>
      <c r="B197" s="4" t="s">
        <v>1907</v>
      </c>
      <c r="C197" s="3">
        <v>12000.0</v>
      </c>
      <c r="D197" s="4"/>
    </row>
    <row r="198">
      <c r="A198" s="3">
        <v>2016.0</v>
      </c>
      <c r="B198" s="4" t="s">
        <v>1406</v>
      </c>
      <c r="C198" s="3">
        <v>11950.0</v>
      </c>
      <c r="D198" s="3" t="s">
        <v>32</v>
      </c>
    </row>
    <row r="199">
      <c r="A199" s="3">
        <v>2016.0</v>
      </c>
      <c r="B199" s="4" t="s">
        <v>722</v>
      </c>
      <c r="C199" s="3">
        <v>11620.0</v>
      </c>
      <c r="D199" s="4"/>
    </row>
    <row r="200">
      <c r="A200" s="3">
        <v>2016.0</v>
      </c>
      <c r="B200" s="4" t="s">
        <v>683</v>
      </c>
      <c r="C200" s="3">
        <v>11500.0</v>
      </c>
      <c r="D200" s="3" t="s">
        <v>29</v>
      </c>
    </row>
    <row r="201">
      <c r="A201" s="3">
        <v>2016.0</v>
      </c>
      <c r="B201" s="4" t="s">
        <v>2200</v>
      </c>
      <c r="C201" s="3">
        <v>11500.0</v>
      </c>
      <c r="D201" s="3" t="s">
        <v>3</v>
      </c>
    </row>
    <row r="202">
      <c r="A202" s="3">
        <v>2016.0</v>
      </c>
      <c r="B202" s="4" t="s">
        <v>1515</v>
      </c>
      <c r="C202" s="3">
        <v>11500.0</v>
      </c>
      <c r="D202" s="3" t="s">
        <v>16</v>
      </c>
    </row>
    <row r="203">
      <c r="A203" s="3">
        <v>2016.0</v>
      </c>
      <c r="B203" s="4" t="s">
        <v>931</v>
      </c>
      <c r="C203" s="3">
        <v>11380.0</v>
      </c>
      <c r="D203" s="3" t="s">
        <v>3</v>
      </c>
    </row>
    <row r="204">
      <c r="A204" s="3">
        <v>2016.0</v>
      </c>
      <c r="B204" s="4" t="s">
        <v>965</v>
      </c>
      <c r="C204" s="3">
        <v>11176.0</v>
      </c>
      <c r="D204" s="4"/>
    </row>
    <row r="205">
      <c r="A205" s="3">
        <v>2016.0</v>
      </c>
      <c r="B205" s="4" t="s">
        <v>138</v>
      </c>
      <c r="C205" s="3">
        <v>11011.0</v>
      </c>
      <c r="D205" s="4"/>
    </row>
    <row r="206">
      <c r="A206" s="3">
        <v>2016.0</v>
      </c>
      <c r="B206" s="4" t="s">
        <v>84</v>
      </c>
      <c r="C206" s="3">
        <v>11000.0</v>
      </c>
      <c r="D206" s="3" t="s">
        <v>26</v>
      </c>
    </row>
    <row r="207">
      <c r="A207" s="3">
        <v>2016.0</v>
      </c>
      <c r="B207" s="4" t="s">
        <v>2127</v>
      </c>
      <c r="C207" s="3">
        <v>11000.0</v>
      </c>
      <c r="D207" s="3" t="s">
        <v>6</v>
      </c>
    </row>
    <row r="208">
      <c r="A208" s="3">
        <v>2016.0</v>
      </c>
      <c r="B208" s="4" t="s">
        <v>845</v>
      </c>
      <c r="C208" s="3">
        <v>11000.0</v>
      </c>
      <c r="D208" s="4"/>
    </row>
    <row r="209">
      <c r="A209" s="3">
        <v>2016.0</v>
      </c>
      <c r="B209" s="4" t="s">
        <v>956</v>
      </c>
      <c r="C209" s="3">
        <v>10730.0</v>
      </c>
      <c r="D209" s="4"/>
    </row>
    <row r="210">
      <c r="A210" s="3">
        <v>2016.0</v>
      </c>
      <c r="B210" s="4" t="s">
        <v>2059</v>
      </c>
      <c r="C210" s="3">
        <v>10536.77</v>
      </c>
      <c r="D210" s="4"/>
    </row>
    <row r="211">
      <c r="A211" s="3">
        <v>2016.0</v>
      </c>
      <c r="B211" s="4" t="s">
        <v>1288</v>
      </c>
      <c r="C211" s="3">
        <v>10083.0</v>
      </c>
      <c r="D211" s="3" t="s">
        <v>32</v>
      </c>
    </row>
    <row r="212">
      <c r="A212" s="3">
        <v>2016.0</v>
      </c>
      <c r="B212" s="4" t="s">
        <v>2075</v>
      </c>
      <c r="C212" s="3">
        <v>10000.0</v>
      </c>
      <c r="D212" s="3" t="s">
        <v>3</v>
      </c>
    </row>
    <row r="213">
      <c r="A213" s="3">
        <v>2016.0</v>
      </c>
      <c r="B213" s="4" t="s">
        <v>2144</v>
      </c>
      <c r="C213" s="3">
        <v>10000.0</v>
      </c>
      <c r="D213" s="3" t="s">
        <v>16</v>
      </c>
    </row>
    <row r="214">
      <c r="A214" s="3">
        <v>2016.0</v>
      </c>
      <c r="B214" s="4" t="s">
        <v>2197</v>
      </c>
      <c r="C214" s="3">
        <v>10000.0</v>
      </c>
      <c r="D214" s="3" t="s">
        <v>3</v>
      </c>
    </row>
    <row r="215">
      <c r="A215" s="3">
        <v>2016.0</v>
      </c>
      <c r="B215" s="4" t="s">
        <v>756</v>
      </c>
      <c r="C215" s="3">
        <v>10000.0</v>
      </c>
      <c r="D215" s="4"/>
    </row>
    <row r="216">
      <c r="A216" s="3">
        <v>2016.0</v>
      </c>
      <c r="B216" s="4" t="s">
        <v>1002</v>
      </c>
      <c r="C216" s="3">
        <v>10000.0</v>
      </c>
      <c r="D216" s="3" t="s">
        <v>3</v>
      </c>
    </row>
    <row r="217">
      <c r="A217" s="3">
        <v>2016.0</v>
      </c>
      <c r="B217" s="4" t="s">
        <v>1278</v>
      </c>
      <c r="C217" s="3">
        <v>10000.0</v>
      </c>
      <c r="D217" s="4"/>
    </row>
    <row r="218">
      <c r="A218" s="3">
        <v>2016.0</v>
      </c>
      <c r="B218" s="4" t="s">
        <v>1331</v>
      </c>
      <c r="C218" s="3">
        <v>10000.0</v>
      </c>
      <c r="D218" s="3" t="s">
        <v>32</v>
      </c>
    </row>
    <row r="219">
      <c r="A219" s="3">
        <v>2016.0</v>
      </c>
      <c r="B219" s="4" t="s">
        <v>1609</v>
      </c>
      <c r="C219" s="3">
        <v>10000.0</v>
      </c>
      <c r="D219" s="3" t="s">
        <v>32</v>
      </c>
    </row>
    <row r="220">
      <c r="A220" s="3">
        <v>2016.0</v>
      </c>
      <c r="B220" s="4" t="s">
        <v>1626</v>
      </c>
      <c r="C220" s="3">
        <v>10000.0</v>
      </c>
      <c r="D220" s="3" t="s">
        <v>29</v>
      </c>
    </row>
    <row r="221">
      <c r="A221" s="3">
        <v>2016.0</v>
      </c>
      <c r="B221" s="4" t="s">
        <v>1692</v>
      </c>
      <c r="C221" s="3">
        <v>10000.0</v>
      </c>
      <c r="D221" s="3" t="s">
        <v>1693</v>
      </c>
    </row>
    <row r="222">
      <c r="A222" s="3">
        <v>2016.0</v>
      </c>
      <c r="B222" s="4" t="s">
        <v>1735</v>
      </c>
      <c r="C222" s="3">
        <v>10000.0</v>
      </c>
      <c r="D222" s="4"/>
    </row>
    <row r="223">
      <c r="A223" s="3">
        <v>2016.0</v>
      </c>
      <c r="B223" s="4" t="s">
        <v>1759</v>
      </c>
      <c r="C223" s="3">
        <v>10000.0</v>
      </c>
      <c r="D223" s="3" t="s">
        <v>6</v>
      </c>
    </row>
    <row r="224">
      <c r="A224" s="3">
        <v>2016.0</v>
      </c>
      <c r="B224" s="4" t="s">
        <v>1764</v>
      </c>
      <c r="C224" s="3">
        <v>10000.0</v>
      </c>
      <c r="D224" s="3" t="s">
        <v>3</v>
      </c>
    </row>
    <row r="225">
      <c r="A225" s="3">
        <v>2016.0</v>
      </c>
      <c r="B225" s="4" t="s">
        <v>1833</v>
      </c>
      <c r="C225" s="3">
        <v>10000.0</v>
      </c>
      <c r="D225" s="3" t="s">
        <v>3</v>
      </c>
    </row>
    <row r="226">
      <c r="A226" s="3">
        <v>2016.0</v>
      </c>
      <c r="B226" s="4" t="s">
        <v>1850</v>
      </c>
      <c r="C226" s="3">
        <v>10000.0</v>
      </c>
      <c r="D226" s="3" t="s">
        <v>26</v>
      </c>
    </row>
    <row r="227">
      <c r="A227" s="3">
        <v>2016.0</v>
      </c>
      <c r="B227" s="4" t="s">
        <v>1880</v>
      </c>
      <c r="C227" s="3">
        <v>10000.0</v>
      </c>
      <c r="D227" s="3" t="s">
        <v>3</v>
      </c>
    </row>
    <row r="228">
      <c r="A228" s="3">
        <v>2016.0</v>
      </c>
      <c r="B228" s="4" t="s">
        <v>1805</v>
      </c>
      <c r="C228" s="3">
        <v>9980.0</v>
      </c>
      <c r="D228" s="3" t="s">
        <v>32</v>
      </c>
    </row>
    <row r="229">
      <c r="A229" s="3">
        <v>2016.0</v>
      </c>
      <c r="B229" s="4" t="s">
        <v>180</v>
      </c>
      <c r="C229" s="3">
        <v>9880.0</v>
      </c>
      <c r="D229" s="4"/>
    </row>
    <row r="230">
      <c r="A230" s="3">
        <v>2016.0</v>
      </c>
      <c r="B230" s="4" t="s">
        <v>1766</v>
      </c>
      <c r="C230" s="3">
        <v>9750.0</v>
      </c>
      <c r="D230" s="3" t="s">
        <v>32</v>
      </c>
    </row>
    <row r="231">
      <c r="A231" s="3">
        <v>2016.0</v>
      </c>
      <c r="B231" s="4" t="s">
        <v>984</v>
      </c>
      <c r="C231" s="3">
        <v>9600.0</v>
      </c>
      <c r="D231" s="4"/>
    </row>
    <row r="232">
      <c r="A232" s="3">
        <v>2016.0</v>
      </c>
      <c r="B232" s="4" t="s">
        <v>1744</v>
      </c>
      <c r="C232" s="3">
        <v>9520.0</v>
      </c>
      <c r="D232" s="4"/>
    </row>
    <row r="233">
      <c r="A233" s="3">
        <v>2016.0</v>
      </c>
      <c r="B233" s="4" t="s">
        <v>1013</v>
      </c>
      <c r="C233" s="3">
        <v>9500.0</v>
      </c>
      <c r="D233" s="3" t="s">
        <v>6</v>
      </c>
    </row>
    <row r="234">
      <c r="A234" s="3">
        <v>2016.0</v>
      </c>
      <c r="B234" s="4" t="s">
        <v>1512</v>
      </c>
      <c r="C234" s="3">
        <v>9500.0</v>
      </c>
      <c r="D234" s="3" t="s">
        <v>6</v>
      </c>
    </row>
    <row r="235">
      <c r="A235" s="3">
        <v>2016.0</v>
      </c>
      <c r="B235" s="4" t="s">
        <v>2304</v>
      </c>
      <c r="C235" s="3">
        <v>9500.0</v>
      </c>
      <c r="D235" s="3" t="s">
        <v>3</v>
      </c>
    </row>
    <row r="236">
      <c r="A236" s="3">
        <v>2016.0</v>
      </c>
      <c r="B236" s="4" t="s">
        <v>312</v>
      </c>
      <c r="C236" s="3">
        <v>9400.0</v>
      </c>
      <c r="D236" s="4"/>
    </row>
    <row r="237">
      <c r="A237" s="3">
        <v>2016.0</v>
      </c>
      <c r="B237" s="4" t="s">
        <v>1264</v>
      </c>
      <c r="C237" s="3">
        <v>9000.0</v>
      </c>
      <c r="D237" s="4"/>
    </row>
    <row r="238">
      <c r="A238" s="3">
        <v>2016.0</v>
      </c>
      <c r="B238" s="4" t="s">
        <v>1304</v>
      </c>
      <c r="C238" s="3">
        <v>9000.0</v>
      </c>
      <c r="D238" s="3" t="s">
        <v>3</v>
      </c>
    </row>
    <row r="239">
      <c r="A239" s="3">
        <v>2016.0</v>
      </c>
      <c r="B239" s="4" t="s">
        <v>2270</v>
      </c>
      <c r="C239" s="3">
        <v>9000.0</v>
      </c>
      <c r="D239" s="3" t="s">
        <v>37</v>
      </c>
    </row>
    <row r="240">
      <c r="A240" s="3">
        <v>2016.0</v>
      </c>
      <c r="B240" s="4" t="s">
        <v>1499</v>
      </c>
      <c r="C240" s="3">
        <v>9000.0</v>
      </c>
      <c r="D240" s="3" t="s">
        <v>32</v>
      </c>
    </row>
    <row r="241">
      <c r="A241" s="3">
        <v>2016.0</v>
      </c>
      <c r="B241" s="4" t="s">
        <v>2280</v>
      </c>
      <c r="C241" s="3">
        <v>9000.0</v>
      </c>
      <c r="D241" s="3" t="s">
        <v>6</v>
      </c>
    </row>
    <row r="242">
      <c r="A242" s="3">
        <v>2016.0</v>
      </c>
      <c r="B242" s="4" t="s">
        <v>2031</v>
      </c>
      <c r="C242" s="3">
        <v>9000.0</v>
      </c>
      <c r="D242" s="4"/>
    </row>
    <row r="243">
      <c r="A243" s="3">
        <v>2016.0</v>
      </c>
      <c r="B243" s="4" t="s">
        <v>299</v>
      </c>
      <c r="C243" s="3">
        <v>8907.0</v>
      </c>
      <c r="D243" s="3" t="s">
        <v>6</v>
      </c>
    </row>
    <row r="244">
      <c r="A244" s="3">
        <v>2016.0</v>
      </c>
      <c r="B244" s="4" t="s">
        <v>824</v>
      </c>
      <c r="C244" s="3">
        <v>8800.0</v>
      </c>
      <c r="D244" s="4"/>
    </row>
    <row r="245">
      <c r="A245" s="3">
        <v>2016.0</v>
      </c>
      <c r="B245" s="4" t="s">
        <v>1401</v>
      </c>
      <c r="C245" s="3">
        <v>8640.0</v>
      </c>
      <c r="D245" s="4"/>
    </row>
    <row r="246">
      <c r="A246" s="3">
        <v>2016.0</v>
      </c>
      <c r="B246" s="4" t="s">
        <v>117</v>
      </c>
      <c r="C246" s="3">
        <v>8605.0</v>
      </c>
      <c r="D246" s="4"/>
    </row>
    <row r="247">
      <c r="A247" s="3">
        <v>2016.0</v>
      </c>
      <c r="B247" s="4" t="s">
        <v>633</v>
      </c>
      <c r="C247" s="3">
        <v>8500.0</v>
      </c>
      <c r="D247" s="3" t="s">
        <v>3</v>
      </c>
    </row>
    <row r="248">
      <c r="A248" s="3">
        <v>2016.0</v>
      </c>
      <c r="B248" s="4" t="s">
        <v>2119</v>
      </c>
      <c r="C248" s="3">
        <v>8400.0</v>
      </c>
      <c r="D248" s="4"/>
    </row>
    <row r="249">
      <c r="A249" s="3">
        <v>2016.0</v>
      </c>
      <c r="B249" s="4" t="s">
        <v>1234</v>
      </c>
      <c r="C249" s="3">
        <v>8308.0</v>
      </c>
      <c r="D249" s="3" t="s">
        <v>26</v>
      </c>
    </row>
    <row r="250">
      <c r="A250" s="3">
        <v>2016.0</v>
      </c>
      <c r="B250" s="4" t="s">
        <v>2002</v>
      </c>
      <c r="C250" s="3">
        <v>8300.0</v>
      </c>
      <c r="D250" s="3" t="s">
        <v>6</v>
      </c>
    </row>
    <row r="251">
      <c r="A251" s="3">
        <v>2016.0</v>
      </c>
      <c r="B251" s="4" t="s">
        <v>745</v>
      </c>
      <c r="C251" s="3">
        <v>8200.0</v>
      </c>
      <c r="D251" s="3" t="s">
        <v>3</v>
      </c>
    </row>
    <row r="252">
      <c r="A252" s="3">
        <v>2016.0</v>
      </c>
      <c r="B252" s="4" t="s">
        <v>622</v>
      </c>
      <c r="C252" s="3">
        <v>8000.0</v>
      </c>
      <c r="D252" s="3" t="s">
        <v>32</v>
      </c>
    </row>
    <row r="253">
      <c r="A253" s="3">
        <v>2016.0</v>
      </c>
      <c r="B253" s="4" t="s">
        <v>900</v>
      </c>
      <c r="C253" s="3">
        <v>8000.0</v>
      </c>
      <c r="D253" s="4"/>
    </row>
    <row r="254">
      <c r="A254" s="3">
        <v>2016.0</v>
      </c>
      <c r="B254" s="4" t="s">
        <v>915</v>
      </c>
      <c r="C254" s="3">
        <v>8000.0</v>
      </c>
      <c r="D254" s="4"/>
    </row>
    <row r="255">
      <c r="A255" s="3">
        <v>2016.0</v>
      </c>
      <c r="B255" s="4" t="s">
        <v>977</v>
      </c>
      <c r="C255" s="3">
        <v>8000.0</v>
      </c>
      <c r="D255" s="4"/>
    </row>
    <row r="256">
      <c r="A256" s="3">
        <v>2016.0</v>
      </c>
      <c r="B256" s="4" t="s">
        <v>994</v>
      </c>
      <c r="C256" s="3">
        <v>8000.0</v>
      </c>
      <c r="D256" s="4"/>
    </row>
    <row r="257">
      <c r="A257" s="3">
        <v>2016.0</v>
      </c>
      <c r="B257" s="4" t="s">
        <v>1321</v>
      </c>
      <c r="C257" s="3">
        <v>8000.0</v>
      </c>
      <c r="D257" s="4"/>
    </row>
    <row r="258">
      <c r="A258" s="3">
        <v>2016.0</v>
      </c>
      <c r="B258" s="4" t="s">
        <v>1351</v>
      </c>
      <c r="C258" s="3">
        <v>8000.0</v>
      </c>
      <c r="D258" s="4"/>
    </row>
    <row r="259">
      <c r="A259" s="3">
        <v>2016.0</v>
      </c>
      <c r="B259" s="4" t="s">
        <v>1414</v>
      </c>
      <c r="C259" s="3">
        <v>8000.0</v>
      </c>
      <c r="D259" s="4"/>
    </row>
    <row r="260">
      <c r="A260" s="3">
        <v>2016.0</v>
      </c>
      <c r="B260" s="4" t="s">
        <v>1890</v>
      </c>
      <c r="C260" s="3">
        <v>8000.0</v>
      </c>
      <c r="D260" s="3" t="s">
        <v>3</v>
      </c>
    </row>
    <row r="261">
      <c r="A261" s="3">
        <v>2016.0</v>
      </c>
      <c r="B261" s="4" t="s">
        <v>2315</v>
      </c>
      <c r="C261" s="3">
        <v>8000.0</v>
      </c>
      <c r="D261" s="4"/>
    </row>
    <row r="262">
      <c r="A262" s="3">
        <v>2016.0</v>
      </c>
      <c r="B262" s="4" t="s">
        <v>158</v>
      </c>
      <c r="C262" s="3">
        <v>7932.0</v>
      </c>
      <c r="D262" s="4"/>
    </row>
    <row r="263">
      <c r="A263" s="3">
        <v>2016.0</v>
      </c>
      <c r="B263" s="4" t="s">
        <v>988</v>
      </c>
      <c r="C263" s="3">
        <v>7800.0</v>
      </c>
      <c r="D263" s="3" t="s">
        <v>280</v>
      </c>
    </row>
    <row r="264">
      <c r="A264" s="3">
        <v>2016.0</v>
      </c>
      <c r="B264" s="4" t="s">
        <v>1606</v>
      </c>
      <c r="C264" s="3">
        <v>7800.0</v>
      </c>
      <c r="D264" s="3" t="s">
        <v>3</v>
      </c>
    </row>
    <row r="265">
      <c r="A265" s="3">
        <v>2016.0</v>
      </c>
      <c r="B265" s="4" t="s">
        <v>2312</v>
      </c>
      <c r="C265" s="3">
        <v>7800.0</v>
      </c>
      <c r="D265" s="4"/>
    </row>
    <row r="266">
      <c r="A266" s="3">
        <v>2016.0</v>
      </c>
      <c r="B266" s="4" t="s">
        <v>2070</v>
      </c>
      <c r="C266" s="3">
        <v>7600.0</v>
      </c>
      <c r="D266" s="3" t="s">
        <v>32</v>
      </c>
    </row>
    <row r="267">
      <c r="A267" s="3">
        <v>2016.0</v>
      </c>
      <c r="B267" s="4" t="s">
        <v>2048</v>
      </c>
      <c r="C267" s="3">
        <v>7600.0</v>
      </c>
      <c r="D267" s="4"/>
    </row>
    <row r="268">
      <c r="A268" s="3">
        <v>2016.0</v>
      </c>
      <c r="B268" s="4" t="s">
        <v>164</v>
      </c>
      <c r="C268" s="3">
        <v>7500.0</v>
      </c>
      <c r="D268" s="4"/>
    </row>
    <row r="269">
      <c r="A269" s="3">
        <v>2016.0</v>
      </c>
      <c r="B269" s="4" t="s">
        <v>1420</v>
      </c>
      <c r="C269" s="3">
        <v>7500.0</v>
      </c>
      <c r="D269" s="3" t="s">
        <v>6</v>
      </c>
    </row>
    <row r="270">
      <c r="A270" s="3">
        <v>2016.0</v>
      </c>
      <c r="B270" s="4" t="s">
        <v>322</v>
      </c>
      <c r="C270" s="3">
        <v>7475.0</v>
      </c>
      <c r="D270" s="3" t="s">
        <v>32</v>
      </c>
    </row>
    <row r="271">
      <c r="A271" s="3">
        <v>2016.0</v>
      </c>
      <c r="B271" s="4" t="s">
        <v>1293</v>
      </c>
      <c r="C271" s="3">
        <v>7370.0</v>
      </c>
      <c r="D271" s="3" t="s">
        <v>29</v>
      </c>
    </row>
    <row r="272">
      <c r="A272" s="3">
        <v>2016.0</v>
      </c>
      <c r="B272" s="4" t="s">
        <v>702</v>
      </c>
      <c r="C272" s="3">
        <v>7300.0</v>
      </c>
      <c r="D272" s="3" t="s">
        <v>32</v>
      </c>
    </row>
    <row r="273">
      <c r="A273" s="3">
        <v>2016.0</v>
      </c>
      <c r="B273" s="4" t="s">
        <v>1747</v>
      </c>
      <c r="C273" s="3">
        <v>7100.0</v>
      </c>
      <c r="D273" s="3" t="s">
        <v>6</v>
      </c>
    </row>
    <row r="274">
      <c r="A274" s="3">
        <v>2016.0</v>
      </c>
      <c r="B274" s="4" t="s">
        <v>532</v>
      </c>
      <c r="C274" s="3">
        <v>7000.0</v>
      </c>
      <c r="D274" s="3" t="s">
        <v>3</v>
      </c>
    </row>
    <row r="275">
      <c r="A275" s="3">
        <v>2016.0</v>
      </c>
      <c r="B275" s="4" t="s">
        <v>659</v>
      </c>
      <c r="C275" s="3">
        <v>7000.0</v>
      </c>
      <c r="D275" s="3" t="s">
        <v>6</v>
      </c>
    </row>
    <row r="276">
      <c r="A276" s="3">
        <v>2016.0</v>
      </c>
      <c r="B276" s="4" t="s">
        <v>2198</v>
      </c>
      <c r="C276" s="3">
        <v>7000.0</v>
      </c>
      <c r="D276" s="4"/>
    </row>
    <row r="277">
      <c r="A277" s="3">
        <v>2016.0</v>
      </c>
      <c r="B277" s="4" t="s">
        <v>755</v>
      </c>
      <c r="C277" s="3">
        <v>7000.0</v>
      </c>
      <c r="D277" s="3" t="s">
        <v>3</v>
      </c>
    </row>
    <row r="278">
      <c r="A278" s="3">
        <v>2016.0</v>
      </c>
      <c r="B278" s="4" t="s">
        <v>1243</v>
      </c>
      <c r="C278" s="3">
        <v>7000.0</v>
      </c>
      <c r="D278" s="3" t="s">
        <v>26</v>
      </c>
    </row>
    <row r="279">
      <c r="A279" s="3">
        <v>2016.0</v>
      </c>
      <c r="B279" s="4" t="s">
        <v>1392</v>
      </c>
      <c r="C279" s="3">
        <v>7000.0</v>
      </c>
      <c r="D279" s="4"/>
    </row>
    <row r="280">
      <c r="A280" s="3">
        <v>2016.0</v>
      </c>
      <c r="B280" s="4" t="s">
        <v>1536</v>
      </c>
      <c r="C280" s="3">
        <v>7000.0</v>
      </c>
      <c r="D280" s="4"/>
    </row>
    <row r="281">
      <c r="A281" s="3">
        <v>2016.0</v>
      </c>
      <c r="B281" s="4" t="s">
        <v>2047</v>
      </c>
      <c r="C281" s="3">
        <v>7000.0</v>
      </c>
      <c r="D281" s="4"/>
    </row>
    <row r="282">
      <c r="A282" s="3">
        <v>2016.0</v>
      </c>
      <c r="B282" s="4" t="s">
        <v>2009</v>
      </c>
      <c r="C282" s="3">
        <v>6900.0</v>
      </c>
      <c r="D282" s="3" t="s">
        <v>6</v>
      </c>
    </row>
    <row r="283">
      <c r="A283" s="3">
        <v>2016.0</v>
      </c>
      <c r="B283" s="4" t="s">
        <v>2313</v>
      </c>
      <c r="C283" s="3">
        <v>6800.0</v>
      </c>
      <c r="D283" s="4"/>
    </row>
    <row r="284">
      <c r="A284" s="3">
        <v>2016.0</v>
      </c>
      <c r="B284" s="4" t="s">
        <v>57</v>
      </c>
      <c r="C284" s="3">
        <v>6500.0</v>
      </c>
      <c r="D284" s="4"/>
    </row>
    <row r="285">
      <c r="A285" s="3">
        <v>2016.0</v>
      </c>
      <c r="B285" s="4" t="s">
        <v>1460</v>
      </c>
      <c r="C285" s="3">
        <v>6500.0</v>
      </c>
      <c r="D285" s="4"/>
    </row>
    <row r="286">
      <c r="A286" s="3">
        <v>2016.0</v>
      </c>
      <c r="B286" s="4" t="s">
        <v>1896</v>
      </c>
      <c r="C286" s="3">
        <v>6500.0</v>
      </c>
      <c r="D286" s="4"/>
    </row>
    <row r="287">
      <c r="A287" s="3">
        <v>2016.0</v>
      </c>
      <c r="B287" s="4" t="s">
        <v>1911</v>
      </c>
      <c r="C287" s="3">
        <v>6500.0</v>
      </c>
      <c r="D287" s="4"/>
    </row>
    <row r="288">
      <c r="A288" s="3">
        <v>2016.0</v>
      </c>
      <c r="B288" s="4" t="s">
        <v>1994</v>
      </c>
      <c r="C288" s="3">
        <v>6500.0</v>
      </c>
      <c r="D288" s="4"/>
    </row>
    <row r="289">
      <c r="A289" s="3">
        <v>2016.0</v>
      </c>
      <c r="B289" s="4" t="s">
        <v>2272</v>
      </c>
      <c r="C289" s="3">
        <v>6400.0</v>
      </c>
      <c r="D289" s="3" t="s">
        <v>580</v>
      </c>
    </row>
    <row r="290">
      <c r="A290" s="3">
        <v>2016.0</v>
      </c>
      <c r="B290" s="4" t="s">
        <v>1773</v>
      </c>
      <c r="C290" s="3">
        <v>6182.0</v>
      </c>
      <c r="D290" s="4"/>
    </row>
    <row r="291">
      <c r="A291" s="3">
        <v>2016.0</v>
      </c>
      <c r="B291" s="4" t="s">
        <v>1938</v>
      </c>
      <c r="C291" s="3">
        <v>6100.0</v>
      </c>
      <c r="D291" s="4"/>
    </row>
    <row r="292">
      <c r="A292" s="3">
        <v>2016.0</v>
      </c>
      <c r="B292" s="4" t="s">
        <v>71</v>
      </c>
      <c r="C292" s="3">
        <v>6000.0</v>
      </c>
      <c r="D292" s="3" t="s">
        <v>3</v>
      </c>
    </row>
    <row r="293">
      <c r="A293" s="3">
        <v>2016.0</v>
      </c>
      <c r="B293" s="4" t="s">
        <v>793</v>
      </c>
      <c r="C293" s="3">
        <v>6000.0</v>
      </c>
      <c r="D293" s="4"/>
    </row>
    <row r="294">
      <c r="A294" s="3">
        <v>2016.0</v>
      </c>
      <c r="B294" s="4" t="s">
        <v>921</v>
      </c>
      <c r="C294" s="3">
        <v>6000.0</v>
      </c>
      <c r="D294" s="4"/>
    </row>
    <row r="295">
      <c r="A295" s="3">
        <v>2016.0</v>
      </c>
      <c r="B295" s="4" t="s">
        <v>927</v>
      </c>
      <c r="C295" s="3">
        <v>6000.0</v>
      </c>
      <c r="D295" s="4"/>
    </row>
    <row r="296">
      <c r="A296" s="3">
        <v>2016.0</v>
      </c>
      <c r="B296" s="4" t="s">
        <v>1279</v>
      </c>
      <c r="C296" s="3">
        <v>6000.0</v>
      </c>
      <c r="D296" s="4"/>
    </row>
    <row r="297">
      <c r="A297" s="3">
        <v>2016.0</v>
      </c>
      <c r="B297" s="4" t="s">
        <v>1343</v>
      </c>
      <c r="C297" s="3">
        <v>6000.0</v>
      </c>
      <c r="D297" s="4"/>
    </row>
    <row r="298">
      <c r="A298" s="3">
        <v>2016.0</v>
      </c>
      <c r="B298" s="4" t="s">
        <v>1367</v>
      </c>
      <c r="C298" s="3">
        <v>6000.0</v>
      </c>
      <c r="D298" s="3" t="s">
        <v>3</v>
      </c>
    </row>
    <row r="299">
      <c r="A299" s="3">
        <v>2016.0</v>
      </c>
      <c r="B299" s="4" t="s">
        <v>1475</v>
      </c>
      <c r="C299" s="3">
        <v>6000.0</v>
      </c>
      <c r="D299" s="4"/>
    </row>
    <row r="300">
      <c r="A300" s="3">
        <v>2016.0</v>
      </c>
      <c r="B300" s="4" t="s">
        <v>1568</v>
      </c>
      <c r="C300" s="3">
        <v>6000.0</v>
      </c>
      <c r="D300" s="3" t="s">
        <v>32</v>
      </c>
    </row>
    <row r="301">
      <c r="A301" s="3">
        <v>2016.0</v>
      </c>
      <c r="B301" s="4" t="s">
        <v>1581</v>
      </c>
      <c r="C301" s="3">
        <v>6000.0</v>
      </c>
      <c r="D301" s="3" t="s">
        <v>32</v>
      </c>
    </row>
    <row r="302">
      <c r="A302" s="3">
        <v>2016.0</v>
      </c>
      <c r="B302" s="4" t="s">
        <v>1754</v>
      </c>
      <c r="C302" s="3">
        <v>6000.0</v>
      </c>
      <c r="D302" s="3" t="s">
        <v>32</v>
      </c>
    </row>
    <row r="303">
      <c r="A303" s="3">
        <v>2016.0</v>
      </c>
      <c r="B303" s="4" t="s">
        <v>442</v>
      </c>
      <c r="C303" s="3">
        <v>5900.0</v>
      </c>
      <c r="D303" s="4"/>
    </row>
    <row r="304">
      <c r="A304" s="3">
        <v>2016.0</v>
      </c>
      <c r="B304" s="4" t="s">
        <v>717</v>
      </c>
      <c r="C304" s="3">
        <v>5750.0</v>
      </c>
      <c r="D304" s="3" t="s">
        <v>3</v>
      </c>
    </row>
    <row r="305">
      <c r="A305" s="3">
        <v>2016.0</v>
      </c>
      <c r="B305" s="4" t="s">
        <v>330</v>
      </c>
      <c r="C305" s="3">
        <v>5688.0</v>
      </c>
      <c r="D305" s="3" t="s">
        <v>6</v>
      </c>
    </row>
    <row r="306">
      <c r="A306" s="3">
        <v>2016.0</v>
      </c>
      <c r="B306" s="4" t="s">
        <v>78</v>
      </c>
      <c r="C306" s="3">
        <v>5500.0</v>
      </c>
      <c r="D306" s="4"/>
    </row>
    <row r="307">
      <c r="A307" s="3">
        <v>2016.0</v>
      </c>
      <c r="B307" s="4" t="s">
        <v>238</v>
      </c>
      <c r="C307" s="3">
        <v>5500.0</v>
      </c>
      <c r="D307" s="3" t="s">
        <v>3</v>
      </c>
    </row>
    <row r="308">
      <c r="A308" s="3">
        <v>2016.0</v>
      </c>
      <c r="B308" s="4" t="s">
        <v>1192</v>
      </c>
      <c r="C308" s="3">
        <v>5500.0</v>
      </c>
      <c r="D308" s="3" t="s">
        <v>29</v>
      </c>
    </row>
    <row r="309">
      <c r="A309" s="3">
        <v>2016.0</v>
      </c>
      <c r="B309" s="4" t="s">
        <v>1594</v>
      </c>
      <c r="C309" s="3">
        <v>5500.0</v>
      </c>
      <c r="D309" s="3" t="s">
        <v>6</v>
      </c>
    </row>
    <row r="310">
      <c r="A310" s="3">
        <v>2016.0</v>
      </c>
      <c r="B310" s="4" t="s">
        <v>1989</v>
      </c>
      <c r="C310" s="3">
        <v>5394.0</v>
      </c>
      <c r="D310" s="3" t="s">
        <v>6</v>
      </c>
    </row>
    <row r="311">
      <c r="A311" s="3">
        <v>2016.0</v>
      </c>
      <c r="B311" s="4" t="s">
        <v>2073</v>
      </c>
      <c r="C311" s="3">
        <v>5000.0</v>
      </c>
      <c r="D311" s="4"/>
    </row>
    <row r="312">
      <c r="A312" s="3">
        <v>2016.0</v>
      </c>
      <c r="B312" s="4" t="s">
        <v>63</v>
      </c>
      <c r="C312" s="3">
        <v>5000.0</v>
      </c>
      <c r="D312" s="3" t="s">
        <v>3</v>
      </c>
    </row>
    <row r="313">
      <c r="A313" s="3">
        <v>2016.0</v>
      </c>
      <c r="B313" s="4" t="s">
        <v>76</v>
      </c>
      <c r="C313" s="3">
        <v>5000.0</v>
      </c>
      <c r="D313" s="3" t="s">
        <v>6</v>
      </c>
    </row>
    <row r="314">
      <c r="A314" s="3">
        <v>2016.0</v>
      </c>
      <c r="B314" s="4" t="s">
        <v>399</v>
      </c>
      <c r="C314" s="3">
        <v>5000.0</v>
      </c>
      <c r="D314" s="4"/>
    </row>
    <row r="315">
      <c r="A315" s="3">
        <v>2016.0</v>
      </c>
      <c r="B315" s="4" t="s">
        <v>427</v>
      </c>
      <c r="C315" s="3">
        <v>5000.0</v>
      </c>
      <c r="D315" s="3" t="s">
        <v>29</v>
      </c>
    </row>
    <row r="316">
      <c r="A316" s="3">
        <v>2016.0</v>
      </c>
      <c r="B316" s="4" t="s">
        <v>472</v>
      </c>
      <c r="C316" s="3">
        <v>5000.0</v>
      </c>
      <c r="D316" s="3" t="s">
        <v>32</v>
      </c>
    </row>
    <row r="317">
      <c r="A317" s="3">
        <v>2016.0</v>
      </c>
      <c r="B317" s="4" t="s">
        <v>681</v>
      </c>
      <c r="C317" s="3">
        <v>5000.0</v>
      </c>
      <c r="D317" s="4"/>
    </row>
    <row r="318">
      <c r="A318" s="3">
        <v>2016.0</v>
      </c>
      <c r="B318" s="4" t="s">
        <v>2208</v>
      </c>
      <c r="C318" s="3">
        <v>5000.0</v>
      </c>
      <c r="D318" s="4"/>
    </row>
    <row r="319">
      <c r="A319" s="3">
        <v>2016.0</v>
      </c>
      <c r="B319" s="4" t="s">
        <v>922</v>
      </c>
      <c r="C319" s="3">
        <v>5000.0</v>
      </c>
      <c r="D319" s="4"/>
    </row>
    <row r="320">
      <c r="A320" s="3">
        <v>2016.0</v>
      </c>
      <c r="B320" s="4" t="s">
        <v>2235</v>
      </c>
      <c r="C320" s="3">
        <v>5000.0</v>
      </c>
      <c r="D320" s="4"/>
    </row>
    <row r="321">
      <c r="A321" s="3">
        <v>2016.0</v>
      </c>
      <c r="B321" s="4" t="s">
        <v>1113</v>
      </c>
      <c r="C321" s="3">
        <v>5000.0</v>
      </c>
      <c r="D321" s="4"/>
    </row>
    <row r="322">
      <c r="A322" s="3">
        <v>2016.0</v>
      </c>
      <c r="B322" s="4" t="s">
        <v>1214</v>
      </c>
      <c r="C322" s="3">
        <v>5000.0</v>
      </c>
      <c r="D322" s="3" t="s">
        <v>29</v>
      </c>
    </row>
    <row r="323">
      <c r="A323" s="3">
        <v>2016.0</v>
      </c>
      <c r="B323" s="4" t="s">
        <v>1417</v>
      </c>
      <c r="C323" s="3">
        <v>5000.0</v>
      </c>
      <c r="D323" s="4"/>
    </row>
    <row r="324">
      <c r="A324" s="3">
        <v>2016.0</v>
      </c>
      <c r="B324" s="4" t="s">
        <v>1431</v>
      </c>
      <c r="C324" s="3">
        <v>5000.0</v>
      </c>
      <c r="D324" s="4"/>
    </row>
    <row r="325">
      <c r="A325" s="3">
        <v>2016.0</v>
      </c>
      <c r="B325" s="4" t="s">
        <v>1468</v>
      </c>
      <c r="C325" s="3">
        <v>5000.0</v>
      </c>
      <c r="D325" s="4"/>
    </row>
    <row r="326">
      <c r="A326" s="3">
        <v>2016.0</v>
      </c>
      <c r="B326" s="4" t="s">
        <v>1565</v>
      </c>
      <c r="C326" s="3">
        <v>5000.0</v>
      </c>
      <c r="D326" s="4"/>
    </row>
    <row r="327">
      <c r="A327" s="3">
        <v>2016.0</v>
      </c>
      <c r="B327" s="4" t="s">
        <v>1975</v>
      </c>
      <c r="C327" s="3">
        <v>5000.0</v>
      </c>
      <c r="D327" s="4"/>
    </row>
    <row r="328">
      <c r="A328" s="3">
        <v>2016.0</v>
      </c>
      <c r="B328" s="4" t="s">
        <v>2018</v>
      </c>
      <c r="C328" s="3">
        <v>5000.0</v>
      </c>
      <c r="D328" s="4"/>
    </row>
    <row r="329">
      <c r="A329" s="3">
        <v>2016.0</v>
      </c>
      <c r="B329" s="4" t="s">
        <v>283</v>
      </c>
      <c r="C329" s="3">
        <v>5000.0</v>
      </c>
      <c r="D329" s="4"/>
    </row>
    <row r="330">
      <c r="A330" s="3">
        <v>2016.0</v>
      </c>
      <c r="B330" s="4" t="s">
        <v>314</v>
      </c>
      <c r="C330" s="3">
        <v>4880.0</v>
      </c>
      <c r="D330" s="3" t="s">
        <v>6</v>
      </c>
    </row>
    <row r="331">
      <c r="A331" s="3">
        <v>2016.0</v>
      </c>
      <c r="B331" s="4" t="s">
        <v>199</v>
      </c>
      <c r="C331" s="3">
        <v>4850.0</v>
      </c>
      <c r="D331" s="4"/>
    </row>
    <row r="332">
      <c r="A332" s="3">
        <v>2016.0</v>
      </c>
      <c r="B332" s="4" t="s">
        <v>2121</v>
      </c>
      <c r="C332" s="3">
        <v>4700.0</v>
      </c>
      <c r="D332" s="4"/>
    </row>
    <row r="333">
      <c r="A333" s="3">
        <v>2016.0</v>
      </c>
      <c r="B333" s="4" t="s">
        <v>1427</v>
      </c>
      <c r="C333" s="3">
        <v>4634.0</v>
      </c>
      <c r="D333" s="3" t="s">
        <v>6</v>
      </c>
    </row>
    <row r="334">
      <c r="A334" s="3">
        <v>2016.0</v>
      </c>
      <c r="B334" s="4" t="s">
        <v>559</v>
      </c>
      <c r="C334" s="3">
        <v>4600.0</v>
      </c>
      <c r="D334" s="3" t="s">
        <v>6</v>
      </c>
    </row>
    <row r="335">
      <c r="A335" s="3">
        <v>2016.0</v>
      </c>
      <c r="B335" s="4" t="s">
        <v>586</v>
      </c>
      <c r="C335" s="3">
        <v>4550.0</v>
      </c>
      <c r="D335" s="3" t="s">
        <v>6</v>
      </c>
    </row>
    <row r="336">
      <c r="A336" s="3">
        <v>2016.0</v>
      </c>
      <c r="B336" s="4" t="s">
        <v>46</v>
      </c>
      <c r="C336" s="3">
        <v>4500.0</v>
      </c>
      <c r="D336" s="3" t="s">
        <v>3</v>
      </c>
    </row>
    <row r="337">
      <c r="A337" s="3">
        <v>2016.0</v>
      </c>
      <c r="B337" s="4" t="s">
        <v>2078</v>
      </c>
      <c r="C337" s="3">
        <v>4500.0</v>
      </c>
      <c r="D337" s="3" t="s">
        <v>3</v>
      </c>
    </row>
    <row r="338">
      <c r="A338" s="3">
        <v>2016.0</v>
      </c>
      <c r="B338" s="4" t="s">
        <v>1047</v>
      </c>
      <c r="C338" s="3">
        <v>4500.0</v>
      </c>
      <c r="D338" s="4"/>
    </row>
    <row r="339">
      <c r="A339" s="3">
        <v>2016.0</v>
      </c>
      <c r="B339" s="4" t="s">
        <v>1242</v>
      </c>
      <c r="C339" s="3">
        <v>4500.0</v>
      </c>
      <c r="D339" s="3" t="s">
        <v>3</v>
      </c>
    </row>
    <row r="340">
      <c r="A340" s="3">
        <v>2016.0</v>
      </c>
      <c r="B340" s="4" t="s">
        <v>1324</v>
      </c>
      <c r="C340" s="3">
        <v>4500.0</v>
      </c>
      <c r="D340" s="3" t="s">
        <v>16</v>
      </c>
    </row>
    <row r="341">
      <c r="A341" s="3">
        <v>2016.0</v>
      </c>
      <c r="B341" s="4" t="s">
        <v>1393</v>
      </c>
      <c r="C341" s="3">
        <v>4500.0</v>
      </c>
      <c r="D341" s="3" t="s">
        <v>6</v>
      </c>
    </row>
    <row r="342">
      <c r="A342" s="3">
        <v>2016.0</v>
      </c>
      <c r="B342" s="4" t="s">
        <v>1541</v>
      </c>
      <c r="C342" s="3">
        <v>4500.0</v>
      </c>
      <c r="D342" s="3" t="s">
        <v>6</v>
      </c>
    </row>
    <row r="343">
      <c r="A343" s="3">
        <v>2016.0</v>
      </c>
      <c r="B343" s="4" t="s">
        <v>1577</v>
      </c>
      <c r="C343" s="3">
        <v>4500.0</v>
      </c>
      <c r="D343" s="4"/>
    </row>
    <row r="344">
      <c r="A344" s="3">
        <v>2016.0</v>
      </c>
      <c r="B344" s="4" t="s">
        <v>316</v>
      </c>
      <c r="C344" s="3">
        <v>4420.0</v>
      </c>
      <c r="D344" s="4"/>
    </row>
    <row r="345">
      <c r="A345" s="3">
        <v>2016.0</v>
      </c>
      <c r="B345" s="4" t="s">
        <v>2133</v>
      </c>
      <c r="C345" s="3">
        <v>4400.0</v>
      </c>
      <c r="D345" s="4"/>
    </row>
    <row r="346">
      <c r="A346" s="3">
        <v>2016.0</v>
      </c>
      <c r="B346" s="4" t="s">
        <v>1783</v>
      </c>
      <c r="C346" s="3">
        <v>4400.0</v>
      </c>
      <c r="D346" s="4"/>
    </row>
    <row r="347">
      <c r="A347" s="3">
        <v>2016.0</v>
      </c>
      <c r="B347" s="4" t="s">
        <v>2334</v>
      </c>
      <c r="C347" s="3">
        <v>4300.0</v>
      </c>
      <c r="D347" s="3" t="s">
        <v>6</v>
      </c>
    </row>
    <row r="348">
      <c r="A348" s="3">
        <v>2016.0</v>
      </c>
      <c r="B348" s="4" t="s">
        <v>1146</v>
      </c>
      <c r="C348" s="3">
        <v>4250.0</v>
      </c>
      <c r="D348" s="3" t="s">
        <v>29</v>
      </c>
    </row>
    <row r="349">
      <c r="A349" s="3">
        <v>2016.0</v>
      </c>
      <c r="B349" s="4" t="s">
        <v>2130</v>
      </c>
      <c r="C349" s="3">
        <v>4072.0</v>
      </c>
      <c r="D349" s="3" t="s">
        <v>6</v>
      </c>
    </row>
    <row r="350">
      <c r="A350" s="3">
        <v>2016.0</v>
      </c>
      <c r="B350" s="4" t="s">
        <v>114</v>
      </c>
      <c r="C350" s="3">
        <v>4000.0</v>
      </c>
      <c r="D350" s="4"/>
    </row>
    <row r="351">
      <c r="A351" s="3">
        <v>2016.0</v>
      </c>
      <c r="B351" s="4" t="s">
        <v>173</v>
      </c>
      <c r="C351" s="3">
        <v>4000.0</v>
      </c>
      <c r="D351" s="4"/>
    </row>
    <row r="352">
      <c r="A352" s="3">
        <v>2016.0</v>
      </c>
      <c r="B352" s="4" t="s">
        <v>2102</v>
      </c>
      <c r="C352" s="3">
        <v>4000.0</v>
      </c>
      <c r="D352" s="3" t="s">
        <v>3</v>
      </c>
    </row>
    <row r="353">
      <c r="A353" s="3">
        <v>2016.0</v>
      </c>
      <c r="B353" s="4" t="s">
        <v>2109</v>
      </c>
      <c r="C353" s="3">
        <v>4000.0</v>
      </c>
      <c r="D353" s="3" t="s">
        <v>3</v>
      </c>
    </row>
    <row r="354">
      <c r="A354" s="3">
        <v>2016.0</v>
      </c>
      <c r="B354" s="4" t="s">
        <v>2128</v>
      </c>
      <c r="C354" s="3">
        <v>4000.0</v>
      </c>
      <c r="D354" s="4"/>
    </row>
    <row r="355">
      <c r="A355" s="3">
        <v>2016.0</v>
      </c>
      <c r="B355" s="4" t="s">
        <v>452</v>
      </c>
      <c r="C355" s="3">
        <v>4000.0</v>
      </c>
      <c r="D355" s="3" t="s">
        <v>3</v>
      </c>
    </row>
    <row r="356">
      <c r="A356" s="3">
        <v>2016.0</v>
      </c>
      <c r="B356" s="4" t="s">
        <v>547</v>
      </c>
      <c r="C356" s="3">
        <v>4000.0</v>
      </c>
      <c r="D356" s="4"/>
    </row>
    <row r="357">
      <c r="A357" s="3">
        <v>2016.0</v>
      </c>
      <c r="B357" s="4" t="s">
        <v>675</v>
      </c>
      <c r="C357" s="3">
        <v>4000.0</v>
      </c>
      <c r="D357" s="3" t="s">
        <v>484</v>
      </c>
    </row>
    <row r="358">
      <c r="A358" s="3">
        <v>2016.0</v>
      </c>
      <c r="B358" s="4" t="s">
        <v>2194</v>
      </c>
      <c r="C358" s="3">
        <v>4000.0</v>
      </c>
      <c r="D358" s="3" t="s">
        <v>580</v>
      </c>
    </row>
    <row r="359">
      <c r="A359" s="3">
        <v>2016.0</v>
      </c>
      <c r="B359" s="4" t="s">
        <v>990</v>
      </c>
      <c r="C359" s="3">
        <v>4000.0</v>
      </c>
      <c r="D359" s="4"/>
    </row>
    <row r="360">
      <c r="A360" s="3">
        <v>2016.0</v>
      </c>
      <c r="B360" s="4" t="s">
        <v>1011</v>
      </c>
      <c r="C360" s="3">
        <v>4000.0</v>
      </c>
      <c r="D360" s="4"/>
    </row>
    <row r="361">
      <c r="A361" s="3">
        <v>2016.0</v>
      </c>
      <c r="B361" s="4" t="s">
        <v>1035</v>
      </c>
      <c r="C361" s="3">
        <v>4000.0</v>
      </c>
      <c r="D361" s="4"/>
    </row>
    <row r="362">
      <c r="A362" s="3">
        <v>2016.0</v>
      </c>
      <c r="B362" s="4" t="s">
        <v>1043</v>
      </c>
      <c r="C362" s="3">
        <v>4000.0</v>
      </c>
      <c r="D362" s="4"/>
    </row>
    <row r="363">
      <c r="A363" s="3">
        <v>2016.0</v>
      </c>
      <c r="B363" s="4" t="s">
        <v>1069</v>
      </c>
      <c r="C363" s="3">
        <v>4000.0</v>
      </c>
      <c r="D363" s="4"/>
    </row>
    <row r="364">
      <c r="A364" s="3">
        <v>2016.0</v>
      </c>
      <c r="B364" s="4" t="s">
        <v>1193</v>
      </c>
      <c r="C364" s="3">
        <v>4000.0</v>
      </c>
      <c r="D364" s="4"/>
    </row>
    <row r="365">
      <c r="A365" s="3">
        <v>2016.0</v>
      </c>
      <c r="B365" s="4" t="s">
        <v>1287</v>
      </c>
      <c r="C365" s="3">
        <v>4000.0</v>
      </c>
      <c r="D365" s="3" t="s">
        <v>3</v>
      </c>
    </row>
    <row r="366">
      <c r="A366" s="3">
        <v>2016.0</v>
      </c>
      <c r="B366" s="4" t="s">
        <v>1314</v>
      </c>
      <c r="C366" s="3">
        <v>4000.0</v>
      </c>
      <c r="D366" s="4"/>
    </row>
    <row r="367">
      <c r="A367" s="3">
        <v>2016.0</v>
      </c>
      <c r="B367" s="4" t="s">
        <v>1436</v>
      </c>
      <c r="C367" s="3">
        <v>4000.0</v>
      </c>
      <c r="D367" s="4"/>
    </row>
    <row r="368">
      <c r="A368" s="3">
        <v>2016.0</v>
      </c>
      <c r="B368" s="4" t="s">
        <v>1451</v>
      </c>
      <c r="C368" s="3">
        <v>4000.0</v>
      </c>
      <c r="D368" s="3" t="s">
        <v>32</v>
      </c>
    </row>
    <row r="369">
      <c r="A369" s="3">
        <v>2016.0</v>
      </c>
      <c r="B369" s="4" t="s">
        <v>1547</v>
      </c>
      <c r="C369" s="3">
        <v>4000.0</v>
      </c>
      <c r="D369" s="4"/>
    </row>
    <row r="370">
      <c r="A370" s="3">
        <v>2016.0</v>
      </c>
      <c r="B370" s="4" t="s">
        <v>1610</v>
      </c>
      <c r="C370" s="3">
        <v>4000.0</v>
      </c>
      <c r="D370" s="4"/>
    </row>
    <row r="371">
      <c r="A371" s="3">
        <v>2016.0</v>
      </c>
      <c r="B371" s="4" t="s">
        <v>1611</v>
      </c>
      <c r="C371" s="3">
        <v>4000.0</v>
      </c>
      <c r="D371" s="4"/>
    </row>
    <row r="372">
      <c r="A372" s="3">
        <v>2016.0</v>
      </c>
      <c r="B372" s="4" t="s">
        <v>1628</v>
      </c>
      <c r="C372" s="3">
        <v>4000.0</v>
      </c>
      <c r="D372" s="4"/>
    </row>
    <row r="373">
      <c r="A373" s="3">
        <v>2016.0</v>
      </c>
      <c r="B373" s="4" t="s">
        <v>1658</v>
      </c>
      <c r="C373" s="3">
        <v>4000.0</v>
      </c>
      <c r="D373" s="4"/>
    </row>
    <row r="374">
      <c r="A374" s="3">
        <v>2016.0</v>
      </c>
      <c r="B374" s="4" t="s">
        <v>1709</v>
      </c>
      <c r="C374" s="3">
        <v>4000.0</v>
      </c>
      <c r="D374" s="4"/>
    </row>
    <row r="375">
      <c r="A375" s="3">
        <v>2016.0</v>
      </c>
      <c r="B375" s="4" t="s">
        <v>1808</v>
      </c>
      <c r="C375" s="3">
        <v>4000.0</v>
      </c>
      <c r="D375" s="4"/>
    </row>
    <row r="376">
      <c r="A376" s="3">
        <v>2016.0</v>
      </c>
      <c r="B376" s="4" t="s">
        <v>1858</v>
      </c>
      <c r="C376" s="3">
        <v>4000.0</v>
      </c>
      <c r="D376" s="4"/>
    </row>
    <row r="377">
      <c r="A377" s="3">
        <v>2016.0</v>
      </c>
      <c r="B377" s="4" t="s">
        <v>1969</v>
      </c>
      <c r="C377" s="3">
        <v>4000.0</v>
      </c>
      <c r="D377" s="4"/>
    </row>
    <row r="378">
      <c r="A378" s="3">
        <v>2016.0</v>
      </c>
      <c r="B378" s="4" t="s">
        <v>906</v>
      </c>
      <c r="C378" s="3">
        <v>3917.0</v>
      </c>
      <c r="D378" s="4"/>
    </row>
    <row r="379">
      <c r="A379" s="3">
        <v>2016.0</v>
      </c>
      <c r="B379" s="4" t="s">
        <v>1723</v>
      </c>
      <c r="C379" s="3">
        <v>3800.0</v>
      </c>
      <c r="D379" s="4"/>
    </row>
    <row r="380">
      <c r="A380" s="3">
        <v>2016.0</v>
      </c>
      <c r="B380" s="4" t="s">
        <v>652</v>
      </c>
      <c r="C380" s="3">
        <v>3700.0</v>
      </c>
      <c r="D380" s="3" t="s">
        <v>29</v>
      </c>
    </row>
    <row r="381">
      <c r="A381" s="3">
        <v>2016.0</v>
      </c>
      <c r="B381" s="4" t="s">
        <v>1782</v>
      </c>
      <c r="C381" s="3">
        <v>3700.0</v>
      </c>
      <c r="D381" s="3" t="s">
        <v>32</v>
      </c>
    </row>
    <row r="382">
      <c r="A382" s="3">
        <v>2016.0</v>
      </c>
      <c r="B382" s="4" t="s">
        <v>2093</v>
      </c>
      <c r="C382" s="3">
        <v>3500.0</v>
      </c>
      <c r="D382" s="3" t="s">
        <v>3</v>
      </c>
    </row>
    <row r="383">
      <c r="A383" s="3">
        <v>2016.0</v>
      </c>
      <c r="B383" s="4" t="s">
        <v>521</v>
      </c>
      <c r="C383" s="3">
        <v>3500.0</v>
      </c>
      <c r="D383" s="4"/>
    </row>
    <row r="384">
      <c r="A384" s="3">
        <v>2016.0</v>
      </c>
      <c r="B384" s="4" t="s">
        <v>609</v>
      </c>
      <c r="C384" s="3">
        <v>3500.0</v>
      </c>
      <c r="D384" s="3" t="s">
        <v>29</v>
      </c>
    </row>
    <row r="385">
      <c r="A385" s="3">
        <v>2016.0</v>
      </c>
      <c r="B385" s="4" t="s">
        <v>914</v>
      </c>
      <c r="C385" s="3">
        <v>3500.0</v>
      </c>
      <c r="D385" s="4"/>
    </row>
    <row r="386">
      <c r="A386" s="3">
        <v>2016.0</v>
      </c>
      <c r="B386" s="4" t="s">
        <v>1080</v>
      </c>
      <c r="C386" s="3">
        <v>3500.0</v>
      </c>
      <c r="D386" s="3" t="s">
        <v>32</v>
      </c>
    </row>
    <row r="387">
      <c r="A387" s="3">
        <v>2016.0</v>
      </c>
      <c r="B387" s="4" t="s">
        <v>1342</v>
      </c>
      <c r="C387" s="3">
        <v>3500.0</v>
      </c>
      <c r="D387" s="4"/>
    </row>
    <row r="388">
      <c r="A388" s="3">
        <v>2016.0</v>
      </c>
      <c r="B388" s="4" t="s">
        <v>1795</v>
      </c>
      <c r="C388" s="3">
        <v>3500.0</v>
      </c>
      <c r="D388" s="4"/>
    </row>
    <row r="389">
      <c r="A389" s="3">
        <v>2016.0</v>
      </c>
      <c r="B389" s="4" t="s">
        <v>1966</v>
      </c>
      <c r="C389" s="3">
        <v>3500.0</v>
      </c>
      <c r="D389" s="4"/>
    </row>
    <row r="390">
      <c r="A390" s="3">
        <v>2016.0</v>
      </c>
      <c r="B390" s="4" t="s">
        <v>1973</v>
      </c>
      <c r="C390" s="3">
        <v>3500.0</v>
      </c>
      <c r="D390" s="3" t="s">
        <v>484</v>
      </c>
    </row>
    <row r="391">
      <c r="A391" s="3">
        <v>2016.0</v>
      </c>
      <c r="B391" s="4" t="s">
        <v>2014</v>
      </c>
      <c r="C391" s="3">
        <v>3400.0</v>
      </c>
      <c r="D391" s="4"/>
    </row>
    <row r="392">
      <c r="A392" s="3">
        <v>2016.0</v>
      </c>
      <c r="B392" s="4" t="s">
        <v>1285</v>
      </c>
      <c r="C392" s="3">
        <v>3300.0</v>
      </c>
      <c r="D392" s="4"/>
    </row>
    <row r="393">
      <c r="A393" s="3">
        <v>2016.0</v>
      </c>
      <c r="B393" s="4" t="s">
        <v>213</v>
      </c>
      <c r="C393" s="3">
        <v>3220.0</v>
      </c>
      <c r="D393" s="4"/>
    </row>
    <row r="394">
      <c r="A394" s="3">
        <v>2016.0</v>
      </c>
      <c r="B394" s="4" t="s">
        <v>375</v>
      </c>
      <c r="C394" s="3">
        <v>3200.0</v>
      </c>
      <c r="D394" s="3" t="s">
        <v>6</v>
      </c>
    </row>
    <row r="395">
      <c r="A395" s="3">
        <v>2016.0</v>
      </c>
      <c r="B395" s="4" t="s">
        <v>676</v>
      </c>
      <c r="C395" s="3">
        <v>3200.0</v>
      </c>
      <c r="D395" s="3" t="s">
        <v>3</v>
      </c>
    </row>
    <row r="396">
      <c r="A396" s="3">
        <v>2016.0</v>
      </c>
      <c r="B396" s="4" t="s">
        <v>1338</v>
      </c>
      <c r="C396" s="3">
        <v>3200.0</v>
      </c>
      <c r="D396" s="3" t="s">
        <v>3</v>
      </c>
    </row>
    <row r="397">
      <c r="A397" s="3">
        <v>2016.0</v>
      </c>
      <c r="B397" s="4" t="s">
        <v>136</v>
      </c>
      <c r="C397" s="3">
        <v>3109.0</v>
      </c>
      <c r="D397" s="4"/>
    </row>
    <row r="398">
      <c r="A398" s="3">
        <v>2016.0</v>
      </c>
      <c r="B398" s="4" t="s">
        <v>2115</v>
      </c>
      <c r="C398" s="3">
        <v>3030.0</v>
      </c>
      <c r="D398" s="4"/>
    </row>
    <row r="399">
      <c r="A399" s="3">
        <v>2016.0</v>
      </c>
      <c r="B399" s="4" t="s">
        <v>21</v>
      </c>
      <c r="C399" s="3">
        <v>3000.0</v>
      </c>
      <c r="D399" s="4"/>
    </row>
    <row r="400">
      <c r="A400" s="3">
        <v>2016.0</v>
      </c>
      <c r="B400" s="4" t="s">
        <v>157</v>
      </c>
      <c r="C400" s="3">
        <v>3000.0</v>
      </c>
      <c r="D400" s="4"/>
    </row>
    <row r="401">
      <c r="A401" s="3">
        <v>2016.0</v>
      </c>
      <c r="B401" s="4" t="s">
        <v>2125</v>
      </c>
      <c r="C401" s="3">
        <v>3000.0</v>
      </c>
      <c r="D401" s="3" t="s">
        <v>6</v>
      </c>
    </row>
    <row r="402">
      <c r="A402" s="3">
        <v>2016.0</v>
      </c>
      <c r="B402" s="4" t="s">
        <v>444</v>
      </c>
      <c r="C402" s="3">
        <v>3000.0</v>
      </c>
      <c r="D402" s="4"/>
    </row>
    <row r="403">
      <c r="A403" s="3">
        <v>2016.0</v>
      </c>
      <c r="B403" s="4" t="s">
        <v>2157</v>
      </c>
      <c r="C403" s="3">
        <v>3000.0</v>
      </c>
      <c r="D403" s="4"/>
    </row>
    <row r="404">
      <c r="A404" s="3">
        <v>2016.0</v>
      </c>
      <c r="B404" s="4" t="s">
        <v>466</v>
      </c>
      <c r="C404" s="3">
        <v>3000.0</v>
      </c>
      <c r="D404" s="3" t="s">
        <v>3</v>
      </c>
    </row>
    <row r="405">
      <c r="A405" s="3">
        <v>2016.0</v>
      </c>
      <c r="B405" s="4" t="s">
        <v>480</v>
      </c>
      <c r="C405" s="3">
        <v>3000.0</v>
      </c>
      <c r="D405" s="4"/>
    </row>
    <row r="406">
      <c r="A406" s="3">
        <v>2016.0</v>
      </c>
      <c r="B406" s="4" t="s">
        <v>526</v>
      </c>
      <c r="C406" s="3">
        <v>3000.0</v>
      </c>
      <c r="D406" s="4"/>
    </row>
    <row r="407">
      <c r="A407" s="3">
        <v>2016.0</v>
      </c>
      <c r="B407" s="4" t="s">
        <v>605</v>
      </c>
      <c r="C407" s="3">
        <v>3000.0</v>
      </c>
      <c r="D407" s="3" t="s">
        <v>29</v>
      </c>
    </row>
    <row r="408">
      <c r="A408" s="3">
        <v>2016.0</v>
      </c>
      <c r="B408" s="4" t="s">
        <v>606</v>
      </c>
      <c r="C408" s="3">
        <v>3000.0</v>
      </c>
      <c r="D408" s="3" t="s">
        <v>484</v>
      </c>
    </row>
    <row r="409">
      <c r="A409" s="3">
        <v>2016.0</v>
      </c>
      <c r="B409" s="4" t="s">
        <v>643</v>
      </c>
      <c r="C409" s="3">
        <v>3000.0</v>
      </c>
      <c r="D409" s="3" t="s">
        <v>29</v>
      </c>
    </row>
    <row r="410">
      <c r="A410" s="3">
        <v>2016.0</v>
      </c>
      <c r="B410" s="4" t="s">
        <v>716</v>
      </c>
      <c r="C410" s="3">
        <v>3000.0</v>
      </c>
      <c r="D410" s="3" t="s">
        <v>32</v>
      </c>
    </row>
    <row r="411">
      <c r="A411" s="3">
        <v>2016.0</v>
      </c>
      <c r="B411" s="4" t="s">
        <v>785</v>
      </c>
      <c r="C411" s="3">
        <v>3000.0</v>
      </c>
      <c r="D411" s="4"/>
    </row>
    <row r="412">
      <c r="A412" s="3">
        <v>2016.0</v>
      </c>
      <c r="B412" s="4" t="s">
        <v>788</v>
      </c>
      <c r="C412" s="3">
        <v>3000.0</v>
      </c>
      <c r="D412" s="3" t="s">
        <v>3</v>
      </c>
    </row>
    <row r="413">
      <c r="A413" s="3">
        <v>2016.0</v>
      </c>
      <c r="B413" s="4" t="s">
        <v>797</v>
      </c>
      <c r="C413" s="3">
        <v>3000.0</v>
      </c>
      <c r="D413" s="3" t="s">
        <v>32</v>
      </c>
    </row>
    <row r="414">
      <c r="A414" s="3">
        <v>2016.0</v>
      </c>
      <c r="B414" s="4" t="s">
        <v>913</v>
      </c>
      <c r="C414" s="3">
        <v>3000.0</v>
      </c>
      <c r="D414" s="4"/>
    </row>
    <row r="415">
      <c r="A415" s="3">
        <v>2016.0</v>
      </c>
      <c r="B415" s="4" t="s">
        <v>923</v>
      </c>
      <c r="C415" s="3">
        <v>3000.0</v>
      </c>
      <c r="D415" s="4"/>
    </row>
    <row r="416">
      <c r="A416" s="3">
        <v>2016.0</v>
      </c>
      <c r="B416" s="4" t="s">
        <v>933</v>
      </c>
      <c r="C416" s="3">
        <v>3000.0</v>
      </c>
      <c r="D416" s="4"/>
    </row>
    <row r="417">
      <c r="A417" s="3">
        <v>2016.0</v>
      </c>
      <c r="B417" s="4" t="s">
        <v>986</v>
      </c>
      <c r="C417" s="3">
        <v>3000.0</v>
      </c>
      <c r="D417" s="4"/>
    </row>
    <row r="418">
      <c r="A418" s="3">
        <v>2016.0</v>
      </c>
      <c r="B418" s="4" t="s">
        <v>1007</v>
      </c>
      <c r="C418" s="3">
        <v>3000.0</v>
      </c>
      <c r="D418" s="4"/>
    </row>
    <row r="419">
      <c r="A419" s="3">
        <v>2016.0</v>
      </c>
      <c r="B419" s="4" t="s">
        <v>1060</v>
      </c>
      <c r="C419" s="3">
        <v>3000.0</v>
      </c>
      <c r="D419" s="4"/>
    </row>
    <row r="420">
      <c r="A420" s="3">
        <v>2016.0</v>
      </c>
      <c r="B420" s="4" t="s">
        <v>1088</v>
      </c>
      <c r="C420" s="3">
        <v>3000.0</v>
      </c>
      <c r="D420" s="3" t="s">
        <v>3</v>
      </c>
    </row>
    <row r="421">
      <c r="A421" s="3">
        <v>2016.0</v>
      </c>
      <c r="B421" s="4" t="s">
        <v>1135</v>
      </c>
      <c r="C421" s="3">
        <v>3000.0</v>
      </c>
      <c r="D421" s="3" t="s">
        <v>6</v>
      </c>
    </row>
    <row r="422">
      <c r="A422" s="3">
        <v>2016.0</v>
      </c>
      <c r="B422" s="4" t="s">
        <v>1165</v>
      </c>
      <c r="C422" s="3">
        <v>3000.0</v>
      </c>
      <c r="D422" s="3" t="s">
        <v>3</v>
      </c>
    </row>
    <row r="423">
      <c r="A423" s="3">
        <v>2016.0</v>
      </c>
      <c r="B423" s="4" t="s">
        <v>1223</v>
      </c>
      <c r="C423" s="3">
        <v>3000.0</v>
      </c>
      <c r="D423" s="3" t="s">
        <v>3</v>
      </c>
    </row>
    <row r="424">
      <c r="A424" s="3">
        <v>2016.0</v>
      </c>
      <c r="B424" s="4" t="s">
        <v>1244</v>
      </c>
      <c r="C424" s="3">
        <v>3000.0</v>
      </c>
      <c r="D424" s="4"/>
    </row>
    <row r="425">
      <c r="A425" s="3">
        <v>2016.0</v>
      </c>
      <c r="B425" s="4" t="s">
        <v>1247</v>
      </c>
      <c r="C425" s="3">
        <v>3000.0</v>
      </c>
      <c r="D425" s="4"/>
    </row>
    <row r="426">
      <c r="A426" s="3">
        <v>2016.0</v>
      </c>
      <c r="B426" s="4" t="s">
        <v>1281</v>
      </c>
      <c r="C426" s="3">
        <v>3000.0</v>
      </c>
      <c r="D426" s="3" t="s">
        <v>3</v>
      </c>
    </row>
    <row r="427">
      <c r="A427" s="3">
        <v>2016.0</v>
      </c>
      <c r="B427" s="4" t="s">
        <v>1290</v>
      </c>
      <c r="C427" s="3">
        <v>3000.0</v>
      </c>
      <c r="D427" s="3" t="s">
        <v>3</v>
      </c>
    </row>
    <row r="428">
      <c r="A428" s="3">
        <v>2016.0</v>
      </c>
      <c r="B428" s="4" t="s">
        <v>1308</v>
      </c>
      <c r="C428" s="3">
        <v>3000.0</v>
      </c>
      <c r="D428" s="4"/>
    </row>
    <row r="429">
      <c r="A429" s="3">
        <v>2016.0</v>
      </c>
      <c r="B429" s="4" t="s">
        <v>1326</v>
      </c>
      <c r="C429" s="3">
        <v>3000.0</v>
      </c>
      <c r="D429" s="4"/>
    </row>
    <row r="430">
      <c r="A430" s="3">
        <v>2016.0</v>
      </c>
      <c r="B430" s="4" t="s">
        <v>1337</v>
      </c>
      <c r="C430" s="3">
        <v>3000.0</v>
      </c>
      <c r="D430" s="4"/>
    </row>
    <row r="431">
      <c r="A431" s="3">
        <v>2016.0</v>
      </c>
      <c r="B431" s="4" t="s">
        <v>1368</v>
      </c>
      <c r="C431" s="3">
        <v>3000.0</v>
      </c>
      <c r="D431" s="4"/>
    </row>
    <row r="432">
      <c r="A432" s="3">
        <v>2016.0</v>
      </c>
      <c r="B432" s="4" t="s">
        <v>1381</v>
      </c>
      <c r="C432" s="3">
        <v>3000.0</v>
      </c>
      <c r="D432" s="3" t="s">
        <v>1379</v>
      </c>
    </row>
    <row r="433">
      <c r="A433" s="3">
        <v>2016.0</v>
      </c>
      <c r="B433" s="4" t="s">
        <v>1383</v>
      </c>
      <c r="C433" s="3">
        <v>3000.0</v>
      </c>
      <c r="D433" s="4"/>
    </row>
    <row r="434">
      <c r="A434" s="3">
        <v>2016.0</v>
      </c>
      <c r="B434" s="4" t="s">
        <v>1480</v>
      </c>
      <c r="C434" s="3">
        <v>3000.0</v>
      </c>
      <c r="D434" s="4"/>
    </row>
    <row r="435">
      <c r="A435" s="3">
        <v>2016.0</v>
      </c>
      <c r="B435" s="4" t="s">
        <v>1510</v>
      </c>
      <c r="C435" s="3">
        <v>3000.0</v>
      </c>
      <c r="D435" s="3" t="s">
        <v>3</v>
      </c>
    </row>
    <row r="436">
      <c r="A436" s="3">
        <v>2016.0</v>
      </c>
      <c r="B436" s="4" t="s">
        <v>1523</v>
      </c>
      <c r="C436" s="3">
        <v>3000.0</v>
      </c>
      <c r="D436" s="3" t="s">
        <v>32</v>
      </c>
    </row>
    <row r="437">
      <c r="A437" s="3">
        <v>2016.0</v>
      </c>
      <c r="B437" s="4" t="s">
        <v>1589</v>
      </c>
      <c r="C437" s="3">
        <v>3000.0</v>
      </c>
      <c r="D437" s="3" t="s">
        <v>32</v>
      </c>
    </row>
    <row r="438">
      <c r="A438" s="3">
        <v>2016.0</v>
      </c>
      <c r="B438" s="4" t="s">
        <v>1710</v>
      </c>
      <c r="C438" s="3">
        <v>3000.0</v>
      </c>
      <c r="D438" s="3" t="s">
        <v>6</v>
      </c>
    </row>
    <row r="439">
      <c r="A439" s="3">
        <v>2016.0</v>
      </c>
      <c r="B439" s="4" t="s">
        <v>1781</v>
      </c>
      <c r="C439" s="3">
        <v>3000.0</v>
      </c>
      <c r="D439" s="4"/>
    </row>
    <row r="440">
      <c r="A440" s="3">
        <v>2016.0</v>
      </c>
      <c r="B440" s="4" t="s">
        <v>1874</v>
      </c>
      <c r="C440" s="3">
        <v>3000.0</v>
      </c>
      <c r="D440" s="3" t="s">
        <v>29</v>
      </c>
    </row>
    <row r="441">
      <c r="A441" s="3">
        <v>2016.0</v>
      </c>
      <c r="B441" s="4" t="s">
        <v>1895</v>
      </c>
      <c r="C441" s="3">
        <v>3000.0</v>
      </c>
      <c r="D441" s="3" t="s">
        <v>1651</v>
      </c>
    </row>
    <row r="442">
      <c r="A442" s="3">
        <v>2016.0</v>
      </c>
      <c r="B442" s="4" t="s">
        <v>2011</v>
      </c>
      <c r="C442" s="3">
        <v>3000.0</v>
      </c>
      <c r="D442" s="3" t="s">
        <v>3</v>
      </c>
    </row>
    <row r="443">
      <c r="A443" s="3">
        <v>2016.0</v>
      </c>
      <c r="B443" s="4" t="s">
        <v>397</v>
      </c>
      <c r="C443" s="3">
        <v>2800.0</v>
      </c>
      <c r="D443" s="4"/>
    </row>
    <row r="444">
      <c r="A444" s="3">
        <v>2016.0</v>
      </c>
      <c r="B444" s="4" t="s">
        <v>1177</v>
      </c>
      <c r="C444" s="3">
        <v>2800.0</v>
      </c>
      <c r="D444" s="3" t="s">
        <v>3</v>
      </c>
    </row>
    <row r="445">
      <c r="A445" s="3">
        <v>2016.0</v>
      </c>
      <c r="B445" s="4" t="s">
        <v>1504</v>
      </c>
      <c r="C445" s="3">
        <v>2800.0</v>
      </c>
      <c r="D445" s="3" t="s">
        <v>3</v>
      </c>
    </row>
    <row r="446">
      <c r="A446" s="3">
        <v>2016.0</v>
      </c>
      <c r="B446" s="4" t="s">
        <v>166</v>
      </c>
      <c r="C446" s="3">
        <v>2700.0</v>
      </c>
      <c r="D446" s="4"/>
    </row>
    <row r="447">
      <c r="A447" s="3">
        <v>2016.0</v>
      </c>
      <c r="B447" s="4" t="s">
        <v>343</v>
      </c>
      <c r="C447" s="3">
        <v>2670.0</v>
      </c>
      <c r="D447" s="4"/>
    </row>
    <row r="448">
      <c r="A448" s="3">
        <v>2016.0</v>
      </c>
      <c r="B448" s="4" t="s">
        <v>904</v>
      </c>
      <c r="C448" s="3">
        <v>2635.0</v>
      </c>
      <c r="D448" s="4"/>
    </row>
    <row r="449">
      <c r="A449" s="3">
        <v>2016.0</v>
      </c>
      <c r="B449" s="4" t="s">
        <v>124</v>
      </c>
      <c r="C449" s="3">
        <v>2500.0</v>
      </c>
      <c r="D449" s="3" t="s">
        <v>26</v>
      </c>
    </row>
    <row r="450">
      <c r="A450" s="3">
        <v>2016.0</v>
      </c>
      <c r="B450" s="4" t="s">
        <v>168</v>
      </c>
      <c r="C450" s="3">
        <v>2500.0</v>
      </c>
      <c r="D450" s="4"/>
    </row>
    <row r="451">
      <c r="A451" s="3">
        <v>2016.0</v>
      </c>
      <c r="B451" s="4" t="s">
        <v>2153</v>
      </c>
      <c r="C451" s="3">
        <v>2500.0</v>
      </c>
      <c r="D451" s="4"/>
    </row>
    <row r="452">
      <c r="A452" s="3">
        <v>2016.0</v>
      </c>
      <c r="B452" s="4" t="s">
        <v>473</v>
      </c>
      <c r="C452" s="3">
        <v>2500.0</v>
      </c>
      <c r="D452" s="3" t="s">
        <v>3</v>
      </c>
    </row>
    <row r="453">
      <c r="A453" s="3">
        <v>2016.0</v>
      </c>
      <c r="B453" s="4" t="s">
        <v>2165</v>
      </c>
      <c r="C453" s="3">
        <v>2500.0</v>
      </c>
      <c r="D453" s="4"/>
    </row>
    <row r="454">
      <c r="A454" s="3">
        <v>2016.0</v>
      </c>
      <c r="B454" s="4" t="s">
        <v>611</v>
      </c>
      <c r="C454" s="3">
        <v>2500.0</v>
      </c>
      <c r="D454" s="4"/>
    </row>
    <row r="455">
      <c r="A455" s="3">
        <v>2016.0</v>
      </c>
      <c r="B455" s="4" t="s">
        <v>630</v>
      </c>
      <c r="C455" s="3">
        <v>2500.0</v>
      </c>
      <c r="D455" s="4"/>
    </row>
    <row r="456">
      <c r="A456" s="3">
        <v>2016.0</v>
      </c>
      <c r="B456" s="4" t="s">
        <v>636</v>
      </c>
      <c r="C456" s="3">
        <v>2500.0</v>
      </c>
      <c r="D456" s="3" t="s">
        <v>6</v>
      </c>
    </row>
    <row r="457">
      <c r="A457" s="3">
        <v>2016.0</v>
      </c>
      <c r="B457" s="4" t="s">
        <v>761</v>
      </c>
      <c r="C457" s="3">
        <v>2500.0</v>
      </c>
      <c r="D457" s="4"/>
    </row>
    <row r="458">
      <c r="A458" s="3">
        <v>2016.0</v>
      </c>
      <c r="B458" s="4" t="s">
        <v>842</v>
      </c>
      <c r="C458" s="3">
        <v>2500.0</v>
      </c>
      <c r="D458" s="4"/>
    </row>
    <row r="459">
      <c r="A459" s="3">
        <v>2016.0</v>
      </c>
      <c r="B459" s="4" t="s">
        <v>2265</v>
      </c>
      <c r="C459" s="3">
        <v>2500.0</v>
      </c>
      <c r="D459" s="3" t="s">
        <v>3</v>
      </c>
    </row>
    <row r="460">
      <c r="A460" s="3">
        <v>2016.0</v>
      </c>
      <c r="B460" s="4" t="s">
        <v>1252</v>
      </c>
      <c r="C460" s="3">
        <v>2500.0</v>
      </c>
      <c r="D460" s="4"/>
    </row>
    <row r="461">
      <c r="A461" s="3">
        <v>2016.0</v>
      </c>
      <c r="B461" s="4" t="s">
        <v>1354</v>
      </c>
      <c r="C461" s="3">
        <v>2500.0</v>
      </c>
      <c r="D461" s="3" t="s">
        <v>3</v>
      </c>
    </row>
    <row r="462">
      <c r="A462" s="3">
        <v>2016.0</v>
      </c>
      <c r="B462" s="4" t="s">
        <v>1386</v>
      </c>
      <c r="C462" s="3">
        <v>2500.0</v>
      </c>
      <c r="D462" s="3" t="s">
        <v>32</v>
      </c>
    </row>
    <row r="463">
      <c r="A463" s="3">
        <v>2016.0</v>
      </c>
      <c r="B463" s="4" t="s">
        <v>1450</v>
      </c>
      <c r="C463" s="3">
        <v>2500.0</v>
      </c>
      <c r="D463" s="3" t="s">
        <v>3</v>
      </c>
    </row>
    <row r="464">
      <c r="A464" s="3">
        <v>2016.0</v>
      </c>
      <c r="B464" s="4" t="s">
        <v>1590</v>
      </c>
      <c r="C464" s="3">
        <v>2500.0</v>
      </c>
      <c r="D464" s="4"/>
    </row>
    <row r="465">
      <c r="A465" s="3">
        <v>2016.0</v>
      </c>
      <c r="B465" s="4" t="s">
        <v>1603</v>
      </c>
      <c r="C465" s="3">
        <v>2500.0</v>
      </c>
      <c r="D465" s="3" t="s">
        <v>3</v>
      </c>
    </row>
    <row r="466">
      <c r="A466" s="3">
        <v>2016.0</v>
      </c>
      <c r="B466" s="4" t="s">
        <v>1667</v>
      </c>
      <c r="C466" s="3">
        <v>2500.0</v>
      </c>
      <c r="D466" s="4"/>
    </row>
    <row r="467">
      <c r="A467" s="3">
        <v>2016.0</v>
      </c>
      <c r="B467" s="4" t="s">
        <v>1672</v>
      </c>
      <c r="C467" s="3">
        <v>2500.0</v>
      </c>
      <c r="D467" s="4"/>
    </row>
    <row r="468">
      <c r="A468" s="3">
        <v>2016.0</v>
      </c>
      <c r="B468" s="4" t="s">
        <v>1701</v>
      </c>
      <c r="C468" s="3">
        <v>2500.0</v>
      </c>
      <c r="D468" s="3" t="s">
        <v>3</v>
      </c>
    </row>
    <row r="469">
      <c r="A469" s="3">
        <v>2016.0</v>
      </c>
      <c r="B469" s="4" t="s">
        <v>2303</v>
      </c>
      <c r="C469" s="3">
        <v>2500.0</v>
      </c>
      <c r="D469" s="3" t="s">
        <v>3</v>
      </c>
    </row>
    <row r="470">
      <c r="A470" s="3">
        <v>2016.0</v>
      </c>
      <c r="B470" s="4" t="s">
        <v>1842</v>
      </c>
      <c r="C470" s="3">
        <v>2500.0</v>
      </c>
      <c r="D470" s="3" t="s">
        <v>3</v>
      </c>
    </row>
    <row r="471">
      <c r="A471" s="3">
        <v>2016.0</v>
      </c>
      <c r="B471" s="4" t="s">
        <v>2314</v>
      </c>
      <c r="C471" s="3">
        <v>2500.0</v>
      </c>
      <c r="D471" s="4"/>
    </row>
    <row r="472">
      <c r="A472" s="3">
        <v>2016.0</v>
      </c>
      <c r="B472" s="4" t="s">
        <v>1980</v>
      </c>
      <c r="C472" s="3">
        <v>2450.0</v>
      </c>
      <c r="D472" s="4"/>
    </row>
    <row r="473">
      <c r="A473" s="3">
        <v>2016.0</v>
      </c>
      <c r="B473" s="4" t="s">
        <v>55</v>
      </c>
      <c r="C473" s="3">
        <v>2400.0</v>
      </c>
      <c r="D473" s="4"/>
    </row>
    <row r="474">
      <c r="A474" s="3">
        <v>2016.0</v>
      </c>
      <c r="B474" s="4" t="s">
        <v>843</v>
      </c>
      <c r="C474" s="3">
        <v>2300.0</v>
      </c>
      <c r="D474" s="3" t="s">
        <v>32</v>
      </c>
    </row>
    <row r="475">
      <c r="A475" s="3">
        <v>2016.0</v>
      </c>
      <c r="B475" s="4" t="s">
        <v>1470</v>
      </c>
      <c r="C475" s="3">
        <v>2250.0</v>
      </c>
      <c r="D475" s="4"/>
    </row>
    <row r="476">
      <c r="A476" s="3">
        <v>2016.0</v>
      </c>
      <c r="B476" s="4" t="s">
        <v>1092</v>
      </c>
      <c r="C476" s="3">
        <v>2200.0</v>
      </c>
      <c r="D476" s="4"/>
    </row>
    <row r="477">
      <c r="A477" s="3">
        <v>2016.0</v>
      </c>
      <c r="B477" s="4" t="s">
        <v>1897</v>
      </c>
      <c r="C477" s="3">
        <v>2200.0</v>
      </c>
      <c r="D477" s="3" t="s">
        <v>3</v>
      </c>
    </row>
    <row r="478">
      <c r="A478" s="3">
        <v>2016.0</v>
      </c>
      <c r="B478" s="4" t="s">
        <v>320</v>
      </c>
      <c r="C478" s="3">
        <v>2150.0</v>
      </c>
      <c r="D478" s="3" t="s">
        <v>6</v>
      </c>
    </row>
    <row r="479">
      <c r="A479" s="3">
        <v>2016.0</v>
      </c>
      <c r="B479" s="4" t="s">
        <v>941</v>
      </c>
      <c r="C479" s="3">
        <v>2100.0</v>
      </c>
      <c r="D479" s="4"/>
    </row>
    <row r="480">
      <c r="A480" s="3">
        <v>2016.0</v>
      </c>
      <c r="B480" s="4" t="s">
        <v>1012</v>
      </c>
      <c r="C480" s="3">
        <v>2100.0</v>
      </c>
      <c r="D480" s="3" t="s">
        <v>3</v>
      </c>
    </row>
    <row r="481">
      <c r="A481" s="3">
        <v>2016.0</v>
      </c>
      <c r="B481" s="4" t="s">
        <v>2306</v>
      </c>
      <c r="C481" s="3">
        <v>2100.0</v>
      </c>
      <c r="D481" s="4"/>
    </row>
    <row r="482">
      <c r="A482" s="3">
        <v>2016.0</v>
      </c>
      <c r="B482" s="4" t="s">
        <v>260</v>
      </c>
      <c r="C482" s="3">
        <v>2064.0</v>
      </c>
      <c r="D482" s="3" t="s">
        <v>32</v>
      </c>
    </row>
    <row r="483">
      <c r="A483" s="3">
        <v>2016.0</v>
      </c>
      <c r="B483" s="4" t="s">
        <v>318</v>
      </c>
      <c r="C483" s="3">
        <v>2055.0</v>
      </c>
      <c r="D483" s="4"/>
    </row>
    <row r="484">
      <c r="A484" s="3">
        <v>2016.0</v>
      </c>
      <c r="B484" s="4" t="s">
        <v>19</v>
      </c>
      <c r="C484" s="3">
        <v>2000.0</v>
      </c>
      <c r="D484" s="4"/>
    </row>
    <row r="485">
      <c r="A485" s="3">
        <v>2016.0</v>
      </c>
      <c r="B485" s="4" t="s">
        <v>77</v>
      </c>
      <c r="C485" s="3">
        <v>2000.0</v>
      </c>
      <c r="D485" s="4"/>
    </row>
    <row r="486">
      <c r="A486" s="3">
        <v>2016.0</v>
      </c>
      <c r="B486" s="4" t="s">
        <v>81</v>
      </c>
      <c r="C486" s="3">
        <v>2000.0</v>
      </c>
      <c r="D486" s="3" t="s">
        <v>29</v>
      </c>
    </row>
    <row r="487">
      <c r="A487" s="3">
        <v>2016.0</v>
      </c>
      <c r="B487" s="4" t="s">
        <v>133</v>
      </c>
      <c r="C487" s="3">
        <v>2000.0</v>
      </c>
      <c r="D487" s="3" t="s">
        <v>3</v>
      </c>
    </row>
    <row r="488">
      <c r="A488" s="3">
        <v>2016.0</v>
      </c>
      <c r="B488" s="4" t="s">
        <v>226</v>
      </c>
      <c r="C488" s="3">
        <v>2000.0</v>
      </c>
      <c r="D488" s="3" t="s">
        <v>3</v>
      </c>
    </row>
    <row r="489">
      <c r="A489" s="3">
        <v>2016.0</v>
      </c>
      <c r="B489" s="4" t="s">
        <v>410</v>
      </c>
      <c r="C489" s="3">
        <v>2000.0</v>
      </c>
      <c r="D489" s="4"/>
    </row>
    <row r="490">
      <c r="A490" s="3">
        <v>2016.0</v>
      </c>
      <c r="B490" s="4" t="s">
        <v>457</v>
      </c>
      <c r="C490" s="3">
        <v>2000.0</v>
      </c>
      <c r="D490" s="3" t="s">
        <v>3</v>
      </c>
    </row>
    <row r="491">
      <c r="A491" s="3">
        <v>2016.0</v>
      </c>
      <c r="B491" s="4" t="s">
        <v>601</v>
      </c>
      <c r="C491" s="3">
        <v>2000.0</v>
      </c>
      <c r="D491" s="4"/>
    </row>
    <row r="492">
      <c r="A492" s="3">
        <v>2016.0</v>
      </c>
      <c r="B492" s="4" t="s">
        <v>704</v>
      </c>
      <c r="C492" s="3">
        <v>2000.0</v>
      </c>
      <c r="D492" s="4"/>
    </row>
    <row r="493">
      <c r="A493" s="3">
        <v>2016.0</v>
      </c>
      <c r="B493" s="4" t="s">
        <v>720</v>
      </c>
      <c r="C493" s="3">
        <v>2000.0</v>
      </c>
      <c r="D493" s="4"/>
    </row>
    <row r="494">
      <c r="A494" s="3">
        <v>2016.0</v>
      </c>
      <c r="B494" s="4" t="s">
        <v>780</v>
      </c>
      <c r="C494" s="3">
        <v>2000.0</v>
      </c>
      <c r="D494" s="4"/>
    </row>
    <row r="495">
      <c r="A495" s="3">
        <v>2016.0</v>
      </c>
      <c r="B495" s="4" t="s">
        <v>847</v>
      </c>
      <c r="C495" s="3">
        <v>2000.0</v>
      </c>
      <c r="D495" s="4"/>
    </row>
    <row r="496">
      <c r="A496" s="3">
        <v>2016.0</v>
      </c>
      <c r="B496" s="4" t="s">
        <v>2216</v>
      </c>
      <c r="C496" s="3">
        <v>2000.0</v>
      </c>
      <c r="D496" s="3" t="s">
        <v>3</v>
      </c>
    </row>
    <row r="497">
      <c r="A497" s="3">
        <v>2016.0</v>
      </c>
      <c r="B497" s="4" t="s">
        <v>925</v>
      </c>
      <c r="C497" s="3">
        <v>2000.0</v>
      </c>
      <c r="D497" s="4"/>
    </row>
    <row r="498">
      <c r="A498" s="3">
        <v>2016.0</v>
      </c>
      <c r="B498" s="4" t="s">
        <v>962</v>
      </c>
      <c r="C498" s="3">
        <v>2000.0</v>
      </c>
      <c r="D498" s="3" t="s">
        <v>6</v>
      </c>
    </row>
    <row r="499">
      <c r="A499" s="3">
        <v>2016.0</v>
      </c>
      <c r="B499" s="4" t="s">
        <v>2240</v>
      </c>
      <c r="C499" s="3">
        <v>2000.0</v>
      </c>
      <c r="D499" s="3" t="s">
        <v>3</v>
      </c>
    </row>
    <row r="500">
      <c r="A500" s="3">
        <v>2016.0</v>
      </c>
      <c r="B500" s="4" t="s">
        <v>2253</v>
      </c>
      <c r="C500" s="3">
        <v>2000.0</v>
      </c>
      <c r="D500" s="4"/>
    </row>
    <row r="501">
      <c r="A501" s="3">
        <v>2016.0</v>
      </c>
      <c r="B501" s="4" t="s">
        <v>1131</v>
      </c>
      <c r="C501" s="3">
        <v>2000.0</v>
      </c>
      <c r="D501" s="3" t="s">
        <v>6</v>
      </c>
    </row>
    <row r="502">
      <c r="A502" s="3">
        <v>2016.0</v>
      </c>
      <c r="B502" s="4" t="s">
        <v>1144</v>
      </c>
      <c r="C502" s="3">
        <v>2000.0</v>
      </c>
      <c r="D502" s="4"/>
    </row>
    <row r="503">
      <c r="A503" s="3">
        <v>2016.0</v>
      </c>
      <c r="B503" s="4" t="s">
        <v>1300</v>
      </c>
      <c r="C503" s="3">
        <v>2000.0</v>
      </c>
      <c r="D503" s="3" t="s">
        <v>6</v>
      </c>
    </row>
    <row r="504">
      <c r="A504" s="3">
        <v>2016.0</v>
      </c>
      <c r="B504" s="4" t="s">
        <v>1305</v>
      </c>
      <c r="C504" s="3">
        <v>2000.0</v>
      </c>
      <c r="D504" s="3" t="s">
        <v>3</v>
      </c>
    </row>
    <row r="505">
      <c r="A505" s="3">
        <v>2016.0</v>
      </c>
      <c r="B505" s="4" t="s">
        <v>1318</v>
      </c>
      <c r="C505" s="3">
        <v>2000.0</v>
      </c>
      <c r="D505" s="4"/>
    </row>
    <row r="506">
      <c r="A506" s="3">
        <v>2016.0</v>
      </c>
      <c r="B506" s="4" t="s">
        <v>1341</v>
      </c>
      <c r="C506" s="3">
        <v>2000.0</v>
      </c>
      <c r="D506" s="3" t="s">
        <v>6</v>
      </c>
    </row>
    <row r="507">
      <c r="A507" s="3">
        <v>2016.0</v>
      </c>
      <c r="B507" s="4" t="s">
        <v>1361</v>
      </c>
      <c r="C507" s="3">
        <v>2000.0</v>
      </c>
      <c r="D507" s="4"/>
    </row>
    <row r="508">
      <c r="A508" s="3">
        <v>2016.0</v>
      </c>
      <c r="B508" s="4" t="s">
        <v>1370</v>
      </c>
      <c r="C508" s="3">
        <v>2000.0</v>
      </c>
      <c r="D508" s="3" t="s">
        <v>32</v>
      </c>
    </row>
    <row r="509">
      <c r="A509" s="3">
        <v>2016.0</v>
      </c>
      <c r="B509" s="4" t="s">
        <v>1375</v>
      </c>
      <c r="C509" s="3">
        <v>2000.0</v>
      </c>
      <c r="D509" s="3" t="s">
        <v>32</v>
      </c>
    </row>
    <row r="510">
      <c r="A510" s="3">
        <v>2016.0</v>
      </c>
      <c r="B510" s="4" t="s">
        <v>1387</v>
      </c>
      <c r="C510" s="3">
        <v>2000.0</v>
      </c>
      <c r="D510" s="4"/>
    </row>
    <row r="511">
      <c r="A511" s="3">
        <v>2016.0</v>
      </c>
      <c r="B511" s="4" t="s">
        <v>1592</v>
      </c>
      <c r="C511" s="3">
        <v>2000.0</v>
      </c>
      <c r="D511" s="4"/>
    </row>
    <row r="512">
      <c r="A512" s="3">
        <v>2016.0</v>
      </c>
      <c r="B512" s="4" t="s">
        <v>2286</v>
      </c>
      <c r="C512" s="3">
        <v>2000.0</v>
      </c>
      <c r="D512" s="3" t="s">
        <v>3</v>
      </c>
    </row>
    <row r="513">
      <c r="A513" s="3">
        <v>2016.0</v>
      </c>
      <c r="B513" s="4" t="s">
        <v>1642</v>
      </c>
      <c r="C513" s="3">
        <v>2000.0</v>
      </c>
      <c r="D513" s="4"/>
    </row>
    <row r="514">
      <c r="A514" s="3">
        <v>2016.0</v>
      </c>
      <c r="B514" s="4" t="s">
        <v>1688</v>
      </c>
      <c r="C514" s="3">
        <v>2000.0</v>
      </c>
      <c r="D514" s="3" t="s">
        <v>3</v>
      </c>
    </row>
    <row r="515">
      <c r="A515" s="3">
        <v>2016.0</v>
      </c>
      <c r="B515" s="4" t="s">
        <v>1758</v>
      </c>
      <c r="C515" s="3">
        <v>2000.0</v>
      </c>
      <c r="D515" s="4"/>
    </row>
    <row r="516">
      <c r="A516" s="3">
        <v>2016.0</v>
      </c>
      <c r="B516" s="4" t="s">
        <v>2295</v>
      </c>
      <c r="C516" s="3">
        <v>2000.0</v>
      </c>
      <c r="D516" s="3" t="s">
        <v>3</v>
      </c>
    </row>
    <row r="517">
      <c r="A517" s="3">
        <v>2016.0</v>
      </c>
      <c r="B517" s="4" t="s">
        <v>1791</v>
      </c>
      <c r="C517" s="3">
        <v>2000.0</v>
      </c>
      <c r="D517" s="3" t="s">
        <v>29</v>
      </c>
    </row>
    <row r="518">
      <c r="A518" s="3">
        <v>2016.0</v>
      </c>
      <c r="B518" s="4" t="s">
        <v>2296</v>
      </c>
      <c r="C518" s="3">
        <v>2000.0</v>
      </c>
      <c r="D518" s="4"/>
    </row>
    <row r="519">
      <c r="A519" s="3">
        <v>2016.0</v>
      </c>
      <c r="B519" s="4" t="s">
        <v>1810</v>
      </c>
      <c r="C519" s="3">
        <v>2000.0</v>
      </c>
      <c r="D519" s="3" t="s">
        <v>3</v>
      </c>
    </row>
    <row r="520">
      <c r="A520" s="3">
        <v>2016.0</v>
      </c>
      <c r="B520" s="4" t="s">
        <v>1832</v>
      </c>
      <c r="C520" s="3">
        <v>2000.0</v>
      </c>
      <c r="D520" s="4"/>
    </row>
    <row r="521">
      <c r="A521" s="3">
        <v>2016.0</v>
      </c>
      <c r="B521" s="4" t="s">
        <v>1860</v>
      </c>
      <c r="C521" s="3">
        <v>2000.0</v>
      </c>
      <c r="D521" s="4"/>
    </row>
    <row r="522">
      <c r="A522" s="3">
        <v>2016.0</v>
      </c>
      <c r="B522" s="4" t="s">
        <v>1862</v>
      </c>
      <c r="C522" s="3">
        <v>2000.0</v>
      </c>
      <c r="D522" s="3" t="s">
        <v>32</v>
      </c>
    </row>
    <row r="523">
      <c r="A523" s="3">
        <v>2016.0</v>
      </c>
      <c r="B523" s="4" t="s">
        <v>1886</v>
      </c>
      <c r="C523" s="3">
        <v>2000.0</v>
      </c>
      <c r="D523" s="4"/>
    </row>
    <row r="524">
      <c r="A524" s="3">
        <v>2016.0</v>
      </c>
      <c r="B524" s="4" t="s">
        <v>1943</v>
      </c>
      <c r="C524" s="3">
        <v>2000.0</v>
      </c>
      <c r="D524" s="4"/>
    </row>
    <row r="525">
      <c r="A525" s="3">
        <v>2016.0</v>
      </c>
      <c r="B525" s="4" t="s">
        <v>12</v>
      </c>
      <c r="C525" s="3">
        <v>1800.0</v>
      </c>
      <c r="D525" s="4"/>
    </row>
    <row r="526">
      <c r="A526" s="3">
        <v>2016.0</v>
      </c>
      <c r="B526" s="4" t="s">
        <v>1178</v>
      </c>
      <c r="C526" s="3">
        <v>1800.0</v>
      </c>
      <c r="D526" s="4"/>
    </row>
    <row r="527">
      <c r="A527" s="3">
        <v>2016.0</v>
      </c>
      <c r="B527" s="4" t="s">
        <v>1449</v>
      </c>
      <c r="C527" s="3">
        <v>1800.0</v>
      </c>
      <c r="D527" s="3" t="s">
        <v>6</v>
      </c>
    </row>
    <row r="528">
      <c r="A528" s="3">
        <v>2016.0</v>
      </c>
      <c r="B528" s="4" t="s">
        <v>1554</v>
      </c>
      <c r="C528" s="3">
        <v>1800.0</v>
      </c>
      <c r="D528" s="4"/>
    </row>
    <row r="529">
      <c r="A529" s="3">
        <v>2016.0</v>
      </c>
      <c r="B529" s="4" t="s">
        <v>1679</v>
      </c>
      <c r="C529" s="3">
        <v>1800.0</v>
      </c>
      <c r="D529" s="4"/>
    </row>
    <row r="530">
      <c r="A530" s="3">
        <v>2016.0</v>
      </c>
      <c r="B530" s="4" t="s">
        <v>2230</v>
      </c>
      <c r="C530" s="3">
        <v>1728.0</v>
      </c>
      <c r="D530" s="4"/>
    </row>
    <row r="531">
      <c r="A531" s="3">
        <v>2016.0</v>
      </c>
      <c r="B531" s="4" t="s">
        <v>2186</v>
      </c>
      <c r="C531" s="3">
        <v>1700.0</v>
      </c>
      <c r="D531" s="3" t="s">
        <v>580</v>
      </c>
    </row>
    <row r="532">
      <c r="A532" s="3">
        <v>2016.0</v>
      </c>
      <c r="B532" s="4" t="s">
        <v>813</v>
      </c>
      <c r="C532" s="3">
        <v>1700.0</v>
      </c>
      <c r="D532" s="4"/>
    </row>
    <row r="533">
      <c r="A533" s="3">
        <v>2016.0</v>
      </c>
      <c r="B533" s="4" t="s">
        <v>1306</v>
      </c>
      <c r="C533" s="3">
        <v>1700.0</v>
      </c>
      <c r="D533" s="4"/>
    </row>
    <row r="534">
      <c r="A534" s="3">
        <v>2016.0</v>
      </c>
      <c r="B534" s="4" t="s">
        <v>1575</v>
      </c>
      <c r="C534" s="3">
        <v>1700.0</v>
      </c>
      <c r="D534" s="4"/>
    </row>
    <row r="535">
      <c r="A535" s="3">
        <v>2016.0</v>
      </c>
      <c r="B535" s="4" t="s">
        <v>1683</v>
      </c>
      <c r="C535" s="3">
        <v>1650.0</v>
      </c>
      <c r="D535" s="4"/>
    </row>
    <row r="536">
      <c r="A536" s="3">
        <v>2016.0</v>
      </c>
      <c r="B536" s="4" t="s">
        <v>869</v>
      </c>
      <c r="C536" s="3">
        <v>1600.0</v>
      </c>
      <c r="D536" s="4"/>
    </row>
    <row r="537">
      <c r="A537" s="3">
        <v>2016.0</v>
      </c>
      <c r="B537" s="4" t="s">
        <v>889</v>
      </c>
      <c r="C537" s="3">
        <v>1600.0</v>
      </c>
      <c r="D537" s="4"/>
    </row>
    <row r="538">
      <c r="A538" s="3">
        <v>2016.0</v>
      </c>
      <c r="B538" s="4" t="s">
        <v>1260</v>
      </c>
      <c r="C538" s="3">
        <v>1550.0</v>
      </c>
      <c r="D538" s="4"/>
    </row>
    <row r="539">
      <c r="A539" s="3">
        <v>2016.0</v>
      </c>
      <c r="B539" s="4" t="s">
        <v>1020</v>
      </c>
      <c r="C539" s="3">
        <v>1534.0</v>
      </c>
      <c r="D539" s="4"/>
    </row>
    <row r="540">
      <c r="A540" s="3">
        <v>2016.0</v>
      </c>
      <c r="B540" s="4" t="s">
        <v>64</v>
      </c>
      <c r="C540" s="3">
        <v>1500.0</v>
      </c>
      <c r="D540" s="4"/>
    </row>
    <row r="541">
      <c r="A541" s="3">
        <v>2016.0</v>
      </c>
      <c r="B541" s="4" t="s">
        <v>67</v>
      </c>
      <c r="C541" s="3">
        <v>1500.0</v>
      </c>
      <c r="D541" s="4"/>
    </row>
    <row r="542">
      <c r="A542" s="3">
        <v>2016.0</v>
      </c>
      <c r="B542" s="4" t="s">
        <v>152</v>
      </c>
      <c r="C542" s="3">
        <v>1500.0</v>
      </c>
      <c r="D542" s="4"/>
    </row>
    <row r="543">
      <c r="A543" s="3">
        <v>2016.0</v>
      </c>
      <c r="B543" s="4" t="s">
        <v>2122</v>
      </c>
      <c r="C543" s="3">
        <v>1500.0</v>
      </c>
      <c r="D543" s="4"/>
    </row>
    <row r="544">
      <c r="A544" s="3">
        <v>2016.0</v>
      </c>
      <c r="B544" s="4" t="s">
        <v>342</v>
      </c>
      <c r="C544" s="3">
        <v>1500.0</v>
      </c>
      <c r="D544" s="3" t="s">
        <v>6</v>
      </c>
    </row>
    <row r="545">
      <c r="A545" s="3">
        <v>2016.0</v>
      </c>
      <c r="B545" s="4" t="s">
        <v>2162</v>
      </c>
      <c r="C545" s="3">
        <v>1500.0</v>
      </c>
      <c r="D545" s="3" t="s">
        <v>484</v>
      </c>
    </row>
    <row r="546">
      <c r="A546" s="3">
        <v>2016.0</v>
      </c>
      <c r="B546" s="4" t="s">
        <v>520</v>
      </c>
      <c r="C546" s="3">
        <v>1500.0</v>
      </c>
      <c r="D546" s="3" t="s">
        <v>6</v>
      </c>
    </row>
    <row r="547">
      <c r="A547" s="3">
        <v>2016.0</v>
      </c>
      <c r="B547" s="4" t="s">
        <v>557</v>
      </c>
      <c r="C547" s="3">
        <v>1500.0</v>
      </c>
      <c r="D547" s="3" t="s">
        <v>29</v>
      </c>
    </row>
    <row r="548">
      <c r="A548" s="3">
        <v>2016.0</v>
      </c>
      <c r="B548" s="4" t="s">
        <v>614</v>
      </c>
      <c r="C548" s="3">
        <v>1500.0</v>
      </c>
      <c r="D548" s="4"/>
    </row>
    <row r="549">
      <c r="A549" s="3">
        <v>2016.0</v>
      </c>
      <c r="B549" s="4" t="s">
        <v>621</v>
      </c>
      <c r="C549" s="3">
        <v>1500.0</v>
      </c>
      <c r="D549" s="3" t="s">
        <v>32</v>
      </c>
    </row>
    <row r="550">
      <c r="A550" s="3">
        <v>2016.0</v>
      </c>
      <c r="B550" s="4" t="s">
        <v>784</v>
      </c>
      <c r="C550" s="3">
        <v>1500.0</v>
      </c>
      <c r="D550" s="4"/>
    </row>
    <row r="551">
      <c r="A551" s="3">
        <v>2016.0</v>
      </c>
      <c r="B551" s="4" t="s">
        <v>806</v>
      </c>
      <c r="C551" s="3">
        <v>1500.0</v>
      </c>
      <c r="D551" s="4"/>
    </row>
    <row r="552">
      <c r="A552" s="3">
        <v>2016.0</v>
      </c>
      <c r="B552" s="4" t="s">
        <v>874</v>
      </c>
      <c r="C552" s="3">
        <v>1500.0</v>
      </c>
      <c r="D552" s="3" t="s">
        <v>3</v>
      </c>
    </row>
    <row r="553">
      <c r="A553" s="3">
        <v>2016.0</v>
      </c>
      <c r="B553" s="4" t="s">
        <v>959</v>
      </c>
      <c r="C553" s="3">
        <v>1500.0</v>
      </c>
      <c r="D553" s="4"/>
    </row>
    <row r="554">
      <c r="A554" s="3">
        <v>2016.0</v>
      </c>
      <c r="B554" s="4" t="s">
        <v>967</v>
      </c>
      <c r="C554" s="3">
        <v>1500.0</v>
      </c>
      <c r="D554" s="3" t="s">
        <v>32</v>
      </c>
    </row>
    <row r="555">
      <c r="A555" s="3">
        <v>2016.0</v>
      </c>
      <c r="B555" s="4" t="s">
        <v>1209</v>
      </c>
      <c r="C555" s="3">
        <v>1500.0</v>
      </c>
      <c r="D555" s="4"/>
    </row>
    <row r="556">
      <c r="A556" s="3">
        <v>2016.0</v>
      </c>
      <c r="B556" s="4" t="s">
        <v>1238</v>
      </c>
      <c r="C556" s="3">
        <v>1500.0</v>
      </c>
      <c r="D556" s="4"/>
    </row>
    <row r="557">
      <c r="A557" s="3">
        <v>2016.0</v>
      </c>
      <c r="B557" s="4" t="s">
        <v>1258</v>
      </c>
      <c r="C557" s="3">
        <v>1500.0</v>
      </c>
      <c r="D557" s="4"/>
    </row>
    <row r="558">
      <c r="A558" s="3">
        <v>2016.0</v>
      </c>
      <c r="B558" s="4" t="s">
        <v>1333</v>
      </c>
      <c r="C558" s="3">
        <v>1500.0</v>
      </c>
      <c r="D558" s="4"/>
    </row>
    <row r="559">
      <c r="A559" s="3">
        <v>2016.0</v>
      </c>
      <c r="B559" s="4" t="s">
        <v>1408</v>
      </c>
      <c r="C559" s="3">
        <v>1500.0</v>
      </c>
      <c r="D559" s="4"/>
    </row>
    <row r="560">
      <c r="A560" s="3">
        <v>2016.0</v>
      </c>
      <c r="B560" s="4" t="s">
        <v>1495</v>
      </c>
      <c r="C560" s="3">
        <v>1500.0</v>
      </c>
      <c r="D560" s="4"/>
    </row>
    <row r="561">
      <c r="A561" s="3">
        <v>2016.0</v>
      </c>
      <c r="B561" s="4" t="s">
        <v>1574</v>
      </c>
      <c r="C561" s="3">
        <v>1500.0</v>
      </c>
      <c r="D561" s="3" t="s">
        <v>6</v>
      </c>
    </row>
    <row r="562">
      <c r="A562" s="3">
        <v>2016.0</v>
      </c>
      <c r="B562" s="4" t="s">
        <v>1656</v>
      </c>
      <c r="C562" s="3">
        <v>1500.0</v>
      </c>
      <c r="D562" s="4"/>
    </row>
    <row r="563">
      <c r="A563" s="3">
        <v>2016.0</v>
      </c>
      <c r="B563" s="4" t="s">
        <v>1698</v>
      </c>
      <c r="C563" s="3">
        <v>1500.0</v>
      </c>
      <c r="D563" s="3" t="s">
        <v>6</v>
      </c>
    </row>
    <row r="564">
      <c r="A564" s="3">
        <v>2016.0</v>
      </c>
      <c r="B564" s="4" t="s">
        <v>1738</v>
      </c>
      <c r="C564" s="3">
        <v>1500.0</v>
      </c>
      <c r="D564" s="4"/>
    </row>
    <row r="565">
      <c r="A565" s="3">
        <v>2016.0</v>
      </c>
      <c r="B565" s="4" t="s">
        <v>1836</v>
      </c>
      <c r="C565" s="3">
        <v>1500.0</v>
      </c>
      <c r="D565" s="4"/>
    </row>
    <row r="566">
      <c r="A566" s="3">
        <v>2016.0</v>
      </c>
      <c r="B566" s="4" t="s">
        <v>1931</v>
      </c>
      <c r="C566" s="3">
        <v>1500.0</v>
      </c>
      <c r="D566" s="3" t="s">
        <v>3</v>
      </c>
    </row>
    <row r="567">
      <c r="A567" s="3">
        <v>2016.0</v>
      </c>
      <c r="B567" s="4" t="s">
        <v>2324</v>
      </c>
      <c r="C567" s="3">
        <v>1500.0</v>
      </c>
      <c r="D567" s="3" t="s">
        <v>3</v>
      </c>
    </row>
    <row r="568">
      <c r="A568" s="3">
        <v>2016.0</v>
      </c>
      <c r="B568" s="4" t="s">
        <v>1051</v>
      </c>
      <c r="C568" s="3">
        <v>1410.0</v>
      </c>
      <c r="D568" s="4"/>
    </row>
    <row r="569">
      <c r="A569" s="3">
        <v>2016.0</v>
      </c>
      <c r="B569" s="4" t="s">
        <v>954</v>
      </c>
      <c r="C569" s="3">
        <v>1400.0</v>
      </c>
      <c r="D569" s="4"/>
    </row>
    <row r="570">
      <c r="A570" s="3">
        <v>2016.0</v>
      </c>
      <c r="B570" s="4" t="s">
        <v>2202</v>
      </c>
      <c r="C570" s="3">
        <v>1300.0</v>
      </c>
      <c r="D570" s="3" t="s">
        <v>3</v>
      </c>
    </row>
    <row r="571">
      <c r="A571" s="3">
        <v>2016.0</v>
      </c>
      <c r="B571" s="4" t="s">
        <v>2227</v>
      </c>
      <c r="C571" s="3">
        <v>1300.0</v>
      </c>
      <c r="D571" s="4"/>
    </row>
    <row r="572">
      <c r="A572" s="3">
        <v>2016.0</v>
      </c>
      <c r="B572" s="4" t="s">
        <v>1979</v>
      </c>
      <c r="C572" s="3">
        <v>1300.0</v>
      </c>
      <c r="D572" s="4"/>
    </row>
    <row r="573">
      <c r="A573" s="3">
        <v>2016.0</v>
      </c>
      <c r="B573" s="4" t="s">
        <v>995</v>
      </c>
      <c r="C573" s="3">
        <v>1200.0</v>
      </c>
      <c r="D573" s="3" t="s">
        <v>6</v>
      </c>
    </row>
    <row r="574">
      <c r="A574" s="3">
        <v>2016.0</v>
      </c>
      <c r="B574" s="4" t="s">
        <v>1017</v>
      </c>
      <c r="C574" s="3">
        <v>1200.0</v>
      </c>
      <c r="D574" s="4"/>
    </row>
    <row r="575">
      <c r="A575" s="3">
        <v>2016.0</v>
      </c>
      <c r="B575" s="4" t="s">
        <v>1335</v>
      </c>
      <c r="C575" s="3">
        <v>1200.0</v>
      </c>
      <c r="D575" s="3" t="s">
        <v>32</v>
      </c>
    </row>
    <row r="576">
      <c r="A576" s="3">
        <v>2016.0</v>
      </c>
      <c r="B576" s="4" t="s">
        <v>1462</v>
      </c>
      <c r="C576" s="3">
        <v>1200.0</v>
      </c>
      <c r="D576" s="3" t="s">
        <v>3</v>
      </c>
    </row>
    <row r="577">
      <c r="A577" s="3">
        <v>2016.0</v>
      </c>
      <c r="B577" s="4" t="s">
        <v>700</v>
      </c>
      <c r="C577" s="3">
        <v>1080.0</v>
      </c>
      <c r="D577" s="4"/>
    </row>
    <row r="578">
      <c r="A578" s="3">
        <v>2016.0</v>
      </c>
      <c r="B578" s="4" t="s">
        <v>10</v>
      </c>
      <c r="C578" s="3">
        <v>1000.0</v>
      </c>
      <c r="D578" s="4"/>
    </row>
    <row r="579">
      <c r="A579" s="3">
        <v>2016.0</v>
      </c>
      <c r="B579" s="4" t="s">
        <v>93</v>
      </c>
      <c r="C579" s="3">
        <v>1000.0</v>
      </c>
      <c r="D579" s="4"/>
    </row>
    <row r="580">
      <c r="A580" s="3">
        <v>2016.0</v>
      </c>
      <c r="B580" s="4" t="s">
        <v>103</v>
      </c>
      <c r="C580" s="3">
        <v>1000.0</v>
      </c>
      <c r="D580" s="4"/>
    </row>
    <row r="581">
      <c r="A581" s="3">
        <v>2016.0</v>
      </c>
      <c r="B581" s="4" t="s">
        <v>2085</v>
      </c>
      <c r="C581" s="3">
        <v>1000.0</v>
      </c>
      <c r="D581" s="3" t="s">
        <v>6</v>
      </c>
    </row>
    <row r="582">
      <c r="A582" s="3">
        <v>2016.0</v>
      </c>
      <c r="B582" s="4" t="s">
        <v>193</v>
      </c>
      <c r="C582" s="3">
        <v>1000.0</v>
      </c>
      <c r="D582" s="3" t="s">
        <v>29</v>
      </c>
    </row>
    <row r="583">
      <c r="A583" s="3">
        <v>2016.0</v>
      </c>
      <c r="B583" s="4" t="s">
        <v>2116</v>
      </c>
      <c r="C583" s="3">
        <v>1000.0</v>
      </c>
      <c r="D583" s="3" t="s">
        <v>3</v>
      </c>
    </row>
    <row r="584">
      <c r="A584" s="3">
        <v>2016.0</v>
      </c>
      <c r="B584" s="4" t="s">
        <v>495</v>
      </c>
      <c r="C584" s="3">
        <v>1000.0</v>
      </c>
      <c r="D584" s="4"/>
    </row>
    <row r="585">
      <c r="A585" s="3">
        <v>2016.0</v>
      </c>
      <c r="B585" s="4" t="s">
        <v>527</v>
      </c>
      <c r="C585" s="3">
        <v>1000.0</v>
      </c>
      <c r="D585" s="4"/>
    </row>
    <row r="586">
      <c r="A586" s="3">
        <v>2016.0</v>
      </c>
      <c r="B586" s="4" t="s">
        <v>558</v>
      </c>
      <c r="C586" s="3">
        <v>1000.0</v>
      </c>
      <c r="D586" s="3" t="s">
        <v>484</v>
      </c>
    </row>
    <row r="587">
      <c r="A587" s="3">
        <v>2016.0</v>
      </c>
      <c r="B587" s="4" t="s">
        <v>631</v>
      </c>
      <c r="C587" s="3">
        <v>1000.0</v>
      </c>
      <c r="D587" s="4"/>
    </row>
    <row r="588">
      <c r="A588" s="3">
        <v>2016.0</v>
      </c>
      <c r="B588" s="4" t="s">
        <v>635</v>
      </c>
      <c r="C588" s="3">
        <v>1000.0</v>
      </c>
      <c r="D588" s="3" t="s">
        <v>32</v>
      </c>
    </row>
    <row r="589">
      <c r="A589" s="3">
        <v>2016.0</v>
      </c>
      <c r="B589" s="4" t="s">
        <v>650</v>
      </c>
      <c r="C589" s="3">
        <v>1000.0</v>
      </c>
      <c r="D589" s="4"/>
    </row>
    <row r="590">
      <c r="A590" s="3">
        <v>2016.0</v>
      </c>
      <c r="B590" s="4" t="s">
        <v>674</v>
      </c>
      <c r="C590" s="3">
        <v>1000.0</v>
      </c>
      <c r="D590" s="3" t="s">
        <v>3</v>
      </c>
    </row>
    <row r="591">
      <c r="A591" s="3">
        <v>2016.0</v>
      </c>
      <c r="B591" s="4" t="s">
        <v>750</v>
      </c>
      <c r="C591" s="3">
        <v>1000.0</v>
      </c>
      <c r="D591" s="4"/>
    </row>
    <row r="592">
      <c r="A592" s="3">
        <v>2016.0</v>
      </c>
      <c r="B592" s="4" t="s">
        <v>817</v>
      </c>
      <c r="C592" s="3">
        <v>1000.0</v>
      </c>
      <c r="D592" s="3" t="s">
        <v>3</v>
      </c>
    </row>
    <row r="593">
      <c r="A593" s="3">
        <v>2016.0</v>
      </c>
      <c r="B593" s="4" t="s">
        <v>839</v>
      </c>
      <c r="C593" s="3">
        <v>1000.0</v>
      </c>
      <c r="D593" s="3" t="s">
        <v>6</v>
      </c>
    </row>
    <row r="594">
      <c r="A594" s="3">
        <v>2016.0</v>
      </c>
      <c r="B594" s="4" t="s">
        <v>851</v>
      </c>
      <c r="C594" s="3">
        <v>1000.0</v>
      </c>
      <c r="D594" s="4"/>
    </row>
    <row r="595">
      <c r="A595" s="3">
        <v>2016.0</v>
      </c>
      <c r="B595" s="4" t="s">
        <v>861</v>
      </c>
      <c r="C595" s="3">
        <v>1000.0</v>
      </c>
      <c r="D595" s="4"/>
    </row>
    <row r="596">
      <c r="A596" s="3">
        <v>2016.0</v>
      </c>
      <c r="B596" s="4" t="s">
        <v>885</v>
      </c>
      <c r="C596" s="3">
        <v>1000.0</v>
      </c>
      <c r="D596" s="3" t="s">
        <v>6</v>
      </c>
    </row>
    <row r="597">
      <c r="A597" s="3">
        <v>2016.0</v>
      </c>
      <c r="B597" s="4" t="s">
        <v>886</v>
      </c>
      <c r="C597" s="3">
        <v>1000.0</v>
      </c>
      <c r="D597" s="3" t="s">
        <v>32</v>
      </c>
    </row>
    <row r="598">
      <c r="A598" s="3">
        <v>2016.0</v>
      </c>
      <c r="B598" s="4" t="s">
        <v>2226</v>
      </c>
      <c r="C598" s="3">
        <v>1000.0</v>
      </c>
      <c r="D598" s="3" t="s">
        <v>6</v>
      </c>
    </row>
    <row r="599">
      <c r="A599" s="3">
        <v>2016.0</v>
      </c>
      <c r="B599" s="4" t="s">
        <v>2233</v>
      </c>
      <c r="C599" s="3">
        <v>1000.0</v>
      </c>
      <c r="D599" s="4"/>
    </row>
    <row r="600">
      <c r="A600" s="3">
        <v>2016.0</v>
      </c>
      <c r="B600" s="4" t="s">
        <v>968</v>
      </c>
      <c r="C600" s="3">
        <v>1000.0</v>
      </c>
      <c r="D600" s="4"/>
    </row>
    <row r="601">
      <c r="A601" s="3">
        <v>2016.0</v>
      </c>
      <c r="B601" s="4" t="s">
        <v>981</v>
      </c>
      <c r="C601" s="3">
        <v>1000.0</v>
      </c>
      <c r="D601" s="4"/>
    </row>
    <row r="602">
      <c r="A602" s="3">
        <v>2016.0</v>
      </c>
      <c r="B602" s="4" t="s">
        <v>1053</v>
      </c>
      <c r="C602" s="3">
        <v>1000.0</v>
      </c>
      <c r="D602" s="3" t="s">
        <v>32</v>
      </c>
    </row>
    <row r="603">
      <c r="A603" s="3">
        <v>2016.0</v>
      </c>
      <c r="B603" s="4" t="s">
        <v>1058</v>
      </c>
      <c r="C603" s="3">
        <v>1000.0</v>
      </c>
      <c r="D603" s="4"/>
    </row>
    <row r="604">
      <c r="A604" s="3">
        <v>2016.0</v>
      </c>
      <c r="B604" s="4" t="s">
        <v>2249</v>
      </c>
      <c r="C604" s="3">
        <v>1000.0</v>
      </c>
      <c r="D604" s="3" t="s">
        <v>32</v>
      </c>
    </row>
    <row r="605">
      <c r="A605" s="3">
        <v>2016.0</v>
      </c>
      <c r="B605" s="4" t="s">
        <v>1181</v>
      </c>
      <c r="C605" s="3">
        <v>1000.0</v>
      </c>
      <c r="D605" s="4"/>
    </row>
    <row r="606">
      <c r="A606" s="3">
        <v>2016.0</v>
      </c>
      <c r="B606" s="4" t="s">
        <v>2263</v>
      </c>
      <c r="C606" s="3">
        <v>1000.0</v>
      </c>
      <c r="D606" s="4"/>
    </row>
    <row r="607">
      <c r="A607" s="3">
        <v>2016.0</v>
      </c>
      <c r="B607" s="4" t="s">
        <v>1259</v>
      </c>
      <c r="C607" s="3">
        <v>1000.0</v>
      </c>
      <c r="D607" s="3" t="s">
        <v>6</v>
      </c>
    </row>
    <row r="608">
      <c r="A608" s="3">
        <v>2016.0</v>
      </c>
      <c r="B608" s="4" t="s">
        <v>1334</v>
      </c>
      <c r="C608" s="3">
        <v>1000.0</v>
      </c>
      <c r="D608" s="4"/>
    </row>
    <row r="609">
      <c r="A609" s="3">
        <v>2016.0</v>
      </c>
      <c r="B609" s="4" t="s">
        <v>1416</v>
      </c>
      <c r="C609" s="3">
        <v>1000.0</v>
      </c>
      <c r="D609" s="4"/>
    </row>
    <row r="610">
      <c r="A610" s="3">
        <v>2016.0</v>
      </c>
      <c r="B610" s="4" t="s">
        <v>1461</v>
      </c>
      <c r="C610" s="3">
        <v>1000.0</v>
      </c>
      <c r="D610" s="3" t="s">
        <v>6</v>
      </c>
    </row>
    <row r="611">
      <c r="A611" s="3">
        <v>2016.0</v>
      </c>
      <c r="B611" s="4" t="s">
        <v>1550</v>
      </c>
      <c r="C611" s="3">
        <v>1000.0</v>
      </c>
      <c r="D611" s="4"/>
    </row>
    <row r="612">
      <c r="A612" s="3">
        <v>2016.0</v>
      </c>
      <c r="B612" s="4" t="s">
        <v>1653</v>
      </c>
      <c r="C612" s="3">
        <v>1000.0</v>
      </c>
      <c r="D612" s="4"/>
    </row>
    <row r="613">
      <c r="A613" s="3">
        <v>2016.0</v>
      </c>
      <c r="B613" s="4" t="s">
        <v>1669</v>
      </c>
      <c r="C613" s="3">
        <v>1000.0</v>
      </c>
      <c r="D613" s="3" t="s">
        <v>32</v>
      </c>
    </row>
    <row r="614">
      <c r="A614" s="3">
        <v>2016.0</v>
      </c>
      <c r="B614" s="4" t="s">
        <v>1678</v>
      </c>
      <c r="C614" s="3">
        <v>1000.0</v>
      </c>
      <c r="D614" s="3" t="s">
        <v>32</v>
      </c>
    </row>
    <row r="615">
      <c r="A615" s="3">
        <v>2016.0</v>
      </c>
      <c r="B615" s="4" t="s">
        <v>1702</v>
      </c>
      <c r="C615" s="3">
        <v>1000.0</v>
      </c>
      <c r="D615" s="3" t="s">
        <v>3</v>
      </c>
    </row>
    <row r="616">
      <c r="A616" s="3">
        <v>2016.0</v>
      </c>
      <c r="B616" s="4" t="s">
        <v>2291</v>
      </c>
      <c r="C616" s="3">
        <v>1000.0</v>
      </c>
      <c r="D616" s="3" t="s">
        <v>668</v>
      </c>
    </row>
    <row r="617">
      <c r="A617" s="3">
        <v>2016.0</v>
      </c>
      <c r="B617" s="4" t="s">
        <v>1809</v>
      </c>
      <c r="C617" s="3">
        <v>1000.0</v>
      </c>
      <c r="D617" s="4"/>
    </row>
    <row r="618">
      <c r="A618" s="3">
        <v>2016.0</v>
      </c>
      <c r="B618" s="4" t="s">
        <v>1853</v>
      </c>
      <c r="C618" s="3">
        <v>1000.0</v>
      </c>
      <c r="D618" s="4"/>
    </row>
    <row r="619">
      <c r="A619" s="3">
        <v>2016.0</v>
      </c>
      <c r="B619" s="4" t="s">
        <v>1899</v>
      </c>
      <c r="C619" s="3">
        <v>1000.0</v>
      </c>
      <c r="D619" s="3" t="s">
        <v>3</v>
      </c>
    </row>
    <row r="620">
      <c r="A620" s="3">
        <v>2016.0</v>
      </c>
      <c r="B620" s="4" t="s">
        <v>1991</v>
      </c>
      <c r="C620" s="3">
        <v>1000.0</v>
      </c>
      <c r="D620" s="4"/>
    </row>
    <row r="621">
      <c r="A621" s="3">
        <v>2016.0</v>
      </c>
      <c r="B621" s="4" t="s">
        <v>997</v>
      </c>
      <c r="C621" s="3">
        <v>950.0</v>
      </c>
      <c r="D621" s="4"/>
    </row>
    <row r="622">
      <c r="A622" s="3">
        <v>2016.0</v>
      </c>
      <c r="B622" s="4" t="s">
        <v>2120</v>
      </c>
      <c r="C622" s="3">
        <v>920.0</v>
      </c>
      <c r="D622" s="4"/>
    </row>
    <row r="623">
      <c r="A623" s="3">
        <v>2016.0</v>
      </c>
      <c r="B623" s="4" t="s">
        <v>705</v>
      </c>
      <c r="C623" s="3">
        <v>900.0</v>
      </c>
      <c r="D623" s="4"/>
    </row>
    <row r="624">
      <c r="A624" s="3">
        <v>2016.0</v>
      </c>
      <c r="B624" s="4" t="s">
        <v>1467</v>
      </c>
      <c r="C624" s="3">
        <v>900.0</v>
      </c>
      <c r="D624" s="4"/>
    </row>
    <row r="625">
      <c r="A625" s="3">
        <v>2016.0</v>
      </c>
      <c r="B625" s="4" t="s">
        <v>1746</v>
      </c>
      <c r="C625" s="3">
        <v>900.0</v>
      </c>
      <c r="D625" s="4"/>
    </row>
    <row r="626">
      <c r="A626" s="3">
        <v>2016.0</v>
      </c>
      <c r="B626" s="4" t="s">
        <v>2323</v>
      </c>
      <c r="C626" s="3">
        <v>900.0</v>
      </c>
      <c r="D626" s="3" t="s">
        <v>3</v>
      </c>
    </row>
    <row r="627">
      <c r="A627" s="3">
        <v>2016.0</v>
      </c>
      <c r="B627" s="4" t="s">
        <v>1643</v>
      </c>
      <c r="C627" s="3">
        <v>865.0</v>
      </c>
      <c r="D627" s="4"/>
    </row>
    <row r="628">
      <c r="A628" s="3">
        <v>2016.0</v>
      </c>
      <c r="B628" s="4" t="s">
        <v>405</v>
      </c>
      <c r="C628" s="3">
        <v>800.0</v>
      </c>
      <c r="D628" s="4"/>
    </row>
    <row r="629">
      <c r="A629" s="3">
        <v>2016.0</v>
      </c>
      <c r="B629" s="4" t="s">
        <v>450</v>
      </c>
      <c r="C629" s="3">
        <v>800.0</v>
      </c>
      <c r="D629" s="3" t="s">
        <v>6</v>
      </c>
    </row>
    <row r="630">
      <c r="A630" s="3">
        <v>2016.0</v>
      </c>
      <c r="B630" s="4" t="s">
        <v>540</v>
      </c>
      <c r="C630" s="3">
        <v>800.0</v>
      </c>
      <c r="D630" s="4"/>
    </row>
    <row r="631">
      <c r="A631" s="3">
        <v>2016.0</v>
      </c>
      <c r="B631" s="4" t="s">
        <v>689</v>
      </c>
      <c r="C631" s="3">
        <v>800.0</v>
      </c>
      <c r="D631" s="3" t="s">
        <v>32</v>
      </c>
    </row>
    <row r="632">
      <c r="A632" s="3">
        <v>2016.0</v>
      </c>
      <c r="B632" s="4" t="s">
        <v>778</v>
      </c>
      <c r="C632" s="3">
        <v>800.0</v>
      </c>
      <c r="D632" s="3" t="s">
        <v>32</v>
      </c>
    </row>
    <row r="633">
      <c r="A633" s="3">
        <v>2016.0</v>
      </c>
      <c r="B633" s="4" t="s">
        <v>779</v>
      </c>
      <c r="C633" s="3">
        <v>800.0</v>
      </c>
      <c r="D633" s="4"/>
    </row>
    <row r="634">
      <c r="A634" s="3">
        <v>2016.0</v>
      </c>
      <c r="B634" s="4" t="s">
        <v>2211</v>
      </c>
      <c r="C634" s="3">
        <v>800.0</v>
      </c>
      <c r="D634" s="3" t="s">
        <v>3</v>
      </c>
    </row>
    <row r="635">
      <c r="A635" s="3">
        <v>2016.0</v>
      </c>
      <c r="B635" s="4" t="s">
        <v>2213</v>
      </c>
      <c r="C635" s="3">
        <v>800.0</v>
      </c>
      <c r="D635" s="4"/>
    </row>
    <row r="636">
      <c r="A636" s="3">
        <v>2016.0</v>
      </c>
      <c r="B636" s="4" t="s">
        <v>2257</v>
      </c>
      <c r="C636" s="3">
        <v>800.0</v>
      </c>
      <c r="D636" s="4"/>
    </row>
    <row r="637">
      <c r="A637" s="3">
        <v>2016.0</v>
      </c>
      <c r="B637" s="4" t="s">
        <v>1269</v>
      </c>
      <c r="C637" s="3">
        <v>800.0</v>
      </c>
      <c r="D637" s="4"/>
    </row>
    <row r="638">
      <c r="A638" s="3">
        <v>2016.0</v>
      </c>
      <c r="B638" s="4" t="s">
        <v>1385</v>
      </c>
      <c r="C638" s="3">
        <v>800.0</v>
      </c>
      <c r="D638" s="3" t="s">
        <v>3</v>
      </c>
    </row>
    <row r="639">
      <c r="A639" s="3">
        <v>2016.0</v>
      </c>
      <c r="B639" s="4" t="s">
        <v>1411</v>
      </c>
      <c r="C639" s="3">
        <v>800.0</v>
      </c>
      <c r="D639" s="3" t="s">
        <v>3</v>
      </c>
    </row>
    <row r="640">
      <c r="A640" s="3">
        <v>2016.0</v>
      </c>
      <c r="B640" s="4" t="s">
        <v>1412</v>
      </c>
      <c r="C640" s="3">
        <v>800.0</v>
      </c>
      <c r="D640" s="4"/>
    </row>
    <row r="641">
      <c r="A641" s="3">
        <v>2016.0</v>
      </c>
      <c r="B641" s="4" t="s">
        <v>1457</v>
      </c>
      <c r="C641" s="3">
        <v>800.0</v>
      </c>
      <c r="D641" s="4"/>
    </row>
    <row r="642">
      <c r="A642" s="3">
        <v>2016.0</v>
      </c>
      <c r="B642" s="4" t="s">
        <v>1479</v>
      </c>
      <c r="C642" s="3">
        <v>800.0</v>
      </c>
      <c r="D642" s="4"/>
    </row>
    <row r="643">
      <c r="A643" s="3">
        <v>2016.0</v>
      </c>
      <c r="B643" s="4" t="s">
        <v>1602</v>
      </c>
      <c r="C643" s="3">
        <v>800.0</v>
      </c>
      <c r="D643" s="4"/>
    </row>
    <row r="644">
      <c r="A644" s="3">
        <v>2016.0</v>
      </c>
      <c r="B644" s="4" t="s">
        <v>2285</v>
      </c>
      <c r="C644" s="3">
        <v>800.0</v>
      </c>
      <c r="D644" s="3" t="s">
        <v>3</v>
      </c>
    </row>
    <row r="645">
      <c r="A645" s="3">
        <v>2016.0</v>
      </c>
      <c r="B645" s="4" t="s">
        <v>1696</v>
      </c>
      <c r="C645" s="3">
        <v>800.0</v>
      </c>
      <c r="D645" s="4"/>
    </row>
    <row r="646">
      <c r="A646" s="3">
        <v>2016.0</v>
      </c>
      <c r="B646" s="4" t="s">
        <v>1777</v>
      </c>
      <c r="C646" s="3">
        <v>800.0</v>
      </c>
      <c r="D646" s="3" t="s">
        <v>29</v>
      </c>
    </row>
    <row r="647">
      <c r="A647" s="3">
        <v>2016.0</v>
      </c>
      <c r="B647" s="4" t="s">
        <v>2008</v>
      </c>
      <c r="C647" s="3">
        <v>800.0</v>
      </c>
      <c r="D647" s="3" t="s">
        <v>32</v>
      </c>
    </row>
    <row r="648">
      <c r="A648" s="3">
        <v>2016.0</v>
      </c>
      <c r="B648" s="4" t="s">
        <v>134</v>
      </c>
      <c r="C648" s="3">
        <v>750.0</v>
      </c>
      <c r="D648" s="3" t="s">
        <v>3</v>
      </c>
    </row>
    <row r="649">
      <c r="A649" s="3">
        <v>2016.0</v>
      </c>
      <c r="B649" s="4" t="s">
        <v>2181</v>
      </c>
      <c r="C649" s="3">
        <v>750.0</v>
      </c>
      <c r="D649" s="4"/>
    </row>
    <row r="650">
      <c r="A650" s="3">
        <v>2016.0</v>
      </c>
      <c r="B650" s="4" t="s">
        <v>2218</v>
      </c>
      <c r="C650" s="3">
        <v>750.0</v>
      </c>
      <c r="D650" s="3" t="s">
        <v>6</v>
      </c>
    </row>
    <row r="651">
      <c r="A651" s="3">
        <v>2016.0</v>
      </c>
      <c r="B651" s="4" t="s">
        <v>2221</v>
      </c>
      <c r="C651" s="3">
        <v>750.0</v>
      </c>
      <c r="D651" s="4"/>
    </row>
    <row r="652">
      <c r="A652" s="3">
        <v>2016.0</v>
      </c>
      <c r="B652" s="4" t="s">
        <v>1106</v>
      </c>
      <c r="C652" s="3">
        <v>750.0</v>
      </c>
      <c r="D652" s="3" t="s">
        <v>3</v>
      </c>
    </row>
    <row r="653">
      <c r="A653" s="3">
        <v>2016.0</v>
      </c>
      <c r="B653" s="4" t="s">
        <v>1516</v>
      </c>
      <c r="C653" s="3">
        <v>741.0</v>
      </c>
      <c r="D653" s="4"/>
    </row>
    <row r="654">
      <c r="A654" s="3">
        <v>2016.0</v>
      </c>
      <c r="B654" s="4" t="s">
        <v>2185</v>
      </c>
      <c r="C654" s="3">
        <v>700.0</v>
      </c>
      <c r="D654" s="4"/>
    </row>
    <row r="655">
      <c r="A655" s="3">
        <v>2016.0</v>
      </c>
      <c r="B655" s="4" t="s">
        <v>979</v>
      </c>
      <c r="C655" s="3">
        <v>700.0</v>
      </c>
      <c r="D655" s="3" t="s">
        <v>3</v>
      </c>
    </row>
    <row r="656">
      <c r="A656" s="3">
        <v>2016.0</v>
      </c>
      <c r="B656" s="4" t="s">
        <v>1085</v>
      </c>
      <c r="C656" s="3">
        <v>700.0</v>
      </c>
      <c r="D656" s="4"/>
    </row>
    <row r="657">
      <c r="A657" s="3">
        <v>2016.0</v>
      </c>
      <c r="B657" s="4" t="s">
        <v>1272</v>
      </c>
      <c r="C657" s="3">
        <v>700.0</v>
      </c>
      <c r="D657" s="3" t="s">
        <v>3</v>
      </c>
    </row>
    <row r="658">
      <c r="A658" s="3">
        <v>2016.0</v>
      </c>
      <c r="B658" s="4" t="s">
        <v>1689</v>
      </c>
      <c r="C658" s="3">
        <v>700.0</v>
      </c>
      <c r="D658" s="4"/>
    </row>
    <row r="659">
      <c r="A659" s="3">
        <v>2016.0</v>
      </c>
      <c r="B659" s="4" t="s">
        <v>2322</v>
      </c>
      <c r="C659" s="3">
        <v>700.0</v>
      </c>
      <c r="D659" s="3" t="s">
        <v>3</v>
      </c>
    </row>
    <row r="660">
      <c r="A660" s="3">
        <v>2016.0</v>
      </c>
      <c r="B660" s="4" t="s">
        <v>1778</v>
      </c>
      <c r="C660" s="3">
        <v>650.0</v>
      </c>
      <c r="D660" s="4"/>
    </row>
    <row r="661">
      <c r="A661" s="3">
        <v>2016.0</v>
      </c>
      <c r="B661" s="4" t="s">
        <v>2110</v>
      </c>
      <c r="C661" s="3">
        <v>600.0</v>
      </c>
      <c r="D661" s="4"/>
    </row>
    <row r="662">
      <c r="A662" s="3">
        <v>2016.0</v>
      </c>
      <c r="B662" s="4" t="s">
        <v>665</v>
      </c>
      <c r="C662" s="3">
        <v>600.0</v>
      </c>
      <c r="D662" s="3" t="s">
        <v>6</v>
      </c>
    </row>
    <row r="663">
      <c r="A663" s="3">
        <v>2016.0</v>
      </c>
      <c r="B663" s="4" t="s">
        <v>1345</v>
      </c>
      <c r="C663" s="3">
        <v>600.0</v>
      </c>
      <c r="D663" s="4"/>
    </row>
    <row r="664">
      <c r="A664" s="3">
        <v>2016.0</v>
      </c>
      <c r="B664" s="4" t="s">
        <v>1659</v>
      </c>
      <c r="C664" s="3">
        <v>600.0</v>
      </c>
      <c r="D664" s="4"/>
    </row>
    <row r="665">
      <c r="A665" s="3">
        <v>2016.0</v>
      </c>
      <c r="B665" s="4" t="s">
        <v>1663</v>
      </c>
      <c r="C665" s="3">
        <v>600.0</v>
      </c>
      <c r="D665" s="4"/>
    </row>
    <row r="666">
      <c r="A666" s="3">
        <v>2016.0</v>
      </c>
      <c r="B666" s="4" t="s">
        <v>1765</v>
      </c>
      <c r="C666" s="3">
        <v>600.0</v>
      </c>
      <c r="D666" s="3" t="s">
        <v>32</v>
      </c>
    </row>
    <row r="667">
      <c r="A667" s="3">
        <v>2016.0</v>
      </c>
      <c r="B667" s="4" t="s">
        <v>2080</v>
      </c>
      <c r="C667" s="3">
        <v>571.0</v>
      </c>
      <c r="D667" s="4"/>
    </row>
    <row r="668">
      <c r="A668" s="3">
        <v>2016.0</v>
      </c>
      <c r="B668" s="4" t="s">
        <v>17</v>
      </c>
      <c r="C668" s="3">
        <v>500.0</v>
      </c>
      <c r="D668" s="4"/>
    </row>
    <row r="669">
      <c r="A669" s="3">
        <v>2016.0</v>
      </c>
      <c r="B669" s="4" t="s">
        <v>62</v>
      </c>
      <c r="C669" s="3">
        <v>500.0</v>
      </c>
      <c r="D669" s="4"/>
    </row>
    <row r="670">
      <c r="A670" s="3">
        <v>2016.0</v>
      </c>
      <c r="B670" s="4" t="s">
        <v>2077</v>
      </c>
      <c r="C670" s="3">
        <v>500.0</v>
      </c>
      <c r="D670" s="4"/>
    </row>
    <row r="671">
      <c r="A671" s="3">
        <v>2016.0</v>
      </c>
      <c r="B671" s="4" t="s">
        <v>2079</v>
      </c>
      <c r="C671" s="3">
        <v>500.0</v>
      </c>
      <c r="D671" s="4"/>
    </row>
    <row r="672">
      <c r="A672" s="3">
        <v>2016.0</v>
      </c>
      <c r="B672" s="4" t="s">
        <v>2081</v>
      </c>
      <c r="C672" s="3">
        <v>500.0</v>
      </c>
      <c r="D672" s="4"/>
    </row>
    <row r="673">
      <c r="A673" s="3">
        <v>2016.0</v>
      </c>
      <c r="B673" s="4" t="s">
        <v>2137</v>
      </c>
      <c r="C673" s="3">
        <v>500.0</v>
      </c>
      <c r="D673" s="4"/>
    </row>
    <row r="674">
      <c r="A674" s="3">
        <v>2016.0</v>
      </c>
      <c r="B674" s="4" t="s">
        <v>502</v>
      </c>
      <c r="C674" s="3">
        <v>500.0</v>
      </c>
      <c r="D674" s="3" t="s">
        <v>26</v>
      </c>
    </row>
    <row r="675">
      <c r="A675" s="3">
        <v>2016.0</v>
      </c>
      <c r="B675" s="4" t="s">
        <v>2179</v>
      </c>
      <c r="C675" s="3">
        <v>500.0</v>
      </c>
      <c r="D675" s="3" t="s">
        <v>3</v>
      </c>
    </row>
    <row r="676">
      <c r="A676" s="3">
        <v>2016.0</v>
      </c>
      <c r="B676" s="4" t="s">
        <v>541</v>
      </c>
      <c r="C676" s="3">
        <v>500.0</v>
      </c>
      <c r="D676" s="4"/>
    </row>
    <row r="677">
      <c r="A677" s="3">
        <v>2016.0</v>
      </c>
      <c r="B677" s="4" t="s">
        <v>552</v>
      </c>
      <c r="C677" s="3">
        <v>500.0</v>
      </c>
      <c r="D677" s="4"/>
    </row>
    <row r="678">
      <c r="A678" s="3">
        <v>2016.0</v>
      </c>
      <c r="B678" s="4" t="s">
        <v>2184</v>
      </c>
      <c r="C678" s="3">
        <v>500.0</v>
      </c>
      <c r="D678" s="3" t="s">
        <v>6</v>
      </c>
    </row>
    <row r="679">
      <c r="A679" s="3">
        <v>2016.0</v>
      </c>
      <c r="B679" s="4" t="s">
        <v>662</v>
      </c>
      <c r="C679" s="3">
        <v>500.0</v>
      </c>
      <c r="D679" s="4"/>
    </row>
    <row r="680">
      <c r="A680" s="3">
        <v>2016.0</v>
      </c>
      <c r="B680" s="4" t="s">
        <v>833</v>
      </c>
      <c r="C680" s="3">
        <v>500.0</v>
      </c>
      <c r="D680" s="4"/>
    </row>
    <row r="681">
      <c r="A681" s="3">
        <v>2016.0</v>
      </c>
      <c r="B681" s="4" t="s">
        <v>2220</v>
      </c>
      <c r="C681" s="3">
        <v>500.0</v>
      </c>
      <c r="D681" s="4"/>
    </row>
    <row r="682">
      <c r="A682" s="3">
        <v>2016.0</v>
      </c>
      <c r="B682" s="4" t="s">
        <v>2225</v>
      </c>
      <c r="C682" s="3">
        <v>500.0</v>
      </c>
      <c r="D682" s="4"/>
    </row>
    <row r="683">
      <c r="A683" s="3">
        <v>2016.0</v>
      </c>
      <c r="B683" s="4" t="s">
        <v>2232</v>
      </c>
      <c r="C683" s="3">
        <v>500.0</v>
      </c>
      <c r="D683" s="3" t="s">
        <v>3</v>
      </c>
    </row>
    <row r="684">
      <c r="A684" s="3">
        <v>2016.0</v>
      </c>
      <c r="B684" s="4" t="s">
        <v>1005</v>
      </c>
      <c r="C684" s="3">
        <v>500.0</v>
      </c>
      <c r="D684" s="4"/>
    </row>
    <row r="685">
      <c r="A685" s="3">
        <v>2016.0</v>
      </c>
      <c r="B685" s="4" t="s">
        <v>1041</v>
      </c>
      <c r="C685" s="3">
        <v>500.0</v>
      </c>
      <c r="D685" s="4"/>
    </row>
    <row r="686">
      <c r="A686" s="3">
        <v>2016.0</v>
      </c>
      <c r="B686" s="4" t="s">
        <v>1083</v>
      </c>
      <c r="C686" s="3">
        <v>500.0</v>
      </c>
      <c r="D686" s="3" t="s">
        <v>32</v>
      </c>
    </row>
    <row r="687">
      <c r="A687" s="3">
        <v>2016.0</v>
      </c>
      <c r="B687" s="4" t="s">
        <v>1098</v>
      </c>
      <c r="C687" s="3">
        <v>500.0</v>
      </c>
      <c r="D687" s="4"/>
    </row>
    <row r="688">
      <c r="A688" s="3">
        <v>2016.0</v>
      </c>
      <c r="B688" s="4" t="s">
        <v>1134</v>
      </c>
      <c r="C688" s="3">
        <v>500.0</v>
      </c>
      <c r="D688" s="4"/>
    </row>
    <row r="689">
      <c r="A689" s="3">
        <v>2016.0</v>
      </c>
      <c r="B689" s="4" t="s">
        <v>1161</v>
      </c>
      <c r="C689" s="3">
        <v>500.0</v>
      </c>
      <c r="D689" s="4"/>
    </row>
    <row r="690">
      <c r="A690" s="3">
        <v>2016.0</v>
      </c>
      <c r="B690" s="4" t="s">
        <v>2258</v>
      </c>
      <c r="C690" s="3">
        <v>500.0</v>
      </c>
      <c r="D690" s="4"/>
    </row>
    <row r="691">
      <c r="A691" s="3">
        <v>2016.0</v>
      </c>
      <c r="B691" s="4" t="s">
        <v>1182</v>
      </c>
      <c r="C691" s="3">
        <v>500.0</v>
      </c>
      <c r="D691" s="4"/>
    </row>
    <row r="692">
      <c r="A692" s="3">
        <v>2016.0</v>
      </c>
      <c r="B692" s="4" t="s">
        <v>1196</v>
      </c>
      <c r="C692" s="3">
        <v>500.0</v>
      </c>
      <c r="D692" s="4"/>
    </row>
    <row r="693">
      <c r="A693" s="3">
        <v>2016.0</v>
      </c>
      <c r="B693" s="4" t="s">
        <v>1245</v>
      </c>
      <c r="C693" s="3">
        <v>500.0</v>
      </c>
      <c r="D693" s="4"/>
    </row>
    <row r="694">
      <c r="A694" s="3">
        <v>2016.0</v>
      </c>
      <c r="B694" s="4" t="s">
        <v>1303</v>
      </c>
      <c r="C694" s="3">
        <v>500.0</v>
      </c>
      <c r="D694" s="3" t="s">
        <v>6</v>
      </c>
    </row>
    <row r="695">
      <c r="A695" s="3">
        <v>2016.0</v>
      </c>
      <c r="B695" s="4" t="s">
        <v>1312</v>
      </c>
      <c r="C695" s="3">
        <v>500.0</v>
      </c>
      <c r="D695" s="3" t="s">
        <v>3</v>
      </c>
    </row>
    <row r="696">
      <c r="A696" s="3">
        <v>2016.0</v>
      </c>
      <c r="B696" s="4" t="s">
        <v>1332</v>
      </c>
      <c r="C696" s="3">
        <v>500.0</v>
      </c>
      <c r="D696" s="4"/>
    </row>
    <row r="697">
      <c r="A697" s="3">
        <v>2016.0</v>
      </c>
      <c r="B697" s="4" t="s">
        <v>1388</v>
      </c>
      <c r="C697" s="3">
        <v>500.0</v>
      </c>
      <c r="D697" s="3" t="s">
        <v>32</v>
      </c>
    </row>
    <row r="698">
      <c r="A698" s="3">
        <v>2016.0</v>
      </c>
      <c r="B698" s="4" t="s">
        <v>1415</v>
      </c>
      <c r="C698" s="3">
        <v>500.0</v>
      </c>
      <c r="D698" s="4"/>
    </row>
    <row r="699">
      <c r="A699" s="3">
        <v>2016.0</v>
      </c>
      <c r="B699" s="4" t="s">
        <v>1444</v>
      </c>
      <c r="C699" s="3">
        <v>500.0</v>
      </c>
      <c r="D699" s="4"/>
    </row>
    <row r="700">
      <c r="A700" s="3">
        <v>2016.0</v>
      </c>
      <c r="B700" s="4" t="s">
        <v>1454</v>
      </c>
      <c r="C700" s="3">
        <v>500.0</v>
      </c>
      <c r="D700" s="3" t="s">
        <v>484</v>
      </c>
    </row>
    <row r="701">
      <c r="A701" s="3">
        <v>2016.0</v>
      </c>
      <c r="B701" s="4" t="s">
        <v>2275</v>
      </c>
      <c r="C701" s="3">
        <v>500.0</v>
      </c>
      <c r="D701" s="4"/>
    </row>
    <row r="702">
      <c r="A702" s="3">
        <v>2016.0</v>
      </c>
      <c r="B702" s="4" t="s">
        <v>1491</v>
      </c>
      <c r="C702" s="3">
        <v>500.0</v>
      </c>
      <c r="D702" s="4"/>
    </row>
    <row r="703">
      <c r="A703" s="3">
        <v>2016.0</v>
      </c>
      <c r="B703" s="4" t="s">
        <v>1641</v>
      </c>
      <c r="C703" s="3">
        <v>500.0</v>
      </c>
      <c r="D703" s="4"/>
    </row>
    <row r="704">
      <c r="A704" s="3">
        <v>2016.0</v>
      </c>
      <c r="B704" s="4" t="s">
        <v>1697</v>
      </c>
      <c r="C704" s="3">
        <v>500.0</v>
      </c>
      <c r="D704" s="3" t="s">
        <v>32</v>
      </c>
    </row>
    <row r="705">
      <c r="A705" s="3">
        <v>2016.0</v>
      </c>
      <c r="B705" s="4" t="s">
        <v>1712</v>
      </c>
      <c r="C705" s="3">
        <v>500.0</v>
      </c>
      <c r="D705" s="4"/>
    </row>
    <row r="706">
      <c r="A706" s="3">
        <v>2016.0</v>
      </c>
      <c r="B706" s="4" t="s">
        <v>2301</v>
      </c>
      <c r="C706" s="3">
        <v>500.0</v>
      </c>
      <c r="D706" s="4"/>
    </row>
    <row r="707">
      <c r="A707" s="3">
        <v>2016.0</v>
      </c>
      <c r="B707" s="4" t="s">
        <v>1909</v>
      </c>
      <c r="C707" s="3">
        <v>500.0</v>
      </c>
      <c r="D707" s="4"/>
    </row>
    <row r="708">
      <c r="A708" s="3">
        <v>2016.0</v>
      </c>
      <c r="B708" s="4" t="s">
        <v>1910</v>
      </c>
      <c r="C708" s="3">
        <v>500.0</v>
      </c>
      <c r="D708" s="4"/>
    </row>
    <row r="709">
      <c r="A709" s="3">
        <v>2016.0</v>
      </c>
      <c r="B709" s="4" t="s">
        <v>2317</v>
      </c>
      <c r="C709" s="3">
        <v>500.0</v>
      </c>
      <c r="D709" s="4"/>
    </row>
    <row r="710">
      <c r="A710" s="3">
        <v>2016.0</v>
      </c>
      <c r="B710" s="4" t="s">
        <v>1944</v>
      </c>
      <c r="C710" s="3">
        <v>500.0</v>
      </c>
      <c r="D710" s="4"/>
    </row>
    <row r="711">
      <c r="A711" s="3">
        <v>2016.0</v>
      </c>
      <c r="B711" s="4" t="s">
        <v>1995</v>
      </c>
      <c r="C711" s="3">
        <v>500.0</v>
      </c>
      <c r="D711" s="3" t="s">
        <v>3</v>
      </c>
    </row>
    <row r="712">
      <c r="A712" s="3">
        <v>2016.0</v>
      </c>
      <c r="B712" s="4" t="s">
        <v>1996</v>
      </c>
      <c r="C712" s="3">
        <v>500.0</v>
      </c>
      <c r="D712" s="3" t="s">
        <v>3</v>
      </c>
    </row>
    <row r="713">
      <c r="A713" s="3">
        <v>2016.0</v>
      </c>
      <c r="B713" s="4" t="s">
        <v>1395</v>
      </c>
      <c r="C713" s="3">
        <v>420.0</v>
      </c>
      <c r="D713" s="4"/>
    </row>
    <row r="714">
      <c r="A714" s="3">
        <v>2016.0</v>
      </c>
      <c r="B714" s="4" t="s">
        <v>381</v>
      </c>
      <c r="C714" s="3">
        <v>400.0</v>
      </c>
      <c r="D714" s="3" t="s">
        <v>6</v>
      </c>
    </row>
    <row r="715">
      <c r="A715" s="3">
        <v>2016.0</v>
      </c>
      <c r="B715" s="4" t="s">
        <v>2168</v>
      </c>
      <c r="C715" s="3">
        <v>400.0</v>
      </c>
      <c r="D715" s="3" t="s">
        <v>3</v>
      </c>
    </row>
    <row r="716">
      <c r="A716" s="3">
        <v>2016.0</v>
      </c>
      <c r="B716" s="4" t="s">
        <v>2180</v>
      </c>
      <c r="C716" s="3">
        <v>400.0</v>
      </c>
      <c r="D716" s="3" t="s">
        <v>3</v>
      </c>
    </row>
    <row r="717">
      <c r="A717" s="3">
        <v>2016.0</v>
      </c>
      <c r="B717" s="4" t="s">
        <v>2195</v>
      </c>
      <c r="C717" s="3">
        <v>400.0</v>
      </c>
      <c r="D717" s="3" t="s">
        <v>3</v>
      </c>
    </row>
    <row r="718">
      <c r="A718" s="3">
        <v>2016.0</v>
      </c>
      <c r="B718" s="4" t="s">
        <v>973</v>
      </c>
      <c r="C718" s="3">
        <v>400.0</v>
      </c>
      <c r="D718" s="4"/>
    </row>
    <row r="719">
      <c r="A719" s="3">
        <v>2016.0</v>
      </c>
      <c r="B719" s="4" t="s">
        <v>1440</v>
      </c>
      <c r="C719" s="3">
        <v>400.0</v>
      </c>
      <c r="D719" s="4"/>
    </row>
    <row r="720">
      <c r="A720" s="3">
        <v>2016.0</v>
      </c>
      <c r="B720" s="4" t="s">
        <v>1544</v>
      </c>
      <c r="C720" s="3">
        <v>400.0</v>
      </c>
      <c r="D720" s="4"/>
    </row>
    <row r="721">
      <c r="A721" s="3">
        <v>2016.0</v>
      </c>
      <c r="B721" s="4" t="s">
        <v>1912</v>
      </c>
      <c r="C721" s="3">
        <v>400.0</v>
      </c>
      <c r="D721" s="4"/>
    </row>
    <row r="722">
      <c r="A722" s="3">
        <v>2016.0</v>
      </c>
      <c r="B722" s="4" t="s">
        <v>2316</v>
      </c>
      <c r="C722" s="3">
        <v>400.0</v>
      </c>
      <c r="D722" s="4"/>
    </row>
    <row r="723">
      <c r="A723" s="3">
        <v>2016.0</v>
      </c>
      <c r="B723" s="4" t="s">
        <v>2321</v>
      </c>
      <c r="C723" s="3">
        <v>400.0</v>
      </c>
      <c r="D723" s="3" t="s">
        <v>6</v>
      </c>
    </row>
    <row r="724">
      <c r="A724" s="3">
        <v>2016.0</v>
      </c>
      <c r="B724" s="4" t="s">
        <v>44</v>
      </c>
      <c r="C724" s="3">
        <v>300.0</v>
      </c>
      <c r="D724" s="3" t="s">
        <v>3</v>
      </c>
    </row>
    <row r="725">
      <c r="A725" s="3">
        <v>2016.0</v>
      </c>
      <c r="B725" s="4" t="s">
        <v>116</v>
      </c>
      <c r="C725" s="3">
        <v>300.0</v>
      </c>
      <c r="D725" s="4"/>
    </row>
    <row r="726">
      <c r="A726" s="3">
        <v>2016.0</v>
      </c>
      <c r="B726" s="4" t="s">
        <v>2098</v>
      </c>
      <c r="C726" s="3">
        <v>300.0</v>
      </c>
      <c r="D726" s="3" t="s">
        <v>3</v>
      </c>
    </row>
    <row r="727">
      <c r="A727" s="3">
        <v>2016.0</v>
      </c>
      <c r="B727" s="4" t="s">
        <v>465</v>
      </c>
      <c r="C727" s="3">
        <v>300.0</v>
      </c>
      <c r="D727" s="3" t="s">
        <v>3</v>
      </c>
    </row>
    <row r="728">
      <c r="A728" s="3">
        <v>2016.0</v>
      </c>
      <c r="B728" s="4" t="s">
        <v>660</v>
      </c>
      <c r="C728" s="3">
        <v>300.0</v>
      </c>
      <c r="D728" s="4"/>
    </row>
    <row r="729">
      <c r="A729" s="3">
        <v>2016.0</v>
      </c>
      <c r="B729" s="4" t="s">
        <v>1241</v>
      </c>
      <c r="C729" s="3">
        <v>300.0</v>
      </c>
      <c r="D729" s="4"/>
    </row>
    <row r="730">
      <c r="A730" s="3">
        <v>2016.0</v>
      </c>
      <c r="B730" s="4" t="s">
        <v>1553</v>
      </c>
      <c r="C730" s="3">
        <v>300.0</v>
      </c>
      <c r="D730" s="4"/>
    </row>
    <row r="731">
      <c r="A731" s="3">
        <v>2016.0</v>
      </c>
      <c r="B731" s="4" t="s">
        <v>1813</v>
      </c>
      <c r="C731" s="3">
        <v>300.0</v>
      </c>
      <c r="D731" s="4"/>
    </row>
    <row r="732">
      <c r="A732" s="3">
        <v>2016.0</v>
      </c>
      <c r="B732" s="4" t="s">
        <v>1822</v>
      </c>
      <c r="C732" s="3">
        <v>300.0</v>
      </c>
      <c r="D732" s="4"/>
    </row>
    <row r="733">
      <c r="A733" s="3">
        <v>2016.0</v>
      </c>
      <c r="B733" s="4" t="s">
        <v>2159</v>
      </c>
      <c r="C733" s="3">
        <v>250.0</v>
      </c>
      <c r="D733" s="3" t="s">
        <v>3</v>
      </c>
    </row>
    <row r="734">
      <c r="A734" s="3">
        <v>2016.0</v>
      </c>
      <c r="B734" s="4" t="s">
        <v>2178</v>
      </c>
      <c r="C734" s="3">
        <v>250.0</v>
      </c>
      <c r="D734" s="4"/>
    </row>
    <row r="735">
      <c r="A735" s="3">
        <v>2016.0</v>
      </c>
      <c r="B735" s="4" t="s">
        <v>2287</v>
      </c>
      <c r="C735" s="3">
        <v>200.0</v>
      </c>
      <c r="D735" s="3" t="s">
        <v>3</v>
      </c>
    </row>
    <row r="736">
      <c r="A736" s="3">
        <v>2016.0</v>
      </c>
      <c r="B736" s="4" t="s">
        <v>1835</v>
      </c>
      <c r="C736" s="3">
        <v>200.0</v>
      </c>
      <c r="D736" s="3" t="s">
        <v>6</v>
      </c>
    </row>
    <row r="737">
      <c r="A737" s="3">
        <v>2016.0</v>
      </c>
      <c r="B737" s="4" t="s">
        <v>764</v>
      </c>
      <c r="C737" s="3">
        <v>150.0</v>
      </c>
      <c r="D737" s="3" t="s">
        <v>3</v>
      </c>
    </row>
    <row r="738">
      <c r="A738" s="3">
        <v>2016.0</v>
      </c>
      <c r="B738" s="4" t="s">
        <v>1725</v>
      </c>
      <c r="C738" s="3">
        <v>150.0</v>
      </c>
      <c r="D738" s="4"/>
    </row>
    <row r="739">
      <c r="A739" s="3">
        <v>2016.0</v>
      </c>
      <c r="B739" s="4" t="s">
        <v>1434</v>
      </c>
      <c r="C739" s="3">
        <v>120.0</v>
      </c>
      <c r="D739" s="3" t="s">
        <v>32</v>
      </c>
    </row>
    <row r="740">
      <c r="A740" s="3">
        <v>2016.0</v>
      </c>
      <c r="B740" s="4" t="s">
        <v>831</v>
      </c>
      <c r="C740" s="3">
        <v>100.0</v>
      </c>
      <c r="D740" s="3" t="s">
        <v>3</v>
      </c>
    </row>
    <row r="741">
      <c r="A741" s="3">
        <v>2016.0</v>
      </c>
      <c r="B741" s="4" t="s">
        <v>2343</v>
      </c>
      <c r="C741" s="3">
        <v>82.0</v>
      </c>
      <c r="D741" s="4"/>
    </row>
    <row r="742">
      <c r="A742" s="3">
        <v>2016.0</v>
      </c>
      <c r="B742" s="4" t="s">
        <v>2069</v>
      </c>
      <c r="C742" s="3">
        <v>0.0</v>
      </c>
      <c r="D742" s="3" t="s">
        <v>3</v>
      </c>
    </row>
    <row r="743">
      <c r="A743" s="3">
        <v>2016.0</v>
      </c>
      <c r="B743" s="4" t="s">
        <v>5</v>
      </c>
      <c r="C743" s="3">
        <v>0.0</v>
      </c>
      <c r="D743" s="3" t="s">
        <v>6</v>
      </c>
    </row>
    <row r="744">
      <c r="A744" s="3">
        <v>2016.0</v>
      </c>
      <c r="B744" s="4" t="s">
        <v>7</v>
      </c>
      <c r="C744" s="3">
        <v>0.0</v>
      </c>
      <c r="D744" s="3" t="s">
        <v>3</v>
      </c>
    </row>
    <row r="745">
      <c r="A745" s="3">
        <v>2016.0</v>
      </c>
      <c r="B745" s="4" t="s">
        <v>8</v>
      </c>
      <c r="C745" s="3">
        <v>0.0</v>
      </c>
      <c r="D745" s="3" t="s">
        <v>3</v>
      </c>
    </row>
    <row r="746">
      <c r="A746" s="3">
        <v>2016.0</v>
      </c>
      <c r="B746" s="4" t="s">
        <v>9</v>
      </c>
      <c r="C746" s="3">
        <v>0.0</v>
      </c>
      <c r="D746" s="3" t="s">
        <v>3</v>
      </c>
    </row>
    <row r="747">
      <c r="A747" s="3">
        <v>2016.0</v>
      </c>
      <c r="B747" s="4" t="s">
        <v>23</v>
      </c>
      <c r="C747" s="3">
        <v>0.0</v>
      </c>
      <c r="D747" s="3" t="s">
        <v>3</v>
      </c>
    </row>
    <row r="748">
      <c r="A748" s="3">
        <v>2016.0</v>
      </c>
      <c r="B748" s="4" t="s">
        <v>24</v>
      </c>
      <c r="C748" s="3">
        <v>0.0</v>
      </c>
      <c r="D748" s="3" t="s">
        <v>3</v>
      </c>
    </row>
    <row r="749">
      <c r="A749" s="3">
        <v>2016.0</v>
      </c>
      <c r="B749" s="4" t="s">
        <v>25</v>
      </c>
      <c r="C749" s="3">
        <v>0.0</v>
      </c>
      <c r="D749" s="3" t="s">
        <v>26</v>
      </c>
    </row>
    <row r="750">
      <c r="A750" s="3">
        <v>2016.0</v>
      </c>
      <c r="B750" s="4" t="s">
        <v>27</v>
      </c>
      <c r="C750" s="3">
        <v>0.0</v>
      </c>
      <c r="D750" s="3" t="s">
        <v>3</v>
      </c>
    </row>
    <row r="751">
      <c r="A751" s="3">
        <v>2016.0</v>
      </c>
      <c r="B751" s="4" t="s">
        <v>28</v>
      </c>
      <c r="C751" s="3">
        <v>0.0</v>
      </c>
      <c r="D751" s="3" t="s">
        <v>29</v>
      </c>
    </row>
    <row r="752">
      <c r="A752" s="3">
        <v>2016.0</v>
      </c>
      <c r="B752" s="4" t="s">
        <v>34</v>
      </c>
      <c r="C752" s="3">
        <v>0.0</v>
      </c>
      <c r="D752" s="3" t="s">
        <v>3</v>
      </c>
    </row>
    <row r="753">
      <c r="A753" s="3">
        <v>2016.0</v>
      </c>
      <c r="B753" s="4" t="s">
        <v>2072</v>
      </c>
      <c r="C753" s="3">
        <v>0.0</v>
      </c>
      <c r="D753" s="3" t="s">
        <v>3</v>
      </c>
    </row>
    <row r="754">
      <c r="A754" s="3">
        <v>2016.0</v>
      </c>
      <c r="B754" s="4" t="s">
        <v>2074</v>
      </c>
      <c r="C754" s="3">
        <v>0.0</v>
      </c>
      <c r="D754" s="3" t="s">
        <v>3</v>
      </c>
    </row>
    <row r="755">
      <c r="A755" s="3">
        <v>2016.0</v>
      </c>
      <c r="B755" s="4" t="s">
        <v>54</v>
      </c>
      <c r="C755" s="3">
        <v>0.0</v>
      </c>
      <c r="D755" s="3" t="s">
        <v>3</v>
      </c>
    </row>
    <row r="756">
      <c r="A756" s="3">
        <v>2016.0</v>
      </c>
      <c r="B756" s="4" t="s">
        <v>59</v>
      </c>
      <c r="C756" s="3">
        <v>0.0</v>
      </c>
      <c r="D756" s="3" t="s">
        <v>3</v>
      </c>
    </row>
    <row r="757">
      <c r="A757" s="3">
        <v>2016.0</v>
      </c>
      <c r="B757" s="4" t="s">
        <v>60</v>
      </c>
      <c r="C757" s="3">
        <v>0.0</v>
      </c>
      <c r="D757" s="3" t="s">
        <v>3</v>
      </c>
    </row>
    <row r="758">
      <c r="A758" s="3">
        <v>2016.0</v>
      </c>
      <c r="B758" s="4" t="s">
        <v>61</v>
      </c>
      <c r="C758" s="3">
        <v>0.0</v>
      </c>
      <c r="D758" s="3" t="s">
        <v>3</v>
      </c>
    </row>
    <row r="759">
      <c r="A759" s="3">
        <v>2016.0</v>
      </c>
      <c r="B759" s="4" t="s">
        <v>66</v>
      </c>
      <c r="C759" s="3">
        <v>0.0</v>
      </c>
      <c r="D759" s="3" t="s">
        <v>6</v>
      </c>
    </row>
    <row r="760">
      <c r="A760" s="3">
        <v>2016.0</v>
      </c>
      <c r="B760" s="4" t="s">
        <v>73</v>
      </c>
      <c r="C760" s="3">
        <v>0.0</v>
      </c>
      <c r="D760" s="3" t="s">
        <v>6</v>
      </c>
    </row>
    <row r="761">
      <c r="A761" s="3">
        <v>2016.0</v>
      </c>
      <c r="B761" s="4" t="s">
        <v>80</v>
      </c>
      <c r="C761" s="3">
        <v>0.0</v>
      </c>
      <c r="D761" s="3" t="s">
        <v>3</v>
      </c>
    </row>
    <row r="762">
      <c r="A762" s="3">
        <v>2016.0</v>
      </c>
      <c r="B762" s="4" t="s">
        <v>86</v>
      </c>
      <c r="C762" s="3">
        <v>0.0</v>
      </c>
      <c r="D762" s="3" t="s">
        <v>32</v>
      </c>
    </row>
    <row r="763">
      <c r="A763" s="3">
        <v>2016.0</v>
      </c>
      <c r="B763" s="4" t="s">
        <v>87</v>
      </c>
      <c r="C763" s="3">
        <v>0.0</v>
      </c>
      <c r="D763" s="3" t="s">
        <v>3</v>
      </c>
    </row>
    <row r="764">
      <c r="A764" s="3">
        <v>2016.0</v>
      </c>
      <c r="B764" s="4" t="s">
        <v>90</v>
      </c>
      <c r="C764" s="3">
        <v>0.0</v>
      </c>
      <c r="D764" s="3" t="s">
        <v>3</v>
      </c>
    </row>
    <row r="765">
      <c r="A765" s="3">
        <v>2016.0</v>
      </c>
      <c r="B765" s="4" t="s">
        <v>91</v>
      </c>
      <c r="C765" s="3">
        <v>0.0</v>
      </c>
      <c r="D765" s="3" t="s">
        <v>3</v>
      </c>
    </row>
    <row r="766">
      <c r="A766" s="3">
        <v>2016.0</v>
      </c>
      <c r="B766" s="4" t="s">
        <v>92</v>
      </c>
      <c r="C766" s="3">
        <v>0.0</v>
      </c>
      <c r="D766" s="3" t="s">
        <v>6</v>
      </c>
    </row>
    <row r="767">
      <c r="A767" s="3">
        <v>2016.0</v>
      </c>
      <c r="B767" s="4" t="s">
        <v>99</v>
      </c>
      <c r="C767" s="3">
        <v>0.0</v>
      </c>
      <c r="D767" s="3" t="s">
        <v>3</v>
      </c>
    </row>
    <row r="768">
      <c r="A768" s="3">
        <v>2016.0</v>
      </c>
      <c r="B768" s="4" t="s">
        <v>100</v>
      </c>
      <c r="C768" s="3">
        <v>0.0</v>
      </c>
      <c r="D768" s="3" t="s">
        <v>3</v>
      </c>
    </row>
    <row r="769">
      <c r="A769" s="3">
        <v>2016.0</v>
      </c>
      <c r="B769" s="4" t="s">
        <v>101</v>
      </c>
      <c r="C769" s="3">
        <v>0.0</v>
      </c>
      <c r="D769" s="3" t="s">
        <v>3</v>
      </c>
    </row>
    <row r="770">
      <c r="A770" s="3">
        <v>2016.0</v>
      </c>
      <c r="B770" s="4" t="s">
        <v>102</v>
      </c>
      <c r="C770" s="3">
        <v>0.0</v>
      </c>
      <c r="D770" s="3" t="s">
        <v>3</v>
      </c>
    </row>
    <row r="771">
      <c r="A771" s="3">
        <v>2016.0</v>
      </c>
      <c r="B771" s="4" t="s">
        <v>104</v>
      </c>
      <c r="C771" s="3">
        <v>0.0</v>
      </c>
      <c r="D771" s="3" t="s">
        <v>3</v>
      </c>
    </row>
    <row r="772">
      <c r="A772" s="3">
        <v>2016.0</v>
      </c>
      <c r="B772" s="4" t="s">
        <v>105</v>
      </c>
      <c r="C772" s="3">
        <v>0.0</v>
      </c>
      <c r="D772" s="3" t="s">
        <v>3</v>
      </c>
    </row>
    <row r="773">
      <c r="A773" s="3">
        <v>2016.0</v>
      </c>
      <c r="B773" s="4" t="s">
        <v>2082</v>
      </c>
      <c r="C773" s="3">
        <v>0.0</v>
      </c>
      <c r="D773" s="3" t="s">
        <v>3</v>
      </c>
    </row>
    <row r="774">
      <c r="A774" s="3">
        <v>2016.0</v>
      </c>
      <c r="B774" s="4" t="s">
        <v>110</v>
      </c>
      <c r="C774" s="3">
        <v>0.0</v>
      </c>
      <c r="D774" s="3" t="s">
        <v>3</v>
      </c>
    </row>
    <row r="775">
      <c r="A775" s="3">
        <v>2016.0</v>
      </c>
      <c r="B775" s="4" t="s">
        <v>2084</v>
      </c>
      <c r="C775" s="3">
        <v>0.0</v>
      </c>
      <c r="D775" s="3" t="s">
        <v>3</v>
      </c>
    </row>
    <row r="776">
      <c r="A776" s="3">
        <v>2016.0</v>
      </c>
      <c r="B776" s="4" t="s">
        <v>121</v>
      </c>
      <c r="C776" s="3">
        <v>0.0</v>
      </c>
      <c r="D776" s="3" t="s">
        <v>3</v>
      </c>
    </row>
    <row r="777">
      <c r="A777" s="3">
        <v>2016.0</v>
      </c>
      <c r="B777" s="4" t="s">
        <v>2087</v>
      </c>
      <c r="C777" s="3">
        <v>0.0</v>
      </c>
      <c r="D777" s="3" t="s">
        <v>29</v>
      </c>
    </row>
    <row r="778">
      <c r="A778" s="3">
        <v>2016.0</v>
      </c>
      <c r="B778" s="4" t="s">
        <v>131</v>
      </c>
      <c r="C778" s="3">
        <v>0.0</v>
      </c>
      <c r="D778" s="3" t="s">
        <v>3</v>
      </c>
    </row>
    <row r="779">
      <c r="A779" s="3">
        <v>2016.0</v>
      </c>
      <c r="B779" s="4" t="s">
        <v>132</v>
      </c>
      <c r="C779" s="3">
        <v>0.0</v>
      </c>
      <c r="D779" s="3" t="s">
        <v>3</v>
      </c>
    </row>
    <row r="780">
      <c r="A780" s="3">
        <v>2016.0</v>
      </c>
      <c r="B780" s="4" t="s">
        <v>140</v>
      </c>
      <c r="C780" s="3">
        <v>0.0</v>
      </c>
      <c r="D780" s="3" t="s">
        <v>6</v>
      </c>
    </row>
    <row r="781">
      <c r="A781" s="3">
        <v>2016.0</v>
      </c>
      <c r="B781" s="4" t="s">
        <v>141</v>
      </c>
      <c r="C781" s="3">
        <v>0.0</v>
      </c>
      <c r="D781" s="3" t="s">
        <v>3</v>
      </c>
    </row>
    <row r="782">
      <c r="A782" s="3">
        <v>2016.0</v>
      </c>
      <c r="B782" s="4" t="s">
        <v>142</v>
      </c>
      <c r="C782" s="3">
        <v>0.0</v>
      </c>
      <c r="D782" s="3" t="s">
        <v>3</v>
      </c>
    </row>
    <row r="783">
      <c r="A783" s="3">
        <v>2016.0</v>
      </c>
      <c r="B783" s="4" t="s">
        <v>143</v>
      </c>
      <c r="C783" s="3">
        <v>0.0</v>
      </c>
      <c r="D783" s="3" t="s">
        <v>32</v>
      </c>
    </row>
    <row r="784">
      <c r="A784" s="3">
        <v>2016.0</v>
      </c>
      <c r="B784" s="4" t="s">
        <v>144</v>
      </c>
      <c r="C784" s="3">
        <v>0.0</v>
      </c>
      <c r="D784" s="3" t="s">
        <v>3</v>
      </c>
    </row>
    <row r="785">
      <c r="A785" s="3">
        <v>2016.0</v>
      </c>
      <c r="B785" s="4" t="s">
        <v>147</v>
      </c>
      <c r="C785" s="3">
        <v>0.0</v>
      </c>
      <c r="D785" s="3" t="s">
        <v>3</v>
      </c>
    </row>
    <row r="786">
      <c r="A786" s="3">
        <v>2016.0</v>
      </c>
      <c r="B786" s="4" t="s">
        <v>148</v>
      </c>
      <c r="C786" s="3">
        <v>0.0</v>
      </c>
      <c r="D786" s="3" t="s">
        <v>6</v>
      </c>
    </row>
    <row r="787">
      <c r="A787" s="3">
        <v>2016.0</v>
      </c>
      <c r="B787" s="4" t="s">
        <v>153</v>
      </c>
      <c r="C787" s="3">
        <v>0.0</v>
      </c>
      <c r="D787" s="3" t="s">
        <v>29</v>
      </c>
    </row>
    <row r="788">
      <c r="A788" s="3">
        <v>2016.0</v>
      </c>
      <c r="B788" s="4" t="s">
        <v>154</v>
      </c>
      <c r="C788" s="3">
        <v>0.0</v>
      </c>
      <c r="D788" s="3" t="s">
        <v>32</v>
      </c>
    </row>
    <row r="789">
      <c r="A789" s="3">
        <v>2016.0</v>
      </c>
      <c r="B789" s="4" t="s">
        <v>155</v>
      </c>
      <c r="C789" s="3">
        <v>0.0</v>
      </c>
      <c r="D789" s="3" t="s">
        <v>3</v>
      </c>
    </row>
    <row r="790">
      <c r="A790" s="3">
        <v>2016.0</v>
      </c>
      <c r="B790" s="4" t="s">
        <v>156</v>
      </c>
      <c r="C790" s="3">
        <v>0.0</v>
      </c>
      <c r="D790" s="3" t="s">
        <v>6</v>
      </c>
    </row>
    <row r="791">
      <c r="A791" s="3">
        <v>2016.0</v>
      </c>
      <c r="B791" s="4" t="s">
        <v>160</v>
      </c>
      <c r="C791" s="3">
        <v>0.0</v>
      </c>
      <c r="D791" s="3" t="s">
        <v>26</v>
      </c>
    </row>
    <row r="792">
      <c r="A792" s="3">
        <v>2016.0</v>
      </c>
      <c r="B792" s="4" t="s">
        <v>169</v>
      </c>
      <c r="C792" s="3">
        <v>0.0</v>
      </c>
      <c r="D792" s="3" t="s">
        <v>29</v>
      </c>
    </row>
    <row r="793">
      <c r="A793" s="3">
        <v>2016.0</v>
      </c>
      <c r="B793" s="4" t="s">
        <v>170</v>
      </c>
      <c r="C793" s="3">
        <v>0.0</v>
      </c>
      <c r="D793" s="3" t="s">
        <v>3</v>
      </c>
    </row>
    <row r="794">
      <c r="A794" s="3">
        <v>2016.0</v>
      </c>
      <c r="B794" s="4" t="s">
        <v>177</v>
      </c>
      <c r="C794" s="3">
        <v>0.0</v>
      </c>
      <c r="D794" s="3" t="s">
        <v>3</v>
      </c>
    </row>
    <row r="795">
      <c r="A795" s="3">
        <v>2016.0</v>
      </c>
      <c r="B795" s="4" t="s">
        <v>178</v>
      </c>
      <c r="C795" s="3">
        <v>0.0</v>
      </c>
      <c r="D795" s="3" t="s">
        <v>6</v>
      </c>
    </row>
    <row r="796">
      <c r="A796" s="3">
        <v>2016.0</v>
      </c>
      <c r="B796" s="4" t="s">
        <v>179</v>
      </c>
      <c r="C796" s="3">
        <v>0.0</v>
      </c>
      <c r="D796" s="3" t="s">
        <v>3</v>
      </c>
    </row>
    <row r="797">
      <c r="A797" s="3">
        <v>2016.0</v>
      </c>
      <c r="B797" s="4" t="s">
        <v>182</v>
      </c>
      <c r="C797" s="3">
        <v>0.0</v>
      </c>
      <c r="D797" s="3" t="s">
        <v>3</v>
      </c>
    </row>
    <row r="798">
      <c r="A798" s="3">
        <v>2016.0</v>
      </c>
      <c r="B798" s="4" t="s">
        <v>183</v>
      </c>
      <c r="C798" s="3">
        <v>0.0</v>
      </c>
      <c r="D798" s="3" t="s">
        <v>3</v>
      </c>
    </row>
    <row r="799">
      <c r="A799" s="3">
        <v>2016.0</v>
      </c>
      <c r="B799" s="4" t="s">
        <v>184</v>
      </c>
      <c r="C799" s="3">
        <v>0.0</v>
      </c>
      <c r="D799" s="3" t="s">
        <v>3</v>
      </c>
    </row>
    <row r="800">
      <c r="A800" s="3">
        <v>2016.0</v>
      </c>
      <c r="B800" s="4" t="s">
        <v>185</v>
      </c>
      <c r="C800" s="3">
        <v>0.0</v>
      </c>
      <c r="D800" s="3" t="s">
        <v>6</v>
      </c>
    </row>
    <row r="801">
      <c r="A801" s="3">
        <v>2016.0</v>
      </c>
      <c r="B801" s="4" t="s">
        <v>186</v>
      </c>
      <c r="C801" s="3">
        <v>0.0</v>
      </c>
      <c r="D801" s="3" t="s">
        <v>6</v>
      </c>
    </row>
    <row r="802">
      <c r="A802" s="3">
        <v>2016.0</v>
      </c>
      <c r="B802" s="4" t="s">
        <v>187</v>
      </c>
      <c r="C802" s="3">
        <v>0.0</v>
      </c>
      <c r="D802" s="3" t="s">
        <v>3</v>
      </c>
    </row>
    <row r="803">
      <c r="A803" s="3">
        <v>2016.0</v>
      </c>
      <c r="B803" s="4" t="s">
        <v>188</v>
      </c>
      <c r="C803" s="3">
        <v>0.0</v>
      </c>
      <c r="D803" s="3" t="s">
        <v>32</v>
      </c>
    </row>
    <row r="804">
      <c r="A804" s="3">
        <v>2016.0</v>
      </c>
      <c r="B804" s="4" t="s">
        <v>2090</v>
      </c>
      <c r="C804" s="3">
        <v>0.0</v>
      </c>
      <c r="D804" s="3" t="s">
        <v>3</v>
      </c>
    </row>
    <row r="805">
      <c r="A805" s="3">
        <v>2016.0</v>
      </c>
      <c r="B805" s="4" t="s">
        <v>191</v>
      </c>
      <c r="C805" s="3">
        <v>0.0</v>
      </c>
      <c r="D805" s="3" t="s">
        <v>3</v>
      </c>
    </row>
    <row r="806">
      <c r="A806" s="3">
        <v>2016.0</v>
      </c>
      <c r="B806" s="4" t="s">
        <v>192</v>
      </c>
      <c r="C806" s="3">
        <v>0.0</v>
      </c>
      <c r="D806" s="3" t="s">
        <v>26</v>
      </c>
    </row>
    <row r="807">
      <c r="A807" s="3">
        <v>2016.0</v>
      </c>
      <c r="B807" s="4" t="s">
        <v>194</v>
      </c>
      <c r="C807" s="3">
        <v>0.0</v>
      </c>
      <c r="D807" s="3" t="s">
        <v>29</v>
      </c>
    </row>
    <row r="808">
      <c r="A808" s="3">
        <v>2016.0</v>
      </c>
      <c r="B808" s="4" t="s">
        <v>2091</v>
      </c>
      <c r="C808" s="3">
        <v>0.0</v>
      </c>
      <c r="D808" s="3" t="s">
        <v>3</v>
      </c>
    </row>
    <row r="809">
      <c r="A809" s="3">
        <v>2016.0</v>
      </c>
      <c r="B809" s="4" t="s">
        <v>197</v>
      </c>
      <c r="C809" s="3">
        <v>0.0</v>
      </c>
      <c r="D809" s="3" t="s">
        <v>29</v>
      </c>
    </row>
    <row r="810">
      <c r="A810" s="3">
        <v>2016.0</v>
      </c>
      <c r="B810" s="4" t="s">
        <v>198</v>
      </c>
      <c r="C810" s="3">
        <v>0.0</v>
      </c>
      <c r="D810" s="3" t="s">
        <v>3</v>
      </c>
    </row>
    <row r="811">
      <c r="A811" s="3">
        <v>2016.0</v>
      </c>
      <c r="B811" s="4" t="s">
        <v>201</v>
      </c>
      <c r="C811" s="3">
        <v>0.0</v>
      </c>
      <c r="D811" s="3" t="s">
        <v>32</v>
      </c>
    </row>
    <row r="812">
      <c r="A812" s="3">
        <v>2016.0</v>
      </c>
      <c r="B812" s="4" t="s">
        <v>202</v>
      </c>
      <c r="C812" s="3">
        <v>0.0</v>
      </c>
      <c r="D812" s="3" t="s">
        <v>3</v>
      </c>
    </row>
    <row r="813">
      <c r="A813" s="3">
        <v>2016.0</v>
      </c>
      <c r="B813" s="4" t="s">
        <v>205</v>
      </c>
      <c r="C813" s="3">
        <v>0.0</v>
      </c>
      <c r="D813" s="3" t="s">
        <v>3</v>
      </c>
    </row>
    <row r="814">
      <c r="A814" s="3">
        <v>2016.0</v>
      </c>
      <c r="B814" s="4" t="s">
        <v>206</v>
      </c>
      <c r="C814" s="3">
        <v>0.0</v>
      </c>
      <c r="D814" s="3" t="s">
        <v>3</v>
      </c>
    </row>
    <row r="815">
      <c r="A815" s="3">
        <v>2016.0</v>
      </c>
      <c r="B815" s="4" t="s">
        <v>207</v>
      </c>
      <c r="C815" s="3">
        <v>0.0</v>
      </c>
      <c r="D815" s="3" t="s">
        <v>3</v>
      </c>
    </row>
    <row r="816">
      <c r="A816" s="3">
        <v>2016.0</v>
      </c>
      <c r="B816" s="4" t="s">
        <v>2092</v>
      </c>
      <c r="C816" s="3">
        <v>0.0</v>
      </c>
      <c r="D816" s="3" t="s">
        <v>3</v>
      </c>
    </row>
    <row r="817">
      <c r="A817" s="3">
        <v>2016.0</v>
      </c>
      <c r="B817" s="4" t="s">
        <v>210</v>
      </c>
      <c r="C817" s="3">
        <v>0.0</v>
      </c>
      <c r="D817" s="3" t="s">
        <v>3</v>
      </c>
    </row>
    <row r="818">
      <c r="A818" s="3">
        <v>2016.0</v>
      </c>
      <c r="B818" s="4" t="s">
        <v>211</v>
      </c>
      <c r="C818" s="3">
        <v>0.0</v>
      </c>
      <c r="D818" s="3" t="s">
        <v>6</v>
      </c>
    </row>
    <row r="819">
      <c r="A819" s="3">
        <v>2016.0</v>
      </c>
      <c r="B819" s="4" t="s">
        <v>212</v>
      </c>
      <c r="C819" s="3">
        <v>0.0</v>
      </c>
      <c r="D819" s="3" t="s">
        <v>29</v>
      </c>
    </row>
    <row r="820">
      <c r="A820" s="3">
        <v>2016.0</v>
      </c>
      <c r="B820" s="4" t="s">
        <v>215</v>
      </c>
      <c r="C820" s="3">
        <v>0.0</v>
      </c>
      <c r="D820" s="3" t="s">
        <v>216</v>
      </c>
    </row>
    <row r="821">
      <c r="A821" s="3">
        <v>2016.0</v>
      </c>
      <c r="B821" s="4" t="s">
        <v>220</v>
      </c>
      <c r="C821" s="3">
        <v>0.0</v>
      </c>
      <c r="D821" s="3" t="s">
        <v>6</v>
      </c>
    </row>
    <row r="822">
      <c r="A822" s="3">
        <v>2016.0</v>
      </c>
      <c r="B822" s="4" t="s">
        <v>2094</v>
      </c>
      <c r="C822" s="3">
        <v>0.0</v>
      </c>
      <c r="D822" s="3" t="s">
        <v>29</v>
      </c>
    </row>
    <row r="823">
      <c r="A823" s="3">
        <v>2016.0</v>
      </c>
      <c r="B823" s="4" t="s">
        <v>225</v>
      </c>
      <c r="C823" s="3">
        <v>0.0</v>
      </c>
      <c r="D823" s="3" t="s">
        <v>3</v>
      </c>
    </row>
    <row r="824">
      <c r="A824" s="3">
        <v>2016.0</v>
      </c>
      <c r="B824" s="4" t="s">
        <v>227</v>
      </c>
      <c r="C824" s="3">
        <v>0.0</v>
      </c>
      <c r="D824" s="3" t="s">
        <v>3</v>
      </c>
    </row>
    <row r="825">
      <c r="A825" s="3">
        <v>2016.0</v>
      </c>
      <c r="B825" s="4" t="s">
        <v>2095</v>
      </c>
      <c r="C825" s="3">
        <v>0.0</v>
      </c>
      <c r="D825" s="3" t="s">
        <v>32</v>
      </c>
    </row>
    <row r="826">
      <c r="A826" s="3">
        <v>2016.0</v>
      </c>
      <c r="B826" s="4" t="s">
        <v>2096</v>
      </c>
      <c r="C826" s="3">
        <v>0.0</v>
      </c>
      <c r="D826" s="3" t="s">
        <v>3</v>
      </c>
    </row>
    <row r="827">
      <c r="A827" s="3">
        <v>2016.0</v>
      </c>
      <c r="B827" s="4" t="s">
        <v>232</v>
      </c>
      <c r="C827" s="3">
        <v>0.0</v>
      </c>
      <c r="D827" s="3" t="s">
        <v>6</v>
      </c>
    </row>
    <row r="828">
      <c r="A828" s="3">
        <v>2016.0</v>
      </c>
      <c r="B828" s="4" t="s">
        <v>233</v>
      </c>
      <c r="C828" s="3">
        <v>0.0</v>
      </c>
      <c r="D828" s="3" t="s">
        <v>6</v>
      </c>
    </row>
    <row r="829">
      <c r="A829" s="3">
        <v>2016.0</v>
      </c>
      <c r="B829" s="4" t="s">
        <v>234</v>
      </c>
      <c r="C829" s="3">
        <v>0.0</v>
      </c>
      <c r="D829" s="3" t="s">
        <v>3</v>
      </c>
    </row>
    <row r="830">
      <c r="A830" s="3">
        <v>2016.0</v>
      </c>
      <c r="B830" s="4" t="s">
        <v>2097</v>
      </c>
      <c r="C830" s="3">
        <v>0.0</v>
      </c>
      <c r="D830" s="3" t="s">
        <v>3</v>
      </c>
    </row>
    <row r="831">
      <c r="A831" s="3">
        <v>2016.0</v>
      </c>
      <c r="B831" s="4" t="s">
        <v>237</v>
      </c>
      <c r="C831" s="3">
        <v>0.0</v>
      </c>
      <c r="D831" s="3" t="s">
        <v>3</v>
      </c>
    </row>
    <row r="832">
      <c r="A832" s="3">
        <v>2016.0</v>
      </c>
      <c r="B832" s="4" t="s">
        <v>239</v>
      </c>
      <c r="C832" s="3">
        <v>0.0</v>
      </c>
      <c r="D832" s="3" t="s">
        <v>3</v>
      </c>
    </row>
    <row r="833">
      <c r="A833" s="3">
        <v>2016.0</v>
      </c>
      <c r="B833" s="4" t="s">
        <v>240</v>
      </c>
      <c r="C833" s="3">
        <v>0.0</v>
      </c>
      <c r="D833" s="3" t="s">
        <v>3</v>
      </c>
    </row>
    <row r="834">
      <c r="A834" s="3">
        <v>2016.0</v>
      </c>
      <c r="B834" s="4" t="s">
        <v>241</v>
      </c>
      <c r="C834" s="3">
        <v>0.0</v>
      </c>
      <c r="D834" s="3" t="s">
        <v>6</v>
      </c>
    </row>
    <row r="835">
      <c r="A835" s="3">
        <v>2016.0</v>
      </c>
      <c r="B835" s="4" t="s">
        <v>2100</v>
      </c>
      <c r="C835" s="3">
        <v>0.0</v>
      </c>
      <c r="D835" s="3" t="s">
        <v>3</v>
      </c>
    </row>
    <row r="836">
      <c r="A836" s="3">
        <v>2016.0</v>
      </c>
      <c r="B836" s="4" t="s">
        <v>249</v>
      </c>
      <c r="C836" s="3">
        <v>0.0</v>
      </c>
      <c r="D836" s="3" t="s">
        <v>3</v>
      </c>
    </row>
    <row r="837">
      <c r="A837" s="3">
        <v>2016.0</v>
      </c>
      <c r="B837" s="4" t="s">
        <v>2101</v>
      </c>
      <c r="C837" s="3">
        <v>0.0</v>
      </c>
      <c r="D837" s="3" t="s">
        <v>32</v>
      </c>
    </row>
    <row r="838">
      <c r="A838" s="3">
        <v>2016.0</v>
      </c>
      <c r="B838" s="4" t="s">
        <v>257</v>
      </c>
      <c r="C838" s="3">
        <v>0.0</v>
      </c>
      <c r="D838" s="3" t="s">
        <v>3</v>
      </c>
    </row>
    <row r="839">
      <c r="A839" s="3">
        <v>2016.0</v>
      </c>
      <c r="B839" s="4" t="s">
        <v>258</v>
      </c>
      <c r="C839" s="3">
        <v>0.0</v>
      </c>
      <c r="D839" s="3" t="s">
        <v>3</v>
      </c>
    </row>
    <row r="840">
      <c r="A840" s="3">
        <v>2016.0</v>
      </c>
      <c r="B840" s="4" t="s">
        <v>259</v>
      </c>
      <c r="C840" s="3">
        <v>0.0</v>
      </c>
      <c r="D840" s="3" t="s">
        <v>3</v>
      </c>
    </row>
    <row r="841">
      <c r="A841" s="3">
        <v>2016.0</v>
      </c>
      <c r="B841" s="4" t="s">
        <v>262</v>
      </c>
      <c r="C841" s="3">
        <v>0.0</v>
      </c>
      <c r="D841" s="3" t="s">
        <v>3</v>
      </c>
    </row>
    <row r="842">
      <c r="A842" s="3">
        <v>2016.0</v>
      </c>
      <c r="B842" s="4" t="s">
        <v>2104</v>
      </c>
      <c r="C842" s="3">
        <v>0.0</v>
      </c>
      <c r="D842" s="3" t="s">
        <v>3</v>
      </c>
    </row>
    <row r="843">
      <c r="A843" s="3">
        <v>2016.0</v>
      </c>
      <c r="B843" s="4" t="s">
        <v>2105</v>
      </c>
      <c r="C843" s="3">
        <v>0.0</v>
      </c>
      <c r="D843" s="3" t="s">
        <v>3</v>
      </c>
    </row>
    <row r="844">
      <c r="A844" s="3">
        <v>2016.0</v>
      </c>
      <c r="B844" s="4" t="s">
        <v>2106</v>
      </c>
      <c r="C844" s="3">
        <v>0.0</v>
      </c>
      <c r="D844" s="3" t="s">
        <v>3</v>
      </c>
    </row>
    <row r="845">
      <c r="A845" s="3">
        <v>2016.0</v>
      </c>
      <c r="B845" s="4" t="s">
        <v>2107</v>
      </c>
      <c r="C845" s="3">
        <v>0.0</v>
      </c>
      <c r="D845" s="3" t="s">
        <v>3</v>
      </c>
    </row>
    <row r="846">
      <c r="A846" s="3">
        <v>2016.0</v>
      </c>
      <c r="B846" s="4" t="s">
        <v>2108</v>
      </c>
      <c r="C846" s="3">
        <v>0.0</v>
      </c>
      <c r="D846" s="3" t="s">
        <v>3</v>
      </c>
    </row>
    <row r="847">
      <c r="A847" s="3">
        <v>2016.0</v>
      </c>
      <c r="B847" s="4" t="s">
        <v>273</v>
      </c>
      <c r="C847" s="3">
        <v>0.0</v>
      </c>
      <c r="D847" s="3" t="s">
        <v>3</v>
      </c>
    </row>
    <row r="848">
      <c r="A848" s="3">
        <v>2016.0</v>
      </c>
      <c r="B848" s="4" t="s">
        <v>276</v>
      </c>
      <c r="C848" s="3">
        <v>0.0</v>
      </c>
      <c r="D848" s="3" t="s">
        <v>3</v>
      </c>
    </row>
    <row r="849">
      <c r="A849" s="3">
        <v>2016.0</v>
      </c>
      <c r="B849" s="4" t="s">
        <v>277</v>
      </c>
      <c r="C849" s="3">
        <v>0.0</v>
      </c>
      <c r="D849" s="3" t="s">
        <v>3</v>
      </c>
    </row>
    <row r="850">
      <c r="A850" s="3">
        <v>2016.0</v>
      </c>
      <c r="B850" s="4" t="s">
        <v>2111</v>
      </c>
      <c r="C850" s="3">
        <v>0.0</v>
      </c>
      <c r="D850" s="3" t="s">
        <v>6</v>
      </c>
    </row>
    <row r="851">
      <c r="A851" s="3">
        <v>2016.0</v>
      </c>
      <c r="B851" s="4" t="s">
        <v>286</v>
      </c>
      <c r="C851" s="3">
        <v>0.0</v>
      </c>
      <c r="D851" s="3" t="s">
        <v>3</v>
      </c>
    </row>
    <row r="852">
      <c r="A852" s="3">
        <v>2016.0</v>
      </c>
      <c r="B852" s="4" t="s">
        <v>2112</v>
      </c>
      <c r="C852" s="3">
        <v>0.0</v>
      </c>
      <c r="D852" s="3" t="s">
        <v>3</v>
      </c>
    </row>
    <row r="853">
      <c r="A853" s="3">
        <v>2016.0</v>
      </c>
      <c r="B853" s="4" t="s">
        <v>2113</v>
      </c>
      <c r="C853" s="3">
        <v>0.0</v>
      </c>
      <c r="D853" s="3" t="s">
        <v>3</v>
      </c>
    </row>
    <row r="854">
      <c r="A854" s="3">
        <v>2016.0</v>
      </c>
      <c r="B854" s="4" t="s">
        <v>2114</v>
      </c>
      <c r="C854" s="3">
        <v>0.0</v>
      </c>
      <c r="D854" s="3" t="s">
        <v>3</v>
      </c>
    </row>
    <row r="855">
      <c r="A855" s="3">
        <v>2016.0</v>
      </c>
      <c r="B855" s="4" t="s">
        <v>296</v>
      </c>
      <c r="C855" s="3">
        <v>0.0</v>
      </c>
      <c r="D855" s="3" t="s">
        <v>3</v>
      </c>
    </row>
    <row r="856">
      <c r="A856" s="3">
        <v>2016.0</v>
      </c>
      <c r="B856" s="4" t="s">
        <v>2118</v>
      </c>
      <c r="C856" s="3">
        <v>0.0</v>
      </c>
      <c r="D856" s="3" t="s">
        <v>3</v>
      </c>
    </row>
    <row r="857">
      <c r="A857" s="3">
        <v>2016.0</v>
      </c>
      <c r="B857" s="4" t="s">
        <v>310</v>
      </c>
      <c r="C857" s="3">
        <v>0.0</v>
      </c>
      <c r="D857" s="3" t="s">
        <v>3</v>
      </c>
    </row>
    <row r="858">
      <c r="A858" s="3">
        <v>2016.0</v>
      </c>
      <c r="B858" s="4" t="s">
        <v>311</v>
      </c>
      <c r="C858" s="3">
        <v>0.0</v>
      </c>
      <c r="D858" s="3" t="s">
        <v>6</v>
      </c>
    </row>
    <row r="859">
      <c r="A859" s="3">
        <v>2016.0</v>
      </c>
      <c r="B859" s="4" t="s">
        <v>2123</v>
      </c>
      <c r="C859" s="3">
        <v>0.0</v>
      </c>
      <c r="D859" s="3" t="s">
        <v>32</v>
      </c>
    </row>
    <row r="860">
      <c r="A860" s="3">
        <v>2016.0</v>
      </c>
      <c r="B860" s="4" t="s">
        <v>2124</v>
      </c>
      <c r="C860" s="3">
        <v>0.0</v>
      </c>
      <c r="D860" s="3" t="s">
        <v>6</v>
      </c>
    </row>
    <row r="861">
      <c r="A861" s="3">
        <v>2016.0</v>
      </c>
      <c r="B861" s="4" t="s">
        <v>2126</v>
      </c>
      <c r="C861" s="3">
        <v>0.0</v>
      </c>
      <c r="D861" s="3" t="s">
        <v>6</v>
      </c>
    </row>
    <row r="862">
      <c r="A862" s="3">
        <v>2016.0</v>
      </c>
      <c r="B862" s="4" t="s">
        <v>347</v>
      </c>
      <c r="C862" s="3">
        <v>0.0</v>
      </c>
      <c r="D862" s="3" t="s">
        <v>32</v>
      </c>
    </row>
    <row r="863">
      <c r="A863" s="3">
        <v>2016.0</v>
      </c>
      <c r="B863" s="4" t="s">
        <v>2129</v>
      </c>
      <c r="C863" s="3">
        <v>0.0</v>
      </c>
      <c r="D863" s="3" t="s">
        <v>3</v>
      </c>
    </row>
    <row r="864">
      <c r="A864" s="3">
        <v>2016.0</v>
      </c>
      <c r="B864" s="4" t="s">
        <v>350</v>
      </c>
      <c r="C864" s="3">
        <v>0.0</v>
      </c>
      <c r="D864" s="3" t="s">
        <v>3</v>
      </c>
    </row>
    <row r="865">
      <c r="A865" s="3">
        <v>2016.0</v>
      </c>
      <c r="B865" s="4" t="s">
        <v>354</v>
      </c>
      <c r="C865" s="3">
        <v>0.0</v>
      </c>
      <c r="D865" s="3" t="s">
        <v>3</v>
      </c>
    </row>
    <row r="866">
      <c r="A866" s="3">
        <v>2016.0</v>
      </c>
      <c r="B866" s="4" t="s">
        <v>2131</v>
      </c>
      <c r="C866" s="3">
        <v>0.0</v>
      </c>
      <c r="D866" s="3" t="s">
        <v>6</v>
      </c>
    </row>
    <row r="867">
      <c r="A867" s="3">
        <v>2016.0</v>
      </c>
      <c r="B867" s="4" t="s">
        <v>357</v>
      </c>
      <c r="C867" s="3">
        <v>0.0</v>
      </c>
      <c r="D867" s="3" t="s">
        <v>3</v>
      </c>
    </row>
    <row r="868">
      <c r="A868" s="3">
        <v>2016.0</v>
      </c>
      <c r="B868" s="4" t="s">
        <v>2132</v>
      </c>
      <c r="C868" s="3">
        <v>0.0</v>
      </c>
      <c r="D868" s="3" t="s">
        <v>3</v>
      </c>
    </row>
    <row r="869">
      <c r="A869" s="3">
        <v>2016.0</v>
      </c>
      <c r="B869" s="4" t="s">
        <v>360</v>
      </c>
      <c r="C869" s="3">
        <v>0.0</v>
      </c>
      <c r="D869" s="3" t="s">
        <v>3</v>
      </c>
    </row>
    <row r="870">
      <c r="A870" s="3">
        <v>2016.0</v>
      </c>
      <c r="B870" s="4" t="s">
        <v>2134</v>
      </c>
      <c r="C870" s="3">
        <v>0.0</v>
      </c>
      <c r="D870" s="3" t="s">
        <v>3</v>
      </c>
    </row>
    <row r="871">
      <c r="A871" s="3">
        <v>2016.0</v>
      </c>
      <c r="B871" s="4" t="s">
        <v>2135</v>
      </c>
      <c r="C871" s="3">
        <v>0.0</v>
      </c>
      <c r="D871" s="3" t="s">
        <v>3</v>
      </c>
    </row>
    <row r="872">
      <c r="A872" s="3">
        <v>2016.0</v>
      </c>
      <c r="B872" s="4" t="s">
        <v>2136</v>
      </c>
      <c r="C872" s="3">
        <v>0.0</v>
      </c>
      <c r="D872" s="3" t="s">
        <v>3</v>
      </c>
    </row>
    <row r="873">
      <c r="A873" s="3">
        <v>2016.0</v>
      </c>
      <c r="B873" s="4" t="s">
        <v>370</v>
      </c>
      <c r="C873" s="3">
        <v>0.0</v>
      </c>
      <c r="D873" s="3" t="s">
        <v>6</v>
      </c>
    </row>
    <row r="874">
      <c r="A874" s="3">
        <v>2016.0</v>
      </c>
      <c r="B874" s="4" t="s">
        <v>373</v>
      </c>
      <c r="C874" s="3">
        <v>0.0</v>
      </c>
      <c r="D874" s="3" t="s">
        <v>6</v>
      </c>
    </row>
    <row r="875">
      <c r="A875" s="3">
        <v>2016.0</v>
      </c>
      <c r="B875" s="4" t="s">
        <v>374</v>
      </c>
      <c r="C875" s="3">
        <v>0.0</v>
      </c>
      <c r="D875" s="3" t="s">
        <v>3</v>
      </c>
    </row>
    <row r="876">
      <c r="A876" s="3">
        <v>2016.0</v>
      </c>
      <c r="B876" s="4" t="s">
        <v>2138</v>
      </c>
      <c r="C876" s="3">
        <v>0.0</v>
      </c>
      <c r="D876" s="3" t="s">
        <v>3</v>
      </c>
    </row>
    <row r="877">
      <c r="A877" s="3">
        <v>2016.0</v>
      </c>
      <c r="B877" s="4" t="s">
        <v>2139</v>
      </c>
      <c r="C877" s="3">
        <v>0.0</v>
      </c>
      <c r="D877" s="3" t="s">
        <v>3</v>
      </c>
    </row>
    <row r="878">
      <c r="A878" s="3">
        <v>2016.0</v>
      </c>
      <c r="B878" s="4" t="s">
        <v>383</v>
      </c>
      <c r="C878" s="3">
        <v>0.0</v>
      </c>
      <c r="D878" s="3" t="s">
        <v>3</v>
      </c>
    </row>
    <row r="879">
      <c r="A879" s="3">
        <v>2016.0</v>
      </c>
      <c r="B879" s="4" t="s">
        <v>384</v>
      </c>
      <c r="C879" s="3">
        <v>0.0</v>
      </c>
      <c r="D879" s="3" t="s">
        <v>3</v>
      </c>
    </row>
    <row r="880">
      <c r="A880" s="3">
        <v>2016.0</v>
      </c>
      <c r="B880" s="4" t="s">
        <v>385</v>
      </c>
      <c r="C880" s="3">
        <v>0.0</v>
      </c>
      <c r="D880" s="3" t="s">
        <v>32</v>
      </c>
    </row>
    <row r="881">
      <c r="A881" s="3">
        <v>2016.0</v>
      </c>
      <c r="B881" s="4" t="s">
        <v>386</v>
      </c>
      <c r="C881" s="3">
        <v>0.0</v>
      </c>
      <c r="D881" s="3" t="s">
        <v>6</v>
      </c>
    </row>
    <row r="882">
      <c r="A882" s="3">
        <v>2016.0</v>
      </c>
      <c r="B882" s="4" t="s">
        <v>387</v>
      </c>
      <c r="C882" s="3">
        <v>0.0</v>
      </c>
      <c r="D882" s="3" t="s">
        <v>6</v>
      </c>
    </row>
    <row r="883">
      <c r="A883" s="3">
        <v>2016.0</v>
      </c>
      <c r="B883" s="4" t="s">
        <v>2140</v>
      </c>
      <c r="C883" s="3">
        <v>0.0</v>
      </c>
      <c r="D883" s="3" t="s">
        <v>3</v>
      </c>
    </row>
    <row r="884">
      <c r="A884" s="3">
        <v>2016.0</v>
      </c>
      <c r="B884" s="4" t="s">
        <v>2141</v>
      </c>
      <c r="C884" s="3">
        <v>0.0</v>
      </c>
      <c r="D884" s="3" t="s">
        <v>3</v>
      </c>
    </row>
    <row r="885">
      <c r="A885" s="3">
        <v>2016.0</v>
      </c>
      <c r="B885" s="4" t="s">
        <v>2143</v>
      </c>
      <c r="C885" s="3">
        <v>0.0</v>
      </c>
      <c r="D885" s="3" t="s">
        <v>26</v>
      </c>
    </row>
    <row r="886">
      <c r="A886" s="3">
        <v>2016.0</v>
      </c>
      <c r="B886" s="4" t="s">
        <v>401</v>
      </c>
      <c r="C886" s="3">
        <v>0.0</v>
      </c>
      <c r="D886" s="3" t="s">
        <v>32</v>
      </c>
    </row>
    <row r="887">
      <c r="A887" s="3">
        <v>2016.0</v>
      </c>
      <c r="B887" s="4" t="s">
        <v>402</v>
      </c>
      <c r="C887" s="3">
        <v>0.0</v>
      </c>
      <c r="D887" s="3" t="s">
        <v>6</v>
      </c>
    </row>
    <row r="888">
      <c r="A888" s="3">
        <v>2016.0</v>
      </c>
      <c r="B888" s="4" t="s">
        <v>403</v>
      </c>
      <c r="C888" s="3">
        <v>0.0</v>
      </c>
      <c r="D888" s="3" t="s">
        <v>3</v>
      </c>
    </row>
    <row r="889">
      <c r="A889" s="3">
        <v>2016.0</v>
      </c>
      <c r="B889" s="4" t="s">
        <v>404</v>
      </c>
      <c r="C889" s="3">
        <v>0.0</v>
      </c>
      <c r="D889" s="3" t="s">
        <v>3</v>
      </c>
    </row>
    <row r="890">
      <c r="A890" s="3">
        <v>2016.0</v>
      </c>
      <c r="B890" s="4" t="s">
        <v>409</v>
      </c>
      <c r="C890" s="3">
        <v>0.0</v>
      </c>
      <c r="D890" s="3" t="s">
        <v>6</v>
      </c>
    </row>
    <row r="891">
      <c r="A891" s="3">
        <v>2016.0</v>
      </c>
      <c r="B891" s="4" t="s">
        <v>411</v>
      </c>
      <c r="C891" s="3">
        <v>0.0</v>
      </c>
      <c r="D891" s="3" t="s">
        <v>3</v>
      </c>
    </row>
    <row r="892">
      <c r="A892" s="3">
        <v>2016.0</v>
      </c>
      <c r="B892" s="4" t="s">
        <v>2145</v>
      </c>
      <c r="C892" s="3">
        <v>0.0</v>
      </c>
      <c r="D892" s="3" t="s">
        <v>6</v>
      </c>
    </row>
    <row r="893">
      <c r="A893" s="3">
        <v>2016.0</v>
      </c>
      <c r="B893" s="4" t="s">
        <v>2146</v>
      </c>
      <c r="C893" s="3">
        <v>0.0</v>
      </c>
      <c r="D893" s="3" t="s">
        <v>3</v>
      </c>
    </row>
    <row r="894">
      <c r="A894" s="3">
        <v>2016.0</v>
      </c>
      <c r="B894" s="4" t="s">
        <v>2147</v>
      </c>
      <c r="C894" s="3">
        <v>0.0</v>
      </c>
      <c r="D894" s="3" t="s">
        <v>3</v>
      </c>
    </row>
    <row r="895">
      <c r="A895" s="3">
        <v>2016.0</v>
      </c>
      <c r="B895" s="4" t="s">
        <v>419</v>
      </c>
      <c r="C895" s="3">
        <v>0.0</v>
      </c>
      <c r="D895" s="3" t="s">
        <v>3</v>
      </c>
    </row>
    <row r="896">
      <c r="A896" s="3">
        <v>2016.0</v>
      </c>
      <c r="B896" s="4" t="s">
        <v>2148</v>
      </c>
      <c r="C896" s="3">
        <v>0.0</v>
      </c>
      <c r="D896" s="3" t="s">
        <v>29</v>
      </c>
    </row>
    <row r="897">
      <c r="A897" s="3">
        <v>2016.0</v>
      </c>
      <c r="B897" s="4" t="s">
        <v>422</v>
      </c>
      <c r="C897" s="3">
        <v>0.0</v>
      </c>
      <c r="D897" s="3" t="s">
        <v>29</v>
      </c>
    </row>
    <row r="898">
      <c r="A898" s="3">
        <v>2016.0</v>
      </c>
      <c r="B898" s="4" t="s">
        <v>423</v>
      </c>
      <c r="C898" s="3">
        <v>0.0</v>
      </c>
      <c r="D898" s="3" t="s">
        <v>3</v>
      </c>
    </row>
    <row r="899">
      <c r="A899" s="3">
        <v>2016.0</v>
      </c>
      <c r="B899" s="4" t="s">
        <v>424</v>
      </c>
      <c r="C899" s="3">
        <v>0.0</v>
      </c>
      <c r="D899" s="3" t="s">
        <v>3</v>
      </c>
    </row>
    <row r="900">
      <c r="A900" s="3">
        <v>2016.0</v>
      </c>
      <c r="B900" s="4" t="s">
        <v>2149</v>
      </c>
      <c r="C900" s="3">
        <v>0.0</v>
      </c>
      <c r="D900" s="3" t="s">
        <v>3</v>
      </c>
    </row>
    <row r="901">
      <c r="A901" s="3">
        <v>2016.0</v>
      </c>
      <c r="B901" s="4" t="s">
        <v>2151</v>
      </c>
      <c r="C901" s="3">
        <v>0.0</v>
      </c>
      <c r="D901" s="3" t="s">
        <v>29</v>
      </c>
    </row>
    <row r="902">
      <c r="A902" s="3">
        <v>2016.0</v>
      </c>
      <c r="B902" s="4" t="s">
        <v>2152</v>
      </c>
      <c r="C902" s="3">
        <v>0.0</v>
      </c>
      <c r="D902" s="3" t="s">
        <v>3</v>
      </c>
    </row>
    <row r="903">
      <c r="A903" s="3">
        <v>2016.0</v>
      </c>
      <c r="B903" s="4" t="s">
        <v>2154</v>
      </c>
      <c r="C903" s="3">
        <v>0.0</v>
      </c>
      <c r="D903" s="3" t="s">
        <v>3</v>
      </c>
    </row>
    <row r="904">
      <c r="A904" s="3">
        <v>2016.0</v>
      </c>
      <c r="B904" s="4" t="s">
        <v>2155</v>
      </c>
      <c r="C904" s="3">
        <v>0.0</v>
      </c>
      <c r="D904" s="3" t="s">
        <v>6</v>
      </c>
    </row>
    <row r="905">
      <c r="A905" s="3">
        <v>2016.0</v>
      </c>
      <c r="B905" s="4" t="s">
        <v>441</v>
      </c>
      <c r="C905" s="3">
        <v>0.0</v>
      </c>
      <c r="D905" s="3" t="s">
        <v>29</v>
      </c>
    </row>
    <row r="906">
      <c r="A906" s="3">
        <v>2016.0</v>
      </c>
      <c r="B906" s="4" t="s">
        <v>449</v>
      </c>
      <c r="C906" s="3">
        <v>0.0</v>
      </c>
      <c r="D906" s="3" t="s">
        <v>32</v>
      </c>
    </row>
    <row r="907">
      <c r="A907" s="3">
        <v>2016.0</v>
      </c>
      <c r="B907" s="4" t="s">
        <v>451</v>
      </c>
      <c r="C907" s="3">
        <v>0.0</v>
      </c>
      <c r="D907" s="3" t="s">
        <v>3</v>
      </c>
    </row>
    <row r="908">
      <c r="A908" s="3">
        <v>2016.0</v>
      </c>
      <c r="B908" s="4" t="s">
        <v>453</v>
      </c>
      <c r="C908" s="3">
        <v>0.0</v>
      </c>
      <c r="D908" s="3" t="s">
        <v>3</v>
      </c>
    </row>
    <row r="909">
      <c r="A909" s="3">
        <v>2016.0</v>
      </c>
      <c r="B909" s="4" t="s">
        <v>454</v>
      </c>
      <c r="C909" s="3">
        <v>0.0</v>
      </c>
      <c r="D909" s="3" t="s">
        <v>3</v>
      </c>
    </row>
    <row r="910">
      <c r="A910" s="3">
        <v>2016.0</v>
      </c>
      <c r="B910" s="4" t="s">
        <v>455</v>
      </c>
      <c r="C910" s="3">
        <v>0.0</v>
      </c>
      <c r="D910" s="3" t="s">
        <v>3</v>
      </c>
    </row>
    <row r="911">
      <c r="A911" s="3">
        <v>2016.0</v>
      </c>
      <c r="B911" s="4" t="s">
        <v>456</v>
      </c>
      <c r="C911" s="3">
        <v>0.0</v>
      </c>
      <c r="D911" s="3" t="s">
        <v>6</v>
      </c>
    </row>
    <row r="912">
      <c r="A912" s="3">
        <v>2016.0</v>
      </c>
      <c r="B912" s="4" t="s">
        <v>2156</v>
      </c>
      <c r="C912" s="3">
        <v>0.0</v>
      </c>
      <c r="D912" s="3" t="s">
        <v>3</v>
      </c>
    </row>
    <row r="913">
      <c r="A913" s="3">
        <v>2016.0</v>
      </c>
      <c r="B913" s="4" t="s">
        <v>2158</v>
      </c>
      <c r="C913" s="3">
        <v>0.0</v>
      </c>
      <c r="D913" s="3" t="s">
        <v>3</v>
      </c>
    </row>
    <row r="914">
      <c r="A914" s="3">
        <v>2016.0</v>
      </c>
      <c r="B914" s="4" t="s">
        <v>464</v>
      </c>
      <c r="C914" s="3">
        <v>0.0</v>
      </c>
      <c r="D914" s="3" t="s">
        <v>3</v>
      </c>
    </row>
    <row r="915">
      <c r="A915" s="3">
        <v>2016.0</v>
      </c>
      <c r="B915" s="4" t="s">
        <v>2160</v>
      </c>
      <c r="C915" s="3">
        <v>0.0</v>
      </c>
      <c r="D915" s="3" t="s">
        <v>3</v>
      </c>
    </row>
    <row r="916">
      <c r="A916" s="3">
        <v>2016.0</v>
      </c>
      <c r="B916" s="4" t="s">
        <v>2161</v>
      </c>
      <c r="C916" s="3">
        <v>0.0</v>
      </c>
      <c r="D916" s="3" t="s">
        <v>3</v>
      </c>
    </row>
    <row r="917">
      <c r="A917" s="3">
        <v>2016.0</v>
      </c>
      <c r="B917" s="4" t="s">
        <v>2163</v>
      </c>
      <c r="C917" s="3">
        <v>0.0</v>
      </c>
      <c r="D917" s="3" t="s">
        <v>3</v>
      </c>
    </row>
    <row r="918">
      <c r="A918" s="3">
        <v>2016.0</v>
      </c>
      <c r="B918" s="4" t="s">
        <v>2164</v>
      </c>
      <c r="C918" s="3">
        <v>0.0</v>
      </c>
      <c r="D918" s="3" t="s">
        <v>3</v>
      </c>
    </row>
    <row r="919">
      <c r="A919" s="3">
        <v>2016.0</v>
      </c>
      <c r="B919" s="4" t="s">
        <v>2166</v>
      </c>
      <c r="C919" s="3">
        <v>0.0</v>
      </c>
      <c r="D919" s="3" t="s">
        <v>3</v>
      </c>
    </row>
    <row r="920">
      <c r="A920" s="3">
        <v>2016.0</v>
      </c>
      <c r="B920" s="4" t="s">
        <v>2167</v>
      </c>
      <c r="C920" s="3">
        <v>0.0</v>
      </c>
      <c r="D920" s="3" t="s">
        <v>3</v>
      </c>
    </row>
    <row r="921">
      <c r="A921" s="3">
        <v>2016.0</v>
      </c>
      <c r="B921" s="4" t="s">
        <v>2169</v>
      </c>
      <c r="C921" s="3">
        <v>0.0</v>
      </c>
      <c r="D921" s="3" t="s">
        <v>6</v>
      </c>
    </row>
    <row r="922">
      <c r="A922" s="3">
        <v>2016.0</v>
      </c>
      <c r="B922" s="4" t="s">
        <v>2170</v>
      </c>
      <c r="C922" s="3">
        <v>0.0</v>
      </c>
      <c r="D922" s="3" t="s">
        <v>3</v>
      </c>
    </row>
    <row r="923">
      <c r="A923" s="3">
        <v>2016.0</v>
      </c>
      <c r="B923" s="4" t="s">
        <v>2171</v>
      </c>
      <c r="C923" s="3">
        <v>0.0</v>
      </c>
      <c r="D923" s="3" t="s">
        <v>3</v>
      </c>
    </row>
    <row r="924">
      <c r="A924" s="3">
        <v>2016.0</v>
      </c>
      <c r="B924" s="4" t="s">
        <v>2172</v>
      </c>
      <c r="C924" s="3">
        <v>0.0</v>
      </c>
      <c r="D924" s="3" t="s">
        <v>3</v>
      </c>
    </row>
    <row r="925">
      <c r="A925" s="3">
        <v>2016.0</v>
      </c>
      <c r="B925" s="4" t="s">
        <v>2173</v>
      </c>
      <c r="C925" s="3">
        <v>0.0</v>
      </c>
      <c r="D925" s="3" t="s">
        <v>6</v>
      </c>
    </row>
    <row r="926">
      <c r="A926" s="3">
        <v>2016.0</v>
      </c>
      <c r="B926" s="4" t="s">
        <v>2174</v>
      </c>
      <c r="C926" s="3">
        <v>0.0</v>
      </c>
      <c r="D926" s="3" t="s">
        <v>3</v>
      </c>
    </row>
    <row r="927">
      <c r="A927" s="3">
        <v>2016.0</v>
      </c>
      <c r="B927" s="4" t="s">
        <v>2175</v>
      </c>
      <c r="C927" s="3">
        <v>0.0</v>
      </c>
      <c r="D927" s="3" t="s">
        <v>3</v>
      </c>
    </row>
    <row r="928">
      <c r="A928" s="3">
        <v>2016.0</v>
      </c>
      <c r="B928" s="4" t="s">
        <v>515</v>
      </c>
      <c r="C928" s="3">
        <v>0.0</v>
      </c>
      <c r="D928" s="3" t="s">
        <v>6</v>
      </c>
    </row>
    <row r="929">
      <c r="A929" s="3">
        <v>2016.0</v>
      </c>
      <c r="B929" s="4" t="s">
        <v>2176</v>
      </c>
      <c r="C929" s="3">
        <v>0.0</v>
      </c>
      <c r="D929" s="3" t="s">
        <v>3</v>
      </c>
    </row>
    <row r="930">
      <c r="A930" s="3">
        <v>2016.0</v>
      </c>
      <c r="B930" s="4" t="s">
        <v>2177</v>
      </c>
      <c r="C930" s="3">
        <v>0.0</v>
      </c>
      <c r="D930" s="3" t="s">
        <v>3</v>
      </c>
    </row>
    <row r="931">
      <c r="A931" s="3">
        <v>2016.0</v>
      </c>
      <c r="B931" s="4" t="s">
        <v>534</v>
      </c>
      <c r="C931" s="3">
        <v>0.0</v>
      </c>
      <c r="D931" s="3" t="s">
        <v>26</v>
      </c>
    </row>
    <row r="932">
      <c r="A932" s="3">
        <v>2016.0</v>
      </c>
      <c r="B932" s="4" t="s">
        <v>539</v>
      </c>
      <c r="C932" s="3">
        <v>0.0</v>
      </c>
      <c r="D932" s="3" t="s">
        <v>6</v>
      </c>
    </row>
    <row r="933">
      <c r="A933" s="3">
        <v>2016.0</v>
      </c>
      <c r="B933" s="4" t="s">
        <v>542</v>
      </c>
      <c r="C933" s="3">
        <v>0.0</v>
      </c>
      <c r="D933" s="3" t="s">
        <v>3</v>
      </c>
    </row>
    <row r="934">
      <c r="A934" s="3">
        <v>2016.0</v>
      </c>
      <c r="B934" s="4" t="s">
        <v>2182</v>
      </c>
      <c r="C934" s="3">
        <v>0.0</v>
      </c>
      <c r="D934" s="3" t="s">
        <v>3</v>
      </c>
    </row>
    <row r="935">
      <c r="A935" s="3">
        <v>2016.0</v>
      </c>
      <c r="B935" s="4" t="s">
        <v>545</v>
      </c>
      <c r="C935" s="3">
        <v>0.0</v>
      </c>
      <c r="D935" s="3" t="s">
        <v>3</v>
      </c>
    </row>
    <row r="936">
      <c r="A936" s="3">
        <v>2016.0</v>
      </c>
      <c r="B936" s="4" t="s">
        <v>546</v>
      </c>
      <c r="C936" s="3">
        <v>0.0</v>
      </c>
      <c r="D936" s="3" t="s">
        <v>3</v>
      </c>
    </row>
    <row r="937">
      <c r="A937" s="3">
        <v>2016.0</v>
      </c>
      <c r="B937" s="4" t="s">
        <v>548</v>
      </c>
      <c r="C937" s="3">
        <v>0.0</v>
      </c>
      <c r="D937" s="3" t="s">
        <v>29</v>
      </c>
    </row>
    <row r="938">
      <c r="A938" s="3">
        <v>2016.0</v>
      </c>
      <c r="B938" s="4" t="s">
        <v>551</v>
      </c>
      <c r="C938" s="3">
        <v>0.0</v>
      </c>
      <c r="D938" s="3" t="s">
        <v>29</v>
      </c>
    </row>
    <row r="939">
      <c r="A939" s="3">
        <v>2016.0</v>
      </c>
      <c r="B939" s="4" t="s">
        <v>553</v>
      </c>
      <c r="C939" s="3">
        <v>0.0</v>
      </c>
      <c r="D939" s="3" t="s">
        <v>29</v>
      </c>
    </row>
    <row r="940">
      <c r="A940" s="3">
        <v>2016.0</v>
      </c>
      <c r="B940" s="4" t="s">
        <v>554</v>
      </c>
      <c r="C940" s="3">
        <v>0.0</v>
      </c>
      <c r="D940" s="3" t="s">
        <v>29</v>
      </c>
    </row>
    <row r="941">
      <c r="A941" s="3">
        <v>2016.0</v>
      </c>
      <c r="B941" s="4" t="s">
        <v>2183</v>
      </c>
      <c r="C941" s="3">
        <v>0.0</v>
      </c>
      <c r="D941" s="3" t="s">
        <v>29</v>
      </c>
    </row>
    <row r="942">
      <c r="A942" s="3">
        <v>2016.0</v>
      </c>
      <c r="B942" s="4" t="s">
        <v>561</v>
      </c>
      <c r="C942" s="3">
        <v>0.0</v>
      </c>
      <c r="D942" s="3" t="s">
        <v>29</v>
      </c>
    </row>
    <row r="943">
      <c r="A943" s="3">
        <v>2016.0</v>
      </c>
      <c r="B943" s="4" t="s">
        <v>562</v>
      </c>
      <c r="C943" s="3">
        <v>0.0</v>
      </c>
      <c r="D943" s="3" t="s">
        <v>29</v>
      </c>
    </row>
    <row r="944">
      <c r="A944" s="3">
        <v>2016.0</v>
      </c>
      <c r="B944" s="4" t="s">
        <v>563</v>
      </c>
      <c r="C944" s="3">
        <v>0.0</v>
      </c>
      <c r="D944" s="3" t="s">
        <v>29</v>
      </c>
    </row>
    <row r="945">
      <c r="A945" s="3">
        <v>2016.0</v>
      </c>
      <c r="B945" s="4" t="s">
        <v>564</v>
      </c>
      <c r="C945" s="3">
        <v>0.0</v>
      </c>
      <c r="D945" s="3" t="s">
        <v>484</v>
      </c>
    </row>
    <row r="946">
      <c r="A946" s="3">
        <v>2016.0</v>
      </c>
      <c r="B946" s="4" t="s">
        <v>565</v>
      </c>
      <c r="C946" s="3">
        <v>0.0</v>
      </c>
      <c r="D946" s="3" t="s">
        <v>29</v>
      </c>
    </row>
    <row r="947">
      <c r="A947" s="3">
        <v>2016.0</v>
      </c>
      <c r="B947" s="4" t="s">
        <v>566</v>
      </c>
      <c r="C947" s="3">
        <v>0.0</v>
      </c>
      <c r="D947" s="3" t="s">
        <v>29</v>
      </c>
    </row>
    <row r="948">
      <c r="A948" s="3">
        <v>2016.0</v>
      </c>
      <c r="B948" s="4" t="s">
        <v>567</v>
      </c>
      <c r="C948" s="3">
        <v>0.0</v>
      </c>
      <c r="D948" s="3" t="s">
        <v>3</v>
      </c>
    </row>
    <row r="949">
      <c r="A949" s="3">
        <v>2016.0</v>
      </c>
      <c r="B949" s="4" t="s">
        <v>568</v>
      </c>
      <c r="C949" s="3">
        <v>0.0</v>
      </c>
      <c r="D949" s="3" t="s">
        <v>3</v>
      </c>
    </row>
    <row r="950">
      <c r="A950" s="3">
        <v>2016.0</v>
      </c>
      <c r="B950" s="4" t="s">
        <v>573</v>
      </c>
      <c r="C950" s="3">
        <v>0.0</v>
      </c>
      <c r="D950" s="3" t="s">
        <v>3</v>
      </c>
    </row>
    <row r="951">
      <c r="A951" s="3">
        <v>2016.0</v>
      </c>
      <c r="B951" s="4" t="s">
        <v>577</v>
      </c>
      <c r="C951" s="3">
        <v>0.0</v>
      </c>
      <c r="D951" s="3" t="s">
        <v>32</v>
      </c>
    </row>
    <row r="952">
      <c r="A952" s="3">
        <v>2016.0</v>
      </c>
      <c r="B952" s="4" t="s">
        <v>2187</v>
      </c>
      <c r="C952" s="3">
        <v>0.0</v>
      </c>
      <c r="D952" s="3" t="s">
        <v>6</v>
      </c>
    </row>
    <row r="953">
      <c r="A953" s="3">
        <v>2016.0</v>
      </c>
      <c r="B953" s="4" t="s">
        <v>588</v>
      </c>
      <c r="C953" s="3">
        <v>0.0</v>
      </c>
      <c r="D953" s="3" t="s">
        <v>3</v>
      </c>
    </row>
    <row r="954">
      <c r="A954" s="3">
        <v>2016.0</v>
      </c>
      <c r="B954" s="4" t="s">
        <v>591</v>
      </c>
      <c r="C954" s="3">
        <v>0.0</v>
      </c>
      <c r="D954" s="3" t="s">
        <v>3</v>
      </c>
    </row>
    <row r="955">
      <c r="A955" s="3">
        <v>2016.0</v>
      </c>
      <c r="B955" s="4" t="s">
        <v>592</v>
      </c>
      <c r="C955" s="3">
        <v>0.0</v>
      </c>
      <c r="D955" s="3" t="s">
        <v>3</v>
      </c>
    </row>
    <row r="956">
      <c r="A956" s="3">
        <v>2016.0</v>
      </c>
      <c r="B956" s="4" t="s">
        <v>593</v>
      </c>
      <c r="C956" s="3">
        <v>0.0</v>
      </c>
      <c r="D956" s="3" t="s">
        <v>3</v>
      </c>
    </row>
    <row r="957">
      <c r="A957" s="3">
        <v>2016.0</v>
      </c>
      <c r="B957" s="4" t="s">
        <v>594</v>
      </c>
      <c r="C957" s="3">
        <v>0.0</v>
      </c>
      <c r="D957" s="3" t="s">
        <v>6</v>
      </c>
    </row>
    <row r="958">
      <c r="A958" s="3">
        <v>2016.0</v>
      </c>
      <c r="B958" s="4" t="s">
        <v>595</v>
      </c>
      <c r="C958" s="3">
        <v>0.0</v>
      </c>
      <c r="D958" s="3" t="s">
        <v>3</v>
      </c>
    </row>
    <row r="959">
      <c r="A959" s="3">
        <v>2016.0</v>
      </c>
      <c r="B959" s="4" t="s">
        <v>2188</v>
      </c>
      <c r="C959" s="3">
        <v>0.0</v>
      </c>
      <c r="D959" s="3" t="s">
        <v>3</v>
      </c>
    </row>
    <row r="960">
      <c r="A960" s="3">
        <v>2016.0</v>
      </c>
      <c r="B960" s="4" t="s">
        <v>598</v>
      </c>
      <c r="C960" s="3">
        <v>0.0</v>
      </c>
      <c r="D960" s="3" t="s">
        <v>3</v>
      </c>
    </row>
    <row r="961">
      <c r="A961" s="3">
        <v>2016.0</v>
      </c>
      <c r="B961" s="4" t="s">
        <v>610</v>
      </c>
      <c r="C961" s="3">
        <v>0.0</v>
      </c>
      <c r="D961" s="3" t="s">
        <v>6</v>
      </c>
    </row>
    <row r="962">
      <c r="A962" s="3">
        <v>2016.0</v>
      </c>
      <c r="B962" s="4" t="s">
        <v>612</v>
      </c>
      <c r="C962" s="3">
        <v>0.0</v>
      </c>
      <c r="D962" s="3" t="s">
        <v>6</v>
      </c>
    </row>
    <row r="963">
      <c r="A963" s="3">
        <v>2016.0</v>
      </c>
      <c r="B963" s="4" t="s">
        <v>613</v>
      </c>
      <c r="C963" s="3">
        <v>0.0</v>
      </c>
      <c r="D963" s="3" t="s">
        <v>3</v>
      </c>
    </row>
    <row r="964">
      <c r="A964" s="3">
        <v>2016.0</v>
      </c>
      <c r="B964" s="4" t="s">
        <v>615</v>
      </c>
      <c r="C964" s="3">
        <v>0.0</v>
      </c>
      <c r="D964" s="3" t="s">
        <v>3</v>
      </c>
    </row>
    <row r="965">
      <c r="A965" s="3">
        <v>2016.0</v>
      </c>
      <c r="B965" s="4" t="s">
        <v>616</v>
      </c>
      <c r="C965" s="3">
        <v>0.0</v>
      </c>
      <c r="D965" s="3" t="s">
        <v>3</v>
      </c>
    </row>
    <row r="966">
      <c r="A966" s="3">
        <v>2016.0</v>
      </c>
      <c r="B966" s="4" t="s">
        <v>617</v>
      </c>
      <c r="C966" s="3">
        <v>0.0</v>
      </c>
      <c r="D966" s="3" t="s">
        <v>3</v>
      </c>
    </row>
    <row r="967">
      <c r="A967" s="3">
        <v>2016.0</v>
      </c>
      <c r="B967" s="4" t="s">
        <v>618</v>
      </c>
      <c r="C967" s="3">
        <v>0.0</v>
      </c>
      <c r="D967" s="3" t="s">
        <v>3</v>
      </c>
    </row>
    <row r="968">
      <c r="A968" s="3">
        <v>2016.0</v>
      </c>
      <c r="B968" s="4" t="s">
        <v>619</v>
      </c>
      <c r="C968" s="3">
        <v>0.0</v>
      </c>
      <c r="D968" s="3" t="s">
        <v>3</v>
      </c>
    </row>
    <row r="969">
      <c r="A969" s="3">
        <v>2016.0</v>
      </c>
      <c r="B969" s="4" t="s">
        <v>620</v>
      </c>
      <c r="C969" s="3">
        <v>0.0</v>
      </c>
      <c r="D969" s="3" t="s">
        <v>6</v>
      </c>
    </row>
    <row r="970">
      <c r="A970" s="3">
        <v>2016.0</v>
      </c>
      <c r="B970" s="4" t="s">
        <v>624</v>
      </c>
      <c r="C970" s="3">
        <v>0.0</v>
      </c>
      <c r="D970" s="3" t="s">
        <v>3</v>
      </c>
    </row>
    <row r="971">
      <c r="A971" s="3">
        <v>2016.0</v>
      </c>
      <c r="B971" s="4" t="s">
        <v>627</v>
      </c>
      <c r="C971" s="3">
        <v>0.0</v>
      </c>
      <c r="D971" s="3" t="s">
        <v>3</v>
      </c>
    </row>
    <row r="972">
      <c r="A972" s="3">
        <v>2016.0</v>
      </c>
      <c r="B972" s="4" t="s">
        <v>632</v>
      </c>
      <c r="C972" s="3">
        <v>0.0</v>
      </c>
      <c r="D972" s="3" t="s">
        <v>3</v>
      </c>
    </row>
    <row r="973">
      <c r="A973" s="3">
        <v>2016.0</v>
      </c>
      <c r="B973" s="4" t="s">
        <v>2191</v>
      </c>
      <c r="C973" s="3">
        <v>0.0</v>
      </c>
      <c r="D973" s="3" t="s">
        <v>37</v>
      </c>
    </row>
    <row r="974">
      <c r="A974" s="3">
        <v>2016.0</v>
      </c>
      <c r="B974" s="4" t="s">
        <v>638</v>
      </c>
      <c r="C974" s="3">
        <v>0.0</v>
      </c>
      <c r="D974" s="3" t="s">
        <v>3</v>
      </c>
    </row>
    <row r="975">
      <c r="A975" s="3">
        <v>2016.0</v>
      </c>
      <c r="B975" s="4" t="s">
        <v>644</v>
      </c>
      <c r="C975" s="3">
        <v>0.0</v>
      </c>
      <c r="D975" s="3" t="s">
        <v>3</v>
      </c>
    </row>
    <row r="976">
      <c r="A976" s="3">
        <v>2016.0</v>
      </c>
      <c r="B976" s="4" t="s">
        <v>651</v>
      </c>
      <c r="C976" s="3">
        <v>0.0</v>
      </c>
      <c r="D976" s="3" t="s">
        <v>3</v>
      </c>
    </row>
    <row r="977">
      <c r="A977" s="3">
        <v>2016.0</v>
      </c>
      <c r="B977" s="4" t="s">
        <v>654</v>
      </c>
      <c r="C977" s="3">
        <v>0.0</v>
      </c>
      <c r="D977" s="3" t="s">
        <v>29</v>
      </c>
    </row>
    <row r="978">
      <c r="A978" s="3">
        <v>2016.0</v>
      </c>
      <c r="B978" s="4" t="s">
        <v>2193</v>
      </c>
      <c r="C978" s="3">
        <v>0.0</v>
      </c>
      <c r="D978" s="3" t="s">
        <v>32</v>
      </c>
    </row>
    <row r="979">
      <c r="A979" s="3">
        <v>2016.0</v>
      </c>
      <c r="B979" s="4" t="s">
        <v>661</v>
      </c>
      <c r="C979" s="3">
        <v>0.0</v>
      </c>
      <c r="D979" s="3" t="s">
        <v>29</v>
      </c>
    </row>
    <row r="980">
      <c r="A980" s="3">
        <v>2016.0</v>
      </c>
      <c r="B980" s="4" t="s">
        <v>667</v>
      </c>
      <c r="C980" s="3">
        <v>0.0</v>
      </c>
      <c r="D980" s="3" t="s">
        <v>668</v>
      </c>
    </row>
    <row r="981">
      <c r="A981" s="3">
        <v>2016.0</v>
      </c>
      <c r="B981" s="4" t="s">
        <v>671</v>
      </c>
      <c r="C981" s="3">
        <v>0.0</v>
      </c>
      <c r="D981" s="3" t="s">
        <v>32</v>
      </c>
    </row>
    <row r="982">
      <c r="A982" s="3">
        <v>2016.0</v>
      </c>
      <c r="B982" s="4" t="s">
        <v>672</v>
      </c>
      <c r="C982" s="3">
        <v>0.0</v>
      </c>
      <c r="D982" s="3" t="s">
        <v>3</v>
      </c>
    </row>
    <row r="983">
      <c r="A983" s="3">
        <v>2016.0</v>
      </c>
      <c r="B983" s="4" t="s">
        <v>673</v>
      </c>
      <c r="C983" s="3">
        <v>0.0</v>
      </c>
      <c r="D983" s="3" t="s">
        <v>29</v>
      </c>
    </row>
    <row r="984">
      <c r="A984" s="3">
        <v>2016.0</v>
      </c>
      <c r="B984" s="4" t="s">
        <v>677</v>
      </c>
      <c r="C984" s="3">
        <v>0.0</v>
      </c>
      <c r="D984" s="3" t="s">
        <v>3</v>
      </c>
    </row>
    <row r="985">
      <c r="A985" s="3">
        <v>2016.0</v>
      </c>
      <c r="B985" s="4" t="s">
        <v>678</v>
      </c>
      <c r="C985" s="3">
        <v>0.0</v>
      </c>
      <c r="D985" s="3" t="s">
        <v>32</v>
      </c>
    </row>
    <row r="986">
      <c r="A986" s="3">
        <v>2016.0</v>
      </c>
      <c r="B986" s="4" t="s">
        <v>682</v>
      </c>
      <c r="C986" s="3">
        <v>0.0</v>
      </c>
      <c r="D986" s="3" t="s">
        <v>26</v>
      </c>
    </row>
    <row r="987">
      <c r="A987" s="3">
        <v>2016.0</v>
      </c>
      <c r="B987" s="4" t="s">
        <v>685</v>
      </c>
      <c r="C987" s="3">
        <v>0.0</v>
      </c>
      <c r="D987" s="3" t="s">
        <v>6</v>
      </c>
    </row>
    <row r="988">
      <c r="A988" s="3">
        <v>2016.0</v>
      </c>
      <c r="B988" s="4" t="s">
        <v>688</v>
      </c>
      <c r="C988" s="3">
        <v>0.0</v>
      </c>
      <c r="D988" s="3" t="s">
        <v>6</v>
      </c>
    </row>
    <row r="989">
      <c r="A989" s="3">
        <v>2016.0</v>
      </c>
      <c r="B989" s="4" t="s">
        <v>690</v>
      </c>
      <c r="C989" s="3">
        <v>0.0</v>
      </c>
      <c r="D989" s="3" t="s">
        <v>29</v>
      </c>
    </row>
    <row r="990">
      <c r="A990" s="3">
        <v>2016.0</v>
      </c>
      <c r="B990" s="4" t="s">
        <v>693</v>
      </c>
      <c r="C990" s="3">
        <v>0.0</v>
      </c>
      <c r="D990" s="3" t="s">
        <v>3</v>
      </c>
    </row>
    <row r="991">
      <c r="A991" s="3">
        <v>2016.0</v>
      </c>
      <c r="B991" s="4" t="s">
        <v>694</v>
      </c>
      <c r="C991" s="3">
        <v>0.0</v>
      </c>
      <c r="D991" s="3" t="s">
        <v>6</v>
      </c>
    </row>
    <row r="992">
      <c r="A992" s="3">
        <v>2016.0</v>
      </c>
      <c r="B992" s="4" t="s">
        <v>695</v>
      </c>
      <c r="C992" s="3">
        <v>0.0</v>
      </c>
      <c r="D992" s="3" t="s">
        <v>3</v>
      </c>
    </row>
    <row r="993">
      <c r="A993" s="3">
        <v>2016.0</v>
      </c>
      <c r="B993" s="4" t="s">
        <v>696</v>
      </c>
      <c r="C993" s="3">
        <v>0.0</v>
      </c>
      <c r="D993" s="3" t="s">
        <v>3</v>
      </c>
    </row>
    <row r="994">
      <c r="A994" s="3">
        <v>2016.0</v>
      </c>
      <c r="B994" s="4" t="s">
        <v>699</v>
      </c>
      <c r="C994" s="3">
        <v>0.0</v>
      </c>
      <c r="D994" s="3" t="s">
        <v>3</v>
      </c>
    </row>
    <row r="995">
      <c r="A995" s="3">
        <v>2016.0</v>
      </c>
      <c r="B995" s="4" t="s">
        <v>2196</v>
      </c>
      <c r="C995" s="3">
        <v>0.0</v>
      </c>
      <c r="D995" s="3" t="s">
        <v>3</v>
      </c>
    </row>
    <row r="996">
      <c r="A996" s="3">
        <v>2016.0</v>
      </c>
      <c r="B996" s="4" t="s">
        <v>709</v>
      </c>
      <c r="C996" s="3">
        <v>0.0</v>
      </c>
      <c r="D996" s="3" t="s">
        <v>29</v>
      </c>
    </row>
    <row r="997">
      <c r="A997" s="3">
        <v>2016.0</v>
      </c>
      <c r="B997" s="4" t="s">
        <v>710</v>
      </c>
      <c r="C997" s="3">
        <v>0.0</v>
      </c>
      <c r="D997" s="3" t="s">
        <v>6</v>
      </c>
    </row>
    <row r="998">
      <c r="A998" s="3">
        <v>2016.0</v>
      </c>
      <c r="B998" s="4" t="s">
        <v>711</v>
      </c>
      <c r="C998" s="3">
        <v>0.0</v>
      </c>
      <c r="D998" s="3" t="s">
        <v>3</v>
      </c>
    </row>
    <row r="999">
      <c r="A999" s="3">
        <v>2016.0</v>
      </c>
      <c r="B999" s="4" t="s">
        <v>714</v>
      </c>
      <c r="C999" s="3">
        <v>0.0</v>
      </c>
      <c r="D999" s="3" t="s">
        <v>6</v>
      </c>
    </row>
    <row r="1000">
      <c r="A1000" s="3">
        <v>2016.0</v>
      </c>
      <c r="B1000" s="4" t="s">
        <v>719</v>
      </c>
      <c r="C1000" s="3">
        <v>0.0</v>
      </c>
      <c r="D1000" s="3" t="s">
        <v>29</v>
      </c>
    </row>
    <row r="1001">
      <c r="A1001" s="3">
        <v>2016.0</v>
      </c>
      <c r="B1001" s="4" t="s">
        <v>721</v>
      </c>
      <c r="C1001" s="3">
        <v>0.0</v>
      </c>
      <c r="D1001" s="3" t="s">
        <v>3</v>
      </c>
    </row>
    <row r="1002">
      <c r="A1002" s="3">
        <v>2016.0</v>
      </c>
      <c r="B1002" s="4" t="s">
        <v>724</v>
      </c>
      <c r="C1002" s="3">
        <v>0.0</v>
      </c>
      <c r="D1002" s="3" t="s">
        <v>29</v>
      </c>
    </row>
    <row r="1003">
      <c r="A1003" s="3">
        <v>2016.0</v>
      </c>
      <c r="B1003" s="4" t="s">
        <v>728</v>
      </c>
      <c r="C1003" s="3">
        <v>0.0</v>
      </c>
      <c r="D1003" s="3" t="s">
        <v>3</v>
      </c>
    </row>
    <row r="1004">
      <c r="A1004" s="3">
        <v>2016.0</v>
      </c>
      <c r="B1004" s="4" t="s">
        <v>731</v>
      </c>
      <c r="C1004" s="3">
        <v>0.0</v>
      </c>
      <c r="D1004" s="3" t="s">
        <v>3</v>
      </c>
    </row>
    <row r="1005">
      <c r="A1005" s="3">
        <v>2016.0</v>
      </c>
      <c r="B1005" s="4" t="s">
        <v>2199</v>
      </c>
      <c r="C1005" s="3">
        <v>0.0</v>
      </c>
      <c r="D1005" s="3" t="s">
        <v>3</v>
      </c>
    </row>
    <row r="1006">
      <c r="A1006" s="3">
        <v>2016.0</v>
      </c>
      <c r="B1006" s="4" t="s">
        <v>736</v>
      </c>
      <c r="C1006" s="3">
        <v>0.0</v>
      </c>
      <c r="D1006" s="3" t="s">
        <v>3</v>
      </c>
    </row>
    <row r="1007">
      <c r="A1007" s="3">
        <v>2016.0</v>
      </c>
      <c r="B1007" s="4" t="s">
        <v>2201</v>
      </c>
      <c r="C1007" s="3">
        <v>0.0</v>
      </c>
      <c r="D1007" s="3" t="s">
        <v>3</v>
      </c>
    </row>
    <row r="1008">
      <c r="A1008" s="3">
        <v>2016.0</v>
      </c>
      <c r="B1008" s="4" t="s">
        <v>744</v>
      </c>
      <c r="C1008" s="3">
        <v>0.0</v>
      </c>
      <c r="D1008" s="3" t="s">
        <v>3</v>
      </c>
    </row>
    <row r="1009">
      <c r="A1009" s="3">
        <v>2016.0</v>
      </c>
      <c r="B1009" s="4" t="s">
        <v>747</v>
      </c>
      <c r="C1009" s="3">
        <v>0.0</v>
      </c>
      <c r="D1009" s="3" t="s">
        <v>3</v>
      </c>
    </row>
    <row r="1010">
      <c r="A1010" s="3">
        <v>2016.0</v>
      </c>
      <c r="B1010" s="4" t="s">
        <v>748</v>
      </c>
      <c r="C1010" s="3">
        <v>0.0</v>
      </c>
      <c r="D1010" s="3" t="s">
        <v>32</v>
      </c>
    </row>
    <row r="1011">
      <c r="A1011" s="3">
        <v>2016.0</v>
      </c>
      <c r="B1011" s="4" t="s">
        <v>749</v>
      </c>
      <c r="C1011" s="3">
        <v>0.0</v>
      </c>
      <c r="D1011" s="3" t="s">
        <v>6</v>
      </c>
    </row>
    <row r="1012">
      <c r="A1012" s="3">
        <v>2016.0</v>
      </c>
      <c r="B1012" s="4" t="s">
        <v>2203</v>
      </c>
      <c r="C1012" s="3">
        <v>0.0</v>
      </c>
      <c r="D1012" s="3" t="s">
        <v>3</v>
      </c>
    </row>
    <row r="1013">
      <c r="A1013" s="3">
        <v>2016.0</v>
      </c>
      <c r="B1013" s="4" t="s">
        <v>762</v>
      </c>
      <c r="C1013" s="3">
        <v>0.0</v>
      </c>
      <c r="D1013" s="3" t="s">
        <v>3</v>
      </c>
    </row>
    <row r="1014">
      <c r="A1014" s="3">
        <v>2016.0</v>
      </c>
      <c r="B1014" s="4" t="s">
        <v>763</v>
      </c>
      <c r="C1014" s="3">
        <v>0.0</v>
      </c>
      <c r="D1014" s="3" t="s">
        <v>3</v>
      </c>
    </row>
    <row r="1015">
      <c r="A1015" s="3">
        <v>2016.0</v>
      </c>
      <c r="B1015" s="4" t="s">
        <v>766</v>
      </c>
      <c r="C1015" s="3">
        <v>0.0</v>
      </c>
      <c r="D1015" s="3" t="s">
        <v>3</v>
      </c>
    </row>
    <row r="1016">
      <c r="A1016" s="3">
        <v>2016.0</v>
      </c>
      <c r="B1016" s="4" t="s">
        <v>767</v>
      </c>
      <c r="C1016" s="3">
        <v>0.0</v>
      </c>
      <c r="D1016" s="3" t="s">
        <v>3</v>
      </c>
    </row>
    <row r="1017">
      <c r="A1017" s="3">
        <v>2016.0</v>
      </c>
      <c r="B1017" s="4" t="s">
        <v>768</v>
      </c>
      <c r="C1017" s="3">
        <v>0.0</v>
      </c>
      <c r="D1017" s="3" t="s">
        <v>3</v>
      </c>
    </row>
    <row r="1018">
      <c r="A1018" s="3">
        <v>2016.0</v>
      </c>
      <c r="B1018" s="4" t="s">
        <v>769</v>
      </c>
      <c r="C1018" s="3">
        <v>0.0</v>
      </c>
      <c r="D1018" s="3" t="s">
        <v>3</v>
      </c>
    </row>
    <row r="1019">
      <c r="A1019" s="3">
        <v>2016.0</v>
      </c>
      <c r="B1019" s="4" t="s">
        <v>770</v>
      </c>
      <c r="C1019" s="3">
        <v>0.0</v>
      </c>
      <c r="D1019" s="3" t="s">
        <v>3</v>
      </c>
    </row>
    <row r="1020">
      <c r="A1020" s="3">
        <v>2016.0</v>
      </c>
      <c r="B1020" s="4" t="s">
        <v>771</v>
      </c>
      <c r="C1020" s="3">
        <v>0.0</v>
      </c>
      <c r="D1020" s="3" t="s">
        <v>3</v>
      </c>
    </row>
    <row r="1021">
      <c r="A1021" s="3">
        <v>2016.0</v>
      </c>
      <c r="B1021" s="4" t="s">
        <v>772</v>
      </c>
      <c r="C1021" s="3">
        <v>0.0</v>
      </c>
      <c r="D1021" s="3" t="s">
        <v>3</v>
      </c>
    </row>
    <row r="1022">
      <c r="A1022" s="3">
        <v>2016.0</v>
      </c>
      <c r="B1022" s="4" t="s">
        <v>773</v>
      </c>
      <c r="C1022" s="3">
        <v>0.0</v>
      </c>
      <c r="D1022" s="3" t="s">
        <v>3</v>
      </c>
    </row>
    <row r="1023">
      <c r="A1023" s="3">
        <v>2016.0</v>
      </c>
      <c r="B1023" s="4" t="s">
        <v>2205</v>
      </c>
      <c r="C1023" s="3">
        <v>0.0</v>
      </c>
      <c r="D1023" s="3" t="s">
        <v>3</v>
      </c>
    </row>
    <row r="1024">
      <c r="A1024" s="3">
        <v>2016.0</v>
      </c>
      <c r="B1024" s="4" t="s">
        <v>781</v>
      </c>
      <c r="C1024" s="3">
        <v>0.0</v>
      </c>
      <c r="D1024" s="3" t="s">
        <v>6</v>
      </c>
    </row>
    <row r="1025">
      <c r="A1025" s="3">
        <v>2016.0</v>
      </c>
      <c r="B1025" s="4" t="s">
        <v>782</v>
      </c>
      <c r="C1025" s="3">
        <v>0.0</v>
      </c>
      <c r="D1025" s="3" t="s">
        <v>3</v>
      </c>
    </row>
    <row r="1026">
      <c r="A1026" s="3">
        <v>2016.0</v>
      </c>
      <c r="B1026" s="4" t="s">
        <v>783</v>
      </c>
      <c r="C1026" s="3">
        <v>0.0</v>
      </c>
      <c r="D1026" s="3" t="s">
        <v>29</v>
      </c>
    </row>
    <row r="1027">
      <c r="A1027" s="3">
        <v>2016.0</v>
      </c>
      <c r="B1027" s="4" t="s">
        <v>789</v>
      </c>
      <c r="C1027" s="3">
        <v>0.0</v>
      </c>
      <c r="D1027" s="3" t="s">
        <v>3</v>
      </c>
    </row>
    <row r="1028">
      <c r="A1028" s="3">
        <v>2016.0</v>
      </c>
      <c r="B1028" s="4" t="s">
        <v>791</v>
      </c>
      <c r="C1028" s="3">
        <v>0.0</v>
      </c>
      <c r="D1028" s="3" t="s">
        <v>3</v>
      </c>
    </row>
    <row r="1029">
      <c r="A1029" s="3">
        <v>2016.0</v>
      </c>
      <c r="B1029" s="4" t="s">
        <v>792</v>
      </c>
      <c r="C1029" s="3">
        <v>0.0</v>
      </c>
      <c r="D1029" s="3" t="s">
        <v>3</v>
      </c>
    </row>
    <row r="1030">
      <c r="A1030" s="3">
        <v>2016.0</v>
      </c>
      <c r="B1030" s="4" t="s">
        <v>794</v>
      </c>
      <c r="C1030" s="3">
        <v>0.0</v>
      </c>
      <c r="D1030" s="3" t="s">
        <v>3</v>
      </c>
    </row>
    <row r="1031">
      <c r="A1031" s="3">
        <v>2016.0</v>
      </c>
      <c r="B1031" s="4" t="s">
        <v>795</v>
      </c>
      <c r="C1031" s="3">
        <v>0.0</v>
      </c>
      <c r="D1031" s="3" t="s">
        <v>3</v>
      </c>
    </row>
    <row r="1032">
      <c r="A1032" s="3">
        <v>2016.0</v>
      </c>
      <c r="B1032" s="4" t="s">
        <v>796</v>
      </c>
      <c r="C1032" s="3">
        <v>0.0</v>
      </c>
      <c r="D1032" s="3" t="s">
        <v>3</v>
      </c>
    </row>
    <row r="1033">
      <c r="A1033" s="3">
        <v>2016.0</v>
      </c>
      <c r="B1033" s="4" t="s">
        <v>798</v>
      </c>
      <c r="C1033" s="3">
        <v>0.0</v>
      </c>
      <c r="D1033" s="3" t="s">
        <v>29</v>
      </c>
    </row>
    <row r="1034">
      <c r="A1034" s="3">
        <v>2016.0</v>
      </c>
      <c r="B1034" s="4" t="s">
        <v>799</v>
      </c>
      <c r="C1034" s="3">
        <v>0.0</v>
      </c>
      <c r="D1034" s="3" t="s">
        <v>29</v>
      </c>
    </row>
    <row r="1035">
      <c r="A1035" s="3">
        <v>2016.0</v>
      </c>
      <c r="B1035" s="4" t="s">
        <v>802</v>
      </c>
      <c r="C1035" s="3">
        <v>0.0</v>
      </c>
      <c r="D1035" s="3" t="s">
        <v>3</v>
      </c>
    </row>
    <row r="1036">
      <c r="A1036" s="3">
        <v>2016.0</v>
      </c>
      <c r="B1036" s="4" t="s">
        <v>803</v>
      </c>
      <c r="C1036" s="3">
        <v>0.0</v>
      </c>
      <c r="D1036" s="3" t="s">
        <v>3</v>
      </c>
    </row>
    <row r="1037">
      <c r="A1037" s="3">
        <v>2016.0</v>
      </c>
      <c r="B1037" s="4" t="s">
        <v>804</v>
      </c>
      <c r="C1037" s="3">
        <v>0.0</v>
      </c>
      <c r="D1037" s="3" t="s">
        <v>32</v>
      </c>
    </row>
    <row r="1038">
      <c r="A1038" s="3">
        <v>2016.0</v>
      </c>
      <c r="B1038" s="4" t="s">
        <v>805</v>
      </c>
      <c r="C1038" s="3">
        <v>0.0</v>
      </c>
      <c r="D1038" s="3" t="s">
        <v>6</v>
      </c>
    </row>
    <row r="1039">
      <c r="A1039" s="3">
        <v>2016.0</v>
      </c>
      <c r="B1039" s="4" t="s">
        <v>807</v>
      </c>
      <c r="C1039" s="3">
        <v>0.0</v>
      </c>
      <c r="D1039" s="3" t="s">
        <v>484</v>
      </c>
    </row>
    <row r="1040">
      <c r="A1040" s="3">
        <v>2016.0</v>
      </c>
      <c r="B1040" s="4" t="s">
        <v>808</v>
      </c>
      <c r="C1040" s="3">
        <v>0.0</v>
      </c>
      <c r="D1040" s="3" t="s">
        <v>6</v>
      </c>
    </row>
    <row r="1041">
      <c r="A1041" s="3">
        <v>2016.0</v>
      </c>
      <c r="B1041" s="4" t="s">
        <v>809</v>
      </c>
      <c r="C1041" s="3">
        <v>0.0</v>
      </c>
      <c r="D1041" s="3" t="s">
        <v>29</v>
      </c>
    </row>
    <row r="1042">
      <c r="A1042" s="3">
        <v>2016.0</v>
      </c>
      <c r="B1042" s="4" t="s">
        <v>810</v>
      </c>
      <c r="C1042" s="3">
        <v>0.0</v>
      </c>
      <c r="D1042" s="3" t="s">
        <v>32</v>
      </c>
    </row>
    <row r="1043">
      <c r="A1043" s="3">
        <v>2016.0</v>
      </c>
      <c r="B1043" s="4" t="s">
        <v>814</v>
      </c>
      <c r="C1043" s="3">
        <v>0.0</v>
      </c>
      <c r="D1043" s="3" t="s">
        <v>3</v>
      </c>
    </row>
    <row r="1044">
      <c r="A1044" s="3">
        <v>2016.0</v>
      </c>
      <c r="B1044" s="4" t="s">
        <v>815</v>
      </c>
      <c r="C1044" s="3">
        <v>0.0</v>
      </c>
      <c r="D1044" s="3" t="s">
        <v>3</v>
      </c>
    </row>
    <row r="1045">
      <c r="A1045" s="3">
        <v>2016.0</v>
      </c>
      <c r="B1045" s="4" t="s">
        <v>816</v>
      </c>
      <c r="C1045" s="3">
        <v>0.0</v>
      </c>
      <c r="D1045" s="3" t="s">
        <v>3</v>
      </c>
    </row>
    <row r="1046">
      <c r="A1046" s="3">
        <v>2016.0</v>
      </c>
      <c r="B1046" s="4" t="s">
        <v>818</v>
      </c>
      <c r="C1046" s="3">
        <v>0.0</v>
      </c>
      <c r="D1046" s="3" t="s">
        <v>3</v>
      </c>
    </row>
    <row r="1047">
      <c r="A1047" s="3">
        <v>2016.0</v>
      </c>
      <c r="B1047" s="4" t="s">
        <v>826</v>
      </c>
      <c r="C1047" s="3">
        <v>0.0</v>
      </c>
      <c r="D1047" s="3" t="s">
        <v>668</v>
      </c>
    </row>
    <row r="1048">
      <c r="A1048" s="3">
        <v>2016.0</v>
      </c>
      <c r="B1048" s="4" t="s">
        <v>2209</v>
      </c>
      <c r="C1048" s="3">
        <v>0.0</v>
      </c>
      <c r="D1048" s="3" t="s">
        <v>3</v>
      </c>
    </row>
    <row r="1049">
      <c r="A1049" s="3">
        <v>2016.0</v>
      </c>
      <c r="B1049" s="4" t="s">
        <v>829</v>
      </c>
      <c r="C1049" s="3">
        <v>0.0</v>
      </c>
      <c r="D1049" s="3" t="s">
        <v>3</v>
      </c>
    </row>
    <row r="1050">
      <c r="A1050" s="3">
        <v>2016.0</v>
      </c>
      <c r="B1050" s="4" t="s">
        <v>830</v>
      </c>
      <c r="C1050" s="3">
        <v>0.0</v>
      </c>
      <c r="D1050" s="3" t="s">
        <v>3</v>
      </c>
    </row>
    <row r="1051">
      <c r="A1051" s="3">
        <v>2016.0</v>
      </c>
      <c r="B1051" s="4" t="s">
        <v>2210</v>
      </c>
      <c r="C1051" s="3">
        <v>0.0</v>
      </c>
      <c r="D1051" s="3" t="s">
        <v>6</v>
      </c>
    </row>
    <row r="1052">
      <c r="A1052" s="3">
        <v>2016.0</v>
      </c>
      <c r="B1052" s="4" t="s">
        <v>2212</v>
      </c>
      <c r="C1052" s="3">
        <v>0.0</v>
      </c>
      <c r="D1052" s="3" t="s">
        <v>3</v>
      </c>
    </row>
    <row r="1053">
      <c r="A1053" s="3">
        <v>2016.0</v>
      </c>
      <c r="B1053" s="4" t="s">
        <v>848</v>
      </c>
      <c r="C1053" s="3">
        <v>0.0</v>
      </c>
      <c r="D1053" s="3" t="s">
        <v>3</v>
      </c>
    </row>
    <row r="1054">
      <c r="A1054" s="3">
        <v>2016.0</v>
      </c>
      <c r="B1054" s="4" t="s">
        <v>849</v>
      </c>
      <c r="C1054" s="3">
        <v>0.0</v>
      </c>
      <c r="D1054" s="3" t="s">
        <v>3</v>
      </c>
    </row>
    <row r="1055">
      <c r="A1055" s="3">
        <v>2016.0</v>
      </c>
      <c r="B1055" s="4" t="s">
        <v>850</v>
      </c>
      <c r="C1055" s="3">
        <v>0.0</v>
      </c>
      <c r="D1055" s="3" t="s">
        <v>3</v>
      </c>
    </row>
    <row r="1056">
      <c r="A1056" s="3">
        <v>2016.0</v>
      </c>
      <c r="B1056" s="4" t="s">
        <v>852</v>
      </c>
      <c r="C1056" s="3">
        <v>0.0</v>
      </c>
      <c r="D1056" s="3" t="s">
        <v>3</v>
      </c>
    </row>
    <row r="1057">
      <c r="A1057" s="3">
        <v>2016.0</v>
      </c>
      <c r="B1057" s="4" t="s">
        <v>853</v>
      </c>
      <c r="C1057" s="3">
        <v>0.0</v>
      </c>
      <c r="D1057" s="3" t="s">
        <v>32</v>
      </c>
    </row>
    <row r="1058">
      <c r="A1058" s="3">
        <v>2016.0</v>
      </c>
      <c r="B1058" s="4" t="s">
        <v>854</v>
      </c>
      <c r="C1058" s="3">
        <v>0.0</v>
      </c>
      <c r="D1058" s="3" t="s">
        <v>3</v>
      </c>
    </row>
    <row r="1059">
      <c r="A1059" s="3">
        <v>2016.0</v>
      </c>
      <c r="B1059" s="4" t="s">
        <v>2214</v>
      </c>
      <c r="C1059" s="3">
        <v>0.0</v>
      </c>
      <c r="D1059" s="3" t="s">
        <v>37</v>
      </c>
    </row>
    <row r="1060">
      <c r="A1060" s="3">
        <v>2016.0</v>
      </c>
      <c r="B1060" s="4" t="s">
        <v>2217</v>
      </c>
      <c r="C1060" s="3">
        <v>0.0</v>
      </c>
      <c r="D1060" s="3" t="s">
        <v>6</v>
      </c>
    </row>
    <row r="1061">
      <c r="A1061" s="3">
        <v>2016.0</v>
      </c>
      <c r="B1061" s="4" t="s">
        <v>864</v>
      </c>
      <c r="C1061" s="3">
        <v>0.0</v>
      </c>
      <c r="D1061" s="3" t="s">
        <v>3</v>
      </c>
    </row>
    <row r="1062">
      <c r="A1062" s="3">
        <v>2016.0</v>
      </c>
      <c r="B1062" s="4" t="s">
        <v>2219</v>
      </c>
      <c r="C1062" s="3">
        <v>0.0</v>
      </c>
      <c r="D1062" s="3" t="s">
        <v>3</v>
      </c>
    </row>
    <row r="1063">
      <c r="A1063" s="3">
        <v>2016.0</v>
      </c>
      <c r="B1063" s="4" t="s">
        <v>873</v>
      </c>
      <c r="C1063" s="3">
        <v>0.0</v>
      </c>
      <c r="D1063" s="3" t="s">
        <v>26</v>
      </c>
    </row>
    <row r="1064">
      <c r="A1064" s="3">
        <v>2016.0</v>
      </c>
      <c r="B1064" s="4" t="s">
        <v>875</v>
      </c>
      <c r="C1064" s="3">
        <v>0.0</v>
      </c>
      <c r="D1064" s="3" t="s">
        <v>6</v>
      </c>
    </row>
    <row r="1065">
      <c r="A1065" s="3">
        <v>2016.0</v>
      </c>
      <c r="B1065" s="4" t="s">
        <v>2222</v>
      </c>
      <c r="C1065" s="3">
        <v>0.0</v>
      </c>
      <c r="D1065" s="3" t="s">
        <v>29</v>
      </c>
    </row>
    <row r="1066">
      <c r="A1066" s="3">
        <v>2016.0</v>
      </c>
      <c r="B1066" s="4" t="s">
        <v>2223</v>
      </c>
      <c r="C1066" s="3">
        <v>0.0</v>
      </c>
      <c r="D1066" s="3" t="s">
        <v>29</v>
      </c>
    </row>
    <row r="1067">
      <c r="A1067" s="3">
        <v>2016.0</v>
      </c>
      <c r="B1067" s="4" t="s">
        <v>882</v>
      </c>
      <c r="C1067" s="3">
        <v>0.0</v>
      </c>
      <c r="D1067" s="3" t="s">
        <v>6</v>
      </c>
    </row>
    <row r="1068">
      <c r="A1068" s="3">
        <v>2016.0</v>
      </c>
      <c r="B1068" s="4" t="s">
        <v>2224</v>
      </c>
      <c r="C1068" s="3">
        <v>0.0</v>
      </c>
      <c r="D1068" s="3" t="s">
        <v>29</v>
      </c>
    </row>
    <row r="1069">
      <c r="A1069" s="3">
        <v>2016.0</v>
      </c>
      <c r="B1069" s="4" t="s">
        <v>894</v>
      </c>
      <c r="C1069" s="3">
        <v>0.0</v>
      </c>
      <c r="D1069" s="3" t="s">
        <v>6</v>
      </c>
    </row>
    <row r="1070">
      <c r="A1070" s="3">
        <v>2016.0</v>
      </c>
      <c r="B1070" s="4" t="s">
        <v>895</v>
      </c>
      <c r="C1070" s="3">
        <v>0.0</v>
      </c>
      <c r="D1070" s="3" t="s">
        <v>3</v>
      </c>
    </row>
    <row r="1071">
      <c r="A1071" s="3">
        <v>2016.0</v>
      </c>
      <c r="B1071" s="4" t="s">
        <v>896</v>
      </c>
      <c r="C1071" s="3">
        <v>0.0</v>
      </c>
      <c r="D1071" s="3" t="s">
        <v>32</v>
      </c>
    </row>
    <row r="1072">
      <c r="A1072" s="3">
        <v>2016.0</v>
      </c>
      <c r="B1072" s="4" t="s">
        <v>2228</v>
      </c>
      <c r="C1072" s="3">
        <v>0.0</v>
      </c>
      <c r="D1072" s="3" t="s">
        <v>3</v>
      </c>
    </row>
    <row r="1073">
      <c r="A1073" s="3">
        <v>2016.0</v>
      </c>
      <c r="B1073" s="4" t="s">
        <v>899</v>
      </c>
      <c r="C1073" s="3">
        <v>0.0</v>
      </c>
      <c r="D1073" s="3" t="s">
        <v>3</v>
      </c>
    </row>
    <row r="1074">
      <c r="A1074" s="3">
        <v>2016.0</v>
      </c>
      <c r="B1074" s="4" t="s">
        <v>901</v>
      </c>
      <c r="C1074" s="3">
        <v>0.0</v>
      </c>
      <c r="D1074" s="3" t="s">
        <v>32</v>
      </c>
    </row>
    <row r="1075">
      <c r="A1075" s="3">
        <v>2016.0</v>
      </c>
      <c r="B1075" s="4" t="s">
        <v>2229</v>
      </c>
      <c r="C1075" s="3">
        <v>0.0</v>
      </c>
      <c r="D1075" s="3" t="s">
        <v>6</v>
      </c>
    </row>
    <row r="1076">
      <c r="A1076" s="3">
        <v>2016.0</v>
      </c>
      <c r="B1076" s="4" t="s">
        <v>911</v>
      </c>
      <c r="C1076" s="3">
        <v>0.0</v>
      </c>
      <c r="D1076" s="3" t="s">
        <v>3</v>
      </c>
    </row>
    <row r="1077">
      <c r="A1077" s="3">
        <v>2016.0</v>
      </c>
      <c r="B1077" s="4" t="s">
        <v>912</v>
      </c>
      <c r="C1077" s="3">
        <v>0.0</v>
      </c>
      <c r="D1077" s="3" t="s">
        <v>3</v>
      </c>
    </row>
    <row r="1078">
      <c r="A1078" s="3">
        <v>2016.0</v>
      </c>
      <c r="B1078" s="4" t="s">
        <v>918</v>
      </c>
      <c r="C1078" s="3">
        <v>0.0</v>
      </c>
      <c r="D1078" s="3" t="s">
        <v>32</v>
      </c>
    </row>
    <row r="1079">
      <c r="A1079" s="3">
        <v>2016.0</v>
      </c>
      <c r="B1079" s="4" t="s">
        <v>919</v>
      </c>
      <c r="C1079" s="3">
        <v>0.0</v>
      </c>
      <c r="D1079" s="3" t="s">
        <v>3</v>
      </c>
    </row>
    <row r="1080">
      <c r="A1080" s="3">
        <v>2016.0</v>
      </c>
      <c r="B1080" s="4" t="s">
        <v>920</v>
      </c>
      <c r="C1080" s="3">
        <v>0.0</v>
      </c>
      <c r="D1080" s="3" t="s">
        <v>3</v>
      </c>
    </row>
    <row r="1081">
      <c r="A1081" s="3">
        <v>2016.0</v>
      </c>
      <c r="B1081" s="4" t="s">
        <v>924</v>
      </c>
      <c r="C1081" s="3">
        <v>0.0</v>
      </c>
      <c r="D1081" s="3" t="s">
        <v>3</v>
      </c>
    </row>
    <row r="1082">
      <c r="A1082" s="3">
        <v>2016.0</v>
      </c>
      <c r="B1082" s="4" t="s">
        <v>926</v>
      </c>
      <c r="C1082" s="3">
        <v>0.0</v>
      </c>
      <c r="D1082" s="3" t="s">
        <v>3</v>
      </c>
    </row>
    <row r="1083">
      <c r="A1083" s="3">
        <v>2016.0</v>
      </c>
      <c r="B1083" s="4" t="s">
        <v>928</v>
      </c>
      <c r="C1083" s="3">
        <v>0.0</v>
      </c>
      <c r="D1083" s="3" t="s">
        <v>32</v>
      </c>
    </row>
    <row r="1084">
      <c r="A1084" s="3">
        <v>2016.0</v>
      </c>
      <c r="B1084" s="4" t="s">
        <v>934</v>
      </c>
      <c r="C1084" s="3">
        <v>0.0</v>
      </c>
      <c r="D1084" s="3" t="s">
        <v>3</v>
      </c>
    </row>
    <row r="1085">
      <c r="A1085" s="3">
        <v>2016.0</v>
      </c>
      <c r="B1085" s="4" t="s">
        <v>943</v>
      </c>
      <c r="C1085" s="3">
        <v>0.0</v>
      </c>
      <c r="D1085" s="3" t="s">
        <v>3</v>
      </c>
    </row>
    <row r="1086">
      <c r="A1086" s="3">
        <v>2016.0</v>
      </c>
      <c r="B1086" s="4" t="s">
        <v>944</v>
      </c>
      <c r="C1086" s="3">
        <v>0.0</v>
      </c>
      <c r="D1086" s="3" t="s">
        <v>3</v>
      </c>
    </row>
    <row r="1087">
      <c r="A1087" s="3">
        <v>2016.0</v>
      </c>
      <c r="B1087" s="4" t="s">
        <v>947</v>
      </c>
      <c r="C1087" s="3">
        <v>0.0</v>
      </c>
      <c r="D1087" s="3" t="s">
        <v>29</v>
      </c>
    </row>
    <row r="1088">
      <c r="A1088" s="3">
        <v>2016.0</v>
      </c>
      <c r="B1088" s="4" t="s">
        <v>958</v>
      </c>
      <c r="C1088" s="3">
        <v>0.0</v>
      </c>
      <c r="D1088" s="3" t="s">
        <v>3</v>
      </c>
    </row>
    <row r="1089">
      <c r="A1089" s="3">
        <v>2016.0</v>
      </c>
      <c r="B1089" s="4" t="s">
        <v>2234</v>
      </c>
      <c r="C1089" s="3">
        <v>0.0</v>
      </c>
      <c r="D1089" s="3" t="s">
        <v>3</v>
      </c>
    </row>
    <row r="1090">
      <c r="A1090" s="3">
        <v>2016.0</v>
      </c>
      <c r="B1090" s="4" t="s">
        <v>964</v>
      </c>
      <c r="C1090" s="3">
        <v>0.0</v>
      </c>
      <c r="D1090" s="3" t="s">
        <v>3</v>
      </c>
    </row>
    <row r="1091">
      <c r="A1091" s="3">
        <v>2016.0</v>
      </c>
      <c r="B1091" s="4" t="s">
        <v>969</v>
      </c>
      <c r="C1091" s="3">
        <v>0.0</v>
      </c>
      <c r="D1091" s="3" t="s">
        <v>3</v>
      </c>
    </row>
    <row r="1092">
      <c r="A1092" s="3">
        <v>2016.0</v>
      </c>
      <c r="B1092" s="4" t="s">
        <v>970</v>
      </c>
      <c r="C1092" s="3">
        <v>0.0</v>
      </c>
      <c r="D1092" s="3" t="s">
        <v>3</v>
      </c>
    </row>
    <row r="1093">
      <c r="A1093" s="3">
        <v>2016.0</v>
      </c>
      <c r="B1093" s="4" t="s">
        <v>971</v>
      </c>
      <c r="C1093" s="3">
        <v>0.0</v>
      </c>
      <c r="D1093" s="3" t="s">
        <v>3</v>
      </c>
    </row>
    <row r="1094">
      <c r="A1094" s="3">
        <v>2016.0</v>
      </c>
      <c r="B1094" s="4" t="s">
        <v>972</v>
      </c>
      <c r="C1094" s="3">
        <v>0.0</v>
      </c>
      <c r="D1094" s="3" t="s">
        <v>32</v>
      </c>
    </row>
    <row r="1095">
      <c r="A1095" s="3">
        <v>2016.0</v>
      </c>
      <c r="B1095" s="4" t="s">
        <v>974</v>
      </c>
      <c r="C1095" s="3">
        <v>0.0</v>
      </c>
      <c r="D1095" s="3" t="s">
        <v>3</v>
      </c>
    </row>
    <row r="1096">
      <c r="A1096" s="3">
        <v>2016.0</v>
      </c>
      <c r="B1096" s="4" t="s">
        <v>978</v>
      </c>
      <c r="C1096" s="3">
        <v>0.0</v>
      </c>
      <c r="D1096" s="3" t="s">
        <v>29</v>
      </c>
    </row>
    <row r="1097">
      <c r="A1097" s="3">
        <v>2016.0</v>
      </c>
      <c r="B1097" s="4" t="s">
        <v>980</v>
      </c>
      <c r="C1097" s="3">
        <v>0.0</v>
      </c>
      <c r="D1097" s="3" t="s">
        <v>3</v>
      </c>
    </row>
    <row r="1098">
      <c r="A1098" s="3">
        <v>2016.0</v>
      </c>
      <c r="B1098" s="4" t="s">
        <v>982</v>
      </c>
      <c r="C1098" s="3">
        <v>0.0</v>
      </c>
      <c r="D1098" s="3" t="s">
        <v>6</v>
      </c>
    </row>
    <row r="1099">
      <c r="A1099" s="3">
        <v>2016.0</v>
      </c>
      <c r="B1099" s="4" t="s">
        <v>983</v>
      </c>
      <c r="C1099" s="3">
        <v>0.0</v>
      </c>
      <c r="D1099" s="3" t="s">
        <v>3</v>
      </c>
    </row>
    <row r="1100">
      <c r="A1100" s="3">
        <v>2016.0</v>
      </c>
      <c r="B1100" s="4" t="s">
        <v>987</v>
      </c>
      <c r="C1100" s="3">
        <v>0.0</v>
      </c>
      <c r="D1100" s="3" t="s">
        <v>3</v>
      </c>
    </row>
    <row r="1101">
      <c r="A1101" s="3">
        <v>2016.0</v>
      </c>
      <c r="B1101" s="4" t="s">
        <v>991</v>
      </c>
      <c r="C1101" s="3">
        <v>0.0</v>
      </c>
      <c r="D1101" s="3" t="s">
        <v>3</v>
      </c>
    </row>
    <row r="1102">
      <c r="A1102" s="3">
        <v>2016.0</v>
      </c>
      <c r="B1102" s="4" t="s">
        <v>992</v>
      </c>
      <c r="C1102" s="3">
        <v>0.0</v>
      </c>
      <c r="D1102" s="3" t="s">
        <v>3</v>
      </c>
    </row>
    <row r="1103">
      <c r="A1103" s="3">
        <v>2016.0</v>
      </c>
      <c r="B1103" s="4" t="s">
        <v>993</v>
      </c>
      <c r="C1103" s="3">
        <v>0.0</v>
      </c>
      <c r="D1103" s="3" t="s">
        <v>3</v>
      </c>
    </row>
    <row r="1104">
      <c r="A1104" s="3">
        <v>2016.0</v>
      </c>
      <c r="B1104" s="4" t="s">
        <v>999</v>
      </c>
      <c r="C1104" s="3">
        <v>0.0</v>
      </c>
      <c r="D1104" s="3" t="s">
        <v>3</v>
      </c>
    </row>
    <row r="1105">
      <c r="A1105" s="3">
        <v>2016.0</v>
      </c>
      <c r="B1105" s="4" t="s">
        <v>1001</v>
      </c>
      <c r="C1105" s="3">
        <v>0.0</v>
      </c>
      <c r="D1105" s="3" t="s">
        <v>6</v>
      </c>
    </row>
    <row r="1106">
      <c r="A1106" s="3">
        <v>2016.0</v>
      </c>
      <c r="B1106" s="4" t="s">
        <v>1003</v>
      </c>
      <c r="C1106" s="3">
        <v>0.0</v>
      </c>
      <c r="D1106" s="3" t="s">
        <v>3</v>
      </c>
    </row>
    <row r="1107">
      <c r="A1107" s="3">
        <v>2016.0</v>
      </c>
      <c r="B1107" s="4" t="s">
        <v>1004</v>
      </c>
      <c r="C1107" s="3">
        <v>0.0</v>
      </c>
      <c r="D1107" s="3" t="s">
        <v>3</v>
      </c>
    </row>
    <row r="1108">
      <c r="A1108" s="3">
        <v>2016.0</v>
      </c>
      <c r="B1108" s="4" t="s">
        <v>1006</v>
      </c>
      <c r="C1108" s="3">
        <v>0.0</v>
      </c>
      <c r="D1108" s="3" t="s">
        <v>3</v>
      </c>
    </row>
    <row r="1109">
      <c r="A1109" s="3">
        <v>2016.0</v>
      </c>
      <c r="B1109" s="4" t="s">
        <v>1008</v>
      </c>
      <c r="C1109" s="3">
        <v>0.0</v>
      </c>
      <c r="D1109" s="3" t="s">
        <v>484</v>
      </c>
    </row>
    <row r="1110">
      <c r="A1110" s="3">
        <v>2016.0</v>
      </c>
      <c r="B1110" s="4" t="s">
        <v>1009</v>
      </c>
      <c r="C1110" s="3">
        <v>0.0</v>
      </c>
      <c r="D1110" s="3" t="s">
        <v>3</v>
      </c>
    </row>
    <row r="1111">
      <c r="A1111" s="3">
        <v>2016.0</v>
      </c>
      <c r="B1111" s="4" t="s">
        <v>1010</v>
      </c>
      <c r="C1111" s="3">
        <v>0.0</v>
      </c>
      <c r="D1111" s="3" t="s">
        <v>6</v>
      </c>
    </row>
    <row r="1112">
      <c r="A1112" s="3">
        <v>2016.0</v>
      </c>
      <c r="B1112" s="4" t="s">
        <v>1015</v>
      </c>
      <c r="C1112" s="3">
        <v>0.0</v>
      </c>
      <c r="D1112" s="3" t="s">
        <v>3</v>
      </c>
    </row>
    <row r="1113">
      <c r="A1113" s="3">
        <v>2016.0</v>
      </c>
      <c r="B1113" s="4" t="s">
        <v>1016</v>
      </c>
      <c r="C1113" s="3">
        <v>0.0</v>
      </c>
      <c r="D1113" s="3" t="s">
        <v>6</v>
      </c>
    </row>
    <row r="1114">
      <c r="A1114" s="3">
        <v>2016.0</v>
      </c>
      <c r="B1114" s="4" t="s">
        <v>1018</v>
      </c>
      <c r="C1114" s="3">
        <v>0.0</v>
      </c>
      <c r="D1114" s="3" t="s">
        <v>32</v>
      </c>
    </row>
    <row r="1115">
      <c r="A1115" s="3">
        <v>2016.0</v>
      </c>
      <c r="B1115" s="4" t="s">
        <v>1019</v>
      </c>
      <c r="C1115" s="3">
        <v>0.0</v>
      </c>
      <c r="D1115" s="3" t="s">
        <v>6</v>
      </c>
    </row>
    <row r="1116">
      <c r="A1116" s="3">
        <v>2016.0</v>
      </c>
      <c r="B1116" s="4" t="s">
        <v>1022</v>
      </c>
      <c r="C1116" s="3">
        <v>0.0</v>
      </c>
      <c r="D1116" s="3" t="s">
        <v>6</v>
      </c>
    </row>
    <row r="1117">
      <c r="A1117" s="3">
        <v>2016.0</v>
      </c>
      <c r="B1117" s="4" t="s">
        <v>1025</v>
      </c>
      <c r="C1117" s="3">
        <v>0.0</v>
      </c>
      <c r="D1117" s="3" t="s">
        <v>3</v>
      </c>
    </row>
    <row r="1118">
      <c r="A1118" s="3">
        <v>2016.0</v>
      </c>
      <c r="B1118" s="4" t="s">
        <v>2237</v>
      </c>
      <c r="C1118" s="3">
        <v>0.0</v>
      </c>
      <c r="D1118" s="3" t="s">
        <v>3</v>
      </c>
    </row>
    <row r="1119">
      <c r="A1119" s="3">
        <v>2016.0</v>
      </c>
      <c r="B1119" s="4" t="s">
        <v>1031</v>
      </c>
      <c r="C1119" s="3">
        <v>0.0</v>
      </c>
      <c r="D1119" s="3" t="s">
        <v>3</v>
      </c>
    </row>
    <row r="1120">
      <c r="A1120" s="3">
        <v>2016.0</v>
      </c>
      <c r="B1120" s="4" t="s">
        <v>1032</v>
      </c>
      <c r="C1120" s="3">
        <v>0.0</v>
      </c>
      <c r="D1120" s="3" t="s">
        <v>29</v>
      </c>
    </row>
    <row r="1121">
      <c r="A1121" s="3">
        <v>2016.0</v>
      </c>
      <c r="B1121" s="4" t="s">
        <v>1036</v>
      </c>
      <c r="C1121" s="3">
        <v>0.0</v>
      </c>
      <c r="D1121" s="3" t="s">
        <v>3</v>
      </c>
    </row>
    <row r="1122">
      <c r="A1122" s="3">
        <v>2016.0</v>
      </c>
      <c r="B1122" s="4" t="s">
        <v>1037</v>
      </c>
      <c r="C1122" s="3">
        <v>0.0</v>
      </c>
      <c r="D1122" s="3" t="s">
        <v>26</v>
      </c>
    </row>
    <row r="1123">
      <c r="A1123" s="3">
        <v>2016.0</v>
      </c>
      <c r="B1123" s="4" t="s">
        <v>1038</v>
      </c>
      <c r="C1123" s="3">
        <v>0.0</v>
      </c>
      <c r="D1123" s="3" t="s">
        <v>3</v>
      </c>
    </row>
    <row r="1124">
      <c r="A1124" s="3">
        <v>2016.0</v>
      </c>
      <c r="B1124" s="4" t="s">
        <v>1042</v>
      </c>
      <c r="C1124" s="3">
        <v>0.0</v>
      </c>
      <c r="D1124" s="3" t="s">
        <v>3</v>
      </c>
    </row>
    <row r="1125">
      <c r="A1125" s="3">
        <v>2016.0</v>
      </c>
      <c r="B1125" s="4" t="s">
        <v>1046</v>
      </c>
      <c r="C1125" s="3">
        <v>0.0</v>
      </c>
      <c r="D1125" s="3" t="s">
        <v>3</v>
      </c>
    </row>
    <row r="1126">
      <c r="A1126" s="3">
        <v>2016.0</v>
      </c>
      <c r="B1126" s="4" t="s">
        <v>1048</v>
      </c>
      <c r="C1126" s="3">
        <v>0.0</v>
      </c>
      <c r="D1126" s="3" t="s">
        <v>3</v>
      </c>
    </row>
    <row r="1127">
      <c r="A1127" s="3">
        <v>2016.0</v>
      </c>
      <c r="B1127" s="4" t="s">
        <v>2239</v>
      </c>
      <c r="C1127" s="3">
        <v>0.0</v>
      </c>
      <c r="D1127" s="3" t="s">
        <v>3</v>
      </c>
    </row>
    <row r="1128">
      <c r="A1128" s="3">
        <v>2016.0</v>
      </c>
      <c r="B1128" s="4" t="s">
        <v>1054</v>
      </c>
      <c r="C1128" s="3">
        <v>0.0</v>
      </c>
      <c r="D1128" s="3" t="s">
        <v>3</v>
      </c>
    </row>
    <row r="1129">
      <c r="A1129" s="3">
        <v>2016.0</v>
      </c>
      <c r="B1129" s="4" t="s">
        <v>1057</v>
      </c>
      <c r="C1129" s="3">
        <v>0.0</v>
      </c>
      <c r="D1129" s="3" t="s">
        <v>32</v>
      </c>
    </row>
    <row r="1130">
      <c r="A1130" s="3">
        <v>2016.0</v>
      </c>
      <c r="B1130" s="4" t="s">
        <v>1059</v>
      </c>
      <c r="C1130" s="3">
        <v>0.0</v>
      </c>
      <c r="D1130" s="3" t="s">
        <v>3</v>
      </c>
    </row>
    <row r="1131">
      <c r="A1131" s="3">
        <v>2016.0</v>
      </c>
      <c r="B1131" s="4" t="s">
        <v>1064</v>
      </c>
      <c r="C1131" s="3">
        <v>0.0</v>
      </c>
      <c r="D1131" s="3" t="s">
        <v>3</v>
      </c>
    </row>
    <row r="1132">
      <c r="A1132" s="3">
        <v>2016.0</v>
      </c>
      <c r="B1132" s="4" t="s">
        <v>1072</v>
      </c>
      <c r="C1132" s="3">
        <v>0.0</v>
      </c>
      <c r="D1132" s="3" t="s">
        <v>3</v>
      </c>
    </row>
    <row r="1133">
      <c r="A1133" s="3">
        <v>2016.0</v>
      </c>
      <c r="B1133" s="4" t="s">
        <v>2243</v>
      </c>
      <c r="C1133" s="3">
        <v>0.0</v>
      </c>
      <c r="D1133" s="3" t="s">
        <v>484</v>
      </c>
    </row>
    <row r="1134">
      <c r="A1134" s="3">
        <v>2016.0</v>
      </c>
      <c r="B1134" s="4" t="s">
        <v>1075</v>
      </c>
      <c r="C1134" s="3">
        <v>0.0</v>
      </c>
      <c r="D1134" s="3" t="s">
        <v>3</v>
      </c>
    </row>
    <row r="1135">
      <c r="A1135" s="3">
        <v>2016.0</v>
      </c>
      <c r="B1135" s="4" t="s">
        <v>1076</v>
      </c>
      <c r="C1135" s="3">
        <v>0.0</v>
      </c>
      <c r="D1135" s="3" t="s">
        <v>3</v>
      </c>
    </row>
    <row r="1136">
      <c r="A1136" s="3">
        <v>2016.0</v>
      </c>
      <c r="B1136" s="4" t="s">
        <v>2244</v>
      </c>
      <c r="C1136" s="3">
        <v>0.0</v>
      </c>
      <c r="D1136" s="3" t="s">
        <v>3</v>
      </c>
    </row>
    <row r="1137">
      <c r="A1137" s="3">
        <v>2016.0</v>
      </c>
      <c r="B1137" s="4" t="s">
        <v>1079</v>
      </c>
      <c r="C1137" s="3">
        <v>0.0</v>
      </c>
      <c r="D1137" s="3" t="s">
        <v>3</v>
      </c>
    </row>
    <row r="1138">
      <c r="A1138" s="3">
        <v>2016.0</v>
      </c>
      <c r="B1138" s="4" t="s">
        <v>1081</v>
      </c>
      <c r="C1138" s="3">
        <v>0.0</v>
      </c>
      <c r="D1138" s="3" t="s">
        <v>6</v>
      </c>
    </row>
    <row r="1139">
      <c r="A1139" s="3">
        <v>2016.0</v>
      </c>
      <c r="B1139" s="4" t="s">
        <v>1082</v>
      </c>
      <c r="C1139" s="3">
        <v>0.0</v>
      </c>
      <c r="D1139" s="3" t="s">
        <v>3</v>
      </c>
    </row>
    <row r="1140">
      <c r="A1140" s="3">
        <v>2016.0</v>
      </c>
      <c r="B1140" s="4" t="s">
        <v>1084</v>
      </c>
      <c r="C1140" s="3">
        <v>0.0</v>
      </c>
      <c r="D1140" s="3" t="s">
        <v>3</v>
      </c>
    </row>
    <row r="1141">
      <c r="A1141" s="3">
        <v>2016.0</v>
      </c>
      <c r="B1141" s="4" t="s">
        <v>2245</v>
      </c>
      <c r="C1141" s="3">
        <v>0.0</v>
      </c>
      <c r="D1141" s="3" t="s">
        <v>3</v>
      </c>
    </row>
    <row r="1142">
      <c r="A1142" s="3">
        <v>2016.0</v>
      </c>
      <c r="B1142" s="4" t="s">
        <v>1091</v>
      </c>
      <c r="C1142" s="3">
        <v>0.0</v>
      </c>
      <c r="D1142" s="3" t="s">
        <v>3</v>
      </c>
    </row>
    <row r="1143">
      <c r="A1143" s="3">
        <v>2016.0</v>
      </c>
      <c r="B1143" s="4" t="s">
        <v>1094</v>
      </c>
      <c r="C1143" s="3">
        <v>0.0</v>
      </c>
      <c r="D1143" s="3" t="s">
        <v>3</v>
      </c>
    </row>
    <row r="1144">
      <c r="A1144" s="3">
        <v>2016.0</v>
      </c>
      <c r="B1144" s="4" t="s">
        <v>1095</v>
      </c>
      <c r="C1144" s="3">
        <v>0.0</v>
      </c>
      <c r="D1144" s="3" t="s">
        <v>6</v>
      </c>
    </row>
    <row r="1145">
      <c r="A1145" s="3">
        <v>2016.0</v>
      </c>
      <c r="B1145" s="4" t="s">
        <v>1097</v>
      </c>
      <c r="C1145" s="3">
        <v>0.0</v>
      </c>
      <c r="D1145" s="3" t="s">
        <v>29</v>
      </c>
    </row>
    <row r="1146">
      <c r="A1146" s="3">
        <v>2016.0</v>
      </c>
      <c r="B1146" s="4" t="s">
        <v>1099</v>
      </c>
      <c r="C1146" s="3">
        <v>0.0</v>
      </c>
      <c r="D1146" s="3" t="s">
        <v>3</v>
      </c>
    </row>
    <row r="1147">
      <c r="A1147" s="3">
        <v>2016.0</v>
      </c>
      <c r="B1147" s="4" t="s">
        <v>1100</v>
      </c>
      <c r="C1147" s="3">
        <v>0.0</v>
      </c>
      <c r="D1147" s="3" t="s">
        <v>3</v>
      </c>
    </row>
    <row r="1148">
      <c r="A1148" s="3">
        <v>2016.0</v>
      </c>
      <c r="B1148" s="4" t="s">
        <v>2246</v>
      </c>
      <c r="C1148" s="3">
        <v>0.0</v>
      </c>
      <c r="D1148" s="3" t="s">
        <v>3</v>
      </c>
    </row>
    <row r="1149">
      <c r="A1149" s="3">
        <v>2016.0</v>
      </c>
      <c r="B1149" s="4" t="s">
        <v>1103</v>
      </c>
      <c r="C1149" s="3">
        <v>0.0</v>
      </c>
      <c r="D1149" s="3" t="s">
        <v>3</v>
      </c>
    </row>
    <row r="1150">
      <c r="A1150" s="3">
        <v>2016.0</v>
      </c>
      <c r="B1150" s="4" t="s">
        <v>2247</v>
      </c>
      <c r="C1150" s="3">
        <v>0.0</v>
      </c>
      <c r="D1150" s="3" t="s">
        <v>32</v>
      </c>
    </row>
    <row r="1151">
      <c r="A1151" s="3">
        <v>2016.0</v>
      </c>
      <c r="B1151" s="4" t="s">
        <v>1107</v>
      </c>
      <c r="C1151" s="3">
        <v>0.0</v>
      </c>
      <c r="D1151" s="3" t="s">
        <v>3</v>
      </c>
    </row>
    <row r="1152">
      <c r="A1152" s="3">
        <v>2016.0</v>
      </c>
      <c r="B1152" s="4" t="s">
        <v>2248</v>
      </c>
      <c r="C1152" s="3">
        <v>0.0</v>
      </c>
      <c r="D1152" s="3" t="s">
        <v>3</v>
      </c>
    </row>
    <row r="1153">
      <c r="A1153" s="3">
        <v>2016.0</v>
      </c>
      <c r="B1153" s="4" t="s">
        <v>1114</v>
      </c>
      <c r="C1153" s="3">
        <v>0.0</v>
      </c>
      <c r="D1153" s="3" t="s">
        <v>6</v>
      </c>
    </row>
    <row r="1154">
      <c r="A1154" s="3">
        <v>2016.0</v>
      </c>
      <c r="B1154" s="4" t="s">
        <v>2251</v>
      </c>
      <c r="C1154" s="3">
        <v>0.0</v>
      </c>
      <c r="D1154" s="3" t="s">
        <v>3</v>
      </c>
    </row>
    <row r="1155">
      <c r="A1155" s="3">
        <v>2016.0</v>
      </c>
      <c r="B1155" s="4" t="s">
        <v>1117</v>
      </c>
      <c r="C1155" s="3">
        <v>0.0</v>
      </c>
      <c r="D1155" s="3" t="s">
        <v>3</v>
      </c>
    </row>
    <row r="1156">
      <c r="A1156" s="3">
        <v>2016.0</v>
      </c>
      <c r="B1156" s="4" t="s">
        <v>1118</v>
      </c>
      <c r="C1156" s="3">
        <v>0.0</v>
      </c>
      <c r="D1156" s="3" t="s">
        <v>6</v>
      </c>
    </row>
    <row r="1157">
      <c r="A1157" s="3">
        <v>2016.0</v>
      </c>
      <c r="B1157" s="4" t="s">
        <v>2252</v>
      </c>
      <c r="C1157" s="3">
        <v>0.0</v>
      </c>
      <c r="D1157" s="3" t="s">
        <v>3</v>
      </c>
    </row>
    <row r="1158">
      <c r="A1158" s="3">
        <v>2016.0</v>
      </c>
      <c r="B1158" s="4" t="s">
        <v>2254</v>
      </c>
      <c r="C1158" s="3">
        <v>0.0</v>
      </c>
      <c r="D1158" s="3" t="s">
        <v>3</v>
      </c>
    </row>
    <row r="1159">
      <c r="A1159" s="3">
        <v>2016.0</v>
      </c>
      <c r="B1159" s="4" t="s">
        <v>2255</v>
      </c>
      <c r="C1159" s="3">
        <v>0.0</v>
      </c>
      <c r="D1159" s="3" t="s">
        <v>3</v>
      </c>
    </row>
    <row r="1160">
      <c r="A1160" s="3">
        <v>2016.0</v>
      </c>
      <c r="B1160" s="4" t="s">
        <v>2256</v>
      </c>
      <c r="C1160" s="3">
        <v>0.0</v>
      </c>
      <c r="D1160" s="3" t="s">
        <v>32</v>
      </c>
    </row>
    <row r="1161">
      <c r="A1161" s="3">
        <v>2016.0</v>
      </c>
      <c r="B1161" s="4" t="s">
        <v>1132</v>
      </c>
      <c r="C1161" s="3">
        <v>0.0</v>
      </c>
      <c r="D1161" s="3" t="s">
        <v>6</v>
      </c>
    </row>
    <row r="1162">
      <c r="A1162" s="3">
        <v>2016.0</v>
      </c>
      <c r="B1162" s="4" t="s">
        <v>1133</v>
      </c>
      <c r="C1162" s="3">
        <v>0.0</v>
      </c>
      <c r="D1162" s="3" t="s">
        <v>32</v>
      </c>
    </row>
    <row r="1163">
      <c r="A1163" s="3">
        <v>2016.0</v>
      </c>
      <c r="B1163" s="4" t="s">
        <v>1138</v>
      </c>
      <c r="C1163" s="3">
        <v>0.0</v>
      </c>
      <c r="D1163" s="3" t="s">
        <v>3</v>
      </c>
    </row>
    <row r="1164">
      <c r="A1164" s="3">
        <v>2016.0</v>
      </c>
      <c r="B1164" s="4" t="s">
        <v>1139</v>
      </c>
      <c r="C1164" s="3">
        <v>0.0</v>
      </c>
      <c r="D1164" s="3" t="s">
        <v>3</v>
      </c>
    </row>
    <row r="1165">
      <c r="A1165" s="3">
        <v>2016.0</v>
      </c>
      <c r="B1165" s="4" t="s">
        <v>1140</v>
      </c>
      <c r="C1165" s="3">
        <v>0.0</v>
      </c>
      <c r="D1165" s="3" t="s">
        <v>6</v>
      </c>
    </row>
    <row r="1166">
      <c r="A1166" s="3">
        <v>2016.0</v>
      </c>
      <c r="B1166" s="4" t="s">
        <v>1141</v>
      </c>
      <c r="C1166" s="3">
        <v>0.0</v>
      </c>
      <c r="D1166" s="3" t="s">
        <v>3</v>
      </c>
    </row>
    <row r="1167">
      <c r="A1167" s="3">
        <v>2016.0</v>
      </c>
      <c r="B1167" s="4" t="s">
        <v>1142</v>
      </c>
      <c r="C1167" s="3">
        <v>0.0</v>
      </c>
      <c r="D1167" s="3" t="s">
        <v>6</v>
      </c>
    </row>
    <row r="1168">
      <c r="A1168" s="3">
        <v>2016.0</v>
      </c>
      <c r="B1168" s="4" t="s">
        <v>1143</v>
      </c>
      <c r="C1168" s="3">
        <v>0.0</v>
      </c>
      <c r="D1168" s="3" t="s">
        <v>3</v>
      </c>
    </row>
    <row r="1169">
      <c r="A1169" s="3">
        <v>2016.0</v>
      </c>
      <c r="B1169" s="4" t="s">
        <v>1148</v>
      </c>
      <c r="C1169" s="3">
        <v>0.0</v>
      </c>
      <c r="D1169" s="3" t="s">
        <v>26</v>
      </c>
    </row>
    <row r="1170">
      <c r="A1170" s="3">
        <v>2016.0</v>
      </c>
      <c r="B1170" s="4" t="s">
        <v>1149</v>
      </c>
      <c r="C1170" s="3">
        <v>0.0</v>
      </c>
      <c r="D1170" s="3" t="s">
        <v>29</v>
      </c>
    </row>
    <row r="1171">
      <c r="A1171" s="3">
        <v>2016.0</v>
      </c>
      <c r="B1171" s="4" t="s">
        <v>1152</v>
      </c>
      <c r="C1171" s="3">
        <v>0.0</v>
      </c>
      <c r="D1171" s="3" t="s">
        <v>29</v>
      </c>
    </row>
    <row r="1172">
      <c r="A1172" s="3">
        <v>2016.0</v>
      </c>
      <c r="B1172" s="4" t="s">
        <v>1153</v>
      </c>
      <c r="C1172" s="3">
        <v>0.0</v>
      </c>
      <c r="D1172" s="3" t="s">
        <v>29</v>
      </c>
    </row>
    <row r="1173">
      <c r="A1173" s="3">
        <v>2016.0</v>
      </c>
      <c r="B1173" s="4" t="s">
        <v>1154</v>
      </c>
      <c r="C1173" s="3">
        <v>0.0</v>
      </c>
      <c r="D1173" s="3" t="s">
        <v>3</v>
      </c>
    </row>
    <row r="1174">
      <c r="A1174" s="3">
        <v>2016.0</v>
      </c>
      <c r="B1174" s="4" t="s">
        <v>1155</v>
      </c>
      <c r="C1174" s="3">
        <v>0.0</v>
      </c>
      <c r="D1174" s="3" t="s">
        <v>3</v>
      </c>
    </row>
    <row r="1175">
      <c r="A1175" s="3">
        <v>2016.0</v>
      </c>
      <c r="B1175" s="4" t="s">
        <v>1158</v>
      </c>
      <c r="C1175" s="3">
        <v>0.0</v>
      </c>
      <c r="D1175" s="3" t="s">
        <v>3</v>
      </c>
    </row>
    <row r="1176">
      <c r="A1176" s="3">
        <v>2016.0</v>
      </c>
      <c r="B1176" s="4" t="s">
        <v>1162</v>
      </c>
      <c r="C1176" s="3">
        <v>0.0</v>
      </c>
      <c r="D1176" s="3" t="s">
        <v>3</v>
      </c>
    </row>
    <row r="1177">
      <c r="A1177" s="3">
        <v>2016.0</v>
      </c>
      <c r="B1177" s="4" t="s">
        <v>1163</v>
      </c>
      <c r="C1177" s="3">
        <v>0.0</v>
      </c>
      <c r="D1177" s="3" t="s">
        <v>3</v>
      </c>
    </row>
    <row r="1178">
      <c r="A1178" s="3">
        <v>2016.0</v>
      </c>
      <c r="B1178" s="4" t="s">
        <v>1164</v>
      </c>
      <c r="C1178" s="3">
        <v>0.0</v>
      </c>
      <c r="D1178" s="3" t="s">
        <v>3</v>
      </c>
    </row>
    <row r="1179">
      <c r="A1179" s="3">
        <v>2016.0</v>
      </c>
      <c r="B1179" s="4" t="s">
        <v>1166</v>
      </c>
      <c r="C1179" s="3">
        <v>0.0</v>
      </c>
      <c r="D1179" s="3" t="s">
        <v>3</v>
      </c>
    </row>
    <row r="1180">
      <c r="A1180" s="3">
        <v>2016.0</v>
      </c>
      <c r="B1180" s="4" t="s">
        <v>1167</v>
      </c>
      <c r="C1180" s="3">
        <v>0.0</v>
      </c>
      <c r="D1180" s="3" t="s">
        <v>3</v>
      </c>
    </row>
    <row r="1181">
      <c r="A1181" s="3">
        <v>2016.0</v>
      </c>
      <c r="B1181" s="4" t="s">
        <v>1168</v>
      </c>
      <c r="C1181" s="3">
        <v>0.0</v>
      </c>
      <c r="D1181" s="3" t="s">
        <v>3</v>
      </c>
    </row>
    <row r="1182">
      <c r="A1182" s="3">
        <v>2016.0</v>
      </c>
      <c r="B1182" s="4" t="s">
        <v>1169</v>
      </c>
      <c r="C1182" s="3">
        <v>0.0</v>
      </c>
      <c r="D1182" s="3" t="s">
        <v>3</v>
      </c>
    </row>
    <row r="1183">
      <c r="A1183" s="3">
        <v>2016.0</v>
      </c>
      <c r="B1183" s="4" t="s">
        <v>1170</v>
      </c>
      <c r="C1183" s="3">
        <v>0.0</v>
      </c>
      <c r="D1183" s="3" t="s">
        <v>3</v>
      </c>
    </row>
    <row r="1184">
      <c r="A1184" s="3">
        <v>2016.0</v>
      </c>
      <c r="B1184" s="4" t="s">
        <v>1171</v>
      </c>
      <c r="C1184" s="3">
        <v>0.0</v>
      </c>
      <c r="D1184" s="3" t="s">
        <v>3</v>
      </c>
    </row>
    <row r="1185">
      <c r="A1185" s="3">
        <v>2016.0</v>
      </c>
      <c r="B1185" s="4" t="s">
        <v>1172</v>
      </c>
      <c r="C1185" s="3">
        <v>0.0</v>
      </c>
      <c r="D1185" s="3" t="s">
        <v>6</v>
      </c>
    </row>
    <row r="1186">
      <c r="A1186" s="3">
        <v>2016.0</v>
      </c>
      <c r="B1186" s="4" t="s">
        <v>1173</v>
      </c>
      <c r="C1186" s="3">
        <v>0.0</v>
      </c>
      <c r="D1186" s="3" t="s">
        <v>3</v>
      </c>
    </row>
    <row r="1187">
      <c r="A1187" s="3">
        <v>2016.0</v>
      </c>
      <c r="B1187" s="4" t="s">
        <v>1174</v>
      </c>
      <c r="C1187" s="3">
        <v>0.0</v>
      </c>
      <c r="D1187" s="3" t="s">
        <v>3</v>
      </c>
    </row>
    <row r="1188">
      <c r="A1188" s="3">
        <v>2016.0</v>
      </c>
      <c r="B1188" s="4" t="s">
        <v>1183</v>
      </c>
      <c r="C1188" s="3">
        <v>0.0</v>
      </c>
      <c r="D1188" s="3" t="s">
        <v>3</v>
      </c>
    </row>
    <row r="1189">
      <c r="A1189" s="3">
        <v>2016.0</v>
      </c>
      <c r="B1189" s="4" t="s">
        <v>1186</v>
      </c>
      <c r="C1189" s="3">
        <v>0.0</v>
      </c>
      <c r="D1189" s="3" t="s">
        <v>6</v>
      </c>
    </row>
    <row r="1190">
      <c r="A1190" s="3">
        <v>2016.0</v>
      </c>
      <c r="B1190" s="4" t="s">
        <v>1190</v>
      </c>
      <c r="C1190" s="3">
        <v>0.0</v>
      </c>
      <c r="D1190" s="3" t="s">
        <v>3</v>
      </c>
    </row>
    <row r="1191">
      <c r="A1191" s="3">
        <v>2016.0</v>
      </c>
      <c r="B1191" s="4" t="s">
        <v>1191</v>
      </c>
      <c r="C1191" s="3">
        <v>0.0</v>
      </c>
      <c r="D1191" s="3" t="s">
        <v>6</v>
      </c>
    </row>
    <row r="1192">
      <c r="A1192" s="3">
        <v>2016.0</v>
      </c>
      <c r="B1192" s="4" t="s">
        <v>1195</v>
      </c>
      <c r="C1192" s="3">
        <v>0.0</v>
      </c>
      <c r="D1192" s="3" t="s">
        <v>3</v>
      </c>
    </row>
    <row r="1193">
      <c r="A1193" s="3">
        <v>2016.0</v>
      </c>
      <c r="B1193" s="4" t="s">
        <v>2260</v>
      </c>
      <c r="C1193" s="3">
        <v>0.0</v>
      </c>
      <c r="D1193" s="3" t="s">
        <v>3</v>
      </c>
    </row>
    <row r="1194">
      <c r="A1194" s="3">
        <v>2016.0</v>
      </c>
      <c r="B1194" s="4" t="s">
        <v>2261</v>
      </c>
      <c r="C1194" s="3">
        <v>0.0</v>
      </c>
      <c r="D1194" s="3" t="s">
        <v>3</v>
      </c>
    </row>
    <row r="1195">
      <c r="A1195" s="3">
        <v>2016.0</v>
      </c>
      <c r="B1195" s="4" t="s">
        <v>1201</v>
      </c>
      <c r="C1195" s="3">
        <v>0.0</v>
      </c>
      <c r="D1195" s="3" t="s">
        <v>16</v>
      </c>
    </row>
    <row r="1196">
      <c r="A1196" s="3">
        <v>2016.0</v>
      </c>
      <c r="B1196" s="4" t="s">
        <v>1202</v>
      </c>
      <c r="C1196" s="3">
        <v>0.0</v>
      </c>
      <c r="D1196" s="3" t="s">
        <v>32</v>
      </c>
    </row>
    <row r="1197">
      <c r="A1197" s="3">
        <v>2016.0</v>
      </c>
      <c r="B1197" s="4" t="s">
        <v>2264</v>
      </c>
      <c r="C1197" s="3">
        <v>0.0</v>
      </c>
      <c r="D1197" s="3" t="s">
        <v>3</v>
      </c>
    </row>
    <row r="1198">
      <c r="A1198" s="3">
        <v>2016.0</v>
      </c>
      <c r="B1198" s="4" t="s">
        <v>1215</v>
      </c>
      <c r="C1198" s="3">
        <v>0.0</v>
      </c>
      <c r="D1198" s="3" t="s">
        <v>29</v>
      </c>
    </row>
    <row r="1199">
      <c r="A1199" s="3">
        <v>2016.0</v>
      </c>
      <c r="B1199" s="4" t="s">
        <v>1216</v>
      </c>
      <c r="C1199" s="3">
        <v>0.0</v>
      </c>
      <c r="D1199" s="3" t="s">
        <v>3</v>
      </c>
    </row>
    <row r="1200">
      <c r="A1200" s="3">
        <v>2016.0</v>
      </c>
      <c r="B1200" s="4" t="s">
        <v>1217</v>
      </c>
      <c r="C1200" s="3">
        <v>0.0</v>
      </c>
      <c r="D1200" s="3" t="s">
        <v>29</v>
      </c>
    </row>
    <row r="1201">
      <c r="A1201" s="3">
        <v>2016.0</v>
      </c>
      <c r="B1201" s="4" t="s">
        <v>1218</v>
      </c>
      <c r="C1201" s="3">
        <v>0.0</v>
      </c>
      <c r="D1201" s="3" t="s">
        <v>29</v>
      </c>
    </row>
    <row r="1202">
      <c r="A1202" s="3">
        <v>2016.0</v>
      </c>
      <c r="B1202" s="4" t="s">
        <v>1219</v>
      </c>
      <c r="C1202" s="3">
        <v>0.0</v>
      </c>
      <c r="D1202" s="3" t="s">
        <v>26</v>
      </c>
    </row>
    <row r="1203">
      <c r="A1203" s="3">
        <v>2016.0</v>
      </c>
      <c r="B1203" s="4" t="s">
        <v>1220</v>
      </c>
      <c r="C1203" s="3">
        <v>0.0</v>
      </c>
      <c r="D1203" s="3" t="s">
        <v>3</v>
      </c>
    </row>
    <row r="1204">
      <c r="A1204" s="3">
        <v>2016.0</v>
      </c>
      <c r="B1204" s="4" t="s">
        <v>1221</v>
      </c>
      <c r="C1204" s="3">
        <v>0.0</v>
      </c>
      <c r="D1204" s="3" t="s">
        <v>3</v>
      </c>
    </row>
    <row r="1205">
      <c r="A1205" s="3">
        <v>2016.0</v>
      </c>
      <c r="B1205" s="4" t="s">
        <v>1222</v>
      </c>
      <c r="C1205" s="3">
        <v>0.0</v>
      </c>
      <c r="D1205" s="3" t="s">
        <v>6</v>
      </c>
    </row>
    <row r="1206">
      <c r="A1206" s="3">
        <v>2016.0</v>
      </c>
      <c r="B1206" s="4" t="s">
        <v>1224</v>
      </c>
      <c r="C1206" s="3">
        <v>0.0</v>
      </c>
      <c r="D1206" s="3" t="s">
        <v>6</v>
      </c>
    </row>
    <row r="1207">
      <c r="A1207" s="3">
        <v>2016.0</v>
      </c>
      <c r="B1207" s="4" t="s">
        <v>1225</v>
      </c>
      <c r="C1207" s="3">
        <v>0.0</v>
      </c>
      <c r="D1207" s="3" t="s">
        <v>3</v>
      </c>
    </row>
    <row r="1208">
      <c r="A1208" s="3">
        <v>2016.0</v>
      </c>
      <c r="B1208" s="4" t="s">
        <v>1226</v>
      </c>
      <c r="C1208" s="3">
        <v>0.0</v>
      </c>
      <c r="D1208" s="3" t="s">
        <v>29</v>
      </c>
    </row>
    <row r="1209">
      <c r="A1209" s="3">
        <v>2016.0</v>
      </c>
      <c r="B1209" s="4" t="s">
        <v>1229</v>
      </c>
      <c r="C1209" s="3">
        <v>0.0</v>
      </c>
      <c r="D1209" s="3" t="s">
        <v>6</v>
      </c>
    </row>
    <row r="1210">
      <c r="A1210" s="3">
        <v>2016.0</v>
      </c>
      <c r="B1210" s="4" t="s">
        <v>2266</v>
      </c>
      <c r="C1210" s="3">
        <v>0.0</v>
      </c>
      <c r="D1210" s="3" t="s">
        <v>3</v>
      </c>
    </row>
    <row r="1211">
      <c r="A1211" s="3">
        <v>2016.0</v>
      </c>
      <c r="B1211" s="4" t="s">
        <v>1232</v>
      </c>
      <c r="C1211" s="3">
        <v>0.0</v>
      </c>
      <c r="D1211" s="3" t="s">
        <v>29</v>
      </c>
    </row>
    <row r="1212">
      <c r="A1212" s="3">
        <v>2016.0</v>
      </c>
      <c r="B1212" s="4" t="s">
        <v>1233</v>
      </c>
      <c r="C1212" s="3">
        <v>0.0</v>
      </c>
      <c r="D1212" s="3" t="s">
        <v>3</v>
      </c>
    </row>
    <row r="1213">
      <c r="A1213" s="3">
        <v>2016.0</v>
      </c>
      <c r="B1213" s="4" t="s">
        <v>1236</v>
      </c>
      <c r="C1213" s="3">
        <v>0.0</v>
      </c>
      <c r="D1213" s="3" t="s">
        <v>6</v>
      </c>
    </row>
    <row r="1214">
      <c r="A1214" s="3">
        <v>2016.0</v>
      </c>
      <c r="B1214" s="4" t="s">
        <v>1237</v>
      </c>
      <c r="C1214" s="3">
        <v>0.0</v>
      </c>
      <c r="D1214" s="3" t="s">
        <v>32</v>
      </c>
    </row>
    <row r="1215">
      <c r="A1215" s="3">
        <v>2016.0</v>
      </c>
      <c r="B1215" s="4" t="s">
        <v>1239</v>
      </c>
      <c r="C1215" s="3">
        <v>0.0</v>
      </c>
      <c r="D1215" s="3" t="s">
        <v>3</v>
      </c>
    </row>
    <row r="1216">
      <c r="A1216" s="3">
        <v>2016.0</v>
      </c>
      <c r="B1216" s="4" t="s">
        <v>1240</v>
      </c>
      <c r="C1216" s="3">
        <v>0.0</v>
      </c>
      <c r="D1216" s="3" t="s">
        <v>3</v>
      </c>
    </row>
    <row r="1217">
      <c r="A1217" s="3">
        <v>2016.0</v>
      </c>
      <c r="B1217" s="4" t="s">
        <v>1249</v>
      </c>
      <c r="C1217" s="3">
        <v>0.0</v>
      </c>
      <c r="D1217" s="3" t="s">
        <v>3</v>
      </c>
    </row>
    <row r="1218">
      <c r="A1218" s="3">
        <v>2016.0</v>
      </c>
      <c r="B1218" s="4" t="s">
        <v>2267</v>
      </c>
      <c r="C1218" s="3">
        <v>0.0</v>
      </c>
      <c r="D1218" s="3" t="s">
        <v>3</v>
      </c>
    </row>
    <row r="1219">
      <c r="A1219" s="3">
        <v>2016.0</v>
      </c>
      <c r="B1219" s="4" t="s">
        <v>1253</v>
      </c>
      <c r="C1219" s="3">
        <v>0.0</v>
      </c>
      <c r="D1219" s="3" t="s">
        <v>6</v>
      </c>
    </row>
    <row r="1220">
      <c r="A1220" s="3">
        <v>2016.0</v>
      </c>
      <c r="B1220" s="4" t="s">
        <v>1254</v>
      </c>
      <c r="C1220" s="3">
        <v>0.0</v>
      </c>
      <c r="D1220" s="3" t="s">
        <v>484</v>
      </c>
    </row>
    <row r="1221">
      <c r="A1221" s="3">
        <v>2016.0</v>
      </c>
      <c r="B1221" s="4" t="s">
        <v>2268</v>
      </c>
      <c r="C1221" s="3">
        <v>0.0</v>
      </c>
      <c r="D1221" s="3" t="s">
        <v>3</v>
      </c>
    </row>
    <row r="1222">
      <c r="A1222" s="3">
        <v>2016.0</v>
      </c>
      <c r="B1222" s="4" t="s">
        <v>1257</v>
      </c>
      <c r="C1222" s="3">
        <v>0.0</v>
      </c>
      <c r="D1222" s="3" t="s">
        <v>29</v>
      </c>
    </row>
    <row r="1223">
      <c r="A1223" s="3">
        <v>2016.0</v>
      </c>
      <c r="B1223" s="4" t="s">
        <v>1266</v>
      </c>
      <c r="C1223" s="3">
        <v>0.0</v>
      </c>
      <c r="D1223" s="3" t="s">
        <v>3</v>
      </c>
    </row>
    <row r="1224">
      <c r="A1224" s="3">
        <v>2016.0</v>
      </c>
      <c r="B1224" s="4" t="s">
        <v>1267</v>
      </c>
      <c r="C1224" s="3">
        <v>0.0</v>
      </c>
      <c r="D1224" s="3" t="s">
        <v>29</v>
      </c>
    </row>
    <row r="1225">
      <c r="A1225" s="3">
        <v>2016.0</v>
      </c>
      <c r="B1225" s="4" t="s">
        <v>1268</v>
      </c>
      <c r="C1225" s="3">
        <v>0.0</v>
      </c>
      <c r="D1225" s="3" t="s">
        <v>6</v>
      </c>
    </row>
    <row r="1226">
      <c r="A1226" s="3">
        <v>2016.0</v>
      </c>
      <c r="B1226" s="4" t="s">
        <v>1275</v>
      </c>
      <c r="C1226" s="3">
        <v>0.0</v>
      </c>
      <c r="D1226" s="3" t="s">
        <v>29</v>
      </c>
    </row>
    <row r="1227">
      <c r="A1227" s="3">
        <v>2016.0</v>
      </c>
      <c r="B1227" s="4" t="s">
        <v>1276</v>
      </c>
      <c r="C1227" s="3">
        <v>0.0</v>
      </c>
      <c r="D1227" s="3" t="s">
        <v>3</v>
      </c>
    </row>
    <row r="1228">
      <c r="A1228" s="3">
        <v>2016.0</v>
      </c>
      <c r="B1228" s="4" t="s">
        <v>1280</v>
      </c>
      <c r="C1228" s="3">
        <v>0.0</v>
      </c>
      <c r="D1228" s="3" t="s">
        <v>3</v>
      </c>
    </row>
    <row r="1229">
      <c r="A1229" s="3">
        <v>2016.0</v>
      </c>
      <c r="B1229" s="4" t="s">
        <v>1282</v>
      </c>
      <c r="C1229" s="3">
        <v>0.0</v>
      </c>
      <c r="D1229" s="3" t="s">
        <v>3</v>
      </c>
    </row>
    <row r="1230">
      <c r="A1230" s="3">
        <v>2016.0</v>
      </c>
      <c r="B1230" s="4" t="s">
        <v>1283</v>
      </c>
      <c r="C1230" s="3">
        <v>0.0</v>
      </c>
      <c r="D1230" s="3" t="s">
        <v>3</v>
      </c>
    </row>
    <row r="1231">
      <c r="A1231" s="3">
        <v>2016.0</v>
      </c>
      <c r="B1231" s="4" t="s">
        <v>1284</v>
      </c>
      <c r="C1231" s="3">
        <v>0.0</v>
      </c>
      <c r="D1231" s="3" t="s">
        <v>32</v>
      </c>
    </row>
    <row r="1232">
      <c r="A1232" s="3">
        <v>2016.0</v>
      </c>
      <c r="B1232" s="4" t="s">
        <v>1291</v>
      </c>
      <c r="C1232" s="3">
        <v>0.0</v>
      </c>
      <c r="D1232" s="3" t="s">
        <v>29</v>
      </c>
    </row>
    <row r="1233">
      <c r="A1233" s="3">
        <v>2016.0</v>
      </c>
      <c r="B1233" s="4" t="s">
        <v>1292</v>
      </c>
      <c r="C1233" s="3">
        <v>0.0</v>
      </c>
      <c r="D1233" s="3" t="s">
        <v>3</v>
      </c>
    </row>
    <row r="1234">
      <c r="A1234" s="3">
        <v>2016.0</v>
      </c>
      <c r="B1234" s="4" t="s">
        <v>1295</v>
      </c>
      <c r="C1234" s="3">
        <v>0.0</v>
      </c>
      <c r="D1234" s="3" t="s">
        <v>3</v>
      </c>
    </row>
    <row r="1235">
      <c r="A1235" s="3">
        <v>2016.0</v>
      </c>
      <c r="B1235" s="4" t="s">
        <v>1296</v>
      </c>
      <c r="C1235" s="3">
        <v>0.0</v>
      </c>
      <c r="D1235" s="3" t="s">
        <v>3</v>
      </c>
    </row>
    <row r="1236">
      <c r="A1236" s="3">
        <v>2016.0</v>
      </c>
      <c r="B1236" s="4" t="s">
        <v>1297</v>
      </c>
      <c r="C1236" s="3">
        <v>0.0</v>
      </c>
      <c r="D1236" s="3" t="s">
        <v>3</v>
      </c>
    </row>
    <row r="1237">
      <c r="A1237" s="3">
        <v>2016.0</v>
      </c>
      <c r="B1237" s="4" t="s">
        <v>1298</v>
      </c>
      <c r="C1237" s="3">
        <v>0.0</v>
      </c>
      <c r="D1237" s="3" t="s">
        <v>3</v>
      </c>
    </row>
    <row r="1238">
      <c r="A1238" s="3">
        <v>2016.0</v>
      </c>
      <c r="B1238" s="4" t="s">
        <v>1299</v>
      </c>
      <c r="C1238" s="3">
        <v>0.0</v>
      </c>
      <c r="D1238" s="3" t="s">
        <v>3</v>
      </c>
    </row>
    <row r="1239">
      <c r="A1239" s="3">
        <v>2016.0</v>
      </c>
      <c r="B1239" s="4" t="s">
        <v>1301</v>
      </c>
      <c r="C1239" s="3">
        <v>0.0</v>
      </c>
      <c r="D1239" s="3" t="s">
        <v>3</v>
      </c>
    </row>
    <row r="1240">
      <c r="A1240" s="3">
        <v>2016.0</v>
      </c>
      <c r="B1240" s="4" t="s">
        <v>1302</v>
      </c>
      <c r="C1240" s="3">
        <v>0.0</v>
      </c>
      <c r="D1240" s="3" t="s">
        <v>29</v>
      </c>
    </row>
    <row r="1241">
      <c r="A1241" s="3">
        <v>2016.0</v>
      </c>
      <c r="B1241" s="4" t="s">
        <v>1307</v>
      </c>
      <c r="C1241" s="3">
        <v>0.0</v>
      </c>
      <c r="D1241" s="3" t="s">
        <v>32</v>
      </c>
    </row>
    <row r="1242">
      <c r="A1242" s="3">
        <v>2016.0</v>
      </c>
      <c r="B1242" s="4" t="s">
        <v>1309</v>
      </c>
      <c r="C1242" s="3">
        <v>0.0</v>
      </c>
      <c r="D1242" s="3" t="s">
        <v>3</v>
      </c>
    </row>
    <row r="1243">
      <c r="A1243" s="3">
        <v>2016.0</v>
      </c>
      <c r="B1243" s="4" t="s">
        <v>1310</v>
      </c>
      <c r="C1243" s="3">
        <v>0.0</v>
      </c>
      <c r="D1243" s="3" t="s">
        <v>6</v>
      </c>
    </row>
    <row r="1244">
      <c r="A1244" s="3">
        <v>2016.0</v>
      </c>
      <c r="B1244" s="4" t="s">
        <v>1311</v>
      </c>
      <c r="C1244" s="3">
        <v>0.0</v>
      </c>
      <c r="D1244" s="3" t="s">
        <v>3</v>
      </c>
    </row>
    <row r="1245">
      <c r="A1245" s="3">
        <v>2016.0</v>
      </c>
      <c r="B1245" s="4" t="s">
        <v>1313</v>
      </c>
      <c r="C1245" s="3">
        <v>0.0</v>
      </c>
      <c r="D1245" s="3" t="s">
        <v>3</v>
      </c>
    </row>
    <row r="1246">
      <c r="A1246" s="3">
        <v>2016.0</v>
      </c>
      <c r="B1246" s="4" t="s">
        <v>1316</v>
      </c>
      <c r="C1246" s="3">
        <v>0.0</v>
      </c>
      <c r="D1246" s="3" t="s">
        <v>3</v>
      </c>
    </row>
    <row r="1247">
      <c r="A1247" s="3">
        <v>2016.0</v>
      </c>
      <c r="B1247" s="4" t="s">
        <v>1317</v>
      </c>
      <c r="C1247" s="3">
        <v>0.0</v>
      </c>
      <c r="D1247" s="3" t="s">
        <v>6</v>
      </c>
    </row>
    <row r="1248">
      <c r="A1248" s="3">
        <v>2016.0</v>
      </c>
      <c r="B1248" s="4" t="s">
        <v>2269</v>
      </c>
      <c r="C1248" s="3">
        <v>0.0</v>
      </c>
      <c r="D1248" s="3" t="s">
        <v>3</v>
      </c>
    </row>
    <row r="1249">
      <c r="A1249" s="3">
        <v>2016.0</v>
      </c>
      <c r="B1249" s="4" t="s">
        <v>1323</v>
      </c>
      <c r="C1249" s="3">
        <v>0.0</v>
      </c>
      <c r="D1249" s="3" t="s">
        <v>3</v>
      </c>
    </row>
    <row r="1250">
      <c r="A1250" s="3">
        <v>2016.0</v>
      </c>
      <c r="B1250" s="4" t="s">
        <v>1325</v>
      </c>
      <c r="C1250" s="3">
        <v>0.0</v>
      </c>
      <c r="D1250" s="3" t="s">
        <v>3</v>
      </c>
    </row>
    <row r="1251">
      <c r="A1251" s="3">
        <v>2016.0</v>
      </c>
      <c r="B1251" s="4" t="s">
        <v>1327</v>
      </c>
      <c r="C1251" s="3">
        <v>0.0</v>
      </c>
      <c r="D1251" s="3" t="s">
        <v>6</v>
      </c>
    </row>
    <row r="1252">
      <c r="A1252" s="3">
        <v>2016.0</v>
      </c>
      <c r="B1252" s="4" t="s">
        <v>1328</v>
      </c>
      <c r="C1252" s="3">
        <v>0.0</v>
      </c>
      <c r="D1252" s="3" t="s">
        <v>29</v>
      </c>
    </row>
    <row r="1253">
      <c r="A1253" s="3">
        <v>2016.0</v>
      </c>
      <c r="B1253" s="4" t="s">
        <v>1329</v>
      </c>
      <c r="C1253" s="3">
        <v>0.0</v>
      </c>
      <c r="D1253" s="3" t="s">
        <v>6</v>
      </c>
    </row>
    <row r="1254">
      <c r="A1254" s="3">
        <v>2016.0</v>
      </c>
      <c r="B1254" s="4" t="s">
        <v>1330</v>
      </c>
      <c r="C1254" s="3">
        <v>0.0</v>
      </c>
      <c r="D1254" s="3" t="s">
        <v>6</v>
      </c>
    </row>
    <row r="1255">
      <c r="A1255" s="3">
        <v>2016.0</v>
      </c>
      <c r="B1255" s="4" t="s">
        <v>1344</v>
      </c>
      <c r="C1255" s="3">
        <v>0.0</v>
      </c>
      <c r="D1255" s="3" t="s">
        <v>3</v>
      </c>
    </row>
    <row r="1256">
      <c r="A1256" s="3">
        <v>2016.0</v>
      </c>
      <c r="B1256" s="4" t="s">
        <v>1347</v>
      </c>
      <c r="C1256" s="3">
        <v>0.0</v>
      </c>
      <c r="D1256" s="3" t="s">
        <v>3</v>
      </c>
    </row>
    <row r="1257">
      <c r="A1257" s="3">
        <v>2016.0</v>
      </c>
      <c r="B1257" s="4" t="s">
        <v>1350</v>
      </c>
      <c r="C1257" s="3">
        <v>0.0</v>
      </c>
      <c r="D1257" s="3" t="s">
        <v>3</v>
      </c>
    </row>
    <row r="1258">
      <c r="A1258" s="3">
        <v>2016.0</v>
      </c>
      <c r="B1258" s="4" t="s">
        <v>1352</v>
      </c>
      <c r="C1258" s="3">
        <v>0.0</v>
      </c>
      <c r="D1258" s="3" t="s">
        <v>3</v>
      </c>
    </row>
    <row r="1259">
      <c r="A1259" s="3">
        <v>2016.0</v>
      </c>
      <c r="B1259" s="4" t="s">
        <v>1353</v>
      </c>
      <c r="C1259" s="3">
        <v>0.0</v>
      </c>
      <c r="D1259" s="3" t="s">
        <v>3</v>
      </c>
    </row>
    <row r="1260">
      <c r="A1260" s="3">
        <v>2016.0</v>
      </c>
      <c r="B1260" s="4" t="s">
        <v>1355</v>
      </c>
      <c r="C1260" s="3">
        <v>0.0</v>
      </c>
      <c r="D1260" s="3" t="s">
        <v>3</v>
      </c>
    </row>
    <row r="1261">
      <c r="A1261" s="3">
        <v>2016.0</v>
      </c>
      <c r="B1261" s="4" t="s">
        <v>1356</v>
      </c>
      <c r="C1261" s="3">
        <v>0.0</v>
      </c>
      <c r="D1261" s="3" t="s">
        <v>3</v>
      </c>
    </row>
    <row r="1262">
      <c r="A1262" s="3">
        <v>2016.0</v>
      </c>
      <c r="B1262" s="4" t="s">
        <v>1357</v>
      </c>
      <c r="C1262" s="3">
        <v>0.0</v>
      </c>
      <c r="D1262" s="3" t="s">
        <v>3</v>
      </c>
    </row>
    <row r="1263">
      <c r="A1263" s="3">
        <v>2016.0</v>
      </c>
      <c r="B1263" s="4" t="s">
        <v>1360</v>
      </c>
      <c r="C1263" s="3">
        <v>0.0</v>
      </c>
      <c r="D1263" s="3" t="s">
        <v>3</v>
      </c>
    </row>
    <row r="1264">
      <c r="A1264" s="3">
        <v>2016.0</v>
      </c>
      <c r="B1264" s="4" t="s">
        <v>1362</v>
      </c>
      <c r="C1264" s="3">
        <v>0.0</v>
      </c>
      <c r="D1264" s="3" t="s">
        <v>29</v>
      </c>
    </row>
    <row r="1265">
      <c r="A1265" s="3">
        <v>2016.0</v>
      </c>
      <c r="B1265" s="4" t="s">
        <v>1364</v>
      </c>
      <c r="C1265" s="3">
        <v>0.0</v>
      </c>
      <c r="D1265" s="3" t="s">
        <v>6</v>
      </c>
    </row>
    <row r="1266">
      <c r="A1266" s="3">
        <v>2016.0</v>
      </c>
      <c r="B1266" s="4" t="s">
        <v>1365</v>
      </c>
      <c r="C1266" s="3">
        <v>0.0</v>
      </c>
      <c r="D1266" s="3" t="s">
        <v>3</v>
      </c>
    </row>
    <row r="1267">
      <c r="A1267" s="3">
        <v>2016.0</v>
      </c>
      <c r="B1267" s="4" t="s">
        <v>1366</v>
      </c>
      <c r="C1267" s="3">
        <v>0.0</v>
      </c>
      <c r="D1267" s="3" t="s">
        <v>6</v>
      </c>
    </row>
    <row r="1268">
      <c r="A1268" s="3">
        <v>2016.0</v>
      </c>
      <c r="B1268" s="4" t="s">
        <v>1369</v>
      </c>
      <c r="C1268" s="3">
        <v>0.0</v>
      </c>
      <c r="D1268" s="3" t="s">
        <v>3</v>
      </c>
    </row>
    <row r="1269">
      <c r="A1269" s="3">
        <v>2016.0</v>
      </c>
      <c r="B1269" s="4" t="s">
        <v>1376</v>
      </c>
      <c r="C1269" s="3">
        <v>0.0</v>
      </c>
      <c r="D1269" s="3" t="s">
        <v>3</v>
      </c>
    </row>
    <row r="1270">
      <c r="A1270" s="3">
        <v>2016.0</v>
      </c>
      <c r="B1270" s="4" t="s">
        <v>1380</v>
      </c>
      <c r="C1270" s="3">
        <v>0.0</v>
      </c>
      <c r="D1270" s="3" t="s">
        <v>3</v>
      </c>
    </row>
    <row r="1271">
      <c r="A1271" s="3">
        <v>2016.0</v>
      </c>
      <c r="B1271" s="4" t="s">
        <v>1382</v>
      </c>
      <c r="C1271" s="3">
        <v>0.0</v>
      </c>
      <c r="D1271" s="3" t="s">
        <v>6</v>
      </c>
    </row>
    <row r="1272">
      <c r="A1272" s="3">
        <v>2016.0</v>
      </c>
      <c r="B1272" s="4" t="s">
        <v>1384</v>
      </c>
      <c r="C1272" s="3">
        <v>0.0</v>
      </c>
      <c r="D1272" s="3" t="s">
        <v>3</v>
      </c>
    </row>
    <row r="1273">
      <c r="A1273" s="3">
        <v>2016.0</v>
      </c>
      <c r="B1273" s="4" t="s">
        <v>1391</v>
      </c>
      <c r="C1273" s="3">
        <v>0.0</v>
      </c>
      <c r="D1273" s="3" t="s">
        <v>29</v>
      </c>
    </row>
    <row r="1274">
      <c r="A1274" s="3">
        <v>2016.0</v>
      </c>
      <c r="B1274" s="4" t="s">
        <v>1394</v>
      </c>
      <c r="C1274" s="3">
        <v>0.0</v>
      </c>
      <c r="D1274" s="3" t="s">
        <v>6</v>
      </c>
    </row>
    <row r="1275">
      <c r="A1275" s="3">
        <v>2016.0</v>
      </c>
      <c r="B1275" s="4" t="s">
        <v>1397</v>
      </c>
      <c r="C1275" s="3">
        <v>0.0</v>
      </c>
      <c r="D1275" s="3" t="s">
        <v>3</v>
      </c>
    </row>
    <row r="1276">
      <c r="A1276" s="3">
        <v>2016.0</v>
      </c>
      <c r="B1276" s="4" t="s">
        <v>1398</v>
      </c>
      <c r="C1276" s="3">
        <v>0.0</v>
      </c>
      <c r="D1276" s="3" t="s">
        <v>3</v>
      </c>
    </row>
    <row r="1277">
      <c r="A1277" s="3">
        <v>2016.0</v>
      </c>
      <c r="B1277" s="4" t="s">
        <v>1399</v>
      </c>
      <c r="C1277" s="3">
        <v>0.0</v>
      </c>
      <c r="D1277" s="3" t="s">
        <v>3</v>
      </c>
    </row>
    <row r="1278">
      <c r="A1278" s="3">
        <v>2016.0</v>
      </c>
      <c r="B1278" s="4" t="s">
        <v>1400</v>
      </c>
      <c r="C1278" s="3">
        <v>0.0</v>
      </c>
      <c r="D1278" s="3" t="s">
        <v>3</v>
      </c>
    </row>
    <row r="1279">
      <c r="A1279" s="3">
        <v>2016.0</v>
      </c>
      <c r="B1279" s="4" t="s">
        <v>1403</v>
      </c>
      <c r="C1279" s="3">
        <v>0.0</v>
      </c>
      <c r="D1279" s="3" t="s">
        <v>3</v>
      </c>
    </row>
    <row r="1280">
      <c r="A1280" s="3">
        <v>2016.0</v>
      </c>
      <c r="B1280" s="4" t="s">
        <v>1404</v>
      </c>
      <c r="C1280" s="3">
        <v>0.0</v>
      </c>
      <c r="D1280" s="3" t="s">
        <v>32</v>
      </c>
    </row>
    <row r="1281">
      <c r="A1281" s="3">
        <v>2016.0</v>
      </c>
      <c r="B1281" s="4" t="s">
        <v>1409</v>
      </c>
      <c r="C1281" s="3">
        <v>0.0</v>
      </c>
      <c r="D1281" s="3" t="s">
        <v>6</v>
      </c>
    </row>
    <row r="1282">
      <c r="A1282" s="3">
        <v>2016.0</v>
      </c>
      <c r="B1282" s="4" t="s">
        <v>1410</v>
      </c>
      <c r="C1282" s="3">
        <v>0.0</v>
      </c>
      <c r="D1282" s="3" t="s">
        <v>6</v>
      </c>
    </row>
    <row r="1283">
      <c r="A1283" s="3">
        <v>2016.0</v>
      </c>
      <c r="B1283" s="4" t="s">
        <v>1413</v>
      </c>
      <c r="C1283" s="3">
        <v>0.0</v>
      </c>
      <c r="D1283" s="3" t="s">
        <v>32</v>
      </c>
    </row>
    <row r="1284">
      <c r="A1284" s="3">
        <v>2016.0</v>
      </c>
      <c r="B1284" s="4" t="s">
        <v>1425</v>
      </c>
      <c r="C1284" s="3">
        <v>0.0</v>
      </c>
      <c r="D1284" s="3" t="s">
        <v>3</v>
      </c>
    </row>
    <row r="1285">
      <c r="A1285" s="3">
        <v>2016.0</v>
      </c>
      <c r="B1285" s="4" t="s">
        <v>1426</v>
      </c>
      <c r="C1285" s="3">
        <v>0.0</v>
      </c>
      <c r="D1285" s="3" t="s">
        <v>3</v>
      </c>
    </row>
    <row r="1286">
      <c r="A1286" s="3">
        <v>2016.0</v>
      </c>
      <c r="B1286" s="4" t="s">
        <v>1429</v>
      </c>
      <c r="C1286" s="3">
        <v>0.0</v>
      </c>
      <c r="D1286" s="3" t="s">
        <v>3</v>
      </c>
    </row>
    <row r="1287">
      <c r="A1287" s="3">
        <v>2016.0</v>
      </c>
      <c r="B1287" s="4" t="s">
        <v>1430</v>
      </c>
      <c r="C1287" s="3">
        <v>0.0</v>
      </c>
      <c r="D1287" s="3" t="s">
        <v>6</v>
      </c>
    </row>
    <row r="1288">
      <c r="A1288" s="3">
        <v>2016.0</v>
      </c>
      <c r="B1288" s="4" t="s">
        <v>2273</v>
      </c>
      <c r="C1288" s="3">
        <v>0.0</v>
      </c>
      <c r="D1288" s="3" t="s">
        <v>484</v>
      </c>
    </row>
    <row r="1289">
      <c r="A1289" s="3">
        <v>2016.0</v>
      </c>
      <c r="B1289" s="4" t="s">
        <v>1437</v>
      </c>
      <c r="C1289" s="3">
        <v>0.0</v>
      </c>
      <c r="D1289" s="3" t="s">
        <v>6</v>
      </c>
    </row>
    <row r="1290">
      <c r="A1290" s="3">
        <v>2016.0</v>
      </c>
      <c r="B1290" s="4" t="s">
        <v>1441</v>
      </c>
      <c r="C1290" s="3">
        <v>0.0</v>
      </c>
      <c r="D1290" s="3" t="s">
        <v>3</v>
      </c>
    </row>
    <row r="1291">
      <c r="A1291" s="3">
        <v>2016.0</v>
      </c>
      <c r="B1291" s="4" t="s">
        <v>1442</v>
      </c>
      <c r="C1291" s="3">
        <v>0.0</v>
      </c>
      <c r="D1291" s="3" t="s">
        <v>3</v>
      </c>
    </row>
    <row r="1292">
      <c r="A1292" s="3">
        <v>2016.0</v>
      </c>
      <c r="B1292" s="4" t="s">
        <v>1443</v>
      </c>
      <c r="C1292" s="3">
        <v>0.0</v>
      </c>
      <c r="D1292" s="3" t="s">
        <v>3</v>
      </c>
    </row>
    <row r="1293">
      <c r="A1293" s="3">
        <v>2016.0</v>
      </c>
      <c r="B1293" s="4" t="s">
        <v>1445</v>
      </c>
      <c r="C1293" s="3">
        <v>0.0</v>
      </c>
      <c r="D1293" s="3" t="s">
        <v>3</v>
      </c>
    </row>
    <row r="1294">
      <c r="A1294" s="3">
        <v>2016.0</v>
      </c>
      <c r="B1294" s="4" t="s">
        <v>1446</v>
      </c>
      <c r="C1294" s="3">
        <v>0.0</v>
      </c>
      <c r="D1294" s="3" t="s">
        <v>3</v>
      </c>
    </row>
    <row r="1295">
      <c r="A1295" s="3">
        <v>2016.0</v>
      </c>
      <c r="B1295" s="4" t="s">
        <v>1447</v>
      </c>
      <c r="C1295" s="3">
        <v>0.0</v>
      </c>
      <c r="D1295" s="3" t="s">
        <v>3</v>
      </c>
    </row>
    <row r="1296">
      <c r="A1296" s="3">
        <v>2016.0</v>
      </c>
      <c r="B1296" s="4" t="s">
        <v>1448</v>
      </c>
      <c r="C1296" s="3">
        <v>0.0</v>
      </c>
      <c r="D1296" s="3" t="s">
        <v>3</v>
      </c>
    </row>
    <row r="1297">
      <c r="A1297" s="3">
        <v>2016.0</v>
      </c>
      <c r="B1297" s="4" t="s">
        <v>1452</v>
      </c>
      <c r="C1297" s="3">
        <v>0.0</v>
      </c>
      <c r="D1297" s="3" t="s">
        <v>32</v>
      </c>
    </row>
    <row r="1298">
      <c r="A1298" s="3">
        <v>2016.0</v>
      </c>
      <c r="B1298" s="4" t="s">
        <v>1453</v>
      </c>
      <c r="C1298" s="3">
        <v>0.0</v>
      </c>
      <c r="D1298" s="3" t="s">
        <v>3</v>
      </c>
    </row>
    <row r="1299">
      <c r="A1299" s="3">
        <v>2016.0</v>
      </c>
      <c r="B1299" s="4" t="s">
        <v>1458</v>
      </c>
      <c r="C1299" s="3">
        <v>0.0</v>
      </c>
      <c r="D1299" s="3" t="s">
        <v>3</v>
      </c>
    </row>
    <row r="1300">
      <c r="A1300" s="3">
        <v>2016.0</v>
      </c>
      <c r="B1300" s="4" t="s">
        <v>1459</v>
      </c>
      <c r="C1300" s="3">
        <v>0.0</v>
      </c>
      <c r="D1300" s="3" t="s">
        <v>3</v>
      </c>
    </row>
    <row r="1301">
      <c r="A1301" s="3">
        <v>2016.0</v>
      </c>
      <c r="B1301" s="4" t="s">
        <v>1465</v>
      </c>
      <c r="C1301" s="3">
        <v>0.0</v>
      </c>
      <c r="D1301" s="3" t="s">
        <v>3</v>
      </c>
    </row>
    <row r="1302">
      <c r="A1302" s="3">
        <v>2016.0</v>
      </c>
      <c r="B1302" s="4" t="s">
        <v>1466</v>
      </c>
      <c r="C1302" s="3">
        <v>0.0</v>
      </c>
      <c r="D1302" s="3" t="s">
        <v>3</v>
      </c>
    </row>
    <row r="1303">
      <c r="A1303" s="3">
        <v>2016.0</v>
      </c>
      <c r="B1303" s="4" t="s">
        <v>1469</v>
      </c>
      <c r="C1303" s="3">
        <v>0.0</v>
      </c>
      <c r="D1303" s="3" t="s">
        <v>6</v>
      </c>
    </row>
    <row r="1304">
      <c r="A1304" s="3">
        <v>2016.0</v>
      </c>
      <c r="B1304" s="4" t="s">
        <v>1474</v>
      </c>
      <c r="C1304" s="3">
        <v>0.0</v>
      </c>
      <c r="D1304" s="3" t="s">
        <v>3</v>
      </c>
    </row>
    <row r="1305">
      <c r="A1305" s="3">
        <v>2016.0</v>
      </c>
      <c r="B1305" s="4" t="s">
        <v>1476</v>
      </c>
      <c r="C1305" s="3">
        <v>0.0</v>
      </c>
      <c r="D1305" s="3" t="s">
        <v>3</v>
      </c>
    </row>
    <row r="1306">
      <c r="A1306" s="3">
        <v>2016.0</v>
      </c>
      <c r="B1306" s="4" t="s">
        <v>1477</v>
      </c>
      <c r="C1306" s="3">
        <v>0.0</v>
      </c>
      <c r="D1306" s="3" t="s">
        <v>6</v>
      </c>
    </row>
    <row r="1307">
      <c r="A1307" s="3">
        <v>2016.0</v>
      </c>
      <c r="B1307" s="4" t="s">
        <v>1478</v>
      </c>
      <c r="C1307" s="3">
        <v>0.0</v>
      </c>
      <c r="D1307" s="3" t="s">
        <v>3</v>
      </c>
    </row>
    <row r="1308">
      <c r="A1308" s="3">
        <v>2016.0</v>
      </c>
      <c r="B1308" s="4" t="s">
        <v>1483</v>
      </c>
      <c r="C1308" s="3">
        <v>0.0</v>
      </c>
      <c r="D1308" s="3" t="s">
        <v>3</v>
      </c>
    </row>
    <row r="1309">
      <c r="A1309" s="3">
        <v>2016.0</v>
      </c>
      <c r="B1309" s="4" t="s">
        <v>2277</v>
      </c>
      <c r="C1309" s="3">
        <v>0.0</v>
      </c>
      <c r="D1309" s="3" t="s">
        <v>6</v>
      </c>
    </row>
    <row r="1310">
      <c r="A1310" s="3">
        <v>2016.0</v>
      </c>
      <c r="B1310" s="4" t="s">
        <v>1486</v>
      </c>
      <c r="C1310" s="3">
        <v>0.0</v>
      </c>
      <c r="D1310" s="3" t="s">
        <v>3</v>
      </c>
    </row>
    <row r="1311">
      <c r="A1311" s="3">
        <v>2016.0</v>
      </c>
      <c r="B1311" s="4" t="s">
        <v>1487</v>
      </c>
      <c r="C1311" s="3">
        <v>0.0</v>
      </c>
      <c r="D1311" s="3" t="s">
        <v>3</v>
      </c>
    </row>
    <row r="1312">
      <c r="A1312" s="3">
        <v>2016.0</v>
      </c>
      <c r="B1312" s="4" t="s">
        <v>1488</v>
      </c>
      <c r="C1312" s="3">
        <v>0.0</v>
      </c>
      <c r="D1312" s="3" t="s">
        <v>3</v>
      </c>
    </row>
    <row r="1313">
      <c r="A1313" s="3">
        <v>2016.0</v>
      </c>
      <c r="B1313" s="4" t="s">
        <v>1494</v>
      </c>
      <c r="C1313" s="3">
        <v>0.0</v>
      </c>
      <c r="D1313" s="3" t="s">
        <v>3</v>
      </c>
    </row>
    <row r="1314">
      <c r="A1314" s="3">
        <v>2016.0</v>
      </c>
      <c r="B1314" s="4" t="s">
        <v>1497</v>
      </c>
      <c r="C1314" s="3">
        <v>0.0</v>
      </c>
      <c r="D1314" s="3" t="s">
        <v>3</v>
      </c>
    </row>
    <row r="1315">
      <c r="A1315" s="3">
        <v>2016.0</v>
      </c>
      <c r="B1315" s="4" t="s">
        <v>1498</v>
      </c>
      <c r="C1315" s="3">
        <v>0.0</v>
      </c>
      <c r="D1315" s="3" t="s">
        <v>29</v>
      </c>
    </row>
    <row r="1316">
      <c r="A1316" s="3">
        <v>2016.0</v>
      </c>
      <c r="B1316" s="4" t="s">
        <v>1505</v>
      </c>
      <c r="C1316" s="3">
        <v>0.0</v>
      </c>
      <c r="D1316" s="3" t="s">
        <v>3</v>
      </c>
    </row>
    <row r="1317">
      <c r="A1317" s="3">
        <v>2016.0</v>
      </c>
      <c r="B1317" s="4" t="s">
        <v>1506</v>
      </c>
      <c r="C1317" s="3">
        <v>0.0</v>
      </c>
      <c r="D1317" s="3" t="s">
        <v>3</v>
      </c>
    </row>
    <row r="1318">
      <c r="A1318" s="3">
        <v>2016.0</v>
      </c>
      <c r="B1318" s="4" t="s">
        <v>1507</v>
      </c>
      <c r="C1318" s="3">
        <v>0.0</v>
      </c>
      <c r="D1318" s="3" t="s">
        <v>3</v>
      </c>
    </row>
    <row r="1319">
      <c r="A1319" s="3">
        <v>2016.0</v>
      </c>
      <c r="B1319" s="4" t="s">
        <v>1508</v>
      </c>
      <c r="C1319" s="3">
        <v>0.0</v>
      </c>
      <c r="D1319" s="3" t="s">
        <v>3</v>
      </c>
    </row>
    <row r="1320">
      <c r="A1320" s="3">
        <v>2016.0</v>
      </c>
      <c r="B1320" s="4" t="s">
        <v>1509</v>
      </c>
      <c r="C1320" s="3">
        <v>0.0</v>
      </c>
      <c r="D1320" s="3" t="s">
        <v>3</v>
      </c>
    </row>
    <row r="1321">
      <c r="A1321" s="3">
        <v>2016.0</v>
      </c>
      <c r="B1321" s="4" t="s">
        <v>1511</v>
      </c>
      <c r="C1321" s="3">
        <v>0.0</v>
      </c>
      <c r="D1321" s="3" t="s">
        <v>6</v>
      </c>
    </row>
    <row r="1322">
      <c r="A1322" s="3">
        <v>2016.0</v>
      </c>
      <c r="B1322" s="4" t="s">
        <v>1513</v>
      </c>
      <c r="C1322" s="3">
        <v>0.0</v>
      </c>
      <c r="D1322" s="3" t="s">
        <v>6</v>
      </c>
    </row>
    <row r="1323">
      <c r="A1323" s="3">
        <v>2016.0</v>
      </c>
      <c r="B1323" s="4" t="s">
        <v>1514</v>
      </c>
      <c r="C1323" s="3">
        <v>0.0</v>
      </c>
      <c r="D1323" s="3" t="s">
        <v>6</v>
      </c>
    </row>
    <row r="1324">
      <c r="A1324" s="3">
        <v>2016.0</v>
      </c>
      <c r="B1324" s="4" t="s">
        <v>1518</v>
      </c>
      <c r="C1324" s="3">
        <v>0.0</v>
      </c>
      <c r="D1324" s="3" t="s">
        <v>3</v>
      </c>
    </row>
    <row r="1325">
      <c r="A1325" s="3">
        <v>2016.0</v>
      </c>
      <c r="B1325" s="4" t="s">
        <v>1519</v>
      </c>
      <c r="C1325" s="3">
        <v>0.0</v>
      </c>
      <c r="D1325" s="3" t="s">
        <v>3</v>
      </c>
    </row>
    <row r="1326">
      <c r="A1326" s="3">
        <v>2016.0</v>
      </c>
      <c r="B1326" s="4" t="s">
        <v>1520</v>
      </c>
      <c r="C1326" s="3">
        <v>0.0</v>
      </c>
      <c r="D1326" s="3" t="s">
        <v>32</v>
      </c>
    </row>
    <row r="1327">
      <c r="A1327" s="3">
        <v>2016.0</v>
      </c>
      <c r="B1327" s="4" t="s">
        <v>1521</v>
      </c>
      <c r="C1327" s="3">
        <v>0.0</v>
      </c>
      <c r="D1327" s="3" t="s">
        <v>6</v>
      </c>
    </row>
    <row r="1328">
      <c r="A1328" s="3">
        <v>2016.0</v>
      </c>
      <c r="B1328" s="4" t="s">
        <v>1522</v>
      </c>
      <c r="C1328" s="3">
        <v>0.0</v>
      </c>
      <c r="D1328" s="3" t="s">
        <v>6</v>
      </c>
    </row>
    <row r="1329">
      <c r="A1329" s="3">
        <v>2016.0</v>
      </c>
      <c r="B1329" s="4" t="s">
        <v>2279</v>
      </c>
      <c r="C1329" s="3">
        <v>0.0</v>
      </c>
      <c r="D1329" s="3" t="s">
        <v>3</v>
      </c>
    </row>
    <row r="1330">
      <c r="A1330" s="3">
        <v>2016.0</v>
      </c>
      <c r="B1330" s="4" t="s">
        <v>1528</v>
      </c>
      <c r="C1330" s="3">
        <v>0.0</v>
      </c>
      <c r="D1330" s="3" t="s">
        <v>29</v>
      </c>
    </row>
    <row r="1331">
      <c r="A1331" s="3">
        <v>2016.0</v>
      </c>
      <c r="B1331" s="4" t="s">
        <v>1529</v>
      </c>
      <c r="C1331" s="3">
        <v>0.0</v>
      </c>
      <c r="D1331" s="3" t="s">
        <v>32</v>
      </c>
    </row>
    <row r="1332">
      <c r="A1332" s="3">
        <v>2016.0</v>
      </c>
      <c r="B1332" s="4" t="s">
        <v>1530</v>
      </c>
      <c r="C1332" s="3">
        <v>0.0</v>
      </c>
      <c r="D1332" s="3" t="s">
        <v>32</v>
      </c>
    </row>
    <row r="1333">
      <c r="A1333" s="3">
        <v>2016.0</v>
      </c>
      <c r="B1333" s="4" t="s">
        <v>1531</v>
      </c>
      <c r="C1333" s="3">
        <v>0.0</v>
      </c>
      <c r="D1333" s="3" t="s">
        <v>3</v>
      </c>
    </row>
    <row r="1334">
      <c r="A1334" s="3">
        <v>2016.0</v>
      </c>
      <c r="B1334" s="4" t="s">
        <v>1532</v>
      </c>
      <c r="C1334" s="3">
        <v>0.0</v>
      </c>
      <c r="D1334" s="3" t="s">
        <v>6</v>
      </c>
    </row>
    <row r="1335">
      <c r="A1335" s="3">
        <v>2016.0</v>
      </c>
      <c r="B1335" s="4" t="s">
        <v>1533</v>
      </c>
      <c r="C1335" s="3">
        <v>0.0</v>
      </c>
      <c r="D1335" s="3" t="s">
        <v>32</v>
      </c>
    </row>
    <row r="1336">
      <c r="A1336" s="3">
        <v>2016.0</v>
      </c>
      <c r="B1336" s="4" t="s">
        <v>1534</v>
      </c>
      <c r="C1336" s="3">
        <v>0.0</v>
      </c>
      <c r="D1336" s="3" t="s">
        <v>6</v>
      </c>
    </row>
    <row r="1337">
      <c r="A1337" s="3">
        <v>2016.0</v>
      </c>
      <c r="B1337" s="4" t="s">
        <v>1535</v>
      </c>
      <c r="C1337" s="3">
        <v>0.0</v>
      </c>
      <c r="D1337" s="3" t="s">
        <v>6</v>
      </c>
    </row>
    <row r="1338">
      <c r="A1338" s="3">
        <v>2016.0</v>
      </c>
      <c r="B1338" s="4" t="s">
        <v>1537</v>
      </c>
      <c r="C1338" s="3">
        <v>0.0</v>
      </c>
      <c r="D1338" s="3" t="s">
        <v>32</v>
      </c>
    </row>
    <row r="1339">
      <c r="A1339" s="3">
        <v>2016.0</v>
      </c>
      <c r="B1339" s="4" t="s">
        <v>1538</v>
      </c>
      <c r="C1339" s="3">
        <v>0.0</v>
      </c>
      <c r="D1339" s="3" t="s">
        <v>3</v>
      </c>
    </row>
    <row r="1340">
      <c r="A1340" s="3">
        <v>2016.0</v>
      </c>
      <c r="B1340" s="4" t="s">
        <v>1542</v>
      </c>
      <c r="C1340" s="3">
        <v>0.0</v>
      </c>
      <c r="D1340" s="3" t="s">
        <v>3</v>
      </c>
    </row>
    <row r="1341">
      <c r="A1341" s="3">
        <v>2016.0</v>
      </c>
      <c r="B1341" s="4" t="s">
        <v>1543</v>
      </c>
      <c r="C1341" s="3">
        <v>0.0</v>
      </c>
      <c r="D1341" s="3" t="s">
        <v>3</v>
      </c>
    </row>
    <row r="1342">
      <c r="A1342" s="3">
        <v>2016.0</v>
      </c>
      <c r="B1342" s="4" t="s">
        <v>2281</v>
      </c>
      <c r="C1342" s="3">
        <v>0.0</v>
      </c>
      <c r="D1342" s="3" t="s">
        <v>3</v>
      </c>
    </row>
    <row r="1343">
      <c r="A1343" s="3">
        <v>2016.0</v>
      </c>
      <c r="B1343" s="4" t="s">
        <v>1548</v>
      </c>
      <c r="C1343" s="3">
        <v>0.0</v>
      </c>
      <c r="D1343" s="3" t="s">
        <v>484</v>
      </c>
    </row>
    <row r="1344">
      <c r="A1344" s="3">
        <v>2016.0</v>
      </c>
      <c r="B1344" s="4" t="s">
        <v>1549</v>
      </c>
      <c r="C1344" s="3">
        <v>0.0</v>
      </c>
      <c r="D1344" s="3" t="s">
        <v>3</v>
      </c>
    </row>
    <row r="1345">
      <c r="A1345" s="3">
        <v>2016.0</v>
      </c>
      <c r="B1345" s="4" t="s">
        <v>1551</v>
      </c>
      <c r="C1345" s="3">
        <v>0.0</v>
      </c>
      <c r="D1345" s="3" t="s">
        <v>3</v>
      </c>
    </row>
    <row r="1346">
      <c r="A1346" s="3">
        <v>2016.0</v>
      </c>
      <c r="B1346" s="4" t="s">
        <v>1555</v>
      </c>
      <c r="C1346" s="3">
        <v>0.0</v>
      </c>
      <c r="D1346" s="3" t="s">
        <v>32</v>
      </c>
    </row>
    <row r="1347">
      <c r="A1347" s="3">
        <v>2016.0</v>
      </c>
      <c r="B1347" s="4" t="s">
        <v>1562</v>
      </c>
      <c r="C1347" s="3">
        <v>0.0</v>
      </c>
      <c r="D1347" s="3" t="s">
        <v>3</v>
      </c>
    </row>
    <row r="1348">
      <c r="A1348" s="3">
        <v>2016.0</v>
      </c>
      <c r="B1348" s="4" t="s">
        <v>1572</v>
      </c>
      <c r="C1348" s="3">
        <v>0.0</v>
      </c>
      <c r="D1348" s="3" t="s">
        <v>3</v>
      </c>
    </row>
    <row r="1349">
      <c r="A1349" s="3">
        <v>2016.0</v>
      </c>
      <c r="B1349" s="4" t="s">
        <v>1573</v>
      </c>
      <c r="C1349" s="3">
        <v>0.0</v>
      </c>
      <c r="D1349" s="3" t="s">
        <v>3</v>
      </c>
    </row>
    <row r="1350">
      <c r="A1350" s="3">
        <v>2016.0</v>
      </c>
      <c r="B1350" s="4" t="s">
        <v>1576</v>
      </c>
      <c r="C1350" s="3">
        <v>0.0</v>
      </c>
      <c r="D1350" s="3" t="s">
        <v>3</v>
      </c>
    </row>
    <row r="1351">
      <c r="A1351" s="3">
        <v>2016.0</v>
      </c>
      <c r="B1351" s="4" t="s">
        <v>1578</v>
      </c>
      <c r="C1351" s="3">
        <v>0.0</v>
      </c>
      <c r="D1351" s="3" t="s">
        <v>6</v>
      </c>
    </row>
    <row r="1352">
      <c r="A1352" s="3">
        <v>2016.0</v>
      </c>
      <c r="B1352" s="4" t="s">
        <v>1582</v>
      </c>
      <c r="C1352" s="3">
        <v>0.0</v>
      </c>
      <c r="D1352" s="3" t="s">
        <v>29</v>
      </c>
    </row>
    <row r="1353">
      <c r="A1353" s="3">
        <v>2016.0</v>
      </c>
      <c r="B1353" s="4" t="s">
        <v>1583</v>
      </c>
      <c r="C1353" s="3">
        <v>0.0</v>
      </c>
      <c r="D1353" s="3" t="s">
        <v>6</v>
      </c>
    </row>
    <row r="1354">
      <c r="A1354" s="3">
        <v>2016.0</v>
      </c>
      <c r="B1354" s="4" t="s">
        <v>1584</v>
      </c>
      <c r="C1354" s="3">
        <v>0.0</v>
      </c>
      <c r="D1354" s="3" t="s">
        <v>6</v>
      </c>
    </row>
    <row r="1355">
      <c r="A1355" s="3">
        <v>2016.0</v>
      </c>
      <c r="B1355" s="4" t="s">
        <v>1587</v>
      </c>
      <c r="C1355" s="3">
        <v>0.0</v>
      </c>
      <c r="D1355" s="3" t="s">
        <v>3</v>
      </c>
    </row>
    <row r="1356">
      <c r="A1356" s="3">
        <v>2016.0</v>
      </c>
      <c r="B1356" s="4" t="s">
        <v>1588</v>
      </c>
      <c r="C1356" s="3">
        <v>0.0</v>
      </c>
      <c r="D1356" s="3" t="s">
        <v>3</v>
      </c>
    </row>
    <row r="1357">
      <c r="A1357" s="3">
        <v>2016.0</v>
      </c>
      <c r="B1357" s="4" t="s">
        <v>1591</v>
      </c>
      <c r="C1357" s="3">
        <v>0.0</v>
      </c>
      <c r="D1357" s="3" t="s">
        <v>3</v>
      </c>
    </row>
    <row r="1358">
      <c r="A1358" s="3">
        <v>2016.0</v>
      </c>
      <c r="B1358" s="4" t="s">
        <v>1593</v>
      </c>
      <c r="C1358" s="3">
        <v>0.0</v>
      </c>
      <c r="D1358" s="3" t="s">
        <v>3</v>
      </c>
    </row>
    <row r="1359">
      <c r="A1359" s="3">
        <v>2016.0</v>
      </c>
      <c r="B1359" s="4" t="s">
        <v>1595</v>
      </c>
      <c r="C1359" s="3">
        <v>0.0</v>
      </c>
      <c r="D1359" s="3" t="s">
        <v>6</v>
      </c>
    </row>
    <row r="1360">
      <c r="A1360" s="3">
        <v>2016.0</v>
      </c>
      <c r="B1360" s="4" t="s">
        <v>1598</v>
      </c>
      <c r="C1360" s="3">
        <v>0.0</v>
      </c>
      <c r="D1360" s="3" t="s">
        <v>32</v>
      </c>
    </row>
    <row r="1361">
      <c r="A1361" s="3">
        <v>2016.0</v>
      </c>
      <c r="B1361" s="4" t="s">
        <v>1599</v>
      </c>
      <c r="C1361" s="3">
        <v>0.0</v>
      </c>
      <c r="D1361" s="3" t="s">
        <v>6</v>
      </c>
    </row>
    <row r="1362">
      <c r="A1362" s="3">
        <v>2016.0</v>
      </c>
      <c r="B1362" s="4" t="s">
        <v>1607</v>
      </c>
      <c r="C1362" s="3">
        <v>0.0</v>
      </c>
      <c r="D1362" s="3" t="s">
        <v>3</v>
      </c>
    </row>
    <row r="1363">
      <c r="A1363" s="3">
        <v>2016.0</v>
      </c>
      <c r="B1363" s="4" t="s">
        <v>1608</v>
      </c>
      <c r="C1363" s="3">
        <v>0.0</v>
      </c>
      <c r="D1363" s="3" t="s">
        <v>3</v>
      </c>
    </row>
    <row r="1364">
      <c r="A1364" s="3">
        <v>2016.0</v>
      </c>
      <c r="B1364" s="4" t="s">
        <v>1614</v>
      </c>
      <c r="C1364" s="3">
        <v>0.0</v>
      </c>
      <c r="D1364" s="3" t="s">
        <v>3</v>
      </c>
    </row>
    <row r="1365">
      <c r="A1365" s="3">
        <v>2016.0</v>
      </c>
      <c r="B1365" s="4" t="s">
        <v>1617</v>
      </c>
      <c r="C1365" s="3">
        <v>0.0</v>
      </c>
      <c r="D1365" s="3" t="s">
        <v>3</v>
      </c>
    </row>
    <row r="1366">
      <c r="A1366" s="3">
        <v>2016.0</v>
      </c>
      <c r="B1366" s="4" t="s">
        <v>1618</v>
      </c>
      <c r="C1366" s="3">
        <v>0.0</v>
      </c>
      <c r="D1366" s="3" t="s">
        <v>3</v>
      </c>
    </row>
    <row r="1367">
      <c r="A1367" s="3">
        <v>2016.0</v>
      </c>
      <c r="B1367" s="4" t="s">
        <v>1619</v>
      </c>
      <c r="C1367" s="3">
        <v>0.0</v>
      </c>
      <c r="D1367" s="3" t="s">
        <v>29</v>
      </c>
    </row>
    <row r="1368">
      <c r="A1368" s="3">
        <v>2016.0</v>
      </c>
      <c r="B1368" s="4" t="s">
        <v>1622</v>
      </c>
      <c r="C1368" s="3">
        <v>0.0</v>
      </c>
      <c r="D1368" s="3" t="s">
        <v>3</v>
      </c>
    </row>
    <row r="1369">
      <c r="A1369" s="3">
        <v>2016.0</v>
      </c>
      <c r="B1369" s="4" t="s">
        <v>1623</v>
      </c>
      <c r="C1369" s="3">
        <v>0.0</v>
      </c>
      <c r="D1369" s="3" t="s">
        <v>6</v>
      </c>
    </row>
    <row r="1370">
      <c r="A1370" s="3">
        <v>2016.0</v>
      </c>
      <c r="B1370" s="4" t="s">
        <v>1625</v>
      </c>
      <c r="C1370" s="3">
        <v>0.0</v>
      </c>
      <c r="D1370" s="3" t="s">
        <v>29</v>
      </c>
    </row>
    <row r="1371">
      <c r="A1371" s="3">
        <v>2016.0</v>
      </c>
      <c r="B1371" s="4" t="s">
        <v>1627</v>
      </c>
      <c r="C1371" s="3">
        <v>0.0</v>
      </c>
      <c r="D1371" s="3" t="s">
        <v>6</v>
      </c>
    </row>
    <row r="1372">
      <c r="A1372" s="3">
        <v>2016.0</v>
      </c>
      <c r="B1372" s="4" t="s">
        <v>1629</v>
      </c>
      <c r="C1372" s="3">
        <v>0.0</v>
      </c>
      <c r="D1372" s="3" t="s">
        <v>3</v>
      </c>
    </row>
    <row r="1373">
      <c r="A1373" s="3">
        <v>2016.0</v>
      </c>
      <c r="B1373" s="4" t="s">
        <v>1630</v>
      </c>
      <c r="C1373" s="3">
        <v>0.0</v>
      </c>
      <c r="D1373" s="3" t="s">
        <v>3</v>
      </c>
    </row>
    <row r="1374">
      <c r="A1374" s="3">
        <v>2016.0</v>
      </c>
      <c r="B1374" s="4" t="s">
        <v>1631</v>
      </c>
      <c r="C1374" s="3">
        <v>0.0</v>
      </c>
      <c r="D1374" s="3" t="s">
        <v>3</v>
      </c>
    </row>
    <row r="1375">
      <c r="A1375" s="3">
        <v>2016.0</v>
      </c>
      <c r="B1375" s="4" t="s">
        <v>1632</v>
      </c>
      <c r="C1375" s="3">
        <v>0.0</v>
      </c>
      <c r="D1375" s="3" t="s">
        <v>3</v>
      </c>
    </row>
    <row r="1376">
      <c r="A1376" s="3">
        <v>2016.0</v>
      </c>
      <c r="B1376" s="4" t="s">
        <v>1633</v>
      </c>
      <c r="C1376" s="3">
        <v>0.0</v>
      </c>
      <c r="D1376" s="3" t="s">
        <v>668</v>
      </c>
    </row>
    <row r="1377">
      <c r="A1377" s="3">
        <v>2016.0</v>
      </c>
      <c r="B1377" s="4" t="s">
        <v>1634</v>
      </c>
      <c r="C1377" s="3">
        <v>0.0</v>
      </c>
      <c r="D1377" s="3" t="s">
        <v>3</v>
      </c>
    </row>
    <row r="1378">
      <c r="A1378" s="3">
        <v>2016.0</v>
      </c>
      <c r="B1378" s="4" t="s">
        <v>1645</v>
      </c>
      <c r="C1378" s="3">
        <v>0.0</v>
      </c>
      <c r="D1378" s="3" t="s">
        <v>3</v>
      </c>
    </row>
    <row r="1379">
      <c r="A1379" s="3">
        <v>2016.0</v>
      </c>
      <c r="B1379" s="4" t="s">
        <v>1646</v>
      </c>
      <c r="C1379" s="3">
        <v>0.0</v>
      </c>
      <c r="D1379" s="3" t="s">
        <v>32</v>
      </c>
    </row>
    <row r="1380">
      <c r="A1380" s="3">
        <v>2016.0</v>
      </c>
      <c r="B1380" s="4" t="s">
        <v>1650</v>
      </c>
      <c r="C1380" s="3">
        <v>0.0</v>
      </c>
      <c r="D1380" s="3" t="s">
        <v>1651</v>
      </c>
    </row>
    <row r="1381">
      <c r="A1381" s="3">
        <v>2016.0</v>
      </c>
      <c r="B1381" s="4" t="s">
        <v>1652</v>
      </c>
      <c r="C1381" s="3">
        <v>0.0</v>
      </c>
      <c r="D1381" s="3" t="s">
        <v>3</v>
      </c>
    </row>
    <row r="1382">
      <c r="A1382" s="3">
        <v>2016.0</v>
      </c>
      <c r="B1382" s="4" t="s">
        <v>1657</v>
      </c>
      <c r="C1382" s="3">
        <v>0.0</v>
      </c>
      <c r="D1382" s="3" t="s">
        <v>3</v>
      </c>
    </row>
    <row r="1383">
      <c r="A1383" s="3">
        <v>2016.0</v>
      </c>
      <c r="B1383" s="4" t="s">
        <v>1660</v>
      </c>
      <c r="C1383" s="3">
        <v>0.0</v>
      </c>
      <c r="D1383" s="3" t="s">
        <v>3</v>
      </c>
    </row>
    <row r="1384">
      <c r="A1384" s="3">
        <v>2016.0</v>
      </c>
      <c r="B1384" s="4" t="s">
        <v>1661</v>
      </c>
      <c r="C1384" s="3">
        <v>0.0</v>
      </c>
      <c r="D1384" s="3" t="s">
        <v>3</v>
      </c>
    </row>
    <row r="1385">
      <c r="A1385" s="3">
        <v>2016.0</v>
      </c>
      <c r="B1385" s="4" t="s">
        <v>1664</v>
      </c>
      <c r="C1385" s="3">
        <v>0.0</v>
      </c>
      <c r="D1385" s="3" t="s">
        <v>3</v>
      </c>
    </row>
    <row r="1386">
      <c r="A1386" s="3">
        <v>2016.0</v>
      </c>
      <c r="B1386" s="4" t="s">
        <v>1666</v>
      </c>
      <c r="C1386" s="3">
        <v>0.0</v>
      </c>
      <c r="D1386" s="3" t="s">
        <v>6</v>
      </c>
    </row>
    <row r="1387">
      <c r="A1387" s="3">
        <v>2016.0</v>
      </c>
      <c r="B1387" s="4" t="s">
        <v>1668</v>
      </c>
      <c r="C1387" s="3">
        <v>0.0</v>
      </c>
      <c r="D1387" s="3" t="s">
        <v>3</v>
      </c>
    </row>
    <row r="1388">
      <c r="A1388" s="3">
        <v>2016.0</v>
      </c>
      <c r="B1388" s="4" t="s">
        <v>1670</v>
      </c>
      <c r="C1388" s="3">
        <v>0.0</v>
      </c>
      <c r="D1388" s="3" t="s">
        <v>3</v>
      </c>
    </row>
    <row r="1389">
      <c r="A1389" s="3">
        <v>2016.0</v>
      </c>
      <c r="B1389" s="4" t="s">
        <v>1675</v>
      </c>
      <c r="C1389" s="3">
        <v>0.0</v>
      </c>
      <c r="D1389" s="3" t="s">
        <v>3</v>
      </c>
    </row>
    <row r="1390">
      <c r="A1390" s="3">
        <v>2016.0</v>
      </c>
      <c r="B1390" s="4" t="s">
        <v>2290</v>
      </c>
      <c r="C1390" s="3">
        <v>0.0</v>
      </c>
      <c r="D1390" s="3" t="s">
        <v>3</v>
      </c>
    </row>
    <row r="1391">
      <c r="A1391" s="3">
        <v>2016.0</v>
      </c>
      <c r="B1391" s="4" t="s">
        <v>1682</v>
      </c>
      <c r="C1391" s="3">
        <v>0.0</v>
      </c>
      <c r="D1391" s="3" t="s">
        <v>3</v>
      </c>
    </row>
    <row r="1392">
      <c r="A1392" s="3">
        <v>2016.0</v>
      </c>
      <c r="B1392" s="4" t="s">
        <v>1685</v>
      </c>
      <c r="C1392" s="3">
        <v>0.0</v>
      </c>
      <c r="D1392" s="3" t="s">
        <v>3</v>
      </c>
    </row>
    <row r="1393">
      <c r="A1393" s="3">
        <v>2016.0</v>
      </c>
      <c r="B1393" s="4" t="s">
        <v>1686</v>
      </c>
      <c r="C1393" s="3">
        <v>0.0</v>
      </c>
      <c r="D1393" s="3" t="s">
        <v>3</v>
      </c>
    </row>
    <row r="1394">
      <c r="A1394" s="3">
        <v>2016.0</v>
      </c>
      <c r="B1394" s="4" t="s">
        <v>1687</v>
      </c>
      <c r="C1394" s="3">
        <v>0.0</v>
      </c>
      <c r="D1394" s="3" t="s">
        <v>29</v>
      </c>
    </row>
    <row r="1395">
      <c r="A1395" s="3">
        <v>2016.0</v>
      </c>
      <c r="B1395" s="4" t="s">
        <v>1690</v>
      </c>
      <c r="C1395" s="3">
        <v>0.0</v>
      </c>
      <c r="D1395" s="3" t="s">
        <v>29</v>
      </c>
    </row>
    <row r="1396">
      <c r="A1396" s="3">
        <v>2016.0</v>
      </c>
      <c r="B1396" s="4" t="s">
        <v>1691</v>
      </c>
      <c r="C1396" s="3">
        <v>0.0</v>
      </c>
      <c r="D1396" s="3" t="s">
        <v>484</v>
      </c>
    </row>
    <row r="1397">
      <c r="A1397" s="3">
        <v>2016.0</v>
      </c>
      <c r="B1397" s="4" t="s">
        <v>1694</v>
      </c>
      <c r="C1397" s="3">
        <v>0.0</v>
      </c>
      <c r="D1397" s="3" t="s">
        <v>32</v>
      </c>
    </row>
    <row r="1398">
      <c r="A1398" s="3">
        <v>2016.0</v>
      </c>
      <c r="B1398" s="4" t="s">
        <v>1695</v>
      </c>
      <c r="C1398" s="3">
        <v>0.0</v>
      </c>
      <c r="D1398" s="3" t="s">
        <v>3</v>
      </c>
    </row>
    <row r="1399">
      <c r="A1399" s="3">
        <v>2016.0</v>
      </c>
      <c r="B1399" s="4" t="s">
        <v>1699</v>
      </c>
      <c r="C1399" s="3">
        <v>0.0</v>
      </c>
      <c r="D1399" s="3" t="s">
        <v>3</v>
      </c>
    </row>
    <row r="1400">
      <c r="A1400" s="3">
        <v>2016.0</v>
      </c>
      <c r="B1400" s="4" t="s">
        <v>1700</v>
      </c>
      <c r="C1400" s="3">
        <v>0.0</v>
      </c>
      <c r="D1400" s="3" t="s">
        <v>3</v>
      </c>
    </row>
    <row r="1401">
      <c r="A1401" s="3">
        <v>2016.0</v>
      </c>
      <c r="B1401" s="4" t="s">
        <v>1703</v>
      </c>
      <c r="C1401" s="3">
        <v>0.0</v>
      </c>
      <c r="D1401" s="3" t="s">
        <v>3</v>
      </c>
    </row>
    <row r="1402">
      <c r="A1402" s="3">
        <v>2016.0</v>
      </c>
      <c r="B1402" s="4" t="s">
        <v>1704</v>
      </c>
      <c r="C1402" s="3">
        <v>0.0</v>
      </c>
      <c r="D1402" s="3" t="s">
        <v>3</v>
      </c>
    </row>
    <row r="1403">
      <c r="A1403" s="3">
        <v>2016.0</v>
      </c>
      <c r="B1403" s="4" t="s">
        <v>1705</v>
      </c>
      <c r="C1403" s="3">
        <v>0.0</v>
      </c>
      <c r="D1403" s="3" t="s">
        <v>3</v>
      </c>
    </row>
    <row r="1404">
      <c r="A1404" s="3">
        <v>2016.0</v>
      </c>
      <c r="B1404" s="4" t="s">
        <v>1706</v>
      </c>
      <c r="C1404" s="3">
        <v>0.0</v>
      </c>
      <c r="D1404" s="3" t="s">
        <v>6</v>
      </c>
    </row>
    <row r="1405">
      <c r="A1405" s="3">
        <v>2016.0</v>
      </c>
      <c r="B1405" s="4" t="s">
        <v>1707</v>
      </c>
      <c r="C1405" s="3">
        <v>0.0</v>
      </c>
      <c r="D1405" s="3" t="s">
        <v>6</v>
      </c>
    </row>
    <row r="1406">
      <c r="A1406" s="3">
        <v>2016.0</v>
      </c>
      <c r="B1406" s="4" t="s">
        <v>1708</v>
      </c>
      <c r="C1406" s="3">
        <v>0.0</v>
      </c>
      <c r="D1406" s="3" t="s">
        <v>3</v>
      </c>
    </row>
    <row r="1407">
      <c r="A1407" s="3">
        <v>2016.0</v>
      </c>
      <c r="B1407" s="4" t="s">
        <v>1711</v>
      </c>
      <c r="C1407" s="3">
        <v>0.0</v>
      </c>
      <c r="D1407" s="3" t="s">
        <v>3</v>
      </c>
    </row>
    <row r="1408">
      <c r="A1408" s="3">
        <v>2016.0</v>
      </c>
      <c r="B1408" s="4" t="s">
        <v>1720</v>
      </c>
      <c r="C1408" s="3">
        <v>0.0</v>
      </c>
      <c r="D1408" s="3" t="s">
        <v>3</v>
      </c>
    </row>
    <row r="1409">
      <c r="A1409" s="3">
        <v>2016.0</v>
      </c>
      <c r="B1409" s="4" t="s">
        <v>1721</v>
      </c>
      <c r="C1409" s="3">
        <v>0.0</v>
      </c>
      <c r="D1409" s="3" t="s">
        <v>3</v>
      </c>
    </row>
    <row r="1410">
      <c r="A1410" s="3">
        <v>2016.0</v>
      </c>
      <c r="B1410" s="4" t="s">
        <v>1722</v>
      </c>
      <c r="C1410" s="3">
        <v>0.0</v>
      </c>
      <c r="D1410" s="3" t="s">
        <v>3</v>
      </c>
    </row>
    <row r="1411">
      <c r="A1411" s="3">
        <v>2016.0</v>
      </c>
      <c r="B1411" s="4" t="s">
        <v>2293</v>
      </c>
      <c r="C1411" s="3">
        <v>0.0</v>
      </c>
      <c r="D1411" s="3" t="s">
        <v>32</v>
      </c>
    </row>
    <row r="1412">
      <c r="A1412" s="3">
        <v>2016.0</v>
      </c>
      <c r="B1412" s="4" t="s">
        <v>1728</v>
      </c>
      <c r="C1412" s="3">
        <v>0.0</v>
      </c>
      <c r="D1412" s="3" t="s">
        <v>3</v>
      </c>
    </row>
    <row r="1413">
      <c r="A1413" s="3">
        <v>2016.0</v>
      </c>
      <c r="B1413" s="4" t="s">
        <v>1729</v>
      </c>
      <c r="C1413" s="3">
        <v>0.0</v>
      </c>
      <c r="D1413" s="3" t="s">
        <v>3</v>
      </c>
    </row>
    <row r="1414">
      <c r="A1414" s="3">
        <v>2016.0</v>
      </c>
      <c r="B1414" s="4" t="s">
        <v>1730</v>
      </c>
      <c r="C1414" s="3">
        <v>0.0</v>
      </c>
      <c r="D1414" s="3" t="s">
        <v>29</v>
      </c>
    </row>
    <row r="1415">
      <c r="A1415" s="3">
        <v>2016.0</v>
      </c>
      <c r="B1415" s="4" t="s">
        <v>1731</v>
      </c>
      <c r="C1415" s="3">
        <v>0.0</v>
      </c>
      <c r="D1415" s="3" t="s">
        <v>6</v>
      </c>
    </row>
    <row r="1416">
      <c r="A1416" s="3">
        <v>2016.0</v>
      </c>
      <c r="B1416" s="4" t="s">
        <v>1732</v>
      </c>
      <c r="C1416" s="3">
        <v>0.0</v>
      </c>
      <c r="D1416" s="3" t="s">
        <v>3</v>
      </c>
    </row>
    <row r="1417">
      <c r="A1417" s="3">
        <v>2016.0</v>
      </c>
      <c r="B1417" s="4" t="s">
        <v>1737</v>
      </c>
      <c r="C1417" s="3">
        <v>0.0</v>
      </c>
      <c r="D1417" s="3" t="s">
        <v>3</v>
      </c>
    </row>
    <row r="1418">
      <c r="A1418" s="3">
        <v>2016.0</v>
      </c>
      <c r="B1418" s="4" t="s">
        <v>1740</v>
      </c>
      <c r="C1418" s="3">
        <v>0.0</v>
      </c>
      <c r="D1418" s="3" t="s">
        <v>3</v>
      </c>
    </row>
    <row r="1419">
      <c r="A1419" s="3">
        <v>2016.0</v>
      </c>
      <c r="B1419" s="4" t="s">
        <v>2294</v>
      </c>
      <c r="C1419" s="3">
        <v>0.0</v>
      </c>
      <c r="D1419" s="3" t="s">
        <v>3</v>
      </c>
    </row>
    <row r="1420">
      <c r="A1420" s="3">
        <v>2016.0</v>
      </c>
      <c r="B1420" s="4" t="s">
        <v>1743</v>
      </c>
      <c r="C1420" s="3">
        <v>0.0</v>
      </c>
      <c r="D1420" s="3" t="s">
        <v>3</v>
      </c>
    </row>
    <row r="1421">
      <c r="A1421" s="3">
        <v>2016.0</v>
      </c>
      <c r="B1421" s="4" t="s">
        <v>1749</v>
      </c>
      <c r="C1421" s="3">
        <v>0.0</v>
      </c>
      <c r="D1421" s="3" t="s">
        <v>6</v>
      </c>
    </row>
    <row r="1422">
      <c r="A1422" s="3">
        <v>2016.0</v>
      </c>
      <c r="B1422" s="4" t="s">
        <v>1750</v>
      </c>
      <c r="C1422" s="3">
        <v>0.0</v>
      </c>
      <c r="D1422" s="3" t="s">
        <v>6</v>
      </c>
    </row>
    <row r="1423">
      <c r="A1423" s="3">
        <v>2016.0</v>
      </c>
      <c r="B1423" s="4" t="s">
        <v>1753</v>
      </c>
      <c r="C1423" s="3">
        <v>0.0</v>
      </c>
      <c r="D1423" s="3" t="s">
        <v>32</v>
      </c>
    </row>
    <row r="1424">
      <c r="A1424" s="3">
        <v>2016.0</v>
      </c>
      <c r="B1424" s="4" t="s">
        <v>1755</v>
      </c>
      <c r="C1424" s="3">
        <v>0.0</v>
      </c>
      <c r="D1424" s="3" t="s">
        <v>3</v>
      </c>
    </row>
    <row r="1425">
      <c r="A1425" s="3">
        <v>2016.0</v>
      </c>
      <c r="B1425" s="4" t="s">
        <v>1760</v>
      </c>
      <c r="C1425" s="3">
        <v>0.0</v>
      </c>
      <c r="D1425" s="3" t="s">
        <v>3</v>
      </c>
    </row>
    <row r="1426">
      <c r="A1426" s="3">
        <v>2016.0</v>
      </c>
      <c r="B1426" s="4" t="s">
        <v>1763</v>
      </c>
      <c r="C1426" s="3">
        <v>0.0</v>
      </c>
      <c r="D1426" s="3" t="s">
        <v>3</v>
      </c>
    </row>
    <row r="1427">
      <c r="A1427" s="3">
        <v>2016.0</v>
      </c>
      <c r="B1427" s="4" t="s">
        <v>1768</v>
      </c>
      <c r="C1427" s="3">
        <v>0.0</v>
      </c>
      <c r="D1427" s="3" t="s">
        <v>6</v>
      </c>
    </row>
    <row r="1428">
      <c r="A1428" s="3">
        <v>2016.0</v>
      </c>
      <c r="B1428" s="4" t="s">
        <v>1769</v>
      </c>
      <c r="C1428" s="3">
        <v>0.0</v>
      </c>
      <c r="D1428" s="3" t="s">
        <v>3</v>
      </c>
    </row>
    <row r="1429">
      <c r="A1429" s="3">
        <v>2016.0</v>
      </c>
      <c r="B1429" s="4" t="s">
        <v>1770</v>
      </c>
      <c r="C1429" s="3">
        <v>0.0</v>
      </c>
      <c r="D1429" s="3" t="s">
        <v>29</v>
      </c>
    </row>
    <row r="1430">
      <c r="A1430" s="3">
        <v>2016.0</v>
      </c>
      <c r="B1430" s="4" t="s">
        <v>1771</v>
      </c>
      <c r="C1430" s="3">
        <v>0.0</v>
      </c>
      <c r="D1430" s="3" t="s">
        <v>3</v>
      </c>
    </row>
    <row r="1431">
      <c r="A1431" s="3">
        <v>2016.0</v>
      </c>
      <c r="B1431" s="4" t="s">
        <v>1772</v>
      </c>
      <c r="C1431" s="3">
        <v>0.0</v>
      </c>
      <c r="D1431" s="3" t="s">
        <v>32</v>
      </c>
    </row>
    <row r="1432">
      <c r="A1432" s="3">
        <v>2016.0</v>
      </c>
      <c r="B1432" s="4" t="s">
        <v>1780</v>
      </c>
      <c r="C1432" s="3">
        <v>0.0</v>
      </c>
      <c r="D1432" s="3" t="s">
        <v>32</v>
      </c>
    </row>
    <row r="1433">
      <c r="A1433" s="3">
        <v>2016.0</v>
      </c>
      <c r="B1433" s="4" t="s">
        <v>1784</v>
      </c>
      <c r="C1433" s="3">
        <v>0.0</v>
      </c>
      <c r="D1433" s="3" t="s">
        <v>3</v>
      </c>
    </row>
    <row r="1434">
      <c r="A1434" s="3">
        <v>2016.0</v>
      </c>
      <c r="B1434" s="4" t="s">
        <v>1785</v>
      </c>
      <c r="C1434" s="3">
        <v>0.0</v>
      </c>
      <c r="D1434" s="3" t="s">
        <v>3</v>
      </c>
    </row>
    <row r="1435">
      <c r="A1435" s="3">
        <v>2016.0</v>
      </c>
      <c r="B1435" s="4" t="s">
        <v>1786</v>
      </c>
      <c r="C1435" s="3">
        <v>0.0</v>
      </c>
      <c r="D1435" s="3" t="s">
        <v>6</v>
      </c>
    </row>
    <row r="1436">
      <c r="A1436" s="3">
        <v>2016.0</v>
      </c>
      <c r="B1436" s="4" t="s">
        <v>1794</v>
      </c>
      <c r="C1436" s="3">
        <v>0.0</v>
      </c>
      <c r="D1436" s="3" t="s">
        <v>3</v>
      </c>
    </row>
    <row r="1437">
      <c r="A1437" s="3">
        <v>2016.0</v>
      </c>
      <c r="B1437" s="4" t="s">
        <v>1796</v>
      </c>
      <c r="C1437" s="3">
        <v>0.0</v>
      </c>
      <c r="D1437" s="3" t="s">
        <v>3</v>
      </c>
    </row>
    <row r="1438">
      <c r="A1438" s="3">
        <v>2016.0</v>
      </c>
      <c r="B1438" s="4" t="s">
        <v>2297</v>
      </c>
      <c r="C1438" s="3">
        <v>0.0</v>
      </c>
      <c r="D1438" s="3" t="s">
        <v>32</v>
      </c>
    </row>
    <row r="1439">
      <c r="A1439" s="3">
        <v>2016.0</v>
      </c>
      <c r="B1439" s="4" t="s">
        <v>1799</v>
      </c>
      <c r="C1439" s="3">
        <v>0.0</v>
      </c>
      <c r="D1439" s="3" t="s">
        <v>29</v>
      </c>
    </row>
    <row r="1440">
      <c r="A1440" s="3">
        <v>2016.0</v>
      </c>
      <c r="B1440" s="4" t="s">
        <v>2299</v>
      </c>
      <c r="C1440" s="3">
        <v>0.0</v>
      </c>
      <c r="D1440" s="3" t="s">
        <v>6</v>
      </c>
    </row>
    <row r="1441">
      <c r="A1441" s="3">
        <v>2016.0</v>
      </c>
      <c r="B1441" s="4" t="s">
        <v>2300</v>
      </c>
      <c r="C1441" s="3">
        <v>0.0</v>
      </c>
      <c r="D1441" s="3" t="s">
        <v>29</v>
      </c>
    </row>
    <row r="1442">
      <c r="A1442" s="3">
        <v>2016.0</v>
      </c>
      <c r="B1442" s="4" t="s">
        <v>1807</v>
      </c>
      <c r="C1442" s="3">
        <v>0.0</v>
      </c>
      <c r="D1442" s="3" t="s">
        <v>668</v>
      </c>
    </row>
    <row r="1443">
      <c r="A1443" s="3">
        <v>2016.0</v>
      </c>
      <c r="B1443" s="4" t="s">
        <v>1814</v>
      </c>
      <c r="C1443" s="3">
        <v>0.0</v>
      </c>
      <c r="D1443" s="3" t="s">
        <v>3</v>
      </c>
    </row>
    <row r="1444">
      <c r="A1444" s="3">
        <v>2016.0</v>
      </c>
      <c r="B1444" s="4" t="s">
        <v>2302</v>
      </c>
      <c r="C1444" s="3">
        <v>0.0</v>
      </c>
      <c r="D1444" s="3" t="s">
        <v>3</v>
      </c>
    </row>
    <row r="1445">
      <c r="A1445" s="3">
        <v>2016.0</v>
      </c>
      <c r="B1445" s="4" t="s">
        <v>1818</v>
      </c>
      <c r="C1445" s="3">
        <v>0.0</v>
      </c>
      <c r="D1445" s="3" t="s">
        <v>3</v>
      </c>
    </row>
    <row r="1446">
      <c r="A1446" s="3">
        <v>2016.0</v>
      </c>
      <c r="B1446" s="4" t="s">
        <v>1821</v>
      </c>
      <c r="C1446" s="3">
        <v>0.0</v>
      </c>
      <c r="D1446" s="3" t="s">
        <v>3</v>
      </c>
    </row>
    <row r="1447">
      <c r="A1447" s="3">
        <v>2016.0</v>
      </c>
      <c r="B1447" s="4" t="s">
        <v>1825</v>
      </c>
      <c r="C1447" s="3">
        <v>0.0</v>
      </c>
      <c r="D1447" s="3" t="s">
        <v>3</v>
      </c>
    </row>
    <row r="1448">
      <c r="A1448" s="3">
        <v>2016.0</v>
      </c>
      <c r="B1448" s="4" t="s">
        <v>1826</v>
      </c>
      <c r="C1448" s="3">
        <v>0.0</v>
      </c>
      <c r="D1448" s="3" t="s">
        <v>3</v>
      </c>
    </row>
    <row r="1449">
      <c r="A1449" s="3">
        <v>2016.0</v>
      </c>
      <c r="B1449" s="4" t="s">
        <v>2305</v>
      </c>
      <c r="C1449" s="3">
        <v>0.0</v>
      </c>
      <c r="D1449" s="3" t="s">
        <v>3</v>
      </c>
    </row>
    <row r="1450">
      <c r="A1450" s="3">
        <v>2016.0</v>
      </c>
      <c r="B1450" s="4" t="s">
        <v>1829</v>
      </c>
      <c r="C1450" s="3">
        <v>0.0</v>
      </c>
      <c r="D1450" s="3" t="s">
        <v>3</v>
      </c>
    </row>
    <row r="1451">
      <c r="A1451" s="3">
        <v>2016.0</v>
      </c>
      <c r="B1451" s="4" t="s">
        <v>1831</v>
      </c>
      <c r="C1451" s="3">
        <v>0.0</v>
      </c>
      <c r="D1451" s="3" t="s">
        <v>3</v>
      </c>
    </row>
    <row r="1452">
      <c r="A1452" s="3">
        <v>2016.0</v>
      </c>
      <c r="B1452" s="4" t="s">
        <v>1834</v>
      </c>
      <c r="C1452" s="3">
        <v>0.0</v>
      </c>
      <c r="D1452" s="3" t="s">
        <v>29</v>
      </c>
    </row>
    <row r="1453">
      <c r="A1453" s="3">
        <v>2016.0</v>
      </c>
      <c r="B1453" s="4" t="s">
        <v>1837</v>
      </c>
      <c r="C1453" s="3">
        <v>0.0</v>
      </c>
      <c r="D1453" s="3" t="s">
        <v>3</v>
      </c>
    </row>
    <row r="1454">
      <c r="A1454" s="3">
        <v>2016.0</v>
      </c>
      <c r="B1454" s="4" t="s">
        <v>1840</v>
      </c>
      <c r="C1454" s="3">
        <v>0.0</v>
      </c>
      <c r="D1454" s="3" t="s">
        <v>3</v>
      </c>
    </row>
    <row r="1455">
      <c r="A1455" s="3">
        <v>2016.0</v>
      </c>
      <c r="B1455" s="4" t="s">
        <v>1841</v>
      </c>
      <c r="C1455" s="3">
        <v>0.0</v>
      </c>
      <c r="D1455" s="3" t="s">
        <v>29</v>
      </c>
    </row>
    <row r="1456">
      <c r="A1456" s="3">
        <v>2016.0</v>
      </c>
      <c r="B1456" s="4" t="s">
        <v>1843</v>
      </c>
      <c r="C1456" s="3">
        <v>0.0</v>
      </c>
      <c r="D1456" s="3" t="s">
        <v>3</v>
      </c>
    </row>
    <row r="1457">
      <c r="A1457" s="3">
        <v>2016.0</v>
      </c>
      <c r="B1457" s="4" t="s">
        <v>2307</v>
      </c>
      <c r="C1457" s="3">
        <v>0.0</v>
      </c>
      <c r="D1457" s="3" t="s">
        <v>32</v>
      </c>
    </row>
    <row r="1458">
      <c r="A1458" s="3">
        <v>2016.0</v>
      </c>
      <c r="B1458" s="4" t="s">
        <v>1846</v>
      </c>
      <c r="C1458" s="3">
        <v>0.0</v>
      </c>
      <c r="D1458" s="3" t="s">
        <v>6</v>
      </c>
    </row>
    <row r="1459">
      <c r="A1459" s="3">
        <v>2016.0</v>
      </c>
      <c r="B1459" s="4" t="s">
        <v>1847</v>
      </c>
      <c r="C1459" s="3">
        <v>0.0</v>
      </c>
      <c r="D1459" s="3" t="s">
        <v>6</v>
      </c>
    </row>
    <row r="1460">
      <c r="A1460" s="3">
        <v>2016.0</v>
      </c>
      <c r="B1460" s="4" t="s">
        <v>1854</v>
      </c>
      <c r="C1460" s="3">
        <v>0.0</v>
      </c>
      <c r="D1460" s="3" t="s">
        <v>6</v>
      </c>
    </row>
    <row r="1461">
      <c r="A1461" s="3">
        <v>2016.0</v>
      </c>
      <c r="B1461" s="4" t="s">
        <v>1855</v>
      </c>
      <c r="C1461" s="3">
        <v>0.0</v>
      </c>
      <c r="D1461" s="3" t="s">
        <v>29</v>
      </c>
    </row>
    <row r="1462">
      <c r="A1462" s="3">
        <v>2016.0</v>
      </c>
      <c r="B1462" s="4" t="s">
        <v>2310</v>
      </c>
      <c r="C1462" s="3">
        <v>0.0</v>
      </c>
      <c r="D1462" s="3" t="s">
        <v>3</v>
      </c>
    </row>
    <row r="1463">
      <c r="A1463" s="3">
        <v>2016.0</v>
      </c>
      <c r="B1463" s="4" t="s">
        <v>1861</v>
      </c>
      <c r="C1463" s="3">
        <v>0.0</v>
      </c>
      <c r="D1463" s="3" t="s">
        <v>3</v>
      </c>
    </row>
    <row r="1464">
      <c r="A1464" s="3">
        <v>2016.0</v>
      </c>
      <c r="B1464" s="4" t="s">
        <v>1863</v>
      </c>
      <c r="C1464" s="3">
        <v>0.0</v>
      </c>
      <c r="D1464" s="3" t="s">
        <v>6</v>
      </c>
    </row>
    <row r="1465">
      <c r="A1465" s="3">
        <v>2016.0</v>
      </c>
      <c r="B1465" s="4" t="s">
        <v>1864</v>
      </c>
      <c r="C1465" s="3">
        <v>0.0</v>
      </c>
      <c r="D1465" s="3" t="s">
        <v>6</v>
      </c>
    </row>
    <row r="1466">
      <c r="A1466" s="3">
        <v>2016.0</v>
      </c>
      <c r="B1466" s="4" t="s">
        <v>1865</v>
      </c>
      <c r="C1466" s="3">
        <v>0.0</v>
      </c>
      <c r="D1466" s="3" t="s">
        <v>32</v>
      </c>
    </row>
    <row r="1467">
      <c r="A1467" s="3">
        <v>2016.0</v>
      </c>
      <c r="B1467" s="4" t="s">
        <v>1866</v>
      </c>
      <c r="C1467" s="3">
        <v>0.0</v>
      </c>
      <c r="D1467" s="3" t="s">
        <v>3</v>
      </c>
    </row>
    <row r="1468">
      <c r="A1468" s="3">
        <v>2016.0</v>
      </c>
      <c r="B1468" s="4" t="s">
        <v>1867</v>
      </c>
      <c r="C1468" s="3">
        <v>0.0</v>
      </c>
      <c r="D1468" s="3" t="s">
        <v>3</v>
      </c>
    </row>
    <row r="1469">
      <c r="A1469" s="3">
        <v>2016.0</v>
      </c>
      <c r="B1469" s="4" t="s">
        <v>1868</v>
      </c>
      <c r="C1469" s="3">
        <v>0.0</v>
      </c>
      <c r="D1469" s="3" t="s">
        <v>26</v>
      </c>
    </row>
    <row r="1470">
      <c r="A1470" s="3">
        <v>2016.0</v>
      </c>
      <c r="B1470" s="4" t="s">
        <v>1869</v>
      </c>
      <c r="C1470" s="3">
        <v>0.0</v>
      </c>
      <c r="D1470" s="3" t="s">
        <v>3</v>
      </c>
    </row>
    <row r="1471">
      <c r="A1471" s="3">
        <v>2016.0</v>
      </c>
      <c r="B1471" s="4" t="s">
        <v>1870</v>
      </c>
      <c r="C1471" s="3">
        <v>0.0</v>
      </c>
      <c r="D1471" s="3" t="s">
        <v>3</v>
      </c>
    </row>
    <row r="1472">
      <c r="A1472" s="3">
        <v>2016.0</v>
      </c>
      <c r="B1472" s="4" t="s">
        <v>1871</v>
      </c>
      <c r="C1472" s="3">
        <v>0.0</v>
      </c>
      <c r="D1472" s="3" t="s">
        <v>3</v>
      </c>
    </row>
    <row r="1473">
      <c r="A1473" s="3">
        <v>2016.0</v>
      </c>
      <c r="B1473" s="4" t="s">
        <v>2311</v>
      </c>
      <c r="C1473" s="3">
        <v>0.0</v>
      </c>
      <c r="D1473" s="3" t="s">
        <v>3</v>
      </c>
    </row>
    <row r="1474">
      <c r="A1474" s="3">
        <v>2016.0</v>
      </c>
      <c r="B1474" s="4" t="s">
        <v>1875</v>
      </c>
      <c r="C1474" s="3">
        <v>0.0</v>
      </c>
      <c r="D1474" s="3" t="s">
        <v>32</v>
      </c>
    </row>
    <row r="1475">
      <c r="A1475" s="3">
        <v>2016.0</v>
      </c>
      <c r="B1475" s="4" t="s">
        <v>1876</v>
      </c>
      <c r="C1475" s="3">
        <v>0.0</v>
      </c>
      <c r="D1475" s="3" t="s">
        <v>3</v>
      </c>
    </row>
    <row r="1476">
      <c r="A1476" s="3">
        <v>2016.0</v>
      </c>
      <c r="B1476" s="4" t="s">
        <v>1877</v>
      </c>
      <c r="C1476" s="3">
        <v>0.0</v>
      </c>
      <c r="D1476" s="3" t="s">
        <v>3</v>
      </c>
    </row>
    <row r="1477">
      <c r="A1477" s="3">
        <v>2016.0</v>
      </c>
      <c r="B1477" s="4" t="s">
        <v>1878</v>
      </c>
      <c r="C1477" s="3">
        <v>0.0</v>
      </c>
      <c r="D1477" s="3" t="s">
        <v>3</v>
      </c>
    </row>
    <row r="1478">
      <c r="A1478" s="3">
        <v>2016.0</v>
      </c>
      <c r="B1478" s="4" t="s">
        <v>1879</v>
      </c>
      <c r="C1478" s="3">
        <v>0.0</v>
      </c>
      <c r="D1478" s="3" t="s">
        <v>6</v>
      </c>
    </row>
    <row r="1479">
      <c r="A1479" s="3">
        <v>2016.0</v>
      </c>
      <c r="B1479" s="4" t="s">
        <v>1881</v>
      </c>
      <c r="C1479" s="3">
        <v>0.0</v>
      </c>
      <c r="D1479" s="3" t="s">
        <v>3</v>
      </c>
    </row>
    <row r="1480">
      <c r="A1480" s="3">
        <v>2016.0</v>
      </c>
      <c r="B1480" s="4" t="s">
        <v>1882</v>
      </c>
      <c r="C1480" s="3">
        <v>0.0</v>
      </c>
      <c r="D1480" s="3" t="s">
        <v>32</v>
      </c>
    </row>
    <row r="1481">
      <c r="A1481" s="3">
        <v>2016.0</v>
      </c>
      <c r="B1481" s="4" t="s">
        <v>1883</v>
      </c>
      <c r="C1481" s="3">
        <v>0.0</v>
      </c>
      <c r="D1481" s="3" t="s">
        <v>3</v>
      </c>
    </row>
    <row r="1482">
      <c r="A1482" s="3">
        <v>2016.0</v>
      </c>
      <c r="B1482" s="4" t="s">
        <v>1887</v>
      </c>
      <c r="C1482" s="3">
        <v>0.0</v>
      </c>
      <c r="D1482" s="3" t="s">
        <v>6</v>
      </c>
    </row>
    <row r="1483">
      <c r="A1483" s="3">
        <v>2016.0</v>
      </c>
      <c r="B1483" s="4" t="s">
        <v>1891</v>
      </c>
      <c r="C1483" s="3">
        <v>0.0</v>
      </c>
      <c r="D1483" s="3" t="s">
        <v>3</v>
      </c>
    </row>
    <row r="1484">
      <c r="A1484" s="3">
        <v>2016.0</v>
      </c>
      <c r="B1484" s="4" t="s">
        <v>1892</v>
      </c>
      <c r="C1484" s="3">
        <v>0.0</v>
      </c>
      <c r="D1484" s="3" t="s">
        <v>3</v>
      </c>
    </row>
    <row r="1485">
      <c r="A1485" s="3">
        <v>2016.0</v>
      </c>
      <c r="B1485" s="4" t="s">
        <v>1893</v>
      </c>
      <c r="C1485" s="3">
        <v>0.0</v>
      </c>
      <c r="D1485" s="3" t="s">
        <v>3</v>
      </c>
    </row>
    <row r="1486">
      <c r="A1486" s="3">
        <v>2016.0</v>
      </c>
      <c r="B1486" s="4" t="s">
        <v>1894</v>
      </c>
      <c r="C1486" s="3">
        <v>0.0</v>
      </c>
      <c r="D1486" s="3" t="s">
        <v>3</v>
      </c>
    </row>
    <row r="1487">
      <c r="A1487" s="3">
        <v>2016.0</v>
      </c>
      <c r="B1487" s="4" t="s">
        <v>1898</v>
      </c>
      <c r="C1487" s="3">
        <v>0.0</v>
      </c>
      <c r="D1487" s="3" t="s">
        <v>3</v>
      </c>
    </row>
    <row r="1488">
      <c r="A1488" s="3">
        <v>2016.0</v>
      </c>
      <c r="B1488" s="4" t="s">
        <v>1900</v>
      </c>
      <c r="C1488" s="3">
        <v>0.0</v>
      </c>
      <c r="D1488" s="3" t="s">
        <v>3</v>
      </c>
    </row>
    <row r="1489">
      <c r="A1489" s="3">
        <v>2016.0</v>
      </c>
      <c r="B1489" s="4" t="s">
        <v>1901</v>
      </c>
      <c r="C1489" s="3">
        <v>0.0</v>
      </c>
      <c r="D1489" s="3" t="s">
        <v>3</v>
      </c>
    </row>
    <row r="1490">
      <c r="A1490" s="3">
        <v>2016.0</v>
      </c>
      <c r="B1490" s="4" t="s">
        <v>1905</v>
      </c>
      <c r="C1490" s="3">
        <v>0.0</v>
      </c>
      <c r="D1490" s="3" t="s">
        <v>3</v>
      </c>
    </row>
    <row r="1491">
      <c r="A1491" s="3">
        <v>2016.0</v>
      </c>
      <c r="B1491" s="4" t="s">
        <v>1906</v>
      </c>
      <c r="C1491" s="3">
        <v>0.0</v>
      </c>
      <c r="D1491" s="3" t="s">
        <v>32</v>
      </c>
    </row>
    <row r="1492">
      <c r="A1492" s="3">
        <v>2016.0</v>
      </c>
      <c r="B1492" s="4" t="s">
        <v>1908</v>
      </c>
      <c r="C1492" s="3">
        <v>0.0</v>
      </c>
      <c r="D1492" s="3" t="s">
        <v>3</v>
      </c>
    </row>
    <row r="1493">
      <c r="A1493" s="3">
        <v>2016.0</v>
      </c>
      <c r="B1493" s="4" t="s">
        <v>1913</v>
      </c>
      <c r="C1493" s="3">
        <v>0.0</v>
      </c>
      <c r="D1493" s="3" t="s">
        <v>3</v>
      </c>
    </row>
    <row r="1494">
      <c r="A1494" s="3">
        <v>2016.0</v>
      </c>
      <c r="B1494" s="4" t="s">
        <v>1914</v>
      </c>
      <c r="C1494" s="3">
        <v>0.0</v>
      </c>
      <c r="D1494" s="3" t="s">
        <v>3</v>
      </c>
    </row>
    <row r="1495">
      <c r="A1495" s="3">
        <v>2016.0</v>
      </c>
      <c r="B1495" s="4" t="s">
        <v>1915</v>
      </c>
      <c r="C1495" s="3">
        <v>0.0</v>
      </c>
      <c r="D1495" s="3" t="s">
        <v>3</v>
      </c>
    </row>
    <row r="1496">
      <c r="A1496" s="3">
        <v>2016.0</v>
      </c>
      <c r="B1496" s="4" t="s">
        <v>1916</v>
      </c>
      <c r="C1496" s="3">
        <v>0.0</v>
      </c>
      <c r="D1496" s="3" t="s">
        <v>3</v>
      </c>
    </row>
    <row r="1497">
      <c r="A1497" s="3">
        <v>2016.0</v>
      </c>
      <c r="B1497" s="4" t="s">
        <v>1917</v>
      </c>
      <c r="C1497" s="3">
        <v>0.0</v>
      </c>
      <c r="D1497" s="3" t="s">
        <v>3</v>
      </c>
    </row>
    <row r="1498">
      <c r="A1498" s="3">
        <v>2016.0</v>
      </c>
      <c r="B1498" s="4" t="s">
        <v>1922</v>
      </c>
      <c r="C1498" s="3">
        <v>0.0</v>
      </c>
      <c r="D1498" s="3" t="s">
        <v>29</v>
      </c>
    </row>
    <row r="1499">
      <c r="A1499" s="3">
        <v>2016.0</v>
      </c>
      <c r="B1499" s="4" t="s">
        <v>1923</v>
      </c>
      <c r="C1499" s="3">
        <v>0.0</v>
      </c>
      <c r="D1499" s="3" t="s">
        <v>6</v>
      </c>
    </row>
    <row r="1500">
      <c r="A1500" s="3">
        <v>2016.0</v>
      </c>
      <c r="B1500" s="4" t="s">
        <v>1936</v>
      </c>
      <c r="C1500" s="3">
        <v>0.0</v>
      </c>
      <c r="D1500" s="3" t="s">
        <v>6</v>
      </c>
    </row>
    <row r="1501">
      <c r="A1501" s="3">
        <v>2016.0</v>
      </c>
      <c r="B1501" s="4" t="s">
        <v>1937</v>
      </c>
      <c r="C1501" s="3">
        <v>0.0</v>
      </c>
      <c r="D1501" s="3" t="s">
        <v>3</v>
      </c>
    </row>
    <row r="1502">
      <c r="A1502" s="3">
        <v>2016.0</v>
      </c>
      <c r="B1502" s="4" t="s">
        <v>2318</v>
      </c>
      <c r="C1502" s="3">
        <v>0.0</v>
      </c>
      <c r="D1502" s="3" t="s">
        <v>6</v>
      </c>
    </row>
    <row r="1503">
      <c r="A1503" s="3">
        <v>2016.0</v>
      </c>
      <c r="B1503" s="4" t="s">
        <v>2319</v>
      </c>
      <c r="C1503" s="3">
        <v>0.0</v>
      </c>
      <c r="D1503" s="3" t="s">
        <v>3</v>
      </c>
    </row>
    <row r="1504">
      <c r="A1504" s="3">
        <v>2016.0</v>
      </c>
      <c r="B1504" s="4" t="s">
        <v>2320</v>
      </c>
      <c r="C1504" s="3">
        <v>0.0</v>
      </c>
      <c r="D1504" s="3" t="s">
        <v>3</v>
      </c>
    </row>
    <row r="1505">
      <c r="A1505" s="3">
        <v>2016.0</v>
      </c>
      <c r="B1505" s="4" t="s">
        <v>1951</v>
      </c>
      <c r="C1505" s="3">
        <v>0.0</v>
      </c>
      <c r="D1505" s="3" t="s">
        <v>484</v>
      </c>
    </row>
    <row r="1506">
      <c r="A1506" s="3">
        <v>2016.0</v>
      </c>
      <c r="B1506" s="4" t="s">
        <v>2325</v>
      </c>
      <c r="C1506" s="3">
        <v>0.0</v>
      </c>
      <c r="D1506" s="3" t="s">
        <v>3</v>
      </c>
    </row>
    <row r="1507">
      <c r="A1507" s="3">
        <v>2016.0</v>
      </c>
      <c r="B1507" s="4" t="s">
        <v>1970</v>
      </c>
      <c r="C1507" s="3">
        <v>0.0</v>
      </c>
      <c r="D1507" s="3" t="s">
        <v>6</v>
      </c>
    </row>
    <row r="1508">
      <c r="A1508" s="3">
        <v>2016.0</v>
      </c>
      <c r="B1508" s="4" t="s">
        <v>2330</v>
      </c>
      <c r="C1508" s="3">
        <v>0.0</v>
      </c>
      <c r="D1508" s="3" t="s">
        <v>6</v>
      </c>
    </row>
    <row r="1509">
      <c r="A1509" s="3">
        <v>2016.0</v>
      </c>
      <c r="B1509" s="4" t="s">
        <v>1974</v>
      </c>
      <c r="C1509" s="3">
        <v>0.0</v>
      </c>
      <c r="D1509" s="3" t="s">
        <v>3</v>
      </c>
    </row>
    <row r="1510">
      <c r="A1510" s="3">
        <v>2016.0</v>
      </c>
      <c r="B1510" s="4" t="s">
        <v>1978</v>
      </c>
      <c r="C1510" s="3">
        <v>0.0</v>
      </c>
      <c r="D1510" s="3" t="s">
        <v>3</v>
      </c>
    </row>
    <row r="1511">
      <c r="A1511" s="3">
        <v>2016.0</v>
      </c>
      <c r="B1511" s="4" t="s">
        <v>1982</v>
      </c>
      <c r="C1511" s="3">
        <v>0.0</v>
      </c>
      <c r="D1511" s="3" t="s">
        <v>3</v>
      </c>
    </row>
    <row r="1512">
      <c r="A1512" s="3">
        <v>2016.0</v>
      </c>
      <c r="B1512" s="4" t="s">
        <v>1983</v>
      </c>
      <c r="C1512" s="3">
        <v>0.0</v>
      </c>
      <c r="D1512" s="3" t="s">
        <v>6</v>
      </c>
    </row>
    <row r="1513">
      <c r="A1513" s="3">
        <v>2016.0</v>
      </c>
      <c r="B1513" s="4" t="s">
        <v>1984</v>
      </c>
      <c r="C1513" s="3">
        <v>0.0</v>
      </c>
      <c r="D1513" s="3" t="s">
        <v>3</v>
      </c>
    </row>
    <row r="1514">
      <c r="A1514" s="3">
        <v>2016.0</v>
      </c>
      <c r="B1514" s="4" t="s">
        <v>1985</v>
      </c>
      <c r="C1514" s="3">
        <v>0.0</v>
      </c>
      <c r="D1514" s="3" t="s">
        <v>3</v>
      </c>
    </row>
    <row r="1515">
      <c r="A1515" s="3">
        <v>2016.0</v>
      </c>
      <c r="B1515" s="4" t="s">
        <v>1986</v>
      </c>
      <c r="C1515" s="3">
        <v>0.0</v>
      </c>
      <c r="D1515" s="3" t="s">
        <v>3</v>
      </c>
    </row>
    <row r="1516">
      <c r="A1516" s="3">
        <v>2016.0</v>
      </c>
      <c r="B1516" s="4" t="s">
        <v>1987</v>
      </c>
      <c r="C1516" s="3">
        <v>0.0</v>
      </c>
      <c r="D1516" s="3" t="s">
        <v>3</v>
      </c>
    </row>
    <row r="1517">
      <c r="A1517" s="3">
        <v>2016.0</v>
      </c>
      <c r="B1517" s="4" t="s">
        <v>1988</v>
      </c>
      <c r="C1517" s="3">
        <v>0.0</v>
      </c>
      <c r="D1517" s="3" t="s">
        <v>3</v>
      </c>
    </row>
    <row r="1518">
      <c r="A1518" s="3">
        <v>2016.0</v>
      </c>
      <c r="B1518" s="4" t="s">
        <v>1997</v>
      </c>
      <c r="C1518" s="3">
        <v>0.0</v>
      </c>
      <c r="D1518" s="3" t="s">
        <v>6</v>
      </c>
    </row>
    <row r="1519">
      <c r="A1519" s="3">
        <v>2016.0</v>
      </c>
      <c r="B1519" s="4" t="s">
        <v>2001</v>
      </c>
      <c r="C1519" s="3">
        <v>0.0</v>
      </c>
      <c r="D1519" s="3" t="s">
        <v>6</v>
      </c>
    </row>
    <row r="1520">
      <c r="A1520" s="3">
        <v>2016.0</v>
      </c>
      <c r="B1520" s="4" t="s">
        <v>2004</v>
      </c>
      <c r="C1520" s="3">
        <v>0.0</v>
      </c>
      <c r="D1520" s="3" t="s">
        <v>3</v>
      </c>
    </row>
    <row r="1521">
      <c r="A1521" s="3">
        <v>2016.0</v>
      </c>
      <c r="B1521" s="4" t="s">
        <v>2005</v>
      </c>
      <c r="C1521" s="3">
        <v>0.0</v>
      </c>
      <c r="D1521" s="3" t="s">
        <v>3</v>
      </c>
    </row>
    <row r="1522">
      <c r="A1522" s="3">
        <v>2016.0</v>
      </c>
      <c r="B1522" s="4" t="s">
        <v>2332</v>
      </c>
      <c r="C1522" s="3">
        <v>0.0</v>
      </c>
      <c r="D1522" s="3" t="s">
        <v>3</v>
      </c>
    </row>
    <row r="1523">
      <c r="A1523" s="3">
        <v>2016.0</v>
      </c>
      <c r="B1523" s="4" t="s">
        <v>2012</v>
      </c>
      <c r="C1523" s="3">
        <v>0.0</v>
      </c>
      <c r="D1523" s="3" t="s">
        <v>3</v>
      </c>
    </row>
    <row r="1524">
      <c r="A1524" s="3">
        <v>2016.0</v>
      </c>
      <c r="B1524" s="4" t="s">
        <v>2013</v>
      </c>
      <c r="C1524" s="3">
        <v>0.0</v>
      </c>
      <c r="D1524" s="3" t="s">
        <v>6</v>
      </c>
    </row>
    <row r="1525">
      <c r="A1525" s="3">
        <v>2016.0</v>
      </c>
      <c r="B1525" s="4" t="s">
        <v>2016</v>
      </c>
      <c r="C1525" s="3">
        <v>0.0</v>
      </c>
      <c r="D1525" s="3" t="s">
        <v>29</v>
      </c>
    </row>
    <row r="1526">
      <c r="A1526" s="3">
        <v>2016.0</v>
      </c>
      <c r="B1526" s="4" t="s">
        <v>2017</v>
      </c>
      <c r="C1526" s="3">
        <v>0.0</v>
      </c>
      <c r="D1526" s="3" t="s">
        <v>3</v>
      </c>
    </row>
    <row r="1527">
      <c r="A1527" s="3">
        <v>2016.0</v>
      </c>
      <c r="B1527" s="4" t="s">
        <v>2019</v>
      </c>
      <c r="C1527" s="3">
        <v>0.0</v>
      </c>
      <c r="D1527" s="3" t="s">
        <v>29</v>
      </c>
    </row>
    <row r="1528">
      <c r="A1528" s="3">
        <v>2016.0</v>
      </c>
      <c r="B1528" s="4" t="s">
        <v>2020</v>
      </c>
      <c r="C1528" s="3">
        <v>0.0</v>
      </c>
      <c r="D1528" s="3" t="s">
        <v>29</v>
      </c>
    </row>
    <row r="1529">
      <c r="A1529" s="3">
        <v>2016.0</v>
      </c>
      <c r="B1529" s="4" t="s">
        <v>2021</v>
      </c>
      <c r="C1529" s="3">
        <v>0.0</v>
      </c>
      <c r="D1529" s="3" t="s">
        <v>3</v>
      </c>
    </row>
    <row r="1530">
      <c r="A1530" s="3">
        <v>2016.0</v>
      </c>
      <c r="B1530" s="4" t="s">
        <v>2025</v>
      </c>
      <c r="C1530" s="3">
        <v>0.0</v>
      </c>
      <c r="D1530" s="3" t="s">
        <v>32</v>
      </c>
    </row>
    <row r="1531">
      <c r="A1531" s="3">
        <v>2016.0</v>
      </c>
      <c r="B1531" s="4" t="s">
        <v>2026</v>
      </c>
      <c r="C1531" s="3">
        <v>0.0</v>
      </c>
      <c r="D1531" s="3" t="s">
        <v>3</v>
      </c>
    </row>
    <row r="1532">
      <c r="A1532" s="3">
        <v>2016.0</v>
      </c>
      <c r="B1532" s="4" t="s">
        <v>2027</v>
      </c>
      <c r="C1532" s="3">
        <v>0.0</v>
      </c>
      <c r="D1532" s="3" t="s">
        <v>3</v>
      </c>
    </row>
    <row r="1533">
      <c r="A1533" s="3">
        <v>2016.0</v>
      </c>
      <c r="B1533" s="4" t="s">
        <v>2028</v>
      </c>
      <c r="C1533" s="3">
        <v>0.0</v>
      </c>
      <c r="D1533" s="3" t="s">
        <v>29</v>
      </c>
    </row>
    <row r="1534">
      <c r="A1534" s="3">
        <v>2016.0</v>
      </c>
      <c r="B1534" s="4" t="s">
        <v>2029</v>
      </c>
      <c r="C1534" s="3">
        <v>0.0</v>
      </c>
      <c r="D1534" s="3" t="s">
        <v>29</v>
      </c>
    </row>
    <row r="1535">
      <c r="A1535" s="3">
        <v>2017.0</v>
      </c>
      <c r="B1535" s="4" t="str">
        <f t="array" ref="B1535:D3140">consolidvert1!A2:C3140</f>
        <v>100 PROPOS SANS REPONSE</v>
      </c>
      <c r="C1535" s="15">
        <v>760.0</v>
      </c>
      <c r="D1535" s="4"/>
    </row>
    <row r="1536">
      <c r="A1536" s="3">
        <v>2017.0</v>
      </c>
      <c r="B1536" s="4" t="s">
        <v>5</v>
      </c>
      <c r="C1536" s="15">
        <v>0.0</v>
      </c>
      <c r="D1536" s="4" t="s">
        <v>6</v>
      </c>
    </row>
    <row r="1537">
      <c r="A1537" s="3">
        <v>2017.0</v>
      </c>
      <c r="B1537" s="4" t="s">
        <v>2361</v>
      </c>
      <c r="C1537" s="15">
        <v>0.0</v>
      </c>
      <c r="D1537" s="4" t="s">
        <v>3</v>
      </c>
    </row>
    <row r="1538">
      <c r="A1538" s="3">
        <v>2017.0</v>
      </c>
      <c r="B1538" s="4" t="s">
        <v>2362</v>
      </c>
      <c r="C1538" s="15">
        <v>500.0</v>
      </c>
      <c r="D1538" s="4"/>
    </row>
    <row r="1539">
      <c r="A1539" s="3">
        <v>2017.0</v>
      </c>
      <c r="B1539" s="4" t="s">
        <v>10</v>
      </c>
      <c r="C1539" s="15">
        <v>2000.0</v>
      </c>
      <c r="D1539" s="4"/>
    </row>
    <row r="1540">
      <c r="A1540" s="3">
        <v>2017.0</v>
      </c>
      <c r="B1540" s="4" t="s">
        <v>12</v>
      </c>
      <c r="C1540" s="15">
        <v>1800.0</v>
      </c>
      <c r="D1540" s="4"/>
    </row>
    <row r="1541">
      <c r="A1541" s="3">
        <v>2017.0</v>
      </c>
      <c r="B1541" s="4" t="s">
        <v>2363</v>
      </c>
      <c r="C1541" s="15">
        <v>1600.0</v>
      </c>
      <c r="D1541" s="4"/>
    </row>
    <row r="1542">
      <c r="A1542" s="3">
        <v>2017.0</v>
      </c>
      <c r="B1542" s="4" t="s">
        <v>2364</v>
      </c>
      <c r="C1542" s="15">
        <v>0.0</v>
      </c>
      <c r="D1542" s="4" t="s">
        <v>6</v>
      </c>
    </row>
    <row r="1543">
      <c r="A1543" s="3">
        <v>2017.0</v>
      </c>
      <c r="B1543" s="4" t="s">
        <v>2365</v>
      </c>
      <c r="C1543" s="15">
        <v>0.0</v>
      </c>
      <c r="D1543" s="4" t="s">
        <v>3</v>
      </c>
    </row>
    <row r="1544">
      <c r="A1544" s="3">
        <v>2017.0</v>
      </c>
      <c r="B1544" s="4" t="s">
        <v>19</v>
      </c>
      <c r="C1544" s="15">
        <v>700.0</v>
      </c>
      <c r="D1544" s="4" t="s">
        <v>6</v>
      </c>
    </row>
    <row r="1545">
      <c r="A1545" s="3">
        <v>2017.0</v>
      </c>
      <c r="B1545" s="4" t="s">
        <v>23</v>
      </c>
      <c r="C1545" s="15">
        <v>0.0</v>
      </c>
      <c r="D1545" s="4" t="s">
        <v>3</v>
      </c>
    </row>
    <row r="1546">
      <c r="A1546" s="3">
        <v>2017.0</v>
      </c>
      <c r="B1546" s="4" t="s">
        <v>2366</v>
      </c>
      <c r="C1546" s="15">
        <v>2000.0</v>
      </c>
      <c r="D1546" s="4"/>
    </row>
    <row r="1547">
      <c r="A1547" s="3">
        <v>2017.0</v>
      </c>
      <c r="B1547" s="4" t="s">
        <v>24</v>
      </c>
      <c r="C1547" s="15">
        <v>0.0</v>
      </c>
      <c r="D1547" s="4" t="s">
        <v>3</v>
      </c>
    </row>
    <row r="1548">
      <c r="A1548" s="3">
        <v>2017.0</v>
      </c>
      <c r="B1548" s="4" t="s">
        <v>2367</v>
      </c>
      <c r="C1548" s="15">
        <v>0.0</v>
      </c>
      <c r="D1548" s="4" t="s">
        <v>2368</v>
      </c>
    </row>
    <row r="1549">
      <c r="A1549" s="3">
        <v>2017.0</v>
      </c>
      <c r="B1549" s="4" t="s">
        <v>27</v>
      </c>
      <c r="C1549" s="15">
        <v>0.0</v>
      </c>
      <c r="D1549" s="4" t="s">
        <v>3</v>
      </c>
    </row>
    <row r="1550">
      <c r="A1550" s="3">
        <v>2017.0</v>
      </c>
      <c r="B1550" s="4" t="s">
        <v>2369</v>
      </c>
      <c r="C1550" s="15">
        <v>0.0</v>
      </c>
      <c r="D1550" s="4" t="s">
        <v>6</v>
      </c>
    </row>
    <row r="1551">
      <c r="A1551" s="3">
        <v>2017.0</v>
      </c>
      <c r="B1551" s="4" t="s">
        <v>28</v>
      </c>
      <c r="C1551" s="15">
        <v>0.0</v>
      </c>
      <c r="D1551" s="4" t="s">
        <v>29</v>
      </c>
    </row>
    <row r="1552">
      <c r="A1552" s="3">
        <v>2017.0</v>
      </c>
      <c r="B1552" s="4" t="s">
        <v>2070</v>
      </c>
      <c r="C1552" s="15">
        <v>7600.0</v>
      </c>
      <c r="D1552" s="4" t="s">
        <v>3</v>
      </c>
    </row>
    <row r="1553">
      <c r="A1553" s="3">
        <v>2017.0</v>
      </c>
      <c r="B1553" s="4" t="s">
        <v>2071</v>
      </c>
      <c r="C1553" s="15">
        <v>22016.0</v>
      </c>
      <c r="D1553" s="4" t="s">
        <v>2370</v>
      </c>
    </row>
    <row r="1554">
      <c r="A1554" s="3">
        <v>2017.0</v>
      </c>
      <c r="B1554" s="4" t="s">
        <v>2371</v>
      </c>
      <c r="C1554" s="15">
        <v>0.0</v>
      </c>
      <c r="D1554" s="4" t="s">
        <v>29</v>
      </c>
    </row>
    <row r="1555">
      <c r="A1555" s="3">
        <v>2017.0</v>
      </c>
      <c r="B1555" s="4" t="s">
        <v>2072</v>
      </c>
      <c r="C1555" s="15">
        <v>0.0</v>
      </c>
      <c r="D1555" s="4" t="s">
        <v>3</v>
      </c>
    </row>
    <row r="1556">
      <c r="A1556" s="3">
        <v>2017.0</v>
      </c>
      <c r="B1556" s="4" t="s">
        <v>2073</v>
      </c>
      <c r="C1556" s="15">
        <v>7000.0</v>
      </c>
      <c r="D1556" s="4" t="s">
        <v>3</v>
      </c>
    </row>
    <row r="1557">
      <c r="A1557" s="3">
        <v>2017.0</v>
      </c>
      <c r="B1557" s="4" t="s">
        <v>2372</v>
      </c>
      <c r="C1557" s="15">
        <v>1500.0</v>
      </c>
      <c r="D1557" s="4"/>
    </row>
    <row r="1558">
      <c r="A1558" s="3">
        <v>2017.0</v>
      </c>
      <c r="B1558" s="4" t="s">
        <v>44</v>
      </c>
      <c r="C1558" s="15">
        <v>300.0</v>
      </c>
      <c r="D1558" s="4" t="s">
        <v>3</v>
      </c>
    </row>
    <row r="1559">
      <c r="A1559" s="3">
        <v>2017.0</v>
      </c>
      <c r="B1559" s="4" t="s">
        <v>2373</v>
      </c>
      <c r="C1559" s="15">
        <v>6180.0</v>
      </c>
      <c r="D1559" s="4" t="s">
        <v>3</v>
      </c>
    </row>
    <row r="1560">
      <c r="A1560" s="3">
        <v>2017.0</v>
      </c>
      <c r="B1560" s="4" t="s">
        <v>2374</v>
      </c>
      <c r="C1560" s="15">
        <v>0.0</v>
      </c>
      <c r="D1560" s="4" t="s">
        <v>6</v>
      </c>
    </row>
    <row r="1561">
      <c r="A1561" s="3">
        <v>2017.0</v>
      </c>
      <c r="B1561" s="4" t="s">
        <v>2075</v>
      </c>
      <c r="C1561" s="15">
        <v>10000.0</v>
      </c>
      <c r="D1561" s="4" t="s">
        <v>3</v>
      </c>
    </row>
    <row r="1562">
      <c r="A1562" s="3">
        <v>2017.0</v>
      </c>
      <c r="B1562" s="4" t="s">
        <v>53</v>
      </c>
      <c r="C1562" s="15">
        <v>20000.0</v>
      </c>
      <c r="D1562" s="4"/>
    </row>
    <row r="1563">
      <c r="A1563" s="3">
        <v>2017.0</v>
      </c>
      <c r="B1563" s="4" t="s">
        <v>54</v>
      </c>
      <c r="C1563" s="15">
        <v>0.0</v>
      </c>
      <c r="D1563" s="4" t="s">
        <v>3</v>
      </c>
    </row>
    <row r="1564">
      <c r="A1564" s="3">
        <v>2017.0</v>
      </c>
      <c r="B1564" s="4" t="s">
        <v>55</v>
      </c>
      <c r="C1564" s="15">
        <v>2400.0</v>
      </c>
      <c r="D1564" s="4"/>
    </row>
    <row r="1565">
      <c r="A1565" s="3">
        <v>2017.0</v>
      </c>
      <c r="B1565" s="4" t="s">
        <v>57</v>
      </c>
      <c r="C1565" s="15">
        <v>29000.0</v>
      </c>
      <c r="D1565" s="4" t="s">
        <v>3</v>
      </c>
    </row>
    <row r="1566">
      <c r="A1566" s="3">
        <v>2017.0</v>
      </c>
      <c r="B1566" s="4" t="s">
        <v>2375</v>
      </c>
      <c r="C1566" s="15">
        <v>0.0</v>
      </c>
      <c r="D1566" s="4" t="s">
        <v>3</v>
      </c>
    </row>
    <row r="1567">
      <c r="A1567" s="3">
        <v>2017.0</v>
      </c>
      <c r="B1567" s="4" t="s">
        <v>2376</v>
      </c>
      <c r="C1567" s="15">
        <v>10738.0</v>
      </c>
      <c r="D1567" s="4" t="s">
        <v>2377</v>
      </c>
    </row>
    <row r="1568">
      <c r="A1568" s="3">
        <v>2017.0</v>
      </c>
      <c r="B1568" s="4" t="s">
        <v>2378</v>
      </c>
      <c r="C1568" s="15">
        <v>0.0</v>
      </c>
      <c r="D1568" s="4" t="s">
        <v>3</v>
      </c>
    </row>
    <row r="1569">
      <c r="A1569" s="3">
        <v>2017.0</v>
      </c>
      <c r="B1569" s="4" t="s">
        <v>2379</v>
      </c>
      <c r="C1569" s="15">
        <v>0.0</v>
      </c>
      <c r="D1569" s="4" t="s">
        <v>3</v>
      </c>
    </row>
    <row r="1570">
      <c r="A1570" s="3">
        <v>2017.0</v>
      </c>
      <c r="B1570" s="4" t="s">
        <v>62</v>
      </c>
      <c r="C1570" s="15">
        <v>500.0</v>
      </c>
      <c r="D1570" s="4"/>
    </row>
    <row r="1571">
      <c r="A1571" s="3">
        <v>2017.0</v>
      </c>
      <c r="B1571" s="4" t="s">
        <v>2380</v>
      </c>
      <c r="C1571" s="15">
        <v>8000.0</v>
      </c>
      <c r="D1571" s="4" t="s">
        <v>3</v>
      </c>
    </row>
    <row r="1572">
      <c r="A1572" s="3">
        <v>2017.0</v>
      </c>
      <c r="B1572" s="4" t="s">
        <v>2381</v>
      </c>
      <c r="C1572" s="15">
        <v>800.0</v>
      </c>
      <c r="D1572" s="4"/>
    </row>
    <row r="1573">
      <c r="A1573" s="3">
        <v>2017.0</v>
      </c>
      <c r="B1573" s="4" t="s">
        <v>2382</v>
      </c>
      <c r="C1573" s="15">
        <v>0.0</v>
      </c>
      <c r="D1573" s="4" t="s">
        <v>3</v>
      </c>
    </row>
    <row r="1574">
      <c r="A1574" s="3">
        <v>2017.0</v>
      </c>
      <c r="B1574" s="4" t="s">
        <v>67</v>
      </c>
      <c r="C1574" s="15">
        <v>1500.0</v>
      </c>
      <c r="D1574" s="4"/>
    </row>
    <row r="1575">
      <c r="A1575" s="3">
        <v>2017.0</v>
      </c>
      <c r="B1575" s="4" t="s">
        <v>2076</v>
      </c>
      <c r="C1575" s="15">
        <v>60000.0</v>
      </c>
      <c r="D1575" s="4"/>
    </row>
    <row r="1576">
      <c r="A1576" s="3">
        <v>2017.0</v>
      </c>
      <c r="B1576" s="4" t="s">
        <v>2383</v>
      </c>
      <c r="C1576" s="15">
        <v>0.0</v>
      </c>
      <c r="D1576" s="4" t="s">
        <v>3</v>
      </c>
    </row>
    <row r="1577">
      <c r="A1577" s="3">
        <v>2017.0</v>
      </c>
      <c r="B1577" s="4" t="s">
        <v>2384</v>
      </c>
      <c r="C1577" s="15">
        <v>500.0</v>
      </c>
      <c r="D1577" s="4"/>
    </row>
    <row r="1578">
      <c r="A1578" s="3">
        <v>2017.0</v>
      </c>
      <c r="B1578" s="4" t="s">
        <v>76</v>
      </c>
      <c r="C1578" s="15">
        <v>1500.0</v>
      </c>
      <c r="D1578" s="4" t="s">
        <v>2377</v>
      </c>
    </row>
    <row r="1579">
      <c r="A1579" s="3">
        <v>2017.0</v>
      </c>
      <c r="B1579" s="4" t="s">
        <v>77</v>
      </c>
      <c r="C1579" s="15">
        <v>2000.0</v>
      </c>
      <c r="D1579" s="4"/>
    </row>
    <row r="1580">
      <c r="A1580" s="3">
        <v>2017.0</v>
      </c>
      <c r="B1580" s="4" t="s">
        <v>2385</v>
      </c>
      <c r="C1580" s="15">
        <v>0.0</v>
      </c>
      <c r="D1580" s="4" t="s">
        <v>3</v>
      </c>
    </row>
    <row r="1581">
      <c r="A1581" s="3">
        <v>2017.0</v>
      </c>
      <c r="B1581" s="4" t="s">
        <v>2386</v>
      </c>
      <c r="C1581" s="15">
        <v>0.0</v>
      </c>
      <c r="D1581" s="4" t="s">
        <v>3</v>
      </c>
    </row>
    <row r="1582">
      <c r="A1582" s="3">
        <v>2017.0</v>
      </c>
      <c r="B1582" s="4" t="s">
        <v>78</v>
      </c>
      <c r="C1582" s="15">
        <v>2000.0</v>
      </c>
      <c r="D1582" s="4"/>
    </row>
    <row r="1583">
      <c r="A1583" s="3">
        <v>2017.0</v>
      </c>
      <c r="B1583" s="4" t="s">
        <v>2387</v>
      </c>
      <c r="C1583" s="15">
        <v>0.0</v>
      </c>
      <c r="D1583" s="4" t="s">
        <v>3</v>
      </c>
    </row>
    <row r="1584">
      <c r="A1584" s="3">
        <v>2017.0</v>
      </c>
      <c r="B1584" s="4" t="s">
        <v>80</v>
      </c>
      <c r="C1584" s="15">
        <v>0.0</v>
      </c>
      <c r="D1584" s="4" t="s">
        <v>3</v>
      </c>
    </row>
    <row r="1585">
      <c r="A1585" s="3">
        <v>2017.0</v>
      </c>
      <c r="B1585" s="4" t="s">
        <v>81</v>
      </c>
      <c r="C1585" s="15">
        <v>0.0</v>
      </c>
      <c r="D1585" s="4" t="s">
        <v>29</v>
      </c>
    </row>
    <row r="1586">
      <c r="A1586" s="3">
        <v>2017.0</v>
      </c>
      <c r="B1586" s="4" t="s">
        <v>82</v>
      </c>
      <c r="C1586" s="15">
        <v>25000.0</v>
      </c>
      <c r="D1586" s="4"/>
    </row>
    <row r="1587">
      <c r="A1587" s="3">
        <v>2017.0</v>
      </c>
      <c r="B1587" s="4" t="s">
        <v>2388</v>
      </c>
      <c r="C1587" s="15">
        <v>0.0</v>
      </c>
      <c r="D1587" s="4" t="s">
        <v>3</v>
      </c>
    </row>
    <row r="1588">
      <c r="A1588" s="3">
        <v>2017.0</v>
      </c>
      <c r="B1588" s="4" t="s">
        <v>84</v>
      </c>
      <c r="C1588" s="15">
        <v>9000.0</v>
      </c>
      <c r="D1588" s="4" t="s">
        <v>2368</v>
      </c>
    </row>
    <row r="1589">
      <c r="A1589" s="3">
        <v>2017.0</v>
      </c>
      <c r="B1589" s="4" t="s">
        <v>2389</v>
      </c>
      <c r="C1589" s="15">
        <v>0.0</v>
      </c>
      <c r="D1589" s="4" t="s">
        <v>3</v>
      </c>
    </row>
    <row r="1590">
      <c r="A1590" s="3">
        <v>2017.0</v>
      </c>
      <c r="B1590" s="4" t="s">
        <v>2390</v>
      </c>
      <c r="C1590" s="15">
        <v>550.0</v>
      </c>
      <c r="D1590" s="4"/>
    </row>
    <row r="1591">
      <c r="A1591" s="3">
        <v>2017.0</v>
      </c>
      <c r="B1591" s="4" t="s">
        <v>87</v>
      </c>
      <c r="C1591" s="15">
        <v>0.0</v>
      </c>
      <c r="D1591" s="4" t="s">
        <v>3</v>
      </c>
    </row>
    <row r="1592">
      <c r="A1592" s="3">
        <v>2017.0</v>
      </c>
      <c r="B1592" s="4" t="s">
        <v>2078</v>
      </c>
      <c r="C1592" s="15">
        <v>5000.0</v>
      </c>
      <c r="D1592" s="4" t="s">
        <v>2377</v>
      </c>
    </row>
    <row r="1593">
      <c r="A1593" s="3">
        <v>2017.0</v>
      </c>
      <c r="B1593" s="4" t="s">
        <v>2391</v>
      </c>
      <c r="C1593" s="15">
        <v>0.0</v>
      </c>
      <c r="D1593" s="4" t="s">
        <v>6</v>
      </c>
    </row>
    <row r="1594">
      <c r="A1594" s="3">
        <v>2017.0</v>
      </c>
      <c r="B1594" s="4" t="s">
        <v>2392</v>
      </c>
      <c r="C1594" s="15">
        <v>0.0</v>
      </c>
      <c r="D1594" s="4" t="s">
        <v>6</v>
      </c>
    </row>
    <row r="1595">
      <c r="A1595" s="3">
        <v>2017.0</v>
      </c>
      <c r="B1595" s="4" t="s">
        <v>2393</v>
      </c>
      <c r="C1595" s="15">
        <v>1000.0</v>
      </c>
      <c r="D1595" s="4"/>
    </row>
    <row r="1596">
      <c r="A1596" s="3">
        <v>2017.0</v>
      </c>
      <c r="B1596" s="4" t="s">
        <v>2394</v>
      </c>
      <c r="C1596" s="15">
        <v>2000.0</v>
      </c>
      <c r="D1596" s="4"/>
    </row>
    <row r="1597">
      <c r="A1597" s="3">
        <v>2017.0</v>
      </c>
      <c r="B1597" s="4" t="s">
        <v>93</v>
      </c>
      <c r="C1597" s="15">
        <v>1000.0</v>
      </c>
      <c r="D1597" s="4"/>
    </row>
    <row r="1598">
      <c r="A1598" s="3">
        <v>2017.0</v>
      </c>
      <c r="B1598" s="4" t="s">
        <v>100</v>
      </c>
      <c r="C1598" s="15">
        <v>0.0</v>
      </c>
      <c r="D1598" s="4" t="s">
        <v>3</v>
      </c>
    </row>
    <row r="1599">
      <c r="A1599" s="3">
        <v>2017.0</v>
      </c>
      <c r="B1599" s="4" t="s">
        <v>2395</v>
      </c>
      <c r="C1599" s="15">
        <v>0.0</v>
      </c>
      <c r="D1599" s="4" t="s">
        <v>3</v>
      </c>
    </row>
    <row r="1600">
      <c r="A1600" s="3">
        <v>2017.0</v>
      </c>
      <c r="B1600" s="4" t="s">
        <v>103</v>
      </c>
      <c r="C1600" s="15">
        <v>1000.0</v>
      </c>
      <c r="D1600" s="4"/>
    </row>
    <row r="1601">
      <c r="A1601" s="3">
        <v>2017.0</v>
      </c>
      <c r="B1601" s="4" t="s">
        <v>104</v>
      </c>
      <c r="C1601" s="15">
        <v>0.0</v>
      </c>
      <c r="D1601" s="4" t="s">
        <v>3</v>
      </c>
    </row>
    <row r="1602">
      <c r="A1602" s="3">
        <v>2017.0</v>
      </c>
      <c r="B1602" s="4" t="s">
        <v>2081</v>
      </c>
      <c r="C1602" s="15">
        <v>500.0</v>
      </c>
      <c r="D1602" s="4"/>
    </row>
    <row r="1603">
      <c r="A1603" s="3">
        <v>2017.0</v>
      </c>
      <c r="B1603" s="4" t="s">
        <v>2082</v>
      </c>
      <c r="C1603" s="15">
        <v>0.0</v>
      </c>
      <c r="D1603" s="4" t="s">
        <v>3</v>
      </c>
    </row>
    <row r="1604">
      <c r="A1604" s="3">
        <v>2017.0</v>
      </c>
      <c r="B1604" s="4" t="s">
        <v>110</v>
      </c>
      <c r="C1604" s="15">
        <v>0.0</v>
      </c>
      <c r="D1604" s="4" t="s">
        <v>3</v>
      </c>
    </row>
    <row r="1605">
      <c r="A1605" s="3">
        <v>2017.0</v>
      </c>
      <c r="B1605" s="4" t="s">
        <v>2083</v>
      </c>
      <c r="C1605" s="15">
        <v>88869.0</v>
      </c>
      <c r="D1605" s="4" t="s">
        <v>2370</v>
      </c>
    </row>
    <row r="1606">
      <c r="A1606" s="3">
        <v>2017.0</v>
      </c>
      <c r="B1606" s="4" t="s">
        <v>2396</v>
      </c>
      <c r="C1606" s="15">
        <v>0.0</v>
      </c>
      <c r="D1606" s="4" t="s">
        <v>3</v>
      </c>
    </row>
    <row r="1607">
      <c r="A1607" s="3">
        <v>2017.0</v>
      </c>
      <c r="B1607" s="4" t="s">
        <v>114</v>
      </c>
      <c r="C1607" s="15">
        <v>6500.0</v>
      </c>
      <c r="D1607" s="4"/>
    </row>
    <row r="1608">
      <c r="A1608" s="3">
        <v>2017.0</v>
      </c>
      <c r="B1608" s="4" t="s">
        <v>116</v>
      </c>
      <c r="C1608" s="15">
        <v>300.0</v>
      </c>
      <c r="D1608" s="4"/>
    </row>
    <row r="1609">
      <c r="A1609" s="3">
        <v>2017.0</v>
      </c>
      <c r="B1609" s="4" t="s">
        <v>117</v>
      </c>
      <c r="C1609" s="15">
        <v>8605.0</v>
      </c>
      <c r="D1609" s="4"/>
    </row>
    <row r="1610">
      <c r="A1610" s="3">
        <v>2017.0</v>
      </c>
      <c r="B1610" s="4" t="s">
        <v>121</v>
      </c>
      <c r="C1610" s="15">
        <v>0.0</v>
      </c>
      <c r="D1610" s="4" t="s">
        <v>3</v>
      </c>
    </row>
    <row r="1611">
      <c r="A1611" s="3">
        <v>2017.0</v>
      </c>
      <c r="B1611" s="4" t="s">
        <v>2397</v>
      </c>
      <c r="C1611" s="15">
        <v>0.0</v>
      </c>
      <c r="D1611" s="4" t="s">
        <v>6</v>
      </c>
    </row>
    <row r="1612">
      <c r="A1612" s="3">
        <v>2017.0</v>
      </c>
      <c r="B1612" s="4" t="s">
        <v>2085</v>
      </c>
      <c r="C1612" s="15">
        <v>0.0</v>
      </c>
      <c r="D1612" s="4" t="s">
        <v>6</v>
      </c>
    </row>
    <row r="1613">
      <c r="A1613" s="3">
        <v>2017.0</v>
      </c>
      <c r="B1613" s="4" t="s">
        <v>2398</v>
      </c>
      <c r="C1613" s="15">
        <v>1759.0</v>
      </c>
      <c r="D1613" s="4"/>
    </row>
    <row r="1614">
      <c r="A1614" s="3">
        <v>2017.0</v>
      </c>
      <c r="B1614" s="4" t="s">
        <v>124</v>
      </c>
      <c r="C1614" s="15">
        <v>2500.0</v>
      </c>
      <c r="D1614" s="4" t="s">
        <v>2368</v>
      </c>
    </row>
    <row r="1615">
      <c r="A1615" s="3">
        <v>2017.0</v>
      </c>
      <c r="B1615" s="4" t="s">
        <v>2086</v>
      </c>
      <c r="C1615" s="15">
        <v>389346.0</v>
      </c>
      <c r="D1615" s="4"/>
    </row>
    <row r="1616">
      <c r="A1616" s="3">
        <v>2017.0</v>
      </c>
      <c r="B1616" s="4" t="s">
        <v>2087</v>
      </c>
      <c r="C1616" s="15">
        <v>0.0</v>
      </c>
      <c r="D1616" s="4" t="s">
        <v>29</v>
      </c>
    </row>
    <row r="1617">
      <c r="A1617" s="3">
        <v>2017.0</v>
      </c>
      <c r="B1617" s="4" t="s">
        <v>133</v>
      </c>
      <c r="C1617" s="15">
        <v>2000.0</v>
      </c>
      <c r="D1617" s="4" t="s">
        <v>2377</v>
      </c>
    </row>
    <row r="1618">
      <c r="A1618" s="3">
        <v>2017.0</v>
      </c>
      <c r="B1618" s="4" t="s">
        <v>136</v>
      </c>
      <c r="C1618" s="15">
        <v>2434.58</v>
      </c>
      <c r="D1618" s="4"/>
    </row>
    <row r="1619">
      <c r="A1619" s="3">
        <v>2017.0</v>
      </c>
      <c r="B1619" s="4" t="s">
        <v>138</v>
      </c>
      <c r="C1619" s="15">
        <v>4000.0</v>
      </c>
      <c r="D1619" s="4"/>
    </row>
    <row r="1620">
      <c r="A1620" s="3">
        <v>2017.0</v>
      </c>
      <c r="B1620" s="4" t="s">
        <v>140</v>
      </c>
      <c r="C1620" s="15">
        <v>0.0</v>
      </c>
      <c r="D1620" s="4" t="s">
        <v>6</v>
      </c>
    </row>
    <row r="1621">
      <c r="A1621" s="3">
        <v>2017.0</v>
      </c>
      <c r="B1621" s="4" t="s">
        <v>2399</v>
      </c>
      <c r="C1621" s="15">
        <v>2250.0</v>
      </c>
      <c r="D1621" s="4"/>
    </row>
    <row r="1622">
      <c r="A1622" s="3">
        <v>2017.0</v>
      </c>
      <c r="B1622" s="4" t="s">
        <v>2400</v>
      </c>
      <c r="C1622" s="15">
        <v>0.0</v>
      </c>
      <c r="D1622" s="4" t="s">
        <v>3</v>
      </c>
    </row>
    <row r="1623">
      <c r="A1623" s="3">
        <v>2017.0</v>
      </c>
      <c r="B1623" s="4" t="s">
        <v>141</v>
      </c>
      <c r="C1623" s="15">
        <v>0.0</v>
      </c>
      <c r="D1623" s="4" t="s">
        <v>3</v>
      </c>
    </row>
    <row r="1624">
      <c r="A1624" s="3">
        <v>2017.0</v>
      </c>
      <c r="B1624" s="4" t="s">
        <v>142</v>
      </c>
      <c r="C1624" s="15">
        <v>0.0</v>
      </c>
      <c r="D1624" s="4" t="s">
        <v>3</v>
      </c>
    </row>
    <row r="1625">
      <c r="A1625" s="3">
        <v>2017.0</v>
      </c>
      <c r="B1625" s="4" t="s">
        <v>143</v>
      </c>
      <c r="C1625" s="15">
        <v>0.0</v>
      </c>
      <c r="D1625" s="4" t="s">
        <v>3</v>
      </c>
    </row>
    <row r="1626">
      <c r="A1626" s="3">
        <v>2017.0</v>
      </c>
      <c r="B1626" s="4" t="s">
        <v>145</v>
      </c>
      <c r="C1626" s="15">
        <v>15000.0</v>
      </c>
      <c r="D1626" s="4"/>
    </row>
    <row r="1627">
      <c r="A1627" s="3">
        <v>2017.0</v>
      </c>
      <c r="B1627" s="4" t="s">
        <v>147</v>
      </c>
      <c r="C1627" s="15">
        <v>0.0</v>
      </c>
      <c r="D1627" s="4" t="s">
        <v>3</v>
      </c>
    </row>
    <row r="1628">
      <c r="A1628" s="3">
        <v>2017.0</v>
      </c>
      <c r="B1628" s="4" t="s">
        <v>148</v>
      </c>
      <c r="C1628" s="15">
        <v>0.0</v>
      </c>
      <c r="D1628" s="4" t="s">
        <v>2377</v>
      </c>
    </row>
    <row r="1629">
      <c r="A1629" s="3">
        <v>2017.0</v>
      </c>
      <c r="B1629" s="4" t="s">
        <v>2088</v>
      </c>
      <c r="C1629" s="15">
        <v>10000.0</v>
      </c>
      <c r="D1629" s="4" t="s">
        <v>3</v>
      </c>
    </row>
    <row r="1630">
      <c r="A1630" s="3">
        <v>2017.0</v>
      </c>
      <c r="B1630" s="4" t="s">
        <v>2401</v>
      </c>
      <c r="C1630" s="15">
        <v>0.0</v>
      </c>
      <c r="D1630" s="4" t="s">
        <v>3</v>
      </c>
    </row>
    <row r="1631">
      <c r="A1631" s="3">
        <v>2017.0</v>
      </c>
      <c r="B1631" s="4" t="s">
        <v>2402</v>
      </c>
      <c r="C1631" s="15">
        <v>1512.0</v>
      </c>
      <c r="D1631" s="4"/>
    </row>
    <row r="1632">
      <c r="A1632" s="3">
        <v>2017.0</v>
      </c>
      <c r="B1632" s="4" t="s">
        <v>2403</v>
      </c>
      <c r="C1632" s="15">
        <v>700.0</v>
      </c>
      <c r="D1632" s="4"/>
    </row>
    <row r="1633">
      <c r="A1633" s="3">
        <v>2017.0</v>
      </c>
      <c r="B1633" s="4" t="s">
        <v>153</v>
      </c>
      <c r="C1633" s="15">
        <v>0.0</v>
      </c>
      <c r="D1633" s="4" t="s">
        <v>29</v>
      </c>
    </row>
    <row r="1634">
      <c r="A1634" s="3">
        <v>2017.0</v>
      </c>
      <c r="B1634" s="4" t="s">
        <v>2404</v>
      </c>
      <c r="C1634" s="15">
        <v>1200.0</v>
      </c>
      <c r="D1634" s="4" t="s">
        <v>3</v>
      </c>
    </row>
    <row r="1635">
      <c r="A1635" s="3">
        <v>2017.0</v>
      </c>
      <c r="B1635" s="4" t="s">
        <v>154</v>
      </c>
      <c r="C1635" s="15">
        <v>0.0</v>
      </c>
      <c r="D1635" s="4" t="s">
        <v>2377</v>
      </c>
    </row>
    <row r="1636">
      <c r="A1636" s="3">
        <v>2017.0</v>
      </c>
      <c r="B1636" s="4" t="s">
        <v>155</v>
      </c>
      <c r="C1636" s="15">
        <v>0.0</v>
      </c>
      <c r="D1636" s="4" t="s">
        <v>3</v>
      </c>
    </row>
    <row r="1637">
      <c r="A1637" s="3">
        <v>2017.0</v>
      </c>
      <c r="B1637" s="4" t="s">
        <v>157</v>
      </c>
      <c r="C1637" s="15">
        <v>1000.0</v>
      </c>
      <c r="D1637" s="4"/>
    </row>
    <row r="1638">
      <c r="A1638" s="3">
        <v>2017.0</v>
      </c>
      <c r="B1638" s="4" t="s">
        <v>158</v>
      </c>
      <c r="C1638" s="15">
        <v>8000.0</v>
      </c>
      <c r="D1638" s="4"/>
    </row>
    <row r="1639">
      <c r="A1639" s="3">
        <v>2017.0</v>
      </c>
      <c r="B1639" s="4" t="s">
        <v>160</v>
      </c>
      <c r="C1639" s="15">
        <v>0.0</v>
      </c>
      <c r="D1639" s="4" t="s">
        <v>2368</v>
      </c>
    </row>
    <row r="1640">
      <c r="A1640" s="3">
        <v>2017.0</v>
      </c>
      <c r="B1640" s="4" t="s">
        <v>2089</v>
      </c>
      <c r="C1640" s="15">
        <v>21000.0</v>
      </c>
      <c r="D1640" s="4"/>
    </row>
    <row r="1641">
      <c r="A1641" s="3">
        <v>2017.0</v>
      </c>
      <c r="B1641" s="4" t="s">
        <v>164</v>
      </c>
      <c r="C1641" s="15">
        <v>7500.0</v>
      </c>
      <c r="D1641" s="4" t="s">
        <v>3</v>
      </c>
    </row>
    <row r="1642">
      <c r="A1642" s="3">
        <v>2017.0</v>
      </c>
      <c r="B1642" s="4" t="s">
        <v>2405</v>
      </c>
      <c r="C1642" s="15">
        <v>0.0</v>
      </c>
      <c r="D1642" s="4" t="s">
        <v>3</v>
      </c>
    </row>
    <row r="1643">
      <c r="A1643" s="3">
        <v>2017.0</v>
      </c>
      <c r="B1643" s="4" t="s">
        <v>2406</v>
      </c>
      <c r="C1643" s="15">
        <v>0.0</v>
      </c>
      <c r="D1643" s="4" t="s">
        <v>6</v>
      </c>
    </row>
    <row r="1644">
      <c r="A1644" s="3">
        <v>2017.0</v>
      </c>
      <c r="B1644" s="4" t="s">
        <v>166</v>
      </c>
      <c r="C1644" s="15">
        <v>1000.0</v>
      </c>
      <c r="D1644" s="4"/>
    </row>
    <row r="1645">
      <c r="A1645" s="3">
        <v>2017.0</v>
      </c>
      <c r="B1645" s="4" t="s">
        <v>168</v>
      </c>
      <c r="C1645" s="15">
        <v>2500.0</v>
      </c>
      <c r="D1645" s="4" t="s">
        <v>6</v>
      </c>
    </row>
    <row r="1646">
      <c r="A1646" s="3">
        <v>2017.0</v>
      </c>
      <c r="B1646" s="4" t="s">
        <v>2407</v>
      </c>
      <c r="C1646" s="15">
        <v>0.0</v>
      </c>
      <c r="D1646" s="4" t="s">
        <v>6</v>
      </c>
    </row>
    <row r="1647">
      <c r="A1647" s="3">
        <v>2017.0</v>
      </c>
      <c r="B1647" s="4" t="s">
        <v>171</v>
      </c>
      <c r="C1647" s="15">
        <v>9000.0</v>
      </c>
      <c r="D1647" s="4" t="s">
        <v>6</v>
      </c>
    </row>
    <row r="1648">
      <c r="A1648" s="3">
        <v>2017.0</v>
      </c>
      <c r="B1648" s="4" t="s">
        <v>174</v>
      </c>
      <c r="C1648" s="15">
        <v>481688.0</v>
      </c>
      <c r="D1648" s="4" t="s">
        <v>176</v>
      </c>
    </row>
    <row r="1649">
      <c r="A1649" s="3">
        <v>2017.0</v>
      </c>
      <c r="B1649" s="4" t="s">
        <v>177</v>
      </c>
      <c r="C1649" s="15">
        <v>0.0</v>
      </c>
      <c r="D1649" s="4" t="s">
        <v>3</v>
      </c>
    </row>
    <row r="1650">
      <c r="A1650" s="3">
        <v>2017.0</v>
      </c>
      <c r="B1650" s="4" t="s">
        <v>2408</v>
      </c>
      <c r="C1650" s="15">
        <v>0.0</v>
      </c>
      <c r="D1650" s="4" t="s">
        <v>6</v>
      </c>
    </row>
    <row r="1651">
      <c r="A1651" s="3">
        <v>2017.0</v>
      </c>
      <c r="B1651" s="4" t="s">
        <v>178</v>
      </c>
      <c r="C1651" s="15">
        <v>800.0</v>
      </c>
      <c r="D1651" s="4" t="s">
        <v>2377</v>
      </c>
    </row>
    <row r="1652">
      <c r="A1652" s="3">
        <v>2017.0</v>
      </c>
      <c r="B1652" s="4" t="s">
        <v>2409</v>
      </c>
      <c r="C1652" s="15">
        <v>0.0</v>
      </c>
      <c r="D1652" s="4" t="s">
        <v>3</v>
      </c>
    </row>
    <row r="1653">
      <c r="A1653" s="3">
        <v>2017.0</v>
      </c>
      <c r="B1653" s="4" t="s">
        <v>2410</v>
      </c>
      <c r="C1653" s="15">
        <v>0.0</v>
      </c>
      <c r="D1653" s="4" t="s">
        <v>3</v>
      </c>
    </row>
    <row r="1654">
      <c r="A1654" s="3">
        <v>2017.0</v>
      </c>
      <c r="B1654" s="4" t="s">
        <v>2411</v>
      </c>
      <c r="C1654" s="15">
        <v>0.0</v>
      </c>
      <c r="D1654" s="4" t="s">
        <v>2377</v>
      </c>
    </row>
    <row r="1655">
      <c r="A1655" s="3">
        <v>2017.0</v>
      </c>
      <c r="B1655" s="4" t="s">
        <v>182</v>
      </c>
      <c r="C1655" s="15">
        <v>0.0</v>
      </c>
      <c r="D1655" s="4" t="s">
        <v>3</v>
      </c>
    </row>
    <row r="1656">
      <c r="A1656" s="3">
        <v>2017.0</v>
      </c>
      <c r="B1656" s="4" t="s">
        <v>2412</v>
      </c>
      <c r="C1656" s="15">
        <v>0.0</v>
      </c>
      <c r="D1656" s="4" t="s">
        <v>3</v>
      </c>
    </row>
    <row r="1657">
      <c r="A1657" s="3">
        <v>2017.0</v>
      </c>
      <c r="B1657" s="4" t="s">
        <v>185</v>
      </c>
      <c r="C1657" s="15">
        <v>0.0</v>
      </c>
      <c r="D1657" s="4" t="s">
        <v>6</v>
      </c>
    </row>
    <row r="1658">
      <c r="A1658" s="3">
        <v>2017.0</v>
      </c>
      <c r="B1658" s="4" t="s">
        <v>2413</v>
      </c>
      <c r="C1658" s="15">
        <v>6000.0</v>
      </c>
      <c r="D1658" s="4"/>
    </row>
    <row r="1659">
      <c r="A1659" s="3">
        <v>2017.0</v>
      </c>
      <c r="B1659" s="4" t="s">
        <v>2414</v>
      </c>
      <c r="C1659" s="15">
        <v>0.0</v>
      </c>
      <c r="D1659" s="4" t="s">
        <v>6</v>
      </c>
    </row>
    <row r="1660">
      <c r="A1660" s="3">
        <v>2017.0</v>
      </c>
      <c r="B1660" s="4" t="s">
        <v>2415</v>
      </c>
      <c r="C1660" s="15">
        <v>3000.0</v>
      </c>
      <c r="D1660" s="4"/>
    </row>
    <row r="1661">
      <c r="A1661" s="3">
        <v>2017.0</v>
      </c>
      <c r="B1661" s="4" t="s">
        <v>2416</v>
      </c>
      <c r="C1661" s="15">
        <v>0.0</v>
      </c>
      <c r="D1661" s="4" t="s">
        <v>2377</v>
      </c>
    </row>
    <row r="1662">
      <c r="A1662" s="3">
        <v>2017.0</v>
      </c>
      <c r="B1662" s="4" t="s">
        <v>2417</v>
      </c>
      <c r="C1662" s="15">
        <v>0.0</v>
      </c>
      <c r="D1662" s="4" t="s">
        <v>3</v>
      </c>
    </row>
    <row r="1663">
      <c r="A1663" s="3">
        <v>2017.0</v>
      </c>
      <c r="B1663" s="4" t="s">
        <v>186</v>
      </c>
      <c r="C1663" s="15">
        <v>0.0</v>
      </c>
      <c r="D1663" s="4" t="s">
        <v>2377</v>
      </c>
    </row>
    <row r="1664">
      <c r="A1664" s="3">
        <v>2017.0</v>
      </c>
      <c r="B1664" s="4" t="s">
        <v>2418</v>
      </c>
      <c r="C1664" s="15">
        <v>0.0</v>
      </c>
      <c r="D1664" s="4" t="s">
        <v>6</v>
      </c>
    </row>
    <row r="1665">
      <c r="A1665" s="3">
        <v>2017.0</v>
      </c>
      <c r="B1665" s="4" t="s">
        <v>188</v>
      </c>
      <c r="C1665" s="15">
        <v>0.0</v>
      </c>
      <c r="D1665" s="4" t="s">
        <v>2377</v>
      </c>
    </row>
    <row r="1666">
      <c r="A1666" s="3">
        <v>2017.0</v>
      </c>
      <c r="B1666" s="4" t="s">
        <v>2090</v>
      </c>
      <c r="C1666" s="15">
        <v>0.0</v>
      </c>
      <c r="D1666" s="4" t="s">
        <v>2377</v>
      </c>
    </row>
    <row r="1667">
      <c r="A1667" s="3">
        <v>2017.0</v>
      </c>
      <c r="B1667" s="4" t="s">
        <v>191</v>
      </c>
      <c r="C1667" s="15">
        <v>0.0</v>
      </c>
      <c r="D1667" s="4" t="s">
        <v>3</v>
      </c>
    </row>
    <row r="1668">
      <c r="A1668" s="3">
        <v>2017.0</v>
      </c>
      <c r="B1668" s="4" t="s">
        <v>192</v>
      </c>
      <c r="C1668" s="15">
        <v>0.0</v>
      </c>
      <c r="D1668" s="4" t="s">
        <v>29</v>
      </c>
    </row>
    <row r="1669">
      <c r="A1669" s="3">
        <v>2017.0</v>
      </c>
      <c r="B1669" s="4" t="s">
        <v>193</v>
      </c>
      <c r="C1669" s="15">
        <v>700.0</v>
      </c>
      <c r="D1669" s="4" t="s">
        <v>29</v>
      </c>
    </row>
    <row r="1670">
      <c r="A1670" s="3">
        <v>2017.0</v>
      </c>
      <c r="B1670" s="4" t="s">
        <v>194</v>
      </c>
      <c r="C1670" s="15">
        <v>0.0</v>
      </c>
      <c r="D1670" s="4" t="s">
        <v>29</v>
      </c>
    </row>
    <row r="1671">
      <c r="A1671" s="3">
        <v>2017.0</v>
      </c>
      <c r="B1671" s="4" t="s">
        <v>2419</v>
      </c>
      <c r="C1671" s="15">
        <v>0.0</v>
      </c>
      <c r="D1671" s="4" t="s">
        <v>3</v>
      </c>
    </row>
    <row r="1672">
      <c r="A1672" s="3">
        <v>2017.0</v>
      </c>
      <c r="B1672" s="4" t="s">
        <v>197</v>
      </c>
      <c r="C1672" s="15">
        <v>0.0</v>
      </c>
      <c r="D1672" s="4" t="s">
        <v>29</v>
      </c>
    </row>
    <row r="1673">
      <c r="A1673" s="3">
        <v>2017.0</v>
      </c>
      <c r="B1673" s="4" t="s">
        <v>2420</v>
      </c>
      <c r="C1673" s="15">
        <v>0.0</v>
      </c>
      <c r="D1673" s="4" t="s">
        <v>3</v>
      </c>
    </row>
    <row r="1674">
      <c r="A1674" s="3">
        <v>2017.0</v>
      </c>
      <c r="B1674" s="4" t="s">
        <v>198</v>
      </c>
      <c r="C1674" s="15">
        <v>0.0</v>
      </c>
      <c r="D1674" s="4" t="s">
        <v>3</v>
      </c>
    </row>
    <row r="1675">
      <c r="A1675" s="3">
        <v>2017.0</v>
      </c>
      <c r="B1675" s="4" t="s">
        <v>2421</v>
      </c>
      <c r="C1675" s="15">
        <v>1410.0</v>
      </c>
      <c r="D1675" s="4" t="s">
        <v>3</v>
      </c>
    </row>
    <row r="1676">
      <c r="A1676" s="3">
        <v>2017.0</v>
      </c>
      <c r="B1676" s="4" t="s">
        <v>2422</v>
      </c>
      <c r="C1676" s="15">
        <v>300.0</v>
      </c>
      <c r="D1676" s="4" t="s">
        <v>2377</v>
      </c>
    </row>
    <row r="1677">
      <c r="A1677" s="3">
        <v>2017.0</v>
      </c>
      <c r="B1677" s="4" t="s">
        <v>2423</v>
      </c>
      <c r="C1677" s="15">
        <v>1728.0</v>
      </c>
      <c r="D1677" s="4" t="s">
        <v>668</v>
      </c>
    </row>
    <row r="1678">
      <c r="A1678" s="3">
        <v>2017.0</v>
      </c>
      <c r="B1678" s="4" t="s">
        <v>2424</v>
      </c>
      <c r="C1678" s="15">
        <v>0.0</v>
      </c>
      <c r="D1678" s="4" t="s">
        <v>3</v>
      </c>
    </row>
    <row r="1679">
      <c r="A1679" s="3">
        <v>2017.0</v>
      </c>
      <c r="B1679" s="4" t="s">
        <v>2425</v>
      </c>
      <c r="C1679" s="15">
        <v>0.0</v>
      </c>
      <c r="D1679" s="4" t="s">
        <v>3</v>
      </c>
    </row>
    <row r="1680">
      <c r="A1680" s="3">
        <v>2017.0</v>
      </c>
      <c r="B1680" s="4" t="s">
        <v>2426</v>
      </c>
      <c r="C1680" s="15">
        <v>0.0</v>
      </c>
      <c r="D1680" s="4" t="s">
        <v>29</v>
      </c>
    </row>
    <row r="1681">
      <c r="A1681" s="3">
        <v>2017.0</v>
      </c>
      <c r="B1681" s="4" t="s">
        <v>2427</v>
      </c>
      <c r="C1681" s="15">
        <v>0.0</v>
      </c>
      <c r="D1681" s="4" t="s">
        <v>6</v>
      </c>
    </row>
    <row r="1682">
      <c r="A1682" s="3">
        <v>2017.0</v>
      </c>
      <c r="B1682" s="4" t="s">
        <v>2428</v>
      </c>
      <c r="C1682" s="15">
        <v>1000.0</v>
      </c>
      <c r="D1682" s="4"/>
    </row>
    <row r="1683">
      <c r="A1683" s="3">
        <v>2017.0</v>
      </c>
      <c r="B1683" s="4" t="s">
        <v>203</v>
      </c>
      <c r="C1683" s="15">
        <v>16000.0</v>
      </c>
      <c r="D1683" s="4" t="s">
        <v>6</v>
      </c>
    </row>
    <row r="1684">
      <c r="A1684" s="3">
        <v>2017.0</v>
      </c>
      <c r="B1684" s="4" t="s">
        <v>2429</v>
      </c>
      <c r="C1684" s="15">
        <v>800.0</v>
      </c>
      <c r="D1684" s="4" t="s">
        <v>3</v>
      </c>
    </row>
    <row r="1685">
      <c r="A1685" s="3">
        <v>2017.0</v>
      </c>
      <c r="B1685" s="4" t="s">
        <v>2092</v>
      </c>
      <c r="C1685" s="15">
        <v>2500.0</v>
      </c>
      <c r="D1685" s="4"/>
    </row>
    <row r="1686">
      <c r="A1686" s="3">
        <v>2017.0</v>
      </c>
      <c r="B1686" s="4" t="s">
        <v>210</v>
      </c>
      <c r="C1686" s="15">
        <v>0.0</v>
      </c>
      <c r="D1686" s="4" t="s">
        <v>3</v>
      </c>
    </row>
    <row r="1687">
      <c r="A1687" s="3">
        <v>2017.0</v>
      </c>
      <c r="B1687" s="4" t="s">
        <v>211</v>
      </c>
      <c r="C1687" s="15">
        <v>0.0</v>
      </c>
      <c r="D1687" s="4" t="s">
        <v>6</v>
      </c>
    </row>
    <row r="1688">
      <c r="A1688" s="3">
        <v>2017.0</v>
      </c>
      <c r="B1688" s="4" t="s">
        <v>212</v>
      </c>
      <c r="C1688" s="15">
        <v>0.0</v>
      </c>
      <c r="D1688" s="4" t="s">
        <v>29</v>
      </c>
    </row>
    <row r="1689">
      <c r="A1689" s="3">
        <v>2017.0</v>
      </c>
      <c r="B1689" s="4" t="s">
        <v>213</v>
      </c>
      <c r="C1689" s="15">
        <v>3220.0</v>
      </c>
      <c r="D1689" s="4"/>
    </row>
    <row r="1690">
      <c r="A1690" s="3">
        <v>2017.0</v>
      </c>
      <c r="B1690" s="4" t="s">
        <v>2093</v>
      </c>
      <c r="C1690" s="15">
        <v>3000.0</v>
      </c>
      <c r="D1690" s="4" t="s">
        <v>3</v>
      </c>
    </row>
    <row r="1691">
      <c r="A1691" s="3">
        <v>2017.0</v>
      </c>
      <c r="B1691" s="4" t="s">
        <v>220</v>
      </c>
      <c r="C1691" s="15">
        <v>500.0</v>
      </c>
      <c r="D1691" s="4"/>
    </row>
    <row r="1692">
      <c r="A1692" s="3">
        <v>2017.0</v>
      </c>
      <c r="B1692" s="4" t="s">
        <v>2094</v>
      </c>
      <c r="C1692" s="15">
        <v>0.0</v>
      </c>
      <c r="D1692" s="4" t="s">
        <v>29</v>
      </c>
    </row>
    <row r="1693">
      <c r="A1693" s="3">
        <v>2017.0</v>
      </c>
      <c r="B1693" s="4" t="s">
        <v>223</v>
      </c>
      <c r="C1693" s="15">
        <v>532800.0</v>
      </c>
      <c r="D1693" s="4"/>
    </row>
    <row r="1694">
      <c r="A1694" s="3">
        <v>2017.0</v>
      </c>
      <c r="B1694" s="4" t="s">
        <v>225</v>
      </c>
      <c r="C1694" s="15">
        <v>0.0</v>
      </c>
      <c r="D1694" s="4" t="s">
        <v>3</v>
      </c>
    </row>
    <row r="1695">
      <c r="A1695" s="3">
        <v>2017.0</v>
      </c>
      <c r="B1695" s="4" t="s">
        <v>2430</v>
      </c>
      <c r="C1695" s="15">
        <v>0.0</v>
      </c>
      <c r="D1695" s="4" t="s">
        <v>6</v>
      </c>
    </row>
    <row r="1696">
      <c r="A1696" s="3">
        <v>2017.0</v>
      </c>
      <c r="B1696" s="4" t="s">
        <v>226</v>
      </c>
      <c r="C1696" s="15">
        <v>0.0</v>
      </c>
      <c r="D1696" s="4" t="s">
        <v>3</v>
      </c>
    </row>
    <row r="1697">
      <c r="A1697" s="3">
        <v>2017.0</v>
      </c>
      <c r="B1697" s="4" t="s">
        <v>227</v>
      </c>
      <c r="C1697" s="15">
        <v>0.0</v>
      </c>
      <c r="D1697" s="4" t="s">
        <v>3</v>
      </c>
    </row>
    <row r="1698">
      <c r="A1698" s="3">
        <v>2017.0</v>
      </c>
      <c r="B1698" s="4" t="s">
        <v>2095</v>
      </c>
      <c r="C1698" s="15">
        <v>0.0</v>
      </c>
      <c r="D1698" s="4" t="s">
        <v>3</v>
      </c>
    </row>
    <row r="1699">
      <c r="A1699" s="3">
        <v>2017.0</v>
      </c>
      <c r="B1699" s="4" t="s">
        <v>2431</v>
      </c>
      <c r="C1699" s="15">
        <v>0.0</v>
      </c>
      <c r="D1699" s="4" t="s">
        <v>6</v>
      </c>
    </row>
    <row r="1700">
      <c r="A1700" s="3">
        <v>2017.0</v>
      </c>
      <c r="B1700" s="4" t="s">
        <v>232</v>
      </c>
      <c r="C1700" s="15">
        <v>0.0</v>
      </c>
      <c r="D1700" s="4" t="s">
        <v>6</v>
      </c>
    </row>
    <row r="1701">
      <c r="A1701" s="3">
        <v>2017.0</v>
      </c>
      <c r="B1701" s="4" t="s">
        <v>2432</v>
      </c>
      <c r="C1701" s="15">
        <v>0.0</v>
      </c>
      <c r="D1701" s="4" t="s">
        <v>3</v>
      </c>
    </row>
    <row r="1702">
      <c r="A1702" s="3">
        <v>2017.0</v>
      </c>
      <c r="B1702" s="4" t="s">
        <v>2433</v>
      </c>
      <c r="C1702" s="15">
        <v>0.0</v>
      </c>
      <c r="D1702" s="4" t="s">
        <v>6</v>
      </c>
    </row>
    <row r="1703">
      <c r="A1703" s="3">
        <v>2017.0</v>
      </c>
      <c r="B1703" s="4" t="s">
        <v>234</v>
      </c>
      <c r="C1703" s="15">
        <v>0.0</v>
      </c>
      <c r="D1703" s="4" t="s">
        <v>3</v>
      </c>
    </row>
    <row r="1704">
      <c r="A1704" s="3">
        <v>2017.0</v>
      </c>
      <c r="B1704" s="4" t="s">
        <v>2097</v>
      </c>
      <c r="C1704" s="15">
        <v>0.0</v>
      </c>
      <c r="D1704" s="4" t="s">
        <v>3</v>
      </c>
    </row>
    <row r="1705">
      <c r="A1705" s="3">
        <v>2017.0</v>
      </c>
      <c r="B1705" s="4" t="s">
        <v>237</v>
      </c>
      <c r="C1705" s="15">
        <v>0.0</v>
      </c>
      <c r="D1705" s="4" t="s">
        <v>2377</v>
      </c>
    </row>
    <row r="1706">
      <c r="A1706" s="3">
        <v>2017.0</v>
      </c>
      <c r="B1706" s="4" t="s">
        <v>238</v>
      </c>
      <c r="C1706" s="15">
        <v>8800.0</v>
      </c>
      <c r="D1706" s="4" t="s">
        <v>2377</v>
      </c>
    </row>
    <row r="1707">
      <c r="A1707" s="3">
        <v>2017.0</v>
      </c>
      <c r="B1707" s="4" t="s">
        <v>2434</v>
      </c>
      <c r="C1707" s="15">
        <v>2700.0</v>
      </c>
      <c r="D1707" s="4" t="s">
        <v>2377</v>
      </c>
    </row>
    <row r="1708">
      <c r="A1708" s="3">
        <v>2017.0</v>
      </c>
      <c r="B1708" s="4" t="s">
        <v>2435</v>
      </c>
      <c r="C1708" s="15">
        <v>0.0</v>
      </c>
      <c r="D1708" s="4" t="s">
        <v>3</v>
      </c>
    </row>
    <row r="1709">
      <c r="A1709" s="3">
        <v>2017.0</v>
      </c>
      <c r="B1709" s="4" t="s">
        <v>2436</v>
      </c>
      <c r="C1709" s="15">
        <v>0.0</v>
      </c>
      <c r="D1709" s="4" t="s">
        <v>6</v>
      </c>
    </row>
    <row r="1710">
      <c r="A1710" s="3">
        <v>2017.0</v>
      </c>
      <c r="B1710" s="4" t="s">
        <v>240</v>
      </c>
      <c r="C1710" s="15">
        <v>0.0</v>
      </c>
      <c r="D1710" s="4" t="s">
        <v>3</v>
      </c>
    </row>
    <row r="1711">
      <c r="A1711" s="3">
        <v>2017.0</v>
      </c>
      <c r="B1711" s="4" t="s">
        <v>241</v>
      </c>
      <c r="C1711" s="15">
        <v>0.0</v>
      </c>
      <c r="D1711" s="4" t="s">
        <v>6</v>
      </c>
    </row>
    <row r="1712">
      <c r="A1712" s="3">
        <v>2017.0</v>
      </c>
      <c r="B1712" s="4" t="s">
        <v>2098</v>
      </c>
      <c r="C1712" s="15">
        <v>300.0</v>
      </c>
      <c r="D1712" s="4" t="s">
        <v>3</v>
      </c>
    </row>
    <row r="1713">
      <c r="A1713" s="3">
        <v>2017.0</v>
      </c>
      <c r="B1713" s="4" t="s">
        <v>2099</v>
      </c>
      <c r="C1713" s="15">
        <v>35374.0</v>
      </c>
      <c r="D1713" s="4" t="s">
        <v>216</v>
      </c>
    </row>
    <row r="1714">
      <c r="A1714" s="3">
        <v>2017.0</v>
      </c>
      <c r="B1714" s="4" t="s">
        <v>2100</v>
      </c>
      <c r="C1714" s="15">
        <v>0.0</v>
      </c>
      <c r="D1714" s="4" t="s">
        <v>3</v>
      </c>
    </row>
    <row r="1715">
      <c r="A1715" s="3">
        <v>2017.0</v>
      </c>
      <c r="B1715" s="4" t="s">
        <v>2437</v>
      </c>
      <c r="C1715" s="15">
        <v>0.0</v>
      </c>
      <c r="D1715" s="4" t="s">
        <v>3</v>
      </c>
    </row>
    <row r="1716">
      <c r="A1716" s="3">
        <v>2017.0</v>
      </c>
      <c r="B1716" s="4" t="s">
        <v>2101</v>
      </c>
      <c r="C1716" s="15">
        <v>0.0</v>
      </c>
      <c r="D1716" s="4" t="s">
        <v>2377</v>
      </c>
    </row>
    <row r="1717">
      <c r="A1717" s="3">
        <v>2017.0</v>
      </c>
      <c r="B1717" s="4" t="s">
        <v>2103</v>
      </c>
      <c r="C1717" s="15">
        <v>522000.0</v>
      </c>
      <c r="D1717" s="4"/>
    </row>
    <row r="1718">
      <c r="A1718" s="3">
        <v>2017.0</v>
      </c>
      <c r="B1718" s="4" t="s">
        <v>258</v>
      </c>
      <c r="C1718" s="15">
        <v>0.0</v>
      </c>
      <c r="D1718" s="4" t="s">
        <v>3</v>
      </c>
    </row>
    <row r="1719">
      <c r="A1719" s="3">
        <v>2017.0</v>
      </c>
      <c r="B1719" s="4" t="s">
        <v>2438</v>
      </c>
      <c r="C1719" s="15">
        <v>0.0</v>
      </c>
      <c r="D1719" s="4" t="s">
        <v>3</v>
      </c>
    </row>
    <row r="1720">
      <c r="A1720" s="3">
        <v>2017.0</v>
      </c>
      <c r="B1720" s="4" t="s">
        <v>259</v>
      </c>
      <c r="C1720" s="15">
        <v>0.0</v>
      </c>
      <c r="D1720" s="4" t="s">
        <v>3</v>
      </c>
    </row>
    <row r="1721">
      <c r="A1721" s="3">
        <v>2017.0</v>
      </c>
      <c r="B1721" s="4" t="s">
        <v>260</v>
      </c>
      <c r="C1721" s="15">
        <v>1000.0</v>
      </c>
      <c r="D1721" s="4" t="s">
        <v>2377</v>
      </c>
    </row>
    <row r="1722">
      <c r="A1722" s="3">
        <v>2017.0</v>
      </c>
      <c r="B1722" s="4" t="s">
        <v>2439</v>
      </c>
      <c r="C1722" s="15">
        <v>0.0</v>
      </c>
      <c r="D1722" s="4" t="s">
        <v>2377</v>
      </c>
    </row>
    <row r="1723">
      <c r="A1723" s="3">
        <v>2017.0</v>
      </c>
      <c r="B1723" s="4" t="s">
        <v>2440</v>
      </c>
      <c r="C1723" s="15">
        <v>0.0</v>
      </c>
      <c r="D1723" s="4" t="s">
        <v>3</v>
      </c>
    </row>
    <row r="1724">
      <c r="A1724" s="3">
        <v>2017.0</v>
      </c>
      <c r="B1724" s="4" t="s">
        <v>2441</v>
      </c>
      <c r="C1724" s="15">
        <v>0.0</v>
      </c>
      <c r="D1724" s="4" t="s">
        <v>2377</v>
      </c>
    </row>
    <row r="1725">
      <c r="A1725" s="3">
        <v>2017.0</v>
      </c>
      <c r="B1725" s="4" t="s">
        <v>2109</v>
      </c>
      <c r="C1725" s="15">
        <v>5000.0</v>
      </c>
      <c r="D1725" s="4" t="s">
        <v>3</v>
      </c>
    </row>
    <row r="1726">
      <c r="A1726" s="3">
        <v>2017.0</v>
      </c>
      <c r="B1726" s="4" t="s">
        <v>2442</v>
      </c>
      <c r="C1726" s="15">
        <v>0.0</v>
      </c>
      <c r="D1726" s="4" t="s">
        <v>3</v>
      </c>
    </row>
    <row r="1727">
      <c r="A1727" s="3">
        <v>2017.0</v>
      </c>
      <c r="B1727" s="4" t="s">
        <v>278</v>
      </c>
      <c r="C1727" s="15">
        <v>4000.0</v>
      </c>
      <c r="D1727" s="4" t="s">
        <v>2377</v>
      </c>
    </row>
    <row r="1728">
      <c r="A1728" s="3">
        <v>2017.0</v>
      </c>
      <c r="B1728" s="4" t="s">
        <v>2443</v>
      </c>
      <c r="C1728" s="15">
        <v>0.0</v>
      </c>
      <c r="D1728" s="4" t="s">
        <v>29</v>
      </c>
    </row>
    <row r="1729">
      <c r="A1729" s="3">
        <v>2017.0</v>
      </c>
      <c r="B1729" s="4" t="s">
        <v>2444</v>
      </c>
      <c r="C1729" s="15">
        <v>0.0</v>
      </c>
      <c r="D1729" s="4" t="s">
        <v>3</v>
      </c>
    </row>
    <row r="1730">
      <c r="A1730" s="3">
        <v>2017.0</v>
      </c>
      <c r="B1730" s="4" t="s">
        <v>286</v>
      </c>
      <c r="C1730" s="15">
        <v>0.0</v>
      </c>
      <c r="D1730" s="4" t="s">
        <v>3</v>
      </c>
    </row>
    <row r="1731">
      <c r="A1731" s="3">
        <v>2017.0</v>
      </c>
      <c r="B1731" s="4" t="s">
        <v>2112</v>
      </c>
      <c r="C1731" s="15">
        <v>400.0</v>
      </c>
      <c r="D1731" s="4" t="s">
        <v>3</v>
      </c>
    </row>
    <row r="1732">
      <c r="A1732" s="3">
        <v>2017.0</v>
      </c>
      <c r="B1732" s="4" t="s">
        <v>2445</v>
      </c>
      <c r="C1732" s="15">
        <v>0.0</v>
      </c>
      <c r="D1732" s="4" t="s">
        <v>3</v>
      </c>
    </row>
    <row r="1733">
      <c r="A1733" s="3">
        <v>2017.0</v>
      </c>
      <c r="B1733" s="4" t="s">
        <v>2114</v>
      </c>
      <c r="C1733" s="15">
        <v>0.0</v>
      </c>
      <c r="D1733" s="4" t="s">
        <v>3</v>
      </c>
    </row>
    <row r="1734">
      <c r="A1734" s="3">
        <v>2017.0</v>
      </c>
      <c r="B1734" s="4" t="s">
        <v>2446</v>
      </c>
      <c r="C1734" s="15">
        <v>0.0</v>
      </c>
      <c r="D1734" s="4" t="s">
        <v>3</v>
      </c>
    </row>
    <row r="1735">
      <c r="A1735" s="3">
        <v>2017.0</v>
      </c>
      <c r="B1735" s="4" t="s">
        <v>2115</v>
      </c>
      <c r="C1735" s="15">
        <v>3030.0</v>
      </c>
      <c r="D1735" s="4"/>
    </row>
    <row r="1736">
      <c r="A1736" s="3">
        <v>2017.0</v>
      </c>
      <c r="B1736" s="4" t="s">
        <v>296</v>
      </c>
      <c r="C1736" s="15">
        <v>0.0</v>
      </c>
      <c r="D1736" s="4" t="s">
        <v>3</v>
      </c>
    </row>
    <row r="1737">
      <c r="A1737" s="3">
        <v>2017.0</v>
      </c>
      <c r="B1737" s="4" t="s">
        <v>299</v>
      </c>
      <c r="C1737" s="15">
        <v>6782.0</v>
      </c>
      <c r="D1737" s="4" t="s">
        <v>6</v>
      </c>
    </row>
    <row r="1738">
      <c r="A1738" s="3">
        <v>2017.0</v>
      </c>
      <c r="B1738" s="4" t="s">
        <v>2117</v>
      </c>
      <c r="C1738" s="15">
        <v>8035091.0</v>
      </c>
      <c r="D1738" s="4" t="s">
        <v>2447</v>
      </c>
    </row>
    <row r="1739">
      <c r="A1739" s="3">
        <v>2017.0</v>
      </c>
      <c r="B1739" s="4" t="s">
        <v>2118</v>
      </c>
      <c r="C1739" s="15">
        <v>0.0</v>
      </c>
      <c r="D1739" s="4" t="s">
        <v>3</v>
      </c>
    </row>
    <row r="1740">
      <c r="A1740" s="3">
        <v>2017.0</v>
      </c>
      <c r="B1740" s="4" t="s">
        <v>2119</v>
      </c>
      <c r="C1740" s="15">
        <v>4400.0</v>
      </c>
      <c r="D1740" s="4"/>
    </row>
    <row r="1741">
      <c r="A1741" s="3">
        <v>2017.0</v>
      </c>
      <c r="B1741" s="4" t="s">
        <v>2448</v>
      </c>
      <c r="C1741" s="15">
        <v>10100.0</v>
      </c>
      <c r="D1741" s="4" t="s">
        <v>6</v>
      </c>
    </row>
    <row r="1742">
      <c r="A1742" s="3">
        <v>2017.0</v>
      </c>
      <c r="B1742" s="4" t="s">
        <v>314</v>
      </c>
      <c r="C1742" s="15">
        <v>4880.0</v>
      </c>
      <c r="D1742" s="4" t="s">
        <v>6</v>
      </c>
    </row>
    <row r="1743">
      <c r="A1743" s="3">
        <v>2017.0</v>
      </c>
      <c r="B1743" s="4" t="s">
        <v>316</v>
      </c>
      <c r="C1743" s="15">
        <v>3750.0</v>
      </c>
      <c r="D1743" s="4"/>
    </row>
    <row r="1744">
      <c r="A1744" s="3">
        <v>2017.0</v>
      </c>
      <c r="B1744" s="4" t="s">
        <v>318</v>
      </c>
      <c r="C1744" s="15">
        <v>0.0</v>
      </c>
      <c r="D1744" s="4"/>
    </row>
    <row r="1745">
      <c r="A1745" s="3">
        <v>2017.0</v>
      </c>
      <c r="B1745" s="4" t="s">
        <v>320</v>
      </c>
      <c r="C1745" s="15">
        <v>450.0</v>
      </c>
      <c r="D1745" s="4"/>
    </row>
    <row r="1746">
      <c r="A1746" s="3">
        <v>2017.0</v>
      </c>
      <c r="B1746" s="4" t="s">
        <v>322</v>
      </c>
      <c r="C1746" s="15">
        <v>7601.0</v>
      </c>
      <c r="D1746" s="4" t="s">
        <v>2377</v>
      </c>
    </row>
    <row r="1747">
      <c r="A1747" s="3">
        <v>2017.0</v>
      </c>
      <c r="B1747" s="4" t="s">
        <v>2121</v>
      </c>
      <c r="C1747" s="15">
        <v>4400.0</v>
      </c>
      <c r="D1747" s="4"/>
    </row>
    <row r="1748">
      <c r="A1748" s="3">
        <v>2017.0</v>
      </c>
      <c r="B1748" s="4" t="s">
        <v>330</v>
      </c>
      <c r="C1748" s="15">
        <v>9000.0</v>
      </c>
      <c r="D1748" s="4" t="s">
        <v>6</v>
      </c>
    </row>
    <row r="1749">
      <c r="A1749" s="3">
        <v>2017.0</v>
      </c>
      <c r="B1749" s="4" t="s">
        <v>2123</v>
      </c>
      <c r="C1749" s="15">
        <v>4500.0</v>
      </c>
      <c r="D1749" s="4" t="s">
        <v>6</v>
      </c>
    </row>
    <row r="1750">
      <c r="A1750" s="3">
        <v>2017.0</v>
      </c>
      <c r="B1750" s="4" t="s">
        <v>2125</v>
      </c>
      <c r="C1750" s="15">
        <v>4000.0</v>
      </c>
      <c r="D1750" s="4" t="s">
        <v>6</v>
      </c>
    </row>
    <row r="1751">
      <c r="A1751" s="3">
        <v>2017.0</v>
      </c>
      <c r="B1751" s="4" t="s">
        <v>2127</v>
      </c>
      <c r="C1751" s="15">
        <v>11000.0</v>
      </c>
      <c r="D1751" s="4" t="s">
        <v>6</v>
      </c>
    </row>
    <row r="1752">
      <c r="A1752" s="3">
        <v>2017.0</v>
      </c>
      <c r="B1752" s="4" t="s">
        <v>2449</v>
      </c>
      <c r="C1752" s="15">
        <v>3500.0</v>
      </c>
      <c r="D1752" s="4" t="s">
        <v>6</v>
      </c>
    </row>
    <row r="1753">
      <c r="A1753" s="3">
        <v>2017.0</v>
      </c>
      <c r="B1753" s="4" t="s">
        <v>343</v>
      </c>
      <c r="C1753" s="15">
        <v>2670.0</v>
      </c>
      <c r="D1753" s="4"/>
    </row>
    <row r="1754">
      <c r="A1754" s="3">
        <v>2017.0</v>
      </c>
      <c r="B1754" s="4" t="s">
        <v>347</v>
      </c>
      <c r="C1754" s="15">
        <v>0.0</v>
      </c>
      <c r="D1754" s="4" t="s">
        <v>2377</v>
      </c>
    </row>
    <row r="1755">
      <c r="A1755" s="3">
        <v>2017.0</v>
      </c>
      <c r="B1755" s="4" t="s">
        <v>2129</v>
      </c>
      <c r="C1755" s="15">
        <v>0.0</v>
      </c>
      <c r="D1755" s="4" t="s">
        <v>6</v>
      </c>
    </row>
    <row r="1756">
      <c r="A1756" s="3">
        <v>2017.0</v>
      </c>
      <c r="B1756" s="4" t="s">
        <v>2450</v>
      </c>
      <c r="C1756" s="15">
        <v>0.0</v>
      </c>
      <c r="D1756" s="4" t="s">
        <v>3</v>
      </c>
    </row>
    <row r="1757">
      <c r="A1757" s="3">
        <v>2017.0</v>
      </c>
      <c r="B1757" s="4" t="s">
        <v>350</v>
      </c>
      <c r="C1757" s="15">
        <v>1000.0</v>
      </c>
      <c r="D1757" s="4" t="s">
        <v>3</v>
      </c>
    </row>
    <row r="1758">
      <c r="A1758" s="3">
        <v>2017.0</v>
      </c>
      <c r="B1758" s="4" t="s">
        <v>2130</v>
      </c>
      <c r="C1758" s="15">
        <v>2500.0</v>
      </c>
      <c r="D1758" s="4"/>
    </row>
    <row r="1759">
      <c r="A1759" s="3">
        <v>2017.0</v>
      </c>
      <c r="B1759" s="4" t="s">
        <v>2451</v>
      </c>
      <c r="C1759" s="15">
        <v>0.0</v>
      </c>
      <c r="D1759" s="4" t="s">
        <v>3</v>
      </c>
    </row>
    <row r="1760">
      <c r="A1760" s="3">
        <v>2017.0</v>
      </c>
      <c r="B1760" s="4" t="s">
        <v>2452</v>
      </c>
      <c r="C1760" s="15">
        <v>0.0</v>
      </c>
      <c r="D1760" s="4" t="s">
        <v>3</v>
      </c>
    </row>
    <row r="1761">
      <c r="A1761" s="3">
        <v>2017.0</v>
      </c>
      <c r="B1761" s="4" t="s">
        <v>360</v>
      </c>
      <c r="C1761" s="15">
        <v>0.0</v>
      </c>
      <c r="D1761" s="4" t="s">
        <v>3</v>
      </c>
    </row>
    <row r="1762">
      <c r="A1762" s="3">
        <v>2017.0</v>
      </c>
      <c r="B1762" s="4" t="s">
        <v>2453</v>
      </c>
      <c r="C1762" s="15">
        <v>4400.0</v>
      </c>
      <c r="D1762" s="4" t="s">
        <v>6</v>
      </c>
    </row>
    <row r="1763">
      <c r="A1763" s="3">
        <v>2017.0</v>
      </c>
      <c r="B1763" s="4" t="s">
        <v>2454</v>
      </c>
      <c r="C1763" s="15">
        <v>0.0</v>
      </c>
      <c r="D1763" s="4" t="s">
        <v>3</v>
      </c>
    </row>
    <row r="1764">
      <c r="A1764" s="3">
        <v>2017.0</v>
      </c>
      <c r="B1764" s="4" t="s">
        <v>2455</v>
      </c>
      <c r="C1764" s="15">
        <v>0.0</v>
      </c>
      <c r="D1764" s="4" t="s">
        <v>3</v>
      </c>
    </row>
    <row r="1765">
      <c r="A1765" s="3">
        <v>2017.0</v>
      </c>
      <c r="B1765" s="4" t="s">
        <v>2456</v>
      </c>
      <c r="C1765" s="15">
        <v>0.0</v>
      </c>
      <c r="D1765" s="4" t="s">
        <v>3</v>
      </c>
    </row>
    <row r="1766">
      <c r="A1766" s="3">
        <v>2017.0</v>
      </c>
      <c r="B1766" s="4" t="s">
        <v>374</v>
      </c>
      <c r="C1766" s="15">
        <v>0.0</v>
      </c>
      <c r="D1766" s="4" t="s">
        <v>3</v>
      </c>
    </row>
    <row r="1767">
      <c r="A1767" s="3">
        <v>2017.0</v>
      </c>
      <c r="B1767" s="4" t="s">
        <v>2457</v>
      </c>
      <c r="C1767" s="15">
        <v>0.0</v>
      </c>
      <c r="D1767" s="4" t="s">
        <v>3</v>
      </c>
    </row>
    <row r="1768">
      <c r="A1768" s="3">
        <v>2017.0</v>
      </c>
      <c r="B1768" s="4" t="s">
        <v>2458</v>
      </c>
      <c r="C1768" s="15">
        <v>0.0</v>
      </c>
      <c r="D1768" s="4" t="s">
        <v>3</v>
      </c>
    </row>
    <row r="1769">
      <c r="A1769" s="3">
        <v>2017.0</v>
      </c>
      <c r="B1769" s="4" t="s">
        <v>375</v>
      </c>
      <c r="C1769" s="15">
        <v>3200.0</v>
      </c>
      <c r="D1769" s="4" t="s">
        <v>6</v>
      </c>
    </row>
    <row r="1770">
      <c r="A1770" s="3">
        <v>2017.0</v>
      </c>
      <c r="B1770" s="4" t="s">
        <v>2459</v>
      </c>
      <c r="C1770" s="15">
        <v>0.0</v>
      </c>
      <c r="D1770" s="4" t="s">
        <v>3</v>
      </c>
    </row>
    <row r="1771">
      <c r="A1771" s="3">
        <v>2017.0</v>
      </c>
      <c r="B1771" s="4" t="s">
        <v>2460</v>
      </c>
      <c r="C1771" s="15">
        <v>0.0</v>
      </c>
      <c r="D1771" s="4" t="s">
        <v>6</v>
      </c>
    </row>
    <row r="1772">
      <c r="A1772" s="3">
        <v>2017.0</v>
      </c>
      <c r="B1772" s="4" t="s">
        <v>2461</v>
      </c>
      <c r="C1772" s="15">
        <v>0.0</v>
      </c>
      <c r="D1772" s="4" t="s">
        <v>6</v>
      </c>
    </row>
    <row r="1773">
      <c r="A1773" s="3">
        <v>2017.0</v>
      </c>
      <c r="B1773" s="4" t="s">
        <v>2139</v>
      </c>
      <c r="C1773" s="15">
        <v>0.0</v>
      </c>
      <c r="D1773" s="4" t="s">
        <v>3</v>
      </c>
    </row>
    <row r="1774">
      <c r="A1774" s="3">
        <v>2017.0</v>
      </c>
      <c r="B1774" s="4" t="s">
        <v>383</v>
      </c>
      <c r="C1774" s="15">
        <v>0.0</v>
      </c>
      <c r="D1774" s="4" t="s">
        <v>3</v>
      </c>
    </row>
    <row r="1775">
      <c r="A1775" s="3">
        <v>2017.0</v>
      </c>
      <c r="B1775" s="4" t="s">
        <v>2462</v>
      </c>
      <c r="C1775" s="15">
        <v>0.0</v>
      </c>
      <c r="D1775" s="4" t="s">
        <v>2377</v>
      </c>
    </row>
    <row r="1776">
      <c r="A1776" s="3">
        <v>2017.0</v>
      </c>
      <c r="B1776" s="4" t="s">
        <v>2463</v>
      </c>
      <c r="C1776" s="15">
        <v>1000.0</v>
      </c>
      <c r="D1776" s="4" t="s">
        <v>3</v>
      </c>
    </row>
    <row r="1777">
      <c r="A1777" s="3">
        <v>2017.0</v>
      </c>
      <c r="B1777" s="4" t="s">
        <v>387</v>
      </c>
      <c r="C1777" s="15">
        <v>1000.0</v>
      </c>
      <c r="D1777" s="4" t="s">
        <v>6</v>
      </c>
    </row>
    <row r="1778">
      <c r="A1778" s="3">
        <v>2017.0</v>
      </c>
      <c r="B1778" s="4" t="s">
        <v>2464</v>
      </c>
      <c r="C1778" s="15">
        <v>0.0</v>
      </c>
      <c r="D1778" s="4" t="s">
        <v>6</v>
      </c>
    </row>
    <row r="1779">
      <c r="A1779" s="3">
        <v>2017.0</v>
      </c>
      <c r="B1779" s="4" t="s">
        <v>2465</v>
      </c>
      <c r="C1779" s="15">
        <v>7000.0</v>
      </c>
      <c r="D1779" s="4"/>
    </row>
    <row r="1780">
      <c r="A1780" s="3">
        <v>2017.0</v>
      </c>
      <c r="B1780" s="4" t="s">
        <v>2142</v>
      </c>
      <c r="C1780" s="15">
        <v>380000.0</v>
      </c>
      <c r="D1780" s="4"/>
    </row>
    <row r="1781">
      <c r="A1781" s="3">
        <v>2017.0</v>
      </c>
      <c r="B1781" s="4" t="s">
        <v>2466</v>
      </c>
      <c r="C1781" s="15">
        <v>0.0</v>
      </c>
      <c r="D1781" s="4" t="s">
        <v>6</v>
      </c>
    </row>
    <row r="1782">
      <c r="A1782" s="3">
        <v>2017.0</v>
      </c>
      <c r="B1782" s="4" t="s">
        <v>395</v>
      </c>
      <c r="C1782" s="15">
        <v>28500.0</v>
      </c>
      <c r="D1782" s="4" t="s">
        <v>3</v>
      </c>
    </row>
    <row r="1783">
      <c r="A1783" s="3">
        <v>2017.0</v>
      </c>
      <c r="B1783" s="4" t="s">
        <v>397</v>
      </c>
      <c r="C1783" s="15">
        <v>2800.0</v>
      </c>
      <c r="D1783" s="4"/>
    </row>
    <row r="1784">
      <c r="A1784" s="3">
        <v>2017.0</v>
      </c>
      <c r="B1784" s="4" t="s">
        <v>399</v>
      </c>
      <c r="C1784" s="15">
        <v>5000.0</v>
      </c>
      <c r="D1784" s="4"/>
    </row>
    <row r="1785">
      <c r="A1785" s="3">
        <v>2017.0</v>
      </c>
      <c r="B1785" s="4" t="s">
        <v>2143</v>
      </c>
      <c r="C1785" s="15">
        <v>0.0</v>
      </c>
      <c r="D1785" s="4" t="s">
        <v>29</v>
      </c>
    </row>
    <row r="1786">
      <c r="A1786" s="3">
        <v>2017.0</v>
      </c>
      <c r="B1786" s="4" t="s">
        <v>401</v>
      </c>
      <c r="C1786" s="15">
        <v>0.0</v>
      </c>
      <c r="D1786" s="4" t="s">
        <v>6</v>
      </c>
    </row>
    <row r="1787">
      <c r="A1787" s="3">
        <v>2017.0</v>
      </c>
      <c r="B1787" s="4" t="s">
        <v>404</v>
      </c>
      <c r="C1787" s="15">
        <v>0.0</v>
      </c>
      <c r="D1787" s="4" t="s">
        <v>29</v>
      </c>
    </row>
    <row r="1788">
      <c r="A1788" s="3">
        <v>2017.0</v>
      </c>
      <c r="B1788" s="4" t="s">
        <v>405</v>
      </c>
      <c r="C1788" s="15">
        <v>1400.0</v>
      </c>
      <c r="D1788" s="4"/>
    </row>
    <row r="1789">
      <c r="A1789" s="3">
        <v>2017.0</v>
      </c>
      <c r="B1789" s="4" t="s">
        <v>2467</v>
      </c>
      <c r="C1789" s="15">
        <v>0.0</v>
      </c>
      <c r="D1789" s="4" t="s">
        <v>6</v>
      </c>
    </row>
    <row r="1790">
      <c r="A1790" s="3">
        <v>2017.0</v>
      </c>
      <c r="B1790" s="4" t="s">
        <v>2144</v>
      </c>
      <c r="C1790" s="15">
        <v>7000.0</v>
      </c>
      <c r="D1790" s="4" t="s">
        <v>3</v>
      </c>
    </row>
    <row r="1791">
      <c r="A1791" s="3">
        <v>2017.0</v>
      </c>
      <c r="B1791" s="4" t="s">
        <v>410</v>
      </c>
      <c r="C1791" s="15">
        <v>1500.0</v>
      </c>
      <c r="D1791" s="4"/>
    </row>
    <row r="1792">
      <c r="A1792" s="3">
        <v>2017.0</v>
      </c>
      <c r="B1792" s="4" t="s">
        <v>411</v>
      </c>
      <c r="C1792" s="15">
        <v>0.0</v>
      </c>
      <c r="D1792" s="4" t="s">
        <v>3</v>
      </c>
    </row>
    <row r="1793">
      <c r="A1793" s="3">
        <v>2017.0</v>
      </c>
      <c r="B1793" s="4" t="s">
        <v>2468</v>
      </c>
      <c r="C1793" s="15">
        <v>1100.0</v>
      </c>
      <c r="D1793" s="4"/>
    </row>
    <row r="1794">
      <c r="A1794" s="3">
        <v>2017.0</v>
      </c>
      <c r="B1794" s="4" t="s">
        <v>2469</v>
      </c>
      <c r="C1794" s="15">
        <v>3000.0</v>
      </c>
      <c r="D1794" s="4"/>
    </row>
    <row r="1795">
      <c r="A1795" s="3">
        <v>2017.0</v>
      </c>
      <c r="B1795" s="4" t="s">
        <v>413</v>
      </c>
      <c r="C1795" s="15">
        <v>26600.0</v>
      </c>
      <c r="D1795" s="4" t="s">
        <v>3</v>
      </c>
    </row>
    <row r="1796">
      <c r="A1796" s="3">
        <v>2017.0</v>
      </c>
      <c r="B1796" s="4" t="s">
        <v>2470</v>
      </c>
      <c r="C1796" s="15">
        <v>0.0</v>
      </c>
      <c r="D1796" s="4" t="s">
        <v>668</v>
      </c>
    </row>
    <row r="1797">
      <c r="A1797" s="3">
        <v>2017.0</v>
      </c>
      <c r="B1797" s="4" t="s">
        <v>2471</v>
      </c>
      <c r="C1797" s="15">
        <v>0.0</v>
      </c>
      <c r="D1797" s="4" t="s">
        <v>6</v>
      </c>
    </row>
    <row r="1798">
      <c r="A1798" s="3">
        <v>2017.0</v>
      </c>
      <c r="B1798" s="4" t="s">
        <v>2147</v>
      </c>
      <c r="C1798" s="15">
        <v>0.0</v>
      </c>
      <c r="D1798" s="4" t="s">
        <v>3</v>
      </c>
    </row>
    <row r="1799">
      <c r="A1799" s="3">
        <v>2017.0</v>
      </c>
      <c r="B1799" s="4" t="s">
        <v>2472</v>
      </c>
      <c r="C1799" s="15">
        <v>0.0</v>
      </c>
      <c r="D1799" s="4" t="s">
        <v>3</v>
      </c>
    </row>
    <row r="1800">
      <c r="A1800" s="3">
        <v>2017.0</v>
      </c>
      <c r="B1800" s="4" t="s">
        <v>2473</v>
      </c>
      <c r="C1800" s="15">
        <v>0.0</v>
      </c>
      <c r="D1800" s="4" t="s">
        <v>3</v>
      </c>
    </row>
    <row r="1801">
      <c r="A1801" s="3">
        <v>2017.0</v>
      </c>
      <c r="B1801" s="4" t="s">
        <v>2148</v>
      </c>
      <c r="C1801" s="15">
        <v>0.0</v>
      </c>
      <c r="D1801" s="4" t="s">
        <v>29</v>
      </c>
    </row>
    <row r="1802">
      <c r="A1802" s="3">
        <v>2017.0</v>
      </c>
      <c r="B1802" s="4" t="s">
        <v>422</v>
      </c>
      <c r="C1802" s="15">
        <v>0.0</v>
      </c>
      <c r="D1802" s="4" t="s">
        <v>29</v>
      </c>
    </row>
    <row r="1803">
      <c r="A1803" s="3">
        <v>2017.0</v>
      </c>
      <c r="B1803" s="4" t="s">
        <v>2474</v>
      </c>
      <c r="C1803" s="15">
        <v>0.0</v>
      </c>
      <c r="D1803" s="4" t="s">
        <v>6</v>
      </c>
    </row>
    <row r="1804">
      <c r="A1804" s="3">
        <v>2017.0</v>
      </c>
      <c r="B1804" s="4" t="s">
        <v>2475</v>
      </c>
      <c r="C1804" s="15">
        <v>2000.0</v>
      </c>
      <c r="D1804" s="4" t="s">
        <v>3</v>
      </c>
    </row>
    <row r="1805">
      <c r="A1805" s="3">
        <v>2017.0</v>
      </c>
      <c r="B1805" s="4" t="s">
        <v>2476</v>
      </c>
      <c r="C1805" s="15">
        <v>0.0</v>
      </c>
      <c r="D1805" s="4" t="s">
        <v>3</v>
      </c>
    </row>
    <row r="1806">
      <c r="A1806" s="3">
        <v>2017.0</v>
      </c>
      <c r="B1806" s="4" t="s">
        <v>2477</v>
      </c>
      <c r="C1806" s="15">
        <v>0.0</v>
      </c>
      <c r="D1806" s="4" t="s">
        <v>3</v>
      </c>
    </row>
    <row r="1807">
      <c r="A1807" s="3">
        <v>2017.0</v>
      </c>
      <c r="B1807" s="4" t="s">
        <v>2478</v>
      </c>
      <c r="C1807" s="15">
        <v>0.0</v>
      </c>
      <c r="D1807" s="4" t="s">
        <v>3</v>
      </c>
    </row>
    <row r="1808">
      <c r="A1808" s="3">
        <v>2017.0</v>
      </c>
      <c r="B1808" s="4" t="s">
        <v>424</v>
      </c>
      <c r="C1808" s="15">
        <v>0.0</v>
      </c>
      <c r="D1808" s="4" t="s">
        <v>3</v>
      </c>
    </row>
    <row r="1809">
      <c r="A1809" s="3">
        <v>2017.0</v>
      </c>
      <c r="B1809" s="4" t="s">
        <v>427</v>
      </c>
      <c r="C1809" s="15">
        <v>10623.0</v>
      </c>
      <c r="D1809" s="4" t="s">
        <v>29</v>
      </c>
    </row>
    <row r="1810">
      <c r="A1810" s="3">
        <v>2017.0</v>
      </c>
      <c r="B1810" s="4" t="s">
        <v>2479</v>
      </c>
      <c r="C1810" s="15">
        <v>3000.0</v>
      </c>
      <c r="D1810" s="4" t="s">
        <v>3</v>
      </c>
    </row>
    <row r="1811">
      <c r="A1811" s="3">
        <v>2017.0</v>
      </c>
      <c r="B1811" s="4" t="s">
        <v>2150</v>
      </c>
      <c r="C1811" s="15">
        <v>45000.0</v>
      </c>
      <c r="D1811" s="4" t="s">
        <v>3</v>
      </c>
    </row>
    <row r="1812">
      <c r="A1812" s="3">
        <v>2017.0</v>
      </c>
      <c r="B1812" s="4" t="s">
        <v>2151</v>
      </c>
      <c r="C1812" s="15">
        <v>0.0</v>
      </c>
      <c r="D1812" s="4" t="s">
        <v>29</v>
      </c>
    </row>
    <row r="1813">
      <c r="A1813" s="3">
        <v>2017.0</v>
      </c>
      <c r="B1813" s="4" t="s">
        <v>2480</v>
      </c>
      <c r="C1813" s="15">
        <v>0.0</v>
      </c>
      <c r="D1813" s="4" t="s">
        <v>3</v>
      </c>
    </row>
    <row r="1814">
      <c r="A1814" s="3">
        <v>2017.0</v>
      </c>
      <c r="B1814" s="4" t="s">
        <v>2481</v>
      </c>
      <c r="C1814" s="15">
        <v>0.0</v>
      </c>
      <c r="D1814" s="4" t="s">
        <v>3</v>
      </c>
    </row>
    <row r="1815">
      <c r="A1815" s="3">
        <v>2017.0</v>
      </c>
      <c r="B1815" s="4" t="s">
        <v>2152</v>
      </c>
      <c r="C1815" s="15">
        <v>0.0</v>
      </c>
      <c r="D1815" s="4" t="s">
        <v>3</v>
      </c>
    </row>
    <row r="1816">
      <c r="A1816" s="3">
        <v>2017.0</v>
      </c>
      <c r="B1816" s="4" t="s">
        <v>2153</v>
      </c>
      <c r="C1816" s="15">
        <v>1500.0</v>
      </c>
      <c r="D1816" s="4"/>
    </row>
    <row r="1817">
      <c r="A1817" s="3">
        <v>2017.0</v>
      </c>
      <c r="B1817" s="4" t="s">
        <v>2482</v>
      </c>
      <c r="C1817" s="15">
        <v>0.0</v>
      </c>
      <c r="D1817" s="4" t="s">
        <v>6</v>
      </c>
    </row>
    <row r="1818">
      <c r="A1818" s="3">
        <v>2017.0</v>
      </c>
      <c r="B1818" s="4" t="s">
        <v>2483</v>
      </c>
      <c r="C1818" s="15">
        <v>0.0</v>
      </c>
      <c r="D1818" s="4" t="s">
        <v>3</v>
      </c>
    </row>
    <row r="1819">
      <c r="A1819" s="3">
        <v>2017.0</v>
      </c>
      <c r="B1819" s="4" t="s">
        <v>2154</v>
      </c>
      <c r="C1819" s="15">
        <v>0.0</v>
      </c>
      <c r="D1819" s="4" t="s">
        <v>3</v>
      </c>
    </row>
    <row r="1820">
      <c r="A1820" s="3">
        <v>2017.0</v>
      </c>
      <c r="B1820" s="4" t="s">
        <v>2484</v>
      </c>
      <c r="C1820" s="15">
        <v>0.0</v>
      </c>
      <c r="D1820" s="4" t="s">
        <v>29</v>
      </c>
    </row>
    <row r="1821">
      <c r="A1821" s="3">
        <v>2017.0</v>
      </c>
      <c r="B1821" s="4" t="s">
        <v>442</v>
      </c>
      <c r="C1821" s="15">
        <v>4400.0</v>
      </c>
      <c r="D1821" s="4"/>
    </row>
    <row r="1822">
      <c r="A1822" s="3">
        <v>2017.0</v>
      </c>
      <c r="B1822" s="4" t="s">
        <v>445</v>
      </c>
      <c r="C1822" s="15">
        <v>180000.0</v>
      </c>
      <c r="D1822" s="4"/>
    </row>
    <row r="1823">
      <c r="A1823" s="3">
        <v>2017.0</v>
      </c>
      <c r="B1823" s="4" t="s">
        <v>2485</v>
      </c>
      <c r="C1823" s="15">
        <v>3600.0</v>
      </c>
      <c r="D1823" s="4" t="s">
        <v>6</v>
      </c>
    </row>
    <row r="1824">
      <c r="A1824" s="3">
        <v>2017.0</v>
      </c>
      <c r="B1824" s="4" t="s">
        <v>2486</v>
      </c>
      <c r="C1824" s="15">
        <v>55000.0</v>
      </c>
      <c r="D1824" s="4" t="s">
        <v>3</v>
      </c>
    </row>
    <row r="1825">
      <c r="A1825" s="3">
        <v>2017.0</v>
      </c>
      <c r="B1825" s="4" t="s">
        <v>449</v>
      </c>
      <c r="C1825" s="15">
        <v>0.0</v>
      </c>
      <c r="D1825" s="4" t="s">
        <v>2377</v>
      </c>
    </row>
    <row r="1826">
      <c r="A1826" s="3">
        <v>2017.0</v>
      </c>
      <c r="B1826" s="4" t="s">
        <v>450</v>
      </c>
      <c r="C1826" s="15">
        <v>1600.0</v>
      </c>
      <c r="D1826" s="4" t="s">
        <v>6</v>
      </c>
    </row>
    <row r="1827">
      <c r="A1827" s="3">
        <v>2017.0</v>
      </c>
      <c r="B1827" s="4" t="s">
        <v>451</v>
      </c>
      <c r="C1827" s="15">
        <v>0.0</v>
      </c>
      <c r="D1827" s="4" t="s">
        <v>3</v>
      </c>
    </row>
    <row r="1828">
      <c r="A1828" s="3">
        <v>2017.0</v>
      </c>
      <c r="B1828" s="4" t="s">
        <v>452</v>
      </c>
      <c r="C1828" s="15">
        <v>0.0</v>
      </c>
      <c r="D1828" s="4" t="s">
        <v>3</v>
      </c>
    </row>
    <row r="1829">
      <c r="A1829" s="3">
        <v>2017.0</v>
      </c>
      <c r="B1829" s="4" t="s">
        <v>2487</v>
      </c>
      <c r="C1829" s="15">
        <v>3000.0</v>
      </c>
      <c r="D1829" s="4"/>
    </row>
    <row r="1830">
      <c r="A1830" s="3">
        <v>2017.0</v>
      </c>
      <c r="B1830" s="4" t="s">
        <v>2488</v>
      </c>
      <c r="C1830" s="15">
        <v>0.0</v>
      </c>
      <c r="D1830" s="4" t="s">
        <v>3</v>
      </c>
    </row>
    <row r="1831">
      <c r="A1831" s="3">
        <v>2017.0</v>
      </c>
      <c r="B1831" s="4" t="s">
        <v>2489</v>
      </c>
      <c r="C1831" s="15">
        <v>0.0</v>
      </c>
      <c r="D1831" s="4" t="s">
        <v>3</v>
      </c>
    </row>
    <row r="1832">
      <c r="A1832" s="3">
        <v>2017.0</v>
      </c>
      <c r="B1832" s="4" t="s">
        <v>453</v>
      </c>
      <c r="C1832" s="15">
        <v>1000.0</v>
      </c>
      <c r="D1832" s="4"/>
    </row>
    <row r="1833">
      <c r="A1833" s="3">
        <v>2017.0</v>
      </c>
      <c r="B1833" s="4" t="s">
        <v>454</v>
      </c>
      <c r="C1833" s="15">
        <v>0.0</v>
      </c>
      <c r="D1833" s="4" t="s">
        <v>3</v>
      </c>
    </row>
    <row r="1834">
      <c r="A1834" s="3">
        <v>2017.0</v>
      </c>
      <c r="B1834" s="4" t="s">
        <v>455</v>
      </c>
      <c r="C1834" s="15">
        <v>0.0</v>
      </c>
      <c r="D1834" s="4" t="s">
        <v>3</v>
      </c>
    </row>
    <row r="1835">
      <c r="A1835" s="3">
        <v>2017.0</v>
      </c>
      <c r="B1835" s="4" t="s">
        <v>2490</v>
      </c>
      <c r="C1835" s="15">
        <v>500.0</v>
      </c>
      <c r="D1835" s="4"/>
    </row>
    <row r="1836">
      <c r="A1836" s="3">
        <v>2017.0</v>
      </c>
      <c r="B1836" s="4" t="s">
        <v>456</v>
      </c>
      <c r="C1836" s="15">
        <v>0.0</v>
      </c>
      <c r="D1836" s="4" t="s">
        <v>6</v>
      </c>
    </row>
    <row r="1837">
      <c r="A1837" s="3">
        <v>2017.0</v>
      </c>
      <c r="B1837" s="4" t="s">
        <v>2491</v>
      </c>
      <c r="C1837" s="15">
        <v>1700.0</v>
      </c>
      <c r="D1837" s="4"/>
    </row>
    <row r="1838">
      <c r="A1838" s="3">
        <v>2017.0</v>
      </c>
      <c r="B1838" s="4" t="s">
        <v>457</v>
      </c>
      <c r="C1838" s="15">
        <v>1500.0</v>
      </c>
      <c r="D1838" s="4" t="s">
        <v>3</v>
      </c>
    </row>
    <row r="1839">
      <c r="A1839" s="3">
        <v>2017.0</v>
      </c>
      <c r="B1839" s="4" t="s">
        <v>2492</v>
      </c>
      <c r="C1839" s="15">
        <v>0.0</v>
      </c>
      <c r="D1839" s="4" t="s">
        <v>3</v>
      </c>
    </row>
    <row r="1840">
      <c r="A1840" s="3">
        <v>2017.0</v>
      </c>
      <c r="B1840" s="4" t="s">
        <v>2157</v>
      </c>
      <c r="C1840" s="15">
        <v>3000.0</v>
      </c>
      <c r="D1840" s="4"/>
    </row>
    <row r="1841">
      <c r="A1841" s="3">
        <v>2017.0</v>
      </c>
      <c r="B1841" s="4" t="s">
        <v>2493</v>
      </c>
      <c r="C1841" s="15">
        <v>0.0</v>
      </c>
      <c r="D1841" s="4" t="s">
        <v>3</v>
      </c>
    </row>
    <row r="1842">
      <c r="A1842" s="3">
        <v>2017.0</v>
      </c>
      <c r="B1842" s="4" t="s">
        <v>2494</v>
      </c>
      <c r="C1842" s="15">
        <v>0.0</v>
      </c>
      <c r="D1842" s="4" t="s">
        <v>3</v>
      </c>
    </row>
    <row r="1843">
      <c r="A1843" s="3">
        <v>2017.0</v>
      </c>
      <c r="B1843" s="4" t="s">
        <v>465</v>
      </c>
      <c r="C1843" s="15">
        <v>300.0</v>
      </c>
      <c r="D1843" s="4"/>
    </row>
    <row r="1844">
      <c r="A1844" s="3">
        <v>2017.0</v>
      </c>
      <c r="B1844" s="4" t="s">
        <v>466</v>
      </c>
      <c r="C1844" s="15">
        <v>3000.0</v>
      </c>
      <c r="D1844" s="4" t="s">
        <v>3</v>
      </c>
    </row>
    <row r="1845">
      <c r="A1845" s="3">
        <v>2017.0</v>
      </c>
      <c r="B1845" s="4" t="s">
        <v>2495</v>
      </c>
      <c r="C1845" s="15">
        <v>0.0</v>
      </c>
      <c r="D1845" s="4" t="s">
        <v>3</v>
      </c>
    </row>
    <row r="1846">
      <c r="A1846" s="3">
        <v>2017.0</v>
      </c>
      <c r="B1846" s="4" t="s">
        <v>2160</v>
      </c>
      <c r="C1846" s="15">
        <v>0.0</v>
      </c>
      <c r="D1846" s="4" t="s">
        <v>3</v>
      </c>
    </row>
    <row r="1847">
      <c r="A1847" s="3">
        <v>2017.0</v>
      </c>
      <c r="B1847" s="4" t="s">
        <v>2496</v>
      </c>
      <c r="C1847" s="15">
        <v>0.0</v>
      </c>
      <c r="D1847" s="4" t="s">
        <v>3</v>
      </c>
    </row>
    <row r="1848">
      <c r="A1848" s="3">
        <v>2017.0</v>
      </c>
      <c r="B1848" s="4" t="s">
        <v>2497</v>
      </c>
      <c r="C1848" s="15">
        <v>0.0</v>
      </c>
      <c r="D1848" s="4" t="s">
        <v>3</v>
      </c>
    </row>
    <row r="1849">
      <c r="A1849" s="3">
        <v>2017.0</v>
      </c>
      <c r="B1849" s="4" t="s">
        <v>2498</v>
      </c>
      <c r="C1849" s="15">
        <v>0.0</v>
      </c>
      <c r="D1849" s="4" t="s">
        <v>3</v>
      </c>
    </row>
    <row r="1850">
      <c r="A1850" s="3">
        <v>2017.0</v>
      </c>
      <c r="B1850" s="4" t="s">
        <v>472</v>
      </c>
      <c r="C1850" s="15">
        <v>3000.0</v>
      </c>
      <c r="D1850" s="4" t="s">
        <v>2377</v>
      </c>
    </row>
    <row r="1851">
      <c r="A1851" s="3">
        <v>2017.0</v>
      </c>
      <c r="B1851" s="4" t="s">
        <v>473</v>
      </c>
      <c r="C1851" s="15">
        <v>2500.0</v>
      </c>
      <c r="D1851" s="4" t="s">
        <v>3</v>
      </c>
    </row>
    <row r="1852">
      <c r="A1852" s="3">
        <v>2017.0</v>
      </c>
      <c r="B1852" s="4" t="s">
        <v>2161</v>
      </c>
      <c r="C1852" s="15">
        <v>0.0</v>
      </c>
      <c r="D1852" s="4" t="s">
        <v>3</v>
      </c>
    </row>
    <row r="1853">
      <c r="A1853" s="3">
        <v>2017.0</v>
      </c>
      <c r="B1853" s="4" t="s">
        <v>2499</v>
      </c>
      <c r="C1853" s="15">
        <v>1000.0</v>
      </c>
      <c r="D1853" s="4"/>
    </row>
    <row r="1854">
      <c r="A1854" s="3">
        <v>2017.0</v>
      </c>
      <c r="B1854" s="4" t="s">
        <v>2500</v>
      </c>
      <c r="C1854" s="15">
        <v>336.0</v>
      </c>
      <c r="D1854" s="4"/>
    </row>
    <row r="1855">
      <c r="A1855" s="3">
        <v>2017.0</v>
      </c>
      <c r="B1855" s="4" t="s">
        <v>476</v>
      </c>
      <c r="C1855" s="15">
        <v>1691826.0</v>
      </c>
      <c r="D1855" s="4" t="s">
        <v>3</v>
      </c>
    </row>
    <row r="1856">
      <c r="A1856" s="3">
        <v>2017.0</v>
      </c>
      <c r="B1856" s="4" t="s">
        <v>478</v>
      </c>
      <c r="C1856" s="15">
        <v>310000.0</v>
      </c>
      <c r="D1856" s="4"/>
    </row>
    <row r="1857">
      <c r="A1857" s="3">
        <v>2017.0</v>
      </c>
      <c r="B1857" s="4" t="s">
        <v>481</v>
      </c>
      <c r="C1857" s="15">
        <v>1815900.0</v>
      </c>
      <c r="D1857" s="4" t="s">
        <v>3</v>
      </c>
    </row>
    <row r="1858">
      <c r="A1858" s="3">
        <v>2017.0</v>
      </c>
      <c r="B1858" s="4" t="s">
        <v>2162</v>
      </c>
      <c r="C1858" s="15">
        <v>1000.0</v>
      </c>
      <c r="D1858" s="4" t="s">
        <v>6</v>
      </c>
    </row>
    <row r="1859">
      <c r="A1859" s="3">
        <v>2017.0</v>
      </c>
      <c r="B1859" s="4" t="s">
        <v>2163</v>
      </c>
      <c r="C1859" s="15">
        <v>0.0</v>
      </c>
      <c r="D1859" s="4" t="s">
        <v>3</v>
      </c>
    </row>
    <row r="1860">
      <c r="A1860" s="3">
        <v>2017.0</v>
      </c>
      <c r="B1860" s="4" t="s">
        <v>2165</v>
      </c>
      <c r="C1860" s="15">
        <v>2000.0</v>
      </c>
      <c r="D1860" s="4"/>
    </row>
    <row r="1861">
      <c r="A1861" s="3">
        <v>2017.0</v>
      </c>
      <c r="B1861" s="4" t="s">
        <v>2501</v>
      </c>
      <c r="C1861" s="15">
        <v>380000.0</v>
      </c>
      <c r="D1861" s="4" t="s">
        <v>3</v>
      </c>
    </row>
    <row r="1862">
      <c r="A1862" s="3">
        <v>2017.0</v>
      </c>
      <c r="B1862" s="4" t="s">
        <v>2167</v>
      </c>
      <c r="C1862" s="15">
        <v>0.0</v>
      </c>
      <c r="D1862" s="4" t="s">
        <v>3</v>
      </c>
    </row>
    <row r="1863">
      <c r="A1863" s="3">
        <v>2017.0</v>
      </c>
      <c r="B1863" s="4" t="s">
        <v>2502</v>
      </c>
      <c r="C1863" s="15">
        <v>0.0</v>
      </c>
      <c r="D1863" s="4" t="s">
        <v>3</v>
      </c>
    </row>
    <row r="1864">
      <c r="A1864" s="3">
        <v>2017.0</v>
      </c>
      <c r="B1864" s="4" t="s">
        <v>2168</v>
      </c>
      <c r="C1864" s="15">
        <v>1500.0</v>
      </c>
      <c r="D1864" s="4"/>
    </row>
    <row r="1865">
      <c r="A1865" s="3">
        <v>2017.0</v>
      </c>
      <c r="B1865" s="4" t="s">
        <v>2503</v>
      </c>
      <c r="C1865" s="15">
        <v>0.0</v>
      </c>
      <c r="D1865" s="4" t="s">
        <v>3</v>
      </c>
    </row>
    <row r="1866">
      <c r="A1866" s="3">
        <v>2017.0</v>
      </c>
      <c r="B1866" s="4" t="s">
        <v>2504</v>
      </c>
      <c r="C1866" s="15">
        <v>0.0</v>
      </c>
      <c r="D1866" s="4" t="s">
        <v>3</v>
      </c>
    </row>
    <row r="1867">
      <c r="A1867" s="3">
        <v>2017.0</v>
      </c>
      <c r="B1867" s="4" t="s">
        <v>502</v>
      </c>
      <c r="C1867" s="15">
        <v>0.0</v>
      </c>
      <c r="D1867" s="4" t="s">
        <v>2368</v>
      </c>
    </row>
    <row r="1868">
      <c r="A1868" s="3">
        <v>2017.0</v>
      </c>
      <c r="B1868" s="4" t="s">
        <v>2170</v>
      </c>
      <c r="C1868" s="15">
        <v>0.0</v>
      </c>
      <c r="D1868" s="4" t="s">
        <v>3</v>
      </c>
    </row>
    <row r="1869">
      <c r="A1869" s="3">
        <v>2017.0</v>
      </c>
      <c r="B1869" s="4" t="s">
        <v>2505</v>
      </c>
      <c r="C1869" s="15">
        <v>0.0</v>
      </c>
      <c r="D1869" s="4" t="s">
        <v>3</v>
      </c>
    </row>
    <row r="1870">
      <c r="A1870" s="3">
        <v>2017.0</v>
      </c>
      <c r="B1870" s="4" t="s">
        <v>2175</v>
      </c>
      <c r="C1870" s="15">
        <v>0.0</v>
      </c>
      <c r="D1870" s="4" t="s">
        <v>3</v>
      </c>
    </row>
    <row r="1871">
      <c r="A1871" s="3">
        <v>2017.0</v>
      </c>
      <c r="B1871" s="4" t="s">
        <v>515</v>
      </c>
      <c r="C1871" s="15">
        <v>0.0</v>
      </c>
      <c r="D1871" s="4" t="s">
        <v>6</v>
      </c>
    </row>
    <row r="1872">
      <c r="A1872" s="3">
        <v>2017.0</v>
      </c>
      <c r="B1872" s="4" t="s">
        <v>2506</v>
      </c>
      <c r="C1872" s="15">
        <v>23606.0</v>
      </c>
      <c r="D1872" s="4" t="s">
        <v>29</v>
      </c>
    </row>
    <row r="1873">
      <c r="A1873" s="3">
        <v>2017.0</v>
      </c>
      <c r="B1873" s="4" t="s">
        <v>2507</v>
      </c>
      <c r="C1873" s="15">
        <v>0.0</v>
      </c>
      <c r="D1873" s="4" t="s">
        <v>3</v>
      </c>
    </row>
    <row r="1874">
      <c r="A1874" s="3">
        <v>2017.0</v>
      </c>
      <c r="B1874" s="4" t="s">
        <v>520</v>
      </c>
      <c r="C1874" s="15">
        <v>2500.0</v>
      </c>
      <c r="D1874" s="4" t="s">
        <v>6</v>
      </c>
    </row>
    <row r="1875">
      <c r="A1875" s="3">
        <v>2017.0</v>
      </c>
      <c r="B1875" s="4" t="s">
        <v>521</v>
      </c>
      <c r="C1875" s="15">
        <v>3500.0</v>
      </c>
      <c r="D1875" s="4"/>
    </row>
    <row r="1876">
      <c r="A1876" s="3">
        <v>2017.0</v>
      </c>
      <c r="B1876" s="4" t="s">
        <v>522</v>
      </c>
      <c r="C1876" s="15">
        <v>36821.0</v>
      </c>
      <c r="D1876" s="4" t="s">
        <v>2508</v>
      </c>
    </row>
    <row r="1877">
      <c r="A1877" s="3">
        <v>2017.0</v>
      </c>
      <c r="B1877" s="4" t="s">
        <v>2509</v>
      </c>
      <c r="C1877" s="15">
        <v>0.0</v>
      </c>
      <c r="D1877" s="4" t="s">
        <v>3</v>
      </c>
    </row>
    <row r="1878">
      <c r="A1878" s="3">
        <v>2017.0</v>
      </c>
      <c r="B1878" s="4" t="s">
        <v>2510</v>
      </c>
      <c r="C1878" s="15">
        <v>500.0</v>
      </c>
      <c r="D1878" s="4"/>
    </row>
    <row r="1879">
      <c r="A1879" s="3">
        <v>2017.0</v>
      </c>
      <c r="B1879" s="4" t="s">
        <v>526</v>
      </c>
      <c r="C1879" s="15">
        <v>4000.0</v>
      </c>
      <c r="D1879" s="4"/>
    </row>
    <row r="1880">
      <c r="A1880" s="3">
        <v>2017.0</v>
      </c>
      <c r="B1880" s="4" t="s">
        <v>2511</v>
      </c>
      <c r="C1880" s="15">
        <v>0.0</v>
      </c>
      <c r="D1880" s="4" t="s">
        <v>3</v>
      </c>
    </row>
    <row r="1881">
      <c r="A1881" s="3">
        <v>2017.0</v>
      </c>
      <c r="B1881" s="4" t="s">
        <v>2178</v>
      </c>
      <c r="C1881" s="15">
        <v>250.0</v>
      </c>
      <c r="D1881" s="4"/>
    </row>
    <row r="1882">
      <c r="A1882" s="3">
        <v>2017.0</v>
      </c>
      <c r="B1882" s="4" t="s">
        <v>2512</v>
      </c>
      <c r="C1882" s="15">
        <v>0.0</v>
      </c>
      <c r="D1882" s="4" t="s">
        <v>3</v>
      </c>
    </row>
    <row r="1883">
      <c r="A1883" s="3">
        <v>2017.0</v>
      </c>
      <c r="B1883" s="4" t="s">
        <v>2179</v>
      </c>
      <c r="C1883" s="15">
        <v>500.0</v>
      </c>
      <c r="D1883" s="4" t="s">
        <v>3</v>
      </c>
    </row>
    <row r="1884">
      <c r="A1884" s="3">
        <v>2017.0</v>
      </c>
      <c r="B1884" s="4" t="s">
        <v>2513</v>
      </c>
      <c r="C1884" s="15">
        <v>0.0</v>
      </c>
      <c r="D1884" s="4" t="s">
        <v>3</v>
      </c>
    </row>
    <row r="1885">
      <c r="A1885" s="3">
        <v>2017.0</v>
      </c>
      <c r="B1885" s="4" t="s">
        <v>532</v>
      </c>
      <c r="C1885" s="15">
        <v>7000.0</v>
      </c>
      <c r="D1885" s="4" t="s">
        <v>3</v>
      </c>
    </row>
    <row r="1886">
      <c r="A1886" s="3">
        <v>2017.0</v>
      </c>
      <c r="B1886" s="4" t="s">
        <v>534</v>
      </c>
      <c r="C1886" s="15">
        <v>0.0</v>
      </c>
      <c r="D1886" s="4" t="s">
        <v>2368</v>
      </c>
    </row>
    <row r="1887">
      <c r="A1887" s="3">
        <v>2017.0</v>
      </c>
      <c r="B1887" s="4" t="s">
        <v>2514</v>
      </c>
      <c r="C1887" s="15">
        <v>0.0</v>
      </c>
      <c r="D1887" s="4" t="s">
        <v>3</v>
      </c>
    </row>
    <row r="1888">
      <c r="A1888" s="3">
        <v>2017.0</v>
      </c>
      <c r="B1888" s="4" t="s">
        <v>2515</v>
      </c>
      <c r="C1888" s="15">
        <v>0.0</v>
      </c>
      <c r="D1888" s="4" t="s">
        <v>6</v>
      </c>
    </row>
    <row r="1889">
      <c r="A1889" s="3">
        <v>2017.0</v>
      </c>
      <c r="B1889" s="4" t="s">
        <v>2181</v>
      </c>
      <c r="C1889" s="15">
        <v>750.0</v>
      </c>
      <c r="D1889" s="4"/>
    </row>
    <row r="1890">
      <c r="A1890" s="3">
        <v>2017.0</v>
      </c>
      <c r="B1890" s="4" t="s">
        <v>539</v>
      </c>
      <c r="C1890" s="15">
        <v>0.0</v>
      </c>
      <c r="D1890" s="4" t="s">
        <v>6</v>
      </c>
    </row>
    <row r="1891">
      <c r="A1891" s="3">
        <v>2017.0</v>
      </c>
      <c r="B1891" s="4" t="s">
        <v>2516</v>
      </c>
      <c r="C1891" s="15">
        <v>0.0</v>
      </c>
      <c r="D1891" s="4" t="s">
        <v>3</v>
      </c>
    </row>
    <row r="1892">
      <c r="A1892" s="3">
        <v>2017.0</v>
      </c>
      <c r="B1892" s="4" t="s">
        <v>546</v>
      </c>
      <c r="C1892" s="15">
        <v>0.0</v>
      </c>
      <c r="D1892" s="4" t="s">
        <v>3</v>
      </c>
    </row>
    <row r="1893">
      <c r="A1893" s="3">
        <v>2017.0</v>
      </c>
      <c r="B1893" s="4" t="s">
        <v>547</v>
      </c>
      <c r="C1893" s="15">
        <v>4000.0</v>
      </c>
      <c r="D1893" s="4"/>
    </row>
    <row r="1894">
      <c r="A1894" s="3">
        <v>2017.0</v>
      </c>
      <c r="B1894" s="4" t="s">
        <v>2517</v>
      </c>
      <c r="C1894" s="15">
        <v>0.0</v>
      </c>
      <c r="D1894" s="4" t="s">
        <v>6</v>
      </c>
    </row>
    <row r="1895">
      <c r="A1895" s="3">
        <v>2017.0</v>
      </c>
      <c r="B1895" s="4" t="s">
        <v>2518</v>
      </c>
      <c r="C1895" s="15">
        <v>0.0</v>
      </c>
      <c r="D1895" s="4" t="s">
        <v>29</v>
      </c>
    </row>
    <row r="1896">
      <c r="A1896" s="3">
        <v>2017.0</v>
      </c>
      <c r="B1896" s="4" t="s">
        <v>2519</v>
      </c>
      <c r="C1896" s="15">
        <v>31796.0</v>
      </c>
      <c r="D1896" s="4" t="s">
        <v>29</v>
      </c>
    </row>
    <row r="1897">
      <c r="A1897" s="3">
        <v>2017.0</v>
      </c>
      <c r="B1897" s="4" t="s">
        <v>2520</v>
      </c>
      <c r="C1897" s="15">
        <v>0.0</v>
      </c>
      <c r="D1897" s="4" t="s">
        <v>6</v>
      </c>
    </row>
    <row r="1898">
      <c r="A1898" s="3">
        <v>2017.0</v>
      </c>
      <c r="B1898" s="4" t="s">
        <v>554</v>
      </c>
      <c r="C1898" s="15">
        <v>0.0</v>
      </c>
      <c r="D1898" s="4" t="s">
        <v>29</v>
      </c>
    </row>
    <row r="1899">
      <c r="A1899" s="3">
        <v>2017.0</v>
      </c>
      <c r="B1899" s="4" t="s">
        <v>2521</v>
      </c>
      <c r="C1899" s="15">
        <v>0.0</v>
      </c>
      <c r="D1899" s="4" t="s">
        <v>6</v>
      </c>
    </row>
    <row r="1900">
      <c r="A1900" s="3">
        <v>2017.0</v>
      </c>
      <c r="B1900" s="4" t="s">
        <v>2522</v>
      </c>
      <c r="C1900" s="15">
        <v>0.0</v>
      </c>
      <c r="D1900" s="4" t="s">
        <v>29</v>
      </c>
    </row>
    <row r="1901">
      <c r="A1901" s="3">
        <v>2017.0</v>
      </c>
      <c r="B1901" s="4" t="s">
        <v>557</v>
      </c>
      <c r="C1901" s="15">
        <v>1500.0</v>
      </c>
      <c r="D1901" s="4" t="s">
        <v>29</v>
      </c>
    </row>
    <row r="1902">
      <c r="A1902" s="3">
        <v>2017.0</v>
      </c>
      <c r="B1902" s="4" t="s">
        <v>558</v>
      </c>
      <c r="C1902" s="15">
        <v>1000.0</v>
      </c>
      <c r="D1902" s="4" t="s">
        <v>2508</v>
      </c>
    </row>
    <row r="1903">
      <c r="A1903" s="3">
        <v>2017.0</v>
      </c>
      <c r="B1903" s="4" t="s">
        <v>559</v>
      </c>
      <c r="C1903" s="15">
        <v>5600.0</v>
      </c>
      <c r="D1903" s="4"/>
    </row>
    <row r="1904">
      <c r="A1904" s="3">
        <v>2017.0</v>
      </c>
      <c r="B1904" s="4" t="s">
        <v>561</v>
      </c>
      <c r="C1904" s="15">
        <v>0.0</v>
      </c>
      <c r="D1904" s="4" t="s">
        <v>29</v>
      </c>
    </row>
    <row r="1905">
      <c r="A1905" s="3">
        <v>2017.0</v>
      </c>
      <c r="B1905" s="4" t="s">
        <v>2523</v>
      </c>
      <c r="C1905" s="15">
        <v>0.0</v>
      </c>
      <c r="D1905" s="4" t="s">
        <v>29</v>
      </c>
    </row>
    <row r="1906">
      <c r="A1906" s="3">
        <v>2017.0</v>
      </c>
      <c r="B1906" s="4" t="s">
        <v>562</v>
      </c>
      <c r="C1906" s="15">
        <v>0.0</v>
      </c>
      <c r="D1906" s="4" t="s">
        <v>29</v>
      </c>
    </row>
    <row r="1907">
      <c r="A1907" s="3">
        <v>2017.0</v>
      </c>
      <c r="B1907" s="4" t="s">
        <v>563</v>
      </c>
      <c r="C1907" s="15">
        <v>0.0</v>
      </c>
      <c r="D1907" s="4" t="s">
        <v>29</v>
      </c>
    </row>
    <row r="1908">
      <c r="A1908" s="3">
        <v>2017.0</v>
      </c>
      <c r="B1908" s="4" t="s">
        <v>564</v>
      </c>
      <c r="C1908" s="15">
        <v>0.0</v>
      </c>
      <c r="D1908" s="4" t="s">
        <v>29</v>
      </c>
    </row>
    <row r="1909">
      <c r="A1909" s="3">
        <v>2017.0</v>
      </c>
      <c r="B1909" s="4" t="s">
        <v>565</v>
      </c>
      <c r="C1909" s="15">
        <v>0.0</v>
      </c>
      <c r="D1909" s="4" t="s">
        <v>29</v>
      </c>
    </row>
    <row r="1910">
      <c r="A1910" s="3">
        <v>2017.0</v>
      </c>
      <c r="B1910" s="4" t="s">
        <v>2524</v>
      </c>
      <c r="C1910" s="15">
        <v>1180.0</v>
      </c>
      <c r="D1910" s="4"/>
    </row>
    <row r="1911">
      <c r="A1911" s="3">
        <v>2017.0</v>
      </c>
      <c r="B1911" s="4" t="s">
        <v>2525</v>
      </c>
      <c r="C1911" s="15">
        <v>0.0</v>
      </c>
      <c r="D1911" s="4" t="s">
        <v>2377</v>
      </c>
    </row>
    <row r="1912">
      <c r="A1912" s="3">
        <v>2017.0</v>
      </c>
      <c r="B1912" s="4" t="s">
        <v>2526</v>
      </c>
      <c r="C1912" s="15">
        <v>0.0</v>
      </c>
      <c r="D1912" s="4" t="s">
        <v>3</v>
      </c>
    </row>
    <row r="1913">
      <c r="A1913" s="3">
        <v>2017.0</v>
      </c>
      <c r="B1913" s="4" t="s">
        <v>567</v>
      </c>
      <c r="C1913" s="15">
        <v>5000.0</v>
      </c>
      <c r="D1913" s="4" t="s">
        <v>3</v>
      </c>
    </row>
    <row r="1914">
      <c r="A1914" s="3">
        <v>2017.0</v>
      </c>
      <c r="B1914" s="4" t="s">
        <v>568</v>
      </c>
      <c r="C1914" s="15">
        <v>0.0</v>
      </c>
      <c r="D1914" s="4" t="s">
        <v>3</v>
      </c>
    </row>
    <row r="1915">
      <c r="A1915" s="3">
        <v>2017.0</v>
      </c>
      <c r="B1915" s="4" t="s">
        <v>2527</v>
      </c>
      <c r="C1915" s="15">
        <v>0.0</v>
      </c>
      <c r="D1915" s="4" t="s">
        <v>3</v>
      </c>
    </row>
    <row r="1916">
      <c r="A1916" s="3">
        <v>2017.0</v>
      </c>
      <c r="B1916" s="4" t="s">
        <v>2528</v>
      </c>
      <c r="C1916" s="15">
        <v>0.0</v>
      </c>
      <c r="D1916" s="4" t="s">
        <v>3</v>
      </c>
    </row>
    <row r="1917">
      <c r="A1917" s="3">
        <v>2017.0</v>
      </c>
      <c r="B1917" s="4" t="s">
        <v>569</v>
      </c>
      <c r="C1917" s="15">
        <v>45000.0</v>
      </c>
      <c r="D1917" s="4"/>
    </row>
    <row r="1918">
      <c r="A1918" s="3">
        <v>2017.0</v>
      </c>
      <c r="B1918" s="4" t="s">
        <v>2184</v>
      </c>
      <c r="C1918" s="15">
        <v>500.0</v>
      </c>
      <c r="D1918" s="4"/>
    </row>
    <row r="1919">
      <c r="A1919" s="3">
        <v>2017.0</v>
      </c>
      <c r="B1919" s="4" t="s">
        <v>2529</v>
      </c>
      <c r="C1919" s="15">
        <v>0.0</v>
      </c>
      <c r="D1919" s="4" t="s">
        <v>3</v>
      </c>
    </row>
    <row r="1920">
      <c r="A1920" s="3">
        <v>2017.0</v>
      </c>
      <c r="B1920" s="4" t="s">
        <v>573</v>
      </c>
      <c r="C1920" s="15">
        <v>0.0</v>
      </c>
      <c r="D1920" s="4" t="s">
        <v>3</v>
      </c>
    </row>
    <row r="1921">
      <c r="A1921" s="3">
        <v>2017.0</v>
      </c>
      <c r="B1921" s="4" t="s">
        <v>2530</v>
      </c>
      <c r="C1921" s="15">
        <v>0.0</v>
      </c>
      <c r="D1921" s="4" t="s">
        <v>3</v>
      </c>
    </row>
    <row r="1922">
      <c r="A1922" s="3">
        <v>2017.0</v>
      </c>
      <c r="B1922" s="4" t="s">
        <v>2531</v>
      </c>
      <c r="C1922" s="15">
        <v>8000.0</v>
      </c>
      <c r="D1922" s="4" t="s">
        <v>3</v>
      </c>
    </row>
    <row r="1923">
      <c r="A1923" s="3">
        <v>2017.0</v>
      </c>
      <c r="B1923" s="4" t="s">
        <v>577</v>
      </c>
      <c r="C1923" s="15">
        <v>0.0</v>
      </c>
      <c r="D1923" s="4" t="s">
        <v>2377</v>
      </c>
    </row>
    <row r="1924">
      <c r="A1924" s="3">
        <v>2017.0</v>
      </c>
      <c r="B1924" s="4" t="s">
        <v>578</v>
      </c>
      <c r="C1924" s="15">
        <v>1000.0</v>
      </c>
      <c r="D1924" s="4" t="s">
        <v>3</v>
      </c>
    </row>
    <row r="1925">
      <c r="A1925" s="3">
        <v>2017.0</v>
      </c>
      <c r="B1925" s="4" t="s">
        <v>2532</v>
      </c>
      <c r="C1925" s="15">
        <v>152533.0</v>
      </c>
      <c r="D1925" s="4" t="s">
        <v>2370</v>
      </c>
    </row>
    <row r="1926">
      <c r="A1926" s="3">
        <v>2017.0</v>
      </c>
      <c r="B1926" s="4" t="s">
        <v>2533</v>
      </c>
      <c r="C1926" s="15">
        <v>800.0</v>
      </c>
      <c r="D1926" s="4" t="s">
        <v>2377</v>
      </c>
    </row>
    <row r="1927">
      <c r="A1927" s="3">
        <v>2017.0</v>
      </c>
      <c r="B1927" s="4" t="s">
        <v>2534</v>
      </c>
      <c r="C1927" s="15">
        <v>0.0</v>
      </c>
      <c r="D1927" s="4" t="s">
        <v>3</v>
      </c>
    </row>
    <row r="1928">
      <c r="A1928" s="3">
        <v>2017.0</v>
      </c>
      <c r="B1928" s="4" t="s">
        <v>586</v>
      </c>
      <c r="C1928" s="15">
        <v>4000.0</v>
      </c>
      <c r="D1928" s="4" t="s">
        <v>6</v>
      </c>
    </row>
    <row r="1929">
      <c r="A1929" s="3">
        <v>2017.0</v>
      </c>
      <c r="B1929" s="4" t="s">
        <v>588</v>
      </c>
      <c r="C1929" s="15">
        <v>0.0</v>
      </c>
      <c r="D1929" s="4" t="s">
        <v>3</v>
      </c>
    </row>
    <row r="1930">
      <c r="A1930" s="3">
        <v>2017.0</v>
      </c>
      <c r="B1930" s="4" t="s">
        <v>589</v>
      </c>
      <c r="C1930" s="15">
        <v>42900.0</v>
      </c>
      <c r="D1930" s="4"/>
    </row>
    <row r="1931">
      <c r="A1931" s="3">
        <v>2017.0</v>
      </c>
      <c r="B1931" s="4" t="s">
        <v>591</v>
      </c>
      <c r="C1931" s="15">
        <v>0.0</v>
      </c>
      <c r="D1931" s="4" t="s">
        <v>3</v>
      </c>
    </row>
    <row r="1932">
      <c r="A1932" s="3">
        <v>2017.0</v>
      </c>
      <c r="B1932" s="4" t="s">
        <v>592</v>
      </c>
      <c r="C1932" s="15">
        <v>0.0</v>
      </c>
      <c r="D1932" s="4" t="s">
        <v>3</v>
      </c>
    </row>
    <row r="1933">
      <c r="A1933" s="3">
        <v>2017.0</v>
      </c>
      <c r="B1933" s="4" t="s">
        <v>594</v>
      </c>
      <c r="C1933" s="15">
        <v>0.0</v>
      </c>
      <c r="D1933" s="4" t="s">
        <v>6</v>
      </c>
    </row>
    <row r="1934">
      <c r="A1934" s="3">
        <v>2017.0</v>
      </c>
      <c r="B1934" s="4" t="s">
        <v>2535</v>
      </c>
      <c r="C1934" s="15">
        <v>3000.0</v>
      </c>
      <c r="D1934" s="4"/>
    </row>
    <row r="1935">
      <c r="A1935" s="3">
        <v>2017.0</v>
      </c>
      <c r="B1935" s="4" t="s">
        <v>2536</v>
      </c>
      <c r="C1935" s="15">
        <v>0.0</v>
      </c>
      <c r="D1935" s="4" t="s">
        <v>3</v>
      </c>
    </row>
    <row r="1936">
      <c r="A1936" s="3">
        <v>2017.0</v>
      </c>
      <c r="B1936" s="4" t="s">
        <v>599</v>
      </c>
      <c r="C1936" s="15">
        <v>347000.0</v>
      </c>
      <c r="D1936" s="4"/>
    </row>
    <row r="1937">
      <c r="A1937" s="3">
        <v>2017.0</v>
      </c>
      <c r="B1937" s="4" t="s">
        <v>2537</v>
      </c>
      <c r="C1937" s="15">
        <v>0.0</v>
      </c>
      <c r="D1937" s="4" t="s">
        <v>29</v>
      </c>
    </row>
    <row r="1938">
      <c r="A1938" s="3">
        <v>2017.0</v>
      </c>
      <c r="B1938" s="4" t="s">
        <v>2189</v>
      </c>
      <c r="C1938" s="15">
        <v>1074006.0</v>
      </c>
      <c r="D1938" s="4" t="s">
        <v>2370</v>
      </c>
    </row>
    <row r="1939">
      <c r="A1939" s="3">
        <v>2017.0</v>
      </c>
      <c r="B1939" s="4" t="s">
        <v>2538</v>
      </c>
      <c r="C1939" s="15">
        <v>3000.0</v>
      </c>
      <c r="D1939" s="4"/>
    </row>
    <row r="1940">
      <c r="A1940" s="3">
        <v>2017.0</v>
      </c>
      <c r="B1940" s="4" t="s">
        <v>605</v>
      </c>
      <c r="C1940" s="15">
        <v>5000.0</v>
      </c>
      <c r="D1940" s="4" t="s">
        <v>29</v>
      </c>
    </row>
    <row r="1941">
      <c r="A1941" s="3">
        <v>2017.0</v>
      </c>
      <c r="B1941" s="4" t="s">
        <v>606</v>
      </c>
      <c r="C1941" s="15">
        <v>3000.0</v>
      </c>
      <c r="D1941" s="4" t="s">
        <v>2508</v>
      </c>
    </row>
    <row r="1942">
      <c r="A1942" s="3">
        <v>2017.0</v>
      </c>
      <c r="B1942" s="4" t="s">
        <v>607</v>
      </c>
      <c r="C1942" s="15">
        <v>49012.08</v>
      </c>
      <c r="D1942" s="4" t="s">
        <v>2377</v>
      </c>
    </row>
    <row r="1943">
      <c r="A1943" s="3">
        <v>2017.0</v>
      </c>
      <c r="B1943" s="4" t="s">
        <v>609</v>
      </c>
      <c r="C1943" s="15">
        <v>750.0</v>
      </c>
      <c r="D1943" s="4" t="s">
        <v>29</v>
      </c>
    </row>
    <row r="1944">
      <c r="A1944" s="3">
        <v>2017.0</v>
      </c>
      <c r="B1944" s="4" t="s">
        <v>2539</v>
      </c>
      <c r="C1944" s="15">
        <v>0.0</v>
      </c>
      <c r="D1944" s="4" t="s">
        <v>3</v>
      </c>
    </row>
    <row r="1945">
      <c r="A1945" s="3">
        <v>2017.0</v>
      </c>
      <c r="B1945" s="4" t="s">
        <v>611</v>
      </c>
      <c r="C1945" s="15">
        <v>2500.0</v>
      </c>
      <c r="D1945" s="4" t="s">
        <v>3</v>
      </c>
    </row>
    <row r="1946">
      <c r="A1946" s="3">
        <v>2017.0</v>
      </c>
      <c r="B1946" s="4" t="s">
        <v>2540</v>
      </c>
      <c r="C1946" s="15">
        <v>0.0</v>
      </c>
      <c r="D1946" s="4" t="s">
        <v>3</v>
      </c>
    </row>
    <row r="1947">
      <c r="A1947" s="3">
        <v>2017.0</v>
      </c>
      <c r="B1947" s="4" t="s">
        <v>613</v>
      </c>
      <c r="C1947" s="15">
        <v>7500.0</v>
      </c>
      <c r="D1947" s="4" t="s">
        <v>3</v>
      </c>
    </row>
    <row r="1948">
      <c r="A1948" s="3">
        <v>2017.0</v>
      </c>
      <c r="B1948" s="4" t="s">
        <v>2541</v>
      </c>
      <c r="C1948" s="15">
        <v>0.0</v>
      </c>
      <c r="D1948" s="4" t="s">
        <v>6</v>
      </c>
    </row>
    <row r="1949">
      <c r="A1949" s="3">
        <v>2017.0</v>
      </c>
      <c r="B1949" s="4" t="s">
        <v>2542</v>
      </c>
      <c r="C1949" s="15">
        <v>0.0</v>
      </c>
      <c r="D1949" s="4" t="s">
        <v>29</v>
      </c>
    </row>
    <row r="1950">
      <c r="A1950" s="3">
        <v>2017.0</v>
      </c>
      <c r="B1950" s="4" t="s">
        <v>615</v>
      </c>
      <c r="C1950" s="15">
        <v>0.0</v>
      </c>
      <c r="D1950" s="4" t="s">
        <v>3</v>
      </c>
    </row>
    <row r="1951">
      <c r="A1951" s="3">
        <v>2017.0</v>
      </c>
      <c r="B1951" s="4" t="s">
        <v>2543</v>
      </c>
      <c r="C1951" s="15">
        <v>0.0</v>
      </c>
      <c r="D1951" s="4" t="s">
        <v>3</v>
      </c>
    </row>
    <row r="1952">
      <c r="A1952" s="3">
        <v>2017.0</v>
      </c>
      <c r="B1952" s="4" t="s">
        <v>616</v>
      </c>
      <c r="C1952" s="15">
        <v>0.0</v>
      </c>
      <c r="D1952" s="4" t="s">
        <v>3</v>
      </c>
    </row>
    <row r="1953">
      <c r="A1953" s="3">
        <v>2017.0</v>
      </c>
      <c r="B1953" s="4" t="s">
        <v>618</v>
      </c>
      <c r="C1953" s="15">
        <v>0.0</v>
      </c>
      <c r="D1953" s="4" t="s">
        <v>3</v>
      </c>
    </row>
    <row r="1954">
      <c r="A1954" s="3">
        <v>2017.0</v>
      </c>
      <c r="B1954" s="4" t="s">
        <v>2544</v>
      </c>
      <c r="C1954" s="15">
        <v>0.0</v>
      </c>
      <c r="D1954" s="4" t="s">
        <v>6</v>
      </c>
    </row>
    <row r="1955">
      <c r="A1955" s="3">
        <v>2017.0</v>
      </c>
      <c r="B1955" s="4" t="s">
        <v>621</v>
      </c>
      <c r="C1955" s="15">
        <v>2071.77</v>
      </c>
      <c r="D1955" s="4" t="s">
        <v>2377</v>
      </c>
    </row>
    <row r="1956">
      <c r="A1956" s="3">
        <v>2017.0</v>
      </c>
      <c r="B1956" s="4" t="s">
        <v>2545</v>
      </c>
      <c r="C1956" s="15">
        <v>0.0</v>
      </c>
      <c r="D1956" s="4" t="s">
        <v>2377</v>
      </c>
    </row>
    <row r="1957">
      <c r="A1957" s="3">
        <v>2017.0</v>
      </c>
      <c r="B1957" s="4" t="s">
        <v>2546</v>
      </c>
      <c r="C1957" s="15">
        <v>0.0</v>
      </c>
      <c r="D1957" s="4" t="s">
        <v>6</v>
      </c>
    </row>
    <row r="1958">
      <c r="A1958" s="3">
        <v>2017.0</v>
      </c>
      <c r="B1958" s="4" t="s">
        <v>2547</v>
      </c>
      <c r="C1958" s="15">
        <v>500.0</v>
      </c>
      <c r="D1958" s="4"/>
    </row>
    <row r="1959">
      <c r="A1959" s="3">
        <v>2017.0</v>
      </c>
      <c r="B1959" s="4" t="s">
        <v>2190</v>
      </c>
      <c r="C1959" s="15">
        <v>13000.0</v>
      </c>
      <c r="D1959" s="4" t="s">
        <v>2370</v>
      </c>
    </row>
    <row r="1960">
      <c r="A1960" s="3">
        <v>2017.0</v>
      </c>
      <c r="B1960" s="4" t="s">
        <v>627</v>
      </c>
      <c r="C1960" s="15">
        <v>0.0</v>
      </c>
      <c r="D1960" s="4" t="s">
        <v>6</v>
      </c>
    </row>
    <row r="1961">
      <c r="A1961" s="3">
        <v>2017.0</v>
      </c>
      <c r="B1961" s="4" t="s">
        <v>628</v>
      </c>
      <c r="C1961" s="15">
        <v>38117.0</v>
      </c>
      <c r="D1961" s="4" t="s">
        <v>29</v>
      </c>
    </row>
    <row r="1962">
      <c r="A1962" s="3">
        <v>2017.0</v>
      </c>
      <c r="B1962" s="4" t="s">
        <v>2548</v>
      </c>
      <c r="C1962" s="15">
        <v>0.0</v>
      </c>
      <c r="D1962" s="4" t="s">
        <v>6</v>
      </c>
    </row>
    <row r="1963">
      <c r="A1963" s="3">
        <v>2017.0</v>
      </c>
      <c r="B1963" s="4" t="s">
        <v>631</v>
      </c>
      <c r="C1963" s="15">
        <v>1000.0</v>
      </c>
      <c r="D1963" s="4"/>
    </row>
    <row r="1964">
      <c r="A1964" s="3">
        <v>2017.0</v>
      </c>
      <c r="B1964" s="4" t="s">
        <v>2549</v>
      </c>
      <c r="C1964" s="15">
        <v>0.0</v>
      </c>
      <c r="D1964" s="4" t="s">
        <v>3</v>
      </c>
    </row>
    <row r="1965">
      <c r="A1965" s="3">
        <v>2017.0</v>
      </c>
      <c r="B1965" s="4" t="s">
        <v>633</v>
      </c>
      <c r="C1965" s="15">
        <v>2000.0</v>
      </c>
      <c r="D1965" s="4" t="s">
        <v>3</v>
      </c>
    </row>
    <row r="1966">
      <c r="A1966" s="3">
        <v>2017.0</v>
      </c>
      <c r="B1966" s="4" t="s">
        <v>635</v>
      </c>
      <c r="C1966" s="15">
        <v>0.0</v>
      </c>
      <c r="D1966" s="4" t="s">
        <v>2377</v>
      </c>
    </row>
    <row r="1967">
      <c r="A1967" s="3">
        <v>2017.0</v>
      </c>
      <c r="B1967" s="4" t="s">
        <v>637</v>
      </c>
      <c r="C1967" s="15">
        <v>500.0</v>
      </c>
      <c r="D1967" s="4" t="s">
        <v>2368</v>
      </c>
    </row>
    <row r="1968">
      <c r="A1968" s="3">
        <v>2017.0</v>
      </c>
      <c r="B1968" s="4" t="s">
        <v>2550</v>
      </c>
      <c r="C1968" s="15">
        <v>0.0</v>
      </c>
      <c r="D1968" s="4" t="s">
        <v>3</v>
      </c>
    </row>
    <row r="1969">
      <c r="A1969" s="3">
        <v>2017.0</v>
      </c>
      <c r="B1969" s="4" t="s">
        <v>2551</v>
      </c>
      <c r="C1969" s="15">
        <v>0.0</v>
      </c>
      <c r="D1969" s="4" t="s">
        <v>3</v>
      </c>
    </row>
    <row r="1970">
      <c r="A1970" s="3">
        <v>2017.0</v>
      </c>
      <c r="B1970" s="4" t="s">
        <v>639</v>
      </c>
      <c r="C1970" s="15">
        <v>21600.0</v>
      </c>
      <c r="D1970" s="4" t="s">
        <v>3</v>
      </c>
    </row>
    <row r="1971">
      <c r="A1971" s="3">
        <v>2017.0</v>
      </c>
      <c r="B1971" s="4" t="s">
        <v>2192</v>
      </c>
      <c r="C1971" s="15">
        <v>209595.0</v>
      </c>
      <c r="D1971" s="4" t="s">
        <v>2370</v>
      </c>
    </row>
    <row r="1972">
      <c r="A1972" s="3">
        <v>2017.0</v>
      </c>
      <c r="B1972" s="4" t="s">
        <v>2552</v>
      </c>
      <c r="C1972" s="15">
        <v>0.0</v>
      </c>
      <c r="D1972" s="4" t="s">
        <v>6</v>
      </c>
    </row>
    <row r="1973">
      <c r="A1973" s="3">
        <v>2017.0</v>
      </c>
      <c r="B1973" s="4" t="s">
        <v>643</v>
      </c>
      <c r="C1973" s="15">
        <v>4300.0</v>
      </c>
      <c r="D1973" s="4" t="s">
        <v>29</v>
      </c>
    </row>
    <row r="1974">
      <c r="A1974" s="3">
        <v>2017.0</v>
      </c>
      <c r="B1974" s="4" t="s">
        <v>2553</v>
      </c>
      <c r="C1974" s="15">
        <v>32000.0</v>
      </c>
      <c r="D1974" s="4" t="s">
        <v>3</v>
      </c>
    </row>
    <row r="1975">
      <c r="A1975" s="3">
        <v>2017.0</v>
      </c>
      <c r="B1975" s="4" t="s">
        <v>646</v>
      </c>
      <c r="C1975" s="15">
        <v>68775.0</v>
      </c>
      <c r="D1975" s="4"/>
    </row>
    <row r="1976">
      <c r="A1976" s="3">
        <v>2017.0</v>
      </c>
      <c r="B1976" s="4" t="s">
        <v>2554</v>
      </c>
      <c r="C1976" s="15">
        <v>2500.0</v>
      </c>
      <c r="D1976" s="4" t="s">
        <v>3</v>
      </c>
    </row>
    <row r="1977">
      <c r="A1977" s="3">
        <v>2017.0</v>
      </c>
      <c r="B1977" s="4" t="s">
        <v>648</v>
      </c>
      <c r="C1977" s="15">
        <v>300000.0</v>
      </c>
      <c r="D1977" s="4" t="s">
        <v>16</v>
      </c>
    </row>
    <row r="1978">
      <c r="A1978" s="3">
        <v>2017.0</v>
      </c>
      <c r="B1978" s="4" t="s">
        <v>2555</v>
      </c>
      <c r="C1978" s="15">
        <v>0.0</v>
      </c>
      <c r="D1978" s="4" t="s">
        <v>3</v>
      </c>
    </row>
    <row r="1979">
      <c r="A1979" s="3">
        <v>2017.0</v>
      </c>
      <c r="B1979" s="4" t="s">
        <v>650</v>
      </c>
      <c r="C1979" s="15">
        <v>1000.0</v>
      </c>
      <c r="D1979" s="4"/>
    </row>
    <row r="1980">
      <c r="A1980" s="3">
        <v>2017.0</v>
      </c>
      <c r="B1980" s="4" t="s">
        <v>651</v>
      </c>
      <c r="C1980" s="15">
        <v>0.0</v>
      </c>
      <c r="D1980" s="4" t="s">
        <v>3</v>
      </c>
    </row>
    <row r="1981">
      <c r="A1981" s="3">
        <v>2017.0</v>
      </c>
      <c r="B1981" s="4" t="s">
        <v>652</v>
      </c>
      <c r="C1981" s="15">
        <v>2700.0</v>
      </c>
      <c r="D1981" s="4" t="s">
        <v>29</v>
      </c>
    </row>
    <row r="1982">
      <c r="A1982" s="3">
        <v>2017.0</v>
      </c>
      <c r="B1982" s="4" t="s">
        <v>654</v>
      </c>
      <c r="C1982" s="15">
        <v>0.0</v>
      </c>
      <c r="D1982" s="4" t="s">
        <v>29</v>
      </c>
    </row>
    <row r="1983">
      <c r="A1983" s="3">
        <v>2017.0</v>
      </c>
      <c r="B1983" s="4" t="s">
        <v>655</v>
      </c>
      <c r="C1983" s="15">
        <v>84000.0</v>
      </c>
      <c r="D1983" s="4" t="s">
        <v>2508</v>
      </c>
    </row>
    <row r="1984">
      <c r="A1984" s="3">
        <v>2017.0</v>
      </c>
      <c r="B1984" s="4" t="s">
        <v>2193</v>
      </c>
      <c r="C1984" s="15">
        <v>0.0</v>
      </c>
      <c r="D1984" s="4" t="s">
        <v>6</v>
      </c>
    </row>
    <row r="1985">
      <c r="A1985" s="3">
        <v>2017.0</v>
      </c>
      <c r="B1985" s="4" t="s">
        <v>659</v>
      </c>
      <c r="C1985" s="15">
        <v>15000.0</v>
      </c>
      <c r="D1985" s="4" t="s">
        <v>216</v>
      </c>
    </row>
    <row r="1986">
      <c r="A1986" s="3">
        <v>2017.0</v>
      </c>
      <c r="B1986" s="4" t="s">
        <v>661</v>
      </c>
      <c r="C1986" s="15">
        <v>0.0</v>
      </c>
      <c r="D1986" s="4" t="s">
        <v>29</v>
      </c>
    </row>
    <row r="1987">
      <c r="A1987" s="3">
        <v>2017.0</v>
      </c>
      <c r="B1987" s="4" t="s">
        <v>2556</v>
      </c>
      <c r="C1987" s="15">
        <v>0.0</v>
      </c>
      <c r="D1987" s="4" t="s">
        <v>3</v>
      </c>
    </row>
    <row r="1988">
      <c r="A1988" s="3">
        <v>2017.0</v>
      </c>
      <c r="B1988" s="4" t="s">
        <v>2557</v>
      </c>
      <c r="C1988" s="15">
        <v>15000.0</v>
      </c>
      <c r="D1988" s="4" t="s">
        <v>2447</v>
      </c>
    </row>
    <row r="1989">
      <c r="A1989" s="3">
        <v>2017.0</v>
      </c>
      <c r="B1989" s="4" t="s">
        <v>666</v>
      </c>
      <c r="C1989" s="15">
        <v>18000.0</v>
      </c>
      <c r="D1989" s="4"/>
    </row>
    <row r="1990">
      <c r="A1990" s="3">
        <v>2017.0</v>
      </c>
      <c r="B1990" s="4" t="s">
        <v>667</v>
      </c>
      <c r="C1990" s="15">
        <v>2000.0</v>
      </c>
      <c r="D1990" s="4"/>
    </row>
    <row r="1991">
      <c r="A1991" s="3">
        <v>2017.0</v>
      </c>
      <c r="B1991" s="4" t="s">
        <v>669</v>
      </c>
      <c r="C1991" s="15">
        <v>25000.0</v>
      </c>
      <c r="D1991" s="4" t="s">
        <v>3</v>
      </c>
    </row>
    <row r="1992">
      <c r="A1992" s="3">
        <v>2017.0</v>
      </c>
      <c r="B1992" s="4" t="s">
        <v>2558</v>
      </c>
      <c r="C1992" s="15">
        <v>0.0</v>
      </c>
      <c r="D1992" s="4" t="s">
        <v>3</v>
      </c>
    </row>
    <row r="1993">
      <c r="A1993" s="3">
        <v>2017.0</v>
      </c>
      <c r="B1993" s="4" t="s">
        <v>672</v>
      </c>
      <c r="C1993" s="15">
        <v>0.0</v>
      </c>
      <c r="D1993" s="4" t="s">
        <v>2377</v>
      </c>
    </row>
    <row r="1994">
      <c r="A1994" s="3">
        <v>2017.0</v>
      </c>
      <c r="B1994" s="4" t="s">
        <v>2559</v>
      </c>
      <c r="C1994" s="15">
        <v>8300.0</v>
      </c>
      <c r="D1994" s="4" t="s">
        <v>2377</v>
      </c>
    </row>
    <row r="1995">
      <c r="A1995" s="3">
        <v>2017.0</v>
      </c>
      <c r="B1995" s="4" t="s">
        <v>675</v>
      </c>
      <c r="C1995" s="15">
        <v>2000.0</v>
      </c>
      <c r="D1995" s="4" t="s">
        <v>2508</v>
      </c>
    </row>
    <row r="1996">
      <c r="A1996" s="3">
        <v>2017.0</v>
      </c>
      <c r="B1996" s="4" t="s">
        <v>2560</v>
      </c>
      <c r="C1996" s="15">
        <v>0.0</v>
      </c>
      <c r="D1996" s="4" t="s">
        <v>6</v>
      </c>
    </row>
    <row r="1997">
      <c r="A1997" s="3">
        <v>2017.0</v>
      </c>
      <c r="B1997" s="4" t="s">
        <v>677</v>
      </c>
      <c r="C1997" s="15">
        <v>0.0</v>
      </c>
      <c r="D1997" s="4" t="s">
        <v>3</v>
      </c>
    </row>
    <row r="1998">
      <c r="A1998" s="3">
        <v>2017.0</v>
      </c>
      <c r="B1998" s="4" t="s">
        <v>678</v>
      </c>
      <c r="C1998" s="15">
        <v>0.0</v>
      </c>
      <c r="D1998" s="4" t="s">
        <v>2377</v>
      </c>
    </row>
    <row r="1999">
      <c r="A1999" s="3">
        <v>2017.0</v>
      </c>
      <c r="B1999" s="4" t="s">
        <v>679</v>
      </c>
      <c r="C1999" s="15">
        <v>280000.0</v>
      </c>
      <c r="D1999" s="4"/>
    </row>
    <row r="2000">
      <c r="A2000" s="3">
        <v>2017.0</v>
      </c>
      <c r="B2000" s="4" t="s">
        <v>681</v>
      </c>
      <c r="C2000" s="15">
        <v>8000.0</v>
      </c>
      <c r="D2000" s="4" t="s">
        <v>29</v>
      </c>
    </row>
    <row r="2001">
      <c r="A2001" s="3">
        <v>2017.0</v>
      </c>
      <c r="B2001" s="4" t="s">
        <v>682</v>
      </c>
      <c r="C2001" s="15">
        <v>1200.0</v>
      </c>
      <c r="D2001" s="4"/>
    </row>
    <row r="2002">
      <c r="A2002" s="3">
        <v>2017.0</v>
      </c>
      <c r="B2002" s="4" t="s">
        <v>683</v>
      </c>
      <c r="C2002" s="15">
        <v>4000.0</v>
      </c>
      <c r="D2002" s="4" t="s">
        <v>2508</v>
      </c>
    </row>
    <row r="2003">
      <c r="A2003" s="3">
        <v>2017.0</v>
      </c>
      <c r="B2003" s="4" t="s">
        <v>2561</v>
      </c>
      <c r="C2003" s="15">
        <v>0.0</v>
      </c>
      <c r="D2003" s="4" t="s">
        <v>3</v>
      </c>
    </row>
    <row r="2004">
      <c r="A2004" s="3">
        <v>2017.0</v>
      </c>
      <c r="B2004" s="4" t="s">
        <v>687</v>
      </c>
      <c r="C2004" s="15">
        <v>16250.0</v>
      </c>
      <c r="D2004" s="4" t="s">
        <v>6</v>
      </c>
    </row>
    <row r="2005">
      <c r="A2005" s="3">
        <v>2017.0</v>
      </c>
      <c r="B2005" s="4" t="s">
        <v>2562</v>
      </c>
      <c r="C2005" s="15">
        <v>0.0</v>
      </c>
      <c r="D2005" s="4" t="s">
        <v>29</v>
      </c>
    </row>
    <row r="2006">
      <c r="A2006" s="3">
        <v>2017.0</v>
      </c>
      <c r="B2006" s="4" t="s">
        <v>688</v>
      </c>
      <c r="C2006" s="15">
        <v>0.0</v>
      </c>
      <c r="D2006" s="4" t="s">
        <v>6</v>
      </c>
    </row>
    <row r="2007">
      <c r="A2007" s="3">
        <v>2017.0</v>
      </c>
      <c r="B2007" s="4" t="s">
        <v>689</v>
      </c>
      <c r="C2007" s="15">
        <v>1000.0</v>
      </c>
      <c r="D2007" s="4" t="s">
        <v>2377</v>
      </c>
    </row>
    <row r="2008">
      <c r="A2008" s="3">
        <v>2017.0</v>
      </c>
      <c r="B2008" s="4" t="s">
        <v>690</v>
      </c>
      <c r="C2008" s="15">
        <v>0.0</v>
      </c>
      <c r="D2008" s="4" t="s">
        <v>29</v>
      </c>
    </row>
    <row r="2009">
      <c r="A2009" s="3">
        <v>2017.0</v>
      </c>
      <c r="B2009" s="4" t="s">
        <v>2563</v>
      </c>
      <c r="C2009" s="15">
        <v>0.0</v>
      </c>
      <c r="D2009" s="4" t="s">
        <v>3</v>
      </c>
    </row>
    <row r="2010">
      <c r="A2010" s="3">
        <v>2017.0</v>
      </c>
      <c r="B2010" s="4" t="s">
        <v>2564</v>
      </c>
      <c r="C2010" s="15">
        <v>0.0</v>
      </c>
      <c r="D2010" s="4" t="s">
        <v>6</v>
      </c>
    </row>
    <row r="2011">
      <c r="A2011" s="3">
        <v>2017.0</v>
      </c>
      <c r="B2011" s="4" t="s">
        <v>2565</v>
      </c>
      <c r="C2011" s="15">
        <v>0.0</v>
      </c>
      <c r="D2011" s="4" t="s">
        <v>3</v>
      </c>
    </row>
    <row r="2012">
      <c r="A2012" s="3">
        <v>2017.0</v>
      </c>
      <c r="B2012" s="4" t="s">
        <v>695</v>
      </c>
      <c r="C2012" s="15">
        <v>0.0</v>
      </c>
      <c r="D2012" s="4" t="s">
        <v>3</v>
      </c>
    </row>
    <row r="2013">
      <c r="A2013" s="3">
        <v>2017.0</v>
      </c>
      <c r="B2013" s="4" t="s">
        <v>696</v>
      </c>
      <c r="C2013" s="15">
        <v>0.0</v>
      </c>
      <c r="D2013" s="4" t="s">
        <v>3</v>
      </c>
    </row>
    <row r="2014">
      <c r="A2014" s="3">
        <v>2017.0</v>
      </c>
      <c r="B2014" s="4" t="s">
        <v>2566</v>
      </c>
      <c r="C2014" s="15">
        <v>115000.0</v>
      </c>
      <c r="D2014" s="4" t="s">
        <v>6</v>
      </c>
    </row>
    <row r="2015">
      <c r="A2015" s="3">
        <v>2017.0</v>
      </c>
      <c r="B2015" s="4" t="s">
        <v>699</v>
      </c>
      <c r="C2015" s="15">
        <v>0.0</v>
      </c>
      <c r="D2015" s="4" t="s">
        <v>3</v>
      </c>
    </row>
    <row r="2016">
      <c r="A2016" s="3">
        <v>2017.0</v>
      </c>
      <c r="B2016" s="4" t="s">
        <v>700</v>
      </c>
      <c r="C2016" s="15">
        <v>2415.0</v>
      </c>
      <c r="D2016" s="4" t="s">
        <v>6</v>
      </c>
    </row>
    <row r="2017">
      <c r="A2017" s="3">
        <v>2017.0</v>
      </c>
      <c r="B2017" s="4" t="s">
        <v>2567</v>
      </c>
      <c r="C2017" s="15">
        <v>0.0</v>
      </c>
      <c r="D2017" s="4" t="s">
        <v>3</v>
      </c>
    </row>
    <row r="2018">
      <c r="A2018" s="3">
        <v>2017.0</v>
      </c>
      <c r="B2018" s="4" t="s">
        <v>705</v>
      </c>
      <c r="C2018" s="15">
        <v>1104.1</v>
      </c>
      <c r="D2018" s="4" t="s">
        <v>6</v>
      </c>
    </row>
    <row r="2019">
      <c r="A2019" s="3">
        <v>2017.0</v>
      </c>
      <c r="B2019" s="4" t="s">
        <v>2568</v>
      </c>
      <c r="C2019" s="15">
        <v>0.0</v>
      </c>
      <c r="D2019" s="4" t="s">
        <v>6</v>
      </c>
    </row>
    <row r="2020">
      <c r="A2020" s="3">
        <v>2017.0</v>
      </c>
      <c r="B2020" s="4" t="s">
        <v>709</v>
      </c>
      <c r="C2020" s="15">
        <v>0.0</v>
      </c>
      <c r="D2020" s="4" t="s">
        <v>29</v>
      </c>
    </row>
    <row r="2021">
      <c r="A2021" s="3">
        <v>2017.0</v>
      </c>
      <c r="B2021" s="4" t="s">
        <v>2569</v>
      </c>
      <c r="C2021" s="15">
        <v>56264.0</v>
      </c>
      <c r="D2021" s="4" t="s">
        <v>216</v>
      </c>
    </row>
    <row r="2022">
      <c r="A2022" s="3">
        <v>2017.0</v>
      </c>
      <c r="B2022" s="4" t="s">
        <v>714</v>
      </c>
      <c r="C2022" s="15">
        <v>0.0</v>
      </c>
      <c r="D2022" s="4" t="s">
        <v>6</v>
      </c>
    </row>
    <row r="2023">
      <c r="A2023" s="3">
        <v>2017.0</v>
      </c>
      <c r="B2023" s="4" t="s">
        <v>2570</v>
      </c>
      <c r="C2023" s="15">
        <v>0.0</v>
      </c>
      <c r="D2023" s="4" t="s">
        <v>6</v>
      </c>
    </row>
    <row r="2024">
      <c r="A2024" s="3">
        <v>2017.0</v>
      </c>
      <c r="B2024" s="4" t="s">
        <v>716</v>
      </c>
      <c r="C2024" s="15">
        <v>7000.0</v>
      </c>
      <c r="D2024" s="4" t="s">
        <v>2377</v>
      </c>
    </row>
    <row r="2025">
      <c r="A2025" s="3">
        <v>2017.0</v>
      </c>
      <c r="B2025" s="4" t="s">
        <v>2571</v>
      </c>
      <c r="C2025" s="15">
        <v>0.0</v>
      </c>
      <c r="D2025" s="4" t="s">
        <v>3</v>
      </c>
    </row>
    <row r="2026">
      <c r="A2026" s="3">
        <v>2017.0</v>
      </c>
      <c r="B2026" s="4" t="s">
        <v>717</v>
      </c>
      <c r="C2026" s="15">
        <v>4000.0</v>
      </c>
      <c r="D2026" s="4" t="s">
        <v>3</v>
      </c>
    </row>
    <row r="2027">
      <c r="A2027" s="3">
        <v>2017.0</v>
      </c>
      <c r="B2027" s="4" t="s">
        <v>719</v>
      </c>
      <c r="C2027" s="15">
        <v>0.0</v>
      </c>
      <c r="D2027" s="4" t="s">
        <v>29</v>
      </c>
    </row>
    <row r="2028">
      <c r="A2028" s="3">
        <v>2017.0</v>
      </c>
      <c r="B2028" s="4" t="s">
        <v>720</v>
      </c>
      <c r="C2028" s="15">
        <v>5400.0</v>
      </c>
      <c r="D2028" s="4"/>
    </row>
    <row r="2029">
      <c r="A2029" s="3">
        <v>2017.0</v>
      </c>
      <c r="B2029" s="4" t="s">
        <v>722</v>
      </c>
      <c r="C2029" s="15">
        <v>9000.0</v>
      </c>
      <c r="D2029" s="4"/>
    </row>
    <row r="2030">
      <c r="A2030" s="3">
        <v>2017.0</v>
      </c>
      <c r="B2030" s="4" t="s">
        <v>725</v>
      </c>
      <c r="C2030" s="15">
        <v>30000.0</v>
      </c>
      <c r="D2030" s="4" t="s">
        <v>6</v>
      </c>
    </row>
    <row r="2031">
      <c r="A2031" s="3">
        <v>2017.0</v>
      </c>
      <c r="B2031" s="4" t="s">
        <v>2197</v>
      </c>
      <c r="C2031" s="15">
        <v>19000.0</v>
      </c>
      <c r="D2031" s="4" t="s">
        <v>3</v>
      </c>
    </row>
    <row r="2032">
      <c r="A2032" s="3">
        <v>2017.0</v>
      </c>
      <c r="B2032" s="4" t="s">
        <v>2572</v>
      </c>
      <c r="C2032" s="15">
        <v>0.0</v>
      </c>
      <c r="D2032" s="4" t="s">
        <v>3</v>
      </c>
    </row>
    <row r="2033">
      <c r="A2033" s="3">
        <v>2017.0</v>
      </c>
      <c r="B2033" s="4" t="s">
        <v>729</v>
      </c>
      <c r="C2033" s="15">
        <v>40000.0</v>
      </c>
      <c r="D2033" s="4" t="s">
        <v>2377</v>
      </c>
    </row>
    <row r="2034">
      <c r="A2034" s="3">
        <v>2017.0</v>
      </c>
      <c r="B2034" s="4" t="s">
        <v>731</v>
      </c>
      <c r="C2034" s="15">
        <v>0.0</v>
      </c>
      <c r="D2034" s="4" t="s">
        <v>3</v>
      </c>
    </row>
    <row r="2035">
      <c r="A2035" s="3">
        <v>2017.0</v>
      </c>
      <c r="B2035" s="4" t="s">
        <v>2573</v>
      </c>
      <c r="C2035" s="15">
        <v>7000.0</v>
      </c>
      <c r="D2035" s="4" t="s">
        <v>6</v>
      </c>
    </row>
    <row r="2036">
      <c r="A2036" s="3">
        <v>2017.0</v>
      </c>
      <c r="B2036" s="4" t="s">
        <v>2574</v>
      </c>
      <c r="C2036" s="15">
        <v>0.0</v>
      </c>
      <c r="D2036" s="4" t="s">
        <v>3</v>
      </c>
    </row>
    <row r="2037">
      <c r="A2037" s="3">
        <v>2017.0</v>
      </c>
      <c r="B2037" s="4" t="s">
        <v>2575</v>
      </c>
      <c r="C2037" s="15">
        <v>10000.0</v>
      </c>
      <c r="D2037" s="4" t="s">
        <v>3</v>
      </c>
    </row>
    <row r="2038">
      <c r="A2038" s="3">
        <v>2017.0</v>
      </c>
      <c r="B2038" s="4" t="s">
        <v>2202</v>
      </c>
      <c r="C2038" s="15">
        <v>0.0</v>
      </c>
      <c r="D2038" s="4" t="s">
        <v>3</v>
      </c>
    </row>
    <row r="2039">
      <c r="A2039" s="3">
        <v>2017.0</v>
      </c>
      <c r="B2039" s="4" t="s">
        <v>2576</v>
      </c>
      <c r="C2039" s="15">
        <v>9000.0</v>
      </c>
      <c r="D2039" s="4" t="s">
        <v>3</v>
      </c>
    </row>
    <row r="2040">
      <c r="A2040" s="3">
        <v>2017.0</v>
      </c>
      <c r="B2040" s="4" t="s">
        <v>747</v>
      </c>
      <c r="C2040" s="15">
        <v>0.0</v>
      </c>
      <c r="D2040" s="4" t="s">
        <v>3</v>
      </c>
    </row>
    <row r="2041">
      <c r="A2041" s="3">
        <v>2017.0</v>
      </c>
      <c r="B2041" s="4" t="s">
        <v>748</v>
      </c>
      <c r="C2041" s="15">
        <v>1000.0</v>
      </c>
      <c r="D2041" s="4" t="s">
        <v>3</v>
      </c>
    </row>
    <row r="2042">
      <c r="A2042" s="3">
        <v>2017.0</v>
      </c>
      <c r="B2042" s="4" t="s">
        <v>749</v>
      </c>
      <c r="C2042" s="15">
        <v>0.0</v>
      </c>
      <c r="D2042" s="4" t="s">
        <v>6</v>
      </c>
    </row>
    <row r="2043">
      <c r="A2043" s="3">
        <v>2017.0</v>
      </c>
      <c r="B2043" s="4" t="s">
        <v>750</v>
      </c>
      <c r="C2043" s="15">
        <v>800.0</v>
      </c>
      <c r="D2043" s="4"/>
    </row>
    <row r="2044">
      <c r="A2044" s="3">
        <v>2017.0</v>
      </c>
      <c r="B2044" s="4" t="s">
        <v>751</v>
      </c>
      <c r="C2044" s="15">
        <v>0.0</v>
      </c>
      <c r="D2044" s="4" t="s">
        <v>3</v>
      </c>
    </row>
    <row r="2045">
      <c r="A2045" s="3">
        <v>2017.0</v>
      </c>
      <c r="B2045" s="4" t="s">
        <v>2577</v>
      </c>
      <c r="C2045" s="15">
        <v>0.0</v>
      </c>
      <c r="D2045" s="4" t="s">
        <v>3</v>
      </c>
    </row>
    <row r="2046">
      <c r="A2046" s="3">
        <v>2017.0</v>
      </c>
      <c r="B2046" s="4" t="s">
        <v>755</v>
      </c>
      <c r="C2046" s="15">
        <v>8000.0</v>
      </c>
      <c r="D2046" s="4" t="s">
        <v>6</v>
      </c>
    </row>
    <row r="2047">
      <c r="A2047" s="3">
        <v>2017.0</v>
      </c>
      <c r="B2047" s="4" t="s">
        <v>756</v>
      </c>
      <c r="C2047" s="15">
        <v>20000.0</v>
      </c>
      <c r="D2047" s="4"/>
    </row>
    <row r="2048">
      <c r="A2048" s="3">
        <v>2017.0</v>
      </c>
      <c r="B2048" s="4" t="s">
        <v>757</v>
      </c>
      <c r="C2048" s="15">
        <v>11358.0</v>
      </c>
      <c r="D2048" s="4"/>
    </row>
    <row r="2049">
      <c r="A2049" s="3">
        <v>2017.0</v>
      </c>
      <c r="B2049" s="4" t="s">
        <v>2204</v>
      </c>
      <c r="C2049" s="15">
        <v>460887.0</v>
      </c>
      <c r="D2049" s="4" t="s">
        <v>2370</v>
      </c>
    </row>
    <row r="2050">
      <c r="A2050" s="3">
        <v>2017.0</v>
      </c>
      <c r="B2050" s="4" t="s">
        <v>761</v>
      </c>
      <c r="C2050" s="15">
        <v>2500.0</v>
      </c>
      <c r="D2050" s="4"/>
    </row>
    <row r="2051">
      <c r="A2051" s="3">
        <v>2017.0</v>
      </c>
      <c r="B2051" s="4" t="s">
        <v>2578</v>
      </c>
      <c r="C2051" s="15">
        <v>0.0</v>
      </c>
      <c r="D2051" s="4" t="s">
        <v>3</v>
      </c>
    </row>
    <row r="2052">
      <c r="A2052" s="3">
        <v>2017.0</v>
      </c>
      <c r="B2052" s="4" t="s">
        <v>2579</v>
      </c>
      <c r="C2052" s="15">
        <v>0.0</v>
      </c>
      <c r="D2052" s="4" t="s">
        <v>3</v>
      </c>
    </row>
    <row r="2053">
      <c r="A2053" s="3">
        <v>2017.0</v>
      </c>
      <c r="B2053" s="4" t="s">
        <v>764</v>
      </c>
      <c r="C2053" s="15">
        <v>150.0</v>
      </c>
      <c r="D2053" s="4" t="s">
        <v>3</v>
      </c>
    </row>
    <row r="2054">
      <c r="A2054" s="3">
        <v>2017.0</v>
      </c>
      <c r="B2054" s="4" t="s">
        <v>766</v>
      </c>
      <c r="C2054" s="15">
        <v>0.0</v>
      </c>
      <c r="D2054" s="4" t="s">
        <v>3</v>
      </c>
    </row>
    <row r="2055">
      <c r="A2055" s="3">
        <v>2017.0</v>
      </c>
      <c r="B2055" s="4" t="s">
        <v>2580</v>
      </c>
      <c r="C2055" s="15">
        <v>0.0</v>
      </c>
      <c r="D2055" s="4" t="s">
        <v>3</v>
      </c>
    </row>
    <row r="2056">
      <c r="A2056" s="3">
        <v>2017.0</v>
      </c>
      <c r="B2056" s="4" t="s">
        <v>769</v>
      </c>
      <c r="C2056" s="15">
        <v>0.0</v>
      </c>
      <c r="D2056" s="4" t="s">
        <v>3</v>
      </c>
    </row>
    <row r="2057">
      <c r="A2057" s="3">
        <v>2017.0</v>
      </c>
      <c r="B2057" s="4" t="s">
        <v>770</v>
      </c>
      <c r="C2057" s="15">
        <v>0.0</v>
      </c>
      <c r="D2057" s="4" t="s">
        <v>3</v>
      </c>
    </row>
    <row r="2058">
      <c r="A2058" s="3">
        <v>2017.0</v>
      </c>
      <c r="B2058" s="4" t="s">
        <v>771</v>
      </c>
      <c r="C2058" s="15">
        <v>0.0</v>
      </c>
      <c r="D2058" s="4" t="s">
        <v>3</v>
      </c>
    </row>
    <row r="2059">
      <c r="A2059" s="3">
        <v>2017.0</v>
      </c>
      <c r="B2059" s="4" t="s">
        <v>772</v>
      </c>
      <c r="C2059" s="15">
        <v>0.0</v>
      </c>
      <c r="D2059" s="4" t="s">
        <v>3</v>
      </c>
    </row>
    <row r="2060">
      <c r="A2060" s="3">
        <v>2017.0</v>
      </c>
      <c r="B2060" s="4" t="s">
        <v>774</v>
      </c>
      <c r="C2060" s="15">
        <v>57000.0</v>
      </c>
      <c r="D2060" s="4" t="s">
        <v>176</v>
      </c>
    </row>
    <row r="2061">
      <c r="A2061" s="3">
        <v>2017.0</v>
      </c>
      <c r="B2061" s="4" t="s">
        <v>2059</v>
      </c>
      <c r="C2061" s="15">
        <v>11033.13</v>
      </c>
      <c r="D2061" s="4"/>
    </row>
    <row r="2062">
      <c r="A2062" s="3">
        <v>2017.0</v>
      </c>
      <c r="B2062" s="4" t="s">
        <v>2581</v>
      </c>
      <c r="C2062" s="15">
        <v>0.0</v>
      </c>
      <c r="D2062" s="4" t="s">
        <v>3</v>
      </c>
    </row>
    <row r="2063">
      <c r="A2063" s="3">
        <v>2017.0</v>
      </c>
      <c r="B2063" s="4" t="s">
        <v>778</v>
      </c>
      <c r="C2063" s="15">
        <v>1000.0</v>
      </c>
      <c r="D2063" s="4" t="s">
        <v>3</v>
      </c>
    </row>
    <row r="2064">
      <c r="A2064" s="3">
        <v>2017.0</v>
      </c>
      <c r="B2064" s="4" t="s">
        <v>779</v>
      </c>
      <c r="C2064" s="15">
        <v>800.0</v>
      </c>
      <c r="D2064" s="4"/>
    </row>
    <row r="2065">
      <c r="A2065" s="3">
        <v>2017.0</v>
      </c>
      <c r="B2065" s="4" t="s">
        <v>2582</v>
      </c>
      <c r="C2065" s="15">
        <v>0.0</v>
      </c>
      <c r="D2065" s="4" t="s">
        <v>3</v>
      </c>
    </row>
    <row r="2066">
      <c r="A2066" s="3">
        <v>2017.0</v>
      </c>
      <c r="B2066" s="4" t="s">
        <v>782</v>
      </c>
      <c r="C2066" s="15">
        <v>0.0</v>
      </c>
      <c r="D2066" s="4" t="s">
        <v>3</v>
      </c>
    </row>
    <row r="2067">
      <c r="A2067" s="3">
        <v>2017.0</v>
      </c>
      <c r="B2067" s="4" t="s">
        <v>783</v>
      </c>
      <c r="C2067" s="15">
        <v>0.0</v>
      </c>
      <c r="D2067" s="4" t="s">
        <v>29</v>
      </c>
    </row>
    <row r="2068">
      <c r="A2068" s="3">
        <v>2017.0</v>
      </c>
      <c r="B2068" s="4" t="s">
        <v>2583</v>
      </c>
      <c r="C2068" s="15">
        <v>0.0</v>
      </c>
      <c r="D2068" s="4" t="s">
        <v>6</v>
      </c>
    </row>
    <row r="2069">
      <c r="A2069" s="3">
        <v>2017.0</v>
      </c>
      <c r="B2069" s="4" t="s">
        <v>786</v>
      </c>
      <c r="C2069" s="15">
        <v>25000.0</v>
      </c>
      <c r="D2069" s="4"/>
    </row>
    <row r="2070">
      <c r="A2070" s="3">
        <v>2017.0</v>
      </c>
      <c r="B2070" s="4" t="s">
        <v>788</v>
      </c>
      <c r="C2070" s="15">
        <v>2000.0</v>
      </c>
      <c r="D2070" s="4" t="s">
        <v>2377</v>
      </c>
    </row>
    <row r="2071">
      <c r="A2071" s="3">
        <v>2017.0</v>
      </c>
      <c r="B2071" s="4" t="s">
        <v>2584</v>
      </c>
      <c r="C2071" s="15">
        <v>2000.0</v>
      </c>
      <c r="D2071" s="4"/>
    </row>
    <row r="2072">
      <c r="A2072" s="3">
        <v>2017.0</v>
      </c>
      <c r="B2072" s="4" t="s">
        <v>2585</v>
      </c>
      <c r="C2072" s="15">
        <v>0.0</v>
      </c>
      <c r="D2072" s="4" t="s">
        <v>3</v>
      </c>
    </row>
    <row r="2073">
      <c r="A2073" s="3">
        <v>2017.0</v>
      </c>
      <c r="B2073" s="4" t="s">
        <v>2586</v>
      </c>
      <c r="C2073" s="15">
        <v>0.0</v>
      </c>
      <c r="D2073" s="4" t="s">
        <v>3</v>
      </c>
    </row>
    <row r="2074">
      <c r="A2074" s="3">
        <v>2017.0</v>
      </c>
      <c r="B2074" s="4" t="s">
        <v>790</v>
      </c>
      <c r="C2074" s="15">
        <v>14000.0</v>
      </c>
      <c r="D2074" s="4"/>
    </row>
    <row r="2075">
      <c r="A2075" s="3">
        <v>2017.0</v>
      </c>
      <c r="B2075" s="4" t="s">
        <v>2587</v>
      </c>
      <c r="C2075" s="15">
        <v>4000.0</v>
      </c>
      <c r="D2075" s="4"/>
    </row>
    <row r="2076">
      <c r="A2076" s="3">
        <v>2017.0</v>
      </c>
      <c r="B2076" s="4" t="s">
        <v>792</v>
      </c>
      <c r="C2076" s="15">
        <v>0.0</v>
      </c>
      <c r="D2076" s="4" t="s">
        <v>3</v>
      </c>
    </row>
    <row r="2077">
      <c r="A2077" s="3">
        <v>2017.0</v>
      </c>
      <c r="B2077" s="4" t="s">
        <v>793</v>
      </c>
      <c r="C2077" s="15">
        <v>6000.0</v>
      </c>
      <c r="D2077" s="4"/>
    </row>
    <row r="2078">
      <c r="A2078" s="3">
        <v>2017.0</v>
      </c>
      <c r="B2078" s="4" t="s">
        <v>795</v>
      </c>
      <c r="C2078" s="15">
        <v>0.0</v>
      </c>
      <c r="D2078" s="4" t="s">
        <v>3</v>
      </c>
    </row>
    <row r="2079">
      <c r="A2079" s="3">
        <v>2017.0</v>
      </c>
      <c r="B2079" s="4" t="s">
        <v>2588</v>
      </c>
      <c r="C2079" s="15">
        <v>0.0</v>
      </c>
      <c r="D2079" s="4" t="s">
        <v>3</v>
      </c>
    </row>
    <row r="2080">
      <c r="A2080" s="3">
        <v>2017.0</v>
      </c>
      <c r="B2080" s="4" t="s">
        <v>2589</v>
      </c>
      <c r="C2080" s="15">
        <v>2000.0</v>
      </c>
      <c r="D2080" s="4" t="s">
        <v>3</v>
      </c>
    </row>
    <row r="2081">
      <c r="A2081" s="3">
        <v>2017.0</v>
      </c>
      <c r="B2081" s="4" t="s">
        <v>798</v>
      </c>
      <c r="C2081" s="15">
        <v>0.0</v>
      </c>
      <c r="D2081" s="4" t="s">
        <v>29</v>
      </c>
    </row>
    <row r="2082">
      <c r="A2082" s="3">
        <v>2017.0</v>
      </c>
      <c r="B2082" s="4" t="s">
        <v>799</v>
      </c>
      <c r="C2082" s="15">
        <v>0.0</v>
      </c>
      <c r="D2082" s="4" t="s">
        <v>29</v>
      </c>
    </row>
    <row r="2083">
      <c r="A2083" s="3">
        <v>2017.0</v>
      </c>
      <c r="B2083" s="4" t="s">
        <v>2206</v>
      </c>
      <c r="C2083" s="15">
        <v>229827.0</v>
      </c>
      <c r="D2083" s="4" t="s">
        <v>2370</v>
      </c>
    </row>
    <row r="2084">
      <c r="A2084" s="3">
        <v>2017.0</v>
      </c>
      <c r="B2084" s="4" t="s">
        <v>802</v>
      </c>
      <c r="C2084" s="15">
        <v>0.0</v>
      </c>
      <c r="D2084" s="4" t="s">
        <v>3</v>
      </c>
    </row>
    <row r="2085">
      <c r="A2085" s="3">
        <v>2017.0</v>
      </c>
      <c r="B2085" s="4" t="s">
        <v>803</v>
      </c>
      <c r="C2085" s="15">
        <v>1000.0</v>
      </c>
      <c r="D2085" s="4" t="s">
        <v>2377</v>
      </c>
    </row>
    <row r="2086">
      <c r="A2086" s="3">
        <v>2017.0</v>
      </c>
      <c r="B2086" s="4" t="s">
        <v>2590</v>
      </c>
      <c r="C2086" s="15">
        <v>0.0</v>
      </c>
      <c r="D2086" s="4" t="s">
        <v>3</v>
      </c>
    </row>
    <row r="2087">
      <c r="A2087" s="3">
        <v>2017.0</v>
      </c>
      <c r="B2087" s="4" t="s">
        <v>806</v>
      </c>
      <c r="C2087" s="15">
        <v>1000.0</v>
      </c>
      <c r="D2087" s="4" t="s">
        <v>6</v>
      </c>
    </row>
    <row r="2088">
      <c r="A2088" s="3">
        <v>2017.0</v>
      </c>
      <c r="B2088" s="4" t="s">
        <v>807</v>
      </c>
      <c r="C2088" s="15">
        <v>0.0</v>
      </c>
      <c r="D2088" s="4" t="s">
        <v>29</v>
      </c>
    </row>
    <row r="2089">
      <c r="A2089" s="3">
        <v>2017.0</v>
      </c>
      <c r="B2089" s="4" t="s">
        <v>809</v>
      </c>
      <c r="C2089" s="15">
        <v>0.0</v>
      </c>
      <c r="D2089" s="4" t="s">
        <v>29</v>
      </c>
    </row>
    <row r="2090">
      <c r="A2090" s="3">
        <v>2017.0</v>
      </c>
      <c r="B2090" s="4" t="s">
        <v>810</v>
      </c>
      <c r="C2090" s="15">
        <v>0.0</v>
      </c>
      <c r="D2090" s="4" t="s">
        <v>3</v>
      </c>
    </row>
    <row r="2091">
      <c r="A2091" s="3">
        <v>2017.0</v>
      </c>
      <c r="B2091" s="4" t="s">
        <v>2591</v>
      </c>
      <c r="C2091" s="15">
        <v>15800.0</v>
      </c>
      <c r="D2091" s="4"/>
    </row>
    <row r="2092">
      <c r="A2092" s="3">
        <v>2017.0</v>
      </c>
      <c r="B2092" s="4" t="s">
        <v>2592</v>
      </c>
      <c r="C2092" s="15">
        <v>0.0</v>
      </c>
      <c r="D2092" s="4" t="s">
        <v>3</v>
      </c>
    </row>
    <row r="2093">
      <c r="A2093" s="3">
        <v>2017.0</v>
      </c>
      <c r="B2093" s="4" t="s">
        <v>816</v>
      </c>
      <c r="C2093" s="15">
        <v>0.0</v>
      </c>
      <c r="D2093" s="4" t="s">
        <v>3</v>
      </c>
    </row>
    <row r="2094">
      <c r="A2094" s="3">
        <v>2017.0</v>
      </c>
      <c r="B2094" s="4" t="s">
        <v>2593</v>
      </c>
      <c r="C2094" s="15">
        <v>0.0</v>
      </c>
      <c r="D2094" s="4" t="s">
        <v>3</v>
      </c>
    </row>
    <row r="2095">
      <c r="A2095" s="3">
        <v>2017.0</v>
      </c>
      <c r="B2095" s="4" t="s">
        <v>2594</v>
      </c>
      <c r="C2095" s="15">
        <v>0.0</v>
      </c>
      <c r="D2095" s="4" t="s">
        <v>6</v>
      </c>
    </row>
    <row r="2096">
      <c r="A2096" s="3">
        <v>2017.0</v>
      </c>
      <c r="B2096" s="4" t="s">
        <v>817</v>
      </c>
      <c r="C2096" s="15">
        <v>1000.0</v>
      </c>
      <c r="D2096" s="4" t="s">
        <v>3</v>
      </c>
    </row>
    <row r="2097">
      <c r="A2097" s="3">
        <v>2017.0</v>
      </c>
      <c r="B2097" s="4" t="s">
        <v>2207</v>
      </c>
      <c r="C2097" s="15">
        <v>627135.0</v>
      </c>
      <c r="D2097" s="4" t="s">
        <v>2370</v>
      </c>
    </row>
    <row r="2098">
      <c r="A2098" s="3">
        <v>2017.0</v>
      </c>
      <c r="B2098" s="4" t="s">
        <v>824</v>
      </c>
      <c r="C2098" s="15">
        <v>5000.0</v>
      </c>
      <c r="D2098" s="4"/>
    </row>
    <row r="2099">
      <c r="A2099" s="3">
        <v>2017.0</v>
      </c>
      <c r="B2099" s="4" t="s">
        <v>2595</v>
      </c>
      <c r="C2099" s="15">
        <v>0.0</v>
      </c>
      <c r="D2099" s="4" t="s">
        <v>3</v>
      </c>
    </row>
    <row r="2100">
      <c r="A2100" s="3">
        <v>2017.0</v>
      </c>
      <c r="B2100" s="4" t="s">
        <v>830</v>
      </c>
      <c r="C2100" s="15">
        <v>0.0</v>
      </c>
      <c r="D2100" s="4" t="s">
        <v>3</v>
      </c>
    </row>
    <row r="2101">
      <c r="A2101" s="3">
        <v>2017.0</v>
      </c>
      <c r="B2101" s="4" t="s">
        <v>831</v>
      </c>
      <c r="C2101" s="15">
        <v>0.0</v>
      </c>
      <c r="D2101" s="4" t="s">
        <v>3</v>
      </c>
    </row>
    <row r="2102">
      <c r="A2102" s="3">
        <v>2017.0</v>
      </c>
      <c r="B2102" s="4" t="s">
        <v>833</v>
      </c>
      <c r="C2102" s="15">
        <v>0.0</v>
      </c>
      <c r="D2102" s="4" t="s">
        <v>3</v>
      </c>
    </row>
    <row r="2103">
      <c r="A2103" s="3">
        <v>2017.0</v>
      </c>
      <c r="B2103" s="4" t="s">
        <v>2596</v>
      </c>
      <c r="C2103" s="15">
        <v>0.0</v>
      </c>
      <c r="D2103" s="4" t="s">
        <v>3</v>
      </c>
    </row>
    <row r="2104">
      <c r="A2104" s="3">
        <v>2017.0</v>
      </c>
      <c r="B2104" s="4" t="s">
        <v>2597</v>
      </c>
      <c r="C2104" s="15">
        <v>0.0</v>
      </c>
      <c r="D2104" s="4" t="s">
        <v>3</v>
      </c>
    </row>
    <row r="2105">
      <c r="A2105" s="3">
        <v>2017.0</v>
      </c>
      <c r="B2105" s="4" t="s">
        <v>834</v>
      </c>
      <c r="C2105" s="15">
        <v>28000.0</v>
      </c>
      <c r="D2105" s="4"/>
    </row>
    <row r="2106">
      <c r="A2106" s="3">
        <v>2017.0</v>
      </c>
      <c r="B2106" s="4" t="s">
        <v>2598</v>
      </c>
      <c r="C2106" s="15">
        <v>0.0</v>
      </c>
      <c r="D2106" s="4" t="s">
        <v>3</v>
      </c>
    </row>
    <row r="2107">
      <c r="A2107" s="3">
        <v>2017.0</v>
      </c>
      <c r="B2107" s="4" t="s">
        <v>839</v>
      </c>
      <c r="C2107" s="15">
        <v>0.0</v>
      </c>
      <c r="D2107" s="4" t="s">
        <v>6</v>
      </c>
    </row>
    <row r="2108">
      <c r="A2108" s="3">
        <v>2017.0</v>
      </c>
      <c r="B2108" s="4" t="s">
        <v>2212</v>
      </c>
      <c r="C2108" s="15">
        <v>0.0</v>
      </c>
      <c r="D2108" s="4" t="s">
        <v>3</v>
      </c>
    </row>
    <row r="2109">
      <c r="A2109" s="3">
        <v>2017.0</v>
      </c>
      <c r="B2109" s="4" t="s">
        <v>2599</v>
      </c>
      <c r="C2109" s="15">
        <v>2000.0</v>
      </c>
      <c r="D2109" s="4" t="s">
        <v>3</v>
      </c>
    </row>
    <row r="2110">
      <c r="A2110" s="3">
        <v>2017.0</v>
      </c>
      <c r="B2110" s="4" t="s">
        <v>2600</v>
      </c>
      <c r="C2110" s="15">
        <v>0.0</v>
      </c>
      <c r="D2110" s="4" t="s">
        <v>2377</v>
      </c>
    </row>
    <row r="2111">
      <c r="A2111" s="3">
        <v>2017.0</v>
      </c>
      <c r="B2111" s="4" t="s">
        <v>2601</v>
      </c>
      <c r="C2111" s="15">
        <v>2000.0</v>
      </c>
      <c r="D2111" s="4"/>
    </row>
    <row r="2112">
      <c r="A2112" s="3">
        <v>2017.0</v>
      </c>
      <c r="B2112" s="4" t="s">
        <v>2602</v>
      </c>
      <c r="C2112" s="15">
        <v>0.0</v>
      </c>
      <c r="D2112" s="4" t="s">
        <v>3</v>
      </c>
    </row>
    <row r="2113">
      <c r="A2113" s="3">
        <v>2017.0</v>
      </c>
      <c r="B2113" s="4" t="s">
        <v>843</v>
      </c>
      <c r="C2113" s="15">
        <v>3100.0</v>
      </c>
      <c r="D2113" s="4" t="s">
        <v>2377</v>
      </c>
    </row>
    <row r="2114">
      <c r="A2114" s="3">
        <v>2017.0</v>
      </c>
      <c r="B2114" s="4" t="s">
        <v>2603</v>
      </c>
      <c r="C2114" s="15">
        <v>0.0</v>
      </c>
      <c r="D2114" s="4" t="s">
        <v>3</v>
      </c>
    </row>
    <row r="2115">
      <c r="A2115" s="3">
        <v>2017.0</v>
      </c>
      <c r="B2115" s="4" t="s">
        <v>845</v>
      </c>
      <c r="C2115" s="15">
        <v>8000.0</v>
      </c>
      <c r="D2115" s="4" t="s">
        <v>3</v>
      </c>
    </row>
    <row r="2116">
      <c r="A2116" s="3">
        <v>2017.0</v>
      </c>
      <c r="B2116" s="4" t="s">
        <v>2604</v>
      </c>
      <c r="C2116" s="15">
        <v>2500.0</v>
      </c>
      <c r="D2116" s="4"/>
    </row>
    <row r="2117">
      <c r="A2117" s="3">
        <v>2017.0</v>
      </c>
      <c r="B2117" s="4" t="s">
        <v>847</v>
      </c>
      <c r="C2117" s="15">
        <v>1500.0</v>
      </c>
      <c r="D2117" s="4"/>
    </row>
    <row r="2118">
      <c r="A2118" s="3">
        <v>2017.0</v>
      </c>
      <c r="B2118" s="4" t="s">
        <v>849</v>
      </c>
      <c r="C2118" s="15">
        <v>0.0</v>
      </c>
      <c r="D2118" s="4" t="s">
        <v>3</v>
      </c>
    </row>
    <row r="2119">
      <c r="A2119" s="3">
        <v>2017.0</v>
      </c>
      <c r="B2119" s="4" t="s">
        <v>2605</v>
      </c>
      <c r="C2119" s="15">
        <v>800.0</v>
      </c>
      <c r="D2119" s="4" t="s">
        <v>6</v>
      </c>
    </row>
    <row r="2120">
      <c r="A2120" s="3">
        <v>2017.0</v>
      </c>
      <c r="B2120" s="4" t="s">
        <v>850</v>
      </c>
      <c r="C2120" s="15">
        <v>0.0</v>
      </c>
      <c r="D2120" s="4" t="s">
        <v>3</v>
      </c>
    </row>
    <row r="2121">
      <c r="A2121" s="3">
        <v>2017.0</v>
      </c>
      <c r="B2121" s="4" t="s">
        <v>851</v>
      </c>
      <c r="C2121" s="15">
        <v>1000.0</v>
      </c>
      <c r="D2121" s="4"/>
    </row>
    <row r="2122">
      <c r="A2122" s="3">
        <v>2017.0</v>
      </c>
      <c r="B2122" s="4" t="s">
        <v>2606</v>
      </c>
      <c r="C2122" s="15">
        <v>0.0</v>
      </c>
      <c r="D2122" s="4" t="s">
        <v>3</v>
      </c>
    </row>
    <row r="2123">
      <c r="A2123" s="3">
        <v>2017.0</v>
      </c>
      <c r="B2123" s="4" t="s">
        <v>2607</v>
      </c>
      <c r="C2123" s="15">
        <v>0.0</v>
      </c>
      <c r="D2123" s="4" t="s">
        <v>6</v>
      </c>
    </row>
    <row r="2124">
      <c r="A2124" s="3">
        <v>2017.0</v>
      </c>
      <c r="B2124" s="4" t="s">
        <v>854</v>
      </c>
      <c r="C2124" s="15">
        <v>0.0</v>
      </c>
      <c r="D2124" s="4" t="s">
        <v>3</v>
      </c>
    </row>
    <row r="2125">
      <c r="A2125" s="3">
        <v>2017.0</v>
      </c>
      <c r="B2125" s="4" t="s">
        <v>2214</v>
      </c>
      <c r="C2125" s="15">
        <v>3700.0</v>
      </c>
      <c r="D2125" s="4" t="s">
        <v>2370</v>
      </c>
    </row>
    <row r="2126">
      <c r="A2126" s="3">
        <v>2017.0</v>
      </c>
      <c r="B2126" s="4" t="s">
        <v>2216</v>
      </c>
      <c r="C2126" s="15">
        <v>1000.0</v>
      </c>
      <c r="D2126" s="4"/>
    </row>
    <row r="2127">
      <c r="A2127" s="3">
        <v>2017.0</v>
      </c>
      <c r="B2127" s="4" t="s">
        <v>2608</v>
      </c>
      <c r="C2127" s="15">
        <v>0.0</v>
      </c>
      <c r="D2127" s="4" t="s">
        <v>3</v>
      </c>
    </row>
    <row r="2128">
      <c r="A2128" s="3">
        <v>2017.0</v>
      </c>
      <c r="B2128" s="4" t="s">
        <v>2609</v>
      </c>
      <c r="C2128" s="15">
        <v>0.0</v>
      </c>
      <c r="D2128" s="4" t="s">
        <v>6</v>
      </c>
    </row>
    <row r="2129">
      <c r="A2129" s="3">
        <v>2017.0</v>
      </c>
      <c r="B2129" s="4" t="s">
        <v>2610</v>
      </c>
      <c r="C2129" s="15">
        <v>0.0</v>
      </c>
      <c r="D2129" s="4" t="s">
        <v>29</v>
      </c>
    </row>
    <row r="2130">
      <c r="A2130" s="3">
        <v>2017.0</v>
      </c>
      <c r="B2130" s="4" t="s">
        <v>869</v>
      </c>
      <c r="C2130" s="15">
        <v>1600.0</v>
      </c>
      <c r="D2130" s="4"/>
    </row>
    <row r="2131">
      <c r="A2131" s="3">
        <v>2017.0</v>
      </c>
      <c r="B2131" s="4" t="s">
        <v>2220</v>
      </c>
      <c r="C2131" s="15">
        <v>500.0</v>
      </c>
      <c r="D2131" s="4"/>
    </row>
    <row r="2132">
      <c r="A2132" s="3">
        <v>2017.0</v>
      </c>
      <c r="B2132" s="4" t="s">
        <v>873</v>
      </c>
      <c r="C2132" s="15">
        <v>0.0</v>
      </c>
      <c r="D2132" s="4" t="s">
        <v>2368</v>
      </c>
    </row>
    <row r="2133">
      <c r="A2133" s="3">
        <v>2017.0</v>
      </c>
      <c r="B2133" s="4" t="s">
        <v>874</v>
      </c>
      <c r="C2133" s="15">
        <v>0.0</v>
      </c>
      <c r="D2133" s="4" t="s">
        <v>3</v>
      </c>
    </row>
    <row r="2134">
      <c r="A2134" s="3">
        <v>2017.0</v>
      </c>
      <c r="B2134" s="4" t="s">
        <v>2611</v>
      </c>
      <c r="C2134" s="15">
        <v>0.0</v>
      </c>
      <c r="D2134" s="4" t="s">
        <v>2377</v>
      </c>
    </row>
    <row r="2135">
      <c r="A2135" s="3">
        <v>2017.0</v>
      </c>
      <c r="B2135" s="4" t="s">
        <v>2612</v>
      </c>
      <c r="C2135" s="15">
        <v>500.0</v>
      </c>
      <c r="D2135" s="4" t="s">
        <v>3</v>
      </c>
    </row>
    <row r="2136">
      <c r="A2136" s="3">
        <v>2017.0</v>
      </c>
      <c r="B2136" s="4" t="s">
        <v>2222</v>
      </c>
      <c r="C2136" s="15">
        <v>0.0</v>
      </c>
      <c r="D2136" s="4" t="s">
        <v>29</v>
      </c>
    </row>
    <row r="2137">
      <c r="A2137" s="3">
        <v>2017.0</v>
      </c>
      <c r="B2137" s="4" t="s">
        <v>2613</v>
      </c>
      <c r="C2137" s="15">
        <v>0.0</v>
      </c>
      <c r="D2137" s="4" t="s">
        <v>2377</v>
      </c>
    </row>
    <row r="2138">
      <c r="A2138" s="3">
        <v>2017.0</v>
      </c>
      <c r="B2138" s="4" t="s">
        <v>2614</v>
      </c>
      <c r="C2138" s="15">
        <v>0.0</v>
      </c>
      <c r="D2138" s="4" t="s">
        <v>3</v>
      </c>
    </row>
    <row r="2139">
      <c r="A2139" s="3">
        <v>2017.0</v>
      </c>
      <c r="B2139" s="4" t="s">
        <v>882</v>
      </c>
      <c r="C2139" s="15">
        <v>0.0</v>
      </c>
      <c r="D2139" s="4" t="s">
        <v>6</v>
      </c>
    </row>
    <row r="2140">
      <c r="A2140" s="3">
        <v>2017.0</v>
      </c>
      <c r="B2140" s="4" t="s">
        <v>2615</v>
      </c>
      <c r="C2140" s="15">
        <v>0.0</v>
      </c>
      <c r="D2140" s="4" t="s">
        <v>3</v>
      </c>
    </row>
    <row r="2141">
      <c r="A2141" s="3">
        <v>2017.0</v>
      </c>
      <c r="B2141" s="4" t="s">
        <v>2224</v>
      </c>
      <c r="C2141" s="15">
        <v>0.0</v>
      </c>
      <c r="D2141" s="4" t="s">
        <v>29</v>
      </c>
    </row>
    <row r="2142">
      <c r="A2142" s="3">
        <v>2017.0</v>
      </c>
      <c r="B2142" s="4" t="s">
        <v>2616</v>
      </c>
      <c r="C2142" s="15">
        <v>750.0</v>
      </c>
      <c r="D2142" s="4"/>
    </row>
    <row r="2143">
      <c r="A2143" s="3">
        <v>2017.0</v>
      </c>
      <c r="B2143" s="4" t="s">
        <v>885</v>
      </c>
      <c r="C2143" s="15">
        <v>0.0</v>
      </c>
      <c r="D2143" s="4" t="s">
        <v>3</v>
      </c>
    </row>
    <row r="2144">
      <c r="A2144" s="3">
        <v>2017.0</v>
      </c>
      <c r="B2144" s="4" t="s">
        <v>2617</v>
      </c>
      <c r="C2144" s="15">
        <v>1650.0</v>
      </c>
      <c r="D2144" s="4"/>
    </row>
    <row r="2145">
      <c r="A2145" s="3">
        <v>2017.0</v>
      </c>
      <c r="B2145" s="4" t="s">
        <v>886</v>
      </c>
      <c r="C2145" s="15">
        <v>0.0</v>
      </c>
      <c r="D2145" s="4" t="s">
        <v>2377</v>
      </c>
    </row>
    <row r="2146">
      <c r="A2146" s="3">
        <v>2017.0</v>
      </c>
      <c r="B2146" s="4" t="s">
        <v>2225</v>
      </c>
      <c r="C2146" s="15">
        <v>500.0</v>
      </c>
      <c r="D2146" s="4"/>
    </row>
    <row r="2147">
      <c r="A2147" s="3">
        <v>2017.0</v>
      </c>
      <c r="B2147" s="4" t="s">
        <v>2618</v>
      </c>
      <c r="C2147" s="15">
        <v>9200.0</v>
      </c>
      <c r="D2147" s="4" t="s">
        <v>2377</v>
      </c>
    </row>
    <row r="2148">
      <c r="A2148" s="3">
        <v>2017.0</v>
      </c>
      <c r="B2148" s="4" t="s">
        <v>2619</v>
      </c>
      <c r="C2148" s="15">
        <v>41400.0</v>
      </c>
      <c r="D2148" s="4" t="s">
        <v>2370</v>
      </c>
    </row>
    <row r="2149">
      <c r="A2149" s="3">
        <v>2017.0</v>
      </c>
      <c r="B2149" s="4" t="s">
        <v>2226</v>
      </c>
      <c r="C2149" s="15">
        <v>1000.0</v>
      </c>
      <c r="D2149" s="4" t="s">
        <v>2377</v>
      </c>
    </row>
    <row r="2150">
      <c r="A2150" s="3">
        <v>2017.0</v>
      </c>
      <c r="B2150" s="4" t="s">
        <v>2620</v>
      </c>
      <c r="C2150" s="15">
        <v>0.0</v>
      </c>
      <c r="D2150" s="4" t="s">
        <v>3</v>
      </c>
    </row>
    <row r="2151">
      <c r="A2151" s="3">
        <v>2017.0</v>
      </c>
      <c r="B2151" s="4" t="s">
        <v>894</v>
      </c>
      <c r="C2151" s="15">
        <v>0.0</v>
      </c>
      <c r="D2151" s="4" t="s">
        <v>6</v>
      </c>
    </row>
    <row r="2152">
      <c r="A2152" s="3">
        <v>2017.0</v>
      </c>
      <c r="B2152" s="4" t="s">
        <v>895</v>
      </c>
      <c r="C2152" s="15">
        <v>0.0</v>
      </c>
      <c r="D2152" s="4" t="s">
        <v>3</v>
      </c>
    </row>
    <row r="2153">
      <c r="A2153" s="3">
        <v>2017.0</v>
      </c>
      <c r="B2153" s="4" t="s">
        <v>896</v>
      </c>
      <c r="C2153" s="15">
        <v>0.0</v>
      </c>
      <c r="D2153" s="4" t="s">
        <v>3</v>
      </c>
    </row>
    <row r="2154">
      <c r="A2154" s="3">
        <v>2017.0</v>
      </c>
      <c r="B2154" s="4" t="s">
        <v>2621</v>
      </c>
      <c r="C2154" s="15">
        <v>0.0</v>
      </c>
      <c r="D2154" s="4" t="s">
        <v>6</v>
      </c>
    </row>
    <row r="2155">
      <c r="A2155" s="3">
        <v>2017.0</v>
      </c>
      <c r="B2155" s="4" t="s">
        <v>899</v>
      </c>
      <c r="C2155" s="15">
        <v>0.0</v>
      </c>
      <c r="D2155" s="4" t="s">
        <v>3</v>
      </c>
    </row>
    <row r="2156">
      <c r="A2156" s="3">
        <v>2017.0</v>
      </c>
      <c r="B2156" s="4" t="s">
        <v>900</v>
      </c>
      <c r="C2156" s="15">
        <v>2000.0</v>
      </c>
      <c r="D2156" s="4"/>
    </row>
    <row r="2157">
      <c r="A2157" s="3">
        <v>2017.0</v>
      </c>
      <c r="B2157" s="4" t="s">
        <v>2622</v>
      </c>
      <c r="C2157" s="15">
        <v>0.0</v>
      </c>
      <c r="D2157" s="4" t="s">
        <v>3</v>
      </c>
    </row>
    <row r="2158">
      <c r="A2158" s="3">
        <v>2017.0</v>
      </c>
      <c r="B2158" s="4" t="s">
        <v>2623</v>
      </c>
      <c r="C2158" s="15">
        <v>0.0</v>
      </c>
      <c r="D2158" s="4" t="s">
        <v>3</v>
      </c>
    </row>
    <row r="2159">
      <c r="A2159" s="3">
        <v>2017.0</v>
      </c>
      <c r="B2159" s="4" t="s">
        <v>904</v>
      </c>
      <c r="C2159" s="15">
        <v>2085.0</v>
      </c>
      <c r="D2159" s="4"/>
    </row>
    <row r="2160">
      <c r="A2160" s="3">
        <v>2017.0</v>
      </c>
      <c r="B2160" s="4" t="s">
        <v>906</v>
      </c>
      <c r="C2160" s="15">
        <v>0.0</v>
      </c>
      <c r="D2160" s="4"/>
    </row>
    <row r="2161">
      <c r="A2161" s="3">
        <v>2017.0</v>
      </c>
      <c r="B2161" s="4" t="s">
        <v>911</v>
      </c>
      <c r="C2161" s="15">
        <v>0.0</v>
      </c>
      <c r="D2161" s="4" t="s">
        <v>3</v>
      </c>
    </row>
    <row r="2162">
      <c r="A2162" s="3">
        <v>2017.0</v>
      </c>
      <c r="B2162" s="4" t="s">
        <v>2624</v>
      </c>
      <c r="C2162" s="15">
        <v>980.0</v>
      </c>
      <c r="D2162" s="4" t="s">
        <v>6</v>
      </c>
    </row>
    <row r="2163">
      <c r="A2163" s="3">
        <v>2017.0</v>
      </c>
      <c r="B2163" s="4" t="s">
        <v>912</v>
      </c>
      <c r="C2163" s="15">
        <v>0.0</v>
      </c>
      <c r="D2163" s="4" t="s">
        <v>3</v>
      </c>
    </row>
    <row r="2164">
      <c r="A2164" s="3">
        <v>2017.0</v>
      </c>
      <c r="B2164" s="4" t="s">
        <v>2625</v>
      </c>
      <c r="C2164" s="15">
        <v>0.0</v>
      </c>
      <c r="D2164" s="4" t="s">
        <v>3</v>
      </c>
    </row>
    <row r="2165">
      <c r="A2165" s="3">
        <v>2017.0</v>
      </c>
      <c r="B2165" s="4" t="s">
        <v>2626</v>
      </c>
      <c r="C2165" s="15">
        <v>10000.0</v>
      </c>
      <c r="D2165" s="4"/>
    </row>
    <row r="2166">
      <c r="A2166" s="3">
        <v>2017.0</v>
      </c>
      <c r="B2166" s="4" t="s">
        <v>2627</v>
      </c>
      <c r="C2166" s="15">
        <v>0.0</v>
      </c>
      <c r="D2166" s="4" t="s">
        <v>3</v>
      </c>
    </row>
    <row r="2167">
      <c r="A2167" s="3">
        <v>2017.0</v>
      </c>
      <c r="B2167" s="4" t="s">
        <v>913</v>
      </c>
      <c r="C2167" s="15">
        <v>3000.0</v>
      </c>
      <c r="D2167" s="4"/>
    </row>
    <row r="2168">
      <c r="A2168" s="3">
        <v>2017.0</v>
      </c>
      <c r="B2168" s="4" t="s">
        <v>2628</v>
      </c>
      <c r="C2168" s="15">
        <v>0.0</v>
      </c>
      <c r="D2168" s="4" t="s">
        <v>3</v>
      </c>
    </row>
    <row r="2169">
      <c r="A2169" s="3">
        <v>2017.0</v>
      </c>
      <c r="B2169" s="4" t="s">
        <v>914</v>
      </c>
      <c r="C2169" s="15">
        <v>2000.0</v>
      </c>
      <c r="D2169" s="4" t="s">
        <v>2377</v>
      </c>
    </row>
    <row r="2170">
      <c r="A2170" s="3">
        <v>2017.0</v>
      </c>
      <c r="B2170" s="4" t="s">
        <v>916</v>
      </c>
      <c r="C2170" s="15">
        <v>35000.0</v>
      </c>
      <c r="D2170" s="4" t="s">
        <v>176</v>
      </c>
    </row>
    <row r="2171">
      <c r="A2171" s="3">
        <v>2017.0</v>
      </c>
      <c r="B2171" s="4" t="s">
        <v>918</v>
      </c>
      <c r="C2171" s="15">
        <v>2000.0</v>
      </c>
      <c r="D2171" s="4" t="s">
        <v>3</v>
      </c>
    </row>
    <row r="2172">
      <c r="A2172" s="3">
        <v>2017.0</v>
      </c>
      <c r="B2172" s="4" t="s">
        <v>2629</v>
      </c>
      <c r="C2172" s="15">
        <v>0.0</v>
      </c>
      <c r="D2172" s="4" t="s">
        <v>6</v>
      </c>
    </row>
    <row r="2173">
      <c r="A2173" s="3">
        <v>2017.0</v>
      </c>
      <c r="B2173" s="4" t="s">
        <v>2630</v>
      </c>
      <c r="C2173" s="15">
        <v>0.0</v>
      </c>
      <c r="D2173" s="4" t="s">
        <v>3</v>
      </c>
    </row>
    <row r="2174">
      <c r="A2174" s="3">
        <v>2017.0</v>
      </c>
      <c r="B2174" s="4" t="s">
        <v>920</v>
      </c>
      <c r="C2174" s="15">
        <v>0.0</v>
      </c>
      <c r="D2174" s="4" t="s">
        <v>3</v>
      </c>
    </row>
    <row r="2175">
      <c r="A2175" s="3">
        <v>2017.0</v>
      </c>
      <c r="B2175" s="4" t="s">
        <v>2631</v>
      </c>
      <c r="C2175" s="15">
        <v>0.0</v>
      </c>
      <c r="D2175" s="4" t="s">
        <v>3</v>
      </c>
    </row>
    <row r="2176">
      <c r="A2176" s="3">
        <v>2017.0</v>
      </c>
      <c r="B2176" s="4" t="s">
        <v>2632</v>
      </c>
      <c r="C2176" s="15">
        <v>42000.0</v>
      </c>
      <c r="D2176" s="4" t="s">
        <v>2377</v>
      </c>
    </row>
    <row r="2177">
      <c r="A2177" s="3">
        <v>2017.0</v>
      </c>
      <c r="B2177" s="4" t="s">
        <v>924</v>
      </c>
      <c r="C2177" s="15">
        <v>0.0</v>
      </c>
      <c r="D2177" s="4" t="s">
        <v>3</v>
      </c>
    </row>
    <row r="2178">
      <c r="A2178" s="3">
        <v>2017.0</v>
      </c>
      <c r="B2178" s="4" t="s">
        <v>925</v>
      </c>
      <c r="C2178" s="15">
        <v>3000.0</v>
      </c>
      <c r="D2178" s="4"/>
    </row>
    <row r="2179">
      <c r="A2179" s="3">
        <v>2017.0</v>
      </c>
      <c r="B2179" s="4" t="s">
        <v>2633</v>
      </c>
      <c r="C2179" s="15">
        <v>0.0</v>
      </c>
      <c r="D2179" s="4" t="s">
        <v>3</v>
      </c>
    </row>
    <row r="2180">
      <c r="A2180" s="3">
        <v>2017.0</v>
      </c>
      <c r="B2180" s="4" t="s">
        <v>928</v>
      </c>
      <c r="C2180" s="15">
        <v>0.0</v>
      </c>
      <c r="D2180" s="4" t="s">
        <v>2377</v>
      </c>
    </row>
    <row r="2181">
      <c r="A2181" s="3">
        <v>2017.0</v>
      </c>
      <c r="B2181" s="4" t="s">
        <v>2634</v>
      </c>
      <c r="C2181" s="15">
        <v>1000.0</v>
      </c>
      <c r="D2181" s="4"/>
    </row>
    <row r="2182">
      <c r="A2182" s="3">
        <v>2017.0</v>
      </c>
      <c r="B2182" s="4" t="s">
        <v>929</v>
      </c>
      <c r="C2182" s="15">
        <v>11000.0</v>
      </c>
      <c r="D2182" s="4"/>
    </row>
    <row r="2183">
      <c r="A2183" s="3">
        <v>2017.0</v>
      </c>
      <c r="B2183" s="4" t="s">
        <v>931</v>
      </c>
      <c r="C2183" s="15">
        <v>10500.0</v>
      </c>
      <c r="D2183" s="4" t="s">
        <v>3</v>
      </c>
    </row>
    <row r="2184">
      <c r="A2184" s="3">
        <v>2017.0</v>
      </c>
      <c r="B2184" s="4" t="s">
        <v>933</v>
      </c>
      <c r="C2184" s="15">
        <v>3500.0</v>
      </c>
      <c r="D2184" s="4"/>
    </row>
    <row r="2185">
      <c r="A2185" s="3">
        <v>2017.0</v>
      </c>
      <c r="B2185" s="4" t="s">
        <v>935</v>
      </c>
      <c r="C2185" s="15">
        <v>13000.0</v>
      </c>
      <c r="D2185" s="4"/>
    </row>
    <row r="2186">
      <c r="A2186" s="3">
        <v>2017.0</v>
      </c>
      <c r="B2186" s="4" t="s">
        <v>2635</v>
      </c>
      <c r="C2186" s="15">
        <v>17500.0</v>
      </c>
      <c r="D2186" s="4" t="s">
        <v>3</v>
      </c>
    </row>
    <row r="2187">
      <c r="A2187" s="3">
        <v>2017.0</v>
      </c>
      <c r="B2187" s="4" t="s">
        <v>939</v>
      </c>
      <c r="C2187" s="15">
        <v>13000.0</v>
      </c>
      <c r="D2187" s="4"/>
    </row>
    <row r="2188">
      <c r="A2188" s="3">
        <v>2017.0</v>
      </c>
      <c r="B2188" s="4" t="s">
        <v>2636</v>
      </c>
      <c r="C2188" s="15">
        <v>2100.0</v>
      </c>
      <c r="D2188" s="4"/>
    </row>
    <row r="2189">
      <c r="A2189" s="3">
        <v>2017.0</v>
      </c>
      <c r="B2189" s="4" t="s">
        <v>943</v>
      </c>
      <c r="C2189" s="15">
        <v>0.0</v>
      </c>
      <c r="D2189" s="4" t="s">
        <v>3</v>
      </c>
    </row>
    <row r="2190">
      <c r="A2190" s="3">
        <v>2017.0</v>
      </c>
      <c r="B2190" s="4" t="s">
        <v>944</v>
      </c>
      <c r="C2190" s="15">
        <v>0.0</v>
      </c>
      <c r="D2190" s="4" t="s">
        <v>3</v>
      </c>
    </row>
    <row r="2191">
      <c r="A2191" s="3">
        <v>2017.0</v>
      </c>
      <c r="B2191" s="4" t="s">
        <v>2637</v>
      </c>
      <c r="C2191" s="15">
        <v>1500.0</v>
      </c>
      <c r="D2191" s="4"/>
    </row>
    <row r="2192">
      <c r="A2192" s="3">
        <v>2017.0</v>
      </c>
      <c r="B2192" s="4" t="s">
        <v>2638</v>
      </c>
      <c r="C2192" s="15">
        <v>10000.0</v>
      </c>
      <c r="D2192" s="4"/>
    </row>
    <row r="2193">
      <c r="A2193" s="3">
        <v>2017.0</v>
      </c>
      <c r="B2193" s="4" t="s">
        <v>945</v>
      </c>
      <c r="C2193" s="15">
        <v>30000.0</v>
      </c>
      <c r="D2193" s="4" t="s">
        <v>668</v>
      </c>
    </row>
    <row r="2194">
      <c r="A2194" s="3">
        <v>2017.0</v>
      </c>
      <c r="B2194" s="4" t="s">
        <v>2639</v>
      </c>
      <c r="C2194" s="15">
        <v>2500.0</v>
      </c>
      <c r="D2194" s="4"/>
    </row>
    <row r="2195">
      <c r="A2195" s="3">
        <v>2017.0</v>
      </c>
      <c r="B2195" s="4" t="s">
        <v>2231</v>
      </c>
      <c r="C2195" s="15">
        <v>18000.0</v>
      </c>
      <c r="D2195" s="4"/>
    </row>
    <row r="2196">
      <c r="A2196" s="3">
        <v>2017.0</v>
      </c>
      <c r="B2196" s="4" t="s">
        <v>2640</v>
      </c>
      <c r="C2196" s="15">
        <v>0.0</v>
      </c>
      <c r="D2196" s="4" t="s">
        <v>668</v>
      </c>
    </row>
    <row r="2197">
      <c r="A2197" s="3">
        <v>2017.0</v>
      </c>
      <c r="B2197" s="4" t="s">
        <v>2641</v>
      </c>
      <c r="C2197" s="15">
        <v>0.0</v>
      </c>
      <c r="D2197" s="4" t="s">
        <v>3</v>
      </c>
    </row>
    <row r="2198">
      <c r="A2198" s="3">
        <v>2017.0</v>
      </c>
      <c r="B2198" s="4" t="s">
        <v>2233</v>
      </c>
      <c r="C2198" s="15">
        <v>250.0</v>
      </c>
      <c r="D2198" s="4" t="s">
        <v>3</v>
      </c>
    </row>
    <row r="2199">
      <c r="A2199" s="3">
        <v>2017.0</v>
      </c>
      <c r="B2199" s="4" t="s">
        <v>954</v>
      </c>
      <c r="C2199" s="15">
        <v>1400.0</v>
      </c>
      <c r="D2199" s="4"/>
    </row>
    <row r="2200">
      <c r="A2200" s="3">
        <v>2017.0</v>
      </c>
      <c r="B2200" s="4" t="s">
        <v>956</v>
      </c>
      <c r="C2200" s="15">
        <v>6000.0</v>
      </c>
      <c r="D2200" s="4"/>
    </row>
    <row r="2201">
      <c r="A2201" s="3">
        <v>2017.0</v>
      </c>
      <c r="B2201" s="4" t="s">
        <v>2642</v>
      </c>
      <c r="C2201" s="15">
        <v>0.0</v>
      </c>
      <c r="D2201" s="4" t="s">
        <v>6</v>
      </c>
    </row>
    <row r="2202">
      <c r="A2202" s="3">
        <v>2017.0</v>
      </c>
      <c r="B2202" s="4" t="s">
        <v>959</v>
      </c>
      <c r="C2202" s="15">
        <v>3000.0</v>
      </c>
      <c r="D2202" s="4"/>
    </row>
    <row r="2203">
      <c r="A2203" s="3">
        <v>2017.0</v>
      </c>
      <c r="B2203" s="4" t="s">
        <v>2643</v>
      </c>
      <c r="C2203" s="15">
        <v>1000.0</v>
      </c>
      <c r="D2203" s="4"/>
    </row>
    <row r="2204">
      <c r="A2204" s="3">
        <v>2017.0</v>
      </c>
      <c r="B2204" s="4" t="s">
        <v>963</v>
      </c>
      <c r="C2204" s="15">
        <v>119000.0</v>
      </c>
      <c r="D2204" s="4"/>
    </row>
    <row r="2205">
      <c r="A2205" s="3">
        <v>2017.0</v>
      </c>
      <c r="B2205" s="4" t="s">
        <v>2644</v>
      </c>
      <c r="C2205" s="15">
        <v>0.0</v>
      </c>
      <c r="D2205" s="4" t="s">
        <v>3</v>
      </c>
    </row>
    <row r="2206">
      <c r="A2206" s="3">
        <v>2017.0</v>
      </c>
      <c r="B2206" s="4" t="s">
        <v>964</v>
      </c>
      <c r="C2206" s="15">
        <v>1000.0</v>
      </c>
      <c r="D2206" s="4" t="s">
        <v>2377</v>
      </c>
    </row>
    <row r="2207">
      <c r="A2207" s="3">
        <v>2017.0</v>
      </c>
      <c r="B2207" s="4" t="s">
        <v>965</v>
      </c>
      <c r="C2207" s="15">
        <v>11040.0</v>
      </c>
      <c r="D2207" s="4"/>
    </row>
    <row r="2208">
      <c r="A2208" s="3">
        <v>2017.0</v>
      </c>
      <c r="B2208" s="4" t="s">
        <v>2645</v>
      </c>
      <c r="C2208" s="15">
        <v>0.0</v>
      </c>
      <c r="D2208" s="4" t="s">
        <v>2377</v>
      </c>
    </row>
    <row r="2209">
      <c r="A2209" s="3">
        <v>2017.0</v>
      </c>
      <c r="B2209" s="4" t="s">
        <v>2646</v>
      </c>
      <c r="C2209" s="15">
        <v>0.0</v>
      </c>
      <c r="D2209" s="4" t="s">
        <v>3</v>
      </c>
    </row>
    <row r="2210">
      <c r="A2210" s="3">
        <v>2017.0</v>
      </c>
      <c r="B2210" s="4" t="s">
        <v>968</v>
      </c>
      <c r="C2210" s="15">
        <v>1000.0</v>
      </c>
      <c r="D2210" s="4"/>
    </row>
    <row r="2211">
      <c r="A2211" s="3">
        <v>2017.0</v>
      </c>
      <c r="B2211" s="4" t="s">
        <v>2647</v>
      </c>
      <c r="C2211" s="15">
        <v>0.0</v>
      </c>
      <c r="D2211" s="4" t="s">
        <v>3</v>
      </c>
    </row>
    <row r="2212">
      <c r="A2212" s="3">
        <v>2017.0</v>
      </c>
      <c r="B2212" s="4" t="s">
        <v>973</v>
      </c>
      <c r="C2212" s="15">
        <v>400.0</v>
      </c>
      <c r="D2212" s="4"/>
    </row>
    <row r="2213">
      <c r="A2213" s="3">
        <v>2017.0</v>
      </c>
      <c r="B2213" s="4" t="s">
        <v>2648</v>
      </c>
      <c r="C2213" s="15">
        <v>0.0</v>
      </c>
      <c r="D2213" s="4" t="s">
        <v>6</v>
      </c>
    </row>
    <row r="2214">
      <c r="A2214" s="3">
        <v>2017.0</v>
      </c>
      <c r="B2214" s="4" t="s">
        <v>974</v>
      </c>
      <c r="C2214" s="15">
        <v>0.0</v>
      </c>
      <c r="D2214" s="4" t="s">
        <v>3</v>
      </c>
    </row>
    <row r="2215">
      <c r="A2215" s="3">
        <v>2017.0</v>
      </c>
      <c r="B2215" s="4" t="s">
        <v>2235</v>
      </c>
      <c r="C2215" s="15">
        <v>5500.0</v>
      </c>
      <c r="D2215" s="4"/>
    </row>
    <row r="2216">
      <c r="A2216" s="3">
        <v>2017.0</v>
      </c>
      <c r="B2216" s="4" t="s">
        <v>978</v>
      </c>
      <c r="C2216" s="15">
        <v>0.0</v>
      </c>
      <c r="D2216" s="4" t="s">
        <v>29</v>
      </c>
    </row>
    <row r="2217">
      <c r="A2217" s="3">
        <v>2017.0</v>
      </c>
      <c r="B2217" s="4" t="s">
        <v>979</v>
      </c>
      <c r="C2217" s="15">
        <v>0.0</v>
      </c>
      <c r="D2217" s="4" t="s">
        <v>6</v>
      </c>
    </row>
    <row r="2218">
      <c r="A2218" s="3">
        <v>2017.0</v>
      </c>
      <c r="B2218" s="4" t="s">
        <v>2649</v>
      </c>
      <c r="C2218" s="15">
        <v>750.0</v>
      </c>
      <c r="D2218" s="4" t="s">
        <v>3</v>
      </c>
    </row>
    <row r="2219">
      <c r="A2219" s="3">
        <v>2017.0</v>
      </c>
      <c r="B2219" s="4" t="s">
        <v>981</v>
      </c>
      <c r="C2219" s="15">
        <v>1000.0</v>
      </c>
      <c r="D2219" s="4"/>
    </row>
    <row r="2220">
      <c r="A2220" s="3">
        <v>2017.0</v>
      </c>
      <c r="B2220" s="4" t="s">
        <v>2650</v>
      </c>
      <c r="C2220" s="15">
        <v>400.0</v>
      </c>
      <c r="D2220" s="4"/>
    </row>
    <row r="2221">
      <c r="A2221" s="3">
        <v>2017.0</v>
      </c>
      <c r="B2221" s="4" t="s">
        <v>2651</v>
      </c>
      <c r="C2221" s="15">
        <v>0.0</v>
      </c>
      <c r="D2221" s="4" t="s">
        <v>6</v>
      </c>
    </row>
    <row r="2222">
      <c r="A2222" s="3">
        <v>2017.0</v>
      </c>
      <c r="B2222" s="4" t="s">
        <v>983</v>
      </c>
      <c r="C2222" s="15">
        <v>0.0</v>
      </c>
      <c r="D2222" s="4" t="s">
        <v>3</v>
      </c>
    </row>
    <row r="2223">
      <c r="A2223" s="3">
        <v>2017.0</v>
      </c>
      <c r="B2223" s="4" t="s">
        <v>984</v>
      </c>
      <c r="C2223" s="15">
        <v>9000.0</v>
      </c>
      <c r="D2223" s="4"/>
    </row>
    <row r="2224">
      <c r="A2224" s="3">
        <v>2017.0</v>
      </c>
      <c r="B2224" s="4" t="s">
        <v>2652</v>
      </c>
      <c r="C2224" s="15">
        <v>1000.0</v>
      </c>
      <c r="D2224" s="4"/>
    </row>
    <row r="2225">
      <c r="A2225" s="3">
        <v>2017.0</v>
      </c>
      <c r="B2225" s="4" t="s">
        <v>2653</v>
      </c>
      <c r="C2225" s="15">
        <v>0.0</v>
      </c>
      <c r="D2225" s="4" t="s">
        <v>3</v>
      </c>
    </row>
    <row r="2226">
      <c r="A2226" s="3">
        <v>2017.0</v>
      </c>
      <c r="B2226" s="4" t="s">
        <v>988</v>
      </c>
      <c r="C2226" s="15">
        <v>7000.0</v>
      </c>
      <c r="D2226" s="4" t="s">
        <v>216</v>
      </c>
    </row>
    <row r="2227">
      <c r="A2227" s="3">
        <v>2017.0</v>
      </c>
      <c r="B2227" s="4" t="s">
        <v>2654</v>
      </c>
      <c r="C2227" s="15">
        <v>0.0</v>
      </c>
      <c r="D2227" s="4" t="s">
        <v>2377</v>
      </c>
    </row>
    <row r="2228">
      <c r="A2228" s="3">
        <v>2017.0</v>
      </c>
      <c r="B2228" s="4" t="s">
        <v>2655</v>
      </c>
      <c r="C2228" s="15">
        <v>5000.0</v>
      </c>
      <c r="D2228" s="4"/>
    </row>
    <row r="2229">
      <c r="A2229" s="3">
        <v>2017.0</v>
      </c>
      <c r="B2229" s="4" t="s">
        <v>991</v>
      </c>
      <c r="C2229" s="15">
        <v>0.0</v>
      </c>
      <c r="D2229" s="4" t="s">
        <v>3</v>
      </c>
    </row>
    <row r="2230">
      <c r="A2230" s="3">
        <v>2017.0</v>
      </c>
      <c r="B2230" s="4" t="s">
        <v>992</v>
      </c>
      <c r="C2230" s="15">
        <v>0.0</v>
      </c>
      <c r="D2230" s="4" t="s">
        <v>6</v>
      </c>
    </row>
    <row r="2231">
      <c r="A2231" s="3">
        <v>2017.0</v>
      </c>
      <c r="B2231" s="4" t="s">
        <v>2656</v>
      </c>
      <c r="C2231" s="15">
        <v>0.0</v>
      </c>
      <c r="D2231" s="4" t="s">
        <v>3</v>
      </c>
    </row>
    <row r="2232">
      <c r="A2232" s="3">
        <v>2017.0</v>
      </c>
      <c r="B2232" s="4" t="s">
        <v>2657</v>
      </c>
      <c r="C2232" s="15">
        <v>0.0</v>
      </c>
      <c r="D2232" s="4" t="s">
        <v>3</v>
      </c>
    </row>
    <row r="2233">
      <c r="A2233" s="3">
        <v>2017.0</v>
      </c>
      <c r="B2233" s="4" t="s">
        <v>994</v>
      </c>
      <c r="C2233" s="15">
        <v>8000.0</v>
      </c>
      <c r="D2233" s="4"/>
    </row>
    <row r="2234">
      <c r="A2234" s="3">
        <v>2017.0</v>
      </c>
      <c r="B2234" s="4" t="s">
        <v>2658</v>
      </c>
      <c r="C2234" s="15">
        <v>0.0</v>
      </c>
      <c r="D2234" s="4" t="s">
        <v>2368</v>
      </c>
    </row>
    <row r="2235">
      <c r="A2235" s="3">
        <v>2017.0</v>
      </c>
      <c r="B2235" s="4" t="s">
        <v>995</v>
      </c>
      <c r="C2235" s="15">
        <v>1000.0</v>
      </c>
      <c r="D2235" s="4" t="s">
        <v>6</v>
      </c>
    </row>
    <row r="2236">
      <c r="A2236" s="3">
        <v>2017.0</v>
      </c>
      <c r="B2236" s="4" t="s">
        <v>999</v>
      </c>
      <c r="C2236" s="15">
        <v>0.0</v>
      </c>
      <c r="D2236" s="4" t="s">
        <v>3</v>
      </c>
    </row>
    <row r="2237">
      <c r="A2237" s="3">
        <v>2017.0</v>
      </c>
      <c r="B2237" s="4" t="s">
        <v>1000</v>
      </c>
      <c r="C2237" s="15">
        <v>30000.0</v>
      </c>
      <c r="D2237" s="4" t="s">
        <v>3</v>
      </c>
    </row>
    <row r="2238">
      <c r="A2238" s="3">
        <v>2017.0</v>
      </c>
      <c r="B2238" s="4" t="s">
        <v>1002</v>
      </c>
      <c r="C2238" s="15">
        <v>9000.0</v>
      </c>
      <c r="D2238" s="4" t="s">
        <v>2377</v>
      </c>
    </row>
    <row r="2239">
      <c r="A2239" s="3">
        <v>2017.0</v>
      </c>
      <c r="B2239" s="4" t="s">
        <v>1003</v>
      </c>
      <c r="C2239" s="15">
        <v>0.0</v>
      </c>
      <c r="D2239" s="4" t="s">
        <v>3</v>
      </c>
    </row>
    <row r="2240">
      <c r="A2240" s="3">
        <v>2017.0</v>
      </c>
      <c r="B2240" s="4" t="s">
        <v>1005</v>
      </c>
      <c r="C2240" s="15">
        <v>0.0</v>
      </c>
      <c r="D2240" s="4" t="s">
        <v>6</v>
      </c>
    </row>
    <row r="2241">
      <c r="A2241" s="3">
        <v>2017.0</v>
      </c>
      <c r="B2241" s="4" t="s">
        <v>1007</v>
      </c>
      <c r="C2241" s="15">
        <v>3000.0</v>
      </c>
      <c r="D2241" s="4"/>
    </row>
    <row r="2242">
      <c r="A2242" s="3">
        <v>2017.0</v>
      </c>
      <c r="B2242" s="4" t="s">
        <v>1008</v>
      </c>
      <c r="C2242" s="15">
        <v>0.0</v>
      </c>
      <c r="D2242" s="4" t="s">
        <v>2508</v>
      </c>
    </row>
    <row r="2243">
      <c r="A2243" s="3">
        <v>2017.0</v>
      </c>
      <c r="B2243" s="4" t="s">
        <v>2659</v>
      </c>
      <c r="C2243" s="15">
        <v>0.0</v>
      </c>
      <c r="D2243" s="4" t="s">
        <v>3</v>
      </c>
    </row>
    <row r="2244">
      <c r="A2244" s="3">
        <v>2017.0</v>
      </c>
      <c r="B2244" s="4" t="s">
        <v>2660</v>
      </c>
      <c r="C2244" s="15">
        <v>0.0</v>
      </c>
      <c r="D2244" s="4" t="s">
        <v>2377</v>
      </c>
    </row>
    <row r="2245">
      <c r="A2245" s="3">
        <v>2017.0</v>
      </c>
      <c r="B2245" s="4" t="s">
        <v>1010</v>
      </c>
      <c r="C2245" s="15">
        <v>0.0</v>
      </c>
      <c r="D2245" s="4" t="s">
        <v>6</v>
      </c>
    </row>
    <row r="2246">
      <c r="A2246" s="3">
        <v>2017.0</v>
      </c>
      <c r="B2246" s="4" t="s">
        <v>1012</v>
      </c>
      <c r="C2246" s="15">
        <v>150.0</v>
      </c>
      <c r="D2246" s="4"/>
    </row>
    <row r="2247">
      <c r="A2247" s="3">
        <v>2017.0</v>
      </c>
      <c r="B2247" s="4" t="s">
        <v>1013</v>
      </c>
      <c r="C2247" s="15">
        <v>6500.0</v>
      </c>
      <c r="D2247" s="4" t="s">
        <v>6</v>
      </c>
    </row>
    <row r="2248">
      <c r="A2248" s="3">
        <v>2017.0</v>
      </c>
      <c r="B2248" s="4" t="s">
        <v>1015</v>
      </c>
      <c r="C2248" s="15">
        <v>0.0</v>
      </c>
      <c r="D2248" s="4" t="s">
        <v>3</v>
      </c>
    </row>
    <row r="2249">
      <c r="A2249" s="3">
        <v>2017.0</v>
      </c>
      <c r="B2249" s="4" t="s">
        <v>1016</v>
      </c>
      <c r="C2249" s="15">
        <v>0.0</v>
      </c>
      <c r="D2249" s="4" t="s">
        <v>6</v>
      </c>
    </row>
    <row r="2250">
      <c r="A2250" s="3">
        <v>2017.0</v>
      </c>
      <c r="B2250" s="4" t="s">
        <v>1017</v>
      </c>
      <c r="C2250" s="15">
        <v>1500.0</v>
      </c>
      <c r="D2250" s="4"/>
    </row>
    <row r="2251">
      <c r="A2251" s="3">
        <v>2017.0</v>
      </c>
      <c r="B2251" s="4" t="s">
        <v>1018</v>
      </c>
      <c r="C2251" s="15">
        <v>0.0</v>
      </c>
      <c r="D2251" s="4" t="s">
        <v>2377</v>
      </c>
    </row>
    <row r="2252">
      <c r="A2252" s="3">
        <v>2017.0</v>
      </c>
      <c r="B2252" s="4" t="s">
        <v>2661</v>
      </c>
      <c r="C2252" s="15">
        <v>0.0</v>
      </c>
      <c r="D2252" s="4" t="s">
        <v>3</v>
      </c>
    </row>
    <row r="2253">
      <c r="A2253" s="3">
        <v>2017.0</v>
      </c>
      <c r="B2253" s="4" t="s">
        <v>2662</v>
      </c>
      <c r="C2253" s="15">
        <v>0.0</v>
      </c>
      <c r="D2253" s="4" t="s">
        <v>3</v>
      </c>
    </row>
    <row r="2254">
      <c r="A2254" s="3">
        <v>2017.0</v>
      </c>
      <c r="B2254" s="4" t="s">
        <v>2663</v>
      </c>
      <c r="C2254" s="15">
        <v>0.0</v>
      </c>
      <c r="D2254" s="4" t="s">
        <v>3</v>
      </c>
    </row>
    <row r="2255">
      <c r="A2255" s="3">
        <v>2017.0</v>
      </c>
      <c r="B2255" s="4" t="s">
        <v>2664</v>
      </c>
      <c r="C2255" s="15">
        <v>0.0</v>
      </c>
      <c r="D2255" s="4" t="s">
        <v>3</v>
      </c>
    </row>
    <row r="2256">
      <c r="A2256" s="3">
        <v>2017.0</v>
      </c>
      <c r="B2256" s="4" t="s">
        <v>1020</v>
      </c>
      <c r="C2256" s="15">
        <v>3882.0</v>
      </c>
      <c r="D2256" s="4"/>
    </row>
    <row r="2257">
      <c r="A2257" s="3">
        <v>2017.0</v>
      </c>
      <c r="B2257" s="4" t="s">
        <v>1023</v>
      </c>
      <c r="C2257" s="15">
        <v>21000.0</v>
      </c>
      <c r="D2257" s="4" t="s">
        <v>2377</v>
      </c>
    </row>
    <row r="2258">
      <c r="A2258" s="3">
        <v>2017.0</v>
      </c>
      <c r="B2258" s="4" t="s">
        <v>2665</v>
      </c>
      <c r="C2258" s="15">
        <v>8000.0</v>
      </c>
      <c r="D2258" s="4"/>
    </row>
    <row r="2259">
      <c r="A2259" s="3">
        <v>2017.0</v>
      </c>
      <c r="B2259" s="4" t="s">
        <v>1025</v>
      </c>
      <c r="C2259" s="15">
        <v>0.0</v>
      </c>
      <c r="D2259" s="4" t="s">
        <v>3</v>
      </c>
    </row>
    <row r="2260">
      <c r="A2260" s="3">
        <v>2017.0</v>
      </c>
      <c r="B2260" s="4" t="s">
        <v>2236</v>
      </c>
      <c r="C2260" s="15">
        <v>43000.0</v>
      </c>
      <c r="D2260" s="4" t="s">
        <v>3</v>
      </c>
    </row>
    <row r="2261">
      <c r="A2261" s="3">
        <v>2017.0</v>
      </c>
      <c r="B2261" s="4" t="s">
        <v>2666</v>
      </c>
      <c r="C2261" s="15">
        <v>0.0</v>
      </c>
      <c r="D2261" s="4" t="s">
        <v>3</v>
      </c>
    </row>
    <row r="2262">
      <c r="A2262" s="3">
        <v>2017.0</v>
      </c>
      <c r="B2262" s="4" t="s">
        <v>2237</v>
      </c>
      <c r="C2262" s="15">
        <v>1551.0</v>
      </c>
      <c r="D2262" s="4" t="s">
        <v>3</v>
      </c>
    </row>
    <row r="2263">
      <c r="A2263" s="3">
        <v>2017.0</v>
      </c>
      <c r="B2263" s="4" t="s">
        <v>1031</v>
      </c>
      <c r="C2263" s="15">
        <v>0.0</v>
      </c>
      <c r="D2263" s="4" t="s">
        <v>3</v>
      </c>
    </row>
    <row r="2264">
      <c r="A2264" s="3">
        <v>2017.0</v>
      </c>
      <c r="B2264" s="4" t="s">
        <v>1033</v>
      </c>
      <c r="C2264" s="15">
        <v>118107.65</v>
      </c>
      <c r="D2264" s="4"/>
    </row>
    <row r="2265">
      <c r="A2265" s="3">
        <v>2017.0</v>
      </c>
      <c r="B2265" s="4" t="s">
        <v>2667</v>
      </c>
      <c r="C2265" s="15">
        <v>0.0</v>
      </c>
      <c r="D2265" s="4" t="s">
        <v>3</v>
      </c>
    </row>
    <row r="2266">
      <c r="A2266" s="3">
        <v>2017.0</v>
      </c>
      <c r="B2266" s="4" t="s">
        <v>1036</v>
      </c>
      <c r="C2266" s="15">
        <v>0.0</v>
      </c>
      <c r="D2266" s="4" t="s">
        <v>3</v>
      </c>
    </row>
    <row r="2267">
      <c r="A2267" s="3">
        <v>2017.0</v>
      </c>
      <c r="B2267" s="4" t="s">
        <v>1037</v>
      </c>
      <c r="C2267" s="15">
        <v>0.0</v>
      </c>
      <c r="D2267" s="4" t="s">
        <v>29</v>
      </c>
    </row>
    <row r="2268">
      <c r="A2268" s="3">
        <v>2017.0</v>
      </c>
      <c r="B2268" s="4" t="s">
        <v>2668</v>
      </c>
      <c r="C2268" s="15">
        <v>10100.0</v>
      </c>
      <c r="D2268" s="4"/>
    </row>
    <row r="2269">
      <c r="A2269" s="3">
        <v>2017.0</v>
      </c>
      <c r="B2269" s="4" t="s">
        <v>2669</v>
      </c>
      <c r="C2269" s="15">
        <v>0.0</v>
      </c>
      <c r="D2269" s="4" t="s">
        <v>3</v>
      </c>
    </row>
    <row r="2270">
      <c r="A2270" s="3">
        <v>2017.0</v>
      </c>
      <c r="B2270" s="4" t="s">
        <v>2670</v>
      </c>
      <c r="C2270" s="15">
        <v>0.0</v>
      </c>
      <c r="D2270" s="4" t="s">
        <v>3</v>
      </c>
    </row>
    <row r="2271">
      <c r="A2271" s="3">
        <v>2017.0</v>
      </c>
      <c r="B2271" s="4" t="s">
        <v>1039</v>
      </c>
      <c r="C2271" s="15">
        <v>8560.0</v>
      </c>
      <c r="D2271" s="4"/>
    </row>
    <row r="2272">
      <c r="A2272" s="3">
        <v>2017.0</v>
      </c>
      <c r="B2272" s="4" t="s">
        <v>2671</v>
      </c>
      <c r="C2272" s="15">
        <v>200.0</v>
      </c>
      <c r="D2272" s="4"/>
    </row>
    <row r="2273">
      <c r="A2273" s="3">
        <v>2017.0</v>
      </c>
      <c r="B2273" s="4" t="s">
        <v>1044</v>
      </c>
      <c r="C2273" s="15">
        <v>113603.0</v>
      </c>
      <c r="D2273" s="4" t="s">
        <v>2368</v>
      </c>
    </row>
    <row r="2274">
      <c r="A2274" s="3">
        <v>2017.0</v>
      </c>
      <c r="B2274" s="4" t="s">
        <v>2672</v>
      </c>
      <c r="C2274" s="15">
        <v>0.0</v>
      </c>
      <c r="D2274" s="4" t="s">
        <v>3</v>
      </c>
    </row>
    <row r="2275">
      <c r="A2275" s="3">
        <v>2017.0</v>
      </c>
      <c r="B2275" s="4" t="s">
        <v>2673</v>
      </c>
      <c r="C2275" s="15">
        <v>3000.0</v>
      </c>
      <c r="D2275" s="4"/>
    </row>
    <row r="2276">
      <c r="A2276" s="3">
        <v>2017.0</v>
      </c>
      <c r="B2276" s="4" t="s">
        <v>2674</v>
      </c>
      <c r="C2276" s="15">
        <v>0.0</v>
      </c>
      <c r="D2276" s="4" t="s">
        <v>3</v>
      </c>
    </row>
    <row r="2277">
      <c r="A2277" s="3">
        <v>2017.0</v>
      </c>
      <c r="B2277" s="4" t="s">
        <v>2675</v>
      </c>
      <c r="C2277" s="15">
        <v>0.0</v>
      </c>
      <c r="D2277" s="4" t="s">
        <v>3</v>
      </c>
    </row>
    <row r="2278">
      <c r="A2278" s="3">
        <v>2017.0</v>
      </c>
      <c r="B2278" s="4" t="s">
        <v>1047</v>
      </c>
      <c r="C2278" s="15">
        <v>4500.0</v>
      </c>
      <c r="D2278" s="4"/>
    </row>
    <row r="2279">
      <c r="A2279" s="3">
        <v>2017.0</v>
      </c>
      <c r="B2279" s="4" t="s">
        <v>2676</v>
      </c>
      <c r="C2279" s="15">
        <v>400.0</v>
      </c>
      <c r="D2279" s="4"/>
    </row>
    <row r="2280">
      <c r="A2280" s="3">
        <v>2017.0</v>
      </c>
      <c r="B2280" s="4" t="s">
        <v>2677</v>
      </c>
      <c r="C2280" s="15">
        <v>0.0</v>
      </c>
      <c r="D2280" s="4" t="s">
        <v>3</v>
      </c>
    </row>
    <row r="2281">
      <c r="A2281" s="3">
        <v>2017.0</v>
      </c>
      <c r="B2281" s="4" t="s">
        <v>2678</v>
      </c>
      <c r="C2281" s="15">
        <v>0.0</v>
      </c>
      <c r="D2281" s="4" t="s">
        <v>3</v>
      </c>
    </row>
    <row r="2282">
      <c r="A2282" s="3">
        <v>2017.0</v>
      </c>
      <c r="B2282" s="4" t="s">
        <v>2679</v>
      </c>
      <c r="C2282" s="15">
        <v>0.0</v>
      </c>
      <c r="D2282" s="4" t="s">
        <v>3</v>
      </c>
    </row>
    <row r="2283">
      <c r="A2283" s="3">
        <v>2017.0</v>
      </c>
      <c r="B2283" s="4" t="s">
        <v>1051</v>
      </c>
      <c r="C2283" s="15">
        <v>2500.0</v>
      </c>
      <c r="D2283" s="4"/>
    </row>
    <row r="2284">
      <c r="A2284" s="3">
        <v>2017.0</v>
      </c>
      <c r="B2284" s="4" t="s">
        <v>2680</v>
      </c>
      <c r="C2284" s="15">
        <v>0.0</v>
      </c>
      <c r="D2284" s="4" t="s">
        <v>3</v>
      </c>
    </row>
    <row r="2285">
      <c r="A2285" s="3">
        <v>2017.0</v>
      </c>
      <c r="B2285" s="4" t="s">
        <v>1053</v>
      </c>
      <c r="C2285" s="15">
        <v>0.0</v>
      </c>
      <c r="D2285" s="4" t="s">
        <v>3</v>
      </c>
    </row>
    <row r="2286">
      <c r="A2286" s="3">
        <v>2017.0</v>
      </c>
      <c r="B2286" s="4" t="s">
        <v>1055</v>
      </c>
      <c r="C2286" s="15">
        <v>38000.0</v>
      </c>
      <c r="D2286" s="4"/>
    </row>
    <row r="2287">
      <c r="A2287" s="3">
        <v>2017.0</v>
      </c>
      <c r="B2287" s="4" t="s">
        <v>1057</v>
      </c>
      <c r="C2287" s="15">
        <v>9000.0</v>
      </c>
      <c r="D2287" s="4"/>
    </row>
    <row r="2288">
      <c r="A2288" s="3">
        <v>2017.0</v>
      </c>
      <c r="B2288" s="4" t="s">
        <v>1058</v>
      </c>
      <c r="C2288" s="15">
        <v>1500.0</v>
      </c>
      <c r="D2288" s="4"/>
    </row>
    <row r="2289">
      <c r="A2289" s="3">
        <v>2017.0</v>
      </c>
      <c r="B2289" s="4" t="s">
        <v>2681</v>
      </c>
      <c r="C2289" s="15">
        <v>0.0</v>
      </c>
      <c r="D2289" s="4" t="s">
        <v>3</v>
      </c>
    </row>
    <row r="2290">
      <c r="A2290" s="3">
        <v>2017.0</v>
      </c>
      <c r="B2290" s="4" t="s">
        <v>2240</v>
      </c>
      <c r="C2290" s="15">
        <v>4000.0</v>
      </c>
      <c r="D2290" s="4" t="s">
        <v>3</v>
      </c>
    </row>
    <row r="2291">
      <c r="A2291" s="3">
        <v>2017.0</v>
      </c>
      <c r="B2291" s="4" t="s">
        <v>1063</v>
      </c>
      <c r="C2291" s="15">
        <v>10300.0</v>
      </c>
      <c r="D2291" s="4" t="s">
        <v>2377</v>
      </c>
    </row>
    <row r="2292">
      <c r="A2292" s="3">
        <v>2017.0</v>
      </c>
      <c r="B2292" s="4" t="s">
        <v>1064</v>
      </c>
      <c r="C2292" s="15">
        <v>0.0</v>
      </c>
      <c r="D2292" s="4" t="s">
        <v>3</v>
      </c>
    </row>
    <row r="2293">
      <c r="A2293" s="3">
        <v>2017.0</v>
      </c>
      <c r="B2293" s="4" t="s">
        <v>2241</v>
      </c>
      <c r="C2293" s="15">
        <v>15000.0</v>
      </c>
      <c r="D2293" s="4" t="s">
        <v>3</v>
      </c>
    </row>
    <row r="2294">
      <c r="A2294" s="3">
        <v>2017.0</v>
      </c>
      <c r="B2294" s="4" t="s">
        <v>1067</v>
      </c>
      <c r="C2294" s="15">
        <v>14712.0</v>
      </c>
      <c r="D2294" s="4" t="s">
        <v>2508</v>
      </c>
    </row>
    <row r="2295">
      <c r="A2295" s="3">
        <v>2017.0</v>
      </c>
      <c r="B2295" s="4" t="s">
        <v>1069</v>
      </c>
      <c r="C2295" s="15">
        <v>4000.0</v>
      </c>
      <c r="D2295" s="4"/>
    </row>
    <row r="2296">
      <c r="A2296" s="3">
        <v>2017.0</v>
      </c>
      <c r="B2296" s="4" t="s">
        <v>2682</v>
      </c>
      <c r="C2296" s="15">
        <v>0.0</v>
      </c>
      <c r="D2296" s="4" t="s">
        <v>3</v>
      </c>
    </row>
    <row r="2297">
      <c r="A2297" s="3">
        <v>2017.0</v>
      </c>
      <c r="B2297" s="4" t="s">
        <v>2683</v>
      </c>
      <c r="C2297" s="15">
        <v>0.0</v>
      </c>
      <c r="D2297" s="4" t="s">
        <v>2377</v>
      </c>
    </row>
    <row r="2298">
      <c r="A2298" s="3">
        <v>2017.0</v>
      </c>
      <c r="B2298" s="4" t="s">
        <v>1070</v>
      </c>
      <c r="C2298" s="15">
        <v>177500.0</v>
      </c>
      <c r="D2298" s="4" t="s">
        <v>176</v>
      </c>
    </row>
    <row r="2299">
      <c r="A2299" s="3">
        <v>2017.0</v>
      </c>
      <c r="B2299" s="4" t="s">
        <v>2684</v>
      </c>
      <c r="C2299" s="15">
        <v>0.0</v>
      </c>
      <c r="D2299" s="4" t="s">
        <v>2377</v>
      </c>
    </row>
    <row r="2300">
      <c r="A2300" s="3">
        <v>2017.0</v>
      </c>
      <c r="B2300" s="4" t="s">
        <v>2243</v>
      </c>
      <c r="C2300" s="15">
        <v>3800.0</v>
      </c>
      <c r="D2300" s="4" t="s">
        <v>2508</v>
      </c>
    </row>
    <row r="2301">
      <c r="A2301" s="3">
        <v>2017.0</v>
      </c>
      <c r="B2301" s="4" t="s">
        <v>2685</v>
      </c>
      <c r="C2301" s="15">
        <v>0.0</v>
      </c>
      <c r="D2301" s="4" t="s">
        <v>29</v>
      </c>
    </row>
    <row r="2302">
      <c r="A2302" s="3">
        <v>2017.0</v>
      </c>
      <c r="B2302" s="4" t="s">
        <v>2686</v>
      </c>
      <c r="C2302" s="15">
        <v>0.0</v>
      </c>
      <c r="D2302" s="4" t="s">
        <v>3</v>
      </c>
    </row>
    <row r="2303">
      <c r="A2303" s="3">
        <v>2017.0</v>
      </c>
      <c r="B2303" s="4" t="s">
        <v>2687</v>
      </c>
      <c r="C2303" s="15">
        <v>1250.0</v>
      </c>
      <c r="D2303" s="4" t="s">
        <v>3</v>
      </c>
    </row>
    <row r="2304">
      <c r="A2304" s="3">
        <v>2017.0</v>
      </c>
      <c r="B2304" s="4" t="s">
        <v>2688</v>
      </c>
      <c r="C2304" s="15">
        <v>700.0</v>
      </c>
      <c r="D2304" s="4" t="s">
        <v>6</v>
      </c>
    </row>
    <row r="2305">
      <c r="A2305" s="3">
        <v>2017.0</v>
      </c>
      <c r="B2305" s="4" t="s">
        <v>2689</v>
      </c>
      <c r="C2305" s="15">
        <v>44000.0</v>
      </c>
      <c r="D2305" s="4" t="s">
        <v>6</v>
      </c>
    </row>
    <row r="2306">
      <c r="A2306" s="3">
        <v>2017.0</v>
      </c>
      <c r="B2306" s="4" t="s">
        <v>1080</v>
      </c>
      <c r="C2306" s="15">
        <v>0.0</v>
      </c>
      <c r="D2306" s="4" t="s">
        <v>6</v>
      </c>
    </row>
    <row r="2307">
      <c r="A2307" s="3">
        <v>2017.0</v>
      </c>
      <c r="B2307" s="4" t="s">
        <v>1082</v>
      </c>
      <c r="C2307" s="15">
        <v>0.0</v>
      </c>
      <c r="D2307" s="4" t="s">
        <v>3</v>
      </c>
    </row>
    <row r="2308">
      <c r="A2308" s="3">
        <v>2017.0</v>
      </c>
      <c r="B2308" s="4" t="s">
        <v>2690</v>
      </c>
      <c r="C2308" s="15">
        <v>3000.0</v>
      </c>
      <c r="D2308" s="4"/>
    </row>
    <row r="2309">
      <c r="A2309" s="3">
        <v>2017.0</v>
      </c>
      <c r="B2309" s="4" t="s">
        <v>1083</v>
      </c>
      <c r="C2309" s="15">
        <v>500.0</v>
      </c>
      <c r="D2309" s="4" t="s">
        <v>2377</v>
      </c>
    </row>
    <row r="2310">
      <c r="A2310" s="3">
        <v>2017.0</v>
      </c>
      <c r="B2310" s="4" t="s">
        <v>2691</v>
      </c>
      <c r="C2310" s="15">
        <v>0.0</v>
      </c>
      <c r="D2310" s="4" t="s">
        <v>6</v>
      </c>
    </row>
    <row r="2311">
      <c r="A2311" s="3">
        <v>2017.0</v>
      </c>
      <c r="B2311" s="4" t="s">
        <v>2692</v>
      </c>
      <c r="C2311" s="15">
        <v>8000.0</v>
      </c>
      <c r="D2311" s="4" t="s">
        <v>6</v>
      </c>
    </row>
    <row r="2312">
      <c r="A2312" s="3">
        <v>2017.0</v>
      </c>
      <c r="B2312" s="4" t="s">
        <v>1085</v>
      </c>
      <c r="C2312" s="15">
        <v>150.0</v>
      </c>
      <c r="D2312" s="4" t="s">
        <v>3</v>
      </c>
    </row>
    <row r="2313">
      <c r="A2313" s="3">
        <v>2017.0</v>
      </c>
      <c r="B2313" s="4" t="s">
        <v>2693</v>
      </c>
      <c r="C2313" s="15">
        <v>0.0</v>
      </c>
      <c r="D2313" s="4" t="s">
        <v>3</v>
      </c>
    </row>
    <row r="2314">
      <c r="A2314" s="3">
        <v>2017.0</v>
      </c>
      <c r="B2314" s="4" t="s">
        <v>1088</v>
      </c>
      <c r="C2314" s="15">
        <v>0.0</v>
      </c>
      <c r="D2314" s="4" t="s">
        <v>3</v>
      </c>
    </row>
    <row r="2315">
      <c r="A2315" s="3">
        <v>2017.0</v>
      </c>
      <c r="B2315" s="4" t="s">
        <v>1089</v>
      </c>
      <c r="C2315" s="15">
        <v>210000.0</v>
      </c>
      <c r="D2315" s="4"/>
    </row>
    <row r="2316">
      <c r="A2316" s="3">
        <v>2017.0</v>
      </c>
      <c r="B2316" s="4" t="s">
        <v>2694</v>
      </c>
      <c r="C2316" s="15">
        <v>4000.0</v>
      </c>
      <c r="D2316" s="4" t="s">
        <v>3</v>
      </c>
    </row>
    <row r="2317">
      <c r="A2317" s="3">
        <v>2017.0</v>
      </c>
      <c r="B2317" s="4" t="s">
        <v>2695</v>
      </c>
      <c r="C2317" s="15">
        <v>0.0</v>
      </c>
      <c r="D2317" s="4" t="s">
        <v>3</v>
      </c>
    </row>
    <row r="2318">
      <c r="A2318" s="3">
        <v>2017.0</v>
      </c>
      <c r="B2318" s="4" t="s">
        <v>1091</v>
      </c>
      <c r="C2318" s="15">
        <v>0.0</v>
      </c>
      <c r="D2318" s="4" t="s">
        <v>3</v>
      </c>
    </row>
    <row r="2319">
      <c r="A2319" s="3">
        <v>2017.0</v>
      </c>
      <c r="B2319" s="4" t="s">
        <v>2696</v>
      </c>
      <c r="C2319" s="15">
        <v>300.0</v>
      </c>
      <c r="D2319" s="4"/>
    </row>
    <row r="2320">
      <c r="A2320" s="3">
        <v>2017.0</v>
      </c>
      <c r="B2320" s="4" t="s">
        <v>1092</v>
      </c>
      <c r="C2320" s="15">
        <v>4664.0</v>
      </c>
      <c r="D2320" s="4"/>
    </row>
    <row r="2321">
      <c r="A2321" s="3">
        <v>2017.0</v>
      </c>
      <c r="B2321" s="4" t="s">
        <v>2697</v>
      </c>
      <c r="C2321" s="15">
        <v>0.0</v>
      </c>
      <c r="D2321" s="4" t="s">
        <v>3</v>
      </c>
    </row>
    <row r="2322">
      <c r="A2322" s="3">
        <v>2017.0</v>
      </c>
      <c r="B2322" s="4" t="s">
        <v>1095</v>
      </c>
      <c r="C2322" s="15">
        <v>1500.0</v>
      </c>
      <c r="D2322" s="4" t="s">
        <v>2377</v>
      </c>
    </row>
    <row r="2323">
      <c r="A2323" s="3">
        <v>2017.0</v>
      </c>
      <c r="B2323" s="4" t="s">
        <v>2698</v>
      </c>
      <c r="C2323" s="15">
        <v>2000.0</v>
      </c>
      <c r="D2323" s="4"/>
    </row>
    <row r="2324">
      <c r="A2324" s="3">
        <v>2017.0</v>
      </c>
      <c r="B2324" s="4" t="s">
        <v>1096</v>
      </c>
      <c r="C2324" s="15">
        <v>15500.0</v>
      </c>
      <c r="D2324" s="4" t="s">
        <v>3</v>
      </c>
    </row>
    <row r="2325">
      <c r="A2325" s="3">
        <v>2017.0</v>
      </c>
      <c r="B2325" s="4" t="s">
        <v>1097</v>
      </c>
      <c r="C2325" s="15">
        <v>0.0</v>
      </c>
      <c r="D2325" s="4" t="s">
        <v>29</v>
      </c>
    </row>
    <row r="2326">
      <c r="A2326" s="3">
        <v>2017.0</v>
      </c>
      <c r="B2326" s="4" t="s">
        <v>2699</v>
      </c>
      <c r="C2326" s="15">
        <v>1000.0</v>
      </c>
      <c r="D2326" s="4"/>
    </row>
    <row r="2327">
      <c r="A2327" s="3">
        <v>2017.0</v>
      </c>
      <c r="B2327" s="4" t="s">
        <v>2700</v>
      </c>
      <c r="C2327" s="15">
        <v>0.0</v>
      </c>
      <c r="D2327" s="4" t="s">
        <v>3</v>
      </c>
    </row>
    <row r="2328">
      <c r="A2328" s="3">
        <v>2017.0</v>
      </c>
      <c r="B2328" s="4" t="s">
        <v>2247</v>
      </c>
      <c r="C2328" s="15">
        <v>0.0</v>
      </c>
      <c r="D2328" s="4" t="s">
        <v>176</v>
      </c>
    </row>
    <row r="2329">
      <c r="A2329" s="3">
        <v>2017.0</v>
      </c>
      <c r="B2329" s="4" t="s">
        <v>1106</v>
      </c>
      <c r="C2329" s="15">
        <v>750.0</v>
      </c>
      <c r="D2329" s="4"/>
    </row>
    <row r="2330">
      <c r="A2330" s="3">
        <v>2017.0</v>
      </c>
      <c r="B2330" s="4" t="s">
        <v>2701</v>
      </c>
      <c r="C2330" s="15">
        <v>0.0</v>
      </c>
      <c r="D2330" s="4" t="s">
        <v>3</v>
      </c>
    </row>
    <row r="2331">
      <c r="A2331" s="3">
        <v>2017.0</v>
      </c>
      <c r="B2331" s="4" t="s">
        <v>2702</v>
      </c>
      <c r="C2331" s="15">
        <v>2000.0</v>
      </c>
      <c r="D2331" s="4"/>
    </row>
    <row r="2332">
      <c r="A2332" s="3">
        <v>2017.0</v>
      </c>
      <c r="B2332" s="4" t="s">
        <v>2249</v>
      </c>
      <c r="C2332" s="15">
        <v>1000.0</v>
      </c>
      <c r="D2332" s="4"/>
    </row>
    <row r="2333">
      <c r="A2333" s="3">
        <v>2017.0</v>
      </c>
      <c r="B2333" s="4" t="s">
        <v>2250</v>
      </c>
      <c r="C2333" s="15">
        <v>16000.0</v>
      </c>
      <c r="D2333" s="4"/>
    </row>
    <row r="2334">
      <c r="A2334" s="3">
        <v>2017.0</v>
      </c>
      <c r="B2334" s="4" t="s">
        <v>1113</v>
      </c>
      <c r="C2334" s="15">
        <v>0.0</v>
      </c>
      <c r="D2334" s="4" t="s">
        <v>668</v>
      </c>
    </row>
    <row r="2335">
      <c r="A2335" s="3">
        <v>2017.0</v>
      </c>
      <c r="B2335" s="4" t="s">
        <v>2703</v>
      </c>
      <c r="C2335" s="15">
        <v>0.0</v>
      </c>
      <c r="D2335" s="4" t="s">
        <v>6</v>
      </c>
    </row>
    <row r="2336">
      <c r="A2336" s="3">
        <v>2017.0</v>
      </c>
      <c r="B2336" s="4" t="s">
        <v>2704</v>
      </c>
      <c r="C2336" s="15">
        <v>0.0</v>
      </c>
      <c r="D2336" s="4" t="s">
        <v>3</v>
      </c>
    </row>
    <row r="2337">
      <c r="A2337" s="3">
        <v>2017.0</v>
      </c>
      <c r="B2337" s="4" t="s">
        <v>2251</v>
      </c>
      <c r="C2337" s="15">
        <v>0.0</v>
      </c>
      <c r="D2337" s="4" t="s">
        <v>16</v>
      </c>
    </row>
    <row r="2338">
      <c r="A2338" s="3">
        <v>2017.0</v>
      </c>
      <c r="B2338" s="4" t="s">
        <v>2705</v>
      </c>
      <c r="C2338" s="15">
        <v>0.0</v>
      </c>
      <c r="D2338" s="4" t="s">
        <v>6</v>
      </c>
    </row>
    <row r="2339">
      <c r="A2339" s="3">
        <v>2017.0</v>
      </c>
      <c r="B2339" s="4" t="s">
        <v>2706</v>
      </c>
      <c r="C2339" s="15">
        <v>0.0</v>
      </c>
      <c r="D2339" s="4" t="s">
        <v>3</v>
      </c>
    </row>
    <row r="2340">
      <c r="A2340" s="3">
        <v>2017.0</v>
      </c>
      <c r="B2340" s="4" t="s">
        <v>2707</v>
      </c>
      <c r="C2340" s="15">
        <v>0.0</v>
      </c>
      <c r="D2340" s="4" t="s">
        <v>3</v>
      </c>
    </row>
    <row r="2341">
      <c r="A2341" s="3">
        <v>2017.0</v>
      </c>
      <c r="B2341" s="4" t="s">
        <v>2708</v>
      </c>
      <c r="C2341" s="15">
        <v>0.0</v>
      </c>
      <c r="D2341" s="4" t="s">
        <v>3</v>
      </c>
    </row>
    <row r="2342">
      <c r="A2342" s="3">
        <v>2017.0</v>
      </c>
      <c r="B2342" s="4" t="s">
        <v>2253</v>
      </c>
      <c r="C2342" s="15">
        <v>500.0</v>
      </c>
      <c r="D2342" s="4"/>
    </row>
    <row r="2343">
      <c r="A2343" s="3">
        <v>2017.0</v>
      </c>
      <c r="B2343" s="4" t="s">
        <v>2709</v>
      </c>
      <c r="C2343" s="15">
        <v>0.0</v>
      </c>
      <c r="D2343" s="4" t="s">
        <v>6</v>
      </c>
    </row>
    <row r="2344">
      <c r="A2344" s="3">
        <v>2017.0</v>
      </c>
      <c r="B2344" s="4" t="s">
        <v>2710</v>
      </c>
      <c r="C2344" s="15">
        <v>0.0</v>
      </c>
      <c r="D2344" s="4" t="s">
        <v>3</v>
      </c>
    </row>
    <row r="2345">
      <c r="A2345" s="3">
        <v>2017.0</v>
      </c>
      <c r="B2345" s="4" t="s">
        <v>2256</v>
      </c>
      <c r="C2345" s="15">
        <v>0.0</v>
      </c>
      <c r="D2345" s="4" t="s">
        <v>6</v>
      </c>
    </row>
    <row r="2346">
      <c r="A2346" s="3">
        <v>2017.0</v>
      </c>
      <c r="B2346" s="4" t="s">
        <v>2711</v>
      </c>
      <c r="C2346" s="15">
        <v>0.0</v>
      </c>
      <c r="D2346" s="4" t="s">
        <v>3</v>
      </c>
    </row>
    <row r="2347">
      <c r="A2347" s="3">
        <v>2017.0</v>
      </c>
      <c r="B2347" s="4" t="s">
        <v>2257</v>
      </c>
      <c r="C2347" s="15">
        <v>800.0</v>
      </c>
      <c r="D2347" s="4"/>
    </row>
    <row r="2348">
      <c r="A2348" s="3">
        <v>2017.0</v>
      </c>
      <c r="B2348" s="4" t="s">
        <v>1131</v>
      </c>
      <c r="C2348" s="15">
        <v>3000.0</v>
      </c>
      <c r="D2348" s="4" t="s">
        <v>3</v>
      </c>
    </row>
    <row r="2349">
      <c r="A2349" s="3">
        <v>2017.0</v>
      </c>
      <c r="B2349" s="4" t="s">
        <v>1133</v>
      </c>
      <c r="C2349" s="15">
        <v>0.0</v>
      </c>
      <c r="D2349" s="4" t="s">
        <v>3</v>
      </c>
    </row>
    <row r="2350">
      <c r="A2350" s="3">
        <v>2017.0</v>
      </c>
      <c r="B2350" s="4" t="s">
        <v>1134</v>
      </c>
      <c r="C2350" s="15">
        <v>3000.0</v>
      </c>
      <c r="D2350" s="4"/>
    </row>
    <row r="2351">
      <c r="A2351" s="3">
        <v>2017.0</v>
      </c>
      <c r="B2351" s="4" t="s">
        <v>1135</v>
      </c>
      <c r="C2351" s="15">
        <v>4750.0</v>
      </c>
      <c r="D2351" s="4" t="s">
        <v>6</v>
      </c>
    </row>
    <row r="2352">
      <c r="A2352" s="3">
        <v>2017.0</v>
      </c>
      <c r="B2352" s="4" t="s">
        <v>2712</v>
      </c>
      <c r="C2352" s="15">
        <v>0.0</v>
      </c>
      <c r="D2352" s="4" t="s">
        <v>6</v>
      </c>
    </row>
    <row r="2353">
      <c r="A2353" s="3">
        <v>2017.0</v>
      </c>
      <c r="B2353" s="4" t="s">
        <v>1136</v>
      </c>
      <c r="C2353" s="15">
        <v>327000.0</v>
      </c>
      <c r="D2353" s="4" t="s">
        <v>176</v>
      </c>
    </row>
    <row r="2354">
      <c r="A2354" s="3">
        <v>2017.0</v>
      </c>
      <c r="B2354" s="4" t="s">
        <v>2713</v>
      </c>
      <c r="C2354" s="15">
        <v>3000.0</v>
      </c>
      <c r="D2354" s="4" t="s">
        <v>2508</v>
      </c>
    </row>
    <row r="2355">
      <c r="A2355" s="3">
        <v>2017.0</v>
      </c>
      <c r="B2355" s="4" t="s">
        <v>1138</v>
      </c>
      <c r="C2355" s="15">
        <v>0.0</v>
      </c>
      <c r="D2355" s="4" t="s">
        <v>3</v>
      </c>
    </row>
    <row r="2356">
      <c r="A2356" s="3">
        <v>2017.0</v>
      </c>
      <c r="B2356" s="4" t="s">
        <v>1139</v>
      </c>
      <c r="C2356" s="15">
        <v>0.0</v>
      </c>
      <c r="D2356" s="4" t="s">
        <v>3</v>
      </c>
    </row>
    <row r="2357">
      <c r="A2357" s="3">
        <v>2017.0</v>
      </c>
      <c r="B2357" s="4" t="s">
        <v>2714</v>
      </c>
      <c r="C2357" s="15">
        <v>0.0</v>
      </c>
      <c r="D2357" s="4" t="s">
        <v>3</v>
      </c>
    </row>
    <row r="2358">
      <c r="A2358" s="3">
        <v>2017.0</v>
      </c>
      <c r="B2358" s="4" t="s">
        <v>1140</v>
      </c>
      <c r="C2358" s="15">
        <v>0.0</v>
      </c>
      <c r="D2358" s="4" t="s">
        <v>216</v>
      </c>
    </row>
    <row r="2359">
      <c r="A2359" s="3">
        <v>2017.0</v>
      </c>
      <c r="B2359" s="4" t="s">
        <v>1141</v>
      </c>
      <c r="C2359" s="15">
        <v>0.0</v>
      </c>
      <c r="D2359" s="4" t="s">
        <v>3</v>
      </c>
    </row>
    <row r="2360">
      <c r="A2360" s="3">
        <v>2017.0</v>
      </c>
      <c r="B2360" s="4" t="s">
        <v>2715</v>
      </c>
      <c r="C2360" s="15">
        <v>6190.0</v>
      </c>
      <c r="D2360" s="4"/>
    </row>
    <row r="2361">
      <c r="A2361" s="3">
        <v>2017.0</v>
      </c>
      <c r="B2361" s="4" t="s">
        <v>1143</v>
      </c>
      <c r="C2361" s="15">
        <v>0.0</v>
      </c>
      <c r="D2361" s="4" t="s">
        <v>3</v>
      </c>
    </row>
    <row r="2362">
      <c r="A2362" s="3">
        <v>2017.0</v>
      </c>
      <c r="B2362" s="4" t="s">
        <v>2716</v>
      </c>
      <c r="C2362" s="15">
        <v>0.0</v>
      </c>
      <c r="D2362" s="4" t="s">
        <v>668</v>
      </c>
    </row>
    <row r="2363">
      <c r="A2363" s="3">
        <v>2017.0</v>
      </c>
      <c r="B2363" s="4" t="s">
        <v>1144</v>
      </c>
      <c r="C2363" s="15">
        <v>1000.0</v>
      </c>
      <c r="D2363" s="4"/>
    </row>
    <row r="2364">
      <c r="A2364" s="3">
        <v>2017.0</v>
      </c>
      <c r="B2364" s="4" t="s">
        <v>2717</v>
      </c>
      <c r="C2364" s="15">
        <v>15000.0</v>
      </c>
      <c r="D2364" s="4" t="s">
        <v>668</v>
      </c>
    </row>
    <row r="2365">
      <c r="A2365" s="3">
        <v>2017.0</v>
      </c>
      <c r="B2365" s="4" t="s">
        <v>1146</v>
      </c>
      <c r="C2365" s="15">
        <v>1450.0</v>
      </c>
      <c r="D2365" s="4" t="s">
        <v>29</v>
      </c>
    </row>
    <row r="2366">
      <c r="A2366" s="3">
        <v>2017.0</v>
      </c>
      <c r="B2366" s="4" t="s">
        <v>2718</v>
      </c>
      <c r="C2366" s="15">
        <v>0.0</v>
      </c>
      <c r="D2366" s="4" t="s">
        <v>29</v>
      </c>
    </row>
    <row r="2367">
      <c r="A2367" s="3">
        <v>2017.0</v>
      </c>
      <c r="B2367" s="4" t="s">
        <v>2719</v>
      </c>
      <c r="C2367" s="15">
        <v>0.0</v>
      </c>
      <c r="D2367" s="4" t="s">
        <v>29</v>
      </c>
    </row>
    <row r="2368">
      <c r="A2368" s="3">
        <v>2017.0</v>
      </c>
      <c r="B2368" s="4" t="s">
        <v>1150</v>
      </c>
      <c r="C2368" s="15">
        <v>90000.0</v>
      </c>
      <c r="D2368" s="4" t="s">
        <v>29</v>
      </c>
    </row>
    <row r="2369">
      <c r="A2369" s="3">
        <v>2017.0</v>
      </c>
      <c r="B2369" s="4" t="s">
        <v>2720</v>
      </c>
      <c r="C2369" s="15">
        <v>0.0</v>
      </c>
      <c r="D2369" s="4" t="s">
        <v>29</v>
      </c>
    </row>
    <row r="2370">
      <c r="A2370" s="3">
        <v>2017.0</v>
      </c>
      <c r="B2370" s="4" t="s">
        <v>2721</v>
      </c>
      <c r="C2370" s="15">
        <v>0.0</v>
      </c>
      <c r="D2370" s="4" t="s">
        <v>29</v>
      </c>
    </row>
    <row r="2371">
      <c r="A2371" s="3">
        <v>2017.0</v>
      </c>
      <c r="B2371" s="4" t="s">
        <v>2722</v>
      </c>
      <c r="C2371" s="15">
        <v>0.0</v>
      </c>
      <c r="D2371" s="4" t="s">
        <v>29</v>
      </c>
    </row>
    <row r="2372">
      <c r="A2372" s="3">
        <v>2017.0</v>
      </c>
      <c r="B2372" s="4" t="s">
        <v>1152</v>
      </c>
      <c r="C2372" s="15">
        <v>0.0</v>
      </c>
      <c r="D2372" s="4" t="s">
        <v>29</v>
      </c>
    </row>
    <row r="2373">
      <c r="A2373" s="3">
        <v>2017.0</v>
      </c>
      <c r="B2373" s="4" t="s">
        <v>1153</v>
      </c>
      <c r="C2373" s="15">
        <v>0.0</v>
      </c>
      <c r="D2373" s="4" t="s">
        <v>29</v>
      </c>
    </row>
    <row r="2374">
      <c r="A2374" s="3">
        <v>2017.0</v>
      </c>
      <c r="B2374" s="4" t="s">
        <v>1154</v>
      </c>
      <c r="C2374" s="15">
        <v>0.0</v>
      </c>
      <c r="D2374" s="4" t="s">
        <v>3</v>
      </c>
    </row>
    <row r="2375">
      <c r="A2375" s="3">
        <v>2017.0</v>
      </c>
      <c r="B2375" s="4" t="s">
        <v>2723</v>
      </c>
      <c r="C2375" s="15">
        <v>2200.0</v>
      </c>
      <c r="D2375" s="4"/>
    </row>
    <row r="2376">
      <c r="A2376" s="3">
        <v>2017.0</v>
      </c>
      <c r="B2376" s="4" t="s">
        <v>2724</v>
      </c>
      <c r="C2376" s="15">
        <v>0.0</v>
      </c>
      <c r="D2376" s="4" t="s">
        <v>2370</v>
      </c>
    </row>
    <row r="2377">
      <c r="A2377" s="3">
        <v>2017.0</v>
      </c>
      <c r="B2377" s="4" t="s">
        <v>1158</v>
      </c>
      <c r="C2377" s="15">
        <v>0.0</v>
      </c>
      <c r="D2377" s="4" t="s">
        <v>3</v>
      </c>
    </row>
    <row r="2378">
      <c r="A2378" s="3">
        <v>2017.0</v>
      </c>
      <c r="B2378" s="4" t="s">
        <v>2725</v>
      </c>
      <c r="C2378" s="15">
        <v>444542.0</v>
      </c>
      <c r="D2378" s="4" t="s">
        <v>2370</v>
      </c>
    </row>
    <row r="2379">
      <c r="A2379" s="3">
        <v>2017.0</v>
      </c>
      <c r="B2379" s="4" t="s">
        <v>2726</v>
      </c>
      <c r="C2379" s="15">
        <v>2500.0</v>
      </c>
      <c r="D2379" s="4"/>
    </row>
    <row r="2380">
      <c r="A2380" s="3">
        <v>2017.0</v>
      </c>
      <c r="B2380" s="4" t="s">
        <v>2727</v>
      </c>
      <c r="C2380" s="15">
        <v>0.0</v>
      </c>
      <c r="D2380" s="4" t="s">
        <v>29</v>
      </c>
    </row>
    <row r="2381">
      <c r="A2381" s="3">
        <v>2017.0</v>
      </c>
      <c r="B2381" s="4" t="s">
        <v>2728</v>
      </c>
      <c r="C2381" s="15">
        <v>4000.0</v>
      </c>
      <c r="D2381" s="4"/>
    </row>
    <row r="2382">
      <c r="A2382" s="3">
        <v>2017.0</v>
      </c>
      <c r="B2382" s="4" t="s">
        <v>1163</v>
      </c>
      <c r="C2382" s="15">
        <v>0.0</v>
      </c>
      <c r="D2382" s="4" t="s">
        <v>3</v>
      </c>
    </row>
    <row r="2383">
      <c r="A2383" s="3">
        <v>2017.0</v>
      </c>
      <c r="B2383" s="4" t="s">
        <v>1164</v>
      </c>
      <c r="C2383" s="15">
        <v>0.0</v>
      </c>
      <c r="D2383" s="4" t="s">
        <v>3</v>
      </c>
    </row>
    <row r="2384">
      <c r="A2384" s="3">
        <v>2017.0</v>
      </c>
      <c r="B2384" s="4" t="s">
        <v>2729</v>
      </c>
      <c r="C2384" s="15">
        <v>0.0</v>
      </c>
      <c r="D2384" s="4" t="s">
        <v>3</v>
      </c>
    </row>
    <row r="2385">
      <c r="A2385" s="3">
        <v>2017.0</v>
      </c>
      <c r="B2385" s="4" t="s">
        <v>1165</v>
      </c>
      <c r="C2385" s="15">
        <v>3000.0</v>
      </c>
      <c r="D2385" s="4" t="s">
        <v>3</v>
      </c>
    </row>
    <row r="2386">
      <c r="A2386" s="3">
        <v>2017.0</v>
      </c>
      <c r="B2386" s="4" t="s">
        <v>2730</v>
      </c>
      <c r="C2386" s="15">
        <v>0.0</v>
      </c>
      <c r="D2386" s="4" t="s">
        <v>3</v>
      </c>
    </row>
    <row r="2387">
      <c r="A2387" s="3">
        <v>2017.0</v>
      </c>
      <c r="B2387" s="4" t="s">
        <v>1166</v>
      </c>
      <c r="C2387" s="15">
        <v>0.0</v>
      </c>
      <c r="D2387" s="4" t="s">
        <v>3</v>
      </c>
    </row>
    <row r="2388">
      <c r="A2388" s="3">
        <v>2017.0</v>
      </c>
      <c r="B2388" s="4" t="s">
        <v>2731</v>
      </c>
      <c r="C2388" s="15">
        <v>0.0</v>
      </c>
      <c r="D2388" s="4" t="s">
        <v>3</v>
      </c>
    </row>
    <row r="2389">
      <c r="A2389" s="3">
        <v>2017.0</v>
      </c>
      <c r="B2389" s="4" t="s">
        <v>2732</v>
      </c>
      <c r="C2389" s="15">
        <v>3000.0</v>
      </c>
      <c r="D2389" s="4"/>
    </row>
    <row r="2390">
      <c r="A2390" s="3">
        <v>2017.0</v>
      </c>
      <c r="B2390" s="4" t="s">
        <v>2733</v>
      </c>
      <c r="C2390" s="15">
        <v>0.0</v>
      </c>
      <c r="D2390" s="4" t="s">
        <v>3</v>
      </c>
    </row>
    <row r="2391">
      <c r="A2391" s="3">
        <v>2017.0</v>
      </c>
      <c r="B2391" s="4" t="s">
        <v>1170</v>
      </c>
      <c r="C2391" s="15">
        <v>0.0</v>
      </c>
      <c r="D2391" s="4" t="s">
        <v>3</v>
      </c>
    </row>
    <row r="2392">
      <c r="A2392" s="3">
        <v>2017.0</v>
      </c>
      <c r="B2392" s="4" t="s">
        <v>1171</v>
      </c>
      <c r="C2392" s="15">
        <v>0.0</v>
      </c>
      <c r="D2392" s="4" t="s">
        <v>3</v>
      </c>
    </row>
    <row r="2393">
      <c r="A2393" s="3">
        <v>2017.0</v>
      </c>
      <c r="B2393" s="4" t="s">
        <v>1172</v>
      </c>
      <c r="C2393" s="15">
        <v>0.0</v>
      </c>
      <c r="D2393" s="4" t="s">
        <v>6</v>
      </c>
    </row>
    <row r="2394">
      <c r="A2394" s="3">
        <v>2017.0</v>
      </c>
      <c r="B2394" s="4" t="s">
        <v>1174</v>
      </c>
      <c r="C2394" s="15">
        <v>0.0</v>
      </c>
      <c r="D2394" s="4" t="s">
        <v>2377</v>
      </c>
    </row>
    <row r="2395">
      <c r="A2395" s="3">
        <v>2017.0</v>
      </c>
      <c r="B2395" s="4" t="s">
        <v>2734</v>
      </c>
      <c r="C2395" s="15">
        <v>0.0</v>
      </c>
      <c r="D2395" s="4" t="s">
        <v>3</v>
      </c>
    </row>
    <row r="2396">
      <c r="A2396" s="3">
        <v>2017.0</v>
      </c>
      <c r="B2396" s="4" t="s">
        <v>1177</v>
      </c>
      <c r="C2396" s="15">
        <v>2800.0</v>
      </c>
      <c r="D2396" s="4" t="s">
        <v>3</v>
      </c>
    </row>
    <row r="2397">
      <c r="A2397" s="3">
        <v>2017.0</v>
      </c>
      <c r="B2397" s="4" t="s">
        <v>1179</v>
      </c>
      <c r="C2397" s="15">
        <v>334000.0</v>
      </c>
      <c r="D2397" s="4"/>
    </row>
    <row r="2398">
      <c r="A2398" s="3">
        <v>2017.0</v>
      </c>
      <c r="B2398" s="4" t="s">
        <v>1182</v>
      </c>
      <c r="C2398" s="15">
        <v>500.0</v>
      </c>
      <c r="D2398" s="4"/>
    </row>
    <row r="2399">
      <c r="A2399" s="3">
        <v>2017.0</v>
      </c>
      <c r="B2399" s="4" t="s">
        <v>1183</v>
      </c>
      <c r="C2399" s="15">
        <v>0.0</v>
      </c>
      <c r="D2399" s="4" t="s">
        <v>3</v>
      </c>
    </row>
    <row r="2400">
      <c r="A2400" s="3">
        <v>2017.0</v>
      </c>
      <c r="B2400" s="4" t="s">
        <v>2259</v>
      </c>
      <c r="C2400" s="15">
        <v>129693.0</v>
      </c>
      <c r="D2400" s="4" t="s">
        <v>2370</v>
      </c>
    </row>
    <row r="2401">
      <c r="A2401" s="3">
        <v>2017.0</v>
      </c>
      <c r="B2401" s="4" t="s">
        <v>1187</v>
      </c>
      <c r="C2401" s="15">
        <v>115000.0</v>
      </c>
      <c r="D2401" s="4" t="s">
        <v>2377</v>
      </c>
    </row>
    <row r="2402">
      <c r="A2402" s="3">
        <v>2017.0</v>
      </c>
      <c r="B2402" s="4" t="s">
        <v>2735</v>
      </c>
      <c r="C2402" s="15">
        <v>0.0</v>
      </c>
      <c r="D2402" s="4" t="s">
        <v>3</v>
      </c>
    </row>
    <row r="2403">
      <c r="A2403" s="3">
        <v>2017.0</v>
      </c>
      <c r="B2403" s="4" t="s">
        <v>1188</v>
      </c>
      <c r="C2403" s="15">
        <v>470044.0</v>
      </c>
      <c r="D2403" s="4" t="s">
        <v>2377</v>
      </c>
    </row>
    <row r="2404">
      <c r="A2404" s="3">
        <v>2017.0</v>
      </c>
      <c r="B2404" s="4" t="s">
        <v>1190</v>
      </c>
      <c r="C2404" s="15">
        <v>500.0</v>
      </c>
      <c r="D2404" s="4" t="s">
        <v>3</v>
      </c>
    </row>
    <row r="2405">
      <c r="A2405" s="3">
        <v>2017.0</v>
      </c>
      <c r="B2405" s="4" t="s">
        <v>2736</v>
      </c>
      <c r="C2405" s="15">
        <v>0.0</v>
      </c>
      <c r="D2405" s="4" t="s">
        <v>3</v>
      </c>
    </row>
    <row r="2406">
      <c r="A2406" s="3">
        <v>2017.0</v>
      </c>
      <c r="B2406" s="4" t="s">
        <v>1191</v>
      </c>
      <c r="C2406" s="15">
        <v>3200.0</v>
      </c>
      <c r="D2406" s="4" t="s">
        <v>6</v>
      </c>
    </row>
    <row r="2407">
      <c r="A2407" s="3">
        <v>2017.0</v>
      </c>
      <c r="B2407" s="4" t="s">
        <v>1192</v>
      </c>
      <c r="C2407" s="15">
        <v>2600.0</v>
      </c>
      <c r="D2407" s="4" t="s">
        <v>3</v>
      </c>
    </row>
    <row r="2408">
      <c r="A2408" s="3">
        <v>2017.0</v>
      </c>
      <c r="B2408" s="4" t="s">
        <v>2737</v>
      </c>
      <c r="C2408" s="15">
        <v>0.0</v>
      </c>
      <c r="D2408" s="4" t="s">
        <v>3</v>
      </c>
    </row>
    <row r="2409">
      <c r="A2409" s="3">
        <v>2017.0</v>
      </c>
      <c r="B2409" s="4" t="s">
        <v>1193</v>
      </c>
      <c r="C2409" s="15">
        <v>4000.0</v>
      </c>
      <c r="D2409" s="4"/>
    </row>
    <row r="2410">
      <c r="A2410" s="3">
        <v>2017.0</v>
      </c>
      <c r="B2410" s="4" t="s">
        <v>1194</v>
      </c>
      <c r="C2410" s="15">
        <v>10000.0</v>
      </c>
      <c r="D2410" s="4"/>
    </row>
    <row r="2411">
      <c r="A2411" s="3">
        <v>2017.0</v>
      </c>
      <c r="B2411" s="4" t="s">
        <v>2738</v>
      </c>
      <c r="C2411" s="15">
        <v>4000.0</v>
      </c>
      <c r="D2411" s="4" t="s">
        <v>3</v>
      </c>
    </row>
    <row r="2412">
      <c r="A2412" s="3">
        <v>2017.0</v>
      </c>
      <c r="B2412" s="4" t="s">
        <v>2739</v>
      </c>
      <c r="C2412" s="15">
        <v>500.0</v>
      </c>
      <c r="D2412" s="4"/>
    </row>
    <row r="2413">
      <c r="A2413" s="3">
        <v>2017.0</v>
      </c>
      <c r="B2413" s="4" t="s">
        <v>2740</v>
      </c>
      <c r="C2413" s="15">
        <v>0.0</v>
      </c>
      <c r="D2413" s="4" t="s">
        <v>6</v>
      </c>
    </row>
    <row r="2414">
      <c r="A2414" s="3">
        <v>2017.0</v>
      </c>
      <c r="B2414" s="4" t="s">
        <v>1202</v>
      </c>
      <c r="C2414" s="15">
        <v>0.0</v>
      </c>
      <c r="D2414" s="4" t="s">
        <v>6</v>
      </c>
    </row>
    <row r="2415">
      <c r="A2415" s="3">
        <v>2017.0</v>
      </c>
      <c r="B2415" s="4" t="s">
        <v>2262</v>
      </c>
      <c r="C2415" s="15">
        <v>60000.0</v>
      </c>
      <c r="D2415" s="4"/>
    </row>
    <row r="2416">
      <c r="A2416" s="3">
        <v>2017.0</v>
      </c>
      <c r="B2416" s="4" t="s">
        <v>2263</v>
      </c>
      <c r="C2416" s="15">
        <v>1000.0</v>
      </c>
      <c r="D2416" s="4"/>
    </row>
    <row r="2417">
      <c r="A2417" s="3">
        <v>2017.0</v>
      </c>
      <c r="B2417" s="4" t="s">
        <v>2741</v>
      </c>
      <c r="C2417" s="15">
        <v>0.0</v>
      </c>
      <c r="D2417" s="4" t="s">
        <v>3</v>
      </c>
    </row>
    <row r="2418">
      <c r="A2418" s="3">
        <v>2017.0</v>
      </c>
      <c r="B2418" s="4" t="s">
        <v>2742</v>
      </c>
      <c r="C2418" s="15">
        <v>0.0</v>
      </c>
      <c r="D2418" s="4" t="s">
        <v>6</v>
      </c>
    </row>
    <row r="2419">
      <c r="A2419" s="3">
        <v>2017.0</v>
      </c>
      <c r="B2419" s="4" t="s">
        <v>1209</v>
      </c>
      <c r="C2419" s="15">
        <v>1500.0</v>
      </c>
      <c r="D2419" s="4"/>
    </row>
    <row r="2420">
      <c r="A2420" s="3">
        <v>2017.0</v>
      </c>
      <c r="B2420" s="4" t="s">
        <v>2743</v>
      </c>
      <c r="C2420" s="15">
        <v>0.0</v>
      </c>
      <c r="D2420" s="4" t="s">
        <v>3</v>
      </c>
    </row>
    <row r="2421">
      <c r="A2421" s="3">
        <v>2017.0</v>
      </c>
      <c r="B2421" s="4" t="s">
        <v>2265</v>
      </c>
      <c r="C2421" s="15">
        <v>2500.0</v>
      </c>
      <c r="D2421" s="4" t="s">
        <v>3</v>
      </c>
    </row>
    <row r="2422">
      <c r="A2422" s="3">
        <v>2017.0</v>
      </c>
      <c r="B2422" s="4" t="s">
        <v>1214</v>
      </c>
      <c r="C2422" s="15">
        <v>5000.0</v>
      </c>
      <c r="D2422" s="4" t="s">
        <v>29</v>
      </c>
    </row>
    <row r="2423">
      <c r="A2423" s="3">
        <v>2017.0</v>
      </c>
      <c r="B2423" s="4" t="s">
        <v>1215</v>
      </c>
      <c r="C2423" s="15">
        <v>0.0</v>
      </c>
      <c r="D2423" s="4" t="s">
        <v>29</v>
      </c>
    </row>
    <row r="2424">
      <c r="A2424" s="3">
        <v>2017.0</v>
      </c>
      <c r="B2424" s="4" t="s">
        <v>1216</v>
      </c>
      <c r="C2424" s="15">
        <v>0.0</v>
      </c>
      <c r="D2424" s="4" t="s">
        <v>3</v>
      </c>
    </row>
    <row r="2425">
      <c r="A2425" s="3">
        <v>2017.0</v>
      </c>
      <c r="B2425" s="4" t="s">
        <v>1217</v>
      </c>
      <c r="C2425" s="15">
        <v>0.0</v>
      </c>
      <c r="D2425" s="4" t="s">
        <v>29</v>
      </c>
    </row>
    <row r="2426">
      <c r="A2426" s="3">
        <v>2017.0</v>
      </c>
      <c r="B2426" s="4" t="s">
        <v>2744</v>
      </c>
      <c r="C2426" s="15">
        <v>0.0</v>
      </c>
      <c r="D2426" s="4" t="s">
        <v>3</v>
      </c>
    </row>
    <row r="2427">
      <c r="A2427" s="3">
        <v>2017.0</v>
      </c>
      <c r="B2427" s="4" t="s">
        <v>1218</v>
      </c>
      <c r="C2427" s="15">
        <v>0.0</v>
      </c>
      <c r="D2427" s="4" t="s">
        <v>29</v>
      </c>
    </row>
    <row r="2428">
      <c r="A2428" s="3">
        <v>2017.0</v>
      </c>
      <c r="B2428" s="4" t="s">
        <v>1219</v>
      </c>
      <c r="C2428" s="15">
        <v>0.0</v>
      </c>
      <c r="D2428" s="4" t="s">
        <v>2368</v>
      </c>
    </row>
    <row r="2429">
      <c r="A2429" s="3">
        <v>2017.0</v>
      </c>
      <c r="B2429" s="4" t="s">
        <v>1221</v>
      </c>
      <c r="C2429" s="15">
        <v>0.0</v>
      </c>
      <c r="D2429" s="4" t="s">
        <v>3</v>
      </c>
    </row>
    <row r="2430">
      <c r="A2430" s="3">
        <v>2017.0</v>
      </c>
      <c r="B2430" s="4" t="s">
        <v>1222</v>
      </c>
      <c r="C2430" s="15">
        <v>0.0</v>
      </c>
      <c r="D2430" s="4" t="s">
        <v>6</v>
      </c>
    </row>
    <row r="2431">
      <c r="A2431" s="3">
        <v>2017.0</v>
      </c>
      <c r="B2431" s="4" t="s">
        <v>1223</v>
      </c>
      <c r="C2431" s="15">
        <v>3000.0</v>
      </c>
      <c r="D2431" s="4" t="s">
        <v>3</v>
      </c>
    </row>
    <row r="2432">
      <c r="A2432" s="3">
        <v>2017.0</v>
      </c>
      <c r="B2432" s="4" t="s">
        <v>1226</v>
      </c>
      <c r="C2432" s="15">
        <v>0.0</v>
      </c>
      <c r="D2432" s="4" t="s">
        <v>29</v>
      </c>
    </row>
    <row r="2433">
      <c r="A2433" s="3">
        <v>2017.0</v>
      </c>
      <c r="B2433" s="4" t="s">
        <v>1227</v>
      </c>
      <c r="C2433" s="15">
        <v>66000.0</v>
      </c>
      <c r="D2433" s="4"/>
    </row>
    <row r="2434">
      <c r="A2434" s="3">
        <v>2017.0</v>
      </c>
      <c r="B2434" s="4" t="s">
        <v>2745</v>
      </c>
      <c r="C2434" s="15">
        <v>2500.0</v>
      </c>
      <c r="D2434" s="4" t="s">
        <v>3</v>
      </c>
    </row>
    <row r="2435">
      <c r="A2435" s="3">
        <v>2017.0</v>
      </c>
      <c r="B2435" s="4" t="s">
        <v>2746</v>
      </c>
      <c r="C2435" s="15">
        <v>0.0</v>
      </c>
      <c r="D2435" s="4" t="s">
        <v>3</v>
      </c>
    </row>
    <row r="2436">
      <c r="A2436" s="3">
        <v>2017.0</v>
      </c>
      <c r="B2436" s="4" t="s">
        <v>2747</v>
      </c>
      <c r="C2436" s="15">
        <v>0.0</v>
      </c>
      <c r="D2436" s="4" t="s">
        <v>3</v>
      </c>
    </row>
    <row r="2437">
      <c r="A2437" s="3">
        <v>2017.0</v>
      </c>
      <c r="B2437" s="4" t="s">
        <v>1229</v>
      </c>
      <c r="C2437" s="15">
        <v>0.0</v>
      </c>
      <c r="D2437" s="4" t="s">
        <v>2377</v>
      </c>
    </row>
    <row r="2438">
      <c r="A2438" s="3">
        <v>2017.0</v>
      </c>
      <c r="B2438" s="4" t="s">
        <v>2748</v>
      </c>
      <c r="C2438" s="15">
        <v>22000.0</v>
      </c>
      <c r="D2438" s="4" t="s">
        <v>6</v>
      </c>
    </row>
    <row r="2439">
      <c r="A2439" s="3">
        <v>2017.0</v>
      </c>
      <c r="B2439" s="4" t="s">
        <v>2749</v>
      </c>
      <c r="C2439" s="15">
        <v>0.0</v>
      </c>
      <c r="D2439" s="4" t="s">
        <v>3</v>
      </c>
    </row>
    <row r="2440">
      <c r="A2440" s="3">
        <v>2017.0</v>
      </c>
      <c r="B2440" s="4" t="s">
        <v>1232</v>
      </c>
      <c r="C2440" s="15">
        <v>0.0</v>
      </c>
      <c r="D2440" s="4" t="s">
        <v>29</v>
      </c>
    </row>
    <row r="2441">
      <c r="A2441" s="3">
        <v>2017.0</v>
      </c>
      <c r="B2441" s="4" t="s">
        <v>2750</v>
      </c>
      <c r="C2441" s="15">
        <v>1000.0</v>
      </c>
      <c r="D2441" s="4" t="s">
        <v>3</v>
      </c>
    </row>
    <row r="2442">
      <c r="A2442" s="3">
        <v>2017.0</v>
      </c>
      <c r="B2442" s="4" t="s">
        <v>2751</v>
      </c>
      <c r="C2442" s="15">
        <v>0.0</v>
      </c>
      <c r="D2442" s="4" t="s">
        <v>3</v>
      </c>
    </row>
    <row r="2443">
      <c r="A2443" s="3">
        <v>2017.0</v>
      </c>
      <c r="B2443" s="4" t="s">
        <v>2752</v>
      </c>
      <c r="C2443" s="15">
        <v>0.0</v>
      </c>
      <c r="D2443" s="4" t="s">
        <v>6</v>
      </c>
    </row>
    <row r="2444">
      <c r="A2444" s="3">
        <v>2017.0</v>
      </c>
      <c r="B2444" s="4" t="s">
        <v>1234</v>
      </c>
      <c r="C2444" s="15">
        <v>12041.0</v>
      </c>
      <c r="D2444" s="4" t="s">
        <v>29</v>
      </c>
    </row>
    <row r="2445">
      <c r="A2445" s="3">
        <v>2017.0</v>
      </c>
      <c r="B2445" s="4" t="s">
        <v>1236</v>
      </c>
      <c r="C2445" s="15">
        <v>12000.0</v>
      </c>
      <c r="D2445" s="4" t="s">
        <v>6</v>
      </c>
    </row>
    <row r="2446">
      <c r="A2446" s="3">
        <v>2017.0</v>
      </c>
      <c r="B2446" s="4" t="s">
        <v>2753</v>
      </c>
      <c r="C2446" s="15">
        <v>0.0</v>
      </c>
      <c r="D2446" s="4" t="s">
        <v>3</v>
      </c>
    </row>
    <row r="2447">
      <c r="A2447" s="3">
        <v>2017.0</v>
      </c>
      <c r="B2447" s="4" t="s">
        <v>1240</v>
      </c>
      <c r="C2447" s="15">
        <v>0.0</v>
      </c>
      <c r="D2447" s="4" t="s">
        <v>3</v>
      </c>
    </row>
    <row r="2448">
      <c r="A2448" s="3">
        <v>2017.0</v>
      </c>
      <c r="B2448" s="4" t="s">
        <v>1242</v>
      </c>
      <c r="C2448" s="15">
        <v>2800.0</v>
      </c>
      <c r="D2448" s="4" t="s">
        <v>3</v>
      </c>
    </row>
    <row r="2449">
      <c r="A2449" s="3">
        <v>2017.0</v>
      </c>
      <c r="B2449" s="4" t="s">
        <v>2754</v>
      </c>
      <c r="C2449" s="15">
        <v>3000.0</v>
      </c>
      <c r="D2449" s="4" t="s">
        <v>2368</v>
      </c>
    </row>
    <row r="2450">
      <c r="A2450" s="3">
        <v>2017.0</v>
      </c>
      <c r="B2450" s="4" t="s">
        <v>2755</v>
      </c>
      <c r="C2450" s="15">
        <v>4800.0</v>
      </c>
      <c r="D2450" s="4"/>
    </row>
    <row r="2451">
      <c r="A2451" s="3">
        <v>2017.0</v>
      </c>
      <c r="B2451" s="4" t="s">
        <v>1245</v>
      </c>
      <c r="C2451" s="15">
        <v>0.0</v>
      </c>
      <c r="D2451" s="4" t="s">
        <v>3</v>
      </c>
    </row>
    <row r="2452">
      <c r="A2452" s="3">
        <v>2017.0</v>
      </c>
      <c r="B2452" s="4" t="s">
        <v>1246</v>
      </c>
      <c r="C2452" s="15">
        <v>21000.0</v>
      </c>
      <c r="D2452" s="4"/>
    </row>
    <row r="2453">
      <c r="A2453" s="3">
        <v>2017.0</v>
      </c>
      <c r="B2453" s="4" t="s">
        <v>1247</v>
      </c>
      <c r="C2453" s="15">
        <v>2500.0</v>
      </c>
      <c r="D2453" s="4"/>
    </row>
    <row r="2454">
      <c r="A2454" s="3">
        <v>2017.0</v>
      </c>
      <c r="B2454" s="4" t="s">
        <v>1248</v>
      </c>
      <c r="C2454" s="15">
        <v>12000.0</v>
      </c>
      <c r="D2454" s="4"/>
    </row>
    <row r="2455">
      <c r="A2455" s="3">
        <v>2017.0</v>
      </c>
      <c r="B2455" s="4" t="s">
        <v>2756</v>
      </c>
      <c r="C2455" s="15">
        <v>0.0</v>
      </c>
      <c r="D2455" s="4" t="s">
        <v>3</v>
      </c>
    </row>
    <row r="2456">
      <c r="A2456" s="3">
        <v>2017.0</v>
      </c>
      <c r="B2456" s="4" t="s">
        <v>1254</v>
      </c>
      <c r="C2456" s="15">
        <v>0.0</v>
      </c>
      <c r="D2456" s="4" t="s">
        <v>6</v>
      </c>
    </row>
    <row r="2457">
      <c r="A2457" s="3">
        <v>2017.0</v>
      </c>
      <c r="B2457" s="4" t="s">
        <v>2757</v>
      </c>
      <c r="C2457" s="15">
        <v>0.0</v>
      </c>
      <c r="D2457" s="4" t="s">
        <v>3</v>
      </c>
    </row>
    <row r="2458">
      <c r="A2458" s="3">
        <v>2017.0</v>
      </c>
      <c r="B2458" s="4" t="s">
        <v>2758</v>
      </c>
      <c r="C2458" s="15">
        <v>0.0</v>
      </c>
      <c r="D2458" s="4" t="s">
        <v>3</v>
      </c>
    </row>
    <row r="2459">
      <c r="A2459" s="3">
        <v>2017.0</v>
      </c>
      <c r="B2459" s="4" t="s">
        <v>1258</v>
      </c>
      <c r="C2459" s="15">
        <v>1300.0</v>
      </c>
      <c r="D2459" s="4" t="s">
        <v>3</v>
      </c>
    </row>
    <row r="2460">
      <c r="A2460" s="3">
        <v>2017.0</v>
      </c>
      <c r="B2460" s="4" t="s">
        <v>1260</v>
      </c>
      <c r="C2460" s="15">
        <v>1550.0</v>
      </c>
      <c r="D2460" s="4" t="s">
        <v>2508</v>
      </c>
    </row>
    <row r="2461">
      <c r="A2461" s="3">
        <v>2017.0</v>
      </c>
      <c r="B2461" s="4" t="s">
        <v>1262</v>
      </c>
      <c r="C2461" s="15">
        <v>25000.0</v>
      </c>
      <c r="D2461" s="4"/>
    </row>
    <row r="2462">
      <c r="A2462" s="3">
        <v>2017.0</v>
      </c>
      <c r="B2462" s="4" t="s">
        <v>2759</v>
      </c>
      <c r="C2462" s="15">
        <v>0.0</v>
      </c>
      <c r="D2462" s="4" t="s">
        <v>3</v>
      </c>
    </row>
    <row r="2463">
      <c r="A2463" s="3">
        <v>2017.0</v>
      </c>
      <c r="B2463" s="4" t="s">
        <v>2760</v>
      </c>
      <c r="C2463" s="15">
        <v>0.0</v>
      </c>
      <c r="D2463" s="4" t="s">
        <v>6</v>
      </c>
    </row>
    <row r="2464">
      <c r="A2464" s="3">
        <v>2017.0</v>
      </c>
      <c r="B2464" s="4" t="s">
        <v>2761</v>
      </c>
      <c r="C2464" s="15">
        <v>4000.0</v>
      </c>
      <c r="D2464" s="4"/>
    </row>
    <row r="2465">
      <c r="A2465" s="3">
        <v>2017.0</v>
      </c>
      <c r="B2465" s="4" t="s">
        <v>1270</v>
      </c>
      <c r="C2465" s="15">
        <v>481561.0</v>
      </c>
      <c r="D2465" s="4" t="s">
        <v>2377</v>
      </c>
    </row>
    <row r="2466">
      <c r="A2466" s="3">
        <v>2017.0</v>
      </c>
      <c r="B2466" s="4" t="s">
        <v>1272</v>
      </c>
      <c r="C2466" s="15">
        <v>500.0</v>
      </c>
      <c r="D2466" s="4"/>
    </row>
    <row r="2467">
      <c r="A2467" s="3">
        <v>2017.0</v>
      </c>
      <c r="B2467" s="4" t="s">
        <v>2762</v>
      </c>
      <c r="C2467" s="15">
        <v>0.0</v>
      </c>
      <c r="D2467" s="4" t="s">
        <v>3</v>
      </c>
    </row>
    <row r="2468">
      <c r="A2468" s="3">
        <v>2017.0</v>
      </c>
      <c r="B2468" s="4" t="s">
        <v>2763</v>
      </c>
      <c r="C2468" s="15">
        <v>0.0</v>
      </c>
      <c r="D2468" s="4" t="s">
        <v>3</v>
      </c>
    </row>
    <row r="2469">
      <c r="A2469" s="3">
        <v>2017.0</v>
      </c>
      <c r="B2469" s="4" t="s">
        <v>1273</v>
      </c>
      <c r="C2469" s="15">
        <v>19500.0</v>
      </c>
      <c r="D2469" s="4" t="s">
        <v>2377</v>
      </c>
    </row>
    <row r="2470">
      <c r="A2470" s="3">
        <v>2017.0</v>
      </c>
      <c r="B2470" s="4" t="s">
        <v>1275</v>
      </c>
      <c r="C2470" s="15">
        <v>0.0</v>
      </c>
      <c r="D2470" s="4" t="s">
        <v>29</v>
      </c>
    </row>
    <row r="2471">
      <c r="A2471" s="3">
        <v>2017.0</v>
      </c>
      <c r="B2471" s="4" t="s">
        <v>2764</v>
      </c>
      <c r="C2471" s="15">
        <v>300.0</v>
      </c>
      <c r="D2471" s="4" t="s">
        <v>3</v>
      </c>
    </row>
    <row r="2472">
      <c r="A2472" s="3">
        <v>2017.0</v>
      </c>
      <c r="B2472" s="4" t="s">
        <v>2765</v>
      </c>
      <c r="C2472" s="15">
        <v>3500.0</v>
      </c>
      <c r="D2472" s="4"/>
    </row>
    <row r="2473">
      <c r="A2473" s="3">
        <v>2017.0</v>
      </c>
      <c r="B2473" s="4" t="s">
        <v>1277</v>
      </c>
      <c r="C2473" s="15">
        <v>18000.0</v>
      </c>
      <c r="D2473" s="4" t="s">
        <v>16</v>
      </c>
    </row>
    <row r="2474">
      <c r="A2474" s="3">
        <v>2017.0</v>
      </c>
      <c r="B2474" s="4" t="s">
        <v>1278</v>
      </c>
      <c r="C2474" s="15">
        <v>10000.0</v>
      </c>
      <c r="D2474" s="4"/>
    </row>
    <row r="2475">
      <c r="A2475" s="3">
        <v>2017.0</v>
      </c>
      <c r="B2475" s="4" t="s">
        <v>1279</v>
      </c>
      <c r="C2475" s="15">
        <v>4000.0</v>
      </c>
      <c r="D2475" s="4" t="s">
        <v>3</v>
      </c>
    </row>
    <row r="2476">
      <c r="A2476" s="3">
        <v>2017.0</v>
      </c>
      <c r="B2476" s="4" t="s">
        <v>2766</v>
      </c>
      <c r="C2476" s="15">
        <v>0.0</v>
      </c>
      <c r="D2476" s="4" t="s">
        <v>3</v>
      </c>
    </row>
    <row r="2477">
      <c r="A2477" s="3">
        <v>2017.0</v>
      </c>
      <c r="B2477" s="4" t="s">
        <v>1281</v>
      </c>
      <c r="C2477" s="15">
        <v>2000.0</v>
      </c>
      <c r="D2477" s="4" t="s">
        <v>3</v>
      </c>
    </row>
    <row r="2478">
      <c r="A2478" s="3">
        <v>2017.0</v>
      </c>
      <c r="B2478" s="4" t="s">
        <v>2767</v>
      </c>
      <c r="C2478" s="15">
        <v>0.0</v>
      </c>
      <c r="D2478" s="4" t="s">
        <v>2377</v>
      </c>
    </row>
    <row r="2479">
      <c r="A2479" s="3">
        <v>2017.0</v>
      </c>
      <c r="B2479" s="4" t="s">
        <v>1285</v>
      </c>
      <c r="C2479" s="15">
        <v>3300.0</v>
      </c>
      <c r="D2479" s="4"/>
    </row>
    <row r="2480">
      <c r="A2480" s="3">
        <v>2017.0</v>
      </c>
      <c r="B2480" s="4" t="s">
        <v>2768</v>
      </c>
      <c r="C2480" s="15">
        <v>0.0</v>
      </c>
      <c r="D2480" s="4" t="s">
        <v>3</v>
      </c>
    </row>
    <row r="2481">
      <c r="A2481" s="3">
        <v>2017.0</v>
      </c>
      <c r="B2481" s="4" t="s">
        <v>1287</v>
      </c>
      <c r="C2481" s="15">
        <v>4000.0</v>
      </c>
      <c r="D2481" s="4" t="s">
        <v>2377</v>
      </c>
    </row>
    <row r="2482">
      <c r="A2482" s="3">
        <v>2017.0</v>
      </c>
      <c r="B2482" s="4" t="s">
        <v>1288</v>
      </c>
      <c r="C2482" s="15">
        <v>10533.0</v>
      </c>
      <c r="D2482" s="4" t="s">
        <v>3</v>
      </c>
    </row>
    <row r="2483">
      <c r="A2483" s="3">
        <v>2017.0</v>
      </c>
      <c r="B2483" s="4" t="s">
        <v>2769</v>
      </c>
      <c r="C2483" s="15">
        <v>0.0</v>
      </c>
      <c r="D2483" s="4" t="s">
        <v>3</v>
      </c>
    </row>
    <row r="2484">
      <c r="A2484" s="3">
        <v>2017.0</v>
      </c>
      <c r="B2484" s="4" t="s">
        <v>2770</v>
      </c>
      <c r="C2484" s="15">
        <v>400.0</v>
      </c>
      <c r="D2484" s="4"/>
    </row>
    <row r="2485">
      <c r="A2485" s="3">
        <v>2017.0</v>
      </c>
      <c r="B2485" s="4" t="s">
        <v>2771</v>
      </c>
      <c r="C2485" s="15">
        <v>50000.0</v>
      </c>
      <c r="D2485" s="4" t="s">
        <v>29</v>
      </c>
    </row>
    <row r="2486">
      <c r="A2486" s="3">
        <v>2017.0</v>
      </c>
      <c r="B2486" s="4" t="s">
        <v>1290</v>
      </c>
      <c r="C2486" s="15">
        <v>3000.0</v>
      </c>
      <c r="D2486" s="4"/>
    </row>
    <row r="2487">
      <c r="A2487" s="3">
        <v>2017.0</v>
      </c>
      <c r="B2487" s="4" t="s">
        <v>1291</v>
      </c>
      <c r="C2487" s="15">
        <v>0.0</v>
      </c>
      <c r="D2487" s="4" t="s">
        <v>29</v>
      </c>
    </row>
    <row r="2488">
      <c r="A2488" s="3">
        <v>2017.0</v>
      </c>
      <c r="B2488" s="4" t="s">
        <v>2772</v>
      </c>
      <c r="C2488" s="15">
        <v>0.0</v>
      </c>
      <c r="D2488" s="4" t="s">
        <v>6</v>
      </c>
    </row>
    <row r="2489">
      <c r="A2489" s="3">
        <v>2017.0</v>
      </c>
      <c r="B2489" s="4" t="s">
        <v>1292</v>
      </c>
      <c r="C2489" s="15">
        <v>0.0</v>
      </c>
      <c r="D2489" s="4" t="s">
        <v>3</v>
      </c>
    </row>
    <row r="2490">
      <c r="A2490" s="3">
        <v>2017.0</v>
      </c>
      <c r="B2490" s="4" t="s">
        <v>2773</v>
      </c>
      <c r="C2490" s="15">
        <v>1000.0</v>
      </c>
      <c r="D2490" s="4"/>
    </row>
    <row r="2491">
      <c r="A2491" s="3">
        <v>2017.0</v>
      </c>
      <c r="B2491" s="4" t="s">
        <v>1293</v>
      </c>
      <c r="C2491" s="15">
        <v>2000.0</v>
      </c>
      <c r="D2491" s="4" t="s">
        <v>29</v>
      </c>
    </row>
    <row r="2492">
      <c r="A2492" s="3">
        <v>2017.0</v>
      </c>
      <c r="B2492" s="4" t="s">
        <v>1295</v>
      </c>
      <c r="C2492" s="15">
        <v>0.0</v>
      </c>
      <c r="D2492" s="4" t="s">
        <v>3</v>
      </c>
    </row>
    <row r="2493">
      <c r="A2493" s="3">
        <v>2017.0</v>
      </c>
      <c r="B2493" s="4" t="s">
        <v>2774</v>
      </c>
      <c r="C2493" s="15">
        <v>0.0</v>
      </c>
      <c r="D2493" s="4" t="s">
        <v>3</v>
      </c>
    </row>
    <row r="2494">
      <c r="A2494" s="3">
        <v>2017.0</v>
      </c>
      <c r="B2494" s="4" t="s">
        <v>1298</v>
      </c>
      <c r="C2494" s="15">
        <v>0.0</v>
      </c>
      <c r="D2494" s="4" t="s">
        <v>3</v>
      </c>
    </row>
    <row r="2495">
      <c r="A2495" s="3">
        <v>2017.0</v>
      </c>
      <c r="B2495" s="4" t="s">
        <v>1299</v>
      </c>
      <c r="C2495" s="15">
        <v>0.0</v>
      </c>
      <c r="D2495" s="4" t="s">
        <v>3</v>
      </c>
    </row>
    <row r="2496">
      <c r="A2496" s="3">
        <v>2017.0</v>
      </c>
      <c r="B2496" s="4" t="s">
        <v>1300</v>
      </c>
      <c r="C2496" s="15">
        <v>2000.0</v>
      </c>
      <c r="D2496" s="4" t="s">
        <v>2377</v>
      </c>
    </row>
    <row r="2497">
      <c r="A2497" s="3">
        <v>2017.0</v>
      </c>
      <c r="B2497" s="4" t="s">
        <v>2775</v>
      </c>
      <c r="C2497" s="15">
        <v>0.0</v>
      </c>
      <c r="D2497" s="4" t="s">
        <v>6</v>
      </c>
    </row>
    <row r="2498">
      <c r="A2498" s="3">
        <v>2017.0</v>
      </c>
      <c r="B2498" s="4" t="s">
        <v>1302</v>
      </c>
      <c r="C2498" s="15">
        <v>0.0</v>
      </c>
      <c r="D2498" s="4" t="s">
        <v>29</v>
      </c>
    </row>
    <row r="2499">
      <c r="A2499" s="3">
        <v>2017.0</v>
      </c>
      <c r="B2499" s="4" t="s">
        <v>1303</v>
      </c>
      <c r="C2499" s="15">
        <v>1500.0</v>
      </c>
      <c r="D2499" s="4" t="s">
        <v>6</v>
      </c>
    </row>
    <row r="2500">
      <c r="A2500" s="3">
        <v>2017.0</v>
      </c>
      <c r="B2500" s="4" t="s">
        <v>2776</v>
      </c>
      <c r="C2500" s="15">
        <v>0.0</v>
      </c>
      <c r="D2500" s="4" t="s">
        <v>3</v>
      </c>
    </row>
    <row r="2501">
      <c r="A2501" s="3">
        <v>2017.0</v>
      </c>
      <c r="B2501" s="4" t="s">
        <v>1304</v>
      </c>
      <c r="C2501" s="15">
        <v>45000.0</v>
      </c>
      <c r="D2501" s="4" t="s">
        <v>2377</v>
      </c>
    </row>
    <row r="2502">
      <c r="A2502" s="3">
        <v>2017.0</v>
      </c>
      <c r="B2502" s="4" t="s">
        <v>1305</v>
      </c>
      <c r="C2502" s="15">
        <v>7000.0</v>
      </c>
      <c r="D2502" s="4" t="s">
        <v>3</v>
      </c>
    </row>
    <row r="2503">
      <c r="A2503" s="3">
        <v>2017.0</v>
      </c>
      <c r="B2503" s="4" t="s">
        <v>1306</v>
      </c>
      <c r="C2503" s="15">
        <v>1700.0</v>
      </c>
      <c r="D2503" s="4" t="s">
        <v>6</v>
      </c>
    </row>
    <row r="2504">
      <c r="A2504" s="3">
        <v>2017.0</v>
      </c>
      <c r="B2504" s="4" t="s">
        <v>1307</v>
      </c>
      <c r="C2504" s="15">
        <v>0.0</v>
      </c>
      <c r="D2504" s="4" t="s">
        <v>2377</v>
      </c>
    </row>
    <row r="2505">
      <c r="A2505" s="3">
        <v>2017.0</v>
      </c>
      <c r="B2505" s="4" t="s">
        <v>2777</v>
      </c>
      <c r="C2505" s="15">
        <v>3000.0</v>
      </c>
      <c r="D2505" s="4"/>
    </row>
    <row r="2506">
      <c r="A2506" s="3">
        <v>2017.0</v>
      </c>
      <c r="B2506" s="4" t="s">
        <v>2778</v>
      </c>
      <c r="C2506" s="15">
        <v>0.0</v>
      </c>
      <c r="D2506" s="4" t="s">
        <v>6</v>
      </c>
    </row>
    <row r="2507">
      <c r="A2507" s="3">
        <v>2017.0</v>
      </c>
      <c r="B2507" s="4" t="s">
        <v>2779</v>
      </c>
      <c r="C2507" s="15">
        <v>10000.0</v>
      </c>
      <c r="D2507" s="4" t="s">
        <v>3</v>
      </c>
    </row>
    <row r="2508">
      <c r="A2508" s="3">
        <v>2017.0</v>
      </c>
      <c r="B2508" s="4" t="s">
        <v>2780</v>
      </c>
      <c r="C2508" s="15">
        <v>860.0</v>
      </c>
      <c r="D2508" s="4"/>
    </row>
    <row r="2509">
      <c r="A2509" s="3">
        <v>2017.0</v>
      </c>
      <c r="B2509" s="4" t="s">
        <v>2781</v>
      </c>
      <c r="C2509" s="15">
        <v>0.0</v>
      </c>
      <c r="D2509" s="4" t="s">
        <v>3</v>
      </c>
    </row>
    <row r="2510">
      <c r="A2510" s="3">
        <v>2017.0</v>
      </c>
      <c r="B2510" s="4" t="s">
        <v>1309</v>
      </c>
      <c r="C2510" s="15">
        <v>0.0</v>
      </c>
      <c r="D2510" s="4" t="s">
        <v>3</v>
      </c>
    </row>
    <row r="2511">
      <c r="A2511" s="3">
        <v>2017.0</v>
      </c>
      <c r="B2511" s="4" t="s">
        <v>1310</v>
      </c>
      <c r="C2511" s="15">
        <v>0.0</v>
      </c>
      <c r="D2511" s="4" t="s">
        <v>6</v>
      </c>
    </row>
    <row r="2512">
      <c r="A2512" s="3">
        <v>2017.0</v>
      </c>
      <c r="B2512" s="4" t="s">
        <v>1312</v>
      </c>
      <c r="C2512" s="15">
        <v>500.0</v>
      </c>
      <c r="D2512" s="4"/>
    </row>
    <row r="2513">
      <c r="A2513" s="3">
        <v>2017.0</v>
      </c>
      <c r="B2513" s="4" t="s">
        <v>1313</v>
      </c>
      <c r="C2513" s="15">
        <v>0.0</v>
      </c>
      <c r="D2513" s="4" t="s">
        <v>3</v>
      </c>
    </row>
    <row r="2514">
      <c r="A2514" s="3">
        <v>2017.0</v>
      </c>
      <c r="B2514" s="4" t="s">
        <v>1314</v>
      </c>
      <c r="C2514" s="15">
        <v>4000.0</v>
      </c>
      <c r="D2514" s="4"/>
    </row>
    <row r="2515">
      <c r="A2515" s="3">
        <v>2017.0</v>
      </c>
      <c r="B2515" s="4" t="s">
        <v>1315</v>
      </c>
      <c r="C2515" s="15">
        <v>16000.0</v>
      </c>
      <c r="D2515" s="4" t="s">
        <v>3</v>
      </c>
    </row>
    <row r="2516">
      <c r="A2516" s="3">
        <v>2017.0</v>
      </c>
      <c r="B2516" s="4" t="s">
        <v>1317</v>
      </c>
      <c r="C2516" s="15">
        <v>0.0</v>
      </c>
      <c r="D2516" s="4" t="s">
        <v>6</v>
      </c>
    </row>
    <row r="2517">
      <c r="A2517" s="3">
        <v>2017.0</v>
      </c>
      <c r="B2517" s="4" t="s">
        <v>2269</v>
      </c>
      <c r="C2517" s="15">
        <v>0.0</v>
      </c>
      <c r="D2517" s="4" t="s">
        <v>3</v>
      </c>
    </row>
    <row r="2518">
      <c r="A2518" s="3">
        <v>2017.0</v>
      </c>
      <c r="B2518" s="4" t="s">
        <v>2782</v>
      </c>
      <c r="C2518" s="15">
        <v>0.0</v>
      </c>
      <c r="D2518" s="4" t="s">
        <v>3</v>
      </c>
    </row>
    <row r="2519">
      <c r="A2519" s="3">
        <v>2017.0</v>
      </c>
      <c r="B2519" s="4" t="s">
        <v>2783</v>
      </c>
      <c r="C2519" s="15">
        <v>0.0</v>
      </c>
      <c r="D2519" s="4" t="s">
        <v>6</v>
      </c>
    </row>
    <row r="2520">
      <c r="A2520" s="3">
        <v>2017.0</v>
      </c>
      <c r="B2520" s="4" t="s">
        <v>2784</v>
      </c>
      <c r="C2520" s="15">
        <v>0.0</v>
      </c>
      <c r="D2520" s="4" t="s">
        <v>3</v>
      </c>
    </row>
    <row r="2521">
      <c r="A2521" s="3">
        <v>2017.0</v>
      </c>
      <c r="B2521" s="4" t="s">
        <v>1322</v>
      </c>
      <c r="C2521" s="15">
        <v>23000.0</v>
      </c>
      <c r="D2521" s="4" t="s">
        <v>3</v>
      </c>
    </row>
    <row r="2522">
      <c r="A2522" s="3">
        <v>2017.0</v>
      </c>
      <c r="B2522" s="4" t="s">
        <v>1324</v>
      </c>
      <c r="C2522" s="15">
        <v>4500.0</v>
      </c>
      <c r="D2522" s="4" t="s">
        <v>216</v>
      </c>
    </row>
    <row r="2523">
      <c r="A2523" s="3">
        <v>2017.0</v>
      </c>
      <c r="B2523" s="4" t="s">
        <v>2785</v>
      </c>
      <c r="C2523" s="15">
        <v>0.0</v>
      </c>
      <c r="D2523" s="4" t="s">
        <v>3</v>
      </c>
    </row>
    <row r="2524">
      <c r="A2524" s="3">
        <v>2017.0</v>
      </c>
      <c r="B2524" s="4" t="s">
        <v>1325</v>
      </c>
      <c r="C2524" s="15">
        <v>0.0</v>
      </c>
      <c r="D2524" s="4" t="s">
        <v>3</v>
      </c>
    </row>
    <row r="2525">
      <c r="A2525" s="3">
        <v>2017.0</v>
      </c>
      <c r="B2525" s="4" t="s">
        <v>2786</v>
      </c>
      <c r="C2525" s="15">
        <v>500.0</v>
      </c>
      <c r="D2525" s="4"/>
    </row>
    <row r="2526">
      <c r="A2526" s="3">
        <v>2017.0</v>
      </c>
      <c r="B2526" s="4" t="s">
        <v>2787</v>
      </c>
      <c r="C2526" s="15">
        <v>2500.0</v>
      </c>
      <c r="D2526" s="4"/>
    </row>
    <row r="2527">
      <c r="A2527" s="3">
        <v>2017.0</v>
      </c>
      <c r="B2527" s="4" t="s">
        <v>1328</v>
      </c>
      <c r="C2527" s="15">
        <v>0.0</v>
      </c>
      <c r="D2527" s="4" t="s">
        <v>29</v>
      </c>
    </row>
    <row r="2528">
      <c r="A2528" s="3">
        <v>2017.0</v>
      </c>
      <c r="B2528" s="4" t="s">
        <v>1329</v>
      </c>
      <c r="C2528" s="15">
        <v>2000.0</v>
      </c>
      <c r="D2528" s="4" t="s">
        <v>6</v>
      </c>
    </row>
    <row r="2529">
      <c r="A2529" s="3">
        <v>2017.0</v>
      </c>
      <c r="B2529" s="4" t="s">
        <v>2788</v>
      </c>
      <c r="C2529" s="15">
        <v>0.0</v>
      </c>
      <c r="D2529" s="4" t="s">
        <v>2377</v>
      </c>
    </row>
    <row r="2530">
      <c r="A2530" s="3">
        <v>2017.0</v>
      </c>
      <c r="B2530" s="4" t="s">
        <v>1331</v>
      </c>
      <c r="C2530" s="15">
        <v>8000.0</v>
      </c>
      <c r="D2530" s="4" t="s">
        <v>6</v>
      </c>
    </row>
    <row r="2531">
      <c r="A2531" s="3">
        <v>2017.0</v>
      </c>
      <c r="B2531" s="4" t="s">
        <v>1332</v>
      </c>
      <c r="C2531" s="15">
        <v>500.0</v>
      </c>
      <c r="D2531" s="4"/>
    </row>
    <row r="2532">
      <c r="A2532" s="3">
        <v>2017.0</v>
      </c>
      <c r="B2532" s="4" t="s">
        <v>1333</v>
      </c>
      <c r="C2532" s="15">
        <v>1500.0</v>
      </c>
      <c r="D2532" s="4"/>
    </row>
    <row r="2533">
      <c r="A2533" s="3">
        <v>2017.0</v>
      </c>
      <c r="B2533" s="4" t="s">
        <v>2789</v>
      </c>
      <c r="C2533" s="15">
        <v>2000.0</v>
      </c>
      <c r="D2533" s="4" t="s">
        <v>6</v>
      </c>
    </row>
    <row r="2534">
      <c r="A2534" s="3">
        <v>2017.0</v>
      </c>
      <c r="B2534" s="4" t="s">
        <v>1335</v>
      </c>
      <c r="C2534" s="15">
        <v>0.0</v>
      </c>
      <c r="D2534" s="4" t="s">
        <v>3</v>
      </c>
    </row>
    <row r="2535">
      <c r="A2535" s="3">
        <v>2017.0</v>
      </c>
      <c r="B2535" s="4" t="s">
        <v>1336</v>
      </c>
      <c r="C2535" s="15">
        <v>18000.0</v>
      </c>
      <c r="D2535" s="4" t="s">
        <v>3</v>
      </c>
    </row>
    <row r="2536">
      <c r="A2536" s="3">
        <v>2017.0</v>
      </c>
      <c r="B2536" s="4" t="s">
        <v>1337</v>
      </c>
      <c r="C2536" s="15">
        <v>3000.0</v>
      </c>
      <c r="D2536" s="4"/>
    </row>
    <row r="2537">
      <c r="A2537" s="3">
        <v>2017.0</v>
      </c>
      <c r="B2537" s="4" t="s">
        <v>2790</v>
      </c>
      <c r="C2537" s="15">
        <v>8000.0</v>
      </c>
      <c r="D2537" s="4" t="s">
        <v>3</v>
      </c>
    </row>
    <row r="2538">
      <c r="A2538" s="3">
        <v>2017.0</v>
      </c>
      <c r="B2538" s="4" t="s">
        <v>1338</v>
      </c>
      <c r="C2538" s="15">
        <v>4000.0</v>
      </c>
      <c r="D2538" s="4" t="s">
        <v>3</v>
      </c>
    </row>
    <row r="2539">
      <c r="A2539" s="3">
        <v>2017.0</v>
      </c>
      <c r="B2539" s="4" t="s">
        <v>1339</v>
      </c>
      <c r="C2539" s="15">
        <v>57357.0</v>
      </c>
      <c r="D2539" s="4"/>
    </row>
    <row r="2540">
      <c r="A2540" s="3">
        <v>2017.0</v>
      </c>
      <c r="B2540" s="4" t="s">
        <v>2791</v>
      </c>
      <c r="C2540" s="15">
        <v>5000.0</v>
      </c>
      <c r="D2540" s="4"/>
    </row>
    <row r="2541">
      <c r="A2541" s="3">
        <v>2017.0</v>
      </c>
      <c r="B2541" s="4" t="s">
        <v>2792</v>
      </c>
      <c r="C2541" s="15">
        <v>0.0</v>
      </c>
      <c r="D2541" s="4" t="s">
        <v>6</v>
      </c>
    </row>
    <row r="2542">
      <c r="A2542" s="3">
        <v>2017.0</v>
      </c>
      <c r="B2542" s="4" t="s">
        <v>2793</v>
      </c>
      <c r="C2542" s="15">
        <v>0.0</v>
      </c>
      <c r="D2542" s="4" t="s">
        <v>3</v>
      </c>
    </row>
    <row r="2543">
      <c r="A2543" s="3">
        <v>2017.0</v>
      </c>
      <c r="B2543" s="4" t="s">
        <v>2794</v>
      </c>
      <c r="C2543" s="15">
        <v>0.0</v>
      </c>
      <c r="D2543" s="4" t="s">
        <v>3</v>
      </c>
    </row>
    <row r="2544">
      <c r="A2544" s="3">
        <v>2017.0</v>
      </c>
      <c r="B2544" s="4" t="s">
        <v>1347</v>
      </c>
      <c r="C2544" s="15">
        <v>0.0</v>
      </c>
      <c r="D2544" s="4" t="s">
        <v>3</v>
      </c>
    </row>
    <row r="2545">
      <c r="A2545" s="3">
        <v>2017.0</v>
      </c>
      <c r="B2545" s="4" t="s">
        <v>1348</v>
      </c>
      <c r="C2545" s="15">
        <v>13000.0</v>
      </c>
      <c r="D2545" s="4"/>
    </row>
    <row r="2546">
      <c r="A2546" s="3">
        <v>2017.0</v>
      </c>
      <c r="B2546" s="4" t="s">
        <v>2795</v>
      </c>
      <c r="C2546" s="15">
        <v>0.0</v>
      </c>
      <c r="D2546" s="4" t="s">
        <v>3</v>
      </c>
    </row>
    <row r="2547">
      <c r="A2547" s="3">
        <v>2017.0</v>
      </c>
      <c r="B2547" s="4" t="s">
        <v>2796</v>
      </c>
      <c r="C2547" s="15">
        <v>2000.0</v>
      </c>
      <c r="D2547" s="4" t="s">
        <v>6</v>
      </c>
    </row>
    <row r="2548">
      <c r="A2548" s="3">
        <v>2017.0</v>
      </c>
      <c r="B2548" s="4" t="s">
        <v>1351</v>
      </c>
      <c r="C2548" s="15">
        <v>4000.0</v>
      </c>
      <c r="D2548" s="4"/>
    </row>
    <row r="2549">
      <c r="A2549" s="3">
        <v>2017.0</v>
      </c>
      <c r="B2549" s="4" t="s">
        <v>1352</v>
      </c>
      <c r="C2549" s="15">
        <v>0.0</v>
      </c>
      <c r="D2549" s="4" t="s">
        <v>3</v>
      </c>
    </row>
    <row r="2550">
      <c r="A2550" s="3">
        <v>2017.0</v>
      </c>
      <c r="B2550" s="4" t="s">
        <v>2797</v>
      </c>
      <c r="C2550" s="15">
        <v>0.0</v>
      </c>
      <c r="D2550" s="4" t="s">
        <v>3</v>
      </c>
    </row>
    <row r="2551">
      <c r="A2551" s="3">
        <v>2017.0</v>
      </c>
      <c r="B2551" s="4" t="s">
        <v>2798</v>
      </c>
      <c r="C2551" s="15">
        <v>0.0</v>
      </c>
      <c r="D2551" s="4" t="s">
        <v>3</v>
      </c>
    </row>
    <row r="2552">
      <c r="A2552" s="3">
        <v>2017.0</v>
      </c>
      <c r="B2552" s="4" t="s">
        <v>2799</v>
      </c>
      <c r="C2552" s="15">
        <v>0.0</v>
      </c>
      <c r="D2552" s="4" t="s">
        <v>3</v>
      </c>
    </row>
    <row r="2553">
      <c r="A2553" s="3">
        <v>2017.0</v>
      </c>
      <c r="B2553" s="4" t="s">
        <v>2800</v>
      </c>
      <c r="C2553" s="15">
        <v>6300.0</v>
      </c>
      <c r="D2553" s="4" t="s">
        <v>3</v>
      </c>
    </row>
    <row r="2554">
      <c r="A2554" s="3">
        <v>2017.0</v>
      </c>
      <c r="B2554" s="4" t="s">
        <v>1355</v>
      </c>
      <c r="C2554" s="15">
        <v>0.0</v>
      </c>
      <c r="D2554" s="4" t="s">
        <v>3</v>
      </c>
    </row>
    <row r="2555">
      <c r="A2555" s="3">
        <v>2017.0</v>
      </c>
      <c r="B2555" s="4" t="s">
        <v>2801</v>
      </c>
      <c r="C2555" s="15">
        <v>0.0</v>
      </c>
      <c r="D2555" s="4" t="s">
        <v>3</v>
      </c>
    </row>
    <row r="2556">
      <c r="A2556" s="3">
        <v>2017.0</v>
      </c>
      <c r="B2556" s="4" t="s">
        <v>1357</v>
      </c>
      <c r="C2556" s="15">
        <v>0.0</v>
      </c>
      <c r="D2556" s="4" t="s">
        <v>3</v>
      </c>
    </row>
    <row r="2557">
      <c r="A2557" s="3">
        <v>2017.0</v>
      </c>
      <c r="B2557" s="4" t="s">
        <v>2802</v>
      </c>
      <c r="C2557" s="15">
        <v>0.0</v>
      </c>
      <c r="D2557" s="4" t="s">
        <v>6</v>
      </c>
    </row>
    <row r="2558">
      <c r="A2558" s="3">
        <v>2017.0</v>
      </c>
      <c r="B2558" s="4" t="s">
        <v>1358</v>
      </c>
      <c r="C2558" s="15">
        <v>27000.0</v>
      </c>
      <c r="D2558" s="4" t="s">
        <v>2377</v>
      </c>
    </row>
    <row r="2559">
      <c r="A2559" s="3">
        <v>2017.0</v>
      </c>
      <c r="B2559" s="4" t="s">
        <v>2803</v>
      </c>
      <c r="C2559" s="15">
        <v>0.0</v>
      </c>
      <c r="D2559" s="4" t="s">
        <v>3</v>
      </c>
    </row>
    <row r="2560">
      <c r="A2560" s="3">
        <v>2017.0</v>
      </c>
      <c r="B2560" s="4" t="s">
        <v>2270</v>
      </c>
      <c r="C2560" s="15">
        <v>8900.0</v>
      </c>
      <c r="D2560" s="4" t="s">
        <v>2370</v>
      </c>
    </row>
    <row r="2561">
      <c r="A2561" s="3">
        <v>2017.0</v>
      </c>
      <c r="B2561" s="4" t="s">
        <v>1361</v>
      </c>
      <c r="C2561" s="15">
        <v>10000.0</v>
      </c>
      <c r="D2561" s="4"/>
    </row>
    <row r="2562">
      <c r="A2562" s="3">
        <v>2017.0</v>
      </c>
      <c r="B2562" s="4" t="s">
        <v>1362</v>
      </c>
      <c r="C2562" s="15">
        <v>650.0</v>
      </c>
      <c r="D2562" s="4" t="s">
        <v>2368</v>
      </c>
    </row>
    <row r="2563">
      <c r="A2563" s="3">
        <v>2017.0</v>
      </c>
      <c r="B2563" s="4" t="s">
        <v>1363</v>
      </c>
      <c r="C2563" s="15">
        <v>74000.0</v>
      </c>
      <c r="D2563" s="4" t="s">
        <v>2377</v>
      </c>
    </row>
    <row r="2564">
      <c r="A2564" s="3">
        <v>2017.0</v>
      </c>
      <c r="B2564" s="4" t="s">
        <v>2804</v>
      </c>
      <c r="C2564" s="15">
        <v>0.0</v>
      </c>
      <c r="D2564" s="4" t="s">
        <v>6</v>
      </c>
    </row>
    <row r="2565">
      <c r="A2565" s="3">
        <v>2017.0</v>
      </c>
      <c r="B2565" s="4" t="s">
        <v>2805</v>
      </c>
      <c r="C2565" s="15">
        <v>0.0</v>
      </c>
      <c r="D2565" s="4" t="s">
        <v>3</v>
      </c>
    </row>
    <row r="2566">
      <c r="A2566" s="3">
        <v>2017.0</v>
      </c>
      <c r="B2566" s="4" t="s">
        <v>2806</v>
      </c>
      <c r="C2566" s="15">
        <v>0.0</v>
      </c>
      <c r="D2566" s="4" t="s">
        <v>2370</v>
      </c>
    </row>
    <row r="2567">
      <c r="A2567" s="3">
        <v>2017.0</v>
      </c>
      <c r="B2567" s="4" t="s">
        <v>1365</v>
      </c>
      <c r="C2567" s="15">
        <v>0.0</v>
      </c>
      <c r="D2567" s="4" t="s">
        <v>2377</v>
      </c>
    </row>
    <row r="2568">
      <c r="A2568" s="3">
        <v>2017.0</v>
      </c>
      <c r="B2568" s="4" t="s">
        <v>2807</v>
      </c>
      <c r="C2568" s="15">
        <v>0.0</v>
      </c>
      <c r="D2568" s="4" t="s">
        <v>3</v>
      </c>
    </row>
    <row r="2569">
      <c r="A2569" s="3">
        <v>2017.0</v>
      </c>
      <c r="B2569" s="4" t="s">
        <v>1367</v>
      </c>
      <c r="C2569" s="15">
        <v>11500.0</v>
      </c>
      <c r="D2569" s="4" t="s">
        <v>3</v>
      </c>
    </row>
    <row r="2570">
      <c r="A2570" s="3">
        <v>2017.0</v>
      </c>
      <c r="B2570" s="4" t="s">
        <v>1368</v>
      </c>
      <c r="C2570" s="15">
        <v>3000.0</v>
      </c>
      <c r="D2570" s="4"/>
    </row>
    <row r="2571">
      <c r="A2571" s="3">
        <v>2017.0</v>
      </c>
      <c r="B2571" s="4" t="s">
        <v>1369</v>
      </c>
      <c r="C2571" s="15">
        <v>0.0</v>
      </c>
      <c r="D2571" s="4" t="s">
        <v>3</v>
      </c>
    </row>
    <row r="2572">
      <c r="A2572" s="3">
        <v>2017.0</v>
      </c>
      <c r="B2572" s="4" t="s">
        <v>1370</v>
      </c>
      <c r="C2572" s="15">
        <v>2500.0</v>
      </c>
      <c r="D2572" s="4" t="s">
        <v>2377</v>
      </c>
    </row>
    <row r="2573">
      <c r="A2573" s="3">
        <v>2017.0</v>
      </c>
      <c r="B2573" s="4" t="s">
        <v>1371</v>
      </c>
      <c r="C2573" s="15">
        <v>190000.0</v>
      </c>
      <c r="D2573" s="4" t="s">
        <v>176</v>
      </c>
    </row>
    <row r="2574">
      <c r="A2574" s="3">
        <v>2017.0</v>
      </c>
      <c r="B2574" s="4" t="s">
        <v>1375</v>
      </c>
      <c r="C2574" s="15">
        <v>0.0</v>
      </c>
      <c r="D2574" s="4" t="s">
        <v>3</v>
      </c>
    </row>
    <row r="2575">
      <c r="A2575" s="3">
        <v>2017.0</v>
      </c>
      <c r="B2575" s="4" t="s">
        <v>1376</v>
      </c>
      <c r="C2575" s="15">
        <v>0.0</v>
      </c>
      <c r="D2575" s="4" t="s">
        <v>3</v>
      </c>
    </row>
    <row r="2576">
      <c r="A2576" s="3">
        <v>2017.0</v>
      </c>
      <c r="B2576" s="4" t="s">
        <v>1377</v>
      </c>
      <c r="C2576" s="15">
        <v>51819.78</v>
      </c>
      <c r="D2576" s="4" t="s">
        <v>3</v>
      </c>
    </row>
    <row r="2577">
      <c r="A2577" s="3">
        <v>2017.0</v>
      </c>
      <c r="B2577" s="4" t="s">
        <v>2808</v>
      </c>
      <c r="C2577" s="15">
        <v>0.0</v>
      </c>
      <c r="D2577" s="4" t="s">
        <v>3</v>
      </c>
    </row>
    <row r="2578">
      <c r="A2578" s="3">
        <v>2017.0</v>
      </c>
      <c r="B2578" s="4" t="s">
        <v>1381</v>
      </c>
      <c r="C2578" s="15">
        <v>0.0</v>
      </c>
      <c r="D2578" s="4" t="s">
        <v>1651</v>
      </c>
    </row>
    <row r="2579">
      <c r="A2579" s="3">
        <v>2017.0</v>
      </c>
      <c r="B2579" s="4" t="s">
        <v>1384</v>
      </c>
      <c r="C2579" s="15">
        <v>0.0</v>
      </c>
      <c r="D2579" s="4" t="s">
        <v>3</v>
      </c>
    </row>
    <row r="2580">
      <c r="A2580" s="3">
        <v>2017.0</v>
      </c>
      <c r="B2580" s="4" t="s">
        <v>2809</v>
      </c>
      <c r="C2580" s="15">
        <v>0.0</v>
      </c>
      <c r="D2580" s="4" t="s">
        <v>3</v>
      </c>
    </row>
    <row r="2581">
      <c r="A2581" s="3">
        <v>2017.0</v>
      </c>
      <c r="B2581" s="4" t="s">
        <v>2810</v>
      </c>
      <c r="C2581" s="15">
        <v>12000.0</v>
      </c>
      <c r="D2581" s="4"/>
    </row>
    <row r="2582">
      <c r="A2582" s="3">
        <v>2017.0</v>
      </c>
      <c r="B2582" s="4" t="s">
        <v>1386</v>
      </c>
      <c r="C2582" s="15">
        <v>2200.0</v>
      </c>
      <c r="D2582" s="4" t="s">
        <v>2377</v>
      </c>
    </row>
    <row r="2583">
      <c r="A2583" s="3">
        <v>2017.0</v>
      </c>
      <c r="B2583" s="4" t="s">
        <v>1387</v>
      </c>
      <c r="C2583" s="15">
        <v>4000.0</v>
      </c>
      <c r="D2583" s="4" t="s">
        <v>3</v>
      </c>
    </row>
    <row r="2584">
      <c r="A2584" s="3">
        <v>2017.0</v>
      </c>
      <c r="B2584" s="4" t="s">
        <v>1389</v>
      </c>
      <c r="C2584" s="15">
        <v>121000.0</v>
      </c>
      <c r="D2584" s="4" t="s">
        <v>176</v>
      </c>
    </row>
    <row r="2585">
      <c r="A2585" s="3">
        <v>2017.0</v>
      </c>
      <c r="B2585" s="4" t="s">
        <v>2811</v>
      </c>
      <c r="C2585" s="15">
        <v>0.0</v>
      </c>
      <c r="D2585" s="4" t="s">
        <v>2508</v>
      </c>
    </row>
    <row r="2586">
      <c r="A2586" s="3">
        <v>2017.0</v>
      </c>
      <c r="B2586" s="4" t="s">
        <v>2812</v>
      </c>
      <c r="C2586" s="15">
        <v>1000.0</v>
      </c>
      <c r="D2586" s="4"/>
    </row>
    <row r="2587">
      <c r="A2587" s="3">
        <v>2017.0</v>
      </c>
      <c r="B2587" s="4" t="s">
        <v>1393</v>
      </c>
      <c r="C2587" s="15">
        <v>4000.0</v>
      </c>
      <c r="D2587" s="4" t="s">
        <v>6</v>
      </c>
    </row>
    <row r="2588">
      <c r="A2588" s="3">
        <v>2017.0</v>
      </c>
      <c r="B2588" s="4" t="s">
        <v>2813</v>
      </c>
      <c r="C2588" s="15">
        <v>0.0</v>
      </c>
      <c r="D2588" s="4" t="s">
        <v>6</v>
      </c>
    </row>
    <row r="2589">
      <c r="A2589" s="3">
        <v>2017.0</v>
      </c>
      <c r="B2589" s="4" t="s">
        <v>2814</v>
      </c>
      <c r="C2589" s="15">
        <v>4000.0</v>
      </c>
      <c r="D2589" s="4" t="s">
        <v>3</v>
      </c>
    </row>
    <row r="2590">
      <c r="A2590" s="3">
        <v>2017.0</v>
      </c>
      <c r="B2590" s="4" t="s">
        <v>2815</v>
      </c>
      <c r="C2590" s="15">
        <v>0.0</v>
      </c>
      <c r="D2590" s="4" t="s">
        <v>3</v>
      </c>
    </row>
    <row r="2591">
      <c r="A2591" s="3">
        <v>2017.0</v>
      </c>
      <c r="B2591" s="4" t="s">
        <v>2816</v>
      </c>
      <c r="C2591" s="15">
        <v>0.0</v>
      </c>
      <c r="D2591" s="4" t="s">
        <v>2377</v>
      </c>
    </row>
    <row r="2592">
      <c r="A2592" s="3">
        <v>2017.0</v>
      </c>
      <c r="B2592" s="4" t="s">
        <v>1394</v>
      </c>
      <c r="C2592" s="15">
        <v>0.0</v>
      </c>
      <c r="D2592" s="4" t="s">
        <v>6</v>
      </c>
    </row>
    <row r="2593">
      <c r="A2593" s="3">
        <v>2017.0</v>
      </c>
      <c r="B2593" s="4" t="s">
        <v>1395</v>
      </c>
      <c r="C2593" s="15">
        <v>480.0</v>
      </c>
      <c r="D2593" s="4"/>
    </row>
    <row r="2594">
      <c r="A2594" s="3">
        <v>2017.0</v>
      </c>
      <c r="B2594" s="4" t="s">
        <v>1399</v>
      </c>
      <c r="C2594" s="15">
        <v>0.0</v>
      </c>
      <c r="D2594" s="4" t="s">
        <v>3</v>
      </c>
    </row>
    <row r="2595">
      <c r="A2595" s="3">
        <v>2017.0</v>
      </c>
      <c r="B2595" s="4" t="s">
        <v>1400</v>
      </c>
      <c r="C2595" s="15">
        <v>0.0</v>
      </c>
      <c r="D2595" s="4" t="s">
        <v>3</v>
      </c>
    </row>
    <row r="2596">
      <c r="A2596" s="3">
        <v>2017.0</v>
      </c>
      <c r="B2596" s="4" t="s">
        <v>2817</v>
      </c>
      <c r="C2596" s="15">
        <v>4800.0</v>
      </c>
      <c r="D2596" s="4"/>
    </row>
    <row r="2597">
      <c r="A2597" s="3">
        <v>2017.0</v>
      </c>
      <c r="B2597" s="4" t="s">
        <v>1401</v>
      </c>
      <c r="C2597" s="15">
        <v>5400.0</v>
      </c>
      <c r="D2597" s="4"/>
    </row>
    <row r="2598">
      <c r="A2598" s="3">
        <v>2017.0</v>
      </c>
      <c r="B2598" s="4" t="s">
        <v>2818</v>
      </c>
      <c r="C2598" s="15">
        <v>0.0</v>
      </c>
      <c r="D2598" s="4" t="s">
        <v>3</v>
      </c>
    </row>
    <row r="2599">
      <c r="A2599" s="3">
        <v>2017.0</v>
      </c>
      <c r="B2599" s="4" t="s">
        <v>1403</v>
      </c>
      <c r="C2599" s="15">
        <v>0.0</v>
      </c>
      <c r="D2599" s="4" t="s">
        <v>3</v>
      </c>
    </row>
    <row r="2600">
      <c r="A2600" s="3">
        <v>2017.0</v>
      </c>
      <c r="B2600" s="4" t="s">
        <v>1404</v>
      </c>
      <c r="C2600" s="15">
        <v>0.0</v>
      </c>
      <c r="D2600" s="4" t="s">
        <v>2377</v>
      </c>
    </row>
    <row r="2601">
      <c r="A2601" s="3">
        <v>2017.0</v>
      </c>
      <c r="B2601" s="4" t="s">
        <v>1405</v>
      </c>
      <c r="C2601" s="15">
        <v>14000.0</v>
      </c>
      <c r="D2601" s="4"/>
    </row>
    <row r="2602">
      <c r="A2602" s="3">
        <v>2017.0</v>
      </c>
      <c r="B2602" s="4" t="s">
        <v>1406</v>
      </c>
      <c r="C2602" s="15">
        <v>15180.0</v>
      </c>
      <c r="D2602" s="4" t="s">
        <v>2377</v>
      </c>
    </row>
    <row r="2603">
      <c r="A2603" s="3">
        <v>2017.0</v>
      </c>
      <c r="B2603" s="4" t="s">
        <v>2819</v>
      </c>
      <c r="C2603" s="15">
        <v>0.0</v>
      </c>
      <c r="D2603" s="4" t="s">
        <v>668</v>
      </c>
    </row>
    <row r="2604">
      <c r="A2604" s="3">
        <v>2017.0</v>
      </c>
      <c r="B2604" s="4" t="s">
        <v>1408</v>
      </c>
      <c r="C2604" s="15">
        <v>1500.0</v>
      </c>
      <c r="D2604" s="4"/>
    </row>
    <row r="2605">
      <c r="A2605" s="3">
        <v>2017.0</v>
      </c>
      <c r="B2605" s="4" t="s">
        <v>1409</v>
      </c>
      <c r="C2605" s="15">
        <v>0.0</v>
      </c>
      <c r="D2605" s="4" t="s">
        <v>6</v>
      </c>
    </row>
    <row r="2606">
      <c r="A2606" s="3">
        <v>2017.0</v>
      </c>
      <c r="B2606" s="4" t="s">
        <v>2820</v>
      </c>
      <c r="C2606" s="15">
        <v>0.0</v>
      </c>
      <c r="D2606" s="4" t="s">
        <v>3</v>
      </c>
    </row>
    <row r="2607">
      <c r="A2607" s="3">
        <v>2017.0</v>
      </c>
      <c r="B2607" s="4" t="s">
        <v>1410</v>
      </c>
      <c r="C2607" s="15">
        <v>0.0</v>
      </c>
      <c r="D2607" s="4" t="s">
        <v>6</v>
      </c>
    </row>
    <row r="2608">
      <c r="A2608" s="3">
        <v>2017.0</v>
      </c>
      <c r="B2608" s="4" t="s">
        <v>1411</v>
      </c>
      <c r="C2608" s="15">
        <v>0.0</v>
      </c>
      <c r="D2608" s="4" t="s">
        <v>2377</v>
      </c>
    </row>
    <row r="2609">
      <c r="A2609" s="3">
        <v>2017.0</v>
      </c>
      <c r="B2609" s="4" t="s">
        <v>1412</v>
      </c>
      <c r="C2609" s="15">
        <v>0.0</v>
      </c>
      <c r="D2609" s="4" t="s">
        <v>3</v>
      </c>
    </row>
    <row r="2610">
      <c r="A2610" s="3">
        <v>2017.0</v>
      </c>
      <c r="B2610" s="4" t="s">
        <v>1413</v>
      </c>
      <c r="C2610" s="15">
        <v>0.0</v>
      </c>
      <c r="D2610" s="4" t="s">
        <v>3</v>
      </c>
    </row>
    <row r="2611">
      <c r="A2611" s="3">
        <v>2017.0</v>
      </c>
      <c r="B2611" s="4" t="s">
        <v>2821</v>
      </c>
      <c r="C2611" s="15">
        <v>4000.0</v>
      </c>
      <c r="D2611" s="4"/>
    </row>
    <row r="2612">
      <c r="A2612" s="3">
        <v>2017.0</v>
      </c>
      <c r="B2612" s="4" t="s">
        <v>1415</v>
      </c>
      <c r="C2612" s="15">
        <v>500.0</v>
      </c>
      <c r="D2612" s="4"/>
    </row>
    <row r="2613">
      <c r="A2613" s="3">
        <v>2017.0</v>
      </c>
      <c r="B2613" s="4" t="s">
        <v>1417</v>
      </c>
      <c r="C2613" s="15">
        <v>4500.0</v>
      </c>
      <c r="D2613" s="4"/>
    </row>
    <row r="2614">
      <c r="A2614" s="3">
        <v>2017.0</v>
      </c>
      <c r="B2614" s="4" t="s">
        <v>2822</v>
      </c>
      <c r="C2614" s="15">
        <v>0.0</v>
      </c>
      <c r="D2614" s="4" t="s">
        <v>3</v>
      </c>
    </row>
    <row r="2615">
      <c r="A2615" s="3">
        <v>2017.0</v>
      </c>
      <c r="B2615" s="4" t="s">
        <v>1418</v>
      </c>
      <c r="C2615" s="15">
        <v>5000.0</v>
      </c>
      <c r="D2615" s="4" t="s">
        <v>216</v>
      </c>
    </row>
    <row r="2616">
      <c r="A2616" s="3">
        <v>2017.0</v>
      </c>
      <c r="B2616" s="4" t="s">
        <v>2823</v>
      </c>
      <c r="C2616" s="15">
        <v>0.0</v>
      </c>
      <c r="D2616" s="4" t="s">
        <v>3</v>
      </c>
    </row>
    <row r="2617">
      <c r="A2617" s="3">
        <v>2017.0</v>
      </c>
      <c r="B2617" s="4" t="s">
        <v>2824</v>
      </c>
      <c r="C2617" s="15">
        <v>4000.0</v>
      </c>
      <c r="D2617" s="4"/>
    </row>
    <row r="2618">
      <c r="A2618" s="3">
        <v>2017.0</v>
      </c>
      <c r="B2618" s="4" t="s">
        <v>1420</v>
      </c>
      <c r="C2618" s="15">
        <v>10000.0</v>
      </c>
      <c r="D2618" s="4" t="s">
        <v>6</v>
      </c>
    </row>
    <row r="2619">
      <c r="A2619" s="3">
        <v>2017.0</v>
      </c>
      <c r="B2619" s="4" t="s">
        <v>2825</v>
      </c>
      <c r="C2619" s="15">
        <v>0.0</v>
      </c>
      <c r="D2619" s="4" t="s">
        <v>3</v>
      </c>
    </row>
    <row r="2620">
      <c r="A2620" s="3">
        <v>2017.0</v>
      </c>
      <c r="B2620" s="4" t="s">
        <v>1427</v>
      </c>
      <c r="C2620" s="15">
        <v>5955.0</v>
      </c>
      <c r="D2620" s="4" t="s">
        <v>2377</v>
      </c>
    </row>
    <row r="2621">
      <c r="A2621" s="3">
        <v>2017.0</v>
      </c>
      <c r="B2621" s="4" t="s">
        <v>2826</v>
      </c>
      <c r="C2621" s="15">
        <v>0.0</v>
      </c>
      <c r="D2621" s="4" t="s">
        <v>3</v>
      </c>
    </row>
    <row r="2622">
      <c r="A2622" s="3">
        <v>2017.0</v>
      </c>
      <c r="B2622" s="4" t="s">
        <v>1429</v>
      </c>
      <c r="C2622" s="15">
        <v>0.0</v>
      </c>
      <c r="D2622" s="4" t="s">
        <v>3</v>
      </c>
    </row>
    <row r="2623">
      <c r="A2623" s="3">
        <v>2017.0</v>
      </c>
      <c r="B2623" s="4" t="s">
        <v>2827</v>
      </c>
      <c r="C2623" s="15">
        <v>800.0</v>
      </c>
      <c r="D2623" s="4" t="s">
        <v>3</v>
      </c>
    </row>
    <row r="2624">
      <c r="A2624" s="3">
        <v>2017.0</v>
      </c>
      <c r="B2624" s="4" t="s">
        <v>1430</v>
      </c>
      <c r="C2624" s="15">
        <v>500.0</v>
      </c>
      <c r="D2624" s="4" t="s">
        <v>6</v>
      </c>
    </row>
    <row r="2625">
      <c r="A2625" s="3">
        <v>2017.0</v>
      </c>
      <c r="B2625" s="4" t="s">
        <v>1431</v>
      </c>
      <c r="C2625" s="15">
        <v>5000.0</v>
      </c>
      <c r="D2625" s="4" t="s">
        <v>6</v>
      </c>
    </row>
    <row r="2626">
      <c r="A2626" s="3">
        <v>2017.0</v>
      </c>
      <c r="B2626" s="4" t="s">
        <v>2273</v>
      </c>
      <c r="C2626" s="15">
        <v>0.0</v>
      </c>
      <c r="D2626" s="4" t="s">
        <v>2508</v>
      </c>
    </row>
    <row r="2627">
      <c r="A2627" s="3">
        <v>2017.0</v>
      </c>
      <c r="B2627" s="4" t="s">
        <v>2828</v>
      </c>
      <c r="C2627" s="15">
        <v>0.0</v>
      </c>
      <c r="D2627" s="4" t="s">
        <v>3</v>
      </c>
    </row>
    <row r="2628">
      <c r="A2628" s="3">
        <v>2017.0</v>
      </c>
      <c r="B2628" s="4" t="s">
        <v>1434</v>
      </c>
      <c r="C2628" s="15">
        <v>3500.0</v>
      </c>
      <c r="D2628" s="4" t="s">
        <v>3</v>
      </c>
    </row>
    <row r="2629">
      <c r="A2629" s="3">
        <v>2017.0</v>
      </c>
      <c r="B2629" s="4" t="s">
        <v>1436</v>
      </c>
      <c r="C2629" s="15">
        <v>4000.0</v>
      </c>
      <c r="D2629" s="4"/>
    </row>
    <row r="2630">
      <c r="A2630" s="3">
        <v>2017.0</v>
      </c>
      <c r="B2630" s="4" t="s">
        <v>2829</v>
      </c>
      <c r="C2630" s="15">
        <v>1500.0</v>
      </c>
      <c r="D2630" s="4"/>
    </row>
    <row r="2631">
      <c r="A2631" s="3">
        <v>2017.0</v>
      </c>
      <c r="B2631" s="4" t="s">
        <v>2830</v>
      </c>
      <c r="C2631" s="15">
        <v>0.0</v>
      </c>
      <c r="D2631" s="4" t="s">
        <v>3</v>
      </c>
    </row>
    <row r="2632">
      <c r="A2632" s="3">
        <v>2017.0</v>
      </c>
      <c r="B2632" s="4" t="s">
        <v>1438</v>
      </c>
      <c r="C2632" s="15">
        <v>50000.0</v>
      </c>
      <c r="D2632" s="4"/>
    </row>
    <row r="2633">
      <c r="A2633" s="3">
        <v>2017.0</v>
      </c>
      <c r="B2633" s="4" t="s">
        <v>2274</v>
      </c>
      <c r="C2633" s="15">
        <v>26852.0</v>
      </c>
      <c r="D2633" s="4" t="s">
        <v>2370</v>
      </c>
    </row>
    <row r="2634">
      <c r="A2634" s="3">
        <v>2017.0</v>
      </c>
      <c r="B2634" s="4" t="s">
        <v>2831</v>
      </c>
      <c r="C2634" s="15">
        <v>6000.0</v>
      </c>
      <c r="D2634" s="4" t="s">
        <v>6</v>
      </c>
    </row>
    <row r="2635">
      <c r="A2635" s="3">
        <v>2017.0</v>
      </c>
      <c r="B2635" s="4" t="s">
        <v>2832</v>
      </c>
      <c r="C2635" s="15">
        <v>5000.0</v>
      </c>
      <c r="D2635" s="4"/>
    </row>
    <row r="2636">
      <c r="A2636" s="3">
        <v>2017.0</v>
      </c>
      <c r="B2636" s="4" t="s">
        <v>1443</v>
      </c>
      <c r="C2636" s="15">
        <v>0.0</v>
      </c>
      <c r="D2636" s="4" t="s">
        <v>3</v>
      </c>
    </row>
    <row r="2637">
      <c r="A2637" s="3">
        <v>2017.0</v>
      </c>
      <c r="B2637" s="4" t="s">
        <v>1444</v>
      </c>
      <c r="C2637" s="15">
        <v>1000.0</v>
      </c>
      <c r="D2637" s="4"/>
    </row>
    <row r="2638">
      <c r="A2638" s="3">
        <v>2017.0</v>
      </c>
      <c r="B2638" s="4" t="s">
        <v>2833</v>
      </c>
      <c r="C2638" s="15">
        <v>0.0</v>
      </c>
      <c r="D2638" s="4" t="s">
        <v>3</v>
      </c>
    </row>
    <row r="2639">
      <c r="A2639" s="3">
        <v>2017.0</v>
      </c>
      <c r="B2639" s="4" t="s">
        <v>2834</v>
      </c>
      <c r="C2639" s="15">
        <v>15000.0</v>
      </c>
      <c r="D2639" s="4" t="s">
        <v>6</v>
      </c>
    </row>
    <row r="2640">
      <c r="A2640" s="3">
        <v>2017.0</v>
      </c>
      <c r="B2640" s="4" t="s">
        <v>1447</v>
      </c>
      <c r="C2640" s="15">
        <v>0.0</v>
      </c>
      <c r="D2640" s="4" t="s">
        <v>6</v>
      </c>
    </row>
    <row r="2641">
      <c r="A2641" s="3">
        <v>2017.0</v>
      </c>
      <c r="B2641" s="4" t="s">
        <v>1449</v>
      </c>
      <c r="C2641" s="15">
        <v>0.0</v>
      </c>
      <c r="D2641" s="4" t="s">
        <v>6</v>
      </c>
    </row>
    <row r="2642">
      <c r="A2642" s="3">
        <v>2017.0</v>
      </c>
      <c r="B2642" s="4" t="s">
        <v>1450</v>
      </c>
      <c r="C2642" s="15">
        <v>0.0</v>
      </c>
      <c r="D2642" s="4" t="s">
        <v>3</v>
      </c>
    </row>
    <row r="2643">
      <c r="A2643" s="3">
        <v>2017.0</v>
      </c>
      <c r="B2643" s="4" t="s">
        <v>2835</v>
      </c>
      <c r="C2643" s="15">
        <v>0.0</v>
      </c>
      <c r="D2643" s="4" t="s">
        <v>6</v>
      </c>
    </row>
    <row r="2644">
      <c r="A2644" s="3">
        <v>2017.0</v>
      </c>
      <c r="B2644" s="4" t="s">
        <v>1451</v>
      </c>
      <c r="C2644" s="15">
        <v>1000.0</v>
      </c>
      <c r="D2644" s="4" t="s">
        <v>3</v>
      </c>
    </row>
    <row r="2645">
      <c r="A2645" s="3">
        <v>2017.0</v>
      </c>
      <c r="B2645" s="4" t="s">
        <v>2836</v>
      </c>
      <c r="C2645" s="15">
        <v>0.0</v>
      </c>
      <c r="D2645" s="4" t="s">
        <v>2377</v>
      </c>
    </row>
    <row r="2646">
      <c r="A2646" s="3">
        <v>2017.0</v>
      </c>
      <c r="B2646" s="4" t="s">
        <v>1452</v>
      </c>
      <c r="C2646" s="15">
        <v>0.0</v>
      </c>
      <c r="D2646" s="4" t="s">
        <v>2377</v>
      </c>
    </row>
    <row r="2647">
      <c r="A2647" s="3">
        <v>2017.0</v>
      </c>
      <c r="B2647" s="4" t="s">
        <v>2837</v>
      </c>
      <c r="C2647" s="15">
        <v>0.0</v>
      </c>
      <c r="D2647" s="4" t="s">
        <v>3</v>
      </c>
    </row>
    <row r="2648">
      <c r="A2648" s="3">
        <v>2017.0</v>
      </c>
      <c r="B2648" s="4" t="s">
        <v>2838</v>
      </c>
      <c r="C2648" s="15">
        <v>0.0</v>
      </c>
      <c r="D2648" s="4" t="s">
        <v>3</v>
      </c>
    </row>
    <row r="2649">
      <c r="A2649" s="3">
        <v>2017.0</v>
      </c>
      <c r="B2649" s="4" t="s">
        <v>1454</v>
      </c>
      <c r="C2649" s="15">
        <v>500.0</v>
      </c>
      <c r="D2649" s="4" t="s">
        <v>2508</v>
      </c>
    </row>
    <row r="2650">
      <c r="A2650" s="3">
        <v>2017.0</v>
      </c>
      <c r="B2650" s="4" t="s">
        <v>2839</v>
      </c>
      <c r="C2650" s="15">
        <v>0.0</v>
      </c>
      <c r="D2650" s="4" t="s">
        <v>3</v>
      </c>
    </row>
    <row r="2651">
      <c r="A2651" s="3">
        <v>2017.0</v>
      </c>
      <c r="B2651" s="4" t="s">
        <v>2840</v>
      </c>
      <c r="C2651" s="15">
        <v>0.0</v>
      </c>
      <c r="D2651" s="4" t="s">
        <v>3</v>
      </c>
    </row>
    <row r="2652">
      <c r="A2652" s="3">
        <v>2017.0</v>
      </c>
      <c r="B2652" s="4" t="s">
        <v>2841</v>
      </c>
      <c r="C2652" s="15">
        <v>0.0</v>
      </c>
      <c r="D2652" s="4" t="s">
        <v>3</v>
      </c>
    </row>
    <row r="2653">
      <c r="A2653" s="3">
        <v>2017.0</v>
      </c>
      <c r="B2653" s="4" t="s">
        <v>2275</v>
      </c>
      <c r="C2653" s="15">
        <v>500.0</v>
      </c>
      <c r="D2653" s="4"/>
    </row>
    <row r="2654">
      <c r="A2654" s="3">
        <v>2017.0</v>
      </c>
      <c r="B2654" s="4" t="s">
        <v>2842</v>
      </c>
      <c r="C2654" s="15">
        <v>800.0</v>
      </c>
      <c r="D2654" s="4" t="s">
        <v>3</v>
      </c>
    </row>
    <row r="2655">
      <c r="A2655" s="3">
        <v>2017.0</v>
      </c>
      <c r="B2655" s="4" t="s">
        <v>1458</v>
      </c>
      <c r="C2655" s="15">
        <v>0.0</v>
      </c>
      <c r="D2655" s="4" t="s">
        <v>3</v>
      </c>
    </row>
    <row r="2656">
      <c r="A2656" s="3">
        <v>2017.0</v>
      </c>
      <c r="B2656" s="4" t="s">
        <v>1460</v>
      </c>
      <c r="C2656" s="15">
        <v>6000.0</v>
      </c>
      <c r="D2656" s="4" t="s">
        <v>6</v>
      </c>
    </row>
    <row r="2657">
      <c r="A2657" s="3">
        <v>2017.0</v>
      </c>
      <c r="B2657" s="4" t="s">
        <v>2843</v>
      </c>
      <c r="C2657" s="15">
        <v>0.0</v>
      </c>
      <c r="D2657" s="4" t="s">
        <v>6</v>
      </c>
    </row>
    <row r="2658">
      <c r="A2658" s="3">
        <v>2017.0</v>
      </c>
      <c r="B2658" s="4" t="s">
        <v>1461</v>
      </c>
      <c r="C2658" s="15">
        <v>1000.0</v>
      </c>
      <c r="D2658" s="4"/>
    </row>
    <row r="2659">
      <c r="A2659" s="3">
        <v>2017.0</v>
      </c>
      <c r="B2659" s="4" t="s">
        <v>1462</v>
      </c>
      <c r="C2659" s="15">
        <v>6200.0</v>
      </c>
      <c r="D2659" s="4" t="s">
        <v>6</v>
      </c>
    </row>
    <row r="2660">
      <c r="A2660" s="3">
        <v>2017.0</v>
      </c>
      <c r="B2660" s="4" t="s">
        <v>2844</v>
      </c>
      <c r="C2660" s="15">
        <v>500.0</v>
      </c>
      <c r="D2660" s="4"/>
    </row>
    <row r="2661">
      <c r="A2661" s="3">
        <v>2017.0</v>
      </c>
      <c r="B2661" s="4" t="s">
        <v>1463</v>
      </c>
      <c r="C2661" s="15">
        <v>350358.0</v>
      </c>
      <c r="D2661" s="4" t="s">
        <v>2508</v>
      </c>
    </row>
    <row r="2662">
      <c r="A2662" s="3">
        <v>2017.0</v>
      </c>
      <c r="B2662" s="4" t="s">
        <v>1465</v>
      </c>
      <c r="C2662" s="15">
        <v>450.0</v>
      </c>
      <c r="D2662" s="4"/>
    </row>
    <row r="2663">
      <c r="A2663" s="3">
        <v>2017.0</v>
      </c>
      <c r="B2663" s="4" t="s">
        <v>1466</v>
      </c>
      <c r="C2663" s="15">
        <v>0.0</v>
      </c>
      <c r="D2663" s="4" t="s">
        <v>3</v>
      </c>
    </row>
    <row r="2664">
      <c r="A2664" s="3">
        <v>2017.0</v>
      </c>
      <c r="B2664" s="4" t="s">
        <v>2845</v>
      </c>
      <c r="C2664" s="15">
        <v>4000.0</v>
      </c>
      <c r="D2664" s="4"/>
    </row>
    <row r="2665">
      <c r="A2665" s="3">
        <v>2017.0</v>
      </c>
      <c r="B2665" s="4" t="s">
        <v>1469</v>
      </c>
      <c r="C2665" s="15">
        <v>0.0</v>
      </c>
      <c r="D2665" s="4" t="s">
        <v>6</v>
      </c>
    </row>
    <row r="2666">
      <c r="A2666" s="3">
        <v>2017.0</v>
      </c>
      <c r="B2666" s="4" t="s">
        <v>2846</v>
      </c>
      <c r="C2666" s="15">
        <v>0.0</v>
      </c>
      <c r="D2666" s="4" t="s">
        <v>3</v>
      </c>
    </row>
    <row r="2667">
      <c r="A2667" s="3">
        <v>2017.0</v>
      </c>
      <c r="B2667" s="4" t="s">
        <v>1470</v>
      </c>
      <c r="C2667" s="15">
        <v>1500.0</v>
      </c>
      <c r="D2667" s="4"/>
    </row>
    <row r="2668">
      <c r="A2668" s="3">
        <v>2017.0</v>
      </c>
      <c r="B2668" s="4" t="s">
        <v>1472</v>
      </c>
      <c r="C2668" s="15">
        <v>374400.0</v>
      </c>
      <c r="D2668" s="4" t="s">
        <v>2377</v>
      </c>
    </row>
    <row r="2669">
      <c r="A2669" s="3">
        <v>2017.0</v>
      </c>
      <c r="B2669" s="4" t="s">
        <v>1475</v>
      </c>
      <c r="C2669" s="15">
        <v>11000.0</v>
      </c>
      <c r="D2669" s="4"/>
    </row>
    <row r="2670">
      <c r="A2670" s="3">
        <v>2017.0</v>
      </c>
      <c r="B2670" s="4" t="s">
        <v>1476</v>
      </c>
      <c r="C2670" s="15">
        <v>0.0</v>
      </c>
      <c r="D2670" s="4" t="s">
        <v>3</v>
      </c>
    </row>
    <row r="2671">
      <c r="A2671" s="3">
        <v>2017.0</v>
      </c>
      <c r="B2671" s="4" t="s">
        <v>1477</v>
      </c>
      <c r="C2671" s="15">
        <v>0.0</v>
      </c>
      <c r="D2671" s="4" t="s">
        <v>6</v>
      </c>
    </row>
    <row r="2672">
      <c r="A2672" s="3">
        <v>2017.0</v>
      </c>
      <c r="B2672" s="4" t="s">
        <v>2847</v>
      </c>
      <c r="C2672" s="15">
        <v>0.0</v>
      </c>
      <c r="D2672" s="4" t="s">
        <v>2377</v>
      </c>
    </row>
    <row r="2673">
      <c r="A2673" s="3">
        <v>2017.0</v>
      </c>
      <c r="B2673" s="4" t="s">
        <v>2848</v>
      </c>
      <c r="C2673" s="15">
        <v>0.0</v>
      </c>
      <c r="D2673" s="4" t="s">
        <v>3</v>
      </c>
    </row>
    <row r="2674">
      <c r="A2674" s="3">
        <v>2017.0</v>
      </c>
      <c r="B2674" s="4" t="s">
        <v>1478</v>
      </c>
      <c r="C2674" s="15">
        <v>0.0</v>
      </c>
      <c r="D2674" s="4" t="s">
        <v>3</v>
      </c>
    </row>
    <row r="2675">
      <c r="A2675" s="3">
        <v>2017.0</v>
      </c>
      <c r="B2675" s="4" t="s">
        <v>2276</v>
      </c>
      <c r="C2675" s="15">
        <v>111800.0</v>
      </c>
      <c r="D2675" s="4" t="s">
        <v>2370</v>
      </c>
    </row>
    <row r="2676">
      <c r="A2676" s="3">
        <v>2017.0</v>
      </c>
      <c r="B2676" s="4" t="s">
        <v>2277</v>
      </c>
      <c r="C2676" s="15">
        <v>0.0</v>
      </c>
      <c r="D2676" s="4" t="s">
        <v>6</v>
      </c>
    </row>
    <row r="2677">
      <c r="A2677" s="3">
        <v>2017.0</v>
      </c>
      <c r="B2677" s="4" t="s">
        <v>1486</v>
      </c>
      <c r="C2677" s="15">
        <v>0.0</v>
      </c>
      <c r="D2677" s="4" t="s">
        <v>3</v>
      </c>
    </row>
    <row r="2678">
      <c r="A2678" s="3">
        <v>2017.0</v>
      </c>
      <c r="B2678" s="4" t="s">
        <v>1487</v>
      </c>
      <c r="C2678" s="15">
        <v>0.0</v>
      </c>
      <c r="D2678" s="4" t="s">
        <v>3</v>
      </c>
    </row>
    <row r="2679">
      <c r="A2679" s="3">
        <v>2017.0</v>
      </c>
      <c r="B2679" s="4" t="s">
        <v>1488</v>
      </c>
      <c r="C2679" s="15">
        <v>0.0</v>
      </c>
      <c r="D2679" s="4" t="s">
        <v>3</v>
      </c>
    </row>
    <row r="2680">
      <c r="A2680" s="3">
        <v>2017.0</v>
      </c>
      <c r="B2680" s="4" t="s">
        <v>1489</v>
      </c>
      <c r="C2680" s="15">
        <v>0.0</v>
      </c>
      <c r="D2680" s="4" t="s">
        <v>3</v>
      </c>
    </row>
    <row r="2681">
      <c r="A2681" s="3">
        <v>2017.0</v>
      </c>
      <c r="B2681" s="4" t="s">
        <v>1491</v>
      </c>
      <c r="C2681" s="15">
        <v>800.0</v>
      </c>
      <c r="D2681" s="4"/>
    </row>
    <row r="2682">
      <c r="A2682" s="3">
        <v>2017.0</v>
      </c>
      <c r="B2682" s="4" t="s">
        <v>2278</v>
      </c>
      <c r="C2682" s="15">
        <v>946685.0</v>
      </c>
      <c r="D2682" s="4" t="s">
        <v>2370</v>
      </c>
    </row>
    <row r="2683">
      <c r="A2683" s="3">
        <v>2017.0</v>
      </c>
      <c r="B2683" s="4" t="s">
        <v>1495</v>
      </c>
      <c r="C2683" s="15">
        <v>0.0</v>
      </c>
      <c r="D2683" s="4" t="s">
        <v>3</v>
      </c>
    </row>
    <row r="2684">
      <c r="A2684" s="3">
        <v>2017.0</v>
      </c>
      <c r="B2684" s="4" t="s">
        <v>1496</v>
      </c>
      <c r="C2684" s="15">
        <v>12000.0</v>
      </c>
      <c r="D2684" s="4" t="s">
        <v>29</v>
      </c>
    </row>
    <row r="2685">
      <c r="A2685" s="3">
        <v>2017.0</v>
      </c>
      <c r="B2685" s="4" t="s">
        <v>2849</v>
      </c>
      <c r="C2685" s="15">
        <v>3400.0</v>
      </c>
      <c r="D2685" s="4"/>
    </row>
    <row r="2686">
      <c r="A2686" s="3">
        <v>2017.0</v>
      </c>
      <c r="B2686" s="4" t="s">
        <v>2850</v>
      </c>
      <c r="C2686" s="15">
        <v>0.0</v>
      </c>
      <c r="D2686" s="4" t="s">
        <v>3</v>
      </c>
    </row>
    <row r="2687">
      <c r="A2687" s="3">
        <v>2017.0</v>
      </c>
      <c r="B2687" s="4" t="s">
        <v>2851</v>
      </c>
      <c r="C2687" s="15">
        <v>0.0</v>
      </c>
      <c r="D2687" s="4" t="s">
        <v>6</v>
      </c>
    </row>
    <row r="2688">
      <c r="A2688" s="3">
        <v>2017.0</v>
      </c>
      <c r="B2688" s="4" t="s">
        <v>2852</v>
      </c>
      <c r="C2688" s="15">
        <v>0.0</v>
      </c>
      <c r="D2688" s="4" t="s">
        <v>3</v>
      </c>
    </row>
    <row r="2689">
      <c r="A2689" s="3">
        <v>2017.0</v>
      </c>
      <c r="B2689" s="4" t="s">
        <v>1497</v>
      </c>
      <c r="C2689" s="15">
        <v>0.0</v>
      </c>
      <c r="D2689" s="4" t="s">
        <v>3</v>
      </c>
    </row>
    <row r="2690">
      <c r="A2690" s="3">
        <v>2017.0</v>
      </c>
      <c r="B2690" s="4" t="s">
        <v>1498</v>
      </c>
      <c r="C2690" s="15">
        <v>0.0</v>
      </c>
      <c r="D2690" s="4" t="s">
        <v>29</v>
      </c>
    </row>
    <row r="2691">
      <c r="A2691" s="3">
        <v>2017.0</v>
      </c>
      <c r="B2691" s="4" t="s">
        <v>2853</v>
      </c>
      <c r="C2691" s="15">
        <v>500.0</v>
      </c>
      <c r="D2691" s="4" t="s">
        <v>3</v>
      </c>
    </row>
    <row r="2692">
      <c r="A2692" s="3">
        <v>2017.0</v>
      </c>
      <c r="B2692" s="4" t="s">
        <v>2854</v>
      </c>
      <c r="C2692" s="15">
        <v>3700.0</v>
      </c>
      <c r="D2692" s="4"/>
    </row>
    <row r="2693">
      <c r="A2693" s="3">
        <v>2017.0</v>
      </c>
      <c r="B2693" s="4" t="s">
        <v>1499</v>
      </c>
      <c r="C2693" s="15">
        <v>12500.0</v>
      </c>
      <c r="D2693" s="4" t="s">
        <v>2377</v>
      </c>
    </row>
    <row r="2694">
      <c r="A2694" s="3">
        <v>2017.0</v>
      </c>
      <c r="B2694" s="4" t="s">
        <v>1500</v>
      </c>
      <c r="C2694" s="15">
        <v>205000.0</v>
      </c>
      <c r="D2694" s="4"/>
    </row>
    <row r="2695">
      <c r="A2695" s="3">
        <v>2017.0</v>
      </c>
      <c r="B2695" s="4" t="s">
        <v>2855</v>
      </c>
      <c r="C2695" s="15">
        <v>0.0</v>
      </c>
      <c r="D2695" s="4" t="s">
        <v>3</v>
      </c>
    </row>
    <row r="2696">
      <c r="A2696" s="3">
        <v>2017.0</v>
      </c>
      <c r="B2696" s="4" t="s">
        <v>1502</v>
      </c>
      <c r="C2696" s="15">
        <v>44620.0</v>
      </c>
      <c r="D2696" s="4"/>
    </row>
    <row r="2697">
      <c r="A2697" s="3">
        <v>2017.0</v>
      </c>
      <c r="B2697" s="4" t="s">
        <v>1504</v>
      </c>
      <c r="C2697" s="15">
        <v>3500.0</v>
      </c>
      <c r="D2697" s="4" t="s">
        <v>2377</v>
      </c>
    </row>
    <row r="2698">
      <c r="A2698" s="3">
        <v>2017.0</v>
      </c>
      <c r="B2698" s="4" t="s">
        <v>1505</v>
      </c>
      <c r="C2698" s="15">
        <v>500.0</v>
      </c>
      <c r="D2698" s="4" t="s">
        <v>3</v>
      </c>
    </row>
    <row r="2699">
      <c r="A2699" s="3">
        <v>2017.0</v>
      </c>
      <c r="B2699" s="4" t="s">
        <v>1506</v>
      </c>
      <c r="C2699" s="15">
        <v>500.0</v>
      </c>
      <c r="D2699" s="4"/>
    </row>
    <row r="2700">
      <c r="A2700" s="3">
        <v>2017.0</v>
      </c>
      <c r="B2700" s="4" t="s">
        <v>1507</v>
      </c>
      <c r="C2700" s="15">
        <v>0.0</v>
      </c>
      <c r="D2700" s="4" t="s">
        <v>3</v>
      </c>
    </row>
    <row r="2701">
      <c r="A2701" s="3">
        <v>2017.0</v>
      </c>
      <c r="B2701" s="4" t="s">
        <v>2856</v>
      </c>
      <c r="C2701" s="15">
        <v>2000.0</v>
      </c>
      <c r="D2701" s="4"/>
    </row>
    <row r="2702">
      <c r="A2702" s="3">
        <v>2017.0</v>
      </c>
      <c r="B2702" s="4" t="s">
        <v>1508</v>
      </c>
      <c r="C2702" s="15">
        <v>0.0</v>
      </c>
      <c r="D2702" s="4" t="s">
        <v>3</v>
      </c>
    </row>
    <row r="2703">
      <c r="A2703" s="3">
        <v>2017.0</v>
      </c>
      <c r="B2703" s="4" t="s">
        <v>2857</v>
      </c>
      <c r="C2703" s="15">
        <v>0.0</v>
      </c>
      <c r="D2703" s="4" t="s">
        <v>29</v>
      </c>
    </row>
    <row r="2704">
      <c r="A2704" s="3">
        <v>2017.0</v>
      </c>
      <c r="B2704" s="4" t="s">
        <v>1510</v>
      </c>
      <c r="C2704" s="15">
        <v>8000.0</v>
      </c>
      <c r="D2704" s="4" t="s">
        <v>3</v>
      </c>
    </row>
    <row r="2705">
      <c r="A2705" s="3">
        <v>2017.0</v>
      </c>
      <c r="B2705" s="4" t="s">
        <v>2858</v>
      </c>
      <c r="C2705" s="15">
        <v>0.0</v>
      </c>
      <c r="D2705" s="4" t="s">
        <v>6</v>
      </c>
    </row>
    <row r="2706">
      <c r="A2706" s="3">
        <v>2017.0</v>
      </c>
      <c r="B2706" s="4" t="s">
        <v>1511</v>
      </c>
      <c r="C2706" s="15">
        <v>0.0</v>
      </c>
      <c r="D2706" s="4" t="s">
        <v>6</v>
      </c>
    </row>
    <row r="2707">
      <c r="A2707" s="3">
        <v>2017.0</v>
      </c>
      <c r="B2707" s="4" t="s">
        <v>1512</v>
      </c>
      <c r="C2707" s="15">
        <v>8000.0</v>
      </c>
      <c r="D2707" s="4" t="s">
        <v>6</v>
      </c>
    </row>
    <row r="2708">
      <c r="A2708" s="3">
        <v>2017.0</v>
      </c>
      <c r="B2708" s="4" t="s">
        <v>1515</v>
      </c>
      <c r="C2708" s="15">
        <v>13000.0</v>
      </c>
      <c r="D2708" s="4" t="s">
        <v>176</v>
      </c>
    </row>
    <row r="2709">
      <c r="A2709" s="3">
        <v>2017.0</v>
      </c>
      <c r="B2709" s="4" t="s">
        <v>2859</v>
      </c>
      <c r="C2709" s="15">
        <v>0.0</v>
      </c>
      <c r="D2709" s="4" t="s">
        <v>6</v>
      </c>
    </row>
    <row r="2710">
      <c r="A2710" s="3">
        <v>2017.0</v>
      </c>
      <c r="B2710" s="4" t="s">
        <v>2860</v>
      </c>
      <c r="C2710" s="15">
        <v>0.0</v>
      </c>
      <c r="D2710" s="4" t="s">
        <v>6</v>
      </c>
    </row>
    <row r="2711">
      <c r="A2711" s="3">
        <v>2017.0</v>
      </c>
      <c r="B2711" s="4" t="s">
        <v>2861</v>
      </c>
      <c r="C2711" s="15">
        <v>0.0</v>
      </c>
      <c r="D2711" s="4" t="s">
        <v>6</v>
      </c>
    </row>
    <row r="2712">
      <c r="A2712" s="3">
        <v>2017.0</v>
      </c>
      <c r="B2712" s="4" t="s">
        <v>2862</v>
      </c>
      <c r="C2712" s="15">
        <v>0.0</v>
      </c>
      <c r="D2712" s="4" t="s">
        <v>3</v>
      </c>
    </row>
    <row r="2713">
      <c r="A2713" s="3">
        <v>2017.0</v>
      </c>
      <c r="B2713" s="4" t="s">
        <v>2280</v>
      </c>
      <c r="C2713" s="15">
        <v>8000.0</v>
      </c>
      <c r="D2713" s="4" t="s">
        <v>6</v>
      </c>
    </row>
    <row r="2714">
      <c r="A2714" s="3">
        <v>2017.0</v>
      </c>
      <c r="B2714" s="4" t="s">
        <v>2863</v>
      </c>
      <c r="C2714" s="15">
        <v>0.0</v>
      </c>
      <c r="D2714" s="4" t="s">
        <v>6</v>
      </c>
    </row>
    <row r="2715">
      <c r="A2715" s="3">
        <v>2017.0</v>
      </c>
      <c r="B2715" s="4" t="s">
        <v>1532</v>
      </c>
      <c r="C2715" s="15">
        <v>0.0</v>
      </c>
      <c r="D2715" s="4" t="s">
        <v>2377</v>
      </c>
    </row>
    <row r="2716">
      <c r="A2716" s="3">
        <v>2017.0</v>
      </c>
      <c r="B2716" s="4" t="s">
        <v>2864</v>
      </c>
      <c r="C2716" s="15">
        <v>0.0</v>
      </c>
      <c r="D2716" s="4" t="s">
        <v>3</v>
      </c>
    </row>
    <row r="2717">
      <c r="A2717" s="3">
        <v>2017.0</v>
      </c>
      <c r="B2717" s="4" t="s">
        <v>2865</v>
      </c>
      <c r="C2717" s="15">
        <v>0.0</v>
      </c>
      <c r="D2717" s="4" t="s">
        <v>2377</v>
      </c>
    </row>
    <row r="2718">
      <c r="A2718" s="3">
        <v>2017.0</v>
      </c>
      <c r="B2718" s="4" t="s">
        <v>1533</v>
      </c>
      <c r="C2718" s="15">
        <v>0.0</v>
      </c>
      <c r="D2718" s="4" t="s">
        <v>2377</v>
      </c>
    </row>
    <row r="2719">
      <c r="A2719" s="3">
        <v>2017.0</v>
      </c>
      <c r="B2719" s="4" t="s">
        <v>2866</v>
      </c>
      <c r="C2719" s="15">
        <v>0.0</v>
      </c>
      <c r="D2719" s="4" t="s">
        <v>2377</v>
      </c>
    </row>
    <row r="2720">
      <c r="A2720" s="3">
        <v>2017.0</v>
      </c>
      <c r="B2720" s="4" t="s">
        <v>2867</v>
      </c>
      <c r="C2720" s="15">
        <v>0.0</v>
      </c>
      <c r="D2720" s="4" t="s">
        <v>6</v>
      </c>
    </row>
    <row r="2721">
      <c r="A2721" s="3">
        <v>2017.0</v>
      </c>
      <c r="B2721" s="4" t="s">
        <v>2868</v>
      </c>
      <c r="C2721" s="15">
        <v>0.0</v>
      </c>
      <c r="D2721" s="4" t="s">
        <v>3</v>
      </c>
    </row>
    <row r="2722">
      <c r="A2722" s="3">
        <v>2017.0</v>
      </c>
      <c r="B2722" s="4" t="s">
        <v>2869</v>
      </c>
      <c r="C2722" s="15">
        <v>0.0</v>
      </c>
      <c r="D2722" s="4" t="s">
        <v>3</v>
      </c>
    </row>
    <row r="2723">
      <c r="A2723" s="3">
        <v>2017.0</v>
      </c>
      <c r="B2723" s="4" t="s">
        <v>2870</v>
      </c>
      <c r="C2723" s="15">
        <v>4000.0</v>
      </c>
      <c r="D2723" s="4"/>
    </row>
    <row r="2724">
      <c r="A2724" s="3">
        <v>2017.0</v>
      </c>
      <c r="B2724" s="4" t="s">
        <v>1537</v>
      </c>
      <c r="C2724" s="15">
        <v>0.0</v>
      </c>
      <c r="D2724" s="4" t="s">
        <v>2377</v>
      </c>
    </row>
    <row r="2725">
      <c r="A2725" s="3">
        <v>2017.0</v>
      </c>
      <c r="B2725" s="4" t="s">
        <v>1538</v>
      </c>
      <c r="C2725" s="15">
        <v>0.0</v>
      </c>
      <c r="D2725" s="4" t="s">
        <v>3</v>
      </c>
    </row>
    <row r="2726">
      <c r="A2726" s="3">
        <v>2017.0</v>
      </c>
      <c r="B2726" s="4" t="s">
        <v>1539</v>
      </c>
      <c r="C2726" s="15">
        <v>200000.0</v>
      </c>
      <c r="D2726" s="4"/>
    </row>
    <row r="2727">
      <c r="A2727" s="3">
        <v>2017.0</v>
      </c>
      <c r="B2727" s="4" t="s">
        <v>1541</v>
      </c>
      <c r="C2727" s="15">
        <v>300.0</v>
      </c>
      <c r="D2727" s="4" t="s">
        <v>6</v>
      </c>
    </row>
    <row r="2728">
      <c r="A2728" s="3">
        <v>2017.0</v>
      </c>
      <c r="B2728" s="4" t="s">
        <v>1542</v>
      </c>
      <c r="C2728" s="15">
        <v>0.0</v>
      </c>
      <c r="D2728" s="4" t="s">
        <v>3</v>
      </c>
    </row>
    <row r="2729">
      <c r="A2729" s="3">
        <v>2017.0</v>
      </c>
      <c r="B2729" s="4" t="s">
        <v>2871</v>
      </c>
      <c r="C2729" s="15">
        <v>0.0</v>
      </c>
      <c r="D2729" s="4" t="s">
        <v>6</v>
      </c>
    </row>
    <row r="2730">
      <c r="A2730" s="3">
        <v>2017.0</v>
      </c>
      <c r="B2730" s="4" t="s">
        <v>2872</v>
      </c>
      <c r="C2730" s="15">
        <v>0.0</v>
      </c>
      <c r="D2730" s="4" t="s">
        <v>3</v>
      </c>
    </row>
    <row r="2731">
      <c r="A2731" s="3">
        <v>2017.0</v>
      </c>
      <c r="B2731" s="4" t="s">
        <v>1544</v>
      </c>
      <c r="C2731" s="15">
        <v>1000.0</v>
      </c>
      <c r="D2731" s="4"/>
    </row>
    <row r="2732">
      <c r="A2732" s="3">
        <v>2017.0</v>
      </c>
      <c r="B2732" s="4" t="s">
        <v>2873</v>
      </c>
      <c r="C2732" s="15">
        <v>0.0</v>
      </c>
      <c r="D2732" s="4" t="s">
        <v>6</v>
      </c>
    </row>
    <row r="2733">
      <c r="A2733" s="3">
        <v>2017.0</v>
      </c>
      <c r="B2733" s="4" t="s">
        <v>1548</v>
      </c>
      <c r="C2733" s="15">
        <v>0.0</v>
      </c>
      <c r="D2733" s="4" t="s">
        <v>29</v>
      </c>
    </row>
    <row r="2734">
      <c r="A2734" s="3">
        <v>2017.0</v>
      </c>
      <c r="B2734" s="4" t="s">
        <v>1549</v>
      </c>
      <c r="C2734" s="15">
        <v>0.0</v>
      </c>
      <c r="D2734" s="4" t="s">
        <v>3</v>
      </c>
    </row>
    <row r="2735">
      <c r="A2735" s="3">
        <v>2017.0</v>
      </c>
      <c r="B2735" s="4" t="s">
        <v>1551</v>
      </c>
      <c r="C2735" s="15">
        <v>0.0</v>
      </c>
      <c r="D2735" s="4" t="s">
        <v>3</v>
      </c>
    </row>
    <row r="2736">
      <c r="A2736" s="3">
        <v>2017.0</v>
      </c>
      <c r="B2736" s="4" t="s">
        <v>2874</v>
      </c>
      <c r="C2736" s="15">
        <v>3813.45</v>
      </c>
      <c r="D2736" s="4"/>
    </row>
    <row r="2737">
      <c r="A2737" s="3">
        <v>2017.0</v>
      </c>
      <c r="B2737" s="4" t="s">
        <v>1552</v>
      </c>
      <c r="C2737" s="15">
        <v>50000.0</v>
      </c>
      <c r="D2737" s="4"/>
    </row>
    <row r="2738">
      <c r="A2738" s="3">
        <v>2017.0</v>
      </c>
      <c r="B2738" s="4" t="s">
        <v>1553</v>
      </c>
      <c r="C2738" s="15">
        <v>300.0</v>
      </c>
      <c r="D2738" s="4"/>
    </row>
    <row r="2739">
      <c r="A2739" s="3">
        <v>2017.0</v>
      </c>
      <c r="B2739" s="4" t="s">
        <v>1554</v>
      </c>
      <c r="C2739" s="15">
        <v>1800.0</v>
      </c>
      <c r="D2739" s="4"/>
    </row>
    <row r="2740">
      <c r="A2740" s="3">
        <v>2017.0</v>
      </c>
      <c r="B2740" s="4" t="s">
        <v>1555</v>
      </c>
      <c r="C2740" s="15">
        <v>0.0</v>
      </c>
      <c r="D2740" s="4" t="s">
        <v>3</v>
      </c>
    </row>
    <row r="2741">
      <c r="A2741" s="3">
        <v>2017.0</v>
      </c>
      <c r="B2741" s="4" t="s">
        <v>2282</v>
      </c>
      <c r="C2741" s="15">
        <v>648000.0</v>
      </c>
      <c r="D2741" s="4" t="s">
        <v>6</v>
      </c>
    </row>
    <row r="2742">
      <c r="A2742" s="3">
        <v>2017.0</v>
      </c>
      <c r="B2742" s="4" t="s">
        <v>1559</v>
      </c>
      <c r="C2742" s="15">
        <v>50000.0</v>
      </c>
      <c r="D2742" s="4" t="s">
        <v>2377</v>
      </c>
    </row>
    <row r="2743">
      <c r="A2743" s="3">
        <v>2017.0</v>
      </c>
      <c r="B2743" s="4" t="s">
        <v>1561</v>
      </c>
      <c r="C2743" s="15">
        <v>12000.0</v>
      </c>
      <c r="D2743" s="4"/>
    </row>
    <row r="2744">
      <c r="A2744" s="3">
        <v>2017.0</v>
      </c>
      <c r="B2744" s="4" t="s">
        <v>2875</v>
      </c>
      <c r="C2744" s="15">
        <v>0.0</v>
      </c>
      <c r="D2744" s="4" t="s">
        <v>2377</v>
      </c>
    </row>
    <row r="2745">
      <c r="A2745" s="3">
        <v>2017.0</v>
      </c>
      <c r="B2745" s="4" t="s">
        <v>1563</v>
      </c>
      <c r="C2745" s="15">
        <v>45000.0</v>
      </c>
      <c r="D2745" s="4"/>
    </row>
    <row r="2746">
      <c r="A2746" s="3">
        <v>2017.0</v>
      </c>
      <c r="B2746" s="4" t="s">
        <v>1565</v>
      </c>
      <c r="C2746" s="15">
        <v>5000.0</v>
      </c>
      <c r="D2746" s="4"/>
    </row>
    <row r="2747">
      <c r="A2747" s="3">
        <v>2017.0</v>
      </c>
      <c r="B2747" s="4" t="s">
        <v>2876</v>
      </c>
      <c r="C2747" s="15">
        <v>13262.69</v>
      </c>
      <c r="D2747" s="4" t="s">
        <v>2377</v>
      </c>
    </row>
    <row r="2748">
      <c r="A2748" s="3">
        <v>2017.0</v>
      </c>
      <c r="B2748" s="4" t="s">
        <v>1568</v>
      </c>
      <c r="C2748" s="15">
        <v>5000.0</v>
      </c>
      <c r="D2748" s="4" t="s">
        <v>6</v>
      </c>
    </row>
    <row r="2749">
      <c r="A2749" s="3">
        <v>2017.0</v>
      </c>
      <c r="B2749" s="4" t="s">
        <v>2283</v>
      </c>
      <c r="C2749" s="15">
        <v>112450.0</v>
      </c>
      <c r="D2749" s="4"/>
    </row>
    <row r="2750">
      <c r="A2750" s="3">
        <v>2017.0</v>
      </c>
      <c r="B2750" s="4" t="s">
        <v>2877</v>
      </c>
      <c r="C2750" s="15">
        <v>0.0</v>
      </c>
      <c r="D2750" s="4" t="s">
        <v>3</v>
      </c>
    </row>
    <row r="2751">
      <c r="A2751" s="3">
        <v>2017.0</v>
      </c>
      <c r="B2751" s="4" t="s">
        <v>1573</v>
      </c>
      <c r="C2751" s="15">
        <v>0.0</v>
      </c>
      <c r="D2751" s="4" t="s">
        <v>3</v>
      </c>
    </row>
    <row r="2752">
      <c r="A2752" s="3">
        <v>2017.0</v>
      </c>
      <c r="B2752" s="4" t="s">
        <v>2878</v>
      </c>
      <c r="C2752" s="15">
        <v>0.0</v>
      </c>
      <c r="D2752" s="4" t="s">
        <v>3</v>
      </c>
    </row>
    <row r="2753">
      <c r="A2753" s="3">
        <v>2017.0</v>
      </c>
      <c r="B2753" s="4" t="s">
        <v>1575</v>
      </c>
      <c r="C2753" s="15">
        <v>2000.0</v>
      </c>
      <c r="D2753" s="4"/>
    </row>
    <row r="2754">
      <c r="A2754" s="3">
        <v>2017.0</v>
      </c>
      <c r="B2754" s="4" t="s">
        <v>1576</v>
      </c>
      <c r="C2754" s="15">
        <v>0.0</v>
      </c>
      <c r="D2754" s="4" t="s">
        <v>3</v>
      </c>
    </row>
    <row r="2755">
      <c r="A2755" s="3">
        <v>2017.0</v>
      </c>
      <c r="B2755" s="4" t="s">
        <v>2879</v>
      </c>
      <c r="C2755" s="15">
        <v>0.0</v>
      </c>
      <c r="D2755" s="4" t="s">
        <v>3</v>
      </c>
    </row>
    <row r="2756">
      <c r="A2756" s="3">
        <v>2017.0</v>
      </c>
      <c r="B2756" s="4" t="s">
        <v>2880</v>
      </c>
      <c r="C2756" s="15">
        <v>3000.0</v>
      </c>
      <c r="D2756" s="4"/>
    </row>
    <row r="2757">
      <c r="A2757" s="3">
        <v>2017.0</v>
      </c>
      <c r="B2757" s="4" t="s">
        <v>2881</v>
      </c>
      <c r="C2757" s="15">
        <v>3500.0</v>
      </c>
      <c r="D2757" s="4"/>
    </row>
    <row r="2758">
      <c r="A2758" s="3">
        <v>2017.0</v>
      </c>
      <c r="B2758" s="4" t="s">
        <v>2882</v>
      </c>
      <c r="C2758" s="15">
        <v>3000.0</v>
      </c>
      <c r="D2758" s="4"/>
    </row>
    <row r="2759">
      <c r="A2759" s="3">
        <v>2017.0</v>
      </c>
      <c r="B2759" s="4" t="s">
        <v>1578</v>
      </c>
      <c r="C2759" s="15">
        <v>0.0</v>
      </c>
      <c r="D2759" s="4" t="s">
        <v>6</v>
      </c>
    </row>
    <row r="2760">
      <c r="A2760" s="3">
        <v>2017.0</v>
      </c>
      <c r="B2760" s="4" t="s">
        <v>1579</v>
      </c>
      <c r="C2760" s="15">
        <v>43000.0</v>
      </c>
      <c r="D2760" s="4" t="s">
        <v>3</v>
      </c>
    </row>
    <row r="2761">
      <c r="A2761" s="3">
        <v>2017.0</v>
      </c>
      <c r="B2761" s="4" t="s">
        <v>1581</v>
      </c>
      <c r="C2761" s="15">
        <v>6000.0</v>
      </c>
      <c r="D2761" s="4" t="s">
        <v>216</v>
      </c>
    </row>
    <row r="2762">
      <c r="A2762" s="3">
        <v>2017.0</v>
      </c>
      <c r="B2762" s="4" t="s">
        <v>2883</v>
      </c>
      <c r="C2762" s="15">
        <v>0.0</v>
      </c>
      <c r="D2762" s="4" t="s">
        <v>3</v>
      </c>
    </row>
    <row r="2763">
      <c r="A2763" s="3">
        <v>2017.0</v>
      </c>
      <c r="B2763" s="4" t="s">
        <v>1582</v>
      </c>
      <c r="C2763" s="15">
        <v>0.0</v>
      </c>
      <c r="D2763" s="4" t="s">
        <v>29</v>
      </c>
    </row>
    <row r="2764">
      <c r="A2764" s="3">
        <v>2017.0</v>
      </c>
      <c r="B2764" s="4" t="s">
        <v>2884</v>
      </c>
      <c r="C2764" s="15">
        <v>0.0</v>
      </c>
      <c r="D2764" s="4" t="s">
        <v>3</v>
      </c>
    </row>
    <row r="2765">
      <c r="A2765" s="3">
        <v>2017.0</v>
      </c>
      <c r="B2765" s="4" t="s">
        <v>1585</v>
      </c>
      <c r="C2765" s="15">
        <v>3300.0</v>
      </c>
      <c r="D2765" s="4" t="s">
        <v>2377</v>
      </c>
    </row>
    <row r="2766">
      <c r="A2766" s="3">
        <v>2017.0</v>
      </c>
      <c r="B2766" s="4" t="s">
        <v>2885</v>
      </c>
      <c r="C2766" s="15">
        <v>0.0</v>
      </c>
      <c r="D2766" s="4" t="s">
        <v>3</v>
      </c>
    </row>
    <row r="2767">
      <c r="A2767" s="3">
        <v>2017.0</v>
      </c>
      <c r="B2767" s="4" t="s">
        <v>2886</v>
      </c>
      <c r="C2767" s="15">
        <v>2000.0</v>
      </c>
      <c r="D2767" s="4" t="s">
        <v>3</v>
      </c>
    </row>
    <row r="2768">
      <c r="A2768" s="3">
        <v>2017.0</v>
      </c>
      <c r="B2768" s="4" t="s">
        <v>1589</v>
      </c>
      <c r="C2768" s="15">
        <v>3000.0</v>
      </c>
      <c r="D2768" s="4" t="s">
        <v>3</v>
      </c>
    </row>
    <row r="2769">
      <c r="A2769" s="3">
        <v>2017.0</v>
      </c>
      <c r="B2769" s="4" t="s">
        <v>2887</v>
      </c>
      <c r="C2769" s="15">
        <v>4000.0</v>
      </c>
      <c r="D2769" s="4"/>
    </row>
    <row r="2770">
      <c r="A2770" s="3">
        <v>2017.0</v>
      </c>
      <c r="B2770" s="4" t="s">
        <v>2888</v>
      </c>
      <c r="C2770" s="15">
        <v>10000.0</v>
      </c>
      <c r="D2770" s="4"/>
    </row>
    <row r="2771">
      <c r="A2771" s="3">
        <v>2017.0</v>
      </c>
      <c r="B2771" s="4" t="s">
        <v>2889</v>
      </c>
      <c r="C2771" s="15">
        <v>5500.0</v>
      </c>
      <c r="D2771" s="4" t="s">
        <v>3</v>
      </c>
    </row>
    <row r="2772">
      <c r="A2772" s="3">
        <v>2017.0</v>
      </c>
      <c r="B2772" s="4" t="s">
        <v>1592</v>
      </c>
      <c r="C2772" s="15">
        <v>2000.0</v>
      </c>
      <c r="D2772" s="4" t="s">
        <v>2377</v>
      </c>
    </row>
    <row r="2773">
      <c r="A2773" s="3">
        <v>2017.0</v>
      </c>
      <c r="B2773" s="4" t="s">
        <v>1593</v>
      </c>
      <c r="C2773" s="15">
        <v>0.0</v>
      </c>
      <c r="D2773" s="4" t="s">
        <v>3</v>
      </c>
    </row>
    <row r="2774">
      <c r="A2774" s="3">
        <v>2017.0</v>
      </c>
      <c r="B2774" s="4" t="s">
        <v>1594</v>
      </c>
      <c r="C2774" s="15">
        <v>7000.0</v>
      </c>
      <c r="D2774" s="4" t="s">
        <v>6</v>
      </c>
    </row>
    <row r="2775">
      <c r="A2775" s="3">
        <v>2017.0</v>
      </c>
      <c r="B2775" s="4" t="s">
        <v>2890</v>
      </c>
      <c r="C2775" s="15">
        <v>0.0</v>
      </c>
      <c r="D2775" s="4" t="s">
        <v>6</v>
      </c>
    </row>
    <row r="2776">
      <c r="A2776" s="3">
        <v>2017.0</v>
      </c>
      <c r="B2776" s="4" t="s">
        <v>1596</v>
      </c>
      <c r="C2776" s="15">
        <v>22500.0</v>
      </c>
      <c r="D2776" s="4" t="s">
        <v>2377</v>
      </c>
    </row>
    <row r="2777">
      <c r="A2777" s="3">
        <v>2017.0</v>
      </c>
      <c r="B2777" s="4" t="s">
        <v>1598</v>
      </c>
      <c r="C2777" s="15">
        <v>0.0</v>
      </c>
      <c r="D2777" s="4" t="s">
        <v>2377</v>
      </c>
    </row>
    <row r="2778">
      <c r="A2778" s="3">
        <v>2017.0</v>
      </c>
      <c r="B2778" s="4" t="s">
        <v>2891</v>
      </c>
      <c r="C2778" s="15">
        <v>1000.0</v>
      </c>
      <c r="D2778" s="4"/>
    </row>
    <row r="2779">
      <c r="A2779" s="3">
        <v>2017.0</v>
      </c>
      <c r="B2779" s="4" t="s">
        <v>2892</v>
      </c>
      <c r="C2779" s="15">
        <v>3000.0</v>
      </c>
      <c r="D2779" s="4"/>
    </row>
    <row r="2780">
      <c r="A2780" s="3">
        <v>2017.0</v>
      </c>
      <c r="B2780" s="4" t="s">
        <v>1600</v>
      </c>
      <c r="C2780" s="15">
        <v>494000.0</v>
      </c>
      <c r="D2780" s="4" t="s">
        <v>3</v>
      </c>
    </row>
    <row r="2781">
      <c r="A2781" s="3">
        <v>2017.0</v>
      </c>
      <c r="B2781" s="4" t="s">
        <v>1602</v>
      </c>
      <c r="C2781" s="15">
        <v>1400.0</v>
      </c>
      <c r="D2781" s="4"/>
    </row>
    <row r="2782">
      <c r="A2782" s="3">
        <v>2017.0</v>
      </c>
      <c r="B2782" s="4" t="s">
        <v>1603</v>
      </c>
      <c r="C2782" s="15">
        <v>1000.0</v>
      </c>
      <c r="D2782" s="4" t="s">
        <v>3</v>
      </c>
    </row>
    <row r="2783">
      <c r="A2783" s="3">
        <v>2017.0</v>
      </c>
      <c r="B2783" s="4" t="s">
        <v>1604</v>
      </c>
      <c r="C2783" s="15">
        <v>11000.0</v>
      </c>
      <c r="D2783" s="4" t="s">
        <v>1379</v>
      </c>
    </row>
    <row r="2784">
      <c r="A2784" s="3">
        <v>2017.0</v>
      </c>
      <c r="B2784" s="4" t="s">
        <v>2893</v>
      </c>
      <c r="C2784" s="15">
        <v>0.0</v>
      </c>
      <c r="D2784" s="4" t="s">
        <v>6</v>
      </c>
    </row>
    <row r="2785">
      <c r="A2785" s="3">
        <v>2017.0</v>
      </c>
      <c r="B2785" s="4" t="s">
        <v>1606</v>
      </c>
      <c r="C2785" s="15">
        <v>4500.0</v>
      </c>
      <c r="D2785" s="4"/>
    </row>
    <row r="2786">
      <c r="A2786" s="3">
        <v>2017.0</v>
      </c>
      <c r="B2786" s="4" t="s">
        <v>2894</v>
      </c>
      <c r="C2786" s="15">
        <v>0.0</v>
      </c>
      <c r="D2786" s="4" t="s">
        <v>3</v>
      </c>
    </row>
    <row r="2787">
      <c r="A2787" s="3">
        <v>2017.0</v>
      </c>
      <c r="B2787" s="4" t="s">
        <v>1609</v>
      </c>
      <c r="C2787" s="15">
        <v>9000.0</v>
      </c>
      <c r="D2787" s="4" t="s">
        <v>2377</v>
      </c>
    </row>
    <row r="2788">
      <c r="A2788" s="3">
        <v>2017.0</v>
      </c>
      <c r="B2788" s="4" t="s">
        <v>2895</v>
      </c>
      <c r="C2788" s="15">
        <v>0.0</v>
      </c>
      <c r="D2788" s="4" t="s">
        <v>3</v>
      </c>
    </row>
    <row r="2789">
      <c r="A2789" s="3">
        <v>2017.0</v>
      </c>
      <c r="B2789" s="4" t="s">
        <v>1614</v>
      </c>
      <c r="C2789" s="15">
        <v>0.0</v>
      </c>
      <c r="D2789" s="4" t="s">
        <v>2377</v>
      </c>
    </row>
    <row r="2790">
      <c r="A2790" s="3">
        <v>2017.0</v>
      </c>
      <c r="B2790" s="4" t="s">
        <v>2286</v>
      </c>
      <c r="C2790" s="15">
        <v>2000.0</v>
      </c>
      <c r="D2790" s="4" t="s">
        <v>3</v>
      </c>
    </row>
    <row r="2791">
      <c r="A2791" s="3">
        <v>2017.0</v>
      </c>
      <c r="B2791" s="4" t="s">
        <v>1617</v>
      </c>
      <c r="C2791" s="15">
        <v>0.0</v>
      </c>
      <c r="D2791" s="4" t="s">
        <v>3</v>
      </c>
    </row>
    <row r="2792">
      <c r="A2792" s="3">
        <v>2017.0</v>
      </c>
      <c r="B2792" s="4" t="s">
        <v>1618</v>
      </c>
      <c r="C2792" s="15">
        <v>0.0</v>
      </c>
      <c r="D2792" s="4" t="s">
        <v>3</v>
      </c>
    </row>
    <row r="2793">
      <c r="A2793" s="3">
        <v>2017.0</v>
      </c>
      <c r="B2793" s="4" t="s">
        <v>2896</v>
      </c>
      <c r="C2793" s="15">
        <v>0.0</v>
      </c>
      <c r="D2793" s="4" t="s">
        <v>3</v>
      </c>
    </row>
    <row r="2794">
      <c r="A2794" s="3">
        <v>2017.0</v>
      </c>
      <c r="B2794" s="4" t="s">
        <v>1620</v>
      </c>
      <c r="C2794" s="15">
        <v>32000.0</v>
      </c>
      <c r="D2794" s="4" t="s">
        <v>668</v>
      </c>
    </row>
    <row r="2795">
      <c r="A2795" s="3">
        <v>2017.0</v>
      </c>
      <c r="B2795" s="4" t="s">
        <v>1623</v>
      </c>
      <c r="C2795" s="15">
        <v>0.0</v>
      </c>
      <c r="D2795" s="4" t="s">
        <v>6</v>
      </c>
    </row>
    <row r="2796">
      <c r="A2796" s="3">
        <v>2017.0</v>
      </c>
      <c r="B2796" s="4" t="s">
        <v>1624</v>
      </c>
      <c r="C2796" s="15">
        <v>9000.0</v>
      </c>
      <c r="D2796" s="4"/>
    </row>
    <row r="2797">
      <c r="A2797" s="3">
        <v>2017.0</v>
      </c>
      <c r="B2797" s="4" t="s">
        <v>2897</v>
      </c>
      <c r="C2797" s="15">
        <v>0.0</v>
      </c>
      <c r="D2797" s="4" t="s">
        <v>3</v>
      </c>
    </row>
    <row r="2798">
      <c r="A2798" s="3">
        <v>2017.0</v>
      </c>
      <c r="B2798" s="4" t="s">
        <v>2898</v>
      </c>
      <c r="C2798" s="15">
        <v>69000.0</v>
      </c>
      <c r="D2798" s="4"/>
    </row>
    <row r="2799">
      <c r="A2799" s="3">
        <v>2017.0</v>
      </c>
      <c r="B2799" s="4" t="s">
        <v>2899</v>
      </c>
      <c r="C2799" s="15">
        <v>0.0</v>
      </c>
      <c r="D2799" s="4" t="s">
        <v>29</v>
      </c>
    </row>
    <row r="2800">
      <c r="A2800" s="3">
        <v>2017.0</v>
      </c>
      <c r="B2800" s="4" t="s">
        <v>2900</v>
      </c>
      <c r="C2800" s="15">
        <v>0.0</v>
      </c>
      <c r="D2800" s="4" t="s">
        <v>3</v>
      </c>
    </row>
    <row r="2801">
      <c r="A2801" s="3">
        <v>2017.0</v>
      </c>
      <c r="B2801" s="4" t="s">
        <v>1626</v>
      </c>
      <c r="C2801" s="15">
        <v>10500.0</v>
      </c>
      <c r="D2801" s="4" t="s">
        <v>29</v>
      </c>
    </row>
    <row r="2802">
      <c r="A2802" s="3">
        <v>2017.0</v>
      </c>
      <c r="B2802" s="4" t="s">
        <v>1627</v>
      </c>
      <c r="C2802" s="15">
        <v>0.0</v>
      </c>
      <c r="D2802" s="4" t="s">
        <v>6</v>
      </c>
    </row>
    <row r="2803">
      <c r="A2803" s="3">
        <v>2017.0</v>
      </c>
      <c r="B2803" s="4" t="s">
        <v>2901</v>
      </c>
      <c r="C2803" s="15">
        <v>1500.0</v>
      </c>
      <c r="D2803" s="4"/>
    </row>
    <row r="2804">
      <c r="A2804" s="3">
        <v>2017.0</v>
      </c>
      <c r="B2804" s="4" t="s">
        <v>1630</v>
      </c>
      <c r="C2804" s="15">
        <v>0.0</v>
      </c>
      <c r="D2804" s="4" t="s">
        <v>3</v>
      </c>
    </row>
    <row r="2805">
      <c r="A2805" s="3">
        <v>2017.0</v>
      </c>
      <c r="B2805" s="4" t="s">
        <v>2902</v>
      </c>
      <c r="C2805" s="15">
        <v>0.0</v>
      </c>
      <c r="D2805" s="4" t="s">
        <v>2377</v>
      </c>
    </row>
    <row r="2806">
      <c r="A2806" s="3">
        <v>2017.0</v>
      </c>
      <c r="B2806" s="4" t="s">
        <v>1634</v>
      </c>
      <c r="C2806" s="15">
        <v>0.0</v>
      </c>
      <c r="D2806" s="4" t="s">
        <v>3</v>
      </c>
    </row>
    <row r="2807">
      <c r="A2807" s="3">
        <v>2017.0</v>
      </c>
      <c r="B2807" s="4" t="s">
        <v>2903</v>
      </c>
      <c r="C2807" s="15">
        <v>0.0</v>
      </c>
      <c r="D2807" s="4" t="s">
        <v>3</v>
      </c>
    </row>
    <row r="2808">
      <c r="A2808" s="3">
        <v>2017.0</v>
      </c>
      <c r="B2808" s="4" t="s">
        <v>2904</v>
      </c>
      <c r="C2808" s="15">
        <v>0.0</v>
      </c>
      <c r="D2808" s="4" t="s">
        <v>3</v>
      </c>
    </row>
    <row r="2809">
      <c r="A2809" s="3">
        <v>2017.0</v>
      </c>
      <c r="B2809" s="4" t="s">
        <v>2905</v>
      </c>
      <c r="C2809" s="15">
        <v>0.0</v>
      </c>
      <c r="D2809" s="4" t="s">
        <v>3</v>
      </c>
    </row>
    <row r="2810">
      <c r="A2810" s="3">
        <v>2017.0</v>
      </c>
      <c r="B2810" s="4" t="s">
        <v>1635</v>
      </c>
      <c r="C2810" s="15">
        <v>130000.0</v>
      </c>
      <c r="D2810" s="4"/>
    </row>
    <row r="2811">
      <c r="A2811" s="3">
        <v>2017.0</v>
      </c>
      <c r="B2811" s="4" t="s">
        <v>2906</v>
      </c>
      <c r="C2811" s="15">
        <v>0.0</v>
      </c>
      <c r="D2811" s="4" t="s">
        <v>3</v>
      </c>
    </row>
    <row r="2812">
      <c r="A2812" s="3">
        <v>2017.0</v>
      </c>
      <c r="B2812" s="4" t="s">
        <v>1637</v>
      </c>
      <c r="C2812" s="15">
        <v>31418.0</v>
      </c>
      <c r="D2812" s="4" t="s">
        <v>3</v>
      </c>
    </row>
    <row r="2813">
      <c r="A2813" s="3">
        <v>2017.0</v>
      </c>
      <c r="B2813" s="4" t="s">
        <v>2907</v>
      </c>
      <c r="C2813" s="15">
        <v>175215.0</v>
      </c>
      <c r="D2813" s="4" t="s">
        <v>3</v>
      </c>
    </row>
    <row r="2814">
      <c r="A2814" s="3">
        <v>2017.0</v>
      </c>
      <c r="B2814" s="4" t="s">
        <v>1646</v>
      </c>
      <c r="C2814" s="15">
        <v>0.0</v>
      </c>
      <c r="D2814" s="4" t="s">
        <v>3</v>
      </c>
    </row>
    <row r="2815">
      <c r="A2815" s="3">
        <v>2017.0</v>
      </c>
      <c r="B2815" s="4" t="s">
        <v>2908</v>
      </c>
      <c r="C2815" s="15">
        <v>0.0</v>
      </c>
      <c r="D2815" s="4" t="s">
        <v>2377</v>
      </c>
    </row>
    <row r="2816">
      <c r="A2816" s="3">
        <v>2017.0</v>
      </c>
      <c r="B2816" s="4" t="s">
        <v>2909</v>
      </c>
      <c r="C2816" s="15">
        <v>200.0</v>
      </c>
      <c r="D2816" s="4" t="s">
        <v>3</v>
      </c>
    </row>
    <row r="2817">
      <c r="A2817" s="3">
        <v>2017.0</v>
      </c>
      <c r="B2817" s="4" t="s">
        <v>1654</v>
      </c>
      <c r="C2817" s="15">
        <v>120000.0</v>
      </c>
      <c r="D2817" s="4"/>
    </row>
    <row r="2818">
      <c r="A2818" s="3">
        <v>2017.0</v>
      </c>
      <c r="B2818" s="4" t="s">
        <v>1656</v>
      </c>
      <c r="C2818" s="15">
        <v>1500.0</v>
      </c>
      <c r="D2818" s="4"/>
    </row>
    <row r="2819">
      <c r="A2819" s="3">
        <v>2017.0</v>
      </c>
      <c r="B2819" s="4" t="s">
        <v>1658</v>
      </c>
      <c r="C2819" s="15">
        <v>2000.0</v>
      </c>
      <c r="D2819" s="4"/>
    </row>
    <row r="2820">
      <c r="A2820" s="3">
        <v>2017.0</v>
      </c>
      <c r="B2820" s="4" t="s">
        <v>1660</v>
      </c>
      <c r="C2820" s="15">
        <v>0.0</v>
      </c>
      <c r="D2820" s="4" t="s">
        <v>3</v>
      </c>
    </row>
    <row r="2821">
      <c r="A2821" s="3">
        <v>2017.0</v>
      </c>
      <c r="B2821" s="4" t="s">
        <v>1661</v>
      </c>
      <c r="C2821" s="15">
        <v>0.0</v>
      </c>
      <c r="D2821" s="4" t="s">
        <v>3</v>
      </c>
    </row>
    <row r="2822">
      <c r="A2822" s="3">
        <v>2017.0</v>
      </c>
      <c r="B2822" s="4" t="s">
        <v>1662</v>
      </c>
      <c r="C2822" s="15">
        <v>16000.0</v>
      </c>
      <c r="D2822" s="4"/>
    </row>
    <row r="2823">
      <c r="A2823" s="3">
        <v>2017.0</v>
      </c>
      <c r="B2823" s="4" t="s">
        <v>1664</v>
      </c>
      <c r="C2823" s="15">
        <v>0.0</v>
      </c>
      <c r="D2823" s="4" t="s">
        <v>3</v>
      </c>
    </row>
    <row r="2824">
      <c r="A2824" s="3">
        <v>2017.0</v>
      </c>
      <c r="B2824" s="4" t="s">
        <v>1665</v>
      </c>
      <c r="C2824" s="15">
        <v>16000.0</v>
      </c>
      <c r="D2824" s="4" t="s">
        <v>2910</v>
      </c>
    </row>
    <row r="2825">
      <c r="A2825" s="3">
        <v>2017.0</v>
      </c>
      <c r="B2825" s="4" t="s">
        <v>2911</v>
      </c>
      <c r="C2825" s="15">
        <v>0.0</v>
      </c>
      <c r="D2825" s="4" t="s">
        <v>3</v>
      </c>
    </row>
    <row r="2826">
      <c r="A2826" s="3">
        <v>2017.0</v>
      </c>
      <c r="B2826" s="4" t="s">
        <v>1668</v>
      </c>
      <c r="C2826" s="15">
        <v>0.0</v>
      </c>
      <c r="D2826" s="4" t="s">
        <v>3</v>
      </c>
    </row>
    <row r="2827">
      <c r="A2827" s="3">
        <v>2017.0</v>
      </c>
      <c r="B2827" s="4" t="s">
        <v>1669</v>
      </c>
      <c r="C2827" s="15">
        <v>1000.0</v>
      </c>
      <c r="D2827" s="4" t="s">
        <v>3</v>
      </c>
    </row>
    <row r="2828">
      <c r="A2828" s="3">
        <v>2017.0</v>
      </c>
      <c r="B2828" s="4" t="s">
        <v>1671</v>
      </c>
      <c r="C2828" s="15">
        <v>27000.0</v>
      </c>
      <c r="D2828" s="4"/>
    </row>
    <row r="2829">
      <c r="A2829" s="3">
        <v>2017.0</v>
      </c>
      <c r="B2829" s="4" t="s">
        <v>2912</v>
      </c>
      <c r="C2829" s="15">
        <v>0.0</v>
      </c>
      <c r="D2829" s="4" t="s">
        <v>3</v>
      </c>
    </row>
    <row r="2830">
      <c r="A2830" s="3">
        <v>2017.0</v>
      </c>
      <c r="B2830" s="4" t="s">
        <v>1672</v>
      </c>
      <c r="C2830" s="15">
        <v>3700.0</v>
      </c>
      <c r="D2830" s="4" t="s">
        <v>3</v>
      </c>
    </row>
    <row r="2831">
      <c r="A2831" s="3">
        <v>2017.0</v>
      </c>
      <c r="B2831" s="4" t="s">
        <v>1673</v>
      </c>
      <c r="C2831" s="15">
        <v>567000.0</v>
      </c>
      <c r="D2831" s="4" t="s">
        <v>6</v>
      </c>
    </row>
    <row r="2832">
      <c r="A2832" s="3">
        <v>2017.0</v>
      </c>
      <c r="B2832" s="4" t="s">
        <v>2913</v>
      </c>
      <c r="C2832" s="15">
        <v>7000.0</v>
      </c>
      <c r="D2832" s="4"/>
    </row>
    <row r="2833">
      <c r="A2833" s="3">
        <v>2017.0</v>
      </c>
      <c r="B2833" s="4" t="s">
        <v>1676</v>
      </c>
      <c r="C2833" s="15">
        <v>238200.0</v>
      </c>
      <c r="D2833" s="4" t="s">
        <v>176</v>
      </c>
    </row>
    <row r="2834">
      <c r="A2834" s="3">
        <v>2017.0</v>
      </c>
      <c r="B2834" s="4" t="s">
        <v>2914</v>
      </c>
      <c r="C2834" s="15">
        <v>0.0</v>
      </c>
      <c r="D2834" s="4" t="s">
        <v>3</v>
      </c>
    </row>
    <row r="2835">
      <c r="A2835" s="3">
        <v>2017.0</v>
      </c>
      <c r="B2835" s="4" t="s">
        <v>1678</v>
      </c>
      <c r="C2835" s="15">
        <v>1000.0</v>
      </c>
      <c r="D2835" s="4" t="s">
        <v>3</v>
      </c>
    </row>
    <row r="2836">
      <c r="A2836" s="3">
        <v>2017.0</v>
      </c>
      <c r="B2836" s="4" t="s">
        <v>1679</v>
      </c>
      <c r="C2836" s="15">
        <v>0.0</v>
      </c>
      <c r="D2836" s="4" t="s">
        <v>3</v>
      </c>
    </row>
    <row r="2837">
      <c r="A2837" s="3">
        <v>2017.0</v>
      </c>
      <c r="B2837" s="4" t="s">
        <v>2915</v>
      </c>
      <c r="C2837" s="15">
        <v>0.0</v>
      </c>
      <c r="D2837" s="4" t="s">
        <v>3</v>
      </c>
    </row>
    <row r="2838">
      <c r="A2838" s="3">
        <v>2017.0</v>
      </c>
      <c r="B2838" s="4" t="s">
        <v>2290</v>
      </c>
      <c r="C2838" s="15">
        <v>0.0</v>
      </c>
      <c r="D2838" s="4" t="s">
        <v>3</v>
      </c>
    </row>
    <row r="2839">
      <c r="A2839" s="3">
        <v>2017.0</v>
      </c>
      <c r="B2839" s="4" t="s">
        <v>1682</v>
      </c>
      <c r="C2839" s="15">
        <v>0.0</v>
      </c>
      <c r="D2839" s="4" t="s">
        <v>3</v>
      </c>
    </row>
    <row r="2840">
      <c r="A2840" s="3">
        <v>2017.0</v>
      </c>
      <c r="B2840" s="4" t="s">
        <v>1685</v>
      </c>
      <c r="C2840" s="15">
        <v>0.0</v>
      </c>
      <c r="D2840" s="4" t="s">
        <v>6</v>
      </c>
    </row>
    <row r="2841">
      <c r="A2841" s="3">
        <v>2017.0</v>
      </c>
      <c r="B2841" s="4" t="s">
        <v>1687</v>
      </c>
      <c r="C2841" s="15">
        <v>0.0</v>
      </c>
      <c r="D2841" s="4" t="s">
        <v>29</v>
      </c>
    </row>
    <row r="2842">
      <c r="A2842" s="3">
        <v>2017.0</v>
      </c>
      <c r="B2842" s="4" t="s">
        <v>1689</v>
      </c>
      <c r="C2842" s="15">
        <v>1500.0</v>
      </c>
      <c r="D2842" s="4"/>
    </row>
    <row r="2843">
      <c r="A2843" s="3">
        <v>2017.0</v>
      </c>
      <c r="B2843" s="4" t="s">
        <v>1691</v>
      </c>
      <c r="C2843" s="15">
        <v>0.0</v>
      </c>
      <c r="D2843" s="4" t="s">
        <v>29</v>
      </c>
    </row>
    <row r="2844">
      <c r="A2844" s="3">
        <v>2017.0</v>
      </c>
      <c r="B2844" s="4" t="s">
        <v>1692</v>
      </c>
      <c r="C2844" s="15">
        <v>5000.0</v>
      </c>
      <c r="D2844" s="4" t="s">
        <v>668</v>
      </c>
    </row>
    <row r="2845">
      <c r="A2845" s="3">
        <v>2017.0</v>
      </c>
      <c r="B2845" s="4" t="s">
        <v>1694</v>
      </c>
      <c r="C2845" s="15">
        <v>0.0</v>
      </c>
      <c r="D2845" s="4" t="s">
        <v>2377</v>
      </c>
    </row>
    <row r="2846">
      <c r="A2846" s="3">
        <v>2017.0</v>
      </c>
      <c r="B2846" s="4" t="s">
        <v>1695</v>
      </c>
      <c r="C2846" s="15">
        <v>500.0</v>
      </c>
      <c r="D2846" s="4" t="s">
        <v>3</v>
      </c>
    </row>
    <row r="2847">
      <c r="A2847" s="3">
        <v>2017.0</v>
      </c>
      <c r="B2847" s="4" t="s">
        <v>1697</v>
      </c>
      <c r="C2847" s="15">
        <v>0.0</v>
      </c>
      <c r="D2847" s="4" t="s">
        <v>2377</v>
      </c>
    </row>
    <row r="2848">
      <c r="A2848" s="3">
        <v>2017.0</v>
      </c>
      <c r="B2848" s="4" t="s">
        <v>1698</v>
      </c>
      <c r="C2848" s="15">
        <v>1500.0</v>
      </c>
      <c r="D2848" s="4" t="s">
        <v>6</v>
      </c>
    </row>
    <row r="2849">
      <c r="A2849" s="3">
        <v>2017.0</v>
      </c>
      <c r="B2849" s="4" t="s">
        <v>2916</v>
      </c>
      <c r="C2849" s="15">
        <v>3500.0</v>
      </c>
      <c r="D2849" s="4" t="s">
        <v>3</v>
      </c>
    </row>
    <row r="2850">
      <c r="A2850" s="3">
        <v>2017.0</v>
      </c>
      <c r="B2850" s="4" t="s">
        <v>1700</v>
      </c>
      <c r="C2850" s="15">
        <v>0.0</v>
      </c>
      <c r="D2850" s="4" t="s">
        <v>3</v>
      </c>
    </row>
    <row r="2851">
      <c r="A2851" s="3">
        <v>2017.0</v>
      </c>
      <c r="B2851" s="4" t="s">
        <v>1701</v>
      </c>
      <c r="C2851" s="15">
        <v>2500.0</v>
      </c>
      <c r="D2851" s="4" t="s">
        <v>3</v>
      </c>
    </row>
    <row r="2852">
      <c r="A2852" s="3">
        <v>2017.0</v>
      </c>
      <c r="B2852" s="4" t="s">
        <v>1702</v>
      </c>
      <c r="C2852" s="15">
        <v>3000.0</v>
      </c>
      <c r="D2852" s="4" t="s">
        <v>2377</v>
      </c>
    </row>
    <row r="2853">
      <c r="A2853" s="3">
        <v>2017.0</v>
      </c>
      <c r="B2853" s="4" t="s">
        <v>1703</v>
      </c>
      <c r="C2853" s="15">
        <v>0.0</v>
      </c>
      <c r="D2853" s="4" t="s">
        <v>3</v>
      </c>
    </row>
    <row r="2854">
      <c r="A2854" s="3">
        <v>2017.0</v>
      </c>
      <c r="B2854" s="4" t="s">
        <v>1704</v>
      </c>
      <c r="C2854" s="15">
        <v>0.0</v>
      </c>
      <c r="D2854" s="4" t="s">
        <v>3</v>
      </c>
    </row>
    <row r="2855">
      <c r="A2855" s="3">
        <v>2017.0</v>
      </c>
      <c r="B2855" s="4" t="s">
        <v>2917</v>
      </c>
      <c r="C2855" s="15">
        <v>0.0</v>
      </c>
      <c r="D2855" s="4" t="s">
        <v>6</v>
      </c>
    </row>
    <row r="2856">
      <c r="A2856" s="3">
        <v>2017.0</v>
      </c>
      <c r="B2856" s="4" t="s">
        <v>1705</v>
      </c>
      <c r="C2856" s="15">
        <v>0.0</v>
      </c>
      <c r="D2856" s="4" t="s">
        <v>2377</v>
      </c>
    </row>
    <row r="2857">
      <c r="A2857" s="3">
        <v>2017.0</v>
      </c>
      <c r="B2857" s="4" t="s">
        <v>1709</v>
      </c>
      <c r="C2857" s="15">
        <v>4000.0</v>
      </c>
      <c r="D2857" s="4"/>
    </row>
    <row r="2858">
      <c r="A2858" s="3">
        <v>2017.0</v>
      </c>
      <c r="B2858" s="4" t="s">
        <v>2918</v>
      </c>
      <c r="C2858" s="15">
        <v>0.0</v>
      </c>
      <c r="D2858" s="4" t="s">
        <v>3</v>
      </c>
    </row>
    <row r="2859">
      <c r="A2859" s="3">
        <v>2017.0</v>
      </c>
      <c r="B2859" s="4" t="s">
        <v>2291</v>
      </c>
      <c r="C2859" s="15">
        <v>500.0</v>
      </c>
      <c r="D2859" s="4" t="s">
        <v>6</v>
      </c>
    </row>
    <row r="2860">
      <c r="A2860" s="3">
        <v>2017.0</v>
      </c>
      <c r="B2860" s="4" t="s">
        <v>2292</v>
      </c>
      <c r="C2860" s="15">
        <v>337986.0</v>
      </c>
      <c r="D2860" s="4"/>
    </row>
    <row r="2861">
      <c r="A2861" s="3">
        <v>2017.0</v>
      </c>
      <c r="B2861" s="4" t="s">
        <v>1718</v>
      </c>
      <c r="C2861" s="15">
        <v>30000.0</v>
      </c>
      <c r="D2861" s="4" t="s">
        <v>2377</v>
      </c>
    </row>
    <row r="2862">
      <c r="A2862" s="3">
        <v>2017.0</v>
      </c>
      <c r="B2862" s="4" t="s">
        <v>1720</v>
      </c>
      <c r="C2862" s="15">
        <v>0.0</v>
      </c>
      <c r="D2862" s="4" t="s">
        <v>3</v>
      </c>
    </row>
    <row r="2863">
      <c r="A2863" s="3">
        <v>2017.0</v>
      </c>
      <c r="B2863" s="4" t="s">
        <v>2919</v>
      </c>
      <c r="C2863" s="15">
        <v>1000.0</v>
      </c>
      <c r="D2863" s="4"/>
    </row>
    <row r="2864">
      <c r="A2864" s="3">
        <v>2017.0</v>
      </c>
      <c r="B2864" s="4" t="s">
        <v>2920</v>
      </c>
      <c r="C2864" s="15">
        <v>0.0</v>
      </c>
      <c r="D2864" s="4" t="s">
        <v>3</v>
      </c>
    </row>
    <row r="2865">
      <c r="A2865" s="3">
        <v>2017.0</v>
      </c>
      <c r="B2865" s="4" t="s">
        <v>2921</v>
      </c>
      <c r="C2865" s="15">
        <v>0.0</v>
      </c>
      <c r="D2865" s="4" t="s">
        <v>3</v>
      </c>
    </row>
    <row r="2866">
      <c r="A2866" s="3">
        <v>2017.0</v>
      </c>
      <c r="B2866" s="4" t="s">
        <v>1729</v>
      </c>
      <c r="C2866" s="15">
        <v>0.0</v>
      </c>
      <c r="D2866" s="4" t="s">
        <v>3</v>
      </c>
    </row>
    <row r="2867">
      <c r="A2867" s="3">
        <v>2017.0</v>
      </c>
      <c r="B2867" s="4" t="s">
        <v>1730</v>
      </c>
      <c r="C2867" s="15">
        <v>0.0</v>
      </c>
      <c r="D2867" s="4" t="s">
        <v>29</v>
      </c>
    </row>
    <row r="2868">
      <c r="A2868" s="3">
        <v>2017.0</v>
      </c>
      <c r="B2868" s="4" t="s">
        <v>2922</v>
      </c>
      <c r="C2868" s="15">
        <v>900.0</v>
      </c>
      <c r="D2868" s="4" t="s">
        <v>2377</v>
      </c>
    </row>
    <row r="2869">
      <c r="A2869" s="3">
        <v>2017.0</v>
      </c>
      <c r="B2869" s="4" t="s">
        <v>1733</v>
      </c>
      <c r="C2869" s="15">
        <v>31500.0</v>
      </c>
      <c r="D2869" s="4" t="s">
        <v>3</v>
      </c>
    </row>
    <row r="2870">
      <c r="A2870" s="3">
        <v>2017.0</v>
      </c>
      <c r="B2870" s="4" t="s">
        <v>1735</v>
      </c>
      <c r="C2870" s="15">
        <v>10000.0</v>
      </c>
      <c r="D2870" s="4" t="s">
        <v>3</v>
      </c>
    </row>
    <row r="2871">
      <c r="A2871" s="3">
        <v>2017.0</v>
      </c>
      <c r="B2871" s="4" t="s">
        <v>1736</v>
      </c>
      <c r="C2871" s="15">
        <v>5000.0</v>
      </c>
      <c r="D2871" s="4" t="s">
        <v>16</v>
      </c>
    </row>
    <row r="2872">
      <c r="A2872" s="3">
        <v>2017.0</v>
      </c>
      <c r="B2872" s="4" t="s">
        <v>1737</v>
      </c>
      <c r="C2872" s="15">
        <v>0.0</v>
      </c>
      <c r="D2872" s="4" t="s">
        <v>3</v>
      </c>
    </row>
    <row r="2873">
      <c r="A2873" s="3">
        <v>2017.0</v>
      </c>
      <c r="B2873" s="4" t="s">
        <v>1738</v>
      </c>
      <c r="C2873" s="15">
        <v>3500.0</v>
      </c>
      <c r="D2873" s="4" t="s">
        <v>2377</v>
      </c>
    </row>
    <row r="2874">
      <c r="A2874" s="3">
        <v>2017.0</v>
      </c>
      <c r="B2874" s="4" t="s">
        <v>1739</v>
      </c>
      <c r="C2874" s="15">
        <v>22520.0</v>
      </c>
      <c r="D2874" s="4" t="s">
        <v>2508</v>
      </c>
    </row>
    <row r="2875">
      <c r="A2875" s="3">
        <v>2017.0</v>
      </c>
      <c r="B2875" s="4" t="s">
        <v>1740</v>
      </c>
      <c r="C2875" s="15">
        <v>1700.0</v>
      </c>
      <c r="D2875" s="4" t="s">
        <v>3</v>
      </c>
    </row>
    <row r="2876">
      <c r="A2876" s="3">
        <v>2017.0</v>
      </c>
      <c r="B2876" s="4" t="s">
        <v>2923</v>
      </c>
      <c r="C2876" s="15">
        <v>0.0</v>
      </c>
      <c r="D2876" s="4" t="s">
        <v>3</v>
      </c>
    </row>
    <row r="2877">
      <c r="A2877" s="3">
        <v>2017.0</v>
      </c>
      <c r="B2877" s="4" t="s">
        <v>1747</v>
      </c>
      <c r="C2877" s="15">
        <v>7560.0</v>
      </c>
      <c r="D2877" s="4" t="s">
        <v>6</v>
      </c>
    </row>
    <row r="2878">
      <c r="A2878" s="3">
        <v>2017.0</v>
      </c>
      <c r="B2878" s="4" t="s">
        <v>1749</v>
      </c>
      <c r="C2878" s="15">
        <v>0.0</v>
      </c>
      <c r="D2878" s="4" t="s">
        <v>6</v>
      </c>
    </row>
    <row r="2879">
      <c r="A2879" s="3">
        <v>2017.0</v>
      </c>
      <c r="B2879" s="4" t="s">
        <v>2924</v>
      </c>
      <c r="C2879" s="15">
        <v>20000.0</v>
      </c>
      <c r="D2879" s="4" t="s">
        <v>176</v>
      </c>
    </row>
    <row r="2880">
      <c r="A2880" s="3">
        <v>2017.0</v>
      </c>
      <c r="B2880" s="4" t="s">
        <v>1750</v>
      </c>
      <c r="C2880" s="15">
        <v>0.0</v>
      </c>
      <c r="D2880" s="4" t="s">
        <v>6</v>
      </c>
    </row>
    <row r="2881">
      <c r="A2881" s="3">
        <v>2017.0</v>
      </c>
      <c r="B2881" s="4" t="s">
        <v>1751</v>
      </c>
      <c r="C2881" s="15">
        <v>47500.0</v>
      </c>
      <c r="D2881" s="4" t="s">
        <v>3</v>
      </c>
    </row>
    <row r="2882">
      <c r="A2882" s="3">
        <v>2017.0</v>
      </c>
      <c r="B2882" s="4" t="s">
        <v>1753</v>
      </c>
      <c r="C2882" s="15">
        <v>0.0</v>
      </c>
      <c r="D2882" s="4" t="s">
        <v>3</v>
      </c>
    </row>
    <row r="2883">
      <c r="A2883" s="3">
        <v>2017.0</v>
      </c>
      <c r="B2883" s="4" t="s">
        <v>1754</v>
      </c>
      <c r="C2883" s="15">
        <v>6000.0</v>
      </c>
      <c r="D2883" s="4" t="s">
        <v>3</v>
      </c>
    </row>
    <row r="2884">
      <c r="A2884" s="3">
        <v>2017.0</v>
      </c>
      <c r="B2884" s="4" t="s">
        <v>2925</v>
      </c>
      <c r="C2884" s="15">
        <v>4000.0</v>
      </c>
      <c r="D2884" s="4"/>
    </row>
    <row r="2885">
      <c r="A2885" s="3">
        <v>2017.0</v>
      </c>
      <c r="B2885" s="4" t="s">
        <v>1756</v>
      </c>
      <c r="C2885" s="15">
        <v>30192.0</v>
      </c>
      <c r="D2885" s="4"/>
    </row>
    <row r="2886">
      <c r="A2886" s="3">
        <v>2017.0</v>
      </c>
      <c r="B2886" s="4" t="s">
        <v>1758</v>
      </c>
      <c r="C2886" s="15">
        <v>2500.0</v>
      </c>
      <c r="D2886" s="4"/>
    </row>
    <row r="2887">
      <c r="A2887" s="3">
        <v>2017.0</v>
      </c>
      <c r="B2887" s="4" t="s">
        <v>1759</v>
      </c>
      <c r="C2887" s="15">
        <v>10000.0</v>
      </c>
      <c r="D2887" s="4" t="s">
        <v>3</v>
      </c>
    </row>
    <row r="2888">
      <c r="A2888" s="3">
        <v>2017.0</v>
      </c>
      <c r="B2888" s="4" t="s">
        <v>2926</v>
      </c>
      <c r="C2888" s="15">
        <v>0.0</v>
      </c>
      <c r="D2888" s="4" t="s">
        <v>3</v>
      </c>
    </row>
    <row r="2889">
      <c r="A2889" s="3">
        <v>2017.0</v>
      </c>
      <c r="B2889" s="4" t="s">
        <v>1760</v>
      </c>
      <c r="C2889" s="15">
        <v>0.0</v>
      </c>
      <c r="D2889" s="4" t="s">
        <v>3</v>
      </c>
    </row>
    <row r="2890">
      <c r="A2890" s="3">
        <v>2017.0</v>
      </c>
      <c r="B2890" s="4" t="s">
        <v>1761</v>
      </c>
      <c r="C2890" s="15">
        <v>67600.0</v>
      </c>
      <c r="D2890" s="4"/>
    </row>
    <row r="2891">
      <c r="A2891" s="3">
        <v>2017.0</v>
      </c>
      <c r="B2891" s="4" t="s">
        <v>2927</v>
      </c>
      <c r="C2891" s="15">
        <v>0.0</v>
      </c>
      <c r="D2891" s="4" t="s">
        <v>2377</v>
      </c>
    </row>
    <row r="2892">
      <c r="A2892" s="3">
        <v>2017.0</v>
      </c>
      <c r="B2892" s="4" t="s">
        <v>1763</v>
      </c>
      <c r="C2892" s="15">
        <v>0.0</v>
      </c>
      <c r="D2892" s="4" t="s">
        <v>3</v>
      </c>
    </row>
    <row r="2893">
      <c r="A2893" s="3">
        <v>2017.0</v>
      </c>
      <c r="B2893" s="4" t="s">
        <v>2928</v>
      </c>
      <c r="C2893" s="15">
        <v>0.0</v>
      </c>
      <c r="D2893" s="4" t="s">
        <v>3</v>
      </c>
    </row>
    <row r="2894">
      <c r="A2894" s="3">
        <v>2017.0</v>
      </c>
      <c r="B2894" s="4" t="s">
        <v>1764</v>
      </c>
      <c r="C2894" s="15">
        <v>10000.0</v>
      </c>
      <c r="D2894" s="4" t="s">
        <v>2377</v>
      </c>
    </row>
    <row r="2895">
      <c r="A2895" s="3">
        <v>2017.0</v>
      </c>
      <c r="B2895" s="4" t="s">
        <v>1765</v>
      </c>
      <c r="C2895" s="15">
        <v>0.0</v>
      </c>
      <c r="D2895" s="4" t="s">
        <v>2377</v>
      </c>
    </row>
    <row r="2896">
      <c r="A2896" s="3">
        <v>2017.0</v>
      </c>
      <c r="B2896" s="4" t="s">
        <v>2929</v>
      </c>
      <c r="C2896" s="15">
        <v>3000.0</v>
      </c>
      <c r="D2896" s="4"/>
    </row>
    <row r="2897">
      <c r="A2897" s="3">
        <v>2017.0</v>
      </c>
      <c r="B2897" s="4" t="s">
        <v>1766</v>
      </c>
      <c r="C2897" s="15">
        <v>13000.0</v>
      </c>
      <c r="D2897" s="4"/>
    </row>
    <row r="2898">
      <c r="A2898" s="3">
        <v>2017.0</v>
      </c>
      <c r="B2898" s="4" t="s">
        <v>2930</v>
      </c>
      <c r="C2898" s="15">
        <v>640.0</v>
      </c>
      <c r="D2898" s="4"/>
    </row>
    <row r="2899">
      <c r="A2899" s="3">
        <v>2017.0</v>
      </c>
      <c r="B2899" s="4" t="s">
        <v>2931</v>
      </c>
      <c r="C2899" s="15">
        <v>0.0</v>
      </c>
      <c r="D2899" s="4" t="s">
        <v>3</v>
      </c>
    </row>
    <row r="2900">
      <c r="A2900" s="3">
        <v>2017.0</v>
      </c>
      <c r="B2900" s="4" t="s">
        <v>1769</v>
      </c>
      <c r="C2900" s="15">
        <v>0.0</v>
      </c>
      <c r="D2900" s="4" t="s">
        <v>6</v>
      </c>
    </row>
    <row r="2901">
      <c r="A2901" s="3">
        <v>2017.0</v>
      </c>
      <c r="B2901" s="4" t="s">
        <v>2932</v>
      </c>
      <c r="C2901" s="15">
        <v>0.0</v>
      </c>
      <c r="D2901" s="4" t="s">
        <v>3</v>
      </c>
    </row>
    <row r="2902">
      <c r="A2902" s="3">
        <v>2017.0</v>
      </c>
      <c r="B2902" s="4" t="s">
        <v>1771</v>
      </c>
      <c r="C2902" s="15">
        <v>0.0</v>
      </c>
      <c r="D2902" s="4" t="s">
        <v>2377</v>
      </c>
    </row>
    <row r="2903">
      <c r="A2903" s="3">
        <v>2017.0</v>
      </c>
      <c r="B2903" s="4" t="s">
        <v>2933</v>
      </c>
      <c r="C2903" s="15">
        <v>0.0</v>
      </c>
      <c r="D2903" s="4" t="s">
        <v>3</v>
      </c>
    </row>
    <row r="2904">
      <c r="A2904" s="3">
        <v>2017.0</v>
      </c>
      <c r="B2904" s="4" t="s">
        <v>1772</v>
      </c>
      <c r="C2904" s="15">
        <v>0.0</v>
      </c>
      <c r="D2904" s="4" t="s">
        <v>3</v>
      </c>
    </row>
    <row r="2905">
      <c r="A2905" s="3">
        <v>2017.0</v>
      </c>
      <c r="B2905" s="4" t="s">
        <v>2934</v>
      </c>
      <c r="C2905" s="15">
        <v>0.0</v>
      </c>
      <c r="D2905" s="4" t="s">
        <v>3</v>
      </c>
    </row>
    <row r="2906">
      <c r="A2906" s="3">
        <v>2017.0</v>
      </c>
      <c r="B2906" s="4" t="s">
        <v>2935</v>
      </c>
      <c r="C2906" s="15">
        <v>0.0</v>
      </c>
      <c r="D2906" s="4" t="s">
        <v>6</v>
      </c>
    </row>
    <row r="2907">
      <c r="A2907" s="3">
        <v>2017.0</v>
      </c>
      <c r="B2907" s="4" t="s">
        <v>2936</v>
      </c>
      <c r="C2907" s="15">
        <v>5487.0</v>
      </c>
      <c r="D2907" s="4" t="s">
        <v>6</v>
      </c>
    </row>
    <row r="2908">
      <c r="A2908" s="3">
        <v>2017.0</v>
      </c>
      <c r="B2908" s="4" t="s">
        <v>2295</v>
      </c>
      <c r="C2908" s="15">
        <v>2000.0</v>
      </c>
      <c r="D2908" s="4" t="s">
        <v>3</v>
      </c>
    </row>
    <row r="2909">
      <c r="A2909" s="3">
        <v>2017.0</v>
      </c>
      <c r="B2909" s="4" t="s">
        <v>1777</v>
      </c>
      <c r="C2909" s="15">
        <v>1000.0</v>
      </c>
      <c r="D2909" s="4" t="s">
        <v>29</v>
      </c>
    </row>
    <row r="2910">
      <c r="A2910" s="3">
        <v>2017.0</v>
      </c>
      <c r="B2910" s="4" t="s">
        <v>1778</v>
      </c>
      <c r="C2910" s="15">
        <v>1150.0</v>
      </c>
      <c r="D2910" s="4"/>
    </row>
    <row r="2911">
      <c r="A2911" s="3">
        <v>2017.0</v>
      </c>
      <c r="B2911" s="4" t="s">
        <v>1780</v>
      </c>
      <c r="C2911" s="15">
        <v>0.0</v>
      </c>
      <c r="D2911" s="4" t="s">
        <v>3</v>
      </c>
    </row>
    <row r="2912">
      <c r="A2912" s="3">
        <v>2017.0</v>
      </c>
      <c r="B2912" s="4" t="s">
        <v>1782</v>
      </c>
      <c r="C2912" s="15">
        <v>4200.0</v>
      </c>
      <c r="D2912" s="4" t="s">
        <v>2377</v>
      </c>
    </row>
    <row r="2913">
      <c r="A2913" s="3">
        <v>2017.0</v>
      </c>
      <c r="B2913" s="4" t="s">
        <v>1783</v>
      </c>
      <c r="C2913" s="15">
        <v>4400.0</v>
      </c>
      <c r="D2913" s="4"/>
    </row>
    <row r="2914">
      <c r="A2914" s="3">
        <v>2017.0</v>
      </c>
      <c r="B2914" s="4" t="s">
        <v>1784</v>
      </c>
      <c r="C2914" s="15">
        <v>0.0</v>
      </c>
      <c r="D2914" s="4" t="s">
        <v>3</v>
      </c>
    </row>
    <row r="2915">
      <c r="A2915" s="3">
        <v>2017.0</v>
      </c>
      <c r="B2915" s="4" t="s">
        <v>1785</v>
      </c>
      <c r="C2915" s="15">
        <v>0.0</v>
      </c>
      <c r="D2915" s="4" t="s">
        <v>3</v>
      </c>
    </row>
    <row r="2916">
      <c r="A2916" s="3">
        <v>2017.0</v>
      </c>
      <c r="B2916" s="4" t="s">
        <v>2937</v>
      </c>
      <c r="C2916" s="15">
        <v>0.0</v>
      </c>
      <c r="D2916" s="4" t="s">
        <v>3</v>
      </c>
    </row>
    <row r="2917">
      <c r="A2917" s="3">
        <v>2017.0</v>
      </c>
      <c r="B2917" s="4" t="s">
        <v>2938</v>
      </c>
      <c r="C2917" s="15">
        <v>0.0</v>
      </c>
      <c r="D2917" s="4" t="s">
        <v>3</v>
      </c>
    </row>
    <row r="2918">
      <c r="A2918" s="3">
        <v>2017.0</v>
      </c>
      <c r="B2918" s="4" t="s">
        <v>1787</v>
      </c>
      <c r="C2918" s="15">
        <v>200000.0</v>
      </c>
      <c r="D2918" s="4"/>
    </row>
    <row r="2919">
      <c r="A2919" s="3">
        <v>2017.0</v>
      </c>
      <c r="B2919" s="4" t="s">
        <v>1789</v>
      </c>
      <c r="C2919" s="15">
        <v>450000.0</v>
      </c>
      <c r="D2919" s="4"/>
    </row>
    <row r="2920">
      <c r="A2920" s="3">
        <v>2017.0</v>
      </c>
      <c r="B2920" s="4" t="s">
        <v>2939</v>
      </c>
      <c r="C2920" s="15">
        <v>0.0</v>
      </c>
      <c r="D2920" s="4" t="s">
        <v>3</v>
      </c>
    </row>
    <row r="2921">
      <c r="A2921" s="3">
        <v>2017.0</v>
      </c>
      <c r="B2921" s="4" t="s">
        <v>1791</v>
      </c>
      <c r="C2921" s="15">
        <v>1000.0</v>
      </c>
      <c r="D2921" s="4" t="s">
        <v>29</v>
      </c>
    </row>
    <row r="2922">
      <c r="A2922" s="3">
        <v>2017.0</v>
      </c>
      <c r="B2922" s="4" t="s">
        <v>2940</v>
      </c>
      <c r="C2922" s="15">
        <v>0.0</v>
      </c>
      <c r="D2922" s="4" t="s">
        <v>3</v>
      </c>
    </row>
    <row r="2923">
      <c r="A2923" s="3">
        <v>2017.0</v>
      </c>
      <c r="B2923" s="4" t="s">
        <v>2941</v>
      </c>
      <c r="C2923" s="15">
        <v>0.0</v>
      </c>
      <c r="D2923" s="4" t="s">
        <v>6</v>
      </c>
    </row>
    <row r="2924">
      <c r="A2924" s="3">
        <v>2017.0</v>
      </c>
      <c r="B2924" s="4" t="s">
        <v>1796</v>
      </c>
      <c r="C2924" s="15">
        <v>0.0</v>
      </c>
      <c r="D2924" s="4" t="s">
        <v>3</v>
      </c>
    </row>
    <row r="2925">
      <c r="A2925" s="3">
        <v>2017.0</v>
      </c>
      <c r="B2925" s="4" t="s">
        <v>2297</v>
      </c>
      <c r="C2925" s="15">
        <v>0.0</v>
      </c>
      <c r="D2925" s="4" t="s">
        <v>176</v>
      </c>
    </row>
    <row r="2926">
      <c r="A2926" s="3">
        <v>2017.0</v>
      </c>
      <c r="B2926" s="4" t="s">
        <v>1799</v>
      </c>
      <c r="C2926" s="15">
        <v>0.0</v>
      </c>
      <c r="D2926" s="4" t="s">
        <v>29</v>
      </c>
    </row>
    <row r="2927">
      <c r="A2927" s="3">
        <v>2017.0</v>
      </c>
      <c r="B2927" s="4" t="s">
        <v>2298</v>
      </c>
      <c r="C2927" s="15">
        <v>72000.0</v>
      </c>
      <c r="D2927" s="4" t="s">
        <v>2447</v>
      </c>
    </row>
    <row r="2928">
      <c r="A2928" s="3">
        <v>2017.0</v>
      </c>
      <c r="B2928" s="4" t="s">
        <v>2942</v>
      </c>
      <c r="C2928" s="15">
        <v>0.0</v>
      </c>
      <c r="D2928" s="4" t="s">
        <v>6</v>
      </c>
    </row>
    <row r="2929">
      <c r="A2929" s="3">
        <v>2017.0</v>
      </c>
      <c r="B2929" s="4" t="s">
        <v>2943</v>
      </c>
      <c r="C2929" s="15">
        <v>0.0</v>
      </c>
      <c r="D2929" s="4" t="s">
        <v>3</v>
      </c>
    </row>
    <row r="2930">
      <c r="A2930" s="3">
        <v>2017.0</v>
      </c>
      <c r="B2930" s="4" t="s">
        <v>1805</v>
      </c>
      <c r="C2930" s="15">
        <v>9000.0</v>
      </c>
      <c r="D2930" s="4"/>
    </row>
    <row r="2931">
      <c r="A2931" s="3">
        <v>2017.0</v>
      </c>
      <c r="B2931" s="4" t="s">
        <v>2944</v>
      </c>
      <c r="C2931" s="15">
        <v>0.0</v>
      </c>
      <c r="D2931" s="4" t="s">
        <v>3</v>
      </c>
    </row>
    <row r="2932">
      <c r="A2932" s="3">
        <v>2017.0</v>
      </c>
      <c r="B2932" s="4" t="s">
        <v>1807</v>
      </c>
      <c r="C2932" s="15">
        <v>0.0</v>
      </c>
      <c r="D2932" s="4" t="s">
        <v>668</v>
      </c>
    </row>
    <row r="2933">
      <c r="A2933" s="3">
        <v>2017.0</v>
      </c>
      <c r="B2933" s="4" t="s">
        <v>1809</v>
      </c>
      <c r="C2933" s="15">
        <v>500.0</v>
      </c>
      <c r="D2933" s="4"/>
    </row>
    <row r="2934">
      <c r="A2934" s="3">
        <v>2017.0</v>
      </c>
      <c r="B2934" s="4" t="s">
        <v>2945</v>
      </c>
      <c r="C2934" s="15">
        <v>0.0</v>
      </c>
      <c r="D2934" s="4" t="s">
        <v>29</v>
      </c>
    </row>
    <row r="2935">
      <c r="A2935" s="3">
        <v>2017.0</v>
      </c>
      <c r="B2935" s="4" t="s">
        <v>2946</v>
      </c>
      <c r="C2935" s="15">
        <v>0.0</v>
      </c>
      <c r="D2935" s="4" t="s">
        <v>6</v>
      </c>
    </row>
    <row r="2936">
      <c r="A2936" s="3">
        <v>2017.0</v>
      </c>
      <c r="B2936" s="4" t="s">
        <v>1810</v>
      </c>
      <c r="C2936" s="15">
        <v>8815.0</v>
      </c>
      <c r="D2936" s="4" t="s">
        <v>2377</v>
      </c>
    </row>
    <row r="2937">
      <c r="A2937" s="3">
        <v>2017.0</v>
      </c>
      <c r="B2937" s="4" t="s">
        <v>2947</v>
      </c>
      <c r="C2937" s="15">
        <v>0.0</v>
      </c>
      <c r="D2937" s="4" t="s">
        <v>3</v>
      </c>
    </row>
    <row r="2938">
      <c r="A2938" s="3">
        <v>2017.0</v>
      </c>
      <c r="B2938" s="4" t="s">
        <v>1811</v>
      </c>
      <c r="C2938" s="15">
        <v>16770.0</v>
      </c>
      <c r="D2938" s="4" t="s">
        <v>3</v>
      </c>
    </row>
    <row r="2939">
      <c r="A2939" s="3">
        <v>2017.0</v>
      </c>
      <c r="B2939" s="4" t="s">
        <v>1813</v>
      </c>
      <c r="C2939" s="15">
        <v>300.0</v>
      </c>
      <c r="D2939" s="4"/>
    </row>
    <row r="2940">
      <c r="A2940" s="3">
        <v>2017.0</v>
      </c>
      <c r="B2940" s="4" t="s">
        <v>1814</v>
      </c>
      <c r="C2940" s="15">
        <v>0.0</v>
      </c>
      <c r="D2940" s="4" t="s">
        <v>3</v>
      </c>
    </row>
    <row r="2941">
      <c r="A2941" s="3">
        <v>2017.0</v>
      </c>
      <c r="B2941" s="4" t="s">
        <v>2301</v>
      </c>
      <c r="C2941" s="15">
        <v>500.0</v>
      </c>
      <c r="D2941" s="4"/>
    </row>
    <row r="2942">
      <c r="A2942" s="3">
        <v>2017.0</v>
      </c>
      <c r="B2942" s="4" t="s">
        <v>1818</v>
      </c>
      <c r="C2942" s="15">
        <v>2000.0</v>
      </c>
      <c r="D2942" s="4" t="s">
        <v>3</v>
      </c>
    </row>
    <row r="2943">
      <c r="A2943" s="3">
        <v>2017.0</v>
      </c>
      <c r="B2943" s="4" t="s">
        <v>2303</v>
      </c>
      <c r="C2943" s="15">
        <v>1500.0</v>
      </c>
      <c r="D2943" s="4" t="s">
        <v>3</v>
      </c>
    </row>
    <row r="2944">
      <c r="A2944" s="3">
        <v>2017.0</v>
      </c>
      <c r="B2944" s="4" t="s">
        <v>2948</v>
      </c>
      <c r="C2944" s="15">
        <v>0.0</v>
      </c>
      <c r="D2944" s="4" t="s">
        <v>3</v>
      </c>
    </row>
    <row r="2945">
      <c r="A2945" s="3">
        <v>2017.0</v>
      </c>
      <c r="B2945" s="4" t="s">
        <v>1821</v>
      </c>
      <c r="C2945" s="15">
        <v>0.0</v>
      </c>
      <c r="D2945" s="4" t="s">
        <v>3</v>
      </c>
    </row>
    <row r="2946">
      <c r="A2946" s="3">
        <v>2017.0</v>
      </c>
      <c r="B2946" s="4" t="s">
        <v>2304</v>
      </c>
      <c r="C2946" s="15">
        <v>9500.0</v>
      </c>
      <c r="D2946" s="4" t="s">
        <v>2377</v>
      </c>
    </row>
    <row r="2947">
      <c r="A2947" s="3">
        <v>2017.0</v>
      </c>
      <c r="B2947" s="4" t="s">
        <v>1825</v>
      </c>
      <c r="C2947" s="15">
        <v>0.0</v>
      </c>
      <c r="D2947" s="4" t="s">
        <v>3</v>
      </c>
    </row>
    <row r="2948">
      <c r="A2948" s="3">
        <v>2017.0</v>
      </c>
      <c r="B2948" s="4" t="s">
        <v>1826</v>
      </c>
      <c r="C2948" s="15">
        <v>0.0</v>
      </c>
      <c r="D2948" s="4" t="s">
        <v>3</v>
      </c>
    </row>
    <row r="2949">
      <c r="A2949" s="3">
        <v>2017.0</v>
      </c>
      <c r="B2949" s="4" t="s">
        <v>2306</v>
      </c>
      <c r="C2949" s="15">
        <v>2100.0</v>
      </c>
      <c r="D2949" s="4"/>
    </row>
    <row r="2950">
      <c r="A2950" s="3">
        <v>2017.0</v>
      </c>
      <c r="B2950" s="4" t="s">
        <v>2949</v>
      </c>
      <c r="C2950" s="15">
        <v>0.0</v>
      </c>
      <c r="D2950" s="4" t="s">
        <v>6</v>
      </c>
    </row>
    <row r="2951">
      <c r="A2951" s="3">
        <v>2017.0</v>
      </c>
      <c r="B2951" s="4" t="s">
        <v>1833</v>
      </c>
      <c r="C2951" s="15">
        <v>12000.0</v>
      </c>
      <c r="D2951" s="4" t="s">
        <v>3</v>
      </c>
    </row>
    <row r="2952">
      <c r="A2952" s="3">
        <v>2017.0</v>
      </c>
      <c r="B2952" s="4" t="s">
        <v>2950</v>
      </c>
      <c r="C2952" s="15">
        <v>0.0</v>
      </c>
      <c r="D2952" s="4" t="s">
        <v>29</v>
      </c>
    </row>
    <row r="2953">
      <c r="A2953" s="3">
        <v>2017.0</v>
      </c>
      <c r="B2953" s="4" t="s">
        <v>2951</v>
      </c>
      <c r="C2953" s="15">
        <v>0.0</v>
      </c>
      <c r="D2953" s="4" t="s">
        <v>3</v>
      </c>
    </row>
    <row r="2954">
      <c r="A2954" s="3">
        <v>2017.0</v>
      </c>
      <c r="B2954" s="4" t="s">
        <v>2952</v>
      </c>
      <c r="C2954" s="15">
        <v>0.0</v>
      </c>
      <c r="D2954" s="4" t="s">
        <v>6</v>
      </c>
    </row>
    <row r="2955">
      <c r="A2955" s="3">
        <v>2017.0</v>
      </c>
      <c r="B2955" s="4" t="s">
        <v>1836</v>
      </c>
      <c r="C2955" s="15">
        <v>0.0</v>
      </c>
      <c r="D2955" s="4" t="s">
        <v>3</v>
      </c>
    </row>
    <row r="2956">
      <c r="A2956" s="3">
        <v>2017.0</v>
      </c>
      <c r="B2956" s="4" t="s">
        <v>2953</v>
      </c>
      <c r="C2956" s="15">
        <v>0.0</v>
      </c>
      <c r="D2956" s="4" t="s">
        <v>3</v>
      </c>
    </row>
    <row r="2957">
      <c r="A2957" s="3">
        <v>2017.0</v>
      </c>
      <c r="B2957" s="4" t="s">
        <v>1837</v>
      </c>
      <c r="C2957" s="15">
        <v>0.0</v>
      </c>
      <c r="D2957" s="4" t="s">
        <v>3</v>
      </c>
    </row>
    <row r="2958">
      <c r="A2958" s="3">
        <v>2017.0</v>
      </c>
      <c r="B2958" s="4" t="s">
        <v>2954</v>
      </c>
      <c r="C2958" s="15">
        <v>0.0</v>
      </c>
      <c r="D2958" s="4" t="s">
        <v>3</v>
      </c>
    </row>
    <row r="2959">
      <c r="A2959" s="3">
        <v>2017.0</v>
      </c>
      <c r="B2959" s="4" t="s">
        <v>2955</v>
      </c>
      <c r="C2959" s="15">
        <v>0.0</v>
      </c>
      <c r="D2959" s="4" t="s">
        <v>3</v>
      </c>
    </row>
    <row r="2960">
      <c r="A2960" s="3">
        <v>2017.0</v>
      </c>
      <c r="B2960" s="4" t="s">
        <v>1838</v>
      </c>
      <c r="C2960" s="15">
        <v>72400.0</v>
      </c>
      <c r="D2960" s="4" t="s">
        <v>3</v>
      </c>
    </row>
    <row r="2961">
      <c r="A2961" s="3">
        <v>2017.0</v>
      </c>
      <c r="B2961" s="4" t="s">
        <v>2956</v>
      </c>
      <c r="C2961" s="15">
        <v>0.0</v>
      </c>
      <c r="D2961" s="4" t="s">
        <v>3</v>
      </c>
    </row>
    <row r="2962">
      <c r="A2962" s="3">
        <v>2017.0</v>
      </c>
      <c r="B2962" s="4" t="s">
        <v>1841</v>
      </c>
      <c r="C2962" s="15">
        <v>0.0</v>
      </c>
      <c r="D2962" s="4" t="s">
        <v>29</v>
      </c>
    </row>
    <row r="2963">
      <c r="A2963" s="3">
        <v>2017.0</v>
      </c>
      <c r="B2963" s="4" t="s">
        <v>2957</v>
      </c>
      <c r="C2963" s="15">
        <v>1500.0</v>
      </c>
      <c r="D2963" s="4"/>
    </row>
    <row r="2964">
      <c r="A2964" s="3">
        <v>2017.0</v>
      </c>
      <c r="B2964" s="4" t="s">
        <v>2958</v>
      </c>
      <c r="C2964" s="15">
        <v>0.0</v>
      </c>
      <c r="D2964" s="4" t="s">
        <v>3</v>
      </c>
    </row>
    <row r="2965">
      <c r="A2965" s="3">
        <v>2017.0</v>
      </c>
      <c r="B2965" s="4" t="s">
        <v>1842</v>
      </c>
      <c r="C2965" s="15">
        <v>2000.0</v>
      </c>
      <c r="D2965" s="4" t="s">
        <v>3</v>
      </c>
    </row>
    <row r="2966">
      <c r="A2966" s="3">
        <v>2017.0</v>
      </c>
      <c r="B2966" s="4" t="s">
        <v>1843</v>
      </c>
      <c r="C2966" s="15">
        <v>1000.0</v>
      </c>
      <c r="D2966" s="4" t="s">
        <v>3</v>
      </c>
    </row>
    <row r="2967">
      <c r="A2967" s="3">
        <v>2017.0</v>
      </c>
      <c r="B2967" s="4" t="s">
        <v>2307</v>
      </c>
      <c r="C2967" s="15">
        <v>0.0</v>
      </c>
      <c r="D2967" s="4" t="s">
        <v>3</v>
      </c>
    </row>
    <row r="2968">
      <c r="A2968" s="3">
        <v>2017.0</v>
      </c>
      <c r="B2968" s="4" t="s">
        <v>2959</v>
      </c>
      <c r="C2968" s="15">
        <v>2000.0</v>
      </c>
      <c r="D2968" s="4" t="s">
        <v>3</v>
      </c>
    </row>
    <row r="2969">
      <c r="A2969" s="3">
        <v>2017.0</v>
      </c>
      <c r="B2969" s="4" t="s">
        <v>1846</v>
      </c>
      <c r="C2969" s="15">
        <v>0.0</v>
      </c>
      <c r="D2969" s="4" t="s">
        <v>6</v>
      </c>
    </row>
    <row r="2970">
      <c r="A2970" s="3">
        <v>2017.0</v>
      </c>
      <c r="B2970" s="4" t="s">
        <v>1847</v>
      </c>
      <c r="C2970" s="15">
        <v>0.0</v>
      </c>
      <c r="D2970" s="4" t="s">
        <v>3</v>
      </c>
    </row>
    <row r="2971">
      <c r="A2971" s="3">
        <v>2017.0</v>
      </c>
      <c r="B2971" s="4" t="s">
        <v>2960</v>
      </c>
      <c r="C2971" s="15">
        <v>3000.0</v>
      </c>
      <c r="D2971" s="4"/>
    </row>
    <row r="2972">
      <c r="A2972" s="3">
        <v>2017.0</v>
      </c>
      <c r="B2972" s="4" t="s">
        <v>2961</v>
      </c>
      <c r="C2972" s="15">
        <v>0.0</v>
      </c>
      <c r="D2972" s="4" t="s">
        <v>3</v>
      </c>
    </row>
    <row r="2973">
      <c r="A2973" s="3">
        <v>2017.0</v>
      </c>
      <c r="B2973" s="4" t="s">
        <v>2308</v>
      </c>
      <c r="C2973" s="15">
        <v>1026622.0</v>
      </c>
      <c r="D2973" s="4" t="s">
        <v>2370</v>
      </c>
    </row>
    <row r="2974">
      <c r="A2974" s="3">
        <v>2017.0</v>
      </c>
      <c r="B2974" s="4" t="s">
        <v>2962</v>
      </c>
      <c r="C2974" s="15">
        <v>863827.0</v>
      </c>
      <c r="D2974" s="4" t="s">
        <v>2370</v>
      </c>
    </row>
    <row r="2975">
      <c r="A2975" s="3">
        <v>2017.0</v>
      </c>
      <c r="B2975" s="4" t="s">
        <v>2963</v>
      </c>
      <c r="C2975" s="15">
        <v>0.0</v>
      </c>
      <c r="D2975" s="4" t="s">
        <v>3</v>
      </c>
    </row>
    <row r="2976">
      <c r="A2976" s="3">
        <v>2017.0</v>
      </c>
      <c r="B2976" s="4" t="s">
        <v>1855</v>
      </c>
      <c r="C2976" s="15">
        <v>0.0</v>
      </c>
      <c r="D2976" s="4" t="s">
        <v>29</v>
      </c>
    </row>
    <row r="2977">
      <c r="A2977" s="3">
        <v>2017.0</v>
      </c>
      <c r="B2977" s="4" t="s">
        <v>2964</v>
      </c>
      <c r="C2977" s="15">
        <v>0.0</v>
      </c>
      <c r="D2977" s="4" t="s">
        <v>3</v>
      </c>
    </row>
    <row r="2978">
      <c r="A2978" s="3">
        <v>2017.0</v>
      </c>
      <c r="B2978" s="4" t="s">
        <v>2965</v>
      </c>
      <c r="C2978" s="15">
        <v>0.0</v>
      </c>
      <c r="D2978" s="4" t="s">
        <v>3</v>
      </c>
    </row>
    <row r="2979">
      <c r="A2979" s="3">
        <v>2017.0</v>
      </c>
      <c r="B2979" s="4" t="s">
        <v>2966</v>
      </c>
      <c r="C2979" s="15">
        <v>0.0</v>
      </c>
      <c r="D2979" s="4" t="s">
        <v>6</v>
      </c>
    </row>
    <row r="2980">
      <c r="A2980" s="3">
        <v>2017.0</v>
      </c>
      <c r="B2980" s="4" t="s">
        <v>2967</v>
      </c>
      <c r="C2980" s="15">
        <v>0.0</v>
      </c>
      <c r="D2980" s="4" t="s">
        <v>6</v>
      </c>
    </row>
    <row r="2981">
      <c r="A2981" s="3">
        <v>2017.0</v>
      </c>
      <c r="B2981" s="4" t="s">
        <v>2968</v>
      </c>
      <c r="C2981" s="15">
        <v>0.0</v>
      </c>
      <c r="D2981" s="4" t="s">
        <v>3</v>
      </c>
    </row>
    <row r="2982">
      <c r="A2982" s="3">
        <v>2017.0</v>
      </c>
      <c r="B2982" s="4" t="s">
        <v>2969</v>
      </c>
      <c r="C2982" s="15">
        <v>0.0</v>
      </c>
      <c r="D2982" s="4" t="s">
        <v>3</v>
      </c>
    </row>
    <row r="2983">
      <c r="A2983" s="3">
        <v>2017.0</v>
      </c>
      <c r="B2983" s="4" t="s">
        <v>1859</v>
      </c>
      <c r="C2983" s="15">
        <v>19000.0</v>
      </c>
      <c r="D2983" s="4"/>
    </row>
    <row r="2984">
      <c r="A2984" s="3">
        <v>2017.0</v>
      </c>
      <c r="B2984" s="4" t="s">
        <v>2970</v>
      </c>
      <c r="C2984" s="15">
        <v>0.0</v>
      </c>
      <c r="D2984" s="4" t="s">
        <v>176</v>
      </c>
    </row>
    <row r="2985">
      <c r="A2985" s="3">
        <v>2017.0</v>
      </c>
      <c r="B2985" s="4" t="s">
        <v>2971</v>
      </c>
      <c r="C2985" s="15">
        <v>0.0</v>
      </c>
      <c r="D2985" s="4" t="s">
        <v>3</v>
      </c>
    </row>
    <row r="2986">
      <c r="A2986" s="3">
        <v>2017.0</v>
      </c>
      <c r="B2986" s="4" t="s">
        <v>1862</v>
      </c>
      <c r="C2986" s="15">
        <v>2000.0</v>
      </c>
      <c r="D2986" s="4" t="s">
        <v>2377</v>
      </c>
    </row>
    <row r="2987">
      <c r="A2987" s="3">
        <v>2017.0</v>
      </c>
      <c r="B2987" s="4" t="s">
        <v>2972</v>
      </c>
      <c r="C2987" s="15">
        <v>0.0</v>
      </c>
      <c r="D2987" s="4" t="s">
        <v>3</v>
      </c>
    </row>
    <row r="2988">
      <c r="A2988" s="3">
        <v>2017.0</v>
      </c>
      <c r="B2988" s="4" t="s">
        <v>1865</v>
      </c>
      <c r="C2988" s="15">
        <v>0.0</v>
      </c>
      <c r="D2988" s="4" t="s">
        <v>2377</v>
      </c>
    </row>
    <row r="2989">
      <c r="A2989" s="3">
        <v>2017.0</v>
      </c>
      <c r="B2989" s="4" t="s">
        <v>1867</v>
      </c>
      <c r="C2989" s="15">
        <v>0.0</v>
      </c>
      <c r="D2989" s="4" t="s">
        <v>3</v>
      </c>
    </row>
    <row r="2990">
      <c r="A2990" s="3">
        <v>2017.0</v>
      </c>
      <c r="B2990" s="4" t="s">
        <v>1868</v>
      </c>
      <c r="C2990" s="15">
        <v>0.0</v>
      </c>
      <c r="D2990" s="4" t="s">
        <v>3</v>
      </c>
    </row>
    <row r="2991">
      <c r="A2991" s="3">
        <v>2017.0</v>
      </c>
      <c r="B2991" s="4" t="s">
        <v>1869</v>
      </c>
      <c r="C2991" s="15">
        <v>0.0</v>
      </c>
      <c r="D2991" s="4" t="s">
        <v>3</v>
      </c>
    </row>
    <row r="2992">
      <c r="A2992" s="3">
        <v>2017.0</v>
      </c>
      <c r="B2992" s="4" t="s">
        <v>1871</v>
      </c>
      <c r="C2992" s="15">
        <v>0.0</v>
      </c>
      <c r="D2992" s="4" t="s">
        <v>3</v>
      </c>
    </row>
    <row r="2993">
      <c r="A2993" s="3">
        <v>2017.0</v>
      </c>
      <c r="B2993" s="4" t="s">
        <v>2973</v>
      </c>
      <c r="C2993" s="15">
        <v>0.0</v>
      </c>
      <c r="D2993" s="4" t="s">
        <v>3</v>
      </c>
    </row>
    <row r="2994">
      <c r="A2994" s="3">
        <v>2017.0</v>
      </c>
      <c r="B2994" s="4" t="s">
        <v>1874</v>
      </c>
      <c r="C2994" s="15">
        <v>4000.0</v>
      </c>
      <c r="D2994" s="4" t="s">
        <v>29</v>
      </c>
    </row>
    <row r="2995">
      <c r="A2995" s="3">
        <v>2017.0</v>
      </c>
      <c r="B2995" s="4" t="s">
        <v>1875</v>
      </c>
      <c r="C2995" s="15">
        <v>0.0</v>
      </c>
      <c r="D2995" s="4" t="s">
        <v>2377</v>
      </c>
    </row>
    <row r="2996">
      <c r="A2996" s="3">
        <v>2017.0</v>
      </c>
      <c r="B2996" s="4" t="s">
        <v>1878</v>
      </c>
      <c r="C2996" s="15">
        <v>0.0</v>
      </c>
      <c r="D2996" s="4" t="s">
        <v>3</v>
      </c>
    </row>
    <row r="2997">
      <c r="A2997" s="3">
        <v>2017.0</v>
      </c>
      <c r="B2997" s="4" t="s">
        <v>1880</v>
      </c>
      <c r="C2997" s="15">
        <v>13500.0</v>
      </c>
      <c r="D2997" s="4" t="s">
        <v>3</v>
      </c>
    </row>
    <row r="2998">
      <c r="A2998" s="3">
        <v>2017.0</v>
      </c>
      <c r="B2998" s="4" t="s">
        <v>2974</v>
      </c>
      <c r="C2998" s="15">
        <v>1000.0</v>
      </c>
      <c r="D2998" s="4"/>
    </row>
    <row r="2999">
      <c r="A2999" s="3">
        <v>2017.0</v>
      </c>
      <c r="B2999" s="4" t="s">
        <v>1881</v>
      </c>
      <c r="C2999" s="15">
        <v>0.0</v>
      </c>
      <c r="D2999" s="4" t="s">
        <v>3</v>
      </c>
    </row>
    <row r="3000">
      <c r="A3000" s="3">
        <v>2017.0</v>
      </c>
      <c r="B3000" s="4" t="s">
        <v>1884</v>
      </c>
      <c r="C3000" s="15">
        <v>51500.0</v>
      </c>
      <c r="D3000" s="4"/>
    </row>
    <row r="3001">
      <c r="A3001" s="3">
        <v>2017.0</v>
      </c>
      <c r="B3001" s="4" t="s">
        <v>2975</v>
      </c>
      <c r="C3001" s="15">
        <v>0.0</v>
      </c>
      <c r="D3001" s="4" t="s">
        <v>3</v>
      </c>
    </row>
    <row r="3002">
      <c r="A3002" s="3">
        <v>2017.0</v>
      </c>
      <c r="B3002" s="4" t="s">
        <v>1890</v>
      </c>
      <c r="C3002" s="15">
        <v>8000.0</v>
      </c>
      <c r="D3002" s="4"/>
    </row>
    <row r="3003">
      <c r="A3003" s="3">
        <v>2017.0</v>
      </c>
      <c r="B3003" s="4" t="s">
        <v>1892</v>
      </c>
      <c r="C3003" s="15">
        <v>0.0</v>
      </c>
      <c r="D3003" s="4" t="s">
        <v>2377</v>
      </c>
    </row>
    <row r="3004">
      <c r="A3004" s="3">
        <v>2017.0</v>
      </c>
      <c r="B3004" s="4" t="s">
        <v>1893</v>
      </c>
      <c r="C3004" s="15">
        <v>0.0</v>
      </c>
      <c r="D3004" s="4" t="s">
        <v>3</v>
      </c>
    </row>
    <row r="3005">
      <c r="A3005" s="3">
        <v>2017.0</v>
      </c>
      <c r="B3005" s="4" t="s">
        <v>2976</v>
      </c>
      <c r="C3005" s="15">
        <v>0.0</v>
      </c>
      <c r="D3005" s="4" t="s">
        <v>3</v>
      </c>
    </row>
    <row r="3006">
      <c r="A3006" s="3">
        <v>2017.0</v>
      </c>
      <c r="B3006" s="4" t="s">
        <v>2977</v>
      </c>
      <c r="C3006" s="15">
        <v>0.0</v>
      </c>
      <c r="D3006" s="4" t="s">
        <v>6</v>
      </c>
    </row>
    <row r="3007">
      <c r="A3007" s="3">
        <v>2017.0</v>
      </c>
      <c r="B3007" s="4" t="s">
        <v>1896</v>
      </c>
      <c r="C3007" s="15">
        <v>6000.0</v>
      </c>
      <c r="D3007" s="4"/>
    </row>
    <row r="3008">
      <c r="A3008" s="3">
        <v>2017.0</v>
      </c>
      <c r="B3008" s="4" t="s">
        <v>1897</v>
      </c>
      <c r="C3008" s="15">
        <v>1500.0</v>
      </c>
      <c r="D3008" s="4"/>
    </row>
    <row r="3009">
      <c r="A3009" s="3">
        <v>2017.0</v>
      </c>
      <c r="B3009" s="4" t="s">
        <v>2978</v>
      </c>
      <c r="C3009" s="15">
        <v>500.0</v>
      </c>
      <c r="D3009" s="4"/>
    </row>
    <row r="3010">
      <c r="A3010" s="3">
        <v>2017.0</v>
      </c>
      <c r="B3010" s="4" t="s">
        <v>1898</v>
      </c>
      <c r="C3010" s="15">
        <v>0.0</v>
      </c>
      <c r="D3010" s="4" t="s">
        <v>3</v>
      </c>
    </row>
    <row r="3011">
      <c r="A3011" s="3">
        <v>2017.0</v>
      </c>
      <c r="B3011" s="4" t="s">
        <v>2979</v>
      </c>
      <c r="C3011" s="15">
        <v>0.0</v>
      </c>
      <c r="D3011" s="4" t="s">
        <v>2377</v>
      </c>
    </row>
    <row r="3012">
      <c r="A3012" s="3">
        <v>2017.0</v>
      </c>
      <c r="B3012" s="4" t="s">
        <v>1899</v>
      </c>
      <c r="C3012" s="15">
        <v>1500.0</v>
      </c>
      <c r="D3012" s="4" t="s">
        <v>3</v>
      </c>
    </row>
    <row r="3013">
      <c r="A3013" s="3">
        <v>2017.0</v>
      </c>
      <c r="B3013" s="4" t="s">
        <v>2980</v>
      </c>
      <c r="C3013" s="15">
        <v>0.0</v>
      </c>
      <c r="D3013" s="4" t="s">
        <v>3</v>
      </c>
    </row>
    <row r="3014">
      <c r="A3014" s="3">
        <v>2017.0</v>
      </c>
      <c r="B3014" s="4" t="s">
        <v>2981</v>
      </c>
      <c r="C3014" s="15">
        <v>0.0</v>
      </c>
      <c r="D3014" s="4" t="s">
        <v>3</v>
      </c>
    </row>
    <row r="3015">
      <c r="A3015" s="3">
        <v>2017.0</v>
      </c>
      <c r="B3015" s="4" t="s">
        <v>2982</v>
      </c>
      <c r="C3015" s="15">
        <v>0.0</v>
      </c>
      <c r="D3015" s="4" t="s">
        <v>3</v>
      </c>
    </row>
    <row r="3016">
      <c r="A3016" s="3">
        <v>2017.0</v>
      </c>
      <c r="B3016" s="4" t="s">
        <v>1900</v>
      </c>
      <c r="C3016" s="15">
        <v>0.0</v>
      </c>
      <c r="D3016" s="4" t="s">
        <v>3</v>
      </c>
    </row>
    <row r="3017">
      <c r="A3017" s="3">
        <v>2017.0</v>
      </c>
      <c r="B3017" s="4" t="s">
        <v>1901</v>
      </c>
      <c r="C3017" s="15">
        <v>0.0</v>
      </c>
      <c r="D3017" s="4" t="s">
        <v>3</v>
      </c>
    </row>
    <row r="3018">
      <c r="A3018" s="3">
        <v>2017.0</v>
      </c>
      <c r="B3018" s="4" t="s">
        <v>1903</v>
      </c>
      <c r="C3018" s="15">
        <v>18000.0</v>
      </c>
      <c r="D3018" s="4" t="s">
        <v>2377</v>
      </c>
    </row>
    <row r="3019">
      <c r="A3019" s="3">
        <v>2017.0</v>
      </c>
      <c r="B3019" s="4" t="s">
        <v>1905</v>
      </c>
      <c r="C3019" s="15">
        <v>200.0</v>
      </c>
      <c r="D3019" s="4" t="s">
        <v>3</v>
      </c>
    </row>
    <row r="3020">
      <c r="A3020" s="3">
        <v>2017.0</v>
      </c>
      <c r="B3020" s="4" t="s">
        <v>1907</v>
      </c>
      <c r="C3020" s="15">
        <v>12000.0</v>
      </c>
      <c r="D3020" s="4"/>
    </row>
    <row r="3021">
      <c r="A3021" s="3">
        <v>2017.0</v>
      </c>
      <c r="B3021" s="4" t="s">
        <v>1908</v>
      </c>
      <c r="C3021" s="15">
        <v>0.0</v>
      </c>
      <c r="D3021" s="4" t="s">
        <v>3</v>
      </c>
    </row>
    <row r="3022">
      <c r="A3022" s="3">
        <v>2017.0</v>
      </c>
      <c r="B3022" s="4" t="s">
        <v>1909</v>
      </c>
      <c r="C3022" s="15">
        <v>0.0</v>
      </c>
      <c r="D3022" s="4" t="s">
        <v>3</v>
      </c>
    </row>
    <row r="3023">
      <c r="A3023" s="3">
        <v>2017.0</v>
      </c>
      <c r="B3023" s="4" t="s">
        <v>2983</v>
      </c>
      <c r="C3023" s="15">
        <v>0.0</v>
      </c>
      <c r="D3023" s="4" t="s">
        <v>3</v>
      </c>
    </row>
    <row r="3024">
      <c r="A3024" s="3">
        <v>2017.0</v>
      </c>
      <c r="B3024" s="4" t="s">
        <v>2984</v>
      </c>
      <c r="C3024" s="15">
        <v>0.0</v>
      </c>
      <c r="D3024" s="4" t="s">
        <v>3</v>
      </c>
    </row>
    <row r="3025">
      <c r="A3025" s="3">
        <v>2017.0</v>
      </c>
      <c r="B3025" s="4" t="s">
        <v>2985</v>
      </c>
      <c r="C3025" s="15">
        <v>0.0</v>
      </c>
      <c r="D3025" s="4" t="s">
        <v>3</v>
      </c>
    </row>
    <row r="3026">
      <c r="A3026" s="3">
        <v>2017.0</v>
      </c>
      <c r="B3026" s="4" t="s">
        <v>1914</v>
      </c>
      <c r="C3026" s="15">
        <v>200.0</v>
      </c>
      <c r="D3026" s="4"/>
    </row>
    <row r="3027">
      <c r="A3027" s="3">
        <v>2017.0</v>
      </c>
      <c r="B3027" s="4" t="s">
        <v>2986</v>
      </c>
      <c r="C3027" s="15">
        <v>0.0</v>
      </c>
      <c r="D3027" s="4" t="s">
        <v>2377</v>
      </c>
    </row>
    <row r="3028">
      <c r="A3028" s="3">
        <v>2017.0</v>
      </c>
      <c r="B3028" s="4" t="s">
        <v>1916</v>
      </c>
      <c r="C3028" s="15">
        <v>0.0</v>
      </c>
      <c r="D3028" s="4" t="s">
        <v>3</v>
      </c>
    </row>
    <row r="3029">
      <c r="A3029" s="3">
        <v>2017.0</v>
      </c>
      <c r="B3029" s="4" t="s">
        <v>2987</v>
      </c>
      <c r="C3029" s="15">
        <v>0.0</v>
      </c>
      <c r="D3029" s="4" t="s">
        <v>29</v>
      </c>
    </row>
    <row r="3030">
      <c r="A3030" s="3">
        <v>2017.0</v>
      </c>
      <c r="B3030" s="4" t="s">
        <v>1918</v>
      </c>
      <c r="C3030" s="15">
        <v>80300.0</v>
      </c>
      <c r="D3030" s="4" t="s">
        <v>2368</v>
      </c>
    </row>
    <row r="3031">
      <c r="A3031" s="3">
        <v>2017.0</v>
      </c>
      <c r="B3031" s="4" t="s">
        <v>2988</v>
      </c>
      <c r="C3031" s="15">
        <v>15600.0</v>
      </c>
      <c r="D3031" s="4" t="s">
        <v>2508</v>
      </c>
    </row>
    <row r="3032">
      <c r="A3032" s="3">
        <v>2017.0</v>
      </c>
      <c r="B3032" s="4" t="s">
        <v>2313</v>
      </c>
      <c r="C3032" s="15">
        <v>5300.0</v>
      </c>
      <c r="D3032" s="4"/>
    </row>
    <row r="3033">
      <c r="A3033" s="3">
        <v>2017.0</v>
      </c>
      <c r="B3033" s="4" t="s">
        <v>2315</v>
      </c>
      <c r="C3033" s="15">
        <v>8000.0</v>
      </c>
      <c r="D3033" s="4"/>
    </row>
    <row r="3034">
      <c r="A3034" s="3">
        <v>2017.0</v>
      </c>
      <c r="B3034" s="4" t="s">
        <v>1931</v>
      </c>
      <c r="C3034" s="15">
        <v>500.0</v>
      </c>
      <c r="D3034" s="4" t="s">
        <v>3</v>
      </c>
    </row>
    <row r="3035">
      <c r="A3035" s="3">
        <v>2017.0</v>
      </c>
      <c r="B3035" s="4" t="s">
        <v>2316</v>
      </c>
      <c r="C3035" s="15">
        <v>400.0</v>
      </c>
      <c r="D3035" s="4"/>
    </row>
    <row r="3036">
      <c r="A3036" s="3">
        <v>2017.0</v>
      </c>
      <c r="B3036" s="4" t="s">
        <v>2317</v>
      </c>
      <c r="C3036" s="15">
        <v>500.0</v>
      </c>
      <c r="D3036" s="4"/>
    </row>
    <row r="3037">
      <c r="A3037" s="3">
        <v>2017.0</v>
      </c>
      <c r="B3037" s="4" t="s">
        <v>2989</v>
      </c>
      <c r="C3037" s="15">
        <v>0.0</v>
      </c>
      <c r="D3037" s="4" t="s">
        <v>3</v>
      </c>
    </row>
    <row r="3038">
      <c r="A3038" s="3">
        <v>2017.0</v>
      </c>
      <c r="B3038" s="4" t="s">
        <v>1937</v>
      </c>
      <c r="C3038" s="15">
        <v>0.0</v>
      </c>
      <c r="D3038" s="4" t="s">
        <v>3</v>
      </c>
    </row>
    <row r="3039">
      <c r="A3039" s="3">
        <v>2017.0</v>
      </c>
      <c r="B3039" s="4" t="s">
        <v>2990</v>
      </c>
      <c r="C3039" s="15">
        <v>3000.0</v>
      </c>
      <c r="D3039" s="4"/>
    </row>
    <row r="3040">
      <c r="A3040" s="3">
        <v>2017.0</v>
      </c>
      <c r="B3040" s="4" t="s">
        <v>2991</v>
      </c>
      <c r="C3040" s="15">
        <v>0.0</v>
      </c>
      <c r="D3040" s="4" t="s">
        <v>3</v>
      </c>
    </row>
    <row r="3041">
      <c r="A3041" s="3">
        <v>2017.0</v>
      </c>
      <c r="B3041" s="4" t="s">
        <v>1938</v>
      </c>
      <c r="C3041" s="15">
        <v>6075.0</v>
      </c>
      <c r="D3041" s="4"/>
    </row>
    <row r="3042">
      <c r="A3042" s="3">
        <v>2017.0</v>
      </c>
      <c r="B3042" s="4" t="s">
        <v>2992</v>
      </c>
      <c r="C3042" s="15">
        <v>0.0</v>
      </c>
      <c r="D3042" s="4" t="s">
        <v>6</v>
      </c>
    </row>
    <row r="3043">
      <c r="A3043" s="3">
        <v>2017.0</v>
      </c>
      <c r="B3043" s="4" t="s">
        <v>2319</v>
      </c>
      <c r="C3043" s="15">
        <v>0.0</v>
      </c>
      <c r="D3043" s="4" t="s">
        <v>3</v>
      </c>
    </row>
    <row r="3044">
      <c r="A3044" s="3">
        <v>2017.0</v>
      </c>
      <c r="B3044" s="4" t="s">
        <v>2993</v>
      </c>
      <c r="C3044" s="15">
        <v>0.0</v>
      </c>
      <c r="D3044" s="4" t="s">
        <v>3</v>
      </c>
    </row>
    <row r="3045">
      <c r="A3045" s="3">
        <v>2017.0</v>
      </c>
      <c r="B3045" s="4" t="s">
        <v>2994</v>
      </c>
      <c r="C3045" s="15">
        <v>0.0</v>
      </c>
      <c r="D3045" s="4" t="s">
        <v>3</v>
      </c>
    </row>
    <row r="3046">
      <c r="A3046" s="3">
        <v>2017.0</v>
      </c>
      <c r="B3046" s="4" t="s">
        <v>1944</v>
      </c>
      <c r="C3046" s="15">
        <v>500.0</v>
      </c>
      <c r="D3046" s="4"/>
    </row>
    <row r="3047">
      <c r="A3047" s="3">
        <v>2017.0</v>
      </c>
      <c r="B3047" s="4" t="s">
        <v>2320</v>
      </c>
      <c r="C3047" s="15">
        <v>0.0</v>
      </c>
      <c r="D3047" s="4" t="s">
        <v>3</v>
      </c>
    </row>
    <row r="3048">
      <c r="A3048" s="3">
        <v>2017.0</v>
      </c>
      <c r="B3048" s="4" t="s">
        <v>2321</v>
      </c>
      <c r="C3048" s="15">
        <v>400.0</v>
      </c>
      <c r="D3048" s="4" t="s">
        <v>3</v>
      </c>
    </row>
    <row r="3049">
      <c r="A3049" s="3">
        <v>2017.0</v>
      </c>
      <c r="B3049" s="4" t="s">
        <v>2322</v>
      </c>
      <c r="C3049" s="15">
        <v>0.0</v>
      </c>
      <c r="D3049" s="4" t="s">
        <v>3</v>
      </c>
    </row>
    <row r="3050">
      <c r="A3050" s="3">
        <v>2017.0</v>
      </c>
      <c r="B3050" s="4" t="s">
        <v>2322</v>
      </c>
      <c r="C3050" s="15">
        <v>950.0</v>
      </c>
      <c r="D3050" s="4"/>
    </row>
    <row r="3051">
      <c r="A3051" s="3">
        <v>2017.0</v>
      </c>
      <c r="B3051" s="4" t="s">
        <v>2995</v>
      </c>
      <c r="C3051" s="15">
        <v>0.0</v>
      </c>
      <c r="D3051" s="4" t="s">
        <v>3</v>
      </c>
    </row>
    <row r="3052">
      <c r="A3052" s="3">
        <v>2017.0</v>
      </c>
      <c r="B3052" s="4" t="s">
        <v>2323</v>
      </c>
      <c r="C3052" s="15">
        <v>750.0</v>
      </c>
      <c r="D3052" s="4"/>
    </row>
    <row r="3053">
      <c r="A3053" s="3">
        <v>2017.0</v>
      </c>
      <c r="B3053" s="4" t="s">
        <v>2996</v>
      </c>
      <c r="C3053" s="15">
        <v>0.0</v>
      </c>
      <c r="D3053" s="4" t="s">
        <v>3</v>
      </c>
    </row>
    <row r="3054">
      <c r="A3054" s="3">
        <v>2017.0</v>
      </c>
      <c r="B3054" s="4" t="s">
        <v>2324</v>
      </c>
      <c r="C3054" s="15">
        <v>1500.0</v>
      </c>
      <c r="D3054" s="4" t="s">
        <v>3</v>
      </c>
    </row>
    <row r="3055">
      <c r="A3055" s="3">
        <v>2017.0</v>
      </c>
      <c r="B3055" s="4" t="s">
        <v>2997</v>
      </c>
      <c r="C3055" s="15">
        <v>0.0</v>
      </c>
      <c r="D3055" s="4" t="s">
        <v>3</v>
      </c>
    </row>
    <row r="3056">
      <c r="A3056" s="3">
        <v>2017.0</v>
      </c>
      <c r="B3056" s="4" t="s">
        <v>2326</v>
      </c>
      <c r="C3056" s="15">
        <v>750595.0</v>
      </c>
      <c r="D3056" s="4" t="s">
        <v>2370</v>
      </c>
    </row>
    <row r="3057">
      <c r="A3057" s="3">
        <v>2017.0</v>
      </c>
      <c r="B3057" s="4" t="s">
        <v>2327</v>
      </c>
      <c r="C3057" s="15">
        <v>1495999.0</v>
      </c>
      <c r="D3057" s="4" t="s">
        <v>2370</v>
      </c>
    </row>
    <row r="3058">
      <c r="A3058" s="3">
        <v>2017.0</v>
      </c>
      <c r="B3058" s="4" t="s">
        <v>2328</v>
      </c>
      <c r="C3058" s="15">
        <v>17000.0</v>
      </c>
      <c r="D3058" s="4" t="s">
        <v>29</v>
      </c>
    </row>
    <row r="3059">
      <c r="A3059" s="3">
        <v>2017.0</v>
      </c>
      <c r="B3059" s="4" t="s">
        <v>2329</v>
      </c>
      <c r="C3059" s="15">
        <v>980549.0</v>
      </c>
      <c r="D3059" s="4" t="s">
        <v>2370</v>
      </c>
    </row>
    <row r="3060">
      <c r="A3060" s="3">
        <v>2017.0</v>
      </c>
      <c r="B3060" s="4" t="s">
        <v>1967</v>
      </c>
      <c r="C3060" s="15">
        <v>105000.0</v>
      </c>
      <c r="D3060" s="4" t="s">
        <v>3</v>
      </c>
    </row>
    <row r="3061">
      <c r="A3061" s="3">
        <v>2017.0</v>
      </c>
      <c r="B3061" s="4" t="s">
        <v>1969</v>
      </c>
      <c r="C3061" s="15">
        <v>4000.0</v>
      </c>
      <c r="D3061" s="4"/>
    </row>
    <row r="3062">
      <c r="A3062" s="3">
        <v>2017.0</v>
      </c>
      <c r="B3062" s="4" t="s">
        <v>1970</v>
      </c>
      <c r="C3062" s="15">
        <v>0.0</v>
      </c>
      <c r="D3062" s="4" t="s">
        <v>3</v>
      </c>
    </row>
    <row r="3063">
      <c r="A3063" s="3">
        <v>2017.0</v>
      </c>
      <c r="B3063" s="4" t="s">
        <v>1974</v>
      </c>
      <c r="C3063" s="15">
        <v>0.0</v>
      </c>
      <c r="D3063" s="4" t="s">
        <v>3</v>
      </c>
    </row>
    <row r="3064">
      <c r="A3064" s="3">
        <v>2017.0</v>
      </c>
      <c r="B3064" s="4" t="s">
        <v>1976</v>
      </c>
      <c r="C3064" s="15">
        <v>40250.0</v>
      </c>
      <c r="D3064" s="4" t="s">
        <v>6</v>
      </c>
    </row>
    <row r="3065">
      <c r="A3065" s="3">
        <v>2017.0</v>
      </c>
      <c r="B3065" s="4" t="s">
        <v>2998</v>
      </c>
      <c r="C3065" s="15">
        <v>4940.0</v>
      </c>
      <c r="D3065" s="4"/>
    </row>
    <row r="3066">
      <c r="A3066" s="3">
        <v>2017.0</v>
      </c>
      <c r="B3066" s="4" t="s">
        <v>1980</v>
      </c>
      <c r="C3066" s="15">
        <v>3558.0</v>
      </c>
      <c r="D3066" s="4"/>
    </row>
    <row r="3067">
      <c r="A3067" s="3">
        <v>2017.0</v>
      </c>
      <c r="B3067" s="4" t="s">
        <v>2999</v>
      </c>
      <c r="C3067" s="15">
        <v>1500.0</v>
      </c>
      <c r="D3067" s="4" t="s">
        <v>3</v>
      </c>
    </row>
    <row r="3068">
      <c r="A3068" s="3">
        <v>2017.0</v>
      </c>
      <c r="B3068" s="4" t="s">
        <v>1983</v>
      </c>
      <c r="C3068" s="15">
        <v>0.0</v>
      </c>
      <c r="D3068" s="4" t="s">
        <v>6</v>
      </c>
    </row>
    <row r="3069">
      <c r="A3069" s="3">
        <v>2017.0</v>
      </c>
      <c r="B3069" s="4" t="s">
        <v>1984</v>
      </c>
      <c r="C3069" s="15">
        <v>0.0</v>
      </c>
      <c r="D3069" s="4" t="s">
        <v>3</v>
      </c>
    </row>
    <row r="3070">
      <c r="A3070" s="3">
        <v>2017.0</v>
      </c>
      <c r="B3070" s="4" t="s">
        <v>3000</v>
      </c>
      <c r="C3070" s="15">
        <v>0.0</v>
      </c>
      <c r="D3070" s="4" t="s">
        <v>3</v>
      </c>
    </row>
    <row r="3071">
      <c r="A3071" s="3">
        <v>2017.0</v>
      </c>
      <c r="B3071" s="4" t="s">
        <v>3001</v>
      </c>
      <c r="C3071" s="15">
        <v>0.0</v>
      </c>
      <c r="D3071" s="4" t="s">
        <v>29</v>
      </c>
    </row>
    <row r="3072">
      <c r="A3072" s="3">
        <v>2017.0</v>
      </c>
      <c r="B3072" s="4" t="s">
        <v>1989</v>
      </c>
      <c r="C3072" s="15">
        <v>3000.0</v>
      </c>
      <c r="D3072" s="4" t="s">
        <v>176</v>
      </c>
    </row>
    <row r="3073">
      <c r="A3073" s="3">
        <v>2017.0</v>
      </c>
      <c r="B3073" s="4" t="s">
        <v>1991</v>
      </c>
      <c r="C3073" s="15">
        <v>700.0</v>
      </c>
      <c r="D3073" s="4"/>
    </row>
    <row r="3074">
      <c r="A3074" s="3">
        <v>2017.0</v>
      </c>
      <c r="B3074" s="4" t="s">
        <v>3002</v>
      </c>
      <c r="C3074" s="15">
        <v>0.0</v>
      </c>
      <c r="D3074" s="4" t="s">
        <v>3</v>
      </c>
    </row>
    <row r="3075">
      <c r="A3075" s="3">
        <v>2017.0</v>
      </c>
      <c r="B3075" s="4" t="s">
        <v>3003</v>
      </c>
      <c r="C3075" s="15">
        <v>0.0</v>
      </c>
      <c r="D3075" s="4" t="s">
        <v>3</v>
      </c>
    </row>
    <row r="3076">
      <c r="A3076" s="3">
        <v>2017.0</v>
      </c>
      <c r="B3076" s="4" t="s">
        <v>1995</v>
      </c>
      <c r="C3076" s="15">
        <v>0.0</v>
      </c>
      <c r="D3076" s="4" t="s">
        <v>2377</v>
      </c>
    </row>
    <row r="3077">
      <c r="A3077" s="3">
        <v>2017.0</v>
      </c>
      <c r="B3077" s="4" t="s">
        <v>1996</v>
      </c>
      <c r="C3077" s="15">
        <v>500.0</v>
      </c>
      <c r="D3077" s="4" t="s">
        <v>3</v>
      </c>
    </row>
    <row r="3078">
      <c r="A3078" s="3">
        <v>2017.0</v>
      </c>
      <c r="B3078" s="4" t="s">
        <v>1997</v>
      </c>
      <c r="C3078" s="15">
        <v>0.0</v>
      </c>
      <c r="D3078" s="4" t="s">
        <v>6</v>
      </c>
    </row>
    <row r="3079">
      <c r="A3079" s="3">
        <v>2017.0</v>
      </c>
      <c r="B3079" s="4" t="s">
        <v>2331</v>
      </c>
      <c r="C3079" s="15">
        <v>126000.0</v>
      </c>
      <c r="D3079" s="4" t="s">
        <v>2447</v>
      </c>
    </row>
    <row r="3080">
      <c r="A3080" s="3">
        <v>2017.0</v>
      </c>
      <c r="B3080" s="4" t="s">
        <v>2001</v>
      </c>
      <c r="C3080" s="15">
        <v>0.0</v>
      </c>
      <c r="D3080" s="4" t="s">
        <v>6</v>
      </c>
    </row>
    <row r="3081">
      <c r="A3081" s="3">
        <v>2017.0</v>
      </c>
      <c r="B3081" s="4" t="s">
        <v>2002</v>
      </c>
      <c r="C3081" s="15">
        <v>9800.0</v>
      </c>
      <c r="D3081" s="4" t="s">
        <v>6</v>
      </c>
    </row>
    <row r="3082">
      <c r="A3082" s="3">
        <v>2017.0</v>
      </c>
      <c r="B3082" s="4" t="s">
        <v>2004</v>
      </c>
      <c r="C3082" s="15">
        <v>0.0</v>
      </c>
      <c r="D3082" s="4" t="s">
        <v>3</v>
      </c>
    </row>
    <row r="3083">
      <c r="A3083" s="3">
        <v>2017.0</v>
      </c>
      <c r="B3083" s="4" t="s">
        <v>2005</v>
      </c>
      <c r="C3083" s="15">
        <v>0.0</v>
      </c>
      <c r="D3083" s="4" t="s">
        <v>3</v>
      </c>
    </row>
    <row r="3084">
      <c r="A3084" s="3">
        <v>2017.0</v>
      </c>
      <c r="B3084" s="4" t="s">
        <v>2332</v>
      </c>
      <c r="C3084" s="15">
        <v>500.0</v>
      </c>
      <c r="D3084" s="4" t="s">
        <v>3</v>
      </c>
    </row>
    <row r="3085">
      <c r="A3085" s="3">
        <v>2017.0</v>
      </c>
      <c r="B3085" s="4" t="s">
        <v>2008</v>
      </c>
      <c r="C3085" s="15">
        <v>0.0</v>
      </c>
      <c r="D3085" s="4" t="s">
        <v>2377</v>
      </c>
    </row>
    <row r="3086">
      <c r="A3086" s="3">
        <v>2017.0</v>
      </c>
      <c r="B3086" s="4" t="s">
        <v>2009</v>
      </c>
      <c r="C3086" s="15">
        <v>5000.0</v>
      </c>
      <c r="D3086" s="4" t="s">
        <v>6</v>
      </c>
    </row>
    <row r="3087">
      <c r="A3087" s="3">
        <v>2017.0</v>
      </c>
      <c r="B3087" s="4" t="s">
        <v>2011</v>
      </c>
      <c r="C3087" s="15">
        <v>1500.0</v>
      </c>
      <c r="D3087" s="4" t="s">
        <v>3</v>
      </c>
    </row>
    <row r="3088">
      <c r="A3088" s="3">
        <v>2017.0</v>
      </c>
      <c r="B3088" s="4" t="s">
        <v>3004</v>
      </c>
      <c r="C3088" s="15">
        <v>0.0</v>
      </c>
      <c r="D3088" s="4" t="s">
        <v>3</v>
      </c>
    </row>
    <row r="3089">
      <c r="A3089" s="3">
        <v>2017.0</v>
      </c>
      <c r="B3089" s="4" t="s">
        <v>3005</v>
      </c>
      <c r="C3089" s="15">
        <v>0.0</v>
      </c>
      <c r="D3089" s="4" t="s">
        <v>29</v>
      </c>
    </row>
    <row r="3090">
      <c r="A3090" s="3">
        <v>2017.0</v>
      </c>
      <c r="B3090" s="4" t="s">
        <v>3006</v>
      </c>
      <c r="C3090" s="15">
        <v>7000.0</v>
      </c>
      <c r="D3090" s="4" t="s">
        <v>3</v>
      </c>
    </row>
    <row r="3091">
      <c r="A3091" s="3">
        <v>2017.0</v>
      </c>
      <c r="B3091" s="4" t="s">
        <v>2017</v>
      </c>
      <c r="C3091" s="15">
        <v>500.0</v>
      </c>
      <c r="D3091" s="4" t="s">
        <v>3</v>
      </c>
    </row>
    <row r="3092">
      <c r="A3092" s="3">
        <v>2017.0</v>
      </c>
      <c r="B3092" s="4" t="s">
        <v>3007</v>
      </c>
      <c r="C3092" s="15">
        <v>0.0</v>
      </c>
      <c r="D3092" s="4" t="s">
        <v>3</v>
      </c>
    </row>
    <row r="3093">
      <c r="A3093" s="3">
        <v>2017.0</v>
      </c>
      <c r="B3093" s="4" t="s">
        <v>2018</v>
      </c>
      <c r="C3093" s="15">
        <v>5000.0</v>
      </c>
      <c r="D3093" s="4" t="s">
        <v>3</v>
      </c>
    </row>
    <row r="3094">
      <c r="A3094" s="3">
        <v>2017.0</v>
      </c>
      <c r="B3094" s="4" t="s">
        <v>3008</v>
      </c>
      <c r="C3094" s="15">
        <v>1000.0</v>
      </c>
      <c r="D3094" s="4" t="s">
        <v>3</v>
      </c>
    </row>
    <row r="3095">
      <c r="A3095" s="3">
        <v>2017.0</v>
      </c>
      <c r="B3095" s="4" t="s">
        <v>3009</v>
      </c>
      <c r="C3095" s="15">
        <v>0.0</v>
      </c>
      <c r="D3095" s="4" t="s">
        <v>29</v>
      </c>
    </row>
    <row r="3096">
      <c r="A3096" s="3">
        <v>2017.0</v>
      </c>
      <c r="B3096" s="4" t="s">
        <v>3010</v>
      </c>
      <c r="C3096" s="15">
        <v>2000.0</v>
      </c>
      <c r="D3096" s="4"/>
    </row>
    <row r="3097">
      <c r="A3097" s="3">
        <v>2017.0</v>
      </c>
      <c r="B3097" s="16" t="s">
        <v>3011</v>
      </c>
      <c r="C3097" s="15">
        <v>0.0</v>
      </c>
      <c r="D3097" s="4" t="s">
        <v>6</v>
      </c>
    </row>
    <row r="3098">
      <c r="A3098" s="3">
        <v>2017.0</v>
      </c>
      <c r="B3098" s="4" t="s">
        <v>3012</v>
      </c>
      <c r="C3098" s="15">
        <v>300.0</v>
      </c>
      <c r="D3098" s="4"/>
    </row>
    <row r="3099">
      <c r="A3099" s="3">
        <v>2017.0</v>
      </c>
      <c r="B3099" s="4" t="s">
        <v>2022</v>
      </c>
      <c r="C3099" s="15">
        <v>21000.0</v>
      </c>
      <c r="D3099" s="4" t="s">
        <v>2377</v>
      </c>
    </row>
    <row r="3100">
      <c r="A3100" s="3">
        <v>2017.0</v>
      </c>
      <c r="B3100" s="4" t="s">
        <v>2333</v>
      </c>
      <c r="C3100" s="15">
        <v>11800.0</v>
      </c>
      <c r="D3100" s="4" t="s">
        <v>3</v>
      </c>
    </row>
    <row r="3101">
      <c r="A3101" s="3">
        <v>2017.0</v>
      </c>
      <c r="B3101" s="4" t="s">
        <v>2025</v>
      </c>
      <c r="C3101" s="15">
        <v>0.0</v>
      </c>
      <c r="D3101" s="4" t="s">
        <v>2377</v>
      </c>
    </row>
    <row r="3102">
      <c r="A3102" s="3">
        <v>2017.0</v>
      </c>
      <c r="B3102" s="4" t="s">
        <v>2026</v>
      </c>
      <c r="C3102" s="15">
        <v>0.0</v>
      </c>
      <c r="D3102" s="4" t="s">
        <v>3</v>
      </c>
    </row>
    <row r="3103">
      <c r="A3103" s="3">
        <v>2017.0</v>
      </c>
      <c r="B3103" s="4" t="s">
        <v>3013</v>
      </c>
      <c r="C3103" s="15">
        <v>0.0</v>
      </c>
      <c r="D3103" s="4" t="s">
        <v>3</v>
      </c>
    </row>
    <row r="3104">
      <c r="A3104" s="3">
        <v>2017.0</v>
      </c>
      <c r="B3104" s="4" t="s">
        <v>2028</v>
      </c>
      <c r="C3104" s="15">
        <v>0.0</v>
      </c>
      <c r="D3104" s="4" t="s">
        <v>29</v>
      </c>
    </row>
    <row r="3105">
      <c r="A3105" s="3">
        <v>2017.0</v>
      </c>
      <c r="B3105" s="4" t="s">
        <v>2029</v>
      </c>
      <c r="C3105" s="15">
        <v>0.0</v>
      </c>
      <c r="D3105" s="4" t="s">
        <v>29</v>
      </c>
    </row>
    <row r="3106">
      <c r="A3106" s="3">
        <v>2017.0</v>
      </c>
      <c r="B3106" s="4" t="s">
        <v>3014</v>
      </c>
      <c r="C3106" s="15">
        <v>3000.0</v>
      </c>
      <c r="D3106" s="4"/>
    </row>
    <row r="3107">
      <c r="A3107" s="3">
        <v>2017.0</v>
      </c>
      <c r="B3107" s="4" t="s">
        <v>2030</v>
      </c>
      <c r="C3107" s="15">
        <v>17000.0</v>
      </c>
      <c r="D3107" s="4" t="s">
        <v>3</v>
      </c>
    </row>
    <row r="3108">
      <c r="A3108" s="3">
        <v>2017.0</v>
      </c>
      <c r="B3108" s="4" t="s">
        <v>2031</v>
      </c>
      <c r="C3108" s="15">
        <v>14000.0</v>
      </c>
      <c r="D3108" s="4"/>
    </row>
    <row r="3109">
      <c r="A3109" s="3">
        <v>2017.0</v>
      </c>
      <c r="B3109" s="4" t="s">
        <v>3015</v>
      </c>
      <c r="C3109" s="15">
        <v>0.0</v>
      </c>
      <c r="D3109" s="4" t="s">
        <v>3</v>
      </c>
    </row>
    <row r="3110">
      <c r="A3110" s="3">
        <v>2017.0</v>
      </c>
      <c r="B3110" s="4" t="s">
        <v>2334</v>
      </c>
      <c r="C3110" s="15">
        <v>5000.0</v>
      </c>
      <c r="D3110" s="4"/>
    </row>
    <row r="3111">
      <c r="A3111" s="3">
        <v>2017.0</v>
      </c>
      <c r="B3111" s="4" t="s">
        <v>3016</v>
      </c>
      <c r="C3111" s="15">
        <v>0.0</v>
      </c>
      <c r="D3111" s="4" t="s">
        <v>6</v>
      </c>
    </row>
    <row r="3112">
      <c r="A3112" s="3">
        <v>2017.0</v>
      </c>
      <c r="B3112" s="4" t="s">
        <v>673</v>
      </c>
      <c r="C3112" s="15">
        <v>0.0</v>
      </c>
      <c r="D3112" s="4" t="s">
        <v>29</v>
      </c>
    </row>
    <row r="3113">
      <c r="A3113" s="3">
        <v>2017.0</v>
      </c>
      <c r="B3113" s="4" t="s">
        <v>3017</v>
      </c>
      <c r="C3113" s="15">
        <v>0.0</v>
      </c>
      <c r="D3113" s="4" t="s">
        <v>6</v>
      </c>
    </row>
    <row r="3114">
      <c r="A3114" s="3">
        <v>2017.0</v>
      </c>
      <c r="B3114" s="4" t="s">
        <v>3018</v>
      </c>
      <c r="C3114" s="15">
        <v>0.0</v>
      </c>
      <c r="D3114" s="4" t="s">
        <v>668</v>
      </c>
    </row>
    <row r="3115">
      <c r="A3115" s="3">
        <v>2017.0</v>
      </c>
      <c r="B3115" s="4" t="s">
        <v>1253</v>
      </c>
      <c r="C3115" s="15">
        <v>0.0</v>
      </c>
      <c r="D3115" s="4" t="s">
        <v>6</v>
      </c>
    </row>
    <row r="3116">
      <c r="A3116" s="3">
        <v>2017.0</v>
      </c>
      <c r="B3116" s="4" t="s">
        <v>1327</v>
      </c>
      <c r="C3116" s="15">
        <v>0.0</v>
      </c>
      <c r="D3116" s="4" t="s">
        <v>6</v>
      </c>
    </row>
    <row r="3117">
      <c r="A3117" s="3">
        <v>2017.0</v>
      </c>
      <c r="B3117" s="4" t="s">
        <v>3019</v>
      </c>
      <c r="C3117" s="15">
        <v>0.0</v>
      </c>
      <c r="D3117" s="4" t="s">
        <v>668</v>
      </c>
    </row>
    <row r="3118">
      <c r="A3118" s="3">
        <v>2017.0</v>
      </c>
      <c r="B3118" s="4" t="s">
        <v>3020</v>
      </c>
      <c r="C3118" s="15">
        <v>0.0</v>
      </c>
      <c r="D3118" s="4" t="s">
        <v>6</v>
      </c>
    </row>
    <row r="3119">
      <c r="A3119" s="3">
        <v>2017.0</v>
      </c>
      <c r="B3119" s="4" t="s">
        <v>3021</v>
      </c>
      <c r="C3119" s="15">
        <v>0.0</v>
      </c>
      <c r="D3119" s="4" t="s">
        <v>668</v>
      </c>
    </row>
    <row r="3120">
      <c r="A3120" s="3">
        <v>2017.0</v>
      </c>
      <c r="B3120" s="4" t="s">
        <v>1888</v>
      </c>
      <c r="C3120" s="15">
        <v>1660153.0</v>
      </c>
      <c r="D3120" s="4" t="s">
        <v>668</v>
      </c>
    </row>
    <row r="3121">
      <c r="A3121" s="3">
        <v>2017.0</v>
      </c>
      <c r="B3121" s="4" t="s">
        <v>3022</v>
      </c>
      <c r="C3121" s="15">
        <v>0.0</v>
      </c>
      <c r="D3121" s="4" t="s">
        <v>29</v>
      </c>
    </row>
    <row r="3122">
      <c r="A3122" s="3">
        <v>2017.0</v>
      </c>
      <c r="B3122" s="4" t="s">
        <v>3023</v>
      </c>
      <c r="C3122" s="15">
        <v>0.0</v>
      </c>
      <c r="D3122" s="4" t="s">
        <v>3</v>
      </c>
    </row>
    <row r="3123">
      <c r="A3123" s="3">
        <v>2017.0</v>
      </c>
      <c r="B3123" s="4" t="s">
        <v>1132</v>
      </c>
      <c r="C3123" s="15">
        <v>0.0</v>
      </c>
      <c r="D3123" s="4" t="s">
        <v>6</v>
      </c>
    </row>
    <row r="3124">
      <c r="A3124" s="3">
        <v>2017.0</v>
      </c>
      <c r="B3124" s="4" t="s">
        <v>3024</v>
      </c>
      <c r="C3124" s="15">
        <v>0.0</v>
      </c>
      <c r="D3124" s="4" t="s">
        <v>29</v>
      </c>
    </row>
    <row r="3125">
      <c r="A3125" s="3">
        <v>2017.0</v>
      </c>
      <c r="B3125" s="4" t="s">
        <v>3025</v>
      </c>
      <c r="C3125" s="15">
        <v>0.0</v>
      </c>
      <c r="D3125" s="4" t="s">
        <v>3</v>
      </c>
    </row>
    <row r="3126">
      <c r="A3126" s="3">
        <v>2017.0</v>
      </c>
      <c r="B3126" s="4" t="s">
        <v>3026</v>
      </c>
      <c r="C3126" s="15">
        <v>0.0</v>
      </c>
      <c r="D3126" s="4" t="s">
        <v>29</v>
      </c>
    </row>
    <row r="3127">
      <c r="A3127" s="3">
        <v>2017.0</v>
      </c>
      <c r="B3127" s="4" t="s">
        <v>283</v>
      </c>
      <c r="C3127" s="15">
        <v>5000.0</v>
      </c>
      <c r="D3127" s="4"/>
    </row>
    <row r="3128">
      <c r="A3128" s="3">
        <v>2017.0</v>
      </c>
      <c r="B3128" s="4" t="s">
        <v>2045</v>
      </c>
      <c r="C3128" s="15">
        <v>53250.0</v>
      </c>
      <c r="D3128" s="4" t="s">
        <v>2377</v>
      </c>
    </row>
    <row r="3129">
      <c r="A3129" s="3">
        <v>2017.0</v>
      </c>
      <c r="B3129" s="4" t="s">
        <v>2047</v>
      </c>
      <c r="C3129" s="15">
        <v>7000.0</v>
      </c>
      <c r="D3129" s="4"/>
    </row>
    <row r="3130">
      <c r="A3130" s="3">
        <v>2017.0</v>
      </c>
      <c r="B3130" s="4" t="s">
        <v>1257</v>
      </c>
      <c r="C3130" s="15">
        <v>0.0</v>
      </c>
      <c r="D3130" s="4" t="s">
        <v>29</v>
      </c>
    </row>
    <row r="3131">
      <c r="A3131" s="3">
        <v>2017.0</v>
      </c>
      <c r="B3131" s="4" t="s">
        <v>2049</v>
      </c>
      <c r="C3131" s="15">
        <v>13003.28</v>
      </c>
      <c r="D3131" s="4"/>
    </row>
    <row r="3132">
      <c r="A3132" s="3">
        <v>2017.0</v>
      </c>
      <c r="B3132" s="4" t="s">
        <v>2051</v>
      </c>
      <c r="C3132" s="15">
        <v>44521.21</v>
      </c>
      <c r="D3132" s="4"/>
    </row>
    <row r="3133">
      <c r="A3133" s="3">
        <v>2017.0</v>
      </c>
      <c r="B3133" s="4" t="s">
        <v>2053</v>
      </c>
      <c r="C3133" s="15">
        <v>1.6115663E7</v>
      </c>
      <c r="D3133" s="4"/>
    </row>
    <row r="3134">
      <c r="A3134" s="3">
        <v>2017.0</v>
      </c>
      <c r="B3134" s="4" t="s">
        <v>3027</v>
      </c>
      <c r="C3134" s="15">
        <v>6700.0</v>
      </c>
      <c r="D3134" s="4" t="s">
        <v>3028</v>
      </c>
    </row>
    <row r="3135">
      <c r="A3135" s="3">
        <v>2017.0</v>
      </c>
      <c r="B3135" s="4" t="s">
        <v>2057</v>
      </c>
      <c r="C3135" s="15">
        <v>7823937.0</v>
      </c>
      <c r="D3135" s="4"/>
    </row>
    <row r="3136">
      <c r="A3136" s="3">
        <v>2017.0</v>
      </c>
      <c r="B3136" s="4" t="s">
        <v>3029</v>
      </c>
      <c r="C3136" s="15">
        <v>30000.0</v>
      </c>
      <c r="D3136" s="4"/>
    </row>
    <row r="3137">
      <c r="A3137" s="3">
        <v>2017.0</v>
      </c>
      <c r="B3137" s="4" t="s">
        <v>3030</v>
      </c>
      <c r="C3137" s="15">
        <v>3140000.0</v>
      </c>
      <c r="D3137" s="4"/>
    </row>
    <row r="3138">
      <c r="A3138" s="3">
        <v>2017.0</v>
      </c>
      <c r="B3138" s="4" t="s">
        <v>3031</v>
      </c>
      <c r="C3138" s="15">
        <v>0.0</v>
      </c>
      <c r="D3138" s="4" t="s">
        <v>6</v>
      </c>
    </row>
    <row r="3139">
      <c r="A3139" s="3">
        <v>2017.0</v>
      </c>
      <c r="B3139" s="4" t="s">
        <v>1203</v>
      </c>
      <c r="C3139" s="15">
        <v>290000.0</v>
      </c>
      <c r="D3139" s="4"/>
    </row>
    <row r="3140">
      <c r="A3140" s="3">
        <v>2017.0</v>
      </c>
      <c r="B3140" s="4" t="s">
        <v>3032</v>
      </c>
      <c r="C3140" s="15">
        <v>0.0</v>
      </c>
      <c r="D3140" s="4" t="s">
        <v>668</v>
      </c>
    </row>
  </sheetData>
  <hyperlinks>
    <hyperlink r:id="rId1" ref="B3097"/>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40.25"/>
    <col customWidth="1" min="3" max="3" width="18.88"/>
    <col customWidth="1" min="4" max="4" width="24.88"/>
  </cols>
  <sheetData>
    <row r="1">
      <c r="A1" s="3" t="s">
        <v>3033</v>
      </c>
      <c r="B1" s="6" t="s">
        <v>2068</v>
      </c>
      <c r="C1" s="5" t="s">
        <v>2065</v>
      </c>
      <c r="D1" s="5" t="s">
        <v>2066</v>
      </c>
    </row>
    <row r="2">
      <c r="A2" s="3">
        <v>2016.0</v>
      </c>
      <c r="B2" s="4" t="s">
        <v>2053</v>
      </c>
      <c r="C2" s="3">
        <v>1.616767E7</v>
      </c>
      <c r="D2" s="4"/>
    </row>
    <row r="3">
      <c r="A3" s="3">
        <v>2016.0</v>
      </c>
      <c r="B3" s="4" t="s">
        <v>2117</v>
      </c>
      <c r="C3" s="3">
        <v>8060927.5</v>
      </c>
      <c r="D3" s="3" t="s">
        <v>303</v>
      </c>
    </row>
    <row r="4">
      <c r="A4" s="3">
        <v>2016.0</v>
      </c>
      <c r="B4" s="4" t="s">
        <v>2057</v>
      </c>
      <c r="C4" s="3">
        <v>7912204.0</v>
      </c>
      <c r="D4" s="4"/>
    </row>
    <row r="5">
      <c r="A5" s="3">
        <v>2016.0</v>
      </c>
      <c r="B5" s="3" t="s">
        <v>3030</v>
      </c>
      <c r="C5" s="3">
        <v>3120000.0</v>
      </c>
      <c r="D5" s="4"/>
    </row>
    <row r="6">
      <c r="A6" s="3">
        <v>2016.0</v>
      </c>
      <c r="B6" s="4" t="s">
        <v>481</v>
      </c>
      <c r="C6" s="3">
        <v>1735000.0</v>
      </c>
      <c r="D6" s="3" t="s">
        <v>3</v>
      </c>
    </row>
    <row r="7">
      <c r="A7" s="3">
        <v>2016.0</v>
      </c>
      <c r="B7" s="4" t="s">
        <v>1888</v>
      </c>
      <c r="C7" s="3">
        <v>1646816.0</v>
      </c>
      <c r="D7" s="3" t="s">
        <v>16</v>
      </c>
    </row>
    <row r="8">
      <c r="A8" s="3">
        <v>2016.0</v>
      </c>
      <c r="B8" s="4" t="s">
        <v>476</v>
      </c>
      <c r="C8" s="3">
        <v>1578403.0</v>
      </c>
      <c r="D8" s="3" t="s">
        <v>32</v>
      </c>
    </row>
    <row r="9">
      <c r="A9" s="3">
        <v>2016.0</v>
      </c>
      <c r="B9" s="4" t="s">
        <v>2327</v>
      </c>
      <c r="C9" s="3">
        <v>1537650.0</v>
      </c>
      <c r="D9" s="3" t="s">
        <v>37</v>
      </c>
    </row>
    <row r="10">
      <c r="A10" s="3">
        <v>2016.0</v>
      </c>
      <c r="B10" s="4" t="s">
        <v>2308</v>
      </c>
      <c r="C10" s="3">
        <v>1128560.0</v>
      </c>
      <c r="D10" s="3" t="s">
        <v>37</v>
      </c>
    </row>
    <row r="11">
      <c r="A11" s="3">
        <v>2016.0</v>
      </c>
      <c r="B11" s="4" t="s">
        <v>2189</v>
      </c>
      <c r="C11" s="3">
        <v>1089439.0</v>
      </c>
      <c r="D11" s="3" t="s">
        <v>37</v>
      </c>
    </row>
    <row r="12">
      <c r="A12" s="3">
        <v>2016.0</v>
      </c>
      <c r="B12" s="4" t="s">
        <v>2329</v>
      </c>
      <c r="C12" s="3">
        <v>896350.0</v>
      </c>
      <c r="D12" s="3" t="s">
        <v>37</v>
      </c>
    </row>
    <row r="13">
      <c r="A13" s="3">
        <v>2016.0</v>
      </c>
      <c r="B13" s="4" t="s">
        <v>2278</v>
      </c>
      <c r="C13" s="3">
        <v>892663.0</v>
      </c>
      <c r="D13" s="3" t="s">
        <v>37</v>
      </c>
    </row>
    <row r="14">
      <c r="A14" s="3">
        <v>2016.0</v>
      </c>
      <c r="B14" s="4" t="s">
        <v>2326</v>
      </c>
      <c r="C14" s="3">
        <v>879983.0</v>
      </c>
      <c r="D14" s="3" t="s">
        <v>37</v>
      </c>
    </row>
    <row r="15">
      <c r="A15" s="3">
        <v>2016.0</v>
      </c>
      <c r="B15" s="4" t="s">
        <v>2309</v>
      </c>
      <c r="C15" s="3">
        <v>819458.0</v>
      </c>
      <c r="D15" s="3" t="s">
        <v>37</v>
      </c>
    </row>
    <row r="16">
      <c r="A16" s="3">
        <v>2016.0</v>
      </c>
      <c r="B16" s="4" t="s">
        <v>174</v>
      </c>
      <c r="C16" s="3">
        <v>752250.0</v>
      </c>
      <c r="D16" s="3" t="s">
        <v>176</v>
      </c>
    </row>
    <row r="17">
      <c r="A17" s="3">
        <v>2016.0</v>
      </c>
      <c r="B17" s="4" t="s">
        <v>2282</v>
      </c>
      <c r="C17" s="3">
        <v>678000.0</v>
      </c>
      <c r="D17" s="4"/>
    </row>
    <row r="18">
      <c r="A18" s="3">
        <v>2016.0</v>
      </c>
      <c r="B18" s="4" t="s">
        <v>2207</v>
      </c>
      <c r="C18" s="3">
        <v>634600.0</v>
      </c>
      <c r="D18" s="3" t="s">
        <v>37</v>
      </c>
    </row>
    <row r="19">
      <c r="A19" s="3">
        <v>2016.0</v>
      </c>
      <c r="B19" s="4" t="s">
        <v>1673</v>
      </c>
      <c r="C19" s="3">
        <v>567000.0</v>
      </c>
      <c r="D19" s="3" t="s">
        <v>6</v>
      </c>
    </row>
    <row r="20">
      <c r="A20" s="3">
        <v>2016.0</v>
      </c>
      <c r="B20" s="4" t="s">
        <v>223</v>
      </c>
      <c r="C20" s="3">
        <v>532800.0</v>
      </c>
      <c r="D20" s="4"/>
    </row>
    <row r="21">
      <c r="A21" s="3">
        <v>2016.0</v>
      </c>
      <c r="B21" s="4" t="s">
        <v>2103</v>
      </c>
      <c r="C21" s="3">
        <v>512833.33</v>
      </c>
      <c r="D21" s="4"/>
    </row>
    <row r="22">
      <c r="A22" s="3">
        <v>2016.0</v>
      </c>
      <c r="B22" s="4" t="s">
        <v>1600</v>
      </c>
      <c r="C22" s="3">
        <v>494000.0</v>
      </c>
      <c r="D22" s="3" t="s">
        <v>32</v>
      </c>
    </row>
    <row r="23">
      <c r="A23" s="3">
        <v>2016.0</v>
      </c>
      <c r="B23" s="4" t="s">
        <v>1188</v>
      </c>
      <c r="C23" s="3">
        <v>492222.0</v>
      </c>
      <c r="D23" s="3" t="s">
        <v>32</v>
      </c>
    </row>
    <row r="24">
      <c r="A24" s="3">
        <v>2016.0</v>
      </c>
      <c r="B24" s="4" t="s">
        <v>1270</v>
      </c>
      <c r="C24" s="3">
        <v>478850.0</v>
      </c>
      <c r="D24" s="3" t="s">
        <v>32</v>
      </c>
    </row>
    <row r="25">
      <c r="A25" s="3">
        <v>2016.0</v>
      </c>
      <c r="B25" s="4" t="s">
        <v>2204</v>
      </c>
      <c r="C25" s="3">
        <v>461165.0</v>
      </c>
      <c r="D25" s="3" t="s">
        <v>37</v>
      </c>
    </row>
    <row r="26">
      <c r="A26" s="3">
        <v>2016.0</v>
      </c>
      <c r="B26" s="4" t="s">
        <v>2086</v>
      </c>
      <c r="C26" s="3">
        <v>450195.0</v>
      </c>
      <c r="D26" s="3" t="s">
        <v>29</v>
      </c>
    </row>
    <row r="27">
      <c r="A27" s="3">
        <v>2016.0</v>
      </c>
      <c r="B27" s="4" t="s">
        <v>1789</v>
      </c>
      <c r="C27" s="3">
        <v>450000.0</v>
      </c>
      <c r="D27" s="3" t="s">
        <v>6</v>
      </c>
    </row>
    <row r="28">
      <c r="A28" s="3">
        <v>2016.0</v>
      </c>
      <c r="B28" s="4" t="s">
        <v>1159</v>
      </c>
      <c r="C28" s="3">
        <v>426565.0</v>
      </c>
      <c r="D28" s="3" t="s">
        <v>32</v>
      </c>
    </row>
    <row r="29">
      <c r="A29" s="3">
        <v>2016.0</v>
      </c>
      <c r="B29" s="4" t="s">
        <v>1136</v>
      </c>
      <c r="C29" s="3">
        <v>402000.0</v>
      </c>
      <c r="D29" s="3" t="s">
        <v>16</v>
      </c>
    </row>
    <row r="30">
      <c r="A30" s="3">
        <v>2016.0</v>
      </c>
      <c r="B30" s="4" t="s">
        <v>2142</v>
      </c>
      <c r="C30" s="3">
        <v>380000.0</v>
      </c>
      <c r="D30" s="3" t="s">
        <v>6</v>
      </c>
    </row>
    <row r="31">
      <c r="A31" s="3">
        <v>2016.0</v>
      </c>
      <c r="B31" s="4" t="s">
        <v>2292</v>
      </c>
      <c r="C31" s="3">
        <v>357672.0</v>
      </c>
      <c r="D31" s="3" t="s">
        <v>3</v>
      </c>
    </row>
    <row r="32">
      <c r="A32" s="3">
        <v>2016.0</v>
      </c>
      <c r="B32" s="4" t="s">
        <v>599</v>
      </c>
      <c r="C32" s="3">
        <v>347000.0</v>
      </c>
      <c r="D32" s="4"/>
    </row>
    <row r="33">
      <c r="A33" s="3">
        <v>2016.0</v>
      </c>
      <c r="B33" s="4" t="s">
        <v>1463</v>
      </c>
      <c r="C33" s="3">
        <v>343924.0</v>
      </c>
      <c r="D33" s="3" t="s">
        <v>484</v>
      </c>
    </row>
    <row r="34">
      <c r="A34" s="3">
        <v>2016.0</v>
      </c>
      <c r="B34" s="4" t="s">
        <v>648</v>
      </c>
      <c r="C34" s="3">
        <v>339500.0</v>
      </c>
      <c r="D34" s="3" t="s">
        <v>16</v>
      </c>
    </row>
    <row r="35">
      <c r="A35" s="3">
        <v>2016.0</v>
      </c>
      <c r="B35" s="4" t="s">
        <v>1179</v>
      </c>
      <c r="C35" s="3">
        <v>334000.0</v>
      </c>
      <c r="D35" s="4"/>
    </row>
    <row r="36">
      <c r="A36" s="3">
        <v>2016.0</v>
      </c>
      <c r="B36" s="4" t="s">
        <v>478</v>
      </c>
      <c r="C36" s="3">
        <v>311500.0</v>
      </c>
      <c r="D36" s="4"/>
    </row>
    <row r="37">
      <c r="A37" s="3">
        <v>2016.0</v>
      </c>
      <c r="B37" s="4" t="s">
        <v>491</v>
      </c>
      <c r="C37" s="3">
        <v>300000.0</v>
      </c>
      <c r="D37" s="4"/>
    </row>
    <row r="38">
      <c r="A38" s="3">
        <v>2016.0</v>
      </c>
      <c r="B38" s="4" t="s">
        <v>679</v>
      </c>
      <c r="C38" s="3">
        <v>283000.0</v>
      </c>
      <c r="D38" s="4"/>
    </row>
    <row r="39">
      <c r="A39" s="3">
        <v>2016.0</v>
      </c>
      <c r="B39" s="4" t="s">
        <v>1787</v>
      </c>
      <c r="C39" s="3">
        <v>280000.0</v>
      </c>
      <c r="D39" s="3" t="s">
        <v>6</v>
      </c>
    </row>
    <row r="40">
      <c r="A40" s="3">
        <v>2016.0</v>
      </c>
      <c r="B40" s="4" t="s">
        <v>2206</v>
      </c>
      <c r="C40" s="3">
        <v>243834.0</v>
      </c>
      <c r="D40" s="3" t="s">
        <v>37</v>
      </c>
    </row>
    <row r="41">
      <c r="A41" s="3">
        <v>2016.0</v>
      </c>
      <c r="B41" s="4" t="s">
        <v>1472</v>
      </c>
      <c r="C41" s="3">
        <v>240000.0</v>
      </c>
      <c r="D41" s="4"/>
    </row>
    <row r="42">
      <c r="A42" s="3">
        <v>2016.0</v>
      </c>
      <c r="B42" s="4" t="s">
        <v>2289</v>
      </c>
      <c r="C42" s="3">
        <v>237000.0</v>
      </c>
      <c r="D42" s="3" t="s">
        <v>580</v>
      </c>
    </row>
    <row r="43">
      <c r="A43" s="3">
        <v>2016.0</v>
      </c>
      <c r="B43" s="4" t="s">
        <v>2192</v>
      </c>
      <c r="C43" s="3">
        <v>223734.0</v>
      </c>
      <c r="D43" s="3" t="s">
        <v>37</v>
      </c>
    </row>
    <row r="44">
      <c r="A44" s="3">
        <v>2016.0</v>
      </c>
      <c r="B44" s="4" t="s">
        <v>1089</v>
      </c>
      <c r="C44" s="3">
        <v>210000.0</v>
      </c>
      <c r="D44" s="4"/>
    </row>
    <row r="45">
      <c r="A45" s="3">
        <v>2016.0</v>
      </c>
      <c r="B45" s="4" t="s">
        <v>1500</v>
      </c>
      <c r="C45" s="3">
        <v>205000.0</v>
      </c>
      <c r="D45" s="4"/>
    </row>
    <row r="46">
      <c r="A46" s="3">
        <v>2016.0</v>
      </c>
      <c r="B46" s="4" t="s">
        <v>1539</v>
      </c>
      <c r="C46" s="3">
        <v>200000.0</v>
      </c>
      <c r="D46" s="4"/>
    </row>
    <row r="47">
      <c r="A47" s="3">
        <v>2016.0</v>
      </c>
      <c r="B47" s="4" t="s">
        <v>646</v>
      </c>
      <c r="C47" s="3">
        <v>198775.0</v>
      </c>
      <c r="D47" s="3" t="s">
        <v>6</v>
      </c>
    </row>
    <row r="48">
      <c r="A48" s="3">
        <v>2016.0</v>
      </c>
      <c r="B48" s="4" t="s">
        <v>2271</v>
      </c>
      <c r="C48" s="3">
        <v>198000.0</v>
      </c>
      <c r="D48" s="3" t="s">
        <v>1373</v>
      </c>
    </row>
    <row r="49">
      <c r="A49" s="3">
        <v>2016.0</v>
      </c>
      <c r="B49" s="4" t="s">
        <v>1203</v>
      </c>
      <c r="C49" s="3">
        <v>190000.0</v>
      </c>
      <c r="D49" s="4"/>
    </row>
    <row r="50">
      <c r="A50" s="3">
        <v>2016.0</v>
      </c>
      <c r="B50" s="4" t="s">
        <v>1070</v>
      </c>
      <c r="C50" s="3">
        <v>185000.0</v>
      </c>
      <c r="D50" s="3" t="s">
        <v>280</v>
      </c>
    </row>
    <row r="51">
      <c r="A51" s="3">
        <v>2016.0</v>
      </c>
      <c r="B51" s="4" t="s">
        <v>445</v>
      </c>
      <c r="C51" s="3">
        <v>180000.0</v>
      </c>
      <c r="D51" s="4"/>
    </row>
    <row r="52">
      <c r="A52" s="3">
        <v>2016.0</v>
      </c>
      <c r="B52" s="4" t="s">
        <v>1639</v>
      </c>
      <c r="C52" s="3">
        <v>170592.0</v>
      </c>
      <c r="D52" s="4"/>
    </row>
    <row r="53">
      <c r="A53" s="3">
        <v>2016.0</v>
      </c>
      <c r="B53" s="4" t="s">
        <v>582</v>
      </c>
      <c r="C53" s="3">
        <v>153407.0</v>
      </c>
      <c r="D53" s="3" t="s">
        <v>32</v>
      </c>
    </row>
    <row r="54">
      <c r="A54" s="3">
        <v>2016.0</v>
      </c>
      <c r="B54" s="4" t="s">
        <v>2259</v>
      </c>
      <c r="C54" s="3">
        <v>141174.0</v>
      </c>
      <c r="D54" s="3" t="s">
        <v>37</v>
      </c>
    </row>
    <row r="55">
      <c r="A55" s="3">
        <v>2016.0</v>
      </c>
      <c r="B55" s="4" t="s">
        <v>2276</v>
      </c>
      <c r="C55" s="3">
        <v>132000.0</v>
      </c>
      <c r="D55" s="3" t="s">
        <v>37</v>
      </c>
    </row>
    <row r="56">
      <c r="A56" s="3">
        <v>2016.0</v>
      </c>
      <c r="B56" s="4" t="s">
        <v>1635</v>
      </c>
      <c r="C56" s="3">
        <v>130000.0</v>
      </c>
      <c r="D56" s="3" t="s">
        <v>3</v>
      </c>
    </row>
    <row r="57">
      <c r="A57" s="3">
        <v>2016.0</v>
      </c>
      <c r="B57" s="4" t="s">
        <v>1654</v>
      </c>
      <c r="C57" s="3">
        <v>120000.0</v>
      </c>
      <c r="D57" s="4"/>
    </row>
    <row r="58">
      <c r="A58" s="3">
        <v>2016.0</v>
      </c>
      <c r="B58" s="4" t="s">
        <v>1389</v>
      </c>
      <c r="C58" s="3">
        <v>119100.0</v>
      </c>
      <c r="D58" s="3" t="s">
        <v>280</v>
      </c>
    </row>
    <row r="59">
      <c r="A59" s="3">
        <v>2016.0</v>
      </c>
      <c r="B59" s="4" t="s">
        <v>2331</v>
      </c>
      <c r="C59" s="3">
        <v>119000.0</v>
      </c>
      <c r="D59" s="3" t="s">
        <v>2000</v>
      </c>
    </row>
    <row r="60">
      <c r="A60" s="3">
        <v>2016.0</v>
      </c>
      <c r="B60" s="4" t="s">
        <v>2238</v>
      </c>
      <c r="C60" s="3">
        <v>118603.0</v>
      </c>
      <c r="D60" s="3" t="s">
        <v>37</v>
      </c>
    </row>
    <row r="61">
      <c r="A61" s="3">
        <v>2016.0</v>
      </c>
      <c r="B61" s="4" t="s">
        <v>697</v>
      </c>
      <c r="C61" s="3">
        <v>115000.0</v>
      </c>
      <c r="D61" s="4"/>
    </row>
    <row r="62">
      <c r="A62" s="3">
        <v>2016.0</v>
      </c>
      <c r="B62" s="4" t="s">
        <v>963</v>
      </c>
      <c r="C62" s="3">
        <v>115000.0</v>
      </c>
      <c r="D62" s="3" t="s">
        <v>6</v>
      </c>
    </row>
    <row r="63">
      <c r="A63" s="3">
        <v>2016.0</v>
      </c>
      <c r="B63" s="4" t="s">
        <v>1187</v>
      </c>
      <c r="C63" s="3">
        <v>115000.0</v>
      </c>
      <c r="D63" s="3" t="s">
        <v>32</v>
      </c>
    </row>
    <row r="64">
      <c r="A64" s="3">
        <v>2016.0</v>
      </c>
      <c r="B64" s="4" t="s">
        <v>2283</v>
      </c>
      <c r="C64" s="3">
        <v>110350.0</v>
      </c>
      <c r="D64" s="3" t="s">
        <v>6</v>
      </c>
    </row>
    <row r="65">
      <c r="A65" s="3">
        <v>2016.0</v>
      </c>
      <c r="B65" s="4" t="s">
        <v>1033</v>
      </c>
      <c r="C65" s="3">
        <v>109834.0</v>
      </c>
      <c r="D65" s="4"/>
    </row>
    <row r="66">
      <c r="A66" s="3">
        <v>2016.0</v>
      </c>
      <c r="B66" s="4" t="s">
        <v>1967</v>
      </c>
      <c r="C66" s="3">
        <v>105000.0</v>
      </c>
      <c r="D66" s="3" t="s">
        <v>32</v>
      </c>
    </row>
    <row r="67">
      <c r="A67" s="3">
        <v>2016.0</v>
      </c>
      <c r="B67" s="4" t="s">
        <v>1150</v>
      </c>
      <c r="C67" s="3">
        <v>100000.0</v>
      </c>
      <c r="D67" s="3" t="s">
        <v>29</v>
      </c>
    </row>
    <row r="68">
      <c r="A68" s="3">
        <v>2016.0</v>
      </c>
      <c r="B68" s="4" t="s">
        <v>1918</v>
      </c>
      <c r="C68" s="3">
        <v>83680.0</v>
      </c>
      <c r="D68" s="3" t="s">
        <v>26</v>
      </c>
    </row>
    <row r="69">
      <c r="A69" s="3">
        <v>2016.0</v>
      </c>
      <c r="B69" s="4" t="s">
        <v>2083</v>
      </c>
      <c r="C69" s="3">
        <v>82238.0</v>
      </c>
      <c r="D69" s="3" t="s">
        <v>37</v>
      </c>
    </row>
    <row r="70">
      <c r="A70" s="3">
        <v>2016.0</v>
      </c>
      <c r="B70" s="4" t="s">
        <v>712</v>
      </c>
      <c r="C70" s="3">
        <v>81568.0</v>
      </c>
      <c r="D70" s="4"/>
    </row>
    <row r="71">
      <c r="A71" s="3">
        <v>2016.0</v>
      </c>
      <c r="B71" s="4" t="s">
        <v>655</v>
      </c>
      <c r="C71" s="3">
        <v>80000.0</v>
      </c>
      <c r="D71" s="3" t="s">
        <v>29</v>
      </c>
    </row>
    <row r="72">
      <c r="A72" s="3">
        <v>2016.0</v>
      </c>
      <c r="B72" s="4" t="s">
        <v>1363</v>
      </c>
      <c r="C72" s="3">
        <v>80000.0</v>
      </c>
      <c r="D72" s="3" t="s">
        <v>3</v>
      </c>
    </row>
    <row r="73">
      <c r="A73" s="3">
        <v>2016.0</v>
      </c>
      <c r="B73" s="4" t="s">
        <v>1838</v>
      </c>
      <c r="C73" s="3">
        <v>73900.0</v>
      </c>
      <c r="D73" s="3" t="s">
        <v>3</v>
      </c>
    </row>
    <row r="74">
      <c r="A74" s="3">
        <v>2016.0</v>
      </c>
      <c r="B74" s="4" t="s">
        <v>2298</v>
      </c>
      <c r="C74" s="3">
        <v>73250.0</v>
      </c>
      <c r="D74" s="3" t="s">
        <v>1373</v>
      </c>
    </row>
    <row r="75">
      <c r="A75" s="3">
        <v>2016.0</v>
      </c>
      <c r="B75" s="4" t="s">
        <v>1227</v>
      </c>
      <c r="C75" s="3">
        <v>66000.0</v>
      </c>
      <c r="D75" s="4"/>
    </row>
    <row r="76">
      <c r="A76" s="3">
        <v>2016.0</v>
      </c>
      <c r="B76" s="4" t="s">
        <v>1761</v>
      </c>
      <c r="C76" s="3">
        <v>64000.0</v>
      </c>
      <c r="D76" s="4"/>
    </row>
    <row r="77">
      <c r="A77" s="3">
        <v>2016.0</v>
      </c>
      <c r="B77" s="4" t="s">
        <v>2076</v>
      </c>
      <c r="C77" s="3">
        <v>60000.0</v>
      </c>
      <c r="D77" s="4"/>
    </row>
    <row r="78">
      <c r="A78" s="3">
        <v>2016.0</v>
      </c>
      <c r="B78" s="4" t="s">
        <v>774</v>
      </c>
      <c r="C78" s="3">
        <v>57500.0</v>
      </c>
      <c r="D78" s="3" t="s">
        <v>280</v>
      </c>
    </row>
    <row r="79">
      <c r="A79" s="3">
        <v>2016.0</v>
      </c>
      <c r="B79" s="4" t="s">
        <v>1339</v>
      </c>
      <c r="C79" s="3">
        <v>57005.0</v>
      </c>
      <c r="D79" s="4"/>
    </row>
    <row r="80">
      <c r="A80" s="3">
        <v>2016.0</v>
      </c>
      <c r="B80" s="4" t="s">
        <v>1377</v>
      </c>
      <c r="C80" s="3">
        <v>56105.0</v>
      </c>
      <c r="D80" s="3" t="s">
        <v>1379</v>
      </c>
    </row>
    <row r="81">
      <c r="A81" s="3">
        <v>2016.0</v>
      </c>
      <c r="B81" s="4" t="s">
        <v>1559</v>
      </c>
      <c r="C81" s="3">
        <v>56000.0</v>
      </c>
      <c r="D81" s="3" t="s">
        <v>3</v>
      </c>
    </row>
    <row r="82">
      <c r="A82" s="3">
        <v>2016.0</v>
      </c>
      <c r="B82" s="4" t="s">
        <v>447</v>
      </c>
      <c r="C82" s="3">
        <v>55000.0</v>
      </c>
      <c r="D82" s="4"/>
    </row>
    <row r="83">
      <c r="A83" s="3">
        <v>2016.0</v>
      </c>
      <c r="B83" s="4" t="s">
        <v>1502</v>
      </c>
      <c r="C83" s="3">
        <v>54201.0</v>
      </c>
      <c r="D83" s="3" t="s">
        <v>6</v>
      </c>
    </row>
    <row r="84">
      <c r="A84" s="3">
        <v>2016.0</v>
      </c>
      <c r="B84" s="4" t="s">
        <v>2045</v>
      </c>
      <c r="C84" s="3">
        <v>52500.0</v>
      </c>
      <c r="D84" s="3" t="s">
        <v>3</v>
      </c>
    </row>
    <row r="85">
      <c r="A85" s="3">
        <v>2016.0</v>
      </c>
      <c r="B85" s="4" t="s">
        <v>1884</v>
      </c>
      <c r="C85" s="3">
        <v>52250.0</v>
      </c>
      <c r="D85" s="4"/>
    </row>
    <row r="86">
      <c r="A86" s="3">
        <v>2016.0</v>
      </c>
      <c r="B86" s="4" t="s">
        <v>1751</v>
      </c>
      <c r="C86" s="3">
        <v>51000.0</v>
      </c>
      <c r="D86" s="3" t="s">
        <v>3</v>
      </c>
    </row>
    <row r="87">
      <c r="A87" s="3">
        <v>2016.0</v>
      </c>
      <c r="B87" s="4" t="s">
        <v>2099</v>
      </c>
      <c r="C87" s="3">
        <v>50580.0</v>
      </c>
      <c r="D87" s="3" t="s">
        <v>216</v>
      </c>
    </row>
    <row r="88">
      <c r="A88" s="3">
        <v>2016.0</v>
      </c>
      <c r="B88" s="4" t="s">
        <v>569</v>
      </c>
      <c r="C88" s="3">
        <v>50000.0</v>
      </c>
      <c r="D88" s="3" t="s">
        <v>6</v>
      </c>
    </row>
    <row r="89">
      <c r="A89" s="3">
        <v>2016.0</v>
      </c>
      <c r="B89" s="4" t="s">
        <v>1346</v>
      </c>
      <c r="C89" s="3">
        <v>50000.0</v>
      </c>
      <c r="D89" s="4"/>
    </row>
    <row r="90">
      <c r="A90" s="3">
        <v>2016.0</v>
      </c>
      <c r="B90" s="4" t="s">
        <v>1438</v>
      </c>
      <c r="C90" s="3">
        <v>50000.0</v>
      </c>
      <c r="D90" s="4"/>
    </row>
    <row r="91">
      <c r="A91" s="3">
        <v>2016.0</v>
      </c>
      <c r="B91" s="4" t="s">
        <v>1552</v>
      </c>
      <c r="C91" s="3">
        <v>50000.0</v>
      </c>
      <c r="D91" s="4"/>
    </row>
    <row r="92">
      <c r="A92" s="3">
        <v>2016.0</v>
      </c>
      <c r="B92" s="4" t="s">
        <v>729</v>
      </c>
      <c r="C92" s="3">
        <v>49000.0</v>
      </c>
      <c r="D92" s="3" t="s">
        <v>32</v>
      </c>
    </row>
    <row r="93">
      <c r="A93" s="3">
        <v>2016.0</v>
      </c>
      <c r="B93" s="4" t="s">
        <v>2236</v>
      </c>
      <c r="C93" s="3">
        <v>46500.0</v>
      </c>
      <c r="D93" s="3" t="s">
        <v>3</v>
      </c>
    </row>
    <row r="94">
      <c r="A94" s="3">
        <v>2016.0</v>
      </c>
      <c r="B94" s="4" t="s">
        <v>1563</v>
      </c>
      <c r="C94" s="3">
        <v>46000.0</v>
      </c>
      <c r="D94" s="4"/>
    </row>
    <row r="95">
      <c r="A95" s="3">
        <v>2016.0</v>
      </c>
      <c r="B95" s="4" t="s">
        <v>2150</v>
      </c>
      <c r="C95" s="3">
        <v>45400.0</v>
      </c>
      <c r="D95" s="3" t="s">
        <v>3</v>
      </c>
    </row>
    <row r="96">
      <c r="A96" s="3">
        <v>2016.0</v>
      </c>
      <c r="B96" s="4" t="s">
        <v>589</v>
      </c>
      <c r="C96" s="3">
        <v>44200.0</v>
      </c>
      <c r="D96" s="3" t="s">
        <v>3</v>
      </c>
    </row>
    <row r="97">
      <c r="A97" s="3">
        <v>2016.0</v>
      </c>
      <c r="B97" s="4" t="s">
        <v>916</v>
      </c>
      <c r="C97" s="3">
        <v>41500.0</v>
      </c>
      <c r="D97" s="3" t="s">
        <v>280</v>
      </c>
    </row>
    <row r="98">
      <c r="A98" s="3">
        <v>2016.0</v>
      </c>
      <c r="B98" s="4" t="s">
        <v>1620</v>
      </c>
      <c r="C98" s="3">
        <v>40700.0</v>
      </c>
      <c r="D98" s="3" t="s">
        <v>216</v>
      </c>
    </row>
    <row r="99">
      <c r="A99" s="3">
        <v>2016.0</v>
      </c>
      <c r="B99" s="4" t="s">
        <v>945</v>
      </c>
      <c r="C99" s="3">
        <v>40000.0</v>
      </c>
      <c r="D99" s="3" t="s">
        <v>216</v>
      </c>
    </row>
    <row r="100">
      <c r="A100" s="3">
        <v>2016.0</v>
      </c>
      <c r="B100" s="4" t="s">
        <v>522</v>
      </c>
      <c r="C100" s="3">
        <v>37754.0</v>
      </c>
      <c r="D100" s="3" t="s">
        <v>484</v>
      </c>
    </row>
    <row r="101">
      <c r="A101" s="3">
        <v>2016.0</v>
      </c>
      <c r="B101" s="4" t="s">
        <v>2284</v>
      </c>
      <c r="C101" s="3">
        <v>37500.0</v>
      </c>
      <c r="D101" s="3" t="s">
        <v>580</v>
      </c>
    </row>
    <row r="102">
      <c r="A102" s="3">
        <v>2016.0</v>
      </c>
      <c r="B102" s="4" t="s">
        <v>395</v>
      </c>
      <c r="C102" s="3">
        <v>37000.0</v>
      </c>
      <c r="D102" s="3" t="s">
        <v>32</v>
      </c>
    </row>
    <row r="103">
      <c r="A103" s="3">
        <v>2016.0</v>
      </c>
      <c r="B103" s="4" t="s">
        <v>628</v>
      </c>
      <c r="C103" s="3">
        <v>35895.0</v>
      </c>
      <c r="D103" s="3" t="s">
        <v>484</v>
      </c>
    </row>
    <row r="104">
      <c r="A104" s="3">
        <v>2016.0</v>
      </c>
      <c r="B104" s="4" t="s">
        <v>1579</v>
      </c>
      <c r="C104" s="3">
        <v>35500.0</v>
      </c>
      <c r="D104" s="3" t="s">
        <v>32</v>
      </c>
    </row>
    <row r="105">
      <c r="A105" s="3">
        <v>2016.0</v>
      </c>
      <c r="B105" s="4" t="s">
        <v>2262</v>
      </c>
      <c r="C105" s="3">
        <v>35000.0</v>
      </c>
      <c r="D105" s="4"/>
    </row>
    <row r="106">
      <c r="A106" s="3">
        <v>2016.0</v>
      </c>
      <c r="B106" s="4" t="s">
        <v>1736</v>
      </c>
      <c r="C106" s="3">
        <v>35000.0</v>
      </c>
      <c r="D106" s="3" t="s">
        <v>280</v>
      </c>
    </row>
    <row r="107">
      <c r="A107" s="3">
        <v>2016.0</v>
      </c>
      <c r="B107" s="4" t="s">
        <v>1156</v>
      </c>
      <c r="C107" s="3">
        <v>33251.0</v>
      </c>
      <c r="D107" s="4"/>
    </row>
    <row r="108">
      <c r="A108" s="3">
        <v>2016.0</v>
      </c>
      <c r="B108" s="4" t="s">
        <v>1903</v>
      </c>
      <c r="C108" s="3">
        <v>32987.75</v>
      </c>
      <c r="D108" s="3" t="s">
        <v>280</v>
      </c>
    </row>
    <row r="109">
      <c r="A109" s="3">
        <v>2016.0</v>
      </c>
      <c r="B109" s="4" t="s">
        <v>786</v>
      </c>
      <c r="C109" s="3">
        <v>32500.0</v>
      </c>
      <c r="D109" s="4"/>
    </row>
    <row r="110">
      <c r="A110" s="3">
        <v>2016.0</v>
      </c>
      <c r="B110" s="4" t="s">
        <v>1733</v>
      </c>
      <c r="C110" s="3">
        <v>31500.0</v>
      </c>
      <c r="D110" s="3" t="s">
        <v>3</v>
      </c>
    </row>
    <row r="111">
      <c r="A111" s="3">
        <v>2016.0</v>
      </c>
      <c r="B111" s="4" t="s">
        <v>1055</v>
      </c>
      <c r="C111" s="3">
        <v>31000.0</v>
      </c>
      <c r="D111" s="4"/>
    </row>
    <row r="112">
      <c r="A112" s="3">
        <v>2016.0</v>
      </c>
      <c r="B112" s="4" t="s">
        <v>607</v>
      </c>
      <c r="C112" s="3">
        <v>30500.0</v>
      </c>
      <c r="D112" s="3" t="s">
        <v>32</v>
      </c>
    </row>
    <row r="113">
      <c r="A113" s="3">
        <v>2016.0</v>
      </c>
      <c r="B113" s="4" t="s">
        <v>2088</v>
      </c>
      <c r="C113" s="3">
        <v>30000.0</v>
      </c>
      <c r="D113" s="3" t="s">
        <v>3</v>
      </c>
    </row>
    <row r="114">
      <c r="A114" s="3">
        <v>2016.0</v>
      </c>
      <c r="B114" s="4" t="s">
        <v>645</v>
      </c>
      <c r="C114" s="3">
        <v>30000.0</v>
      </c>
      <c r="D114" s="4"/>
    </row>
    <row r="115">
      <c r="A115" s="3">
        <v>2016.0</v>
      </c>
      <c r="B115" s="4" t="s">
        <v>725</v>
      </c>
      <c r="C115" s="3">
        <v>30000.0</v>
      </c>
      <c r="D115" s="3" t="s">
        <v>6</v>
      </c>
    </row>
    <row r="116">
      <c r="A116" s="3">
        <v>2016.0</v>
      </c>
      <c r="B116" s="4" t="s">
        <v>1000</v>
      </c>
      <c r="C116" s="3">
        <v>30000.0</v>
      </c>
      <c r="D116" s="3" t="s">
        <v>3</v>
      </c>
    </row>
    <row r="117">
      <c r="A117" s="3">
        <v>2016.0</v>
      </c>
      <c r="B117" s="4" t="s">
        <v>1756</v>
      </c>
      <c r="C117" s="3">
        <v>29985.0</v>
      </c>
      <c r="D117" s="4"/>
    </row>
    <row r="118">
      <c r="A118" s="3">
        <v>2016.0</v>
      </c>
      <c r="B118" s="4" t="s">
        <v>1489</v>
      </c>
      <c r="C118" s="3">
        <v>29750.0</v>
      </c>
      <c r="D118" s="3" t="s">
        <v>32</v>
      </c>
    </row>
    <row r="119">
      <c r="A119" s="3">
        <v>2016.0</v>
      </c>
      <c r="B119" s="4" t="s">
        <v>1585</v>
      </c>
      <c r="C119" s="3">
        <v>29000.0</v>
      </c>
      <c r="D119" s="3" t="s">
        <v>32</v>
      </c>
    </row>
    <row r="120">
      <c r="A120" s="3">
        <v>2016.0</v>
      </c>
      <c r="B120" s="4" t="s">
        <v>1976</v>
      </c>
      <c r="C120" s="3">
        <v>28500.0</v>
      </c>
      <c r="D120" s="3" t="s">
        <v>32</v>
      </c>
    </row>
    <row r="121">
      <c r="A121" s="3">
        <v>2016.0</v>
      </c>
      <c r="B121" s="4" t="s">
        <v>669</v>
      </c>
      <c r="C121" s="3">
        <v>28000.0</v>
      </c>
      <c r="D121" s="3" t="s">
        <v>3</v>
      </c>
    </row>
    <row r="122">
      <c r="A122" s="3">
        <v>2016.0</v>
      </c>
      <c r="B122" s="4" t="s">
        <v>834</v>
      </c>
      <c r="C122" s="3">
        <v>28000.0</v>
      </c>
      <c r="D122" s="3" t="s">
        <v>6</v>
      </c>
    </row>
    <row r="123">
      <c r="A123" s="3">
        <v>2016.0</v>
      </c>
      <c r="B123" s="4" t="s">
        <v>549</v>
      </c>
      <c r="C123" s="3">
        <v>27778.0</v>
      </c>
      <c r="D123" s="4"/>
    </row>
    <row r="124">
      <c r="A124" s="3">
        <v>2016.0</v>
      </c>
      <c r="B124" s="4" t="s">
        <v>413</v>
      </c>
      <c r="C124" s="3">
        <v>27500.0</v>
      </c>
      <c r="D124" s="3" t="s">
        <v>32</v>
      </c>
    </row>
    <row r="125">
      <c r="A125" s="3">
        <v>2016.0</v>
      </c>
      <c r="B125" s="4" t="s">
        <v>1023</v>
      </c>
      <c r="C125" s="3">
        <v>27000.0</v>
      </c>
      <c r="D125" s="3" t="s">
        <v>3</v>
      </c>
    </row>
    <row r="126">
      <c r="A126" s="3">
        <v>2016.0</v>
      </c>
      <c r="B126" s="4" t="s">
        <v>2288</v>
      </c>
      <c r="C126" s="3">
        <v>27000.0</v>
      </c>
      <c r="D126" s="3" t="s">
        <v>580</v>
      </c>
    </row>
    <row r="127">
      <c r="A127" s="3">
        <v>2016.0</v>
      </c>
      <c r="B127" s="4" t="s">
        <v>518</v>
      </c>
      <c r="C127" s="3">
        <v>25062.0</v>
      </c>
      <c r="D127" s="4"/>
    </row>
    <row r="128">
      <c r="A128" s="3">
        <v>2016.0</v>
      </c>
      <c r="B128" s="4" t="s">
        <v>1262</v>
      </c>
      <c r="C128" s="3">
        <v>25000.0</v>
      </c>
      <c r="D128" s="4"/>
    </row>
    <row r="129">
      <c r="A129" s="3">
        <v>2016.0</v>
      </c>
      <c r="B129" s="4" t="s">
        <v>1902</v>
      </c>
      <c r="C129" s="3">
        <v>25000.0</v>
      </c>
      <c r="D129" s="4"/>
    </row>
    <row r="130">
      <c r="A130" s="3">
        <v>2016.0</v>
      </c>
      <c r="B130" s="4" t="s">
        <v>1273</v>
      </c>
      <c r="C130" s="3">
        <v>24500.0</v>
      </c>
      <c r="D130" s="3" t="s">
        <v>3</v>
      </c>
    </row>
    <row r="131">
      <c r="A131" s="3">
        <v>2016.0</v>
      </c>
      <c r="B131" s="4" t="s">
        <v>935</v>
      </c>
      <c r="C131" s="3">
        <v>23000.0</v>
      </c>
      <c r="D131" s="4"/>
    </row>
    <row r="132">
      <c r="A132" s="3">
        <v>2016.0</v>
      </c>
      <c r="B132" s="4" t="s">
        <v>1322</v>
      </c>
      <c r="C132" s="3">
        <v>23000.0</v>
      </c>
      <c r="D132" s="3" t="s">
        <v>3</v>
      </c>
    </row>
    <row r="133">
      <c r="A133" s="3">
        <v>2016.0</v>
      </c>
      <c r="B133" s="4" t="s">
        <v>2274</v>
      </c>
      <c r="C133" s="3">
        <v>23000.0</v>
      </c>
      <c r="D133" s="3" t="s">
        <v>37</v>
      </c>
    </row>
    <row r="134">
      <c r="A134" s="3">
        <v>2016.0</v>
      </c>
      <c r="B134" s="4" t="s">
        <v>2030</v>
      </c>
      <c r="C134" s="3">
        <v>23000.0</v>
      </c>
      <c r="D134" s="3" t="s">
        <v>3</v>
      </c>
    </row>
    <row r="135">
      <c r="A135" s="3">
        <v>2016.0</v>
      </c>
      <c r="B135" s="4" t="s">
        <v>1423</v>
      </c>
      <c r="C135" s="3">
        <v>22500.0</v>
      </c>
      <c r="D135" s="3" t="s">
        <v>3</v>
      </c>
    </row>
    <row r="136">
      <c r="A136" s="3">
        <v>2016.0</v>
      </c>
      <c r="B136" s="4" t="s">
        <v>1671</v>
      </c>
      <c r="C136" s="3">
        <v>22500.0</v>
      </c>
      <c r="D136" s="4"/>
    </row>
    <row r="137">
      <c r="A137" s="3">
        <v>2016.0</v>
      </c>
      <c r="B137" s="4" t="s">
        <v>2071</v>
      </c>
      <c r="C137" s="3">
        <v>22000.0</v>
      </c>
      <c r="D137" s="3" t="s">
        <v>37</v>
      </c>
    </row>
    <row r="138">
      <c r="A138" s="3">
        <v>2016.0</v>
      </c>
      <c r="B138" s="4" t="s">
        <v>53</v>
      </c>
      <c r="C138" s="3">
        <v>22000.0</v>
      </c>
      <c r="D138" s="4"/>
    </row>
    <row r="139">
      <c r="A139" s="3">
        <v>2016.0</v>
      </c>
      <c r="B139" s="4" t="s">
        <v>1336</v>
      </c>
      <c r="C139" s="3">
        <v>22000.0</v>
      </c>
      <c r="D139" s="4"/>
    </row>
    <row r="140">
      <c r="A140" s="3">
        <v>2016.0</v>
      </c>
      <c r="B140" s="4" t="s">
        <v>1739</v>
      </c>
      <c r="C140" s="3">
        <v>22000.0</v>
      </c>
      <c r="D140" s="3" t="s">
        <v>484</v>
      </c>
    </row>
    <row r="141">
      <c r="A141" s="3">
        <v>2016.0</v>
      </c>
      <c r="B141" s="4" t="s">
        <v>639</v>
      </c>
      <c r="C141" s="3">
        <v>21600.0</v>
      </c>
      <c r="D141" s="3" t="s">
        <v>3</v>
      </c>
    </row>
    <row r="142">
      <c r="A142" s="3">
        <v>2016.0</v>
      </c>
      <c r="B142" s="4" t="s">
        <v>1992</v>
      </c>
      <c r="C142" s="3">
        <v>21500.0</v>
      </c>
      <c r="D142" s="4"/>
    </row>
    <row r="143">
      <c r="A143" s="3">
        <v>2016.0</v>
      </c>
      <c r="B143" s="4" t="s">
        <v>1718</v>
      </c>
      <c r="C143" s="3">
        <v>21350.0</v>
      </c>
      <c r="D143" s="3" t="s">
        <v>32</v>
      </c>
    </row>
    <row r="144">
      <c r="A144" s="3">
        <v>2016.0</v>
      </c>
      <c r="B144" s="4" t="s">
        <v>2089</v>
      </c>
      <c r="C144" s="3">
        <v>21000.0</v>
      </c>
      <c r="D144" s="3" t="s">
        <v>32</v>
      </c>
    </row>
    <row r="145">
      <c r="A145" s="3">
        <v>2016.0</v>
      </c>
      <c r="B145" s="4" t="s">
        <v>666</v>
      </c>
      <c r="C145" s="3">
        <v>21000.0</v>
      </c>
      <c r="D145" s="4"/>
    </row>
    <row r="146">
      <c r="A146" s="3">
        <v>2016.0</v>
      </c>
      <c r="B146" s="4" t="s">
        <v>1246</v>
      </c>
      <c r="C146" s="3">
        <v>21000.0</v>
      </c>
      <c r="D146" s="4"/>
    </row>
    <row r="147">
      <c r="A147" s="3">
        <v>2016.0</v>
      </c>
      <c r="B147" s="4" t="s">
        <v>1637</v>
      </c>
      <c r="C147" s="3">
        <v>20686.0</v>
      </c>
      <c r="D147" s="4"/>
    </row>
    <row r="148">
      <c r="A148" s="3">
        <v>2016.0</v>
      </c>
      <c r="B148" s="4" t="s">
        <v>751</v>
      </c>
      <c r="C148" s="3">
        <v>20500.0</v>
      </c>
      <c r="D148" s="3" t="s">
        <v>280</v>
      </c>
    </row>
    <row r="149">
      <c r="A149" s="3">
        <v>2016.0</v>
      </c>
      <c r="B149" s="4" t="s">
        <v>2215</v>
      </c>
      <c r="C149" s="3">
        <v>20500.0</v>
      </c>
      <c r="D149" s="3" t="s">
        <v>37</v>
      </c>
    </row>
    <row r="150">
      <c r="A150" s="3">
        <v>2016.0</v>
      </c>
      <c r="B150" s="4" t="s">
        <v>82</v>
      </c>
      <c r="C150" s="3">
        <v>20060.0</v>
      </c>
      <c r="D150" s="4"/>
    </row>
    <row r="151">
      <c r="A151" s="3">
        <v>2016.0</v>
      </c>
      <c r="B151" s="4" t="s">
        <v>2328</v>
      </c>
      <c r="C151" s="3">
        <v>19500.0</v>
      </c>
      <c r="D151" s="3" t="s">
        <v>6</v>
      </c>
    </row>
    <row r="152">
      <c r="A152" s="3">
        <v>2016.0</v>
      </c>
      <c r="B152" s="4" t="s">
        <v>14</v>
      </c>
      <c r="C152" s="3">
        <v>19000.0</v>
      </c>
      <c r="D152" s="3" t="s">
        <v>16</v>
      </c>
    </row>
    <row r="153">
      <c r="A153" s="3">
        <v>2016.0</v>
      </c>
      <c r="B153" s="4" t="s">
        <v>790</v>
      </c>
      <c r="C153" s="3">
        <v>19000.0</v>
      </c>
      <c r="D153" s="4"/>
    </row>
    <row r="154">
      <c r="A154" s="3">
        <v>2016.0</v>
      </c>
      <c r="B154" s="4" t="s">
        <v>1859</v>
      </c>
      <c r="C154" s="3">
        <v>19000.0</v>
      </c>
      <c r="D154" s="4"/>
    </row>
    <row r="155">
      <c r="A155" s="3">
        <v>2016.0</v>
      </c>
      <c r="B155" s="4" t="s">
        <v>1421</v>
      </c>
      <c r="C155" s="3">
        <v>18800.0</v>
      </c>
      <c r="D155" s="3" t="s">
        <v>6</v>
      </c>
    </row>
    <row r="156">
      <c r="A156" s="3">
        <v>2016.0</v>
      </c>
      <c r="B156" s="4" t="s">
        <v>1604</v>
      </c>
      <c r="C156" s="3">
        <v>17528.0</v>
      </c>
      <c r="D156" s="4"/>
    </row>
    <row r="157">
      <c r="A157" s="3">
        <v>2016.0</v>
      </c>
      <c r="B157" s="4" t="s">
        <v>929</v>
      </c>
      <c r="C157" s="3">
        <v>17500.0</v>
      </c>
      <c r="D157" s="4"/>
    </row>
    <row r="158">
      <c r="A158" s="3">
        <v>2016.0</v>
      </c>
      <c r="B158" s="4" t="s">
        <v>937</v>
      </c>
      <c r="C158" s="3">
        <v>17000.0</v>
      </c>
      <c r="D158" s="4"/>
    </row>
    <row r="159">
      <c r="A159" s="3">
        <v>2016.0</v>
      </c>
      <c r="B159" s="4" t="s">
        <v>1624</v>
      </c>
      <c r="C159" s="3">
        <v>17000.0</v>
      </c>
      <c r="D159" s="4"/>
    </row>
    <row r="160">
      <c r="A160" s="3">
        <v>2016.0</v>
      </c>
      <c r="B160" s="4" t="s">
        <v>2022</v>
      </c>
      <c r="C160" s="3">
        <v>17000.0</v>
      </c>
      <c r="D160" s="3" t="s">
        <v>32</v>
      </c>
    </row>
    <row r="161">
      <c r="A161" s="3">
        <v>2016.0</v>
      </c>
      <c r="B161" s="4" t="s">
        <v>1811</v>
      </c>
      <c r="C161" s="3">
        <v>16770.0</v>
      </c>
      <c r="D161" s="3" t="s">
        <v>3</v>
      </c>
    </row>
    <row r="162">
      <c r="A162" s="3">
        <v>2016.0</v>
      </c>
      <c r="B162" s="4" t="s">
        <v>2049</v>
      </c>
      <c r="C162" s="3">
        <v>16628.76</v>
      </c>
      <c r="D162" s="4"/>
    </row>
    <row r="163">
      <c r="A163" s="3">
        <v>2016.0</v>
      </c>
      <c r="B163" s="4" t="s">
        <v>939</v>
      </c>
      <c r="C163" s="3">
        <v>16000.0</v>
      </c>
      <c r="D163" s="4"/>
    </row>
    <row r="164">
      <c r="A164" s="3">
        <v>2016.0</v>
      </c>
      <c r="B164" s="4" t="s">
        <v>2250</v>
      </c>
      <c r="C164" s="3">
        <v>16000.0</v>
      </c>
      <c r="D164" s="3" t="s">
        <v>6</v>
      </c>
    </row>
    <row r="165">
      <c r="A165" s="3">
        <v>2016.0</v>
      </c>
      <c r="B165" s="4" t="s">
        <v>1194</v>
      </c>
      <c r="C165" s="3">
        <v>16000.0</v>
      </c>
      <c r="D165" s="4"/>
    </row>
    <row r="166">
      <c r="A166" s="3">
        <v>2016.0</v>
      </c>
      <c r="B166" s="4" t="s">
        <v>1315</v>
      </c>
      <c r="C166" s="3">
        <v>16000.0</v>
      </c>
      <c r="D166" s="3" t="s">
        <v>3</v>
      </c>
    </row>
    <row r="167">
      <c r="A167" s="3">
        <v>2016.0</v>
      </c>
      <c r="B167" s="4" t="s">
        <v>2051</v>
      </c>
      <c r="C167" s="3">
        <v>15920.46</v>
      </c>
      <c r="D167" s="4"/>
    </row>
    <row r="168">
      <c r="A168" s="3">
        <v>2016.0</v>
      </c>
      <c r="B168" s="4" t="s">
        <v>811</v>
      </c>
      <c r="C168" s="3">
        <v>15800.0</v>
      </c>
      <c r="D168" s="3" t="s">
        <v>6</v>
      </c>
    </row>
    <row r="169">
      <c r="A169" s="3">
        <v>2016.0</v>
      </c>
      <c r="B169" s="4" t="s">
        <v>278</v>
      </c>
      <c r="C169" s="3">
        <v>15500.0</v>
      </c>
      <c r="D169" s="3" t="s">
        <v>280</v>
      </c>
    </row>
    <row r="170">
      <c r="A170" s="3">
        <v>2016.0</v>
      </c>
      <c r="B170" s="4" t="s">
        <v>1096</v>
      </c>
      <c r="C170" s="3">
        <v>15500.0</v>
      </c>
      <c r="D170" s="3" t="s">
        <v>3</v>
      </c>
    </row>
    <row r="171">
      <c r="A171" s="3">
        <v>2016.0</v>
      </c>
      <c r="B171" s="4" t="s">
        <v>203</v>
      </c>
      <c r="C171" s="3">
        <v>15280.0</v>
      </c>
      <c r="D171" s="4"/>
    </row>
    <row r="172">
      <c r="A172" s="3">
        <v>2016.0</v>
      </c>
      <c r="B172" s="4" t="s">
        <v>145</v>
      </c>
      <c r="C172" s="3">
        <v>15000.0</v>
      </c>
      <c r="D172" s="4"/>
    </row>
    <row r="173">
      <c r="A173" s="3">
        <v>2016.0</v>
      </c>
      <c r="B173" s="4" t="s">
        <v>687</v>
      </c>
      <c r="C173" s="3">
        <v>15000.0</v>
      </c>
      <c r="D173" s="3" t="s">
        <v>6</v>
      </c>
    </row>
    <row r="174">
      <c r="A174" s="3">
        <v>2016.0</v>
      </c>
      <c r="B174" s="4" t="s">
        <v>715</v>
      </c>
      <c r="C174" s="3">
        <v>15000.0</v>
      </c>
      <c r="D174" s="4"/>
    </row>
    <row r="175">
      <c r="A175" s="3">
        <v>2016.0</v>
      </c>
      <c r="B175" s="4" t="s">
        <v>2231</v>
      </c>
      <c r="C175" s="3">
        <v>15000.0</v>
      </c>
      <c r="D175" s="3" t="s">
        <v>3</v>
      </c>
    </row>
    <row r="176">
      <c r="A176" s="3">
        <v>2016.0</v>
      </c>
      <c r="B176" s="4" t="s">
        <v>2241</v>
      </c>
      <c r="C176" s="3">
        <v>15000.0</v>
      </c>
      <c r="D176" s="3" t="s">
        <v>3</v>
      </c>
    </row>
    <row r="177">
      <c r="A177" s="3">
        <v>2016.0</v>
      </c>
      <c r="B177" s="4" t="s">
        <v>1145</v>
      </c>
      <c r="C177" s="3">
        <v>15000.0</v>
      </c>
      <c r="D177" s="3" t="s">
        <v>668</v>
      </c>
    </row>
    <row r="178">
      <c r="A178" s="3">
        <v>2016.0</v>
      </c>
      <c r="B178" s="4" t="s">
        <v>1358</v>
      </c>
      <c r="C178" s="3">
        <v>15000.0</v>
      </c>
      <c r="D178" s="3" t="s">
        <v>32</v>
      </c>
    </row>
    <row r="179">
      <c r="A179" s="3">
        <v>2016.0</v>
      </c>
      <c r="B179" s="4" t="s">
        <v>1932</v>
      </c>
      <c r="C179" s="3">
        <v>15000.0</v>
      </c>
      <c r="D179" s="4"/>
    </row>
    <row r="180">
      <c r="A180" s="3">
        <v>2016.0</v>
      </c>
      <c r="B180" s="4" t="s">
        <v>757</v>
      </c>
      <c r="C180" s="3">
        <v>14800.0</v>
      </c>
      <c r="D180" s="4"/>
    </row>
    <row r="181">
      <c r="A181" s="3">
        <v>2016.0</v>
      </c>
      <c r="B181" s="4" t="s">
        <v>1063</v>
      </c>
      <c r="C181" s="3">
        <v>14800.0</v>
      </c>
      <c r="D181" s="4"/>
    </row>
    <row r="182">
      <c r="A182" s="3">
        <v>2016.0</v>
      </c>
      <c r="B182" s="4" t="s">
        <v>1566</v>
      </c>
      <c r="C182" s="3">
        <v>14653.49</v>
      </c>
      <c r="D182" s="3" t="s">
        <v>32</v>
      </c>
    </row>
    <row r="183">
      <c r="A183" s="3">
        <v>2016.0</v>
      </c>
      <c r="B183" s="4" t="s">
        <v>663</v>
      </c>
      <c r="C183" s="3">
        <v>14500.0</v>
      </c>
      <c r="D183" s="3" t="s">
        <v>176</v>
      </c>
    </row>
    <row r="184">
      <c r="A184" s="3">
        <v>2016.0</v>
      </c>
      <c r="B184" s="4" t="s">
        <v>1039</v>
      </c>
      <c r="C184" s="3">
        <v>14000.0</v>
      </c>
      <c r="D184" s="3" t="s">
        <v>3</v>
      </c>
    </row>
    <row r="185">
      <c r="A185" s="3">
        <v>2016.0</v>
      </c>
      <c r="B185" s="4" t="s">
        <v>1277</v>
      </c>
      <c r="C185" s="3">
        <v>14000.0</v>
      </c>
      <c r="D185" s="3" t="s">
        <v>16</v>
      </c>
    </row>
    <row r="186">
      <c r="A186" s="3">
        <v>2016.0</v>
      </c>
      <c r="B186" s="4" t="s">
        <v>1405</v>
      </c>
      <c r="C186" s="3">
        <v>14000.0</v>
      </c>
      <c r="D186" s="4"/>
    </row>
    <row r="187">
      <c r="A187" s="3">
        <v>2016.0</v>
      </c>
      <c r="B187" s="4" t="s">
        <v>1496</v>
      </c>
      <c r="C187" s="3">
        <v>14000.0</v>
      </c>
      <c r="D187" s="3" t="s">
        <v>29</v>
      </c>
    </row>
    <row r="188">
      <c r="A188" s="3">
        <v>2016.0</v>
      </c>
      <c r="B188" s="4" t="s">
        <v>1662</v>
      </c>
      <c r="C188" s="3">
        <v>14000.0</v>
      </c>
      <c r="D188" s="4"/>
    </row>
    <row r="189">
      <c r="A189" s="3">
        <v>2016.0</v>
      </c>
      <c r="B189" s="4" t="s">
        <v>2190</v>
      </c>
      <c r="C189" s="3">
        <v>13600.0</v>
      </c>
      <c r="D189" s="3" t="s">
        <v>37</v>
      </c>
    </row>
    <row r="190">
      <c r="A190" s="3">
        <v>2016.0</v>
      </c>
      <c r="B190" s="4" t="s">
        <v>2242</v>
      </c>
      <c r="C190" s="3">
        <v>13050.0</v>
      </c>
      <c r="D190" s="3" t="s">
        <v>37</v>
      </c>
    </row>
    <row r="191">
      <c r="A191" s="3">
        <v>2016.0</v>
      </c>
      <c r="B191" s="4" t="s">
        <v>1348</v>
      </c>
      <c r="C191" s="3">
        <v>13000.0</v>
      </c>
      <c r="D191" s="4"/>
    </row>
    <row r="192">
      <c r="A192" s="3">
        <v>2016.0</v>
      </c>
      <c r="B192" s="4" t="s">
        <v>2333</v>
      </c>
      <c r="C192" s="3">
        <v>13000.0</v>
      </c>
      <c r="D192" s="3" t="s">
        <v>6</v>
      </c>
    </row>
    <row r="193">
      <c r="A193" s="3">
        <v>2016.0</v>
      </c>
      <c r="B193" s="4" t="s">
        <v>2061</v>
      </c>
      <c r="C193" s="3">
        <v>13000.0</v>
      </c>
      <c r="D193" s="4"/>
    </row>
    <row r="194">
      <c r="A194" s="3">
        <v>2016.0</v>
      </c>
      <c r="B194" s="4" t="s">
        <v>171</v>
      </c>
      <c r="C194" s="3">
        <v>12000.0</v>
      </c>
      <c r="D194" s="3" t="s">
        <v>6</v>
      </c>
    </row>
    <row r="195">
      <c r="A195" s="3">
        <v>2016.0</v>
      </c>
      <c r="B195" s="4" t="s">
        <v>1248</v>
      </c>
      <c r="C195" s="3">
        <v>12000.0</v>
      </c>
      <c r="D195" s="4"/>
    </row>
    <row r="196">
      <c r="A196" s="3">
        <v>2016.0</v>
      </c>
      <c r="B196" s="4" t="s">
        <v>1561</v>
      </c>
      <c r="C196" s="3">
        <v>12000.0</v>
      </c>
      <c r="D196" s="3" t="s">
        <v>6</v>
      </c>
    </row>
    <row r="197">
      <c r="A197" s="3">
        <v>2016.0</v>
      </c>
      <c r="B197" s="4" t="s">
        <v>1907</v>
      </c>
      <c r="C197" s="3">
        <v>12000.0</v>
      </c>
      <c r="D197" s="4"/>
    </row>
    <row r="198">
      <c r="A198" s="3">
        <v>2016.0</v>
      </c>
      <c r="B198" s="4" t="s">
        <v>1406</v>
      </c>
      <c r="C198" s="3">
        <v>11950.0</v>
      </c>
      <c r="D198" s="3" t="s">
        <v>32</v>
      </c>
    </row>
    <row r="199">
      <c r="A199" s="3">
        <v>2016.0</v>
      </c>
      <c r="B199" s="4" t="s">
        <v>722</v>
      </c>
      <c r="C199" s="3">
        <v>11620.0</v>
      </c>
      <c r="D199" s="4"/>
    </row>
    <row r="200">
      <c r="A200" s="3">
        <v>2016.0</v>
      </c>
      <c r="B200" s="4" t="s">
        <v>683</v>
      </c>
      <c r="C200" s="3">
        <v>11500.0</v>
      </c>
      <c r="D200" s="3" t="s">
        <v>29</v>
      </c>
    </row>
    <row r="201">
      <c r="A201" s="3">
        <v>2016.0</v>
      </c>
      <c r="B201" s="4" t="s">
        <v>2200</v>
      </c>
      <c r="C201" s="3">
        <v>11500.0</v>
      </c>
      <c r="D201" s="3" t="s">
        <v>3</v>
      </c>
    </row>
    <row r="202">
      <c r="A202" s="3">
        <v>2016.0</v>
      </c>
      <c r="B202" s="4" t="s">
        <v>1515</v>
      </c>
      <c r="C202" s="3">
        <v>11500.0</v>
      </c>
      <c r="D202" s="3" t="s">
        <v>16</v>
      </c>
    </row>
    <row r="203">
      <c r="A203" s="3">
        <v>2016.0</v>
      </c>
      <c r="B203" s="4" t="s">
        <v>931</v>
      </c>
      <c r="C203" s="3">
        <v>11380.0</v>
      </c>
      <c r="D203" s="3" t="s">
        <v>3</v>
      </c>
    </row>
    <row r="204">
      <c r="A204" s="3">
        <v>2016.0</v>
      </c>
      <c r="B204" s="4" t="s">
        <v>965</v>
      </c>
      <c r="C204" s="3">
        <v>11176.0</v>
      </c>
      <c r="D204" s="4"/>
    </row>
    <row r="205">
      <c r="A205" s="3">
        <v>2016.0</v>
      </c>
      <c r="B205" s="4" t="s">
        <v>138</v>
      </c>
      <c r="C205" s="3">
        <v>11011.0</v>
      </c>
      <c r="D205" s="4"/>
    </row>
    <row r="206">
      <c r="A206" s="3">
        <v>2016.0</v>
      </c>
      <c r="B206" s="4" t="s">
        <v>84</v>
      </c>
      <c r="C206" s="3">
        <v>11000.0</v>
      </c>
      <c r="D206" s="3" t="s">
        <v>26</v>
      </c>
    </row>
    <row r="207">
      <c r="A207" s="3">
        <v>2016.0</v>
      </c>
      <c r="B207" s="4" t="s">
        <v>2127</v>
      </c>
      <c r="C207" s="3">
        <v>11000.0</v>
      </c>
      <c r="D207" s="3" t="s">
        <v>6</v>
      </c>
    </row>
    <row r="208">
      <c r="A208" s="3">
        <v>2016.0</v>
      </c>
      <c r="B208" s="4" t="s">
        <v>845</v>
      </c>
      <c r="C208" s="3">
        <v>11000.0</v>
      </c>
      <c r="D208" s="4"/>
    </row>
    <row r="209">
      <c r="A209" s="3">
        <v>2016.0</v>
      </c>
      <c r="B209" s="4" t="s">
        <v>956</v>
      </c>
      <c r="C209" s="3">
        <v>10730.0</v>
      </c>
      <c r="D209" s="4"/>
    </row>
    <row r="210">
      <c r="A210" s="3">
        <v>2016.0</v>
      </c>
      <c r="B210" s="4" t="s">
        <v>2059</v>
      </c>
      <c r="C210" s="3">
        <v>10536.77</v>
      </c>
      <c r="D210" s="4"/>
    </row>
    <row r="211">
      <c r="A211" s="3">
        <v>2016.0</v>
      </c>
      <c r="B211" s="4" t="s">
        <v>1288</v>
      </c>
      <c r="C211" s="3">
        <v>10083.0</v>
      </c>
      <c r="D211" s="3" t="s">
        <v>32</v>
      </c>
    </row>
    <row r="212">
      <c r="A212" s="3">
        <v>2016.0</v>
      </c>
      <c r="B212" s="4" t="s">
        <v>2075</v>
      </c>
      <c r="C212" s="3">
        <v>10000.0</v>
      </c>
      <c r="D212" s="3" t="s">
        <v>3</v>
      </c>
    </row>
    <row r="213">
      <c r="A213" s="3">
        <v>2016.0</v>
      </c>
      <c r="B213" s="4" t="s">
        <v>2144</v>
      </c>
      <c r="C213" s="3">
        <v>10000.0</v>
      </c>
      <c r="D213" s="3" t="s">
        <v>16</v>
      </c>
    </row>
    <row r="214">
      <c r="A214" s="3">
        <v>2016.0</v>
      </c>
      <c r="B214" s="4" t="s">
        <v>2197</v>
      </c>
      <c r="C214" s="3">
        <v>10000.0</v>
      </c>
      <c r="D214" s="3" t="s">
        <v>3</v>
      </c>
    </row>
    <row r="215">
      <c r="A215" s="3">
        <v>2016.0</v>
      </c>
      <c r="B215" s="4" t="s">
        <v>756</v>
      </c>
      <c r="C215" s="3">
        <v>10000.0</v>
      </c>
      <c r="D215" s="4"/>
    </row>
    <row r="216">
      <c r="A216" s="3">
        <v>2016.0</v>
      </c>
      <c r="B216" s="4" t="s">
        <v>1002</v>
      </c>
      <c r="C216" s="3">
        <v>10000.0</v>
      </c>
      <c r="D216" s="3" t="s">
        <v>3</v>
      </c>
    </row>
    <row r="217">
      <c r="A217" s="3">
        <v>2016.0</v>
      </c>
      <c r="B217" s="4" t="s">
        <v>1278</v>
      </c>
      <c r="C217" s="3">
        <v>10000.0</v>
      </c>
      <c r="D217" s="4"/>
    </row>
    <row r="218">
      <c r="A218" s="3">
        <v>2016.0</v>
      </c>
      <c r="B218" s="4" t="s">
        <v>1331</v>
      </c>
      <c r="C218" s="3">
        <v>10000.0</v>
      </c>
      <c r="D218" s="3" t="s">
        <v>32</v>
      </c>
    </row>
    <row r="219">
      <c r="A219" s="3">
        <v>2016.0</v>
      </c>
      <c r="B219" s="4" t="s">
        <v>1609</v>
      </c>
      <c r="C219" s="3">
        <v>10000.0</v>
      </c>
      <c r="D219" s="3" t="s">
        <v>32</v>
      </c>
    </row>
    <row r="220">
      <c r="A220" s="3">
        <v>2016.0</v>
      </c>
      <c r="B220" s="4" t="s">
        <v>1626</v>
      </c>
      <c r="C220" s="3">
        <v>10000.0</v>
      </c>
      <c r="D220" s="3" t="s">
        <v>29</v>
      </c>
    </row>
    <row r="221">
      <c r="A221" s="3">
        <v>2016.0</v>
      </c>
      <c r="B221" s="4" t="s">
        <v>1692</v>
      </c>
      <c r="C221" s="3">
        <v>10000.0</v>
      </c>
      <c r="D221" s="3" t="s">
        <v>1693</v>
      </c>
    </row>
    <row r="222">
      <c r="A222" s="3">
        <v>2016.0</v>
      </c>
      <c r="B222" s="4" t="s">
        <v>1735</v>
      </c>
      <c r="C222" s="3">
        <v>10000.0</v>
      </c>
      <c r="D222" s="4"/>
    </row>
    <row r="223">
      <c r="A223" s="3">
        <v>2016.0</v>
      </c>
      <c r="B223" s="4" t="s">
        <v>1759</v>
      </c>
      <c r="C223" s="3">
        <v>10000.0</v>
      </c>
      <c r="D223" s="3" t="s">
        <v>6</v>
      </c>
    </row>
    <row r="224">
      <c r="A224" s="3">
        <v>2016.0</v>
      </c>
      <c r="B224" s="4" t="s">
        <v>1764</v>
      </c>
      <c r="C224" s="3">
        <v>10000.0</v>
      </c>
      <c r="D224" s="3" t="s">
        <v>3</v>
      </c>
    </row>
    <row r="225">
      <c r="A225" s="3">
        <v>2016.0</v>
      </c>
      <c r="B225" s="4" t="s">
        <v>1833</v>
      </c>
      <c r="C225" s="3">
        <v>10000.0</v>
      </c>
      <c r="D225" s="3" t="s">
        <v>3</v>
      </c>
    </row>
    <row r="226">
      <c r="A226" s="3">
        <v>2016.0</v>
      </c>
      <c r="B226" s="4" t="s">
        <v>1850</v>
      </c>
      <c r="C226" s="3">
        <v>10000.0</v>
      </c>
      <c r="D226" s="3" t="s">
        <v>26</v>
      </c>
    </row>
    <row r="227">
      <c r="A227" s="3">
        <v>2016.0</v>
      </c>
      <c r="B227" s="4" t="s">
        <v>1880</v>
      </c>
      <c r="C227" s="3">
        <v>10000.0</v>
      </c>
      <c r="D227" s="3" t="s">
        <v>3</v>
      </c>
    </row>
    <row r="228">
      <c r="A228" s="3">
        <v>2016.0</v>
      </c>
      <c r="B228" s="4" t="s">
        <v>1805</v>
      </c>
      <c r="C228" s="3">
        <v>9980.0</v>
      </c>
      <c r="D228" s="3" t="s">
        <v>32</v>
      </c>
    </row>
    <row r="229">
      <c r="A229" s="3">
        <v>2016.0</v>
      </c>
      <c r="B229" s="4" t="s">
        <v>180</v>
      </c>
      <c r="C229" s="3">
        <v>9880.0</v>
      </c>
      <c r="D229" s="4"/>
    </row>
    <row r="230">
      <c r="A230" s="3">
        <v>2016.0</v>
      </c>
      <c r="B230" s="4" t="s">
        <v>1766</v>
      </c>
      <c r="C230" s="3">
        <v>9750.0</v>
      </c>
      <c r="D230" s="3" t="s">
        <v>32</v>
      </c>
    </row>
    <row r="231">
      <c r="A231" s="3">
        <v>2016.0</v>
      </c>
      <c r="B231" s="4" t="s">
        <v>984</v>
      </c>
      <c r="C231" s="3">
        <v>9600.0</v>
      </c>
      <c r="D231" s="4"/>
    </row>
    <row r="232">
      <c r="A232" s="3">
        <v>2016.0</v>
      </c>
      <c r="B232" s="4" t="s">
        <v>1744</v>
      </c>
      <c r="C232" s="3">
        <v>9520.0</v>
      </c>
      <c r="D232" s="4"/>
    </row>
    <row r="233">
      <c r="A233" s="3">
        <v>2016.0</v>
      </c>
      <c r="B233" s="4" t="s">
        <v>1013</v>
      </c>
      <c r="C233" s="3">
        <v>9500.0</v>
      </c>
      <c r="D233" s="3" t="s">
        <v>6</v>
      </c>
    </row>
    <row r="234">
      <c r="A234" s="3">
        <v>2016.0</v>
      </c>
      <c r="B234" s="4" t="s">
        <v>1512</v>
      </c>
      <c r="C234" s="3">
        <v>9500.0</v>
      </c>
      <c r="D234" s="3" t="s">
        <v>6</v>
      </c>
    </row>
    <row r="235">
      <c r="A235" s="3">
        <v>2016.0</v>
      </c>
      <c r="B235" s="4" t="s">
        <v>2304</v>
      </c>
      <c r="C235" s="3">
        <v>9500.0</v>
      </c>
      <c r="D235" s="3" t="s">
        <v>3</v>
      </c>
    </row>
    <row r="236">
      <c r="A236" s="3">
        <v>2016.0</v>
      </c>
      <c r="B236" s="4" t="s">
        <v>312</v>
      </c>
      <c r="C236" s="3">
        <v>9400.0</v>
      </c>
      <c r="D236" s="4"/>
    </row>
    <row r="237">
      <c r="A237" s="3">
        <v>2016.0</v>
      </c>
      <c r="B237" s="4" t="s">
        <v>1264</v>
      </c>
      <c r="C237" s="3">
        <v>9000.0</v>
      </c>
      <c r="D237" s="4"/>
    </row>
    <row r="238">
      <c r="A238" s="3">
        <v>2016.0</v>
      </c>
      <c r="B238" s="4" t="s">
        <v>1304</v>
      </c>
      <c r="C238" s="3">
        <v>9000.0</v>
      </c>
      <c r="D238" s="3" t="s">
        <v>3</v>
      </c>
    </row>
    <row r="239">
      <c r="A239" s="3">
        <v>2016.0</v>
      </c>
      <c r="B239" s="4" t="s">
        <v>2270</v>
      </c>
      <c r="C239" s="3">
        <v>9000.0</v>
      </c>
      <c r="D239" s="3" t="s">
        <v>37</v>
      </c>
    </row>
    <row r="240">
      <c r="A240" s="3">
        <v>2016.0</v>
      </c>
      <c r="B240" s="4" t="s">
        <v>1499</v>
      </c>
      <c r="C240" s="3">
        <v>9000.0</v>
      </c>
      <c r="D240" s="3" t="s">
        <v>32</v>
      </c>
    </row>
    <row r="241">
      <c r="A241" s="3">
        <v>2016.0</v>
      </c>
      <c r="B241" s="4" t="s">
        <v>2280</v>
      </c>
      <c r="C241" s="3">
        <v>9000.0</v>
      </c>
      <c r="D241" s="3" t="s">
        <v>6</v>
      </c>
    </row>
    <row r="242">
      <c r="A242" s="3">
        <v>2016.0</v>
      </c>
      <c r="B242" s="4" t="s">
        <v>2031</v>
      </c>
      <c r="C242" s="3">
        <v>9000.0</v>
      </c>
      <c r="D242" s="4"/>
    </row>
    <row r="243">
      <c r="A243" s="3">
        <v>2016.0</v>
      </c>
      <c r="B243" s="4" t="s">
        <v>299</v>
      </c>
      <c r="C243" s="3">
        <v>8907.0</v>
      </c>
      <c r="D243" s="3" t="s">
        <v>6</v>
      </c>
    </row>
    <row r="244">
      <c r="A244" s="3">
        <v>2016.0</v>
      </c>
      <c r="B244" s="4" t="s">
        <v>824</v>
      </c>
      <c r="C244" s="3">
        <v>8800.0</v>
      </c>
      <c r="D244" s="4"/>
    </row>
    <row r="245">
      <c r="A245" s="3">
        <v>2016.0</v>
      </c>
      <c r="B245" s="4" t="s">
        <v>1401</v>
      </c>
      <c r="C245" s="3">
        <v>8640.0</v>
      </c>
      <c r="D245" s="4"/>
    </row>
    <row r="246">
      <c r="A246" s="3">
        <v>2016.0</v>
      </c>
      <c r="B246" s="4" t="s">
        <v>117</v>
      </c>
      <c r="C246" s="3">
        <v>8605.0</v>
      </c>
      <c r="D246" s="4"/>
    </row>
    <row r="247">
      <c r="A247" s="3">
        <v>2016.0</v>
      </c>
      <c r="B247" s="4" t="s">
        <v>633</v>
      </c>
      <c r="C247" s="3">
        <v>8500.0</v>
      </c>
      <c r="D247" s="3" t="s">
        <v>3</v>
      </c>
    </row>
    <row r="248">
      <c r="A248" s="3">
        <v>2016.0</v>
      </c>
      <c r="B248" s="4" t="s">
        <v>2119</v>
      </c>
      <c r="C248" s="3">
        <v>8400.0</v>
      </c>
      <c r="D248" s="4"/>
    </row>
    <row r="249">
      <c r="A249" s="3">
        <v>2016.0</v>
      </c>
      <c r="B249" s="4" t="s">
        <v>1234</v>
      </c>
      <c r="C249" s="3">
        <v>8308.0</v>
      </c>
      <c r="D249" s="3" t="s">
        <v>26</v>
      </c>
    </row>
    <row r="250">
      <c r="A250" s="3">
        <v>2016.0</v>
      </c>
      <c r="B250" s="4" t="s">
        <v>2002</v>
      </c>
      <c r="C250" s="3">
        <v>8300.0</v>
      </c>
      <c r="D250" s="3" t="s">
        <v>6</v>
      </c>
    </row>
    <row r="251">
      <c r="A251" s="3">
        <v>2016.0</v>
      </c>
      <c r="B251" s="4" t="s">
        <v>745</v>
      </c>
      <c r="C251" s="3">
        <v>8200.0</v>
      </c>
      <c r="D251" s="3" t="s">
        <v>3</v>
      </c>
    </row>
    <row r="252">
      <c r="A252" s="3">
        <v>2016.0</v>
      </c>
      <c r="B252" s="4" t="s">
        <v>622</v>
      </c>
      <c r="C252" s="3">
        <v>8000.0</v>
      </c>
      <c r="D252" s="3" t="s">
        <v>32</v>
      </c>
    </row>
    <row r="253">
      <c r="A253" s="3">
        <v>2016.0</v>
      </c>
      <c r="B253" s="4" t="s">
        <v>900</v>
      </c>
      <c r="C253" s="3">
        <v>8000.0</v>
      </c>
      <c r="D253" s="4"/>
    </row>
    <row r="254">
      <c r="A254" s="3">
        <v>2016.0</v>
      </c>
      <c r="B254" s="4" t="s">
        <v>915</v>
      </c>
      <c r="C254" s="3">
        <v>8000.0</v>
      </c>
      <c r="D254" s="4"/>
    </row>
    <row r="255">
      <c r="A255" s="3">
        <v>2016.0</v>
      </c>
      <c r="B255" s="4" t="s">
        <v>977</v>
      </c>
      <c r="C255" s="3">
        <v>8000.0</v>
      </c>
      <c r="D255" s="4"/>
    </row>
    <row r="256">
      <c r="A256" s="3">
        <v>2016.0</v>
      </c>
      <c r="B256" s="4" t="s">
        <v>994</v>
      </c>
      <c r="C256" s="3">
        <v>8000.0</v>
      </c>
      <c r="D256" s="4"/>
    </row>
    <row r="257">
      <c r="A257" s="3">
        <v>2016.0</v>
      </c>
      <c r="B257" s="4" t="s">
        <v>1321</v>
      </c>
      <c r="C257" s="3">
        <v>8000.0</v>
      </c>
      <c r="D257" s="4"/>
    </row>
    <row r="258">
      <c r="A258" s="3">
        <v>2016.0</v>
      </c>
      <c r="B258" s="4" t="s">
        <v>1351</v>
      </c>
      <c r="C258" s="3">
        <v>8000.0</v>
      </c>
      <c r="D258" s="4"/>
    </row>
    <row r="259">
      <c r="A259" s="3">
        <v>2016.0</v>
      </c>
      <c r="B259" s="4" t="s">
        <v>1414</v>
      </c>
      <c r="C259" s="3">
        <v>8000.0</v>
      </c>
      <c r="D259" s="4"/>
    </row>
    <row r="260">
      <c r="A260" s="3">
        <v>2016.0</v>
      </c>
      <c r="B260" s="4" t="s">
        <v>1890</v>
      </c>
      <c r="C260" s="3">
        <v>8000.0</v>
      </c>
      <c r="D260" s="3" t="s">
        <v>3</v>
      </c>
    </row>
    <row r="261">
      <c r="A261" s="3">
        <v>2016.0</v>
      </c>
      <c r="B261" s="4" t="s">
        <v>2315</v>
      </c>
      <c r="C261" s="3">
        <v>8000.0</v>
      </c>
      <c r="D261" s="4"/>
    </row>
    <row r="262">
      <c r="A262" s="3">
        <v>2016.0</v>
      </c>
      <c r="B262" s="4" t="s">
        <v>158</v>
      </c>
      <c r="C262" s="3">
        <v>7932.0</v>
      </c>
      <c r="D262" s="4"/>
    </row>
    <row r="263">
      <c r="A263" s="3">
        <v>2016.0</v>
      </c>
      <c r="B263" s="4" t="s">
        <v>988</v>
      </c>
      <c r="C263" s="3">
        <v>7800.0</v>
      </c>
      <c r="D263" s="3" t="s">
        <v>280</v>
      </c>
    </row>
    <row r="264">
      <c r="A264" s="3">
        <v>2016.0</v>
      </c>
      <c r="B264" s="4" t="s">
        <v>1606</v>
      </c>
      <c r="C264" s="3">
        <v>7800.0</v>
      </c>
      <c r="D264" s="3" t="s">
        <v>3</v>
      </c>
    </row>
    <row r="265">
      <c r="A265" s="3">
        <v>2016.0</v>
      </c>
      <c r="B265" s="4" t="s">
        <v>2312</v>
      </c>
      <c r="C265" s="3">
        <v>7800.0</v>
      </c>
      <c r="D265" s="4"/>
    </row>
    <row r="266">
      <c r="A266" s="3">
        <v>2016.0</v>
      </c>
      <c r="B266" s="4" t="s">
        <v>2070</v>
      </c>
      <c r="C266" s="3">
        <v>7600.0</v>
      </c>
      <c r="D266" s="3" t="s">
        <v>32</v>
      </c>
    </row>
    <row r="267">
      <c r="A267" s="3">
        <v>2016.0</v>
      </c>
      <c r="B267" s="4" t="s">
        <v>2048</v>
      </c>
      <c r="C267" s="3">
        <v>7600.0</v>
      </c>
      <c r="D267" s="4"/>
    </row>
    <row r="268">
      <c r="A268" s="3">
        <v>2016.0</v>
      </c>
      <c r="B268" s="4" t="s">
        <v>164</v>
      </c>
      <c r="C268" s="3">
        <v>7500.0</v>
      </c>
      <c r="D268" s="4"/>
    </row>
    <row r="269">
      <c r="A269" s="3">
        <v>2016.0</v>
      </c>
      <c r="B269" s="4" t="s">
        <v>1420</v>
      </c>
      <c r="C269" s="3">
        <v>7500.0</v>
      </c>
      <c r="D269" s="3" t="s">
        <v>6</v>
      </c>
    </row>
    <row r="270">
      <c r="A270" s="3">
        <v>2016.0</v>
      </c>
      <c r="B270" s="4" t="s">
        <v>322</v>
      </c>
      <c r="C270" s="3">
        <v>7475.0</v>
      </c>
      <c r="D270" s="3" t="s">
        <v>32</v>
      </c>
    </row>
    <row r="271">
      <c r="A271" s="3">
        <v>2016.0</v>
      </c>
      <c r="B271" s="4" t="s">
        <v>1293</v>
      </c>
      <c r="C271" s="3">
        <v>7370.0</v>
      </c>
      <c r="D271" s="3" t="s">
        <v>29</v>
      </c>
    </row>
    <row r="272">
      <c r="A272" s="3">
        <v>2016.0</v>
      </c>
      <c r="B272" s="4" t="s">
        <v>702</v>
      </c>
      <c r="C272" s="3">
        <v>7300.0</v>
      </c>
      <c r="D272" s="3" t="s">
        <v>32</v>
      </c>
    </row>
    <row r="273">
      <c r="A273" s="3">
        <v>2016.0</v>
      </c>
      <c r="B273" s="4" t="s">
        <v>1747</v>
      </c>
      <c r="C273" s="3">
        <v>7100.0</v>
      </c>
      <c r="D273" s="3" t="s">
        <v>6</v>
      </c>
    </row>
    <row r="274">
      <c r="A274" s="3">
        <v>2016.0</v>
      </c>
      <c r="B274" s="4" t="s">
        <v>532</v>
      </c>
      <c r="C274" s="3">
        <v>7000.0</v>
      </c>
      <c r="D274" s="3" t="s">
        <v>3</v>
      </c>
    </row>
    <row r="275">
      <c r="A275" s="3">
        <v>2016.0</v>
      </c>
      <c r="B275" s="4" t="s">
        <v>659</v>
      </c>
      <c r="C275" s="3">
        <v>7000.0</v>
      </c>
      <c r="D275" s="3" t="s">
        <v>6</v>
      </c>
    </row>
    <row r="276">
      <c r="A276" s="3">
        <v>2016.0</v>
      </c>
      <c r="B276" s="4" t="s">
        <v>2198</v>
      </c>
      <c r="C276" s="3">
        <v>7000.0</v>
      </c>
      <c r="D276" s="4"/>
    </row>
    <row r="277">
      <c r="A277" s="3">
        <v>2016.0</v>
      </c>
      <c r="B277" s="4" t="s">
        <v>755</v>
      </c>
      <c r="C277" s="3">
        <v>7000.0</v>
      </c>
      <c r="D277" s="3" t="s">
        <v>3</v>
      </c>
    </row>
    <row r="278">
      <c r="A278" s="3">
        <v>2016.0</v>
      </c>
      <c r="B278" s="4" t="s">
        <v>1243</v>
      </c>
      <c r="C278" s="3">
        <v>7000.0</v>
      </c>
      <c r="D278" s="3" t="s">
        <v>26</v>
      </c>
    </row>
    <row r="279">
      <c r="A279" s="3">
        <v>2016.0</v>
      </c>
      <c r="B279" s="4" t="s">
        <v>1392</v>
      </c>
      <c r="C279" s="3">
        <v>7000.0</v>
      </c>
      <c r="D279" s="4"/>
    </row>
    <row r="280">
      <c r="A280" s="3">
        <v>2016.0</v>
      </c>
      <c r="B280" s="4" t="s">
        <v>1536</v>
      </c>
      <c r="C280" s="3">
        <v>7000.0</v>
      </c>
      <c r="D280" s="4"/>
    </row>
    <row r="281">
      <c r="A281" s="3">
        <v>2016.0</v>
      </c>
      <c r="B281" s="4" t="s">
        <v>2047</v>
      </c>
      <c r="C281" s="3">
        <v>7000.0</v>
      </c>
      <c r="D281" s="4"/>
    </row>
    <row r="282">
      <c r="A282" s="3">
        <v>2016.0</v>
      </c>
      <c r="B282" s="4" t="s">
        <v>2009</v>
      </c>
      <c r="C282" s="3">
        <v>6900.0</v>
      </c>
      <c r="D282" s="3" t="s">
        <v>6</v>
      </c>
    </row>
    <row r="283">
      <c r="A283" s="3">
        <v>2016.0</v>
      </c>
      <c r="B283" s="4" t="s">
        <v>2313</v>
      </c>
      <c r="C283" s="3">
        <v>6800.0</v>
      </c>
      <c r="D283" s="4"/>
    </row>
    <row r="284">
      <c r="A284" s="3">
        <v>2016.0</v>
      </c>
      <c r="B284" s="4" t="s">
        <v>57</v>
      </c>
      <c r="C284" s="3">
        <v>6500.0</v>
      </c>
      <c r="D284" s="4"/>
    </row>
    <row r="285">
      <c r="A285" s="3">
        <v>2016.0</v>
      </c>
      <c r="B285" s="4" t="s">
        <v>1460</v>
      </c>
      <c r="C285" s="3">
        <v>6500.0</v>
      </c>
      <c r="D285" s="4"/>
    </row>
    <row r="286">
      <c r="A286" s="3">
        <v>2016.0</v>
      </c>
      <c r="B286" s="4" t="s">
        <v>1896</v>
      </c>
      <c r="C286" s="3">
        <v>6500.0</v>
      </c>
      <c r="D286" s="4"/>
    </row>
    <row r="287">
      <c r="A287" s="3">
        <v>2016.0</v>
      </c>
      <c r="B287" s="4" t="s">
        <v>1911</v>
      </c>
      <c r="C287" s="3">
        <v>6500.0</v>
      </c>
      <c r="D287" s="4"/>
    </row>
    <row r="288">
      <c r="A288" s="3">
        <v>2016.0</v>
      </c>
      <c r="B288" s="4" t="s">
        <v>1994</v>
      </c>
      <c r="C288" s="3">
        <v>6500.0</v>
      </c>
      <c r="D288" s="4"/>
    </row>
    <row r="289">
      <c r="A289" s="3">
        <v>2016.0</v>
      </c>
      <c r="B289" s="4" t="s">
        <v>2272</v>
      </c>
      <c r="C289" s="3">
        <v>6400.0</v>
      </c>
      <c r="D289" s="3" t="s">
        <v>580</v>
      </c>
    </row>
    <row r="290">
      <c r="A290" s="3">
        <v>2016.0</v>
      </c>
      <c r="B290" s="4" t="s">
        <v>1773</v>
      </c>
      <c r="C290" s="3">
        <v>6182.0</v>
      </c>
      <c r="D290" s="4"/>
    </row>
    <row r="291">
      <c r="A291" s="3">
        <v>2016.0</v>
      </c>
      <c r="B291" s="4" t="s">
        <v>1938</v>
      </c>
      <c r="C291" s="3">
        <v>6100.0</v>
      </c>
      <c r="D291" s="4"/>
    </row>
    <row r="292">
      <c r="A292" s="3">
        <v>2016.0</v>
      </c>
      <c r="B292" s="4" t="s">
        <v>71</v>
      </c>
      <c r="C292" s="3">
        <v>6000.0</v>
      </c>
      <c r="D292" s="3" t="s">
        <v>3</v>
      </c>
    </row>
    <row r="293">
      <c r="A293" s="3">
        <v>2016.0</v>
      </c>
      <c r="B293" s="4" t="s">
        <v>793</v>
      </c>
      <c r="C293" s="3">
        <v>6000.0</v>
      </c>
      <c r="D293" s="4"/>
    </row>
    <row r="294">
      <c r="A294" s="3">
        <v>2016.0</v>
      </c>
      <c r="B294" s="4" t="s">
        <v>921</v>
      </c>
      <c r="C294" s="3">
        <v>6000.0</v>
      </c>
      <c r="D294" s="4"/>
    </row>
    <row r="295">
      <c r="A295" s="3">
        <v>2016.0</v>
      </c>
      <c r="B295" s="4" t="s">
        <v>927</v>
      </c>
      <c r="C295" s="3">
        <v>6000.0</v>
      </c>
      <c r="D295" s="4"/>
    </row>
    <row r="296">
      <c r="A296" s="3">
        <v>2016.0</v>
      </c>
      <c r="B296" s="4" t="s">
        <v>1279</v>
      </c>
      <c r="C296" s="3">
        <v>6000.0</v>
      </c>
      <c r="D296" s="4"/>
    </row>
    <row r="297">
      <c r="A297" s="3">
        <v>2016.0</v>
      </c>
      <c r="B297" s="4" t="s">
        <v>1343</v>
      </c>
      <c r="C297" s="3">
        <v>6000.0</v>
      </c>
      <c r="D297" s="4"/>
    </row>
    <row r="298">
      <c r="A298" s="3">
        <v>2016.0</v>
      </c>
      <c r="B298" s="4" t="s">
        <v>1367</v>
      </c>
      <c r="C298" s="3">
        <v>6000.0</v>
      </c>
      <c r="D298" s="3" t="s">
        <v>3</v>
      </c>
    </row>
    <row r="299">
      <c r="A299" s="3">
        <v>2016.0</v>
      </c>
      <c r="B299" s="4" t="s">
        <v>1475</v>
      </c>
      <c r="C299" s="3">
        <v>6000.0</v>
      </c>
      <c r="D299" s="4"/>
    </row>
    <row r="300">
      <c r="A300" s="3">
        <v>2016.0</v>
      </c>
      <c r="B300" s="4" t="s">
        <v>1568</v>
      </c>
      <c r="C300" s="3">
        <v>6000.0</v>
      </c>
      <c r="D300" s="3" t="s">
        <v>32</v>
      </c>
    </row>
    <row r="301">
      <c r="A301" s="3">
        <v>2016.0</v>
      </c>
      <c r="B301" s="4" t="s">
        <v>1581</v>
      </c>
      <c r="C301" s="3">
        <v>6000.0</v>
      </c>
      <c r="D301" s="3" t="s">
        <v>32</v>
      </c>
    </row>
    <row r="302">
      <c r="A302" s="3">
        <v>2016.0</v>
      </c>
      <c r="B302" s="4" t="s">
        <v>1754</v>
      </c>
      <c r="C302" s="3">
        <v>6000.0</v>
      </c>
      <c r="D302" s="3" t="s">
        <v>32</v>
      </c>
    </row>
    <row r="303">
      <c r="A303" s="3">
        <v>2016.0</v>
      </c>
      <c r="B303" s="4" t="s">
        <v>442</v>
      </c>
      <c r="C303" s="3">
        <v>5900.0</v>
      </c>
      <c r="D303" s="4"/>
    </row>
    <row r="304">
      <c r="A304" s="3">
        <v>2016.0</v>
      </c>
      <c r="B304" s="4" t="s">
        <v>717</v>
      </c>
      <c r="C304" s="3">
        <v>5750.0</v>
      </c>
      <c r="D304" s="3" t="s">
        <v>3</v>
      </c>
    </row>
    <row r="305">
      <c r="A305" s="3">
        <v>2016.0</v>
      </c>
      <c r="B305" s="4" t="s">
        <v>330</v>
      </c>
      <c r="C305" s="3">
        <v>5688.0</v>
      </c>
      <c r="D305" s="3" t="s">
        <v>6</v>
      </c>
    </row>
    <row r="306">
      <c r="A306" s="3">
        <v>2016.0</v>
      </c>
      <c r="B306" s="4" t="s">
        <v>78</v>
      </c>
      <c r="C306" s="3">
        <v>5500.0</v>
      </c>
      <c r="D306" s="4"/>
    </row>
    <row r="307">
      <c r="A307" s="3">
        <v>2016.0</v>
      </c>
      <c r="B307" s="4" t="s">
        <v>238</v>
      </c>
      <c r="C307" s="3">
        <v>5500.0</v>
      </c>
      <c r="D307" s="3" t="s">
        <v>3</v>
      </c>
    </row>
    <row r="308">
      <c r="A308" s="3">
        <v>2016.0</v>
      </c>
      <c r="B308" s="4" t="s">
        <v>1192</v>
      </c>
      <c r="C308" s="3">
        <v>5500.0</v>
      </c>
      <c r="D308" s="3" t="s">
        <v>29</v>
      </c>
    </row>
    <row r="309">
      <c r="A309" s="3">
        <v>2016.0</v>
      </c>
      <c r="B309" s="4" t="s">
        <v>1594</v>
      </c>
      <c r="C309" s="3">
        <v>5500.0</v>
      </c>
      <c r="D309" s="3" t="s">
        <v>6</v>
      </c>
    </row>
    <row r="310">
      <c r="A310" s="3">
        <v>2016.0</v>
      </c>
      <c r="B310" s="4" t="s">
        <v>1989</v>
      </c>
      <c r="C310" s="3">
        <v>5394.0</v>
      </c>
      <c r="D310" s="3" t="s">
        <v>6</v>
      </c>
    </row>
    <row r="311">
      <c r="A311" s="3">
        <v>2016.0</v>
      </c>
      <c r="B311" s="4" t="s">
        <v>2073</v>
      </c>
      <c r="C311" s="3">
        <v>5000.0</v>
      </c>
      <c r="D311" s="4"/>
    </row>
    <row r="312">
      <c r="A312" s="3">
        <v>2016.0</v>
      </c>
      <c r="B312" s="4" t="s">
        <v>63</v>
      </c>
      <c r="C312" s="3">
        <v>5000.0</v>
      </c>
      <c r="D312" s="3" t="s">
        <v>3</v>
      </c>
    </row>
    <row r="313">
      <c r="A313" s="3">
        <v>2016.0</v>
      </c>
      <c r="B313" s="4" t="s">
        <v>76</v>
      </c>
      <c r="C313" s="3">
        <v>5000.0</v>
      </c>
      <c r="D313" s="3" t="s">
        <v>6</v>
      </c>
    </row>
    <row r="314">
      <c r="A314" s="3">
        <v>2016.0</v>
      </c>
      <c r="B314" s="4" t="s">
        <v>399</v>
      </c>
      <c r="C314" s="3">
        <v>5000.0</v>
      </c>
      <c r="D314" s="4"/>
    </row>
    <row r="315">
      <c r="A315" s="3">
        <v>2016.0</v>
      </c>
      <c r="B315" s="4" t="s">
        <v>427</v>
      </c>
      <c r="C315" s="3">
        <v>5000.0</v>
      </c>
      <c r="D315" s="3" t="s">
        <v>29</v>
      </c>
    </row>
    <row r="316">
      <c r="A316" s="3">
        <v>2016.0</v>
      </c>
      <c r="B316" s="4" t="s">
        <v>472</v>
      </c>
      <c r="C316" s="3">
        <v>5000.0</v>
      </c>
      <c r="D316" s="3" t="s">
        <v>32</v>
      </c>
    </row>
    <row r="317">
      <c r="A317" s="3">
        <v>2016.0</v>
      </c>
      <c r="B317" s="4" t="s">
        <v>681</v>
      </c>
      <c r="C317" s="3">
        <v>5000.0</v>
      </c>
      <c r="D317" s="4"/>
    </row>
    <row r="318">
      <c r="A318" s="3">
        <v>2016.0</v>
      </c>
      <c r="B318" s="4" t="s">
        <v>2208</v>
      </c>
      <c r="C318" s="3">
        <v>5000.0</v>
      </c>
      <c r="D318" s="4"/>
    </row>
    <row r="319">
      <c r="A319" s="3">
        <v>2016.0</v>
      </c>
      <c r="B319" s="3" t="s">
        <v>2632</v>
      </c>
      <c r="C319" s="3">
        <v>5000.0</v>
      </c>
      <c r="D319" s="4"/>
    </row>
    <row r="320">
      <c r="A320" s="3">
        <v>2016.0</v>
      </c>
      <c r="B320" s="4" t="s">
        <v>2235</v>
      </c>
      <c r="C320" s="3">
        <v>5000.0</v>
      </c>
      <c r="D320" s="4"/>
    </row>
    <row r="321">
      <c r="A321" s="3">
        <v>2016.0</v>
      </c>
      <c r="B321" s="4" t="s">
        <v>1113</v>
      </c>
      <c r="C321" s="3">
        <v>5000.0</v>
      </c>
      <c r="D321" s="4"/>
    </row>
    <row r="322">
      <c r="A322" s="3">
        <v>2016.0</v>
      </c>
      <c r="B322" s="4" t="s">
        <v>1214</v>
      </c>
      <c r="C322" s="3">
        <v>5000.0</v>
      </c>
      <c r="D322" s="3" t="s">
        <v>29</v>
      </c>
    </row>
    <row r="323">
      <c r="A323" s="3">
        <v>2016.0</v>
      </c>
      <c r="B323" s="4" t="s">
        <v>1417</v>
      </c>
      <c r="C323" s="3">
        <v>5000.0</v>
      </c>
      <c r="D323" s="4"/>
    </row>
    <row r="324">
      <c r="A324" s="3">
        <v>2016.0</v>
      </c>
      <c r="B324" s="4" t="s">
        <v>1431</v>
      </c>
      <c r="C324" s="3">
        <v>5000.0</v>
      </c>
      <c r="D324" s="4"/>
    </row>
    <row r="325">
      <c r="A325" s="3">
        <v>2016.0</v>
      </c>
      <c r="B325" s="4" t="s">
        <v>1468</v>
      </c>
      <c r="C325" s="3">
        <v>5000.0</v>
      </c>
      <c r="D325" s="4"/>
    </row>
    <row r="326">
      <c r="A326" s="3">
        <v>2016.0</v>
      </c>
      <c r="B326" s="4" t="s">
        <v>1565</v>
      </c>
      <c r="C326" s="3">
        <v>5000.0</v>
      </c>
      <c r="D326" s="4"/>
    </row>
    <row r="327">
      <c r="A327" s="3">
        <v>2016.0</v>
      </c>
      <c r="B327" s="4" t="s">
        <v>1975</v>
      </c>
      <c r="C327" s="3">
        <v>5000.0</v>
      </c>
      <c r="D327" s="4"/>
    </row>
    <row r="328">
      <c r="A328" s="3">
        <v>2016.0</v>
      </c>
      <c r="B328" s="4" t="s">
        <v>2018</v>
      </c>
      <c r="C328" s="3">
        <v>5000.0</v>
      </c>
      <c r="D328" s="4"/>
    </row>
    <row r="329">
      <c r="A329" s="3">
        <v>2016.0</v>
      </c>
      <c r="B329" s="4" t="s">
        <v>283</v>
      </c>
      <c r="C329" s="3">
        <v>5000.0</v>
      </c>
      <c r="D329" s="4"/>
    </row>
    <row r="330">
      <c r="A330" s="3">
        <v>2016.0</v>
      </c>
      <c r="B330" s="4" t="s">
        <v>314</v>
      </c>
      <c r="C330" s="3">
        <v>4880.0</v>
      </c>
      <c r="D330" s="3" t="s">
        <v>6</v>
      </c>
    </row>
    <row r="331">
      <c r="A331" s="3">
        <v>2016.0</v>
      </c>
      <c r="B331" s="4" t="s">
        <v>199</v>
      </c>
      <c r="C331" s="3">
        <v>4850.0</v>
      </c>
      <c r="D331" s="4"/>
    </row>
    <row r="332">
      <c r="A332" s="3">
        <v>2016.0</v>
      </c>
      <c r="B332" s="4" t="s">
        <v>2121</v>
      </c>
      <c r="C332" s="3">
        <v>4700.0</v>
      </c>
      <c r="D332" s="4"/>
    </row>
    <row r="333">
      <c r="A333" s="3">
        <v>2016.0</v>
      </c>
      <c r="B333" s="4" t="s">
        <v>1427</v>
      </c>
      <c r="C333" s="3">
        <v>4634.0</v>
      </c>
      <c r="D333" s="3" t="s">
        <v>6</v>
      </c>
    </row>
    <row r="334">
      <c r="A334" s="3">
        <v>2016.0</v>
      </c>
      <c r="B334" s="4" t="s">
        <v>559</v>
      </c>
      <c r="C334" s="3">
        <v>4600.0</v>
      </c>
      <c r="D334" s="3" t="s">
        <v>6</v>
      </c>
    </row>
    <row r="335">
      <c r="A335" s="3">
        <v>2016.0</v>
      </c>
      <c r="B335" s="4" t="s">
        <v>586</v>
      </c>
      <c r="C335" s="3">
        <v>4550.0</v>
      </c>
      <c r="D335" s="3" t="s">
        <v>6</v>
      </c>
    </row>
    <row r="336">
      <c r="A336" s="3">
        <v>2016.0</v>
      </c>
      <c r="B336" s="4" t="s">
        <v>46</v>
      </c>
      <c r="C336" s="3">
        <v>4500.0</v>
      </c>
      <c r="D336" s="3" t="s">
        <v>3</v>
      </c>
    </row>
    <row r="337">
      <c r="A337" s="3">
        <v>2016.0</v>
      </c>
      <c r="B337" s="4" t="s">
        <v>2078</v>
      </c>
      <c r="C337" s="3">
        <v>4500.0</v>
      </c>
      <c r="D337" s="3" t="s">
        <v>3</v>
      </c>
    </row>
    <row r="338">
      <c r="A338" s="3">
        <v>2016.0</v>
      </c>
      <c r="B338" s="4" t="s">
        <v>1047</v>
      </c>
      <c r="C338" s="3">
        <v>4500.0</v>
      </c>
      <c r="D338" s="4"/>
    </row>
    <row r="339">
      <c r="A339" s="3">
        <v>2016.0</v>
      </c>
      <c r="B339" s="4" t="s">
        <v>1242</v>
      </c>
      <c r="C339" s="3">
        <v>4500.0</v>
      </c>
      <c r="D339" s="3" t="s">
        <v>3</v>
      </c>
    </row>
    <row r="340">
      <c r="A340" s="3">
        <v>2016.0</v>
      </c>
      <c r="B340" s="4" t="s">
        <v>1324</v>
      </c>
      <c r="C340" s="3">
        <v>4500.0</v>
      </c>
      <c r="D340" s="3" t="s">
        <v>16</v>
      </c>
    </row>
    <row r="341">
      <c r="A341" s="3">
        <v>2016.0</v>
      </c>
      <c r="B341" s="4" t="s">
        <v>1393</v>
      </c>
      <c r="C341" s="3">
        <v>4500.0</v>
      </c>
      <c r="D341" s="3" t="s">
        <v>6</v>
      </c>
    </row>
    <row r="342">
      <c r="A342" s="3">
        <v>2016.0</v>
      </c>
      <c r="B342" s="4" t="s">
        <v>1541</v>
      </c>
      <c r="C342" s="3">
        <v>4500.0</v>
      </c>
      <c r="D342" s="3" t="s">
        <v>6</v>
      </c>
    </row>
    <row r="343">
      <c r="A343" s="3">
        <v>2016.0</v>
      </c>
      <c r="B343" s="4" t="s">
        <v>1577</v>
      </c>
      <c r="C343" s="3">
        <v>4500.0</v>
      </c>
      <c r="D343" s="4"/>
    </row>
    <row r="344">
      <c r="A344" s="3">
        <v>2016.0</v>
      </c>
      <c r="B344" s="4" t="s">
        <v>316</v>
      </c>
      <c r="C344" s="3">
        <v>4420.0</v>
      </c>
      <c r="D344" s="4"/>
    </row>
    <row r="345">
      <c r="A345" s="3">
        <v>2016.0</v>
      </c>
      <c r="B345" s="4" t="s">
        <v>2133</v>
      </c>
      <c r="C345" s="3">
        <v>4400.0</v>
      </c>
      <c r="D345" s="4"/>
    </row>
    <row r="346">
      <c r="A346" s="3">
        <v>2016.0</v>
      </c>
      <c r="B346" s="4" t="s">
        <v>1783</v>
      </c>
      <c r="C346" s="3">
        <v>4400.0</v>
      </c>
      <c r="D346" s="4"/>
    </row>
    <row r="347">
      <c r="A347" s="3">
        <v>2016.0</v>
      </c>
      <c r="B347" s="4" t="s">
        <v>2334</v>
      </c>
      <c r="C347" s="3">
        <v>4300.0</v>
      </c>
      <c r="D347" s="3" t="s">
        <v>6</v>
      </c>
    </row>
    <row r="348">
      <c r="A348" s="3">
        <v>2016.0</v>
      </c>
      <c r="B348" s="4" t="s">
        <v>1146</v>
      </c>
      <c r="C348" s="3">
        <v>4250.0</v>
      </c>
      <c r="D348" s="3" t="s">
        <v>29</v>
      </c>
    </row>
    <row r="349">
      <c r="A349" s="3">
        <v>2016.0</v>
      </c>
      <c r="B349" s="4" t="s">
        <v>2130</v>
      </c>
      <c r="C349" s="3">
        <v>4072.0</v>
      </c>
      <c r="D349" s="3" t="s">
        <v>6</v>
      </c>
    </row>
    <row r="350">
      <c r="A350" s="3">
        <v>2016.0</v>
      </c>
      <c r="B350" s="4" t="s">
        <v>114</v>
      </c>
      <c r="C350" s="3">
        <v>4000.0</v>
      </c>
      <c r="D350" s="4"/>
    </row>
    <row r="351">
      <c r="A351" s="3">
        <v>2016.0</v>
      </c>
      <c r="B351" s="4" t="s">
        <v>173</v>
      </c>
      <c r="C351" s="3">
        <v>4000.0</v>
      </c>
      <c r="D351" s="4"/>
    </row>
    <row r="352">
      <c r="A352" s="3">
        <v>2016.0</v>
      </c>
      <c r="B352" s="4" t="s">
        <v>2102</v>
      </c>
      <c r="C352" s="3">
        <v>4000.0</v>
      </c>
      <c r="D352" s="3" t="s">
        <v>3</v>
      </c>
    </row>
    <row r="353">
      <c r="A353" s="3">
        <v>2016.0</v>
      </c>
      <c r="B353" s="4" t="s">
        <v>2109</v>
      </c>
      <c r="C353" s="3">
        <v>4000.0</v>
      </c>
      <c r="D353" s="3" t="s">
        <v>3</v>
      </c>
    </row>
    <row r="354">
      <c r="A354" s="3">
        <v>2016.0</v>
      </c>
      <c r="B354" s="4" t="s">
        <v>2128</v>
      </c>
      <c r="C354" s="3">
        <v>4000.0</v>
      </c>
      <c r="D354" s="4"/>
    </row>
    <row r="355">
      <c r="A355" s="3">
        <v>2016.0</v>
      </c>
      <c r="B355" s="4" t="s">
        <v>452</v>
      </c>
      <c r="C355" s="3">
        <v>4000.0</v>
      </c>
      <c r="D355" s="3" t="s">
        <v>3</v>
      </c>
    </row>
    <row r="356">
      <c r="A356" s="3">
        <v>2016.0</v>
      </c>
      <c r="B356" s="4" t="s">
        <v>547</v>
      </c>
      <c r="C356" s="3">
        <v>4000.0</v>
      </c>
      <c r="D356" s="4"/>
    </row>
    <row r="357">
      <c r="A357" s="3">
        <v>2016.0</v>
      </c>
      <c r="B357" s="4" t="s">
        <v>675</v>
      </c>
      <c r="C357" s="3">
        <v>4000.0</v>
      </c>
      <c r="D357" s="3" t="s">
        <v>484</v>
      </c>
    </row>
    <row r="358">
      <c r="A358" s="3">
        <v>2016.0</v>
      </c>
      <c r="B358" s="4" t="s">
        <v>2194</v>
      </c>
      <c r="C358" s="3">
        <v>4000.0</v>
      </c>
      <c r="D358" s="3" t="s">
        <v>580</v>
      </c>
    </row>
    <row r="359">
      <c r="A359" s="3">
        <v>2016.0</v>
      </c>
      <c r="B359" s="4" t="s">
        <v>990</v>
      </c>
      <c r="C359" s="3">
        <v>4000.0</v>
      </c>
      <c r="D359" s="4"/>
    </row>
    <row r="360">
      <c r="A360" s="3">
        <v>2016.0</v>
      </c>
      <c r="B360" s="4" t="s">
        <v>1011</v>
      </c>
      <c r="C360" s="3">
        <v>4000.0</v>
      </c>
      <c r="D360" s="4"/>
    </row>
    <row r="361">
      <c r="A361" s="3">
        <v>2016.0</v>
      </c>
      <c r="B361" s="4" t="s">
        <v>1035</v>
      </c>
      <c r="C361" s="3">
        <v>4000.0</v>
      </c>
      <c r="D361" s="4"/>
    </row>
    <row r="362">
      <c r="A362" s="3">
        <v>2016.0</v>
      </c>
      <c r="B362" s="4" t="s">
        <v>1043</v>
      </c>
      <c r="C362" s="3">
        <v>4000.0</v>
      </c>
      <c r="D362" s="4"/>
    </row>
    <row r="363">
      <c r="A363" s="3">
        <v>2016.0</v>
      </c>
      <c r="B363" s="4" t="s">
        <v>1069</v>
      </c>
      <c r="C363" s="3">
        <v>4000.0</v>
      </c>
      <c r="D363" s="4"/>
    </row>
    <row r="364">
      <c r="A364" s="3">
        <v>2016.0</v>
      </c>
      <c r="B364" s="4" t="s">
        <v>1193</v>
      </c>
      <c r="C364" s="3">
        <v>4000.0</v>
      </c>
      <c r="D364" s="4"/>
    </row>
    <row r="365">
      <c r="A365" s="3">
        <v>2016.0</v>
      </c>
      <c r="B365" s="4" t="s">
        <v>1287</v>
      </c>
      <c r="C365" s="3">
        <v>4000.0</v>
      </c>
      <c r="D365" s="3" t="s">
        <v>3</v>
      </c>
    </row>
    <row r="366">
      <c r="A366" s="3">
        <v>2016.0</v>
      </c>
      <c r="B366" s="4" t="s">
        <v>1314</v>
      </c>
      <c r="C366" s="3">
        <v>4000.0</v>
      </c>
      <c r="D366" s="4"/>
    </row>
    <row r="367">
      <c r="A367" s="3">
        <v>2016.0</v>
      </c>
      <c r="B367" s="4" t="s">
        <v>1436</v>
      </c>
      <c r="C367" s="3">
        <v>4000.0</v>
      </c>
      <c r="D367" s="4"/>
    </row>
    <row r="368">
      <c r="A368" s="3">
        <v>2016.0</v>
      </c>
      <c r="B368" s="4" t="s">
        <v>1451</v>
      </c>
      <c r="C368" s="3">
        <v>4000.0</v>
      </c>
      <c r="D368" s="3" t="s">
        <v>32</v>
      </c>
    </row>
    <row r="369">
      <c r="A369" s="3">
        <v>2016.0</v>
      </c>
      <c r="B369" s="4" t="s">
        <v>1547</v>
      </c>
      <c r="C369" s="3">
        <v>4000.0</v>
      </c>
      <c r="D369" s="4"/>
    </row>
    <row r="370">
      <c r="A370" s="3">
        <v>2016.0</v>
      </c>
      <c r="B370" s="4" t="s">
        <v>1610</v>
      </c>
      <c r="C370" s="3">
        <v>4000.0</v>
      </c>
      <c r="D370" s="4"/>
    </row>
    <row r="371">
      <c r="A371" s="3">
        <v>2016.0</v>
      </c>
      <c r="B371" s="4" t="s">
        <v>1611</v>
      </c>
      <c r="C371" s="3">
        <v>4000.0</v>
      </c>
      <c r="D371" s="4"/>
    </row>
    <row r="372">
      <c r="A372" s="3">
        <v>2016.0</v>
      </c>
      <c r="B372" s="4" t="s">
        <v>1628</v>
      </c>
      <c r="C372" s="3">
        <v>4000.0</v>
      </c>
      <c r="D372" s="4"/>
    </row>
    <row r="373">
      <c r="A373" s="3">
        <v>2016.0</v>
      </c>
      <c r="B373" s="4" t="s">
        <v>1658</v>
      </c>
      <c r="C373" s="3">
        <v>4000.0</v>
      </c>
      <c r="D373" s="4"/>
    </row>
    <row r="374">
      <c r="A374" s="3">
        <v>2016.0</v>
      </c>
      <c r="B374" s="4" t="s">
        <v>1709</v>
      </c>
      <c r="C374" s="3">
        <v>4000.0</v>
      </c>
      <c r="D374" s="4"/>
    </row>
    <row r="375">
      <c r="A375" s="3">
        <v>2016.0</v>
      </c>
      <c r="B375" s="4" t="s">
        <v>1808</v>
      </c>
      <c r="C375" s="3">
        <v>4000.0</v>
      </c>
      <c r="D375" s="4"/>
    </row>
    <row r="376">
      <c r="A376" s="3">
        <v>2016.0</v>
      </c>
      <c r="B376" s="4" t="s">
        <v>1858</v>
      </c>
      <c r="C376" s="3">
        <v>4000.0</v>
      </c>
      <c r="D376" s="4"/>
    </row>
    <row r="377">
      <c r="A377" s="3">
        <v>2016.0</v>
      </c>
      <c r="B377" s="4" t="s">
        <v>1969</v>
      </c>
      <c r="C377" s="3">
        <v>4000.0</v>
      </c>
      <c r="D377" s="4"/>
    </row>
    <row r="378">
      <c r="A378" s="3">
        <v>2016.0</v>
      </c>
      <c r="B378" s="4" t="s">
        <v>906</v>
      </c>
      <c r="C378" s="3">
        <v>3917.0</v>
      </c>
      <c r="D378" s="4"/>
    </row>
    <row r="379">
      <c r="A379" s="3">
        <v>2016.0</v>
      </c>
      <c r="B379" s="4" t="s">
        <v>1723</v>
      </c>
      <c r="C379" s="3">
        <v>3800.0</v>
      </c>
      <c r="D379" s="4"/>
    </row>
    <row r="380">
      <c r="A380" s="3">
        <v>2016.0</v>
      </c>
      <c r="B380" s="4" t="s">
        <v>652</v>
      </c>
      <c r="C380" s="3">
        <v>3700.0</v>
      </c>
      <c r="D380" s="3" t="s">
        <v>29</v>
      </c>
    </row>
    <row r="381">
      <c r="A381" s="3">
        <v>2016.0</v>
      </c>
      <c r="B381" s="4" t="s">
        <v>1782</v>
      </c>
      <c r="C381" s="3">
        <v>3700.0</v>
      </c>
      <c r="D381" s="3" t="s">
        <v>32</v>
      </c>
    </row>
    <row r="382">
      <c r="A382" s="3">
        <v>2016.0</v>
      </c>
      <c r="B382" s="4" t="s">
        <v>2093</v>
      </c>
      <c r="C382" s="3">
        <v>3500.0</v>
      </c>
      <c r="D382" s="3" t="s">
        <v>3</v>
      </c>
    </row>
    <row r="383">
      <c r="A383" s="3">
        <v>2016.0</v>
      </c>
      <c r="B383" s="4" t="s">
        <v>521</v>
      </c>
      <c r="C383" s="3">
        <v>3500.0</v>
      </c>
      <c r="D383" s="4"/>
    </row>
    <row r="384">
      <c r="A384" s="3">
        <v>2016.0</v>
      </c>
      <c r="B384" s="4" t="s">
        <v>609</v>
      </c>
      <c r="C384" s="3">
        <v>3500.0</v>
      </c>
      <c r="D384" s="3" t="s">
        <v>29</v>
      </c>
    </row>
    <row r="385">
      <c r="A385" s="3">
        <v>2016.0</v>
      </c>
      <c r="B385" s="4" t="s">
        <v>914</v>
      </c>
      <c r="C385" s="3">
        <v>3500.0</v>
      </c>
      <c r="D385" s="4"/>
    </row>
    <row r="386">
      <c r="A386" s="3">
        <v>2016.0</v>
      </c>
      <c r="B386" s="4" t="s">
        <v>1080</v>
      </c>
      <c r="C386" s="3">
        <v>3500.0</v>
      </c>
      <c r="D386" s="3" t="s">
        <v>32</v>
      </c>
    </row>
    <row r="387">
      <c r="A387" s="3">
        <v>2016.0</v>
      </c>
      <c r="B387" s="4" t="s">
        <v>1342</v>
      </c>
      <c r="C387" s="3">
        <v>3500.0</v>
      </c>
      <c r="D387" s="4"/>
    </row>
    <row r="388">
      <c r="A388" s="3">
        <v>2016.0</v>
      </c>
      <c r="B388" s="4" t="s">
        <v>1795</v>
      </c>
      <c r="C388" s="3">
        <v>3500.0</v>
      </c>
      <c r="D388" s="4"/>
    </row>
    <row r="389">
      <c r="A389" s="3">
        <v>2016.0</v>
      </c>
      <c r="B389" s="4" t="s">
        <v>1966</v>
      </c>
      <c r="C389" s="3">
        <v>3500.0</v>
      </c>
      <c r="D389" s="4"/>
    </row>
    <row r="390">
      <c r="A390" s="3">
        <v>2016.0</v>
      </c>
      <c r="B390" s="4" t="s">
        <v>1973</v>
      </c>
      <c r="C390" s="3">
        <v>3500.0</v>
      </c>
      <c r="D390" s="3" t="s">
        <v>484</v>
      </c>
    </row>
    <row r="391">
      <c r="A391" s="3">
        <v>2016.0</v>
      </c>
      <c r="B391" s="4" t="s">
        <v>2014</v>
      </c>
      <c r="C391" s="3">
        <v>3400.0</v>
      </c>
      <c r="D391" s="4"/>
    </row>
    <row r="392">
      <c r="A392" s="3">
        <v>2016.0</v>
      </c>
      <c r="B392" s="4" t="s">
        <v>1285</v>
      </c>
      <c r="C392" s="3">
        <v>3300.0</v>
      </c>
      <c r="D392" s="4"/>
    </row>
    <row r="393">
      <c r="A393" s="3">
        <v>2016.0</v>
      </c>
      <c r="B393" s="4" t="s">
        <v>213</v>
      </c>
      <c r="C393" s="3">
        <v>3220.0</v>
      </c>
      <c r="D393" s="4"/>
    </row>
    <row r="394">
      <c r="A394" s="3">
        <v>2016.0</v>
      </c>
      <c r="B394" s="4" t="s">
        <v>375</v>
      </c>
      <c r="C394" s="3">
        <v>3200.0</v>
      </c>
      <c r="D394" s="3" t="s">
        <v>6</v>
      </c>
    </row>
    <row r="395">
      <c r="A395" s="3">
        <v>2016.0</v>
      </c>
      <c r="B395" s="4" t="s">
        <v>676</v>
      </c>
      <c r="C395" s="3">
        <v>3200.0</v>
      </c>
      <c r="D395" s="3" t="s">
        <v>3</v>
      </c>
    </row>
    <row r="396">
      <c r="A396" s="3">
        <v>2016.0</v>
      </c>
      <c r="B396" s="4" t="s">
        <v>1338</v>
      </c>
      <c r="C396" s="3">
        <v>3200.0</v>
      </c>
      <c r="D396" s="3" t="s">
        <v>3</v>
      </c>
    </row>
    <row r="397">
      <c r="A397" s="3">
        <v>2016.0</v>
      </c>
      <c r="B397" s="4" t="s">
        <v>136</v>
      </c>
      <c r="C397" s="3">
        <v>3109.0</v>
      </c>
      <c r="D397" s="4"/>
    </row>
    <row r="398">
      <c r="A398" s="3">
        <v>2016.0</v>
      </c>
      <c r="B398" s="4" t="s">
        <v>2115</v>
      </c>
      <c r="C398" s="3">
        <v>3030.0</v>
      </c>
      <c r="D398" s="4"/>
    </row>
    <row r="399">
      <c r="A399" s="3">
        <v>2016.0</v>
      </c>
      <c r="B399" s="4" t="s">
        <v>21</v>
      </c>
      <c r="C399" s="3">
        <v>3000.0</v>
      </c>
      <c r="D399" s="4"/>
    </row>
    <row r="400">
      <c r="A400" s="3">
        <v>2016.0</v>
      </c>
      <c r="B400" s="4" t="s">
        <v>157</v>
      </c>
      <c r="C400" s="3">
        <v>3000.0</v>
      </c>
      <c r="D400" s="4"/>
    </row>
    <row r="401">
      <c r="A401" s="3">
        <v>2016.0</v>
      </c>
      <c r="B401" s="4" t="s">
        <v>2125</v>
      </c>
      <c r="C401" s="3">
        <v>3000.0</v>
      </c>
      <c r="D401" s="3" t="s">
        <v>6</v>
      </c>
    </row>
    <row r="402">
      <c r="A402" s="3">
        <v>2016.0</v>
      </c>
      <c r="B402" s="4" t="s">
        <v>444</v>
      </c>
      <c r="C402" s="3">
        <v>3000.0</v>
      </c>
      <c r="D402" s="4"/>
    </row>
    <row r="403">
      <c r="A403" s="3">
        <v>2016.0</v>
      </c>
      <c r="B403" s="4" t="s">
        <v>2157</v>
      </c>
      <c r="C403" s="3">
        <v>3000.0</v>
      </c>
      <c r="D403" s="4"/>
    </row>
    <row r="404">
      <c r="A404" s="3">
        <v>2016.0</v>
      </c>
      <c r="B404" s="4" t="s">
        <v>466</v>
      </c>
      <c r="C404" s="3">
        <v>3000.0</v>
      </c>
      <c r="D404" s="3" t="s">
        <v>3</v>
      </c>
    </row>
    <row r="405">
      <c r="A405" s="3">
        <v>2016.0</v>
      </c>
      <c r="B405" s="4" t="s">
        <v>480</v>
      </c>
      <c r="C405" s="3">
        <v>3000.0</v>
      </c>
      <c r="D405" s="4"/>
    </row>
    <row r="406">
      <c r="A406" s="3">
        <v>2016.0</v>
      </c>
      <c r="B406" s="4" t="s">
        <v>526</v>
      </c>
      <c r="C406" s="3">
        <v>3000.0</v>
      </c>
      <c r="D406" s="4"/>
    </row>
    <row r="407">
      <c r="A407" s="3">
        <v>2016.0</v>
      </c>
      <c r="B407" s="4" t="s">
        <v>605</v>
      </c>
      <c r="C407" s="3">
        <v>3000.0</v>
      </c>
      <c r="D407" s="3" t="s">
        <v>29</v>
      </c>
    </row>
    <row r="408">
      <c r="A408" s="3">
        <v>2016.0</v>
      </c>
      <c r="B408" s="4" t="s">
        <v>606</v>
      </c>
      <c r="C408" s="3">
        <v>3000.0</v>
      </c>
      <c r="D408" s="3" t="s">
        <v>484</v>
      </c>
    </row>
    <row r="409">
      <c r="A409" s="3">
        <v>2016.0</v>
      </c>
      <c r="B409" s="4" t="s">
        <v>643</v>
      </c>
      <c r="C409" s="3">
        <v>3000.0</v>
      </c>
      <c r="D409" s="3" t="s">
        <v>29</v>
      </c>
    </row>
    <row r="410">
      <c r="A410" s="3">
        <v>2016.0</v>
      </c>
      <c r="B410" s="4" t="s">
        <v>716</v>
      </c>
      <c r="C410" s="3">
        <v>3000.0</v>
      </c>
      <c r="D410" s="3" t="s">
        <v>32</v>
      </c>
    </row>
    <row r="411">
      <c r="A411" s="3">
        <v>2016.0</v>
      </c>
      <c r="B411" s="4" t="s">
        <v>785</v>
      </c>
      <c r="C411" s="3">
        <v>3000.0</v>
      </c>
      <c r="D411" s="4"/>
    </row>
    <row r="412">
      <c r="A412" s="3">
        <v>2016.0</v>
      </c>
      <c r="B412" s="4" t="s">
        <v>788</v>
      </c>
      <c r="C412" s="3">
        <v>3000.0</v>
      </c>
      <c r="D412" s="3" t="s">
        <v>3</v>
      </c>
    </row>
    <row r="413">
      <c r="A413" s="3">
        <v>2016.0</v>
      </c>
      <c r="B413" s="4" t="s">
        <v>797</v>
      </c>
      <c r="C413" s="3">
        <v>3000.0</v>
      </c>
      <c r="D413" s="3" t="s">
        <v>32</v>
      </c>
    </row>
    <row r="414">
      <c r="A414" s="3">
        <v>2016.0</v>
      </c>
      <c r="B414" s="4" t="s">
        <v>913</v>
      </c>
      <c r="C414" s="3">
        <v>3000.0</v>
      </c>
      <c r="D414" s="4"/>
    </row>
    <row r="415">
      <c r="A415" s="3">
        <v>2016.0</v>
      </c>
      <c r="B415" s="4" t="s">
        <v>923</v>
      </c>
      <c r="C415" s="3">
        <v>3000.0</v>
      </c>
      <c r="D415" s="4"/>
    </row>
    <row r="416">
      <c r="A416" s="3">
        <v>2016.0</v>
      </c>
      <c r="B416" s="4" t="s">
        <v>933</v>
      </c>
      <c r="C416" s="3">
        <v>3000.0</v>
      </c>
      <c r="D416" s="4"/>
    </row>
    <row r="417">
      <c r="A417" s="3">
        <v>2016.0</v>
      </c>
      <c r="B417" s="4" t="s">
        <v>986</v>
      </c>
      <c r="C417" s="3">
        <v>3000.0</v>
      </c>
      <c r="D417" s="4"/>
    </row>
    <row r="418">
      <c r="A418" s="3">
        <v>2016.0</v>
      </c>
      <c r="B418" s="4" t="s">
        <v>1007</v>
      </c>
      <c r="C418" s="3">
        <v>3000.0</v>
      </c>
      <c r="D418" s="4"/>
    </row>
    <row r="419">
      <c r="A419" s="3">
        <v>2016.0</v>
      </c>
      <c r="B419" s="4" t="s">
        <v>1060</v>
      </c>
      <c r="C419" s="3">
        <v>3000.0</v>
      </c>
      <c r="D419" s="4"/>
    </row>
    <row r="420">
      <c r="A420" s="3">
        <v>2016.0</v>
      </c>
      <c r="B420" s="4" t="s">
        <v>1088</v>
      </c>
      <c r="C420" s="3">
        <v>3000.0</v>
      </c>
      <c r="D420" s="3" t="s">
        <v>3</v>
      </c>
    </row>
    <row r="421">
      <c r="A421" s="3">
        <v>2016.0</v>
      </c>
      <c r="B421" s="4" t="s">
        <v>1135</v>
      </c>
      <c r="C421" s="3">
        <v>3000.0</v>
      </c>
      <c r="D421" s="3" t="s">
        <v>6</v>
      </c>
    </row>
    <row r="422">
      <c r="A422" s="3">
        <v>2016.0</v>
      </c>
      <c r="B422" s="4" t="s">
        <v>1165</v>
      </c>
      <c r="C422" s="3">
        <v>3000.0</v>
      </c>
      <c r="D422" s="3" t="s">
        <v>3</v>
      </c>
    </row>
    <row r="423">
      <c r="A423" s="3">
        <v>2016.0</v>
      </c>
      <c r="B423" s="4" t="s">
        <v>1223</v>
      </c>
      <c r="C423" s="3">
        <v>3000.0</v>
      </c>
      <c r="D423" s="3" t="s">
        <v>3</v>
      </c>
    </row>
    <row r="424">
      <c r="A424" s="3">
        <v>2016.0</v>
      </c>
      <c r="B424" s="4" t="s">
        <v>1244</v>
      </c>
      <c r="C424" s="3">
        <v>3000.0</v>
      </c>
      <c r="D424" s="4"/>
    </row>
    <row r="425">
      <c r="A425" s="3">
        <v>2016.0</v>
      </c>
      <c r="B425" s="4" t="s">
        <v>1247</v>
      </c>
      <c r="C425" s="3">
        <v>3000.0</v>
      </c>
      <c r="D425" s="4"/>
    </row>
    <row r="426">
      <c r="A426" s="3">
        <v>2016.0</v>
      </c>
      <c r="B426" s="4" t="s">
        <v>1281</v>
      </c>
      <c r="C426" s="3">
        <v>3000.0</v>
      </c>
      <c r="D426" s="3" t="s">
        <v>3</v>
      </c>
    </row>
    <row r="427">
      <c r="A427" s="3">
        <v>2016.0</v>
      </c>
      <c r="B427" s="4" t="s">
        <v>1290</v>
      </c>
      <c r="C427" s="3">
        <v>3000.0</v>
      </c>
      <c r="D427" s="3" t="s">
        <v>3</v>
      </c>
    </row>
    <row r="428">
      <c r="A428" s="3">
        <v>2016.0</v>
      </c>
      <c r="B428" s="4" t="s">
        <v>1308</v>
      </c>
      <c r="C428" s="3">
        <v>3000.0</v>
      </c>
      <c r="D428" s="4"/>
    </row>
    <row r="429">
      <c r="A429" s="3">
        <v>2016.0</v>
      </c>
      <c r="B429" s="4" t="s">
        <v>1326</v>
      </c>
      <c r="C429" s="3">
        <v>3000.0</v>
      </c>
      <c r="D429" s="4"/>
    </row>
    <row r="430">
      <c r="A430" s="3">
        <v>2016.0</v>
      </c>
      <c r="B430" s="4" t="s">
        <v>1337</v>
      </c>
      <c r="C430" s="3">
        <v>3000.0</v>
      </c>
      <c r="D430" s="4"/>
    </row>
    <row r="431">
      <c r="A431" s="3">
        <v>2016.0</v>
      </c>
      <c r="B431" s="4" t="s">
        <v>1368</v>
      </c>
      <c r="C431" s="3">
        <v>3000.0</v>
      </c>
      <c r="D431" s="4"/>
    </row>
    <row r="432">
      <c r="A432" s="3">
        <v>2016.0</v>
      </c>
      <c r="B432" s="4" t="s">
        <v>1381</v>
      </c>
      <c r="C432" s="3">
        <v>3000.0</v>
      </c>
      <c r="D432" s="3" t="s">
        <v>1379</v>
      </c>
    </row>
    <row r="433">
      <c r="A433" s="3">
        <v>2016.0</v>
      </c>
      <c r="B433" s="4" t="s">
        <v>1383</v>
      </c>
      <c r="C433" s="3">
        <v>3000.0</v>
      </c>
      <c r="D433" s="4"/>
    </row>
    <row r="434">
      <c r="A434" s="3">
        <v>2016.0</v>
      </c>
      <c r="B434" s="4" t="s">
        <v>1480</v>
      </c>
      <c r="C434" s="3">
        <v>3000.0</v>
      </c>
      <c r="D434" s="4"/>
    </row>
    <row r="435">
      <c r="A435" s="3">
        <v>2016.0</v>
      </c>
      <c r="B435" s="4" t="s">
        <v>1510</v>
      </c>
      <c r="C435" s="3">
        <v>3000.0</v>
      </c>
      <c r="D435" s="3" t="s">
        <v>3</v>
      </c>
    </row>
    <row r="436">
      <c r="A436" s="3">
        <v>2016.0</v>
      </c>
      <c r="B436" s="4" t="s">
        <v>1523</v>
      </c>
      <c r="C436" s="3">
        <v>3000.0</v>
      </c>
      <c r="D436" s="3" t="s">
        <v>32</v>
      </c>
    </row>
    <row r="437">
      <c r="A437" s="3">
        <v>2016.0</v>
      </c>
      <c r="B437" s="4" t="s">
        <v>1589</v>
      </c>
      <c r="C437" s="3">
        <v>3000.0</v>
      </c>
      <c r="D437" s="3" t="s">
        <v>32</v>
      </c>
    </row>
    <row r="438">
      <c r="A438" s="3">
        <v>2016.0</v>
      </c>
      <c r="B438" s="4" t="s">
        <v>1710</v>
      </c>
      <c r="C438" s="3">
        <v>3000.0</v>
      </c>
      <c r="D438" s="3" t="s">
        <v>6</v>
      </c>
    </row>
    <row r="439">
      <c r="A439" s="3">
        <v>2016.0</v>
      </c>
      <c r="B439" s="4" t="s">
        <v>1781</v>
      </c>
      <c r="C439" s="3">
        <v>3000.0</v>
      </c>
      <c r="D439" s="4"/>
    </row>
    <row r="440">
      <c r="A440" s="3">
        <v>2016.0</v>
      </c>
      <c r="B440" s="4" t="s">
        <v>1874</v>
      </c>
      <c r="C440" s="3">
        <v>3000.0</v>
      </c>
      <c r="D440" s="3" t="s">
        <v>29</v>
      </c>
    </row>
    <row r="441">
      <c r="A441" s="3">
        <v>2016.0</v>
      </c>
      <c r="B441" s="4" t="s">
        <v>1895</v>
      </c>
      <c r="C441" s="3">
        <v>3000.0</v>
      </c>
      <c r="D441" s="3" t="s">
        <v>1651</v>
      </c>
    </row>
    <row r="442">
      <c r="A442" s="3">
        <v>2016.0</v>
      </c>
      <c r="B442" s="4" t="s">
        <v>2011</v>
      </c>
      <c r="C442" s="3">
        <v>3000.0</v>
      </c>
      <c r="D442" s="3" t="s">
        <v>3</v>
      </c>
    </row>
    <row r="443">
      <c r="A443" s="3">
        <v>2016.0</v>
      </c>
      <c r="B443" s="4" t="s">
        <v>397</v>
      </c>
      <c r="C443" s="3">
        <v>2800.0</v>
      </c>
      <c r="D443" s="4"/>
    </row>
    <row r="444">
      <c r="A444" s="3">
        <v>2016.0</v>
      </c>
      <c r="B444" s="4" t="s">
        <v>1177</v>
      </c>
      <c r="C444" s="3">
        <v>2800.0</v>
      </c>
      <c r="D444" s="3" t="s">
        <v>3</v>
      </c>
    </row>
    <row r="445">
      <c r="A445" s="3">
        <v>2016.0</v>
      </c>
      <c r="B445" s="4" t="s">
        <v>1504</v>
      </c>
      <c r="C445" s="3">
        <v>2800.0</v>
      </c>
      <c r="D445" s="3" t="s">
        <v>3</v>
      </c>
    </row>
    <row r="446">
      <c r="A446" s="3">
        <v>2016.0</v>
      </c>
      <c r="B446" s="4" t="s">
        <v>166</v>
      </c>
      <c r="C446" s="3">
        <v>2700.0</v>
      </c>
      <c r="D446" s="4"/>
    </row>
    <row r="447">
      <c r="A447" s="3">
        <v>2016.0</v>
      </c>
      <c r="B447" s="4" t="s">
        <v>343</v>
      </c>
      <c r="C447" s="3">
        <v>2670.0</v>
      </c>
      <c r="D447" s="4"/>
    </row>
    <row r="448">
      <c r="A448" s="3">
        <v>2016.0</v>
      </c>
      <c r="B448" s="4" t="s">
        <v>904</v>
      </c>
      <c r="C448" s="3">
        <v>2635.0</v>
      </c>
      <c r="D448" s="4"/>
    </row>
    <row r="449">
      <c r="A449" s="3">
        <v>2016.0</v>
      </c>
      <c r="B449" s="4" t="s">
        <v>124</v>
      </c>
      <c r="C449" s="3">
        <v>2500.0</v>
      </c>
      <c r="D449" s="3" t="s">
        <v>26</v>
      </c>
    </row>
    <row r="450">
      <c r="A450" s="3">
        <v>2016.0</v>
      </c>
      <c r="B450" s="4" t="s">
        <v>168</v>
      </c>
      <c r="C450" s="3">
        <v>2500.0</v>
      </c>
      <c r="D450" s="4"/>
    </row>
    <row r="451">
      <c r="A451" s="3">
        <v>2016.0</v>
      </c>
      <c r="B451" s="4" t="s">
        <v>2153</v>
      </c>
      <c r="C451" s="3">
        <v>2500.0</v>
      </c>
      <c r="D451" s="4"/>
    </row>
    <row r="452">
      <c r="A452" s="3">
        <v>2016.0</v>
      </c>
      <c r="B452" s="4" t="s">
        <v>473</v>
      </c>
      <c r="C452" s="3">
        <v>2500.0</v>
      </c>
      <c r="D452" s="3" t="s">
        <v>3</v>
      </c>
    </row>
    <row r="453">
      <c r="A453" s="3">
        <v>2016.0</v>
      </c>
      <c r="B453" s="4" t="s">
        <v>2165</v>
      </c>
      <c r="C453" s="3">
        <v>2500.0</v>
      </c>
      <c r="D453" s="4"/>
    </row>
    <row r="454">
      <c r="A454" s="3">
        <v>2016.0</v>
      </c>
      <c r="B454" s="4" t="s">
        <v>611</v>
      </c>
      <c r="C454" s="3">
        <v>2500.0</v>
      </c>
      <c r="D454" s="4"/>
    </row>
    <row r="455">
      <c r="A455" s="3">
        <v>2016.0</v>
      </c>
      <c r="B455" s="4" t="s">
        <v>630</v>
      </c>
      <c r="C455" s="3">
        <v>2500.0</v>
      </c>
      <c r="D455" s="4"/>
    </row>
    <row r="456">
      <c r="A456" s="3">
        <v>2016.0</v>
      </c>
      <c r="B456" s="4" t="s">
        <v>636</v>
      </c>
      <c r="C456" s="3">
        <v>2500.0</v>
      </c>
      <c r="D456" s="3" t="s">
        <v>6</v>
      </c>
    </row>
    <row r="457">
      <c r="A457" s="3">
        <v>2016.0</v>
      </c>
      <c r="B457" s="4" t="s">
        <v>761</v>
      </c>
      <c r="C457" s="3">
        <v>2500.0</v>
      </c>
      <c r="D457" s="4"/>
    </row>
    <row r="458">
      <c r="A458" s="3">
        <v>2016.0</v>
      </c>
      <c r="B458" s="4" t="s">
        <v>842</v>
      </c>
      <c r="C458" s="3">
        <v>2500.0</v>
      </c>
      <c r="D458" s="4"/>
    </row>
    <row r="459">
      <c r="A459" s="3">
        <v>2016.0</v>
      </c>
      <c r="B459" s="4" t="s">
        <v>2265</v>
      </c>
      <c r="C459" s="3">
        <v>2500.0</v>
      </c>
      <c r="D459" s="3" t="s">
        <v>3</v>
      </c>
    </row>
    <row r="460">
      <c r="A460" s="3">
        <v>2016.0</v>
      </c>
      <c r="B460" s="4" t="s">
        <v>1252</v>
      </c>
      <c r="C460" s="3">
        <v>2500.0</v>
      </c>
      <c r="D460" s="4"/>
    </row>
    <row r="461">
      <c r="A461" s="3">
        <v>2016.0</v>
      </c>
      <c r="B461" s="4" t="s">
        <v>1354</v>
      </c>
      <c r="C461" s="3">
        <v>2500.0</v>
      </c>
      <c r="D461" s="3" t="s">
        <v>3</v>
      </c>
    </row>
    <row r="462">
      <c r="A462" s="3">
        <v>2016.0</v>
      </c>
      <c r="B462" s="4" t="s">
        <v>1386</v>
      </c>
      <c r="C462" s="3">
        <v>2500.0</v>
      </c>
      <c r="D462" s="3" t="s">
        <v>32</v>
      </c>
    </row>
    <row r="463">
      <c r="A463" s="3">
        <v>2016.0</v>
      </c>
      <c r="B463" s="4" t="s">
        <v>1450</v>
      </c>
      <c r="C463" s="3">
        <v>2500.0</v>
      </c>
      <c r="D463" s="3" t="s">
        <v>3</v>
      </c>
    </row>
    <row r="464">
      <c r="A464" s="3">
        <v>2016.0</v>
      </c>
      <c r="B464" s="4" t="s">
        <v>1590</v>
      </c>
      <c r="C464" s="3">
        <v>2500.0</v>
      </c>
      <c r="D464" s="4"/>
    </row>
    <row r="465">
      <c r="A465" s="3">
        <v>2016.0</v>
      </c>
      <c r="B465" s="4" t="s">
        <v>1603</v>
      </c>
      <c r="C465" s="3">
        <v>2500.0</v>
      </c>
      <c r="D465" s="3" t="s">
        <v>3</v>
      </c>
    </row>
    <row r="466">
      <c r="A466" s="3">
        <v>2016.0</v>
      </c>
      <c r="B466" s="4" t="s">
        <v>1667</v>
      </c>
      <c r="C466" s="3">
        <v>2500.0</v>
      </c>
      <c r="D466" s="4"/>
    </row>
    <row r="467">
      <c r="A467" s="3">
        <v>2016.0</v>
      </c>
      <c r="B467" s="4" t="s">
        <v>1672</v>
      </c>
      <c r="C467" s="3">
        <v>2500.0</v>
      </c>
      <c r="D467" s="4"/>
    </row>
    <row r="468">
      <c r="A468" s="3">
        <v>2016.0</v>
      </c>
      <c r="B468" s="4" t="s">
        <v>1701</v>
      </c>
      <c r="C468" s="3">
        <v>2500.0</v>
      </c>
      <c r="D468" s="3" t="s">
        <v>3</v>
      </c>
    </row>
    <row r="469">
      <c r="A469" s="3">
        <v>2016.0</v>
      </c>
      <c r="B469" s="4" t="s">
        <v>2303</v>
      </c>
      <c r="C469" s="3">
        <v>2500.0</v>
      </c>
      <c r="D469" s="3" t="s">
        <v>3</v>
      </c>
    </row>
    <row r="470">
      <c r="A470" s="3">
        <v>2016.0</v>
      </c>
      <c r="B470" s="4" t="s">
        <v>1842</v>
      </c>
      <c r="C470" s="3">
        <v>2500.0</v>
      </c>
      <c r="D470" s="3" t="s">
        <v>3</v>
      </c>
    </row>
    <row r="471">
      <c r="A471" s="3">
        <v>2016.0</v>
      </c>
      <c r="B471" s="4" t="s">
        <v>2314</v>
      </c>
      <c r="C471" s="3">
        <v>2500.0</v>
      </c>
      <c r="D471" s="4"/>
    </row>
    <row r="472">
      <c r="A472" s="3">
        <v>2016.0</v>
      </c>
      <c r="B472" s="4" t="s">
        <v>1980</v>
      </c>
      <c r="C472" s="3">
        <v>2450.0</v>
      </c>
      <c r="D472" s="4"/>
    </row>
    <row r="473">
      <c r="A473" s="3">
        <v>2016.0</v>
      </c>
      <c r="B473" s="4" t="s">
        <v>55</v>
      </c>
      <c r="C473" s="3">
        <v>2400.0</v>
      </c>
      <c r="D473" s="4"/>
    </row>
    <row r="474">
      <c r="A474" s="3">
        <v>2016.0</v>
      </c>
      <c r="B474" s="4" t="s">
        <v>843</v>
      </c>
      <c r="C474" s="3">
        <v>2300.0</v>
      </c>
      <c r="D474" s="3" t="s">
        <v>32</v>
      </c>
    </row>
    <row r="475">
      <c r="A475" s="3">
        <v>2016.0</v>
      </c>
      <c r="B475" s="4" t="s">
        <v>1470</v>
      </c>
      <c r="C475" s="3">
        <v>2250.0</v>
      </c>
      <c r="D475" s="4"/>
    </row>
    <row r="476">
      <c r="A476" s="3">
        <v>2016.0</v>
      </c>
      <c r="B476" s="4" t="s">
        <v>1092</v>
      </c>
      <c r="C476" s="3">
        <v>2200.0</v>
      </c>
      <c r="D476" s="4"/>
    </row>
    <row r="477">
      <c r="A477" s="3">
        <v>2016.0</v>
      </c>
      <c r="B477" s="4" t="s">
        <v>1897</v>
      </c>
      <c r="C477" s="3">
        <v>2200.0</v>
      </c>
      <c r="D477" s="3" t="s">
        <v>3</v>
      </c>
    </row>
    <row r="478">
      <c r="A478" s="3">
        <v>2016.0</v>
      </c>
      <c r="B478" s="4" t="s">
        <v>320</v>
      </c>
      <c r="C478" s="3">
        <v>2150.0</v>
      </c>
      <c r="D478" s="3" t="s">
        <v>6</v>
      </c>
    </row>
    <row r="479">
      <c r="A479" s="3">
        <v>2016.0</v>
      </c>
      <c r="B479" s="4" t="s">
        <v>941</v>
      </c>
      <c r="C479" s="3">
        <v>2100.0</v>
      </c>
      <c r="D479" s="4"/>
    </row>
    <row r="480">
      <c r="A480" s="3">
        <v>2016.0</v>
      </c>
      <c r="B480" s="4" t="s">
        <v>1012</v>
      </c>
      <c r="C480" s="3">
        <v>2100.0</v>
      </c>
      <c r="D480" s="3" t="s">
        <v>3</v>
      </c>
    </row>
    <row r="481">
      <c r="A481" s="3">
        <v>2016.0</v>
      </c>
      <c r="B481" s="4" t="s">
        <v>2306</v>
      </c>
      <c r="C481" s="3">
        <v>2100.0</v>
      </c>
      <c r="D481" s="4"/>
    </row>
    <row r="482">
      <c r="A482" s="3">
        <v>2016.0</v>
      </c>
      <c r="B482" s="4" t="s">
        <v>260</v>
      </c>
      <c r="C482" s="3">
        <v>2064.0</v>
      </c>
      <c r="D482" s="3" t="s">
        <v>32</v>
      </c>
    </row>
    <row r="483">
      <c r="A483" s="3">
        <v>2016.0</v>
      </c>
      <c r="B483" s="4" t="s">
        <v>318</v>
      </c>
      <c r="C483" s="3">
        <v>2055.0</v>
      </c>
      <c r="D483" s="4"/>
    </row>
    <row r="484">
      <c r="A484" s="3">
        <v>2016.0</v>
      </c>
      <c r="B484" s="4" t="s">
        <v>19</v>
      </c>
      <c r="C484" s="3">
        <v>2000.0</v>
      </c>
      <c r="D484" s="4"/>
    </row>
    <row r="485">
      <c r="A485" s="3">
        <v>2016.0</v>
      </c>
      <c r="B485" s="4" t="s">
        <v>77</v>
      </c>
      <c r="C485" s="3">
        <v>2000.0</v>
      </c>
      <c r="D485" s="4"/>
    </row>
    <row r="486">
      <c r="A486" s="3">
        <v>2016.0</v>
      </c>
      <c r="B486" s="4" t="s">
        <v>81</v>
      </c>
      <c r="C486" s="3">
        <v>2000.0</v>
      </c>
      <c r="D486" s="3" t="s">
        <v>29</v>
      </c>
    </row>
    <row r="487">
      <c r="A487" s="3">
        <v>2016.0</v>
      </c>
      <c r="B487" s="4" t="s">
        <v>133</v>
      </c>
      <c r="C487" s="3">
        <v>2000.0</v>
      </c>
      <c r="D487" s="3" t="s">
        <v>3</v>
      </c>
    </row>
    <row r="488">
      <c r="A488" s="3">
        <v>2016.0</v>
      </c>
      <c r="B488" s="4" t="s">
        <v>226</v>
      </c>
      <c r="C488" s="3">
        <v>2000.0</v>
      </c>
      <c r="D488" s="3" t="s">
        <v>3</v>
      </c>
    </row>
    <row r="489">
      <c r="A489" s="3">
        <v>2016.0</v>
      </c>
      <c r="B489" s="4" t="s">
        <v>410</v>
      </c>
      <c r="C489" s="3">
        <v>2000.0</v>
      </c>
      <c r="D489" s="4"/>
    </row>
    <row r="490">
      <c r="A490" s="3">
        <v>2016.0</v>
      </c>
      <c r="B490" s="4" t="s">
        <v>457</v>
      </c>
      <c r="C490" s="3">
        <v>2000.0</v>
      </c>
      <c r="D490" s="3" t="s">
        <v>3</v>
      </c>
    </row>
    <row r="491">
      <c r="A491" s="3">
        <v>2016.0</v>
      </c>
      <c r="B491" s="4" t="s">
        <v>601</v>
      </c>
      <c r="C491" s="3">
        <v>2000.0</v>
      </c>
      <c r="D491" s="4"/>
    </row>
    <row r="492">
      <c r="A492" s="3">
        <v>2016.0</v>
      </c>
      <c r="B492" s="4" t="s">
        <v>704</v>
      </c>
      <c r="C492" s="3">
        <v>2000.0</v>
      </c>
      <c r="D492" s="4"/>
    </row>
    <row r="493">
      <c r="A493" s="3">
        <v>2016.0</v>
      </c>
      <c r="B493" s="4" t="s">
        <v>720</v>
      </c>
      <c r="C493" s="3">
        <v>2000.0</v>
      </c>
      <c r="D493" s="4"/>
    </row>
    <row r="494">
      <c r="A494" s="3">
        <v>2016.0</v>
      </c>
      <c r="B494" s="4" t="s">
        <v>780</v>
      </c>
      <c r="C494" s="3">
        <v>2000.0</v>
      </c>
      <c r="D494" s="4"/>
    </row>
    <row r="495">
      <c r="A495" s="3">
        <v>2016.0</v>
      </c>
      <c r="B495" s="4" t="s">
        <v>847</v>
      </c>
      <c r="C495" s="3">
        <v>2000.0</v>
      </c>
      <c r="D495" s="4"/>
    </row>
    <row r="496">
      <c r="A496" s="3">
        <v>2016.0</v>
      </c>
      <c r="B496" s="4" t="s">
        <v>2216</v>
      </c>
      <c r="C496" s="3">
        <v>2000.0</v>
      </c>
      <c r="D496" s="3" t="s">
        <v>3</v>
      </c>
    </row>
    <row r="497">
      <c r="A497" s="3">
        <v>2016.0</v>
      </c>
      <c r="B497" s="4" t="s">
        <v>925</v>
      </c>
      <c r="C497" s="3">
        <v>2000.0</v>
      </c>
      <c r="D497" s="4"/>
    </row>
    <row r="498">
      <c r="A498" s="3">
        <v>2016.0</v>
      </c>
      <c r="B498" s="4" t="s">
        <v>962</v>
      </c>
      <c r="C498" s="3">
        <v>2000.0</v>
      </c>
      <c r="D498" s="3" t="s">
        <v>6</v>
      </c>
    </row>
    <row r="499">
      <c r="A499" s="3">
        <v>2016.0</v>
      </c>
      <c r="B499" s="4" t="s">
        <v>2240</v>
      </c>
      <c r="C499" s="3">
        <v>2000.0</v>
      </c>
      <c r="D499" s="3" t="s">
        <v>3</v>
      </c>
    </row>
    <row r="500">
      <c r="A500" s="3">
        <v>2016.0</v>
      </c>
      <c r="B500" s="4" t="s">
        <v>2253</v>
      </c>
      <c r="C500" s="3">
        <v>2000.0</v>
      </c>
      <c r="D500" s="4"/>
    </row>
    <row r="501">
      <c r="A501" s="3">
        <v>2016.0</v>
      </c>
      <c r="B501" s="4" t="s">
        <v>1131</v>
      </c>
      <c r="C501" s="3">
        <v>2000.0</v>
      </c>
      <c r="D501" s="3" t="s">
        <v>6</v>
      </c>
    </row>
    <row r="502">
      <c r="A502" s="3">
        <v>2016.0</v>
      </c>
      <c r="B502" s="4" t="s">
        <v>1144</v>
      </c>
      <c r="C502" s="3">
        <v>2000.0</v>
      </c>
      <c r="D502" s="4"/>
    </row>
    <row r="503">
      <c r="A503" s="3">
        <v>2016.0</v>
      </c>
      <c r="B503" s="4" t="s">
        <v>1300</v>
      </c>
      <c r="C503" s="3">
        <v>2000.0</v>
      </c>
      <c r="D503" s="3" t="s">
        <v>6</v>
      </c>
    </row>
    <row r="504">
      <c r="A504" s="3">
        <v>2016.0</v>
      </c>
      <c r="B504" s="4" t="s">
        <v>1305</v>
      </c>
      <c r="C504" s="3">
        <v>2000.0</v>
      </c>
      <c r="D504" s="3" t="s">
        <v>3</v>
      </c>
    </row>
    <row r="505">
      <c r="A505" s="3">
        <v>2016.0</v>
      </c>
      <c r="B505" s="4" t="s">
        <v>1318</v>
      </c>
      <c r="C505" s="3">
        <v>2000.0</v>
      </c>
      <c r="D505" s="4"/>
    </row>
    <row r="506">
      <c r="A506" s="3">
        <v>2016.0</v>
      </c>
      <c r="B506" s="4" t="s">
        <v>1341</v>
      </c>
      <c r="C506" s="3">
        <v>2000.0</v>
      </c>
      <c r="D506" s="3" t="s">
        <v>6</v>
      </c>
    </row>
    <row r="507">
      <c r="A507" s="3">
        <v>2016.0</v>
      </c>
      <c r="B507" s="4" t="s">
        <v>1361</v>
      </c>
      <c r="C507" s="3">
        <v>2000.0</v>
      </c>
      <c r="D507" s="4"/>
    </row>
    <row r="508">
      <c r="A508" s="3">
        <v>2016.0</v>
      </c>
      <c r="B508" s="4" t="s">
        <v>1370</v>
      </c>
      <c r="C508" s="3">
        <v>2000.0</v>
      </c>
      <c r="D508" s="3" t="s">
        <v>32</v>
      </c>
    </row>
    <row r="509">
      <c r="A509" s="3">
        <v>2016.0</v>
      </c>
      <c r="B509" s="4" t="s">
        <v>1375</v>
      </c>
      <c r="C509" s="3">
        <v>2000.0</v>
      </c>
      <c r="D509" s="3" t="s">
        <v>32</v>
      </c>
    </row>
    <row r="510">
      <c r="A510" s="3">
        <v>2016.0</v>
      </c>
      <c r="B510" s="4" t="s">
        <v>1387</v>
      </c>
      <c r="C510" s="3">
        <v>2000.0</v>
      </c>
      <c r="D510" s="4"/>
    </row>
    <row r="511">
      <c r="A511" s="3">
        <v>2016.0</v>
      </c>
      <c r="B511" s="4" t="s">
        <v>1592</v>
      </c>
      <c r="C511" s="3">
        <v>2000.0</v>
      </c>
      <c r="D511" s="4"/>
    </row>
    <row r="512">
      <c r="A512" s="3">
        <v>2016.0</v>
      </c>
      <c r="B512" s="4" t="s">
        <v>2286</v>
      </c>
      <c r="C512" s="3">
        <v>2000.0</v>
      </c>
      <c r="D512" s="3" t="s">
        <v>3</v>
      </c>
    </row>
    <row r="513">
      <c r="A513" s="3">
        <v>2016.0</v>
      </c>
      <c r="B513" s="4" t="s">
        <v>1642</v>
      </c>
      <c r="C513" s="3">
        <v>2000.0</v>
      </c>
      <c r="D513" s="4"/>
    </row>
    <row r="514">
      <c r="A514" s="3">
        <v>2016.0</v>
      </c>
      <c r="B514" s="4" t="s">
        <v>1688</v>
      </c>
      <c r="C514" s="3">
        <v>2000.0</v>
      </c>
      <c r="D514" s="3" t="s">
        <v>3</v>
      </c>
    </row>
    <row r="515">
      <c r="A515" s="3">
        <v>2016.0</v>
      </c>
      <c r="B515" s="4" t="s">
        <v>1758</v>
      </c>
      <c r="C515" s="3">
        <v>2000.0</v>
      </c>
      <c r="D515" s="4"/>
    </row>
    <row r="516">
      <c r="A516" s="3">
        <v>2016.0</v>
      </c>
      <c r="B516" s="4" t="s">
        <v>2295</v>
      </c>
      <c r="C516" s="3">
        <v>2000.0</v>
      </c>
      <c r="D516" s="3" t="s">
        <v>3</v>
      </c>
    </row>
    <row r="517">
      <c r="A517" s="3">
        <v>2016.0</v>
      </c>
      <c r="B517" s="4" t="s">
        <v>1791</v>
      </c>
      <c r="C517" s="3">
        <v>2000.0</v>
      </c>
      <c r="D517" s="3" t="s">
        <v>29</v>
      </c>
    </row>
    <row r="518">
      <c r="A518" s="3">
        <v>2016.0</v>
      </c>
      <c r="B518" s="4" t="s">
        <v>2296</v>
      </c>
      <c r="C518" s="3">
        <v>2000.0</v>
      </c>
      <c r="D518" s="4"/>
    </row>
    <row r="519">
      <c r="A519" s="3">
        <v>2016.0</v>
      </c>
      <c r="B519" s="4" t="s">
        <v>1810</v>
      </c>
      <c r="C519" s="3">
        <v>2000.0</v>
      </c>
      <c r="D519" s="3" t="s">
        <v>3</v>
      </c>
    </row>
    <row r="520">
      <c r="A520" s="3">
        <v>2016.0</v>
      </c>
      <c r="B520" s="4" t="s">
        <v>1832</v>
      </c>
      <c r="C520" s="3">
        <v>2000.0</v>
      </c>
      <c r="D520" s="4"/>
    </row>
    <row r="521">
      <c r="A521" s="3">
        <v>2016.0</v>
      </c>
      <c r="B521" s="4" t="s">
        <v>1860</v>
      </c>
      <c r="C521" s="3">
        <v>2000.0</v>
      </c>
      <c r="D521" s="4"/>
    </row>
    <row r="522">
      <c r="A522" s="3">
        <v>2016.0</v>
      </c>
      <c r="B522" s="4" t="s">
        <v>1862</v>
      </c>
      <c r="C522" s="3">
        <v>2000.0</v>
      </c>
      <c r="D522" s="3" t="s">
        <v>32</v>
      </c>
    </row>
    <row r="523">
      <c r="A523" s="3">
        <v>2016.0</v>
      </c>
      <c r="B523" s="4" t="s">
        <v>1886</v>
      </c>
      <c r="C523" s="3">
        <v>2000.0</v>
      </c>
      <c r="D523" s="4"/>
    </row>
    <row r="524">
      <c r="A524" s="3">
        <v>2016.0</v>
      </c>
      <c r="B524" s="4" t="s">
        <v>1943</v>
      </c>
      <c r="C524" s="3">
        <v>2000.0</v>
      </c>
      <c r="D524" s="4"/>
    </row>
    <row r="525">
      <c r="A525" s="3">
        <v>2016.0</v>
      </c>
      <c r="B525" s="4" t="s">
        <v>12</v>
      </c>
      <c r="C525" s="3">
        <v>1800.0</v>
      </c>
      <c r="D525" s="4"/>
    </row>
    <row r="526">
      <c r="A526" s="3">
        <v>2016.0</v>
      </c>
      <c r="B526" s="4" t="s">
        <v>1178</v>
      </c>
      <c r="C526" s="3">
        <v>1800.0</v>
      </c>
      <c r="D526" s="4"/>
    </row>
    <row r="527">
      <c r="A527" s="3">
        <v>2016.0</v>
      </c>
      <c r="B527" s="4" t="s">
        <v>1449</v>
      </c>
      <c r="C527" s="3">
        <v>1800.0</v>
      </c>
      <c r="D527" s="3" t="s">
        <v>6</v>
      </c>
    </row>
    <row r="528">
      <c r="A528" s="3">
        <v>2016.0</v>
      </c>
      <c r="B528" s="4" t="s">
        <v>1554</v>
      </c>
      <c r="C528" s="3">
        <v>1800.0</v>
      </c>
      <c r="D528" s="4"/>
    </row>
    <row r="529">
      <c r="A529" s="3">
        <v>2016.0</v>
      </c>
      <c r="B529" s="4" t="s">
        <v>1679</v>
      </c>
      <c r="C529" s="3">
        <v>1800.0</v>
      </c>
      <c r="D529" s="4"/>
    </row>
    <row r="530">
      <c r="A530" s="3">
        <v>2016.0</v>
      </c>
      <c r="B530" s="4" t="s">
        <v>2230</v>
      </c>
      <c r="C530" s="3">
        <v>1728.0</v>
      </c>
      <c r="D530" s="4"/>
    </row>
    <row r="531">
      <c r="A531" s="3">
        <v>2016.0</v>
      </c>
      <c r="B531" s="4" t="s">
        <v>2186</v>
      </c>
      <c r="C531" s="3">
        <v>1700.0</v>
      </c>
      <c r="D531" s="3" t="s">
        <v>580</v>
      </c>
    </row>
    <row r="532">
      <c r="A532" s="3">
        <v>2016.0</v>
      </c>
      <c r="B532" s="4" t="s">
        <v>813</v>
      </c>
      <c r="C532" s="3">
        <v>1700.0</v>
      </c>
      <c r="D532" s="4"/>
    </row>
    <row r="533">
      <c r="A533" s="3">
        <v>2016.0</v>
      </c>
      <c r="B533" s="4" t="s">
        <v>1306</v>
      </c>
      <c r="C533" s="3">
        <v>1700.0</v>
      </c>
      <c r="D533" s="4"/>
    </row>
    <row r="534">
      <c r="A534" s="3">
        <v>2016.0</v>
      </c>
      <c r="B534" s="4" t="s">
        <v>1575</v>
      </c>
      <c r="C534" s="3">
        <v>1700.0</v>
      </c>
      <c r="D534" s="4"/>
    </row>
    <row r="535">
      <c r="A535" s="3">
        <v>2016.0</v>
      </c>
      <c r="B535" s="4" t="s">
        <v>1683</v>
      </c>
      <c r="C535" s="3">
        <v>1650.0</v>
      </c>
      <c r="D535" s="4"/>
    </row>
    <row r="536">
      <c r="A536" s="3">
        <v>2016.0</v>
      </c>
      <c r="B536" s="4" t="s">
        <v>869</v>
      </c>
      <c r="C536" s="3">
        <v>1600.0</v>
      </c>
      <c r="D536" s="4"/>
    </row>
    <row r="537">
      <c r="A537" s="3">
        <v>2016.0</v>
      </c>
      <c r="B537" s="4" t="s">
        <v>889</v>
      </c>
      <c r="C537" s="3">
        <v>1600.0</v>
      </c>
      <c r="D537" s="4"/>
    </row>
    <row r="538">
      <c r="A538" s="3">
        <v>2016.0</v>
      </c>
      <c r="B538" s="4" t="s">
        <v>1260</v>
      </c>
      <c r="C538" s="3">
        <v>1550.0</v>
      </c>
      <c r="D538" s="4"/>
    </row>
    <row r="539">
      <c r="A539" s="3">
        <v>2016.0</v>
      </c>
      <c r="B539" s="4" t="s">
        <v>1020</v>
      </c>
      <c r="C539" s="3">
        <v>1534.0</v>
      </c>
      <c r="D539" s="4"/>
    </row>
    <row r="540">
      <c r="A540" s="3">
        <v>2016.0</v>
      </c>
      <c r="B540" s="4" t="s">
        <v>64</v>
      </c>
      <c r="C540" s="3">
        <v>1500.0</v>
      </c>
      <c r="D540" s="4"/>
    </row>
    <row r="541">
      <c r="A541" s="3">
        <v>2016.0</v>
      </c>
      <c r="B541" s="4" t="s">
        <v>67</v>
      </c>
      <c r="C541" s="3">
        <v>1500.0</v>
      </c>
      <c r="D541" s="4"/>
    </row>
    <row r="542">
      <c r="A542" s="3">
        <v>2016.0</v>
      </c>
      <c r="B542" s="4" t="s">
        <v>152</v>
      </c>
      <c r="C542" s="3">
        <v>1500.0</v>
      </c>
      <c r="D542" s="4"/>
    </row>
    <row r="543">
      <c r="A543" s="3">
        <v>2016.0</v>
      </c>
      <c r="B543" s="4" t="s">
        <v>2122</v>
      </c>
      <c r="C543" s="3">
        <v>1500.0</v>
      </c>
      <c r="D543" s="4"/>
    </row>
    <row r="544">
      <c r="A544" s="3">
        <v>2016.0</v>
      </c>
      <c r="B544" s="4" t="s">
        <v>342</v>
      </c>
      <c r="C544" s="3">
        <v>1500.0</v>
      </c>
      <c r="D544" s="3" t="s">
        <v>6</v>
      </c>
    </row>
    <row r="545">
      <c r="A545" s="3">
        <v>2016.0</v>
      </c>
      <c r="B545" s="4" t="s">
        <v>2162</v>
      </c>
      <c r="C545" s="3">
        <v>1500.0</v>
      </c>
      <c r="D545" s="3" t="s">
        <v>484</v>
      </c>
    </row>
    <row r="546">
      <c r="A546" s="3">
        <v>2016.0</v>
      </c>
      <c r="B546" s="4" t="s">
        <v>520</v>
      </c>
      <c r="C546" s="3">
        <v>1500.0</v>
      </c>
      <c r="D546" s="3" t="s">
        <v>6</v>
      </c>
    </row>
    <row r="547">
      <c r="A547" s="3">
        <v>2016.0</v>
      </c>
      <c r="B547" s="4" t="s">
        <v>557</v>
      </c>
      <c r="C547" s="3">
        <v>1500.0</v>
      </c>
      <c r="D547" s="3" t="s">
        <v>29</v>
      </c>
    </row>
    <row r="548">
      <c r="A548" s="3">
        <v>2016.0</v>
      </c>
      <c r="B548" s="4" t="s">
        <v>614</v>
      </c>
      <c r="C548" s="3">
        <v>1500.0</v>
      </c>
      <c r="D548" s="4"/>
    </row>
    <row r="549">
      <c r="A549" s="3">
        <v>2016.0</v>
      </c>
      <c r="B549" s="4" t="s">
        <v>621</v>
      </c>
      <c r="C549" s="3">
        <v>1500.0</v>
      </c>
      <c r="D549" s="3" t="s">
        <v>32</v>
      </c>
    </row>
    <row r="550">
      <c r="A550" s="3">
        <v>2016.0</v>
      </c>
      <c r="B550" s="4" t="s">
        <v>784</v>
      </c>
      <c r="C550" s="3">
        <v>1500.0</v>
      </c>
      <c r="D550" s="4"/>
    </row>
    <row r="551">
      <c r="A551" s="3">
        <v>2016.0</v>
      </c>
      <c r="B551" s="4" t="s">
        <v>806</v>
      </c>
      <c r="C551" s="3">
        <v>1500.0</v>
      </c>
      <c r="D551" s="4"/>
    </row>
    <row r="552">
      <c r="A552" s="3">
        <v>2016.0</v>
      </c>
      <c r="B552" s="4" t="s">
        <v>874</v>
      </c>
      <c r="C552" s="3">
        <v>1500.0</v>
      </c>
      <c r="D552" s="3" t="s">
        <v>3</v>
      </c>
    </row>
    <row r="553">
      <c r="A553" s="3">
        <v>2016.0</v>
      </c>
      <c r="B553" s="4" t="s">
        <v>959</v>
      </c>
      <c r="C553" s="3">
        <v>1500.0</v>
      </c>
      <c r="D553" s="4"/>
    </row>
    <row r="554">
      <c r="A554" s="3">
        <v>2016.0</v>
      </c>
      <c r="B554" s="4" t="s">
        <v>967</v>
      </c>
      <c r="C554" s="3">
        <v>1500.0</v>
      </c>
      <c r="D554" s="3" t="s">
        <v>32</v>
      </c>
    </row>
    <row r="555">
      <c r="A555" s="3">
        <v>2016.0</v>
      </c>
      <c r="B555" s="4" t="s">
        <v>1209</v>
      </c>
      <c r="C555" s="3">
        <v>1500.0</v>
      </c>
      <c r="D555" s="4"/>
    </row>
    <row r="556">
      <c r="A556" s="3">
        <v>2016.0</v>
      </c>
      <c r="B556" s="4" t="s">
        <v>1238</v>
      </c>
      <c r="C556" s="3">
        <v>1500.0</v>
      </c>
      <c r="D556" s="4"/>
    </row>
    <row r="557">
      <c r="A557" s="3">
        <v>2016.0</v>
      </c>
      <c r="B557" s="4" t="s">
        <v>1258</v>
      </c>
      <c r="C557" s="3">
        <v>1500.0</v>
      </c>
      <c r="D557" s="4"/>
    </row>
    <row r="558">
      <c r="A558" s="3">
        <v>2016.0</v>
      </c>
      <c r="B558" s="4" t="s">
        <v>1333</v>
      </c>
      <c r="C558" s="3">
        <v>1500.0</v>
      </c>
      <c r="D558" s="4"/>
    </row>
    <row r="559">
      <c r="A559" s="3">
        <v>2016.0</v>
      </c>
      <c r="B559" s="4" t="s">
        <v>1408</v>
      </c>
      <c r="C559" s="3">
        <v>1500.0</v>
      </c>
      <c r="D559" s="4"/>
    </row>
    <row r="560">
      <c r="A560" s="3">
        <v>2016.0</v>
      </c>
      <c r="B560" s="4" t="s">
        <v>1495</v>
      </c>
      <c r="C560" s="3">
        <v>1500.0</v>
      </c>
      <c r="D560" s="4"/>
    </row>
    <row r="561">
      <c r="A561" s="3">
        <v>2016.0</v>
      </c>
      <c r="B561" s="4" t="s">
        <v>1574</v>
      </c>
      <c r="C561" s="3">
        <v>1500.0</v>
      </c>
      <c r="D561" s="3" t="s">
        <v>6</v>
      </c>
    </row>
    <row r="562">
      <c r="A562" s="3">
        <v>2016.0</v>
      </c>
      <c r="B562" s="4" t="s">
        <v>1656</v>
      </c>
      <c r="C562" s="3">
        <v>1500.0</v>
      </c>
      <c r="D562" s="4"/>
    </row>
    <row r="563">
      <c r="A563" s="3">
        <v>2016.0</v>
      </c>
      <c r="B563" s="4" t="s">
        <v>1698</v>
      </c>
      <c r="C563" s="3">
        <v>1500.0</v>
      </c>
      <c r="D563" s="3" t="s">
        <v>6</v>
      </c>
    </row>
    <row r="564">
      <c r="A564" s="3">
        <v>2016.0</v>
      </c>
      <c r="B564" s="4" t="s">
        <v>1738</v>
      </c>
      <c r="C564" s="3">
        <v>1500.0</v>
      </c>
      <c r="D564" s="4"/>
    </row>
    <row r="565">
      <c r="A565" s="3">
        <v>2016.0</v>
      </c>
      <c r="B565" s="4" t="s">
        <v>1836</v>
      </c>
      <c r="C565" s="3">
        <v>1500.0</v>
      </c>
      <c r="D565" s="4"/>
    </row>
    <row r="566">
      <c r="A566" s="3">
        <v>2016.0</v>
      </c>
      <c r="B566" s="4" t="s">
        <v>1931</v>
      </c>
      <c r="C566" s="3">
        <v>1500.0</v>
      </c>
      <c r="D566" s="3" t="s">
        <v>3</v>
      </c>
    </row>
    <row r="567">
      <c r="A567" s="3">
        <v>2016.0</v>
      </c>
      <c r="B567" s="4" t="s">
        <v>2324</v>
      </c>
      <c r="C567" s="3">
        <v>1500.0</v>
      </c>
      <c r="D567" s="3" t="s">
        <v>3</v>
      </c>
    </row>
    <row r="568">
      <c r="A568" s="3">
        <v>2016.0</v>
      </c>
      <c r="B568" s="4" t="s">
        <v>1051</v>
      </c>
      <c r="C568" s="3">
        <v>1410.0</v>
      </c>
      <c r="D568" s="4"/>
    </row>
    <row r="569">
      <c r="A569" s="3">
        <v>2016.0</v>
      </c>
      <c r="B569" s="4" t="s">
        <v>954</v>
      </c>
      <c r="C569" s="3">
        <v>1400.0</v>
      </c>
      <c r="D569" s="4"/>
    </row>
    <row r="570">
      <c r="A570" s="3">
        <v>2016.0</v>
      </c>
      <c r="B570" s="4" t="s">
        <v>2202</v>
      </c>
      <c r="C570" s="3">
        <v>1300.0</v>
      </c>
      <c r="D570" s="3" t="s">
        <v>3</v>
      </c>
    </row>
    <row r="571">
      <c r="A571" s="3">
        <v>2016.0</v>
      </c>
      <c r="B571" s="4" t="s">
        <v>2227</v>
      </c>
      <c r="C571" s="3">
        <v>1300.0</v>
      </c>
      <c r="D571" s="4"/>
    </row>
    <row r="572">
      <c r="A572" s="3">
        <v>2016.0</v>
      </c>
      <c r="B572" s="4" t="s">
        <v>1979</v>
      </c>
      <c r="C572" s="3">
        <v>1300.0</v>
      </c>
      <c r="D572" s="4"/>
    </row>
    <row r="573">
      <c r="A573" s="3">
        <v>2016.0</v>
      </c>
      <c r="B573" s="4" t="s">
        <v>995</v>
      </c>
      <c r="C573" s="3">
        <v>1200.0</v>
      </c>
      <c r="D573" s="3" t="s">
        <v>6</v>
      </c>
    </row>
    <row r="574">
      <c r="A574" s="3">
        <v>2016.0</v>
      </c>
      <c r="B574" s="4" t="s">
        <v>1017</v>
      </c>
      <c r="C574" s="3">
        <v>1200.0</v>
      </c>
      <c r="D574" s="4"/>
    </row>
    <row r="575">
      <c r="A575" s="3">
        <v>2016.0</v>
      </c>
      <c r="B575" s="4" t="s">
        <v>1335</v>
      </c>
      <c r="C575" s="3">
        <v>1200.0</v>
      </c>
      <c r="D575" s="3" t="s">
        <v>32</v>
      </c>
    </row>
    <row r="576">
      <c r="A576" s="3">
        <v>2016.0</v>
      </c>
      <c r="B576" s="4" t="s">
        <v>1462</v>
      </c>
      <c r="C576" s="3">
        <v>1200.0</v>
      </c>
      <c r="D576" s="3" t="s">
        <v>3</v>
      </c>
    </row>
    <row r="577">
      <c r="A577" s="3">
        <v>2016.0</v>
      </c>
      <c r="B577" s="4" t="s">
        <v>700</v>
      </c>
      <c r="C577" s="3">
        <v>1080.0</v>
      </c>
      <c r="D577" s="4"/>
    </row>
    <row r="578">
      <c r="A578" s="3">
        <v>2016.0</v>
      </c>
      <c r="B578" s="4" t="s">
        <v>10</v>
      </c>
      <c r="C578" s="3">
        <v>1000.0</v>
      </c>
      <c r="D578" s="4"/>
    </row>
    <row r="579">
      <c r="A579" s="3">
        <v>2016.0</v>
      </c>
      <c r="B579" s="4" t="s">
        <v>93</v>
      </c>
      <c r="C579" s="3">
        <v>1000.0</v>
      </c>
      <c r="D579" s="4"/>
    </row>
    <row r="580">
      <c r="A580" s="3">
        <v>2016.0</v>
      </c>
      <c r="B580" s="4" t="s">
        <v>103</v>
      </c>
      <c r="C580" s="3">
        <v>1000.0</v>
      </c>
      <c r="D580" s="4"/>
    </row>
    <row r="581">
      <c r="A581" s="3">
        <v>2016.0</v>
      </c>
      <c r="B581" s="4" t="s">
        <v>2085</v>
      </c>
      <c r="C581" s="3">
        <v>1000.0</v>
      </c>
      <c r="D581" s="3" t="s">
        <v>6</v>
      </c>
    </row>
    <row r="582">
      <c r="A582" s="3">
        <v>2016.0</v>
      </c>
      <c r="B582" s="4" t="s">
        <v>193</v>
      </c>
      <c r="C582" s="3">
        <v>1000.0</v>
      </c>
      <c r="D582" s="3" t="s">
        <v>29</v>
      </c>
    </row>
    <row r="583">
      <c r="A583" s="3">
        <v>2016.0</v>
      </c>
      <c r="B583" s="4" t="s">
        <v>2116</v>
      </c>
      <c r="C583" s="3">
        <v>1000.0</v>
      </c>
      <c r="D583" s="3" t="s">
        <v>3</v>
      </c>
    </row>
    <row r="584">
      <c r="A584" s="3">
        <v>2016.0</v>
      </c>
      <c r="B584" s="4" t="s">
        <v>495</v>
      </c>
      <c r="C584" s="3">
        <v>1000.0</v>
      </c>
      <c r="D584" s="4"/>
    </row>
    <row r="585">
      <c r="A585" s="3">
        <v>2016.0</v>
      </c>
      <c r="B585" s="4" t="s">
        <v>527</v>
      </c>
      <c r="C585" s="3">
        <v>1000.0</v>
      </c>
      <c r="D585" s="4"/>
    </row>
    <row r="586">
      <c r="A586" s="3">
        <v>2016.0</v>
      </c>
      <c r="B586" s="4" t="s">
        <v>558</v>
      </c>
      <c r="C586" s="3">
        <v>1000.0</v>
      </c>
      <c r="D586" s="3" t="s">
        <v>484</v>
      </c>
    </row>
    <row r="587">
      <c r="A587" s="3">
        <v>2016.0</v>
      </c>
      <c r="B587" s="4" t="s">
        <v>631</v>
      </c>
      <c r="C587" s="3">
        <v>1000.0</v>
      </c>
      <c r="D587" s="4"/>
    </row>
    <row r="588">
      <c r="A588" s="3">
        <v>2016.0</v>
      </c>
      <c r="B588" s="4" t="s">
        <v>635</v>
      </c>
      <c r="C588" s="3">
        <v>1000.0</v>
      </c>
      <c r="D588" s="3" t="s">
        <v>32</v>
      </c>
    </row>
    <row r="589">
      <c r="A589" s="3">
        <v>2016.0</v>
      </c>
      <c r="B589" s="4" t="s">
        <v>650</v>
      </c>
      <c r="C589" s="3">
        <v>1000.0</v>
      </c>
      <c r="D589" s="4"/>
    </row>
    <row r="590">
      <c r="A590" s="3">
        <v>2016.0</v>
      </c>
      <c r="B590" s="4" t="s">
        <v>674</v>
      </c>
      <c r="C590" s="3">
        <v>1000.0</v>
      </c>
      <c r="D590" s="3" t="s">
        <v>3</v>
      </c>
    </row>
    <row r="591">
      <c r="A591" s="3">
        <v>2016.0</v>
      </c>
      <c r="B591" s="4" t="s">
        <v>750</v>
      </c>
      <c r="C591" s="3">
        <v>1000.0</v>
      </c>
      <c r="D591" s="4"/>
    </row>
    <row r="592">
      <c r="A592" s="3">
        <v>2016.0</v>
      </c>
      <c r="B592" s="4" t="s">
        <v>817</v>
      </c>
      <c r="C592" s="3">
        <v>1000.0</v>
      </c>
      <c r="D592" s="3" t="s">
        <v>3</v>
      </c>
    </row>
    <row r="593">
      <c r="A593" s="3">
        <v>2016.0</v>
      </c>
      <c r="B593" s="4" t="s">
        <v>839</v>
      </c>
      <c r="C593" s="3">
        <v>1000.0</v>
      </c>
      <c r="D593" s="3" t="s">
        <v>6</v>
      </c>
    </row>
    <row r="594">
      <c r="A594" s="3">
        <v>2016.0</v>
      </c>
      <c r="B594" s="4" t="s">
        <v>851</v>
      </c>
      <c r="C594" s="3">
        <v>1000.0</v>
      </c>
      <c r="D594" s="4"/>
    </row>
    <row r="595">
      <c r="A595" s="3">
        <v>2016.0</v>
      </c>
      <c r="B595" s="4" t="s">
        <v>861</v>
      </c>
      <c r="C595" s="3">
        <v>1000.0</v>
      </c>
      <c r="D595" s="4"/>
    </row>
    <row r="596">
      <c r="A596" s="3">
        <v>2016.0</v>
      </c>
      <c r="B596" s="4" t="s">
        <v>885</v>
      </c>
      <c r="C596" s="3">
        <v>1000.0</v>
      </c>
      <c r="D596" s="3" t="s">
        <v>6</v>
      </c>
    </row>
    <row r="597">
      <c r="A597" s="3">
        <v>2016.0</v>
      </c>
      <c r="B597" s="4" t="s">
        <v>886</v>
      </c>
      <c r="C597" s="3">
        <v>1000.0</v>
      </c>
      <c r="D597" s="3" t="s">
        <v>32</v>
      </c>
    </row>
    <row r="598">
      <c r="A598" s="3">
        <v>2016.0</v>
      </c>
      <c r="B598" s="4" t="s">
        <v>2226</v>
      </c>
      <c r="C598" s="3">
        <v>1000.0</v>
      </c>
      <c r="D598" s="3" t="s">
        <v>6</v>
      </c>
    </row>
    <row r="599">
      <c r="A599" s="3">
        <v>2016.0</v>
      </c>
      <c r="B599" s="4" t="s">
        <v>2233</v>
      </c>
      <c r="C599" s="3">
        <v>1000.0</v>
      </c>
      <c r="D599" s="4"/>
    </row>
    <row r="600">
      <c r="A600" s="3">
        <v>2016.0</v>
      </c>
      <c r="B600" s="4" t="s">
        <v>968</v>
      </c>
      <c r="C600" s="3">
        <v>1000.0</v>
      </c>
      <c r="D600" s="4"/>
    </row>
    <row r="601">
      <c r="A601" s="3">
        <v>2016.0</v>
      </c>
      <c r="B601" s="4" t="s">
        <v>981</v>
      </c>
      <c r="C601" s="3">
        <v>1000.0</v>
      </c>
      <c r="D601" s="4"/>
    </row>
    <row r="602">
      <c r="A602" s="3">
        <v>2016.0</v>
      </c>
      <c r="B602" s="4" t="s">
        <v>1053</v>
      </c>
      <c r="C602" s="3">
        <v>1000.0</v>
      </c>
      <c r="D602" s="3" t="s">
        <v>32</v>
      </c>
    </row>
    <row r="603">
      <c r="A603" s="3">
        <v>2016.0</v>
      </c>
      <c r="B603" s="4" t="s">
        <v>1058</v>
      </c>
      <c r="C603" s="3">
        <v>1000.0</v>
      </c>
      <c r="D603" s="4"/>
    </row>
    <row r="604">
      <c r="A604" s="3">
        <v>2016.0</v>
      </c>
      <c r="B604" s="4" t="s">
        <v>2249</v>
      </c>
      <c r="C604" s="3">
        <v>1000.0</v>
      </c>
      <c r="D604" s="3" t="s">
        <v>32</v>
      </c>
    </row>
    <row r="605">
      <c r="A605" s="3">
        <v>2016.0</v>
      </c>
      <c r="B605" s="4" t="s">
        <v>1181</v>
      </c>
      <c r="C605" s="3">
        <v>1000.0</v>
      </c>
      <c r="D605" s="4"/>
    </row>
    <row r="606">
      <c r="A606" s="3">
        <v>2016.0</v>
      </c>
      <c r="B606" s="4" t="s">
        <v>2263</v>
      </c>
      <c r="C606" s="3">
        <v>1000.0</v>
      </c>
      <c r="D606" s="4"/>
    </row>
    <row r="607">
      <c r="A607" s="3">
        <v>2016.0</v>
      </c>
      <c r="B607" s="4" t="s">
        <v>1259</v>
      </c>
      <c r="C607" s="3">
        <v>1000.0</v>
      </c>
      <c r="D607" s="3" t="s">
        <v>6</v>
      </c>
    </row>
    <row r="608">
      <c r="A608" s="3">
        <v>2016.0</v>
      </c>
      <c r="B608" s="4" t="s">
        <v>1334</v>
      </c>
      <c r="C608" s="3">
        <v>1000.0</v>
      </c>
      <c r="D608" s="4"/>
    </row>
    <row r="609">
      <c r="A609" s="3">
        <v>2016.0</v>
      </c>
      <c r="B609" s="4" t="s">
        <v>1416</v>
      </c>
      <c r="C609" s="3">
        <v>1000.0</v>
      </c>
      <c r="D609" s="4"/>
    </row>
    <row r="610">
      <c r="A610" s="3">
        <v>2016.0</v>
      </c>
      <c r="B610" s="4" t="s">
        <v>1461</v>
      </c>
      <c r="C610" s="3">
        <v>1000.0</v>
      </c>
      <c r="D610" s="3" t="s">
        <v>6</v>
      </c>
    </row>
    <row r="611">
      <c r="A611" s="3">
        <v>2016.0</v>
      </c>
      <c r="B611" s="4" t="s">
        <v>1550</v>
      </c>
      <c r="C611" s="3">
        <v>1000.0</v>
      </c>
      <c r="D611" s="4"/>
    </row>
    <row r="612">
      <c r="A612" s="3">
        <v>2016.0</v>
      </c>
      <c r="B612" s="4" t="s">
        <v>1653</v>
      </c>
      <c r="C612" s="3">
        <v>1000.0</v>
      </c>
      <c r="D612" s="4"/>
    </row>
    <row r="613">
      <c r="A613" s="3">
        <v>2016.0</v>
      </c>
      <c r="B613" s="4" t="s">
        <v>1669</v>
      </c>
      <c r="C613" s="3">
        <v>1000.0</v>
      </c>
      <c r="D613" s="3" t="s">
        <v>32</v>
      </c>
    </row>
    <row r="614">
      <c r="A614" s="3">
        <v>2016.0</v>
      </c>
      <c r="B614" s="4" t="s">
        <v>1678</v>
      </c>
      <c r="C614" s="3">
        <v>1000.0</v>
      </c>
      <c r="D614" s="3" t="s">
        <v>32</v>
      </c>
    </row>
    <row r="615">
      <c r="A615" s="3">
        <v>2016.0</v>
      </c>
      <c r="B615" s="4" t="s">
        <v>1702</v>
      </c>
      <c r="C615" s="3">
        <v>1000.0</v>
      </c>
      <c r="D615" s="3" t="s">
        <v>3</v>
      </c>
    </row>
    <row r="616">
      <c r="A616" s="3">
        <v>2016.0</v>
      </c>
      <c r="B616" s="4" t="s">
        <v>2291</v>
      </c>
      <c r="C616" s="3">
        <v>1000.0</v>
      </c>
      <c r="D616" s="3" t="s">
        <v>668</v>
      </c>
    </row>
    <row r="617">
      <c r="A617" s="3">
        <v>2016.0</v>
      </c>
      <c r="B617" s="4" t="s">
        <v>1809</v>
      </c>
      <c r="C617" s="3">
        <v>1000.0</v>
      </c>
      <c r="D617" s="4"/>
    </row>
    <row r="618">
      <c r="A618" s="3">
        <v>2016.0</v>
      </c>
      <c r="B618" s="4" t="s">
        <v>1853</v>
      </c>
      <c r="C618" s="3">
        <v>1000.0</v>
      </c>
      <c r="D618" s="4"/>
    </row>
    <row r="619">
      <c r="A619" s="3">
        <v>2016.0</v>
      </c>
      <c r="B619" s="4" t="s">
        <v>1899</v>
      </c>
      <c r="C619" s="3">
        <v>1000.0</v>
      </c>
      <c r="D619" s="3" t="s">
        <v>3</v>
      </c>
    </row>
    <row r="620">
      <c r="A620" s="3">
        <v>2016.0</v>
      </c>
      <c r="B620" s="4" t="s">
        <v>1991</v>
      </c>
      <c r="C620" s="3">
        <v>1000.0</v>
      </c>
      <c r="D620" s="4"/>
    </row>
    <row r="621">
      <c r="A621" s="3">
        <v>2016.0</v>
      </c>
      <c r="B621" s="4" t="s">
        <v>997</v>
      </c>
      <c r="C621" s="3">
        <v>950.0</v>
      </c>
      <c r="D621" s="4"/>
    </row>
    <row r="622">
      <c r="A622" s="3">
        <v>2016.0</v>
      </c>
      <c r="B622" s="4" t="s">
        <v>2120</v>
      </c>
      <c r="C622" s="3">
        <v>920.0</v>
      </c>
      <c r="D622" s="4"/>
    </row>
    <row r="623">
      <c r="A623" s="3">
        <v>2016.0</v>
      </c>
      <c r="B623" s="4" t="s">
        <v>705</v>
      </c>
      <c r="C623" s="3">
        <v>900.0</v>
      </c>
      <c r="D623" s="4"/>
    </row>
    <row r="624">
      <c r="A624" s="3">
        <v>2016.0</v>
      </c>
      <c r="B624" s="4" t="s">
        <v>1467</v>
      </c>
      <c r="C624" s="3">
        <v>900.0</v>
      </c>
      <c r="D624" s="4"/>
    </row>
    <row r="625">
      <c r="A625" s="3">
        <v>2016.0</v>
      </c>
      <c r="B625" s="4" t="s">
        <v>1746</v>
      </c>
      <c r="C625" s="3">
        <v>900.0</v>
      </c>
      <c r="D625" s="4"/>
    </row>
    <row r="626">
      <c r="A626" s="3">
        <v>2016.0</v>
      </c>
      <c r="B626" s="4" t="s">
        <v>2323</v>
      </c>
      <c r="C626" s="3">
        <v>900.0</v>
      </c>
      <c r="D626" s="3" t="s">
        <v>3</v>
      </c>
    </row>
    <row r="627">
      <c r="A627" s="3">
        <v>2016.0</v>
      </c>
      <c r="B627" s="4" t="s">
        <v>1643</v>
      </c>
      <c r="C627" s="3">
        <v>865.0</v>
      </c>
      <c r="D627" s="4"/>
    </row>
    <row r="628">
      <c r="A628" s="3">
        <v>2016.0</v>
      </c>
      <c r="B628" s="4" t="s">
        <v>405</v>
      </c>
      <c r="C628" s="3">
        <v>800.0</v>
      </c>
      <c r="D628" s="4"/>
    </row>
    <row r="629">
      <c r="A629" s="3">
        <v>2016.0</v>
      </c>
      <c r="B629" s="4" t="s">
        <v>450</v>
      </c>
      <c r="C629" s="3">
        <v>800.0</v>
      </c>
      <c r="D629" s="3" t="s">
        <v>6</v>
      </c>
    </row>
    <row r="630">
      <c r="A630" s="3">
        <v>2016.0</v>
      </c>
      <c r="B630" s="4" t="s">
        <v>540</v>
      </c>
      <c r="C630" s="3">
        <v>800.0</v>
      </c>
      <c r="D630" s="4"/>
    </row>
    <row r="631">
      <c r="A631" s="3">
        <v>2016.0</v>
      </c>
      <c r="B631" s="4" t="s">
        <v>689</v>
      </c>
      <c r="C631" s="3">
        <v>800.0</v>
      </c>
      <c r="D631" s="3" t="s">
        <v>32</v>
      </c>
    </row>
    <row r="632">
      <c r="A632" s="3">
        <v>2016.0</v>
      </c>
      <c r="B632" s="4" t="s">
        <v>778</v>
      </c>
      <c r="C632" s="3">
        <v>800.0</v>
      </c>
      <c r="D632" s="3" t="s">
        <v>32</v>
      </c>
    </row>
    <row r="633">
      <c r="A633" s="3">
        <v>2016.0</v>
      </c>
      <c r="B633" s="4" t="s">
        <v>779</v>
      </c>
      <c r="C633" s="3">
        <v>800.0</v>
      </c>
      <c r="D633" s="4"/>
    </row>
    <row r="634">
      <c r="A634" s="3">
        <v>2016.0</v>
      </c>
      <c r="B634" s="4" t="s">
        <v>2211</v>
      </c>
      <c r="C634" s="3">
        <v>800.0</v>
      </c>
      <c r="D634" s="3" t="s">
        <v>3</v>
      </c>
    </row>
    <row r="635">
      <c r="A635" s="3">
        <v>2016.0</v>
      </c>
      <c r="B635" s="4" t="s">
        <v>2213</v>
      </c>
      <c r="C635" s="3">
        <v>800.0</v>
      </c>
      <c r="D635" s="4"/>
    </row>
    <row r="636">
      <c r="A636" s="3">
        <v>2016.0</v>
      </c>
      <c r="B636" s="4" t="s">
        <v>2257</v>
      </c>
      <c r="C636" s="3">
        <v>800.0</v>
      </c>
      <c r="D636" s="4"/>
    </row>
    <row r="637">
      <c r="A637" s="3">
        <v>2016.0</v>
      </c>
      <c r="B637" s="4" t="s">
        <v>1269</v>
      </c>
      <c r="C637" s="3">
        <v>800.0</v>
      </c>
      <c r="D637" s="4"/>
    </row>
    <row r="638">
      <c r="A638" s="3">
        <v>2016.0</v>
      </c>
      <c r="B638" s="4" t="s">
        <v>1385</v>
      </c>
      <c r="C638" s="3">
        <v>800.0</v>
      </c>
      <c r="D638" s="3" t="s">
        <v>3</v>
      </c>
    </row>
    <row r="639">
      <c r="A639" s="3">
        <v>2016.0</v>
      </c>
      <c r="B639" s="4" t="s">
        <v>1411</v>
      </c>
      <c r="C639" s="3">
        <v>800.0</v>
      </c>
      <c r="D639" s="3" t="s">
        <v>3</v>
      </c>
    </row>
    <row r="640">
      <c r="A640" s="3">
        <v>2016.0</v>
      </c>
      <c r="B640" s="4" t="s">
        <v>1412</v>
      </c>
      <c r="C640" s="3">
        <v>800.0</v>
      </c>
      <c r="D640" s="4"/>
    </row>
    <row r="641">
      <c r="A641" s="3">
        <v>2016.0</v>
      </c>
      <c r="B641" s="4" t="s">
        <v>1457</v>
      </c>
      <c r="C641" s="3">
        <v>800.0</v>
      </c>
      <c r="D641" s="4"/>
    </row>
    <row r="642">
      <c r="A642" s="3">
        <v>2016.0</v>
      </c>
      <c r="B642" s="4" t="s">
        <v>1479</v>
      </c>
      <c r="C642" s="3">
        <v>800.0</v>
      </c>
      <c r="D642" s="4"/>
    </row>
    <row r="643">
      <c r="A643" s="3">
        <v>2016.0</v>
      </c>
      <c r="B643" s="4" t="s">
        <v>1602</v>
      </c>
      <c r="C643" s="3">
        <v>800.0</v>
      </c>
      <c r="D643" s="4"/>
    </row>
    <row r="644">
      <c r="A644" s="3">
        <v>2016.0</v>
      </c>
      <c r="B644" s="4" t="s">
        <v>2285</v>
      </c>
      <c r="C644" s="3">
        <v>800.0</v>
      </c>
      <c r="D644" s="3" t="s">
        <v>3</v>
      </c>
    </row>
    <row r="645">
      <c r="A645" s="3">
        <v>2016.0</v>
      </c>
      <c r="B645" s="4" t="s">
        <v>1696</v>
      </c>
      <c r="C645" s="3">
        <v>800.0</v>
      </c>
      <c r="D645" s="4"/>
    </row>
    <row r="646">
      <c r="A646" s="3">
        <v>2016.0</v>
      </c>
      <c r="B646" s="4" t="s">
        <v>1777</v>
      </c>
      <c r="C646" s="3">
        <v>800.0</v>
      </c>
      <c r="D646" s="3" t="s">
        <v>29</v>
      </c>
    </row>
    <row r="647">
      <c r="A647" s="3">
        <v>2016.0</v>
      </c>
      <c r="B647" s="4" t="s">
        <v>2008</v>
      </c>
      <c r="C647" s="3">
        <v>800.0</v>
      </c>
      <c r="D647" s="3" t="s">
        <v>32</v>
      </c>
    </row>
    <row r="648">
      <c r="A648" s="3">
        <v>2016.0</v>
      </c>
      <c r="B648" s="4" t="s">
        <v>134</v>
      </c>
      <c r="C648" s="3">
        <v>750.0</v>
      </c>
      <c r="D648" s="3" t="s">
        <v>3</v>
      </c>
    </row>
    <row r="649">
      <c r="A649" s="3">
        <v>2016.0</v>
      </c>
      <c r="B649" s="4" t="s">
        <v>2181</v>
      </c>
      <c r="C649" s="3">
        <v>750.0</v>
      </c>
      <c r="D649" s="4"/>
    </row>
    <row r="650">
      <c r="A650" s="3">
        <v>2016.0</v>
      </c>
      <c r="B650" s="4" t="s">
        <v>2218</v>
      </c>
      <c r="C650" s="3">
        <v>750.0</v>
      </c>
      <c r="D650" s="3" t="s">
        <v>6</v>
      </c>
    </row>
    <row r="651">
      <c r="A651" s="3">
        <v>2016.0</v>
      </c>
      <c r="B651" s="4" t="s">
        <v>2221</v>
      </c>
      <c r="C651" s="3">
        <v>750.0</v>
      </c>
      <c r="D651" s="4"/>
    </row>
    <row r="652">
      <c r="A652" s="3">
        <v>2016.0</v>
      </c>
      <c r="B652" s="4" t="s">
        <v>1106</v>
      </c>
      <c r="C652" s="3">
        <v>750.0</v>
      </c>
      <c r="D652" s="3" t="s">
        <v>3</v>
      </c>
    </row>
    <row r="653">
      <c r="A653" s="3">
        <v>2016.0</v>
      </c>
      <c r="B653" s="4" t="s">
        <v>1516</v>
      </c>
      <c r="C653" s="3">
        <v>741.0</v>
      </c>
      <c r="D653" s="4"/>
    </row>
    <row r="654">
      <c r="A654" s="3">
        <v>2016.0</v>
      </c>
      <c r="B654" s="4" t="s">
        <v>2185</v>
      </c>
      <c r="C654" s="3">
        <v>700.0</v>
      </c>
      <c r="D654" s="4"/>
    </row>
    <row r="655">
      <c r="A655" s="3">
        <v>2016.0</v>
      </c>
      <c r="B655" s="4" t="s">
        <v>979</v>
      </c>
      <c r="C655" s="3">
        <v>700.0</v>
      </c>
      <c r="D655" s="3" t="s">
        <v>3</v>
      </c>
    </row>
    <row r="656">
      <c r="A656" s="3">
        <v>2016.0</v>
      </c>
      <c r="B656" s="4" t="s">
        <v>1085</v>
      </c>
      <c r="C656" s="3">
        <v>700.0</v>
      </c>
      <c r="D656" s="4"/>
    </row>
    <row r="657">
      <c r="A657" s="3">
        <v>2016.0</v>
      </c>
      <c r="B657" s="4" t="s">
        <v>1272</v>
      </c>
      <c r="C657" s="3">
        <v>700.0</v>
      </c>
      <c r="D657" s="3" t="s">
        <v>3</v>
      </c>
    </row>
    <row r="658">
      <c r="A658" s="3">
        <v>2016.0</v>
      </c>
      <c r="B658" s="4" t="s">
        <v>1689</v>
      </c>
      <c r="C658" s="3">
        <v>700.0</v>
      </c>
      <c r="D658" s="4"/>
    </row>
    <row r="659">
      <c r="A659" s="3">
        <v>2016.0</v>
      </c>
      <c r="B659" s="4" t="s">
        <v>2322</v>
      </c>
      <c r="C659" s="3">
        <v>700.0</v>
      </c>
      <c r="D659" s="3" t="s">
        <v>3</v>
      </c>
    </row>
    <row r="660">
      <c r="A660" s="3">
        <v>2016.0</v>
      </c>
      <c r="B660" s="4" t="s">
        <v>1778</v>
      </c>
      <c r="C660" s="3">
        <v>650.0</v>
      </c>
      <c r="D660" s="4"/>
    </row>
    <row r="661">
      <c r="A661" s="3">
        <v>2016.0</v>
      </c>
      <c r="B661" s="4" t="s">
        <v>2110</v>
      </c>
      <c r="C661" s="3">
        <v>600.0</v>
      </c>
      <c r="D661" s="4"/>
    </row>
    <row r="662">
      <c r="A662" s="3">
        <v>2016.0</v>
      </c>
      <c r="B662" s="4" t="s">
        <v>665</v>
      </c>
      <c r="C662" s="3">
        <v>600.0</v>
      </c>
      <c r="D662" s="3" t="s">
        <v>6</v>
      </c>
    </row>
    <row r="663">
      <c r="A663" s="3">
        <v>2016.0</v>
      </c>
      <c r="B663" s="4" t="s">
        <v>1345</v>
      </c>
      <c r="C663" s="3">
        <v>600.0</v>
      </c>
      <c r="D663" s="4"/>
    </row>
    <row r="664">
      <c r="A664" s="3">
        <v>2016.0</v>
      </c>
      <c r="B664" s="4" t="s">
        <v>1659</v>
      </c>
      <c r="C664" s="3">
        <v>600.0</v>
      </c>
      <c r="D664" s="4"/>
    </row>
    <row r="665">
      <c r="A665" s="3">
        <v>2016.0</v>
      </c>
      <c r="B665" s="4" t="s">
        <v>1663</v>
      </c>
      <c r="C665" s="3">
        <v>600.0</v>
      </c>
      <c r="D665" s="4"/>
    </row>
    <row r="666">
      <c r="A666" s="3">
        <v>2016.0</v>
      </c>
      <c r="B666" s="4" t="s">
        <v>1765</v>
      </c>
      <c r="C666" s="3">
        <v>600.0</v>
      </c>
      <c r="D666" s="3" t="s">
        <v>32</v>
      </c>
    </row>
    <row r="667">
      <c r="A667" s="3">
        <v>2016.0</v>
      </c>
      <c r="B667" s="4" t="s">
        <v>2080</v>
      </c>
      <c r="C667" s="3">
        <v>571.0</v>
      </c>
      <c r="D667" s="4"/>
    </row>
    <row r="668">
      <c r="A668" s="3">
        <v>2016.0</v>
      </c>
      <c r="B668" s="4" t="s">
        <v>17</v>
      </c>
      <c r="C668" s="3">
        <v>500.0</v>
      </c>
      <c r="D668" s="4"/>
    </row>
    <row r="669">
      <c r="A669" s="3">
        <v>2016.0</v>
      </c>
      <c r="B669" s="4" t="s">
        <v>62</v>
      </c>
      <c r="C669" s="3">
        <v>500.0</v>
      </c>
      <c r="D669" s="4"/>
    </row>
    <row r="670">
      <c r="A670" s="3">
        <v>2016.0</v>
      </c>
      <c r="B670" s="4" t="s">
        <v>2077</v>
      </c>
      <c r="C670" s="3">
        <v>500.0</v>
      </c>
      <c r="D670" s="4"/>
    </row>
    <row r="671">
      <c r="A671" s="3">
        <v>2016.0</v>
      </c>
      <c r="B671" s="4" t="s">
        <v>2079</v>
      </c>
      <c r="C671" s="3">
        <v>500.0</v>
      </c>
      <c r="D671" s="4"/>
    </row>
    <row r="672">
      <c r="A672" s="3">
        <v>2016.0</v>
      </c>
      <c r="B672" s="4" t="s">
        <v>2081</v>
      </c>
      <c r="C672" s="3">
        <v>500.0</v>
      </c>
      <c r="D672" s="4"/>
    </row>
    <row r="673">
      <c r="A673" s="3">
        <v>2016.0</v>
      </c>
      <c r="B673" s="4" t="s">
        <v>2137</v>
      </c>
      <c r="C673" s="3">
        <v>500.0</v>
      </c>
      <c r="D673" s="4"/>
    </row>
    <row r="674">
      <c r="A674" s="3">
        <v>2016.0</v>
      </c>
      <c r="B674" s="4" t="s">
        <v>502</v>
      </c>
      <c r="C674" s="3">
        <v>500.0</v>
      </c>
      <c r="D674" s="3" t="s">
        <v>26</v>
      </c>
    </row>
    <row r="675">
      <c r="A675" s="3">
        <v>2016.0</v>
      </c>
      <c r="B675" s="4" t="s">
        <v>2179</v>
      </c>
      <c r="C675" s="3">
        <v>500.0</v>
      </c>
      <c r="D675" s="3" t="s">
        <v>3</v>
      </c>
    </row>
    <row r="676">
      <c r="A676" s="3">
        <v>2016.0</v>
      </c>
      <c r="B676" s="4" t="s">
        <v>541</v>
      </c>
      <c r="C676" s="3">
        <v>500.0</v>
      </c>
      <c r="D676" s="4"/>
    </row>
    <row r="677">
      <c r="A677" s="3">
        <v>2016.0</v>
      </c>
      <c r="B677" s="4" t="s">
        <v>552</v>
      </c>
      <c r="C677" s="3">
        <v>500.0</v>
      </c>
      <c r="D677" s="4"/>
    </row>
    <row r="678">
      <c r="A678" s="3">
        <v>2016.0</v>
      </c>
      <c r="B678" s="4" t="s">
        <v>2184</v>
      </c>
      <c r="C678" s="3">
        <v>500.0</v>
      </c>
      <c r="D678" s="3" t="s">
        <v>6</v>
      </c>
    </row>
    <row r="679">
      <c r="A679" s="3">
        <v>2016.0</v>
      </c>
      <c r="B679" s="4" t="s">
        <v>662</v>
      </c>
      <c r="C679" s="3">
        <v>500.0</v>
      </c>
      <c r="D679" s="4"/>
    </row>
    <row r="680">
      <c r="A680" s="3">
        <v>2016.0</v>
      </c>
      <c r="B680" s="4" t="s">
        <v>833</v>
      </c>
      <c r="C680" s="3">
        <v>500.0</v>
      </c>
      <c r="D680" s="4"/>
    </row>
    <row r="681">
      <c r="A681" s="3">
        <v>2016.0</v>
      </c>
      <c r="B681" s="4" t="s">
        <v>2220</v>
      </c>
      <c r="C681" s="3">
        <v>500.0</v>
      </c>
      <c r="D681" s="4"/>
    </row>
    <row r="682">
      <c r="A682" s="3">
        <v>2016.0</v>
      </c>
      <c r="B682" s="4" t="s">
        <v>2225</v>
      </c>
      <c r="C682" s="3">
        <v>500.0</v>
      </c>
      <c r="D682" s="4"/>
    </row>
    <row r="683">
      <c r="A683" s="3">
        <v>2016.0</v>
      </c>
      <c r="B683" s="4" t="s">
        <v>2232</v>
      </c>
      <c r="C683" s="3">
        <v>500.0</v>
      </c>
      <c r="D683" s="3" t="s">
        <v>3</v>
      </c>
    </row>
    <row r="684">
      <c r="A684" s="3">
        <v>2016.0</v>
      </c>
      <c r="B684" s="4" t="s">
        <v>1005</v>
      </c>
      <c r="C684" s="3">
        <v>500.0</v>
      </c>
      <c r="D684" s="4"/>
    </row>
    <row r="685">
      <c r="A685" s="3">
        <v>2016.0</v>
      </c>
      <c r="B685" s="4" t="s">
        <v>1041</v>
      </c>
      <c r="C685" s="3">
        <v>500.0</v>
      </c>
      <c r="D685" s="4"/>
    </row>
    <row r="686">
      <c r="A686" s="3">
        <v>2016.0</v>
      </c>
      <c r="B686" s="4" t="s">
        <v>1083</v>
      </c>
      <c r="C686" s="3">
        <v>500.0</v>
      </c>
      <c r="D686" s="3" t="s">
        <v>32</v>
      </c>
    </row>
    <row r="687">
      <c r="A687" s="3">
        <v>2016.0</v>
      </c>
      <c r="B687" s="4" t="s">
        <v>1098</v>
      </c>
      <c r="C687" s="3">
        <v>500.0</v>
      </c>
      <c r="D687" s="4"/>
    </row>
    <row r="688">
      <c r="A688" s="3">
        <v>2016.0</v>
      </c>
      <c r="B688" s="4" t="s">
        <v>1134</v>
      </c>
      <c r="C688" s="3">
        <v>500.0</v>
      </c>
      <c r="D688" s="4"/>
    </row>
    <row r="689">
      <c r="A689" s="3">
        <v>2016.0</v>
      </c>
      <c r="B689" s="4" t="s">
        <v>1161</v>
      </c>
      <c r="C689" s="3">
        <v>500.0</v>
      </c>
      <c r="D689" s="4"/>
    </row>
    <row r="690">
      <c r="A690" s="3">
        <v>2016.0</v>
      </c>
      <c r="B690" s="4" t="s">
        <v>2258</v>
      </c>
      <c r="C690" s="3">
        <v>500.0</v>
      </c>
      <c r="D690" s="4"/>
    </row>
    <row r="691">
      <c r="A691" s="3">
        <v>2016.0</v>
      </c>
      <c r="B691" s="4" t="s">
        <v>1182</v>
      </c>
      <c r="C691" s="3">
        <v>500.0</v>
      </c>
      <c r="D691" s="4"/>
    </row>
    <row r="692">
      <c r="A692" s="3">
        <v>2016.0</v>
      </c>
      <c r="B692" s="3" t="s">
        <v>2739</v>
      </c>
      <c r="C692" s="3">
        <v>500.0</v>
      </c>
      <c r="D692" s="4"/>
    </row>
    <row r="693">
      <c r="A693" s="3">
        <v>2016.0</v>
      </c>
      <c r="B693" s="4" t="s">
        <v>1245</v>
      </c>
      <c r="C693" s="3">
        <v>500.0</v>
      </c>
      <c r="D693" s="4"/>
    </row>
    <row r="694">
      <c r="A694" s="3">
        <v>2016.0</v>
      </c>
      <c r="B694" s="4" t="s">
        <v>1303</v>
      </c>
      <c r="C694" s="3">
        <v>500.0</v>
      </c>
      <c r="D694" s="3" t="s">
        <v>6</v>
      </c>
    </row>
    <row r="695">
      <c r="A695" s="3">
        <v>2016.0</v>
      </c>
      <c r="B695" s="4" t="s">
        <v>1312</v>
      </c>
      <c r="C695" s="3">
        <v>500.0</v>
      </c>
      <c r="D695" s="3" t="s">
        <v>3</v>
      </c>
    </row>
    <row r="696">
      <c r="A696" s="3">
        <v>2016.0</v>
      </c>
      <c r="B696" s="4" t="s">
        <v>1332</v>
      </c>
      <c r="C696" s="3">
        <v>500.0</v>
      </c>
      <c r="D696" s="4"/>
    </row>
    <row r="697">
      <c r="A697" s="3">
        <v>2016.0</v>
      </c>
      <c r="B697" s="4" t="s">
        <v>1388</v>
      </c>
      <c r="C697" s="3">
        <v>500.0</v>
      </c>
      <c r="D697" s="3" t="s">
        <v>32</v>
      </c>
    </row>
    <row r="698">
      <c r="A698" s="3">
        <v>2016.0</v>
      </c>
      <c r="B698" s="4" t="s">
        <v>1415</v>
      </c>
      <c r="C698" s="3">
        <v>500.0</v>
      </c>
      <c r="D698" s="4"/>
    </row>
    <row r="699">
      <c r="A699" s="3">
        <v>2016.0</v>
      </c>
      <c r="B699" s="4" t="s">
        <v>1444</v>
      </c>
      <c r="C699" s="3">
        <v>500.0</v>
      </c>
      <c r="D699" s="4"/>
    </row>
    <row r="700">
      <c r="A700" s="3">
        <v>2016.0</v>
      </c>
      <c r="B700" s="4" t="s">
        <v>1454</v>
      </c>
      <c r="C700" s="3">
        <v>500.0</v>
      </c>
      <c r="D700" s="3" t="s">
        <v>484</v>
      </c>
    </row>
    <row r="701">
      <c r="A701" s="3">
        <v>2016.0</v>
      </c>
      <c r="B701" s="4" t="s">
        <v>2275</v>
      </c>
      <c r="C701" s="3">
        <v>500.0</v>
      </c>
      <c r="D701" s="4"/>
    </row>
    <row r="702">
      <c r="A702" s="3">
        <v>2016.0</v>
      </c>
      <c r="B702" s="4" t="s">
        <v>1491</v>
      </c>
      <c r="C702" s="3">
        <v>500.0</v>
      </c>
      <c r="D702" s="4"/>
    </row>
    <row r="703">
      <c r="A703" s="3">
        <v>2016.0</v>
      </c>
      <c r="B703" s="4" t="s">
        <v>1641</v>
      </c>
      <c r="C703" s="3">
        <v>500.0</v>
      </c>
      <c r="D703" s="4"/>
    </row>
    <row r="704">
      <c r="A704" s="3">
        <v>2016.0</v>
      </c>
      <c r="B704" s="4" t="s">
        <v>1697</v>
      </c>
      <c r="C704" s="3">
        <v>500.0</v>
      </c>
      <c r="D704" s="3" t="s">
        <v>32</v>
      </c>
    </row>
    <row r="705">
      <c r="A705" s="3">
        <v>2016.0</v>
      </c>
      <c r="B705" s="4" t="s">
        <v>1712</v>
      </c>
      <c r="C705" s="3">
        <v>500.0</v>
      </c>
      <c r="D705" s="4"/>
    </row>
    <row r="706">
      <c r="A706" s="3">
        <v>2016.0</v>
      </c>
      <c r="B706" s="4" t="s">
        <v>2301</v>
      </c>
      <c r="C706" s="3">
        <v>500.0</v>
      </c>
      <c r="D706" s="4"/>
    </row>
    <row r="707">
      <c r="A707" s="3">
        <v>2016.0</v>
      </c>
      <c r="B707" s="4" t="s">
        <v>1909</v>
      </c>
      <c r="C707" s="3">
        <v>500.0</v>
      </c>
      <c r="D707" s="4"/>
    </row>
    <row r="708">
      <c r="A708" s="3">
        <v>2016.0</v>
      </c>
      <c r="B708" s="4" t="s">
        <v>1910</v>
      </c>
      <c r="C708" s="3">
        <v>500.0</v>
      </c>
      <c r="D708" s="4"/>
    </row>
    <row r="709">
      <c r="A709" s="3">
        <v>2016.0</v>
      </c>
      <c r="B709" s="4" t="s">
        <v>2317</v>
      </c>
      <c r="C709" s="3">
        <v>500.0</v>
      </c>
      <c r="D709" s="4"/>
    </row>
    <row r="710">
      <c r="A710" s="3">
        <v>2016.0</v>
      </c>
      <c r="B710" s="4" t="s">
        <v>1944</v>
      </c>
      <c r="C710" s="3">
        <v>500.0</v>
      </c>
      <c r="D710" s="4"/>
    </row>
    <row r="711">
      <c r="A711" s="3">
        <v>2016.0</v>
      </c>
      <c r="B711" s="4" t="s">
        <v>1995</v>
      </c>
      <c r="C711" s="3">
        <v>500.0</v>
      </c>
      <c r="D711" s="3" t="s">
        <v>3</v>
      </c>
    </row>
    <row r="712">
      <c r="A712" s="3">
        <v>2016.0</v>
      </c>
      <c r="B712" s="4" t="s">
        <v>1996</v>
      </c>
      <c r="C712" s="3">
        <v>500.0</v>
      </c>
      <c r="D712" s="3" t="s">
        <v>3</v>
      </c>
    </row>
    <row r="713">
      <c r="A713" s="3">
        <v>2016.0</v>
      </c>
      <c r="B713" s="4" t="s">
        <v>1395</v>
      </c>
      <c r="C713" s="3">
        <v>420.0</v>
      </c>
      <c r="D713" s="4"/>
    </row>
    <row r="714">
      <c r="A714" s="3">
        <v>2016.0</v>
      </c>
      <c r="B714" s="4" t="s">
        <v>381</v>
      </c>
      <c r="C714" s="3">
        <v>400.0</v>
      </c>
      <c r="D714" s="3" t="s">
        <v>6</v>
      </c>
    </row>
    <row r="715">
      <c r="A715" s="3">
        <v>2016.0</v>
      </c>
      <c r="B715" s="4" t="s">
        <v>2168</v>
      </c>
      <c r="C715" s="3">
        <v>400.0</v>
      </c>
      <c r="D715" s="3" t="s">
        <v>3</v>
      </c>
    </row>
    <row r="716">
      <c r="A716" s="3">
        <v>2016.0</v>
      </c>
      <c r="B716" s="4" t="s">
        <v>2180</v>
      </c>
      <c r="C716" s="3">
        <v>400.0</v>
      </c>
      <c r="D716" s="3" t="s">
        <v>3</v>
      </c>
    </row>
    <row r="717">
      <c r="A717" s="3">
        <v>2016.0</v>
      </c>
      <c r="B717" s="4" t="s">
        <v>2195</v>
      </c>
      <c r="C717" s="3">
        <v>400.0</v>
      </c>
      <c r="D717" s="3" t="s">
        <v>3</v>
      </c>
    </row>
    <row r="718">
      <c r="A718" s="3">
        <v>2016.0</v>
      </c>
      <c r="B718" s="4" t="s">
        <v>973</v>
      </c>
      <c r="C718" s="3">
        <v>400.0</v>
      </c>
      <c r="D718" s="4"/>
    </row>
    <row r="719">
      <c r="A719" s="3">
        <v>2016.0</v>
      </c>
      <c r="B719" s="4" t="s">
        <v>1440</v>
      </c>
      <c r="C719" s="3">
        <v>400.0</v>
      </c>
      <c r="D719" s="4"/>
    </row>
    <row r="720">
      <c r="A720" s="3">
        <v>2016.0</v>
      </c>
      <c r="B720" s="4" t="s">
        <v>1544</v>
      </c>
      <c r="C720" s="3">
        <v>400.0</v>
      </c>
      <c r="D720" s="4"/>
    </row>
    <row r="721">
      <c r="A721" s="3">
        <v>2016.0</v>
      </c>
      <c r="B721" s="4" t="s">
        <v>1912</v>
      </c>
      <c r="C721" s="3">
        <v>400.0</v>
      </c>
      <c r="D721" s="4"/>
    </row>
    <row r="722">
      <c r="A722" s="3">
        <v>2016.0</v>
      </c>
      <c r="B722" s="4" t="s">
        <v>2316</v>
      </c>
      <c r="C722" s="3">
        <v>400.0</v>
      </c>
      <c r="D722" s="4"/>
    </row>
    <row r="723">
      <c r="A723" s="3">
        <v>2016.0</v>
      </c>
      <c r="B723" s="4" t="s">
        <v>2321</v>
      </c>
      <c r="C723" s="3">
        <v>400.0</v>
      </c>
      <c r="D723" s="3" t="s">
        <v>6</v>
      </c>
    </row>
    <row r="724">
      <c r="A724" s="3">
        <v>2016.0</v>
      </c>
      <c r="B724" s="4" t="s">
        <v>44</v>
      </c>
      <c r="C724" s="3">
        <v>300.0</v>
      </c>
      <c r="D724" s="3" t="s">
        <v>3</v>
      </c>
    </row>
    <row r="725">
      <c r="A725" s="3">
        <v>2016.0</v>
      </c>
      <c r="B725" s="4" t="s">
        <v>116</v>
      </c>
      <c r="C725" s="3">
        <v>300.0</v>
      </c>
      <c r="D725" s="4"/>
    </row>
    <row r="726">
      <c r="A726" s="3">
        <v>2016.0</v>
      </c>
      <c r="B726" s="4" t="s">
        <v>2098</v>
      </c>
      <c r="C726" s="3">
        <v>300.0</v>
      </c>
      <c r="D726" s="3" t="s">
        <v>3</v>
      </c>
    </row>
    <row r="727">
      <c r="A727" s="3">
        <v>2016.0</v>
      </c>
      <c r="B727" s="4" t="s">
        <v>465</v>
      </c>
      <c r="C727" s="3">
        <v>300.0</v>
      </c>
      <c r="D727" s="3" t="s">
        <v>3</v>
      </c>
    </row>
    <row r="728">
      <c r="A728" s="3">
        <v>2016.0</v>
      </c>
      <c r="B728" s="4" t="s">
        <v>660</v>
      </c>
      <c r="C728" s="3">
        <v>300.0</v>
      </c>
      <c r="D728" s="4"/>
    </row>
    <row r="729">
      <c r="A729" s="3">
        <v>2016.0</v>
      </c>
      <c r="B729" s="4" t="s">
        <v>1241</v>
      </c>
      <c r="C729" s="3">
        <v>300.0</v>
      </c>
      <c r="D729" s="4"/>
    </row>
    <row r="730">
      <c r="A730" s="3">
        <v>2016.0</v>
      </c>
      <c r="B730" s="4" t="s">
        <v>1553</v>
      </c>
      <c r="C730" s="3">
        <v>300.0</v>
      </c>
      <c r="D730" s="4"/>
    </row>
    <row r="731">
      <c r="A731" s="3">
        <v>2016.0</v>
      </c>
      <c r="B731" s="4" t="s">
        <v>1813</v>
      </c>
      <c r="C731" s="3">
        <v>300.0</v>
      </c>
      <c r="D731" s="4"/>
    </row>
    <row r="732">
      <c r="A732" s="3">
        <v>2016.0</v>
      </c>
      <c r="B732" s="4" t="s">
        <v>1822</v>
      </c>
      <c r="C732" s="3">
        <v>300.0</v>
      </c>
      <c r="D732" s="4"/>
    </row>
    <row r="733">
      <c r="A733" s="3">
        <v>2016.0</v>
      </c>
      <c r="B733" s="4" t="s">
        <v>2159</v>
      </c>
      <c r="C733" s="3">
        <v>250.0</v>
      </c>
      <c r="D733" s="3" t="s">
        <v>3</v>
      </c>
    </row>
    <row r="734">
      <c r="A734" s="3">
        <v>2016.0</v>
      </c>
      <c r="B734" s="4" t="s">
        <v>2178</v>
      </c>
      <c r="C734" s="3">
        <v>250.0</v>
      </c>
      <c r="D734" s="4"/>
    </row>
    <row r="735">
      <c r="A735" s="3">
        <v>2016.0</v>
      </c>
      <c r="B735" s="4" t="s">
        <v>2287</v>
      </c>
      <c r="C735" s="3">
        <v>200.0</v>
      </c>
      <c r="D735" s="3" t="s">
        <v>3</v>
      </c>
    </row>
    <row r="736">
      <c r="A736" s="3">
        <v>2016.0</v>
      </c>
      <c r="B736" s="4" t="s">
        <v>1835</v>
      </c>
      <c r="C736" s="3">
        <v>200.0</v>
      </c>
      <c r="D736" s="3" t="s">
        <v>6</v>
      </c>
    </row>
    <row r="737">
      <c r="A737" s="3">
        <v>2016.0</v>
      </c>
      <c r="B737" s="4" t="s">
        <v>764</v>
      </c>
      <c r="C737" s="3">
        <v>150.0</v>
      </c>
      <c r="D737" s="3" t="s">
        <v>3</v>
      </c>
    </row>
    <row r="738">
      <c r="A738" s="3">
        <v>2016.0</v>
      </c>
      <c r="B738" s="4" t="s">
        <v>1725</v>
      </c>
      <c r="C738" s="3">
        <v>150.0</v>
      </c>
      <c r="D738" s="4"/>
    </row>
    <row r="739">
      <c r="A739" s="3">
        <v>2016.0</v>
      </c>
      <c r="B739" s="4" t="s">
        <v>1434</v>
      </c>
      <c r="C739" s="3">
        <v>120.0</v>
      </c>
      <c r="D739" s="3" t="s">
        <v>32</v>
      </c>
    </row>
    <row r="740">
      <c r="A740" s="3">
        <v>2016.0</v>
      </c>
      <c r="B740" s="4" t="s">
        <v>831</v>
      </c>
      <c r="C740" s="3">
        <v>100.0</v>
      </c>
      <c r="D740" s="3" t="s">
        <v>3</v>
      </c>
    </row>
    <row r="741">
      <c r="A741" s="3">
        <v>2016.0</v>
      </c>
      <c r="B741" s="4" t="s">
        <v>2343</v>
      </c>
      <c r="C741" s="3">
        <v>82.0</v>
      </c>
      <c r="D741" s="4"/>
    </row>
    <row r="742">
      <c r="A742" s="3">
        <v>2016.0</v>
      </c>
      <c r="B742" s="4" t="s">
        <v>2069</v>
      </c>
      <c r="C742" s="3">
        <v>0.0</v>
      </c>
      <c r="D742" s="3" t="s">
        <v>3</v>
      </c>
    </row>
    <row r="743">
      <c r="A743" s="3">
        <v>2016.0</v>
      </c>
      <c r="B743" s="4" t="s">
        <v>5</v>
      </c>
      <c r="C743" s="3">
        <v>0.0</v>
      </c>
      <c r="D743" s="3" t="s">
        <v>6</v>
      </c>
    </row>
    <row r="744">
      <c r="A744" s="3">
        <v>2016.0</v>
      </c>
      <c r="B744" s="4" t="s">
        <v>7</v>
      </c>
      <c r="C744" s="3">
        <v>0.0</v>
      </c>
      <c r="D744" s="3" t="s">
        <v>3</v>
      </c>
    </row>
    <row r="745">
      <c r="A745" s="3">
        <v>2016.0</v>
      </c>
      <c r="B745" s="4" t="s">
        <v>8</v>
      </c>
      <c r="C745" s="3">
        <v>0.0</v>
      </c>
      <c r="D745" s="3" t="s">
        <v>3</v>
      </c>
    </row>
    <row r="746">
      <c r="A746" s="3">
        <v>2016.0</v>
      </c>
      <c r="B746" s="4" t="s">
        <v>9</v>
      </c>
      <c r="C746" s="3">
        <v>0.0</v>
      </c>
      <c r="D746" s="3" t="s">
        <v>3</v>
      </c>
    </row>
    <row r="747">
      <c r="A747" s="3">
        <v>2016.0</v>
      </c>
      <c r="B747" s="4" t="s">
        <v>23</v>
      </c>
      <c r="C747" s="3">
        <v>0.0</v>
      </c>
      <c r="D747" s="3" t="s">
        <v>3</v>
      </c>
    </row>
    <row r="748">
      <c r="A748" s="3">
        <v>2016.0</v>
      </c>
      <c r="B748" s="4" t="s">
        <v>24</v>
      </c>
      <c r="C748" s="3">
        <v>0.0</v>
      </c>
      <c r="D748" s="3" t="s">
        <v>3</v>
      </c>
    </row>
    <row r="749">
      <c r="A749" s="3">
        <v>2016.0</v>
      </c>
      <c r="B749" s="4" t="s">
        <v>25</v>
      </c>
      <c r="C749" s="3">
        <v>0.0</v>
      </c>
      <c r="D749" s="3" t="s">
        <v>26</v>
      </c>
    </row>
    <row r="750">
      <c r="A750" s="3">
        <v>2016.0</v>
      </c>
      <c r="B750" s="4" t="s">
        <v>27</v>
      </c>
      <c r="C750" s="3">
        <v>0.0</v>
      </c>
      <c r="D750" s="3" t="s">
        <v>3</v>
      </c>
    </row>
    <row r="751">
      <c r="A751" s="3">
        <v>2016.0</v>
      </c>
      <c r="B751" s="4" t="s">
        <v>28</v>
      </c>
      <c r="C751" s="3">
        <v>0.0</v>
      </c>
      <c r="D751" s="3" t="s">
        <v>29</v>
      </c>
    </row>
    <row r="752">
      <c r="A752" s="3">
        <v>2016.0</v>
      </c>
      <c r="B752" s="4" t="s">
        <v>34</v>
      </c>
      <c r="C752" s="3">
        <v>0.0</v>
      </c>
      <c r="D752" s="3" t="s">
        <v>3</v>
      </c>
    </row>
    <row r="753">
      <c r="A753" s="3">
        <v>2016.0</v>
      </c>
      <c r="B753" s="4" t="s">
        <v>2072</v>
      </c>
      <c r="C753" s="3">
        <v>0.0</v>
      </c>
      <c r="D753" s="3" t="s">
        <v>3</v>
      </c>
    </row>
    <row r="754">
      <c r="A754" s="3">
        <v>2016.0</v>
      </c>
      <c r="B754" s="4" t="s">
        <v>2074</v>
      </c>
      <c r="C754" s="3">
        <v>0.0</v>
      </c>
      <c r="D754" s="3" t="s">
        <v>3</v>
      </c>
    </row>
    <row r="755">
      <c r="A755" s="3">
        <v>2016.0</v>
      </c>
      <c r="B755" s="4" t="s">
        <v>54</v>
      </c>
      <c r="C755" s="3">
        <v>0.0</v>
      </c>
      <c r="D755" s="3" t="s">
        <v>3</v>
      </c>
    </row>
    <row r="756">
      <c r="A756" s="3">
        <v>2016.0</v>
      </c>
      <c r="B756" s="4" t="s">
        <v>59</v>
      </c>
      <c r="C756" s="3">
        <v>0.0</v>
      </c>
      <c r="D756" s="3" t="s">
        <v>3</v>
      </c>
    </row>
    <row r="757">
      <c r="A757" s="3">
        <v>2016.0</v>
      </c>
      <c r="B757" s="4" t="s">
        <v>60</v>
      </c>
      <c r="C757" s="3">
        <v>0.0</v>
      </c>
      <c r="D757" s="3" t="s">
        <v>3</v>
      </c>
    </row>
    <row r="758">
      <c r="A758" s="3">
        <v>2016.0</v>
      </c>
      <c r="B758" s="4" t="s">
        <v>61</v>
      </c>
      <c r="C758" s="3">
        <v>0.0</v>
      </c>
      <c r="D758" s="3" t="s">
        <v>3</v>
      </c>
    </row>
    <row r="759">
      <c r="A759" s="3">
        <v>2016.0</v>
      </c>
      <c r="B759" s="4" t="s">
        <v>66</v>
      </c>
      <c r="C759" s="3">
        <v>0.0</v>
      </c>
      <c r="D759" s="3" t="s">
        <v>6</v>
      </c>
    </row>
    <row r="760">
      <c r="A760" s="3">
        <v>2016.0</v>
      </c>
      <c r="B760" s="4" t="s">
        <v>73</v>
      </c>
      <c r="C760" s="3">
        <v>0.0</v>
      </c>
      <c r="D760" s="3" t="s">
        <v>6</v>
      </c>
    </row>
    <row r="761">
      <c r="A761" s="3">
        <v>2016.0</v>
      </c>
      <c r="B761" s="4" t="s">
        <v>80</v>
      </c>
      <c r="C761" s="3">
        <v>0.0</v>
      </c>
      <c r="D761" s="3" t="s">
        <v>3</v>
      </c>
    </row>
    <row r="762">
      <c r="A762" s="3">
        <v>2016.0</v>
      </c>
      <c r="B762" s="4" t="s">
        <v>86</v>
      </c>
      <c r="C762" s="3">
        <v>0.0</v>
      </c>
      <c r="D762" s="3" t="s">
        <v>32</v>
      </c>
    </row>
    <row r="763">
      <c r="A763" s="3">
        <v>2016.0</v>
      </c>
      <c r="B763" s="4" t="s">
        <v>87</v>
      </c>
      <c r="C763" s="3">
        <v>0.0</v>
      </c>
      <c r="D763" s="3" t="s">
        <v>3</v>
      </c>
    </row>
    <row r="764">
      <c r="A764" s="3">
        <v>2016.0</v>
      </c>
      <c r="B764" s="4" t="s">
        <v>90</v>
      </c>
      <c r="C764" s="3">
        <v>0.0</v>
      </c>
      <c r="D764" s="3" t="s">
        <v>3</v>
      </c>
    </row>
    <row r="765">
      <c r="A765" s="3">
        <v>2016.0</v>
      </c>
      <c r="B765" s="4" t="s">
        <v>91</v>
      </c>
      <c r="C765" s="3">
        <v>0.0</v>
      </c>
      <c r="D765" s="3" t="s">
        <v>3</v>
      </c>
    </row>
    <row r="766">
      <c r="A766" s="3">
        <v>2016.0</v>
      </c>
      <c r="B766" s="4" t="s">
        <v>92</v>
      </c>
      <c r="C766" s="3">
        <v>0.0</v>
      </c>
      <c r="D766" s="3" t="s">
        <v>6</v>
      </c>
    </row>
    <row r="767">
      <c r="A767" s="3">
        <v>2016.0</v>
      </c>
      <c r="B767" s="4" t="s">
        <v>99</v>
      </c>
      <c r="C767" s="3">
        <v>0.0</v>
      </c>
      <c r="D767" s="3" t="s">
        <v>3</v>
      </c>
    </row>
    <row r="768">
      <c r="A768" s="3">
        <v>2016.0</v>
      </c>
      <c r="B768" s="4" t="s">
        <v>100</v>
      </c>
      <c r="C768" s="3">
        <v>0.0</v>
      </c>
      <c r="D768" s="3" t="s">
        <v>3</v>
      </c>
    </row>
    <row r="769">
      <c r="A769" s="3">
        <v>2016.0</v>
      </c>
      <c r="B769" s="4" t="s">
        <v>101</v>
      </c>
      <c r="C769" s="3">
        <v>0.0</v>
      </c>
      <c r="D769" s="3" t="s">
        <v>3</v>
      </c>
    </row>
    <row r="770">
      <c r="A770" s="3">
        <v>2016.0</v>
      </c>
      <c r="B770" s="4" t="s">
        <v>102</v>
      </c>
      <c r="C770" s="3">
        <v>0.0</v>
      </c>
      <c r="D770" s="3" t="s">
        <v>3</v>
      </c>
    </row>
    <row r="771">
      <c r="A771" s="3">
        <v>2016.0</v>
      </c>
      <c r="B771" s="4" t="s">
        <v>104</v>
      </c>
      <c r="C771" s="3">
        <v>0.0</v>
      </c>
      <c r="D771" s="3" t="s">
        <v>3</v>
      </c>
    </row>
    <row r="772">
      <c r="A772" s="3">
        <v>2016.0</v>
      </c>
      <c r="B772" s="4" t="s">
        <v>105</v>
      </c>
      <c r="C772" s="3">
        <v>0.0</v>
      </c>
      <c r="D772" s="3" t="s">
        <v>3</v>
      </c>
    </row>
    <row r="773">
      <c r="A773" s="3">
        <v>2016.0</v>
      </c>
      <c r="B773" s="4" t="s">
        <v>2082</v>
      </c>
      <c r="C773" s="3">
        <v>0.0</v>
      </c>
      <c r="D773" s="3" t="s">
        <v>3</v>
      </c>
    </row>
    <row r="774">
      <c r="A774" s="3">
        <v>2016.0</v>
      </c>
      <c r="B774" s="4" t="s">
        <v>110</v>
      </c>
      <c r="C774" s="3">
        <v>0.0</v>
      </c>
      <c r="D774" s="3" t="s">
        <v>3</v>
      </c>
    </row>
    <row r="775">
      <c r="A775" s="3">
        <v>2016.0</v>
      </c>
      <c r="B775" s="4" t="s">
        <v>2084</v>
      </c>
      <c r="C775" s="3">
        <v>0.0</v>
      </c>
      <c r="D775" s="3" t="s">
        <v>3</v>
      </c>
    </row>
    <row r="776">
      <c r="A776" s="3">
        <v>2016.0</v>
      </c>
      <c r="B776" s="4" t="s">
        <v>121</v>
      </c>
      <c r="C776" s="3">
        <v>0.0</v>
      </c>
      <c r="D776" s="3" t="s">
        <v>3</v>
      </c>
    </row>
    <row r="777">
      <c r="A777" s="3">
        <v>2016.0</v>
      </c>
      <c r="B777" s="4" t="s">
        <v>2087</v>
      </c>
      <c r="C777" s="3">
        <v>0.0</v>
      </c>
      <c r="D777" s="3" t="s">
        <v>29</v>
      </c>
    </row>
    <row r="778">
      <c r="A778" s="3">
        <v>2016.0</v>
      </c>
      <c r="B778" s="4" t="s">
        <v>131</v>
      </c>
      <c r="C778" s="3">
        <v>0.0</v>
      </c>
      <c r="D778" s="3" t="s">
        <v>3</v>
      </c>
    </row>
    <row r="779">
      <c r="A779" s="3">
        <v>2016.0</v>
      </c>
      <c r="B779" s="4" t="s">
        <v>132</v>
      </c>
      <c r="C779" s="3">
        <v>0.0</v>
      </c>
      <c r="D779" s="3" t="s">
        <v>3</v>
      </c>
    </row>
    <row r="780">
      <c r="A780" s="3">
        <v>2016.0</v>
      </c>
      <c r="B780" s="4" t="s">
        <v>140</v>
      </c>
      <c r="C780" s="3">
        <v>0.0</v>
      </c>
      <c r="D780" s="3" t="s">
        <v>6</v>
      </c>
    </row>
    <row r="781">
      <c r="A781" s="3">
        <v>2016.0</v>
      </c>
      <c r="B781" s="4" t="s">
        <v>141</v>
      </c>
      <c r="C781" s="3">
        <v>0.0</v>
      </c>
      <c r="D781" s="3" t="s">
        <v>3</v>
      </c>
    </row>
    <row r="782">
      <c r="A782" s="3">
        <v>2016.0</v>
      </c>
      <c r="B782" s="4" t="s">
        <v>142</v>
      </c>
      <c r="C782" s="3">
        <v>0.0</v>
      </c>
      <c r="D782" s="3" t="s">
        <v>3</v>
      </c>
    </row>
    <row r="783">
      <c r="A783" s="3">
        <v>2016.0</v>
      </c>
      <c r="B783" s="4" t="s">
        <v>143</v>
      </c>
      <c r="C783" s="3">
        <v>0.0</v>
      </c>
      <c r="D783" s="3" t="s">
        <v>32</v>
      </c>
    </row>
    <row r="784">
      <c r="A784" s="3">
        <v>2016.0</v>
      </c>
      <c r="B784" s="4" t="s">
        <v>144</v>
      </c>
      <c r="C784" s="3">
        <v>0.0</v>
      </c>
      <c r="D784" s="3" t="s">
        <v>3</v>
      </c>
    </row>
    <row r="785">
      <c r="A785" s="3">
        <v>2016.0</v>
      </c>
      <c r="B785" s="4" t="s">
        <v>147</v>
      </c>
      <c r="C785" s="3">
        <v>0.0</v>
      </c>
      <c r="D785" s="3" t="s">
        <v>3</v>
      </c>
    </row>
    <row r="786">
      <c r="A786" s="3">
        <v>2016.0</v>
      </c>
      <c r="B786" s="4" t="s">
        <v>148</v>
      </c>
      <c r="C786" s="3">
        <v>0.0</v>
      </c>
      <c r="D786" s="3" t="s">
        <v>6</v>
      </c>
    </row>
    <row r="787">
      <c r="A787" s="3">
        <v>2016.0</v>
      </c>
      <c r="B787" s="4" t="s">
        <v>153</v>
      </c>
      <c r="C787" s="3">
        <v>0.0</v>
      </c>
      <c r="D787" s="3" t="s">
        <v>29</v>
      </c>
    </row>
    <row r="788">
      <c r="A788" s="3">
        <v>2016.0</v>
      </c>
      <c r="B788" s="4" t="s">
        <v>154</v>
      </c>
      <c r="C788" s="3">
        <v>0.0</v>
      </c>
      <c r="D788" s="3" t="s">
        <v>32</v>
      </c>
    </row>
    <row r="789">
      <c r="A789" s="3">
        <v>2016.0</v>
      </c>
      <c r="B789" s="4" t="s">
        <v>155</v>
      </c>
      <c r="C789" s="3">
        <v>0.0</v>
      </c>
      <c r="D789" s="3" t="s">
        <v>3</v>
      </c>
    </row>
    <row r="790">
      <c r="A790" s="3">
        <v>2016.0</v>
      </c>
      <c r="B790" s="4" t="s">
        <v>156</v>
      </c>
      <c r="C790" s="3">
        <v>0.0</v>
      </c>
      <c r="D790" s="3" t="s">
        <v>6</v>
      </c>
    </row>
    <row r="791">
      <c r="A791" s="3">
        <v>2016.0</v>
      </c>
      <c r="B791" s="4" t="s">
        <v>160</v>
      </c>
      <c r="C791" s="3">
        <v>0.0</v>
      </c>
      <c r="D791" s="3" t="s">
        <v>26</v>
      </c>
    </row>
    <row r="792">
      <c r="A792" s="3">
        <v>2016.0</v>
      </c>
      <c r="B792" s="4" t="s">
        <v>169</v>
      </c>
      <c r="C792" s="3">
        <v>0.0</v>
      </c>
      <c r="D792" s="3" t="s">
        <v>29</v>
      </c>
    </row>
    <row r="793">
      <c r="A793" s="3">
        <v>2016.0</v>
      </c>
      <c r="B793" s="4" t="s">
        <v>170</v>
      </c>
      <c r="C793" s="3">
        <v>0.0</v>
      </c>
      <c r="D793" s="3" t="s">
        <v>3</v>
      </c>
    </row>
    <row r="794">
      <c r="A794" s="3">
        <v>2016.0</v>
      </c>
      <c r="B794" s="4" t="s">
        <v>177</v>
      </c>
      <c r="C794" s="3">
        <v>0.0</v>
      </c>
      <c r="D794" s="3" t="s">
        <v>3</v>
      </c>
    </row>
    <row r="795">
      <c r="A795" s="3">
        <v>2016.0</v>
      </c>
      <c r="B795" s="4" t="s">
        <v>178</v>
      </c>
      <c r="C795" s="3">
        <v>0.0</v>
      </c>
      <c r="D795" s="3" t="s">
        <v>6</v>
      </c>
    </row>
    <row r="796">
      <c r="A796" s="3">
        <v>2016.0</v>
      </c>
      <c r="B796" s="4" t="s">
        <v>179</v>
      </c>
      <c r="C796" s="3">
        <v>0.0</v>
      </c>
      <c r="D796" s="3" t="s">
        <v>3</v>
      </c>
    </row>
    <row r="797">
      <c r="A797" s="3">
        <v>2016.0</v>
      </c>
      <c r="B797" s="4" t="s">
        <v>182</v>
      </c>
      <c r="C797" s="3">
        <v>0.0</v>
      </c>
      <c r="D797" s="3" t="s">
        <v>3</v>
      </c>
    </row>
    <row r="798">
      <c r="A798" s="3">
        <v>2016.0</v>
      </c>
      <c r="B798" s="4" t="s">
        <v>183</v>
      </c>
      <c r="C798" s="3">
        <v>0.0</v>
      </c>
      <c r="D798" s="3" t="s">
        <v>3</v>
      </c>
    </row>
    <row r="799">
      <c r="A799" s="3">
        <v>2016.0</v>
      </c>
      <c r="B799" s="4" t="s">
        <v>184</v>
      </c>
      <c r="C799" s="3">
        <v>0.0</v>
      </c>
      <c r="D799" s="3" t="s">
        <v>3</v>
      </c>
    </row>
    <row r="800">
      <c r="A800" s="3">
        <v>2016.0</v>
      </c>
      <c r="B800" s="4" t="s">
        <v>185</v>
      </c>
      <c r="C800" s="3">
        <v>0.0</v>
      </c>
      <c r="D800" s="3" t="s">
        <v>6</v>
      </c>
    </row>
    <row r="801">
      <c r="A801" s="3">
        <v>2016.0</v>
      </c>
      <c r="B801" s="4" t="s">
        <v>186</v>
      </c>
      <c r="C801" s="3">
        <v>0.0</v>
      </c>
      <c r="D801" s="3" t="s">
        <v>6</v>
      </c>
    </row>
    <row r="802">
      <c r="A802" s="3">
        <v>2016.0</v>
      </c>
      <c r="B802" s="4" t="s">
        <v>187</v>
      </c>
      <c r="C802" s="3">
        <v>0.0</v>
      </c>
      <c r="D802" s="3" t="s">
        <v>3</v>
      </c>
    </row>
    <row r="803">
      <c r="A803" s="3">
        <v>2016.0</v>
      </c>
      <c r="B803" s="4" t="s">
        <v>188</v>
      </c>
      <c r="C803" s="3">
        <v>0.0</v>
      </c>
      <c r="D803" s="3" t="s">
        <v>32</v>
      </c>
    </row>
    <row r="804">
      <c r="A804" s="3">
        <v>2016.0</v>
      </c>
      <c r="B804" s="4" t="s">
        <v>2090</v>
      </c>
      <c r="C804" s="3">
        <v>0.0</v>
      </c>
      <c r="D804" s="3" t="s">
        <v>3</v>
      </c>
    </row>
    <row r="805">
      <c r="A805" s="3">
        <v>2016.0</v>
      </c>
      <c r="B805" s="4" t="s">
        <v>191</v>
      </c>
      <c r="C805" s="3">
        <v>0.0</v>
      </c>
      <c r="D805" s="3" t="s">
        <v>3</v>
      </c>
    </row>
    <row r="806">
      <c r="A806" s="3">
        <v>2016.0</v>
      </c>
      <c r="B806" s="4" t="s">
        <v>192</v>
      </c>
      <c r="C806" s="3">
        <v>0.0</v>
      </c>
      <c r="D806" s="3" t="s">
        <v>26</v>
      </c>
    </row>
    <row r="807">
      <c r="A807" s="3">
        <v>2016.0</v>
      </c>
      <c r="B807" s="4" t="s">
        <v>194</v>
      </c>
      <c r="C807" s="3">
        <v>0.0</v>
      </c>
      <c r="D807" s="3" t="s">
        <v>29</v>
      </c>
    </row>
    <row r="808">
      <c r="A808" s="3">
        <v>2016.0</v>
      </c>
      <c r="B808" s="4" t="s">
        <v>2091</v>
      </c>
      <c r="C808" s="3">
        <v>0.0</v>
      </c>
      <c r="D808" s="3" t="s">
        <v>3</v>
      </c>
    </row>
    <row r="809">
      <c r="A809" s="3">
        <v>2016.0</v>
      </c>
      <c r="B809" s="4" t="s">
        <v>197</v>
      </c>
      <c r="C809" s="3">
        <v>0.0</v>
      </c>
      <c r="D809" s="3" t="s">
        <v>29</v>
      </c>
    </row>
    <row r="810">
      <c r="A810" s="3">
        <v>2016.0</v>
      </c>
      <c r="B810" s="4" t="s">
        <v>198</v>
      </c>
      <c r="C810" s="3">
        <v>0.0</v>
      </c>
      <c r="D810" s="3" t="s">
        <v>3</v>
      </c>
    </row>
    <row r="811">
      <c r="A811" s="3">
        <v>2016.0</v>
      </c>
      <c r="B811" s="4" t="s">
        <v>201</v>
      </c>
      <c r="C811" s="3">
        <v>0.0</v>
      </c>
      <c r="D811" s="3" t="s">
        <v>32</v>
      </c>
    </row>
    <row r="812">
      <c r="A812" s="3">
        <v>2016.0</v>
      </c>
      <c r="B812" s="4" t="s">
        <v>202</v>
      </c>
      <c r="C812" s="3">
        <v>0.0</v>
      </c>
      <c r="D812" s="3" t="s">
        <v>3</v>
      </c>
    </row>
    <row r="813">
      <c r="A813" s="3">
        <v>2016.0</v>
      </c>
      <c r="B813" s="4" t="s">
        <v>205</v>
      </c>
      <c r="C813" s="3">
        <v>0.0</v>
      </c>
      <c r="D813" s="3" t="s">
        <v>3</v>
      </c>
    </row>
    <row r="814">
      <c r="A814" s="3">
        <v>2016.0</v>
      </c>
      <c r="B814" s="4" t="s">
        <v>206</v>
      </c>
      <c r="C814" s="3">
        <v>0.0</v>
      </c>
      <c r="D814" s="3" t="s">
        <v>3</v>
      </c>
    </row>
    <row r="815">
      <c r="A815" s="3">
        <v>2016.0</v>
      </c>
      <c r="B815" s="4" t="s">
        <v>207</v>
      </c>
      <c r="C815" s="3">
        <v>0.0</v>
      </c>
      <c r="D815" s="3" t="s">
        <v>3</v>
      </c>
    </row>
    <row r="816">
      <c r="A816" s="3">
        <v>2016.0</v>
      </c>
      <c r="B816" s="4" t="s">
        <v>2092</v>
      </c>
      <c r="C816" s="3">
        <v>0.0</v>
      </c>
      <c r="D816" s="3" t="s">
        <v>3</v>
      </c>
    </row>
    <row r="817">
      <c r="A817" s="3">
        <v>2016.0</v>
      </c>
      <c r="B817" s="4" t="s">
        <v>210</v>
      </c>
      <c r="C817" s="3">
        <v>0.0</v>
      </c>
      <c r="D817" s="3" t="s">
        <v>3</v>
      </c>
    </row>
    <row r="818">
      <c r="A818" s="3">
        <v>2016.0</v>
      </c>
      <c r="B818" s="4" t="s">
        <v>211</v>
      </c>
      <c r="C818" s="3">
        <v>0.0</v>
      </c>
      <c r="D818" s="3" t="s">
        <v>6</v>
      </c>
    </row>
    <row r="819">
      <c r="A819" s="3">
        <v>2016.0</v>
      </c>
      <c r="B819" s="4" t="s">
        <v>212</v>
      </c>
      <c r="C819" s="3">
        <v>0.0</v>
      </c>
      <c r="D819" s="3" t="s">
        <v>29</v>
      </c>
    </row>
    <row r="820">
      <c r="A820" s="3">
        <v>2016.0</v>
      </c>
      <c r="B820" s="4" t="s">
        <v>215</v>
      </c>
      <c r="C820" s="3">
        <v>0.0</v>
      </c>
      <c r="D820" s="3" t="s">
        <v>216</v>
      </c>
    </row>
    <row r="821">
      <c r="A821" s="3">
        <v>2016.0</v>
      </c>
      <c r="B821" s="4" t="s">
        <v>220</v>
      </c>
      <c r="C821" s="3">
        <v>0.0</v>
      </c>
      <c r="D821" s="3" t="s">
        <v>6</v>
      </c>
    </row>
    <row r="822">
      <c r="A822" s="3">
        <v>2016.0</v>
      </c>
      <c r="B822" s="4" t="s">
        <v>2094</v>
      </c>
      <c r="C822" s="3">
        <v>0.0</v>
      </c>
      <c r="D822" s="3" t="s">
        <v>29</v>
      </c>
    </row>
    <row r="823">
      <c r="A823" s="3">
        <v>2016.0</v>
      </c>
      <c r="B823" s="4" t="s">
        <v>225</v>
      </c>
      <c r="C823" s="3">
        <v>0.0</v>
      </c>
      <c r="D823" s="3" t="s">
        <v>3</v>
      </c>
    </row>
    <row r="824">
      <c r="A824" s="3">
        <v>2016.0</v>
      </c>
      <c r="B824" s="4" t="s">
        <v>227</v>
      </c>
      <c r="C824" s="3">
        <v>0.0</v>
      </c>
      <c r="D824" s="3" t="s">
        <v>3</v>
      </c>
    </row>
    <row r="825">
      <c r="A825" s="3">
        <v>2016.0</v>
      </c>
      <c r="B825" s="4" t="s">
        <v>2095</v>
      </c>
      <c r="C825" s="3">
        <v>0.0</v>
      </c>
      <c r="D825" s="3" t="s">
        <v>32</v>
      </c>
    </row>
    <row r="826">
      <c r="A826" s="3">
        <v>2016.0</v>
      </c>
      <c r="B826" s="4" t="s">
        <v>2096</v>
      </c>
      <c r="C826" s="3">
        <v>0.0</v>
      </c>
      <c r="D826" s="3" t="s">
        <v>3</v>
      </c>
    </row>
    <row r="827">
      <c r="A827" s="3">
        <v>2016.0</v>
      </c>
      <c r="B827" s="4" t="s">
        <v>232</v>
      </c>
      <c r="C827" s="3">
        <v>0.0</v>
      </c>
      <c r="D827" s="3" t="s">
        <v>6</v>
      </c>
    </row>
    <row r="828">
      <c r="A828" s="3">
        <v>2016.0</v>
      </c>
      <c r="B828" s="4" t="s">
        <v>233</v>
      </c>
      <c r="C828" s="3">
        <v>0.0</v>
      </c>
      <c r="D828" s="3" t="s">
        <v>6</v>
      </c>
    </row>
    <row r="829">
      <c r="A829" s="3">
        <v>2016.0</v>
      </c>
      <c r="B829" s="4" t="s">
        <v>234</v>
      </c>
      <c r="C829" s="3">
        <v>0.0</v>
      </c>
      <c r="D829" s="3" t="s">
        <v>3</v>
      </c>
    </row>
    <row r="830">
      <c r="A830" s="3">
        <v>2016.0</v>
      </c>
      <c r="B830" s="4" t="s">
        <v>2097</v>
      </c>
      <c r="C830" s="3">
        <v>0.0</v>
      </c>
      <c r="D830" s="3" t="s">
        <v>3</v>
      </c>
    </row>
    <row r="831">
      <c r="A831" s="3">
        <v>2016.0</v>
      </c>
      <c r="B831" s="4" t="s">
        <v>237</v>
      </c>
      <c r="C831" s="3">
        <v>0.0</v>
      </c>
      <c r="D831" s="3" t="s">
        <v>3</v>
      </c>
    </row>
    <row r="832">
      <c r="A832" s="3">
        <v>2016.0</v>
      </c>
      <c r="B832" s="4" t="s">
        <v>239</v>
      </c>
      <c r="C832" s="3">
        <v>0.0</v>
      </c>
      <c r="D832" s="3" t="s">
        <v>3</v>
      </c>
    </row>
    <row r="833">
      <c r="A833" s="3">
        <v>2016.0</v>
      </c>
      <c r="B833" s="4" t="s">
        <v>240</v>
      </c>
      <c r="C833" s="3">
        <v>0.0</v>
      </c>
      <c r="D833" s="3" t="s">
        <v>3</v>
      </c>
    </row>
    <row r="834">
      <c r="A834" s="3">
        <v>2016.0</v>
      </c>
      <c r="B834" s="4" t="s">
        <v>241</v>
      </c>
      <c r="C834" s="3">
        <v>0.0</v>
      </c>
      <c r="D834" s="3" t="s">
        <v>6</v>
      </c>
    </row>
    <row r="835">
      <c r="A835" s="3">
        <v>2016.0</v>
      </c>
      <c r="B835" s="4" t="s">
        <v>2100</v>
      </c>
      <c r="C835" s="3">
        <v>0.0</v>
      </c>
      <c r="D835" s="3" t="s">
        <v>3</v>
      </c>
    </row>
    <row r="836">
      <c r="A836" s="3">
        <v>2016.0</v>
      </c>
      <c r="B836" s="4" t="s">
        <v>249</v>
      </c>
      <c r="C836" s="3">
        <v>0.0</v>
      </c>
      <c r="D836" s="3" t="s">
        <v>3</v>
      </c>
    </row>
    <row r="837">
      <c r="A837" s="3">
        <v>2016.0</v>
      </c>
      <c r="B837" s="4" t="s">
        <v>2101</v>
      </c>
      <c r="C837" s="3">
        <v>0.0</v>
      </c>
      <c r="D837" s="3" t="s">
        <v>32</v>
      </c>
    </row>
    <row r="838">
      <c r="A838" s="3">
        <v>2016.0</v>
      </c>
      <c r="B838" s="4" t="s">
        <v>257</v>
      </c>
      <c r="C838" s="3">
        <v>0.0</v>
      </c>
      <c r="D838" s="3" t="s">
        <v>3</v>
      </c>
    </row>
    <row r="839">
      <c r="A839" s="3">
        <v>2016.0</v>
      </c>
      <c r="B839" s="4" t="s">
        <v>258</v>
      </c>
      <c r="C839" s="3">
        <v>0.0</v>
      </c>
      <c r="D839" s="3" t="s">
        <v>3</v>
      </c>
    </row>
    <row r="840">
      <c r="A840" s="3">
        <v>2016.0</v>
      </c>
      <c r="B840" s="4" t="s">
        <v>259</v>
      </c>
      <c r="C840" s="3">
        <v>0.0</v>
      </c>
      <c r="D840" s="3" t="s">
        <v>3</v>
      </c>
    </row>
    <row r="841">
      <c r="A841" s="3">
        <v>2016.0</v>
      </c>
      <c r="B841" s="4" t="s">
        <v>262</v>
      </c>
      <c r="C841" s="3">
        <v>0.0</v>
      </c>
      <c r="D841" s="3" t="s">
        <v>3</v>
      </c>
    </row>
    <row r="842">
      <c r="A842" s="3">
        <v>2016.0</v>
      </c>
      <c r="B842" s="4" t="s">
        <v>2104</v>
      </c>
      <c r="C842" s="3">
        <v>0.0</v>
      </c>
      <c r="D842" s="3" t="s">
        <v>3</v>
      </c>
    </row>
    <row r="843">
      <c r="A843" s="3">
        <v>2016.0</v>
      </c>
      <c r="B843" s="4" t="s">
        <v>2105</v>
      </c>
      <c r="C843" s="3">
        <v>0.0</v>
      </c>
      <c r="D843" s="3" t="s">
        <v>3</v>
      </c>
    </row>
    <row r="844">
      <c r="A844" s="3">
        <v>2016.0</v>
      </c>
      <c r="B844" s="4" t="s">
        <v>2106</v>
      </c>
      <c r="C844" s="3">
        <v>0.0</v>
      </c>
      <c r="D844" s="3" t="s">
        <v>3</v>
      </c>
    </row>
    <row r="845">
      <c r="A845" s="3">
        <v>2016.0</v>
      </c>
      <c r="B845" s="4" t="s">
        <v>2107</v>
      </c>
      <c r="C845" s="3">
        <v>0.0</v>
      </c>
      <c r="D845" s="3" t="s">
        <v>3</v>
      </c>
    </row>
    <row r="846">
      <c r="A846" s="3">
        <v>2016.0</v>
      </c>
      <c r="B846" s="4" t="s">
        <v>2108</v>
      </c>
      <c r="C846" s="3">
        <v>0.0</v>
      </c>
      <c r="D846" s="3" t="s">
        <v>3</v>
      </c>
    </row>
    <row r="847">
      <c r="A847" s="3">
        <v>2016.0</v>
      </c>
      <c r="B847" s="4" t="s">
        <v>273</v>
      </c>
      <c r="C847" s="3">
        <v>0.0</v>
      </c>
      <c r="D847" s="3" t="s">
        <v>3</v>
      </c>
    </row>
    <row r="848">
      <c r="A848" s="3">
        <v>2016.0</v>
      </c>
      <c r="B848" s="4" t="s">
        <v>276</v>
      </c>
      <c r="C848" s="3">
        <v>0.0</v>
      </c>
      <c r="D848" s="3" t="s">
        <v>3</v>
      </c>
    </row>
    <row r="849">
      <c r="A849" s="3">
        <v>2016.0</v>
      </c>
      <c r="B849" s="4" t="s">
        <v>277</v>
      </c>
      <c r="C849" s="3">
        <v>0.0</v>
      </c>
      <c r="D849" s="3" t="s">
        <v>3</v>
      </c>
    </row>
    <row r="850">
      <c r="A850" s="3">
        <v>2016.0</v>
      </c>
      <c r="B850" s="4" t="s">
        <v>2111</v>
      </c>
      <c r="C850" s="3">
        <v>0.0</v>
      </c>
      <c r="D850" s="3" t="s">
        <v>6</v>
      </c>
    </row>
    <row r="851">
      <c r="A851" s="3">
        <v>2016.0</v>
      </c>
      <c r="B851" s="4" t="s">
        <v>286</v>
      </c>
      <c r="C851" s="3">
        <v>0.0</v>
      </c>
      <c r="D851" s="3" t="s">
        <v>3</v>
      </c>
    </row>
    <row r="852">
      <c r="A852" s="3">
        <v>2016.0</v>
      </c>
      <c r="B852" s="4" t="s">
        <v>2112</v>
      </c>
      <c r="C852" s="3">
        <v>0.0</v>
      </c>
      <c r="D852" s="3" t="s">
        <v>3</v>
      </c>
    </row>
    <row r="853">
      <c r="A853" s="3">
        <v>2016.0</v>
      </c>
      <c r="B853" s="4" t="s">
        <v>2113</v>
      </c>
      <c r="C853" s="3">
        <v>0.0</v>
      </c>
      <c r="D853" s="3" t="s">
        <v>3</v>
      </c>
    </row>
    <row r="854">
      <c r="A854" s="3">
        <v>2016.0</v>
      </c>
      <c r="B854" s="4" t="s">
        <v>2114</v>
      </c>
      <c r="C854" s="3">
        <v>0.0</v>
      </c>
      <c r="D854" s="3" t="s">
        <v>3</v>
      </c>
    </row>
    <row r="855">
      <c r="A855" s="3">
        <v>2016.0</v>
      </c>
      <c r="B855" s="4" t="s">
        <v>296</v>
      </c>
      <c r="C855" s="3">
        <v>0.0</v>
      </c>
      <c r="D855" s="3" t="s">
        <v>3</v>
      </c>
    </row>
    <row r="856">
      <c r="A856" s="3">
        <v>2016.0</v>
      </c>
      <c r="B856" s="4" t="s">
        <v>2118</v>
      </c>
      <c r="C856" s="3">
        <v>0.0</v>
      </c>
      <c r="D856" s="3" t="s">
        <v>3</v>
      </c>
    </row>
    <row r="857">
      <c r="A857" s="3">
        <v>2016.0</v>
      </c>
      <c r="B857" s="4" t="s">
        <v>310</v>
      </c>
      <c r="C857" s="3">
        <v>0.0</v>
      </c>
      <c r="D857" s="3" t="s">
        <v>3</v>
      </c>
    </row>
    <row r="858">
      <c r="A858" s="3">
        <v>2016.0</v>
      </c>
      <c r="B858" s="4" t="s">
        <v>311</v>
      </c>
      <c r="C858" s="3">
        <v>0.0</v>
      </c>
      <c r="D858" s="3" t="s">
        <v>6</v>
      </c>
    </row>
    <row r="859">
      <c r="A859" s="3">
        <v>2016.0</v>
      </c>
      <c r="B859" s="4" t="s">
        <v>2123</v>
      </c>
      <c r="C859" s="3">
        <v>0.0</v>
      </c>
      <c r="D859" s="3" t="s">
        <v>32</v>
      </c>
    </row>
    <row r="860">
      <c r="A860" s="3">
        <v>2016.0</v>
      </c>
      <c r="B860" s="4" t="s">
        <v>2124</v>
      </c>
      <c r="C860" s="3">
        <v>0.0</v>
      </c>
      <c r="D860" s="3" t="s">
        <v>6</v>
      </c>
    </row>
    <row r="861">
      <c r="A861" s="3">
        <v>2016.0</v>
      </c>
      <c r="B861" s="4" t="s">
        <v>2126</v>
      </c>
      <c r="C861" s="3">
        <v>0.0</v>
      </c>
      <c r="D861" s="3" t="s">
        <v>6</v>
      </c>
    </row>
    <row r="862">
      <c r="A862" s="3">
        <v>2016.0</v>
      </c>
      <c r="B862" s="4" t="s">
        <v>347</v>
      </c>
      <c r="C862" s="3">
        <v>0.0</v>
      </c>
      <c r="D862" s="3" t="s">
        <v>32</v>
      </c>
    </row>
    <row r="863">
      <c r="A863" s="3">
        <v>2016.0</v>
      </c>
      <c r="B863" s="4" t="s">
        <v>2129</v>
      </c>
      <c r="C863" s="3">
        <v>0.0</v>
      </c>
      <c r="D863" s="3" t="s">
        <v>3</v>
      </c>
    </row>
    <row r="864">
      <c r="A864" s="3">
        <v>2016.0</v>
      </c>
      <c r="B864" s="4" t="s">
        <v>350</v>
      </c>
      <c r="C864" s="3">
        <v>0.0</v>
      </c>
      <c r="D864" s="3" t="s">
        <v>3</v>
      </c>
    </row>
    <row r="865">
      <c r="A865" s="3">
        <v>2016.0</v>
      </c>
      <c r="B865" s="4" t="s">
        <v>354</v>
      </c>
      <c r="C865" s="3">
        <v>0.0</v>
      </c>
      <c r="D865" s="3" t="s">
        <v>3</v>
      </c>
    </row>
    <row r="866">
      <c r="A866" s="3">
        <v>2016.0</v>
      </c>
      <c r="B866" s="4" t="s">
        <v>2131</v>
      </c>
      <c r="C866" s="3">
        <v>0.0</v>
      </c>
      <c r="D866" s="3" t="s">
        <v>6</v>
      </c>
    </row>
    <row r="867">
      <c r="A867" s="3">
        <v>2016.0</v>
      </c>
      <c r="B867" s="4" t="s">
        <v>357</v>
      </c>
      <c r="C867" s="3">
        <v>0.0</v>
      </c>
      <c r="D867" s="3" t="s">
        <v>3</v>
      </c>
    </row>
    <row r="868">
      <c r="A868" s="3">
        <v>2016.0</v>
      </c>
      <c r="B868" s="4" t="s">
        <v>2132</v>
      </c>
      <c r="C868" s="3">
        <v>0.0</v>
      </c>
      <c r="D868" s="3" t="s">
        <v>3</v>
      </c>
    </row>
    <row r="869">
      <c r="A869" s="3">
        <v>2016.0</v>
      </c>
      <c r="B869" s="4" t="s">
        <v>360</v>
      </c>
      <c r="C869" s="3">
        <v>0.0</v>
      </c>
      <c r="D869" s="3" t="s">
        <v>3</v>
      </c>
    </row>
    <row r="870">
      <c r="A870" s="3">
        <v>2016.0</v>
      </c>
      <c r="B870" s="4" t="s">
        <v>2134</v>
      </c>
      <c r="C870" s="3">
        <v>0.0</v>
      </c>
      <c r="D870" s="3" t="s">
        <v>3</v>
      </c>
    </row>
    <row r="871">
      <c r="A871" s="3">
        <v>2016.0</v>
      </c>
      <c r="B871" s="4" t="s">
        <v>2135</v>
      </c>
      <c r="C871" s="3">
        <v>0.0</v>
      </c>
      <c r="D871" s="3" t="s">
        <v>3</v>
      </c>
    </row>
    <row r="872">
      <c r="A872" s="3">
        <v>2016.0</v>
      </c>
      <c r="B872" s="4" t="s">
        <v>2136</v>
      </c>
      <c r="C872" s="3">
        <v>0.0</v>
      </c>
      <c r="D872" s="3" t="s">
        <v>3</v>
      </c>
    </row>
    <row r="873">
      <c r="A873" s="3">
        <v>2016.0</v>
      </c>
      <c r="B873" s="4" t="s">
        <v>370</v>
      </c>
      <c r="C873" s="3">
        <v>0.0</v>
      </c>
      <c r="D873" s="3" t="s">
        <v>6</v>
      </c>
    </row>
    <row r="874">
      <c r="A874" s="3">
        <v>2016.0</v>
      </c>
      <c r="B874" s="4" t="s">
        <v>373</v>
      </c>
      <c r="C874" s="3">
        <v>0.0</v>
      </c>
      <c r="D874" s="3" t="s">
        <v>6</v>
      </c>
    </row>
    <row r="875">
      <c r="A875" s="3">
        <v>2016.0</v>
      </c>
      <c r="B875" s="4" t="s">
        <v>374</v>
      </c>
      <c r="C875" s="3">
        <v>0.0</v>
      </c>
      <c r="D875" s="3" t="s">
        <v>3</v>
      </c>
    </row>
    <row r="876">
      <c r="A876" s="3">
        <v>2016.0</v>
      </c>
      <c r="B876" s="4" t="s">
        <v>2138</v>
      </c>
      <c r="C876" s="3">
        <v>0.0</v>
      </c>
      <c r="D876" s="3" t="s">
        <v>3</v>
      </c>
    </row>
    <row r="877">
      <c r="A877" s="3">
        <v>2016.0</v>
      </c>
      <c r="B877" s="4" t="s">
        <v>2139</v>
      </c>
      <c r="C877" s="3">
        <v>0.0</v>
      </c>
      <c r="D877" s="3" t="s">
        <v>3</v>
      </c>
    </row>
    <row r="878">
      <c r="A878" s="3">
        <v>2016.0</v>
      </c>
      <c r="B878" s="4" t="s">
        <v>383</v>
      </c>
      <c r="C878" s="3">
        <v>0.0</v>
      </c>
      <c r="D878" s="3" t="s">
        <v>3</v>
      </c>
    </row>
    <row r="879">
      <c r="A879" s="3">
        <v>2016.0</v>
      </c>
      <c r="B879" s="4" t="s">
        <v>384</v>
      </c>
      <c r="C879" s="3">
        <v>0.0</v>
      </c>
      <c r="D879" s="3" t="s">
        <v>3</v>
      </c>
    </row>
    <row r="880">
      <c r="A880" s="3">
        <v>2016.0</v>
      </c>
      <c r="B880" s="4" t="s">
        <v>385</v>
      </c>
      <c r="C880" s="3">
        <v>0.0</v>
      </c>
      <c r="D880" s="3" t="s">
        <v>32</v>
      </c>
    </row>
    <row r="881">
      <c r="A881" s="3">
        <v>2016.0</v>
      </c>
      <c r="B881" s="4" t="s">
        <v>386</v>
      </c>
      <c r="C881" s="3">
        <v>0.0</v>
      </c>
      <c r="D881" s="3" t="s">
        <v>6</v>
      </c>
    </row>
    <row r="882">
      <c r="A882" s="3">
        <v>2016.0</v>
      </c>
      <c r="B882" s="4" t="s">
        <v>387</v>
      </c>
      <c r="C882" s="3">
        <v>0.0</v>
      </c>
      <c r="D882" s="3" t="s">
        <v>6</v>
      </c>
    </row>
    <row r="883">
      <c r="A883" s="3">
        <v>2016.0</v>
      </c>
      <c r="B883" s="4" t="s">
        <v>2140</v>
      </c>
      <c r="C883" s="3">
        <v>0.0</v>
      </c>
      <c r="D883" s="3" t="s">
        <v>3</v>
      </c>
    </row>
    <row r="884">
      <c r="A884" s="3">
        <v>2016.0</v>
      </c>
      <c r="B884" s="4" t="s">
        <v>2141</v>
      </c>
      <c r="C884" s="3">
        <v>0.0</v>
      </c>
      <c r="D884" s="3" t="s">
        <v>3</v>
      </c>
    </row>
    <row r="885">
      <c r="A885" s="3">
        <v>2016.0</v>
      </c>
      <c r="B885" s="4" t="s">
        <v>2143</v>
      </c>
      <c r="C885" s="3">
        <v>0.0</v>
      </c>
      <c r="D885" s="3" t="s">
        <v>26</v>
      </c>
    </row>
    <row r="886">
      <c r="A886" s="3">
        <v>2016.0</v>
      </c>
      <c r="B886" s="4" t="s">
        <v>401</v>
      </c>
      <c r="C886" s="3">
        <v>0.0</v>
      </c>
      <c r="D886" s="3" t="s">
        <v>32</v>
      </c>
    </row>
    <row r="887">
      <c r="A887" s="3">
        <v>2016.0</v>
      </c>
      <c r="B887" s="4" t="s">
        <v>402</v>
      </c>
      <c r="C887" s="3">
        <v>0.0</v>
      </c>
      <c r="D887" s="3" t="s">
        <v>6</v>
      </c>
    </row>
    <row r="888">
      <c r="A888" s="3">
        <v>2016.0</v>
      </c>
      <c r="B888" s="4" t="s">
        <v>403</v>
      </c>
      <c r="C888" s="3">
        <v>0.0</v>
      </c>
      <c r="D888" s="3" t="s">
        <v>3</v>
      </c>
    </row>
    <row r="889">
      <c r="A889" s="3">
        <v>2016.0</v>
      </c>
      <c r="B889" s="4" t="s">
        <v>404</v>
      </c>
      <c r="C889" s="3">
        <v>0.0</v>
      </c>
      <c r="D889" s="3" t="s">
        <v>3</v>
      </c>
    </row>
    <row r="890">
      <c r="A890" s="3">
        <v>2016.0</v>
      </c>
      <c r="B890" s="4" t="s">
        <v>409</v>
      </c>
      <c r="C890" s="3">
        <v>0.0</v>
      </c>
      <c r="D890" s="3" t="s">
        <v>6</v>
      </c>
    </row>
    <row r="891">
      <c r="A891" s="3">
        <v>2016.0</v>
      </c>
      <c r="B891" s="4" t="s">
        <v>411</v>
      </c>
      <c r="C891" s="3">
        <v>0.0</v>
      </c>
      <c r="D891" s="3" t="s">
        <v>3</v>
      </c>
    </row>
    <row r="892">
      <c r="A892" s="3">
        <v>2016.0</v>
      </c>
      <c r="B892" s="4" t="s">
        <v>2145</v>
      </c>
      <c r="C892" s="3">
        <v>0.0</v>
      </c>
      <c r="D892" s="3" t="s">
        <v>6</v>
      </c>
    </row>
    <row r="893">
      <c r="A893" s="3">
        <v>2016.0</v>
      </c>
      <c r="B893" s="4" t="s">
        <v>2146</v>
      </c>
      <c r="C893" s="3">
        <v>0.0</v>
      </c>
      <c r="D893" s="3" t="s">
        <v>3</v>
      </c>
    </row>
    <row r="894">
      <c r="A894" s="3">
        <v>2016.0</v>
      </c>
      <c r="B894" s="4" t="s">
        <v>2147</v>
      </c>
      <c r="C894" s="3">
        <v>0.0</v>
      </c>
      <c r="D894" s="3" t="s">
        <v>3</v>
      </c>
    </row>
    <row r="895">
      <c r="A895" s="3">
        <v>2016.0</v>
      </c>
      <c r="B895" s="4" t="s">
        <v>419</v>
      </c>
      <c r="C895" s="3">
        <v>0.0</v>
      </c>
      <c r="D895" s="3" t="s">
        <v>3</v>
      </c>
    </row>
    <row r="896">
      <c r="A896" s="3">
        <v>2016.0</v>
      </c>
      <c r="B896" s="4" t="s">
        <v>2148</v>
      </c>
      <c r="C896" s="3">
        <v>0.0</v>
      </c>
      <c r="D896" s="3" t="s">
        <v>29</v>
      </c>
    </row>
    <row r="897">
      <c r="A897" s="3">
        <v>2016.0</v>
      </c>
      <c r="B897" s="4" t="s">
        <v>422</v>
      </c>
      <c r="C897" s="3">
        <v>0.0</v>
      </c>
      <c r="D897" s="3" t="s">
        <v>29</v>
      </c>
    </row>
    <row r="898">
      <c r="A898" s="3">
        <v>2016.0</v>
      </c>
      <c r="B898" s="4" t="s">
        <v>423</v>
      </c>
      <c r="C898" s="3">
        <v>0.0</v>
      </c>
      <c r="D898" s="3" t="s">
        <v>3</v>
      </c>
    </row>
    <row r="899">
      <c r="A899" s="3">
        <v>2016.0</v>
      </c>
      <c r="B899" s="4" t="s">
        <v>424</v>
      </c>
      <c r="C899" s="3">
        <v>0.0</v>
      </c>
      <c r="D899" s="3" t="s">
        <v>3</v>
      </c>
    </row>
    <row r="900">
      <c r="A900" s="3">
        <v>2016.0</v>
      </c>
      <c r="B900" s="4" t="s">
        <v>2149</v>
      </c>
      <c r="C900" s="3">
        <v>0.0</v>
      </c>
      <c r="D900" s="3" t="s">
        <v>3</v>
      </c>
    </row>
    <row r="901">
      <c r="A901" s="3">
        <v>2016.0</v>
      </c>
      <c r="B901" s="4" t="s">
        <v>2151</v>
      </c>
      <c r="C901" s="3">
        <v>0.0</v>
      </c>
      <c r="D901" s="3" t="s">
        <v>29</v>
      </c>
    </row>
    <row r="902">
      <c r="A902" s="3">
        <v>2016.0</v>
      </c>
      <c r="B902" s="4" t="s">
        <v>2152</v>
      </c>
      <c r="C902" s="3">
        <v>0.0</v>
      </c>
      <c r="D902" s="3" t="s">
        <v>3</v>
      </c>
    </row>
    <row r="903">
      <c r="A903" s="3">
        <v>2016.0</v>
      </c>
      <c r="B903" s="4" t="s">
        <v>2154</v>
      </c>
      <c r="C903" s="3">
        <v>0.0</v>
      </c>
      <c r="D903" s="3" t="s">
        <v>3</v>
      </c>
    </row>
    <row r="904">
      <c r="A904" s="3">
        <v>2016.0</v>
      </c>
      <c r="B904" s="4" t="s">
        <v>2155</v>
      </c>
      <c r="C904" s="3">
        <v>0.0</v>
      </c>
      <c r="D904" s="3" t="s">
        <v>6</v>
      </c>
    </row>
    <row r="905">
      <c r="A905" s="3">
        <v>2016.0</v>
      </c>
      <c r="B905" s="4" t="s">
        <v>441</v>
      </c>
      <c r="C905" s="3">
        <v>0.0</v>
      </c>
      <c r="D905" s="3" t="s">
        <v>29</v>
      </c>
    </row>
    <row r="906">
      <c r="A906" s="3">
        <v>2016.0</v>
      </c>
      <c r="B906" s="4" t="s">
        <v>449</v>
      </c>
      <c r="C906" s="3">
        <v>0.0</v>
      </c>
      <c r="D906" s="3" t="s">
        <v>32</v>
      </c>
    </row>
    <row r="907">
      <c r="A907" s="3">
        <v>2016.0</v>
      </c>
      <c r="B907" s="4" t="s">
        <v>451</v>
      </c>
      <c r="C907" s="3">
        <v>0.0</v>
      </c>
      <c r="D907" s="3" t="s">
        <v>3</v>
      </c>
    </row>
    <row r="908">
      <c r="A908" s="3">
        <v>2016.0</v>
      </c>
      <c r="B908" s="4" t="s">
        <v>453</v>
      </c>
      <c r="C908" s="3">
        <v>0.0</v>
      </c>
      <c r="D908" s="3" t="s">
        <v>3</v>
      </c>
    </row>
    <row r="909">
      <c r="A909" s="3">
        <v>2016.0</v>
      </c>
      <c r="B909" s="4" t="s">
        <v>454</v>
      </c>
      <c r="C909" s="3">
        <v>0.0</v>
      </c>
      <c r="D909" s="3" t="s">
        <v>3</v>
      </c>
    </row>
    <row r="910">
      <c r="A910" s="3">
        <v>2016.0</v>
      </c>
      <c r="B910" s="4" t="s">
        <v>455</v>
      </c>
      <c r="C910" s="3">
        <v>0.0</v>
      </c>
      <c r="D910" s="3" t="s">
        <v>3</v>
      </c>
    </row>
    <row r="911">
      <c r="A911" s="3">
        <v>2016.0</v>
      </c>
      <c r="B911" s="4" t="s">
        <v>456</v>
      </c>
      <c r="C911" s="3">
        <v>0.0</v>
      </c>
      <c r="D911" s="3" t="s">
        <v>6</v>
      </c>
    </row>
    <row r="912">
      <c r="A912" s="3">
        <v>2016.0</v>
      </c>
      <c r="B912" s="4" t="s">
        <v>2156</v>
      </c>
      <c r="C912" s="3">
        <v>0.0</v>
      </c>
      <c r="D912" s="3" t="s">
        <v>3</v>
      </c>
    </row>
    <row r="913">
      <c r="A913" s="3">
        <v>2016.0</v>
      </c>
      <c r="B913" s="4" t="s">
        <v>2158</v>
      </c>
      <c r="C913" s="3">
        <v>0.0</v>
      </c>
      <c r="D913" s="3" t="s">
        <v>3</v>
      </c>
    </row>
    <row r="914">
      <c r="A914" s="3">
        <v>2016.0</v>
      </c>
      <c r="B914" s="4" t="s">
        <v>464</v>
      </c>
      <c r="C914" s="3">
        <v>0.0</v>
      </c>
      <c r="D914" s="3" t="s">
        <v>3</v>
      </c>
    </row>
    <row r="915">
      <c r="A915" s="3">
        <v>2016.0</v>
      </c>
      <c r="B915" s="4" t="s">
        <v>2160</v>
      </c>
      <c r="C915" s="3">
        <v>0.0</v>
      </c>
      <c r="D915" s="3" t="s">
        <v>3</v>
      </c>
    </row>
    <row r="916">
      <c r="A916" s="3">
        <v>2016.0</v>
      </c>
      <c r="B916" s="4" t="s">
        <v>2161</v>
      </c>
      <c r="C916" s="3">
        <v>0.0</v>
      </c>
      <c r="D916" s="3" t="s">
        <v>3</v>
      </c>
    </row>
    <row r="917">
      <c r="A917" s="3">
        <v>2016.0</v>
      </c>
      <c r="B917" s="4" t="s">
        <v>2163</v>
      </c>
      <c r="C917" s="3">
        <v>0.0</v>
      </c>
      <c r="D917" s="3" t="s">
        <v>3</v>
      </c>
    </row>
    <row r="918">
      <c r="A918" s="3">
        <v>2016.0</v>
      </c>
      <c r="B918" s="4" t="s">
        <v>2164</v>
      </c>
      <c r="C918" s="3">
        <v>0.0</v>
      </c>
      <c r="D918" s="3" t="s">
        <v>3</v>
      </c>
    </row>
    <row r="919">
      <c r="A919" s="3">
        <v>2016.0</v>
      </c>
      <c r="B919" s="4" t="s">
        <v>2166</v>
      </c>
      <c r="C919" s="3">
        <v>0.0</v>
      </c>
      <c r="D919" s="3" t="s">
        <v>3</v>
      </c>
    </row>
    <row r="920">
      <c r="A920" s="3">
        <v>2016.0</v>
      </c>
      <c r="B920" s="4" t="s">
        <v>2167</v>
      </c>
      <c r="C920" s="3">
        <v>0.0</v>
      </c>
      <c r="D920" s="3" t="s">
        <v>3</v>
      </c>
    </row>
    <row r="921">
      <c r="A921" s="3">
        <v>2016.0</v>
      </c>
      <c r="B921" s="4" t="s">
        <v>2169</v>
      </c>
      <c r="C921" s="3">
        <v>0.0</v>
      </c>
      <c r="D921" s="3" t="s">
        <v>6</v>
      </c>
    </row>
    <row r="922">
      <c r="A922" s="3">
        <v>2016.0</v>
      </c>
      <c r="B922" s="4" t="s">
        <v>2170</v>
      </c>
      <c r="C922" s="3">
        <v>0.0</v>
      </c>
      <c r="D922" s="3" t="s">
        <v>3</v>
      </c>
    </row>
    <row r="923">
      <c r="A923" s="3">
        <v>2016.0</v>
      </c>
      <c r="B923" s="4" t="s">
        <v>2171</v>
      </c>
      <c r="C923" s="3">
        <v>0.0</v>
      </c>
      <c r="D923" s="3" t="s">
        <v>3</v>
      </c>
    </row>
    <row r="924">
      <c r="A924" s="3">
        <v>2016.0</v>
      </c>
      <c r="B924" s="4" t="s">
        <v>2172</v>
      </c>
      <c r="C924" s="3">
        <v>0.0</v>
      </c>
      <c r="D924" s="3" t="s">
        <v>3</v>
      </c>
    </row>
    <row r="925">
      <c r="A925" s="3">
        <v>2016.0</v>
      </c>
      <c r="B925" s="4" t="s">
        <v>2173</v>
      </c>
      <c r="C925" s="3">
        <v>0.0</v>
      </c>
      <c r="D925" s="3" t="s">
        <v>6</v>
      </c>
    </row>
    <row r="926">
      <c r="A926" s="3">
        <v>2016.0</v>
      </c>
      <c r="B926" s="4" t="s">
        <v>2174</v>
      </c>
      <c r="C926" s="3">
        <v>0.0</v>
      </c>
      <c r="D926" s="3" t="s">
        <v>3</v>
      </c>
    </row>
    <row r="927">
      <c r="A927" s="3">
        <v>2016.0</v>
      </c>
      <c r="B927" s="4" t="s">
        <v>2175</v>
      </c>
      <c r="C927" s="3">
        <v>0.0</v>
      </c>
      <c r="D927" s="3" t="s">
        <v>3</v>
      </c>
    </row>
    <row r="928">
      <c r="A928" s="3">
        <v>2016.0</v>
      </c>
      <c r="B928" s="4" t="s">
        <v>515</v>
      </c>
      <c r="C928" s="3">
        <v>0.0</v>
      </c>
      <c r="D928" s="3" t="s">
        <v>6</v>
      </c>
    </row>
    <row r="929">
      <c r="A929" s="3">
        <v>2016.0</v>
      </c>
      <c r="B929" s="4" t="s">
        <v>2176</v>
      </c>
      <c r="C929" s="3">
        <v>0.0</v>
      </c>
      <c r="D929" s="3" t="s">
        <v>3</v>
      </c>
    </row>
    <row r="930">
      <c r="A930" s="3">
        <v>2016.0</v>
      </c>
      <c r="B930" s="4" t="s">
        <v>2177</v>
      </c>
      <c r="C930" s="3">
        <v>0.0</v>
      </c>
      <c r="D930" s="3" t="s">
        <v>3</v>
      </c>
    </row>
    <row r="931">
      <c r="A931" s="3">
        <v>2016.0</v>
      </c>
      <c r="B931" s="4" t="s">
        <v>534</v>
      </c>
      <c r="C931" s="3">
        <v>0.0</v>
      </c>
      <c r="D931" s="3" t="s">
        <v>26</v>
      </c>
    </row>
    <row r="932">
      <c r="A932" s="3">
        <v>2016.0</v>
      </c>
      <c r="B932" s="4" t="s">
        <v>539</v>
      </c>
      <c r="C932" s="3">
        <v>0.0</v>
      </c>
      <c r="D932" s="3" t="s">
        <v>6</v>
      </c>
    </row>
    <row r="933">
      <c r="A933" s="3">
        <v>2016.0</v>
      </c>
      <c r="B933" s="4" t="s">
        <v>542</v>
      </c>
      <c r="C933" s="3">
        <v>0.0</v>
      </c>
      <c r="D933" s="3" t="s">
        <v>3</v>
      </c>
    </row>
    <row r="934">
      <c r="A934" s="3">
        <v>2016.0</v>
      </c>
      <c r="B934" s="4" t="s">
        <v>2182</v>
      </c>
      <c r="C934" s="3">
        <v>0.0</v>
      </c>
      <c r="D934" s="3" t="s">
        <v>3</v>
      </c>
    </row>
    <row r="935">
      <c r="A935" s="3">
        <v>2016.0</v>
      </c>
      <c r="B935" s="4" t="s">
        <v>545</v>
      </c>
      <c r="C935" s="3">
        <v>0.0</v>
      </c>
      <c r="D935" s="3" t="s">
        <v>3</v>
      </c>
    </row>
    <row r="936">
      <c r="A936" s="3">
        <v>2016.0</v>
      </c>
      <c r="B936" s="4" t="s">
        <v>546</v>
      </c>
      <c r="C936" s="3">
        <v>0.0</v>
      </c>
      <c r="D936" s="3" t="s">
        <v>3</v>
      </c>
    </row>
    <row r="937">
      <c r="A937" s="3">
        <v>2016.0</v>
      </c>
      <c r="B937" s="4" t="s">
        <v>548</v>
      </c>
      <c r="C937" s="3">
        <v>0.0</v>
      </c>
      <c r="D937" s="3" t="s">
        <v>29</v>
      </c>
    </row>
    <row r="938">
      <c r="A938" s="3">
        <v>2016.0</v>
      </c>
      <c r="B938" s="4" t="s">
        <v>551</v>
      </c>
      <c r="C938" s="3">
        <v>0.0</v>
      </c>
      <c r="D938" s="3" t="s">
        <v>29</v>
      </c>
    </row>
    <row r="939">
      <c r="A939" s="3">
        <v>2016.0</v>
      </c>
      <c r="B939" s="4" t="s">
        <v>553</v>
      </c>
      <c r="C939" s="3">
        <v>0.0</v>
      </c>
      <c r="D939" s="3" t="s">
        <v>29</v>
      </c>
    </row>
    <row r="940">
      <c r="A940" s="3">
        <v>2016.0</v>
      </c>
      <c r="B940" s="4" t="s">
        <v>554</v>
      </c>
      <c r="C940" s="3">
        <v>0.0</v>
      </c>
      <c r="D940" s="3" t="s">
        <v>29</v>
      </c>
    </row>
    <row r="941">
      <c r="A941" s="3">
        <v>2016.0</v>
      </c>
      <c r="B941" s="4" t="s">
        <v>2183</v>
      </c>
      <c r="C941" s="3">
        <v>0.0</v>
      </c>
      <c r="D941" s="3" t="s">
        <v>29</v>
      </c>
    </row>
    <row r="942">
      <c r="A942" s="3">
        <v>2016.0</v>
      </c>
      <c r="B942" s="4" t="s">
        <v>561</v>
      </c>
      <c r="C942" s="3">
        <v>0.0</v>
      </c>
      <c r="D942" s="3" t="s">
        <v>29</v>
      </c>
    </row>
    <row r="943">
      <c r="A943" s="3">
        <v>2016.0</v>
      </c>
      <c r="B943" s="4" t="s">
        <v>562</v>
      </c>
      <c r="C943" s="3">
        <v>0.0</v>
      </c>
      <c r="D943" s="3" t="s">
        <v>29</v>
      </c>
    </row>
    <row r="944">
      <c r="A944" s="3">
        <v>2016.0</v>
      </c>
      <c r="B944" s="4" t="s">
        <v>563</v>
      </c>
      <c r="C944" s="3">
        <v>0.0</v>
      </c>
      <c r="D944" s="3" t="s">
        <v>29</v>
      </c>
    </row>
    <row r="945">
      <c r="A945" s="3">
        <v>2016.0</v>
      </c>
      <c r="B945" s="4" t="s">
        <v>564</v>
      </c>
      <c r="C945" s="3">
        <v>0.0</v>
      </c>
      <c r="D945" s="3" t="s">
        <v>484</v>
      </c>
    </row>
    <row r="946">
      <c r="A946" s="3">
        <v>2016.0</v>
      </c>
      <c r="B946" s="4" t="s">
        <v>565</v>
      </c>
      <c r="C946" s="3">
        <v>0.0</v>
      </c>
      <c r="D946" s="3" t="s">
        <v>29</v>
      </c>
    </row>
    <row r="947">
      <c r="A947" s="3">
        <v>2016.0</v>
      </c>
      <c r="B947" s="4" t="s">
        <v>566</v>
      </c>
      <c r="C947" s="3">
        <v>0.0</v>
      </c>
      <c r="D947" s="3" t="s">
        <v>29</v>
      </c>
    </row>
    <row r="948">
      <c r="A948" s="3">
        <v>2016.0</v>
      </c>
      <c r="B948" s="4" t="s">
        <v>567</v>
      </c>
      <c r="C948" s="3">
        <v>0.0</v>
      </c>
      <c r="D948" s="3" t="s">
        <v>3</v>
      </c>
    </row>
    <row r="949">
      <c r="A949" s="3">
        <v>2016.0</v>
      </c>
      <c r="B949" s="4" t="s">
        <v>568</v>
      </c>
      <c r="C949" s="3">
        <v>0.0</v>
      </c>
      <c r="D949" s="3" t="s">
        <v>3</v>
      </c>
    </row>
    <row r="950">
      <c r="A950" s="3">
        <v>2016.0</v>
      </c>
      <c r="B950" s="4" t="s">
        <v>573</v>
      </c>
      <c r="C950" s="3">
        <v>0.0</v>
      </c>
      <c r="D950" s="3" t="s">
        <v>3</v>
      </c>
    </row>
    <row r="951">
      <c r="A951" s="3">
        <v>2016.0</v>
      </c>
      <c r="B951" s="4" t="s">
        <v>577</v>
      </c>
      <c r="C951" s="3">
        <v>0.0</v>
      </c>
      <c r="D951" s="3" t="s">
        <v>32</v>
      </c>
    </row>
    <row r="952">
      <c r="A952" s="3">
        <v>2016.0</v>
      </c>
      <c r="B952" s="4" t="s">
        <v>2187</v>
      </c>
      <c r="C952" s="3">
        <v>0.0</v>
      </c>
      <c r="D952" s="3" t="s">
        <v>6</v>
      </c>
    </row>
    <row r="953">
      <c r="A953" s="3">
        <v>2016.0</v>
      </c>
      <c r="B953" s="4" t="s">
        <v>588</v>
      </c>
      <c r="C953" s="3">
        <v>0.0</v>
      </c>
      <c r="D953" s="3" t="s">
        <v>3</v>
      </c>
    </row>
    <row r="954">
      <c r="A954" s="3">
        <v>2016.0</v>
      </c>
      <c r="B954" s="4" t="s">
        <v>591</v>
      </c>
      <c r="C954" s="3">
        <v>0.0</v>
      </c>
      <c r="D954" s="3" t="s">
        <v>3</v>
      </c>
    </row>
    <row r="955">
      <c r="A955" s="3">
        <v>2016.0</v>
      </c>
      <c r="B955" s="4" t="s">
        <v>592</v>
      </c>
      <c r="C955" s="3">
        <v>0.0</v>
      </c>
      <c r="D955" s="3" t="s">
        <v>3</v>
      </c>
    </row>
    <row r="956">
      <c r="A956" s="3">
        <v>2016.0</v>
      </c>
      <c r="B956" s="4" t="s">
        <v>593</v>
      </c>
      <c r="C956" s="3">
        <v>0.0</v>
      </c>
      <c r="D956" s="3" t="s">
        <v>3</v>
      </c>
    </row>
    <row r="957">
      <c r="A957" s="3">
        <v>2016.0</v>
      </c>
      <c r="B957" s="4" t="s">
        <v>594</v>
      </c>
      <c r="C957" s="3">
        <v>0.0</v>
      </c>
      <c r="D957" s="3" t="s">
        <v>6</v>
      </c>
    </row>
    <row r="958">
      <c r="A958" s="3">
        <v>2016.0</v>
      </c>
      <c r="B958" s="4" t="s">
        <v>595</v>
      </c>
      <c r="C958" s="3">
        <v>0.0</v>
      </c>
      <c r="D958" s="3" t="s">
        <v>3</v>
      </c>
    </row>
    <row r="959">
      <c r="A959" s="3">
        <v>2016.0</v>
      </c>
      <c r="B959" s="4" t="s">
        <v>2188</v>
      </c>
      <c r="C959" s="3">
        <v>0.0</v>
      </c>
      <c r="D959" s="3" t="s">
        <v>3</v>
      </c>
    </row>
    <row r="960">
      <c r="A960" s="3">
        <v>2016.0</v>
      </c>
      <c r="B960" s="4" t="s">
        <v>598</v>
      </c>
      <c r="C960" s="3">
        <v>0.0</v>
      </c>
      <c r="D960" s="3" t="s">
        <v>3</v>
      </c>
    </row>
    <row r="961">
      <c r="A961" s="3">
        <v>2016.0</v>
      </c>
      <c r="B961" s="4" t="s">
        <v>610</v>
      </c>
      <c r="C961" s="3">
        <v>0.0</v>
      </c>
      <c r="D961" s="3" t="s">
        <v>6</v>
      </c>
    </row>
    <row r="962">
      <c r="A962" s="3">
        <v>2016.0</v>
      </c>
      <c r="B962" s="4" t="s">
        <v>612</v>
      </c>
      <c r="C962" s="3">
        <v>0.0</v>
      </c>
      <c r="D962" s="3" t="s">
        <v>6</v>
      </c>
    </row>
    <row r="963">
      <c r="A963" s="3">
        <v>2016.0</v>
      </c>
      <c r="B963" s="4" t="s">
        <v>613</v>
      </c>
      <c r="C963" s="3">
        <v>0.0</v>
      </c>
      <c r="D963" s="3" t="s">
        <v>3</v>
      </c>
    </row>
    <row r="964">
      <c r="A964" s="3">
        <v>2016.0</v>
      </c>
      <c r="B964" s="4" t="s">
        <v>615</v>
      </c>
      <c r="C964" s="3">
        <v>0.0</v>
      </c>
      <c r="D964" s="3" t="s">
        <v>3</v>
      </c>
    </row>
    <row r="965">
      <c r="A965" s="3">
        <v>2016.0</v>
      </c>
      <c r="B965" s="4" t="s">
        <v>616</v>
      </c>
      <c r="C965" s="3">
        <v>0.0</v>
      </c>
      <c r="D965" s="3" t="s">
        <v>3</v>
      </c>
    </row>
    <row r="966">
      <c r="A966" s="3">
        <v>2016.0</v>
      </c>
      <c r="B966" s="4" t="s">
        <v>617</v>
      </c>
      <c r="C966" s="3">
        <v>0.0</v>
      </c>
      <c r="D966" s="3" t="s">
        <v>3</v>
      </c>
    </row>
    <row r="967">
      <c r="A967" s="3">
        <v>2016.0</v>
      </c>
      <c r="B967" s="4" t="s">
        <v>618</v>
      </c>
      <c r="C967" s="3">
        <v>0.0</v>
      </c>
      <c r="D967" s="3" t="s">
        <v>3</v>
      </c>
    </row>
    <row r="968">
      <c r="A968" s="3">
        <v>2016.0</v>
      </c>
      <c r="B968" s="4" t="s">
        <v>619</v>
      </c>
      <c r="C968" s="3">
        <v>0.0</v>
      </c>
      <c r="D968" s="3" t="s">
        <v>3</v>
      </c>
    </row>
    <row r="969">
      <c r="A969" s="3">
        <v>2016.0</v>
      </c>
      <c r="B969" s="4" t="s">
        <v>620</v>
      </c>
      <c r="C969" s="3">
        <v>0.0</v>
      </c>
      <c r="D969" s="3" t="s">
        <v>6</v>
      </c>
    </row>
    <row r="970">
      <c r="A970" s="3">
        <v>2016.0</v>
      </c>
      <c r="B970" s="4" t="s">
        <v>624</v>
      </c>
      <c r="C970" s="3">
        <v>0.0</v>
      </c>
      <c r="D970" s="3" t="s">
        <v>3</v>
      </c>
    </row>
    <row r="971">
      <c r="A971" s="3">
        <v>2016.0</v>
      </c>
      <c r="B971" s="4" t="s">
        <v>627</v>
      </c>
      <c r="C971" s="3">
        <v>0.0</v>
      </c>
      <c r="D971" s="3" t="s">
        <v>3</v>
      </c>
    </row>
    <row r="972">
      <c r="A972" s="3">
        <v>2016.0</v>
      </c>
      <c r="B972" s="4" t="s">
        <v>632</v>
      </c>
      <c r="C972" s="3">
        <v>0.0</v>
      </c>
      <c r="D972" s="3" t="s">
        <v>3</v>
      </c>
    </row>
    <row r="973">
      <c r="A973" s="3">
        <v>2016.0</v>
      </c>
      <c r="B973" s="4" t="s">
        <v>2191</v>
      </c>
      <c r="C973" s="3">
        <v>0.0</v>
      </c>
      <c r="D973" s="3" t="s">
        <v>37</v>
      </c>
    </row>
    <row r="974">
      <c r="A974" s="3">
        <v>2016.0</v>
      </c>
      <c r="B974" s="4" t="s">
        <v>638</v>
      </c>
      <c r="C974" s="3">
        <v>0.0</v>
      </c>
      <c r="D974" s="3" t="s">
        <v>3</v>
      </c>
    </row>
    <row r="975">
      <c r="A975" s="3">
        <v>2016.0</v>
      </c>
      <c r="B975" s="4" t="s">
        <v>644</v>
      </c>
      <c r="C975" s="3">
        <v>0.0</v>
      </c>
      <c r="D975" s="3" t="s">
        <v>3</v>
      </c>
    </row>
    <row r="976">
      <c r="A976" s="3">
        <v>2016.0</v>
      </c>
      <c r="B976" s="4" t="s">
        <v>651</v>
      </c>
      <c r="C976" s="3">
        <v>0.0</v>
      </c>
      <c r="D976" s="3" t="s">
        <v>3</v>
      </c>
    </row>
    <row r="977">
      <c r="A977" s="3">
        <v>2016.0</v>
      </c>
      <c r="B977" s="4" t="s">
        <v>654</v>
      </c>
      <c r="C977" s="3">
        <v>0.0</v>
      </c>
      <c r="D977" s="3" t="s">
        <v>29</v>
      </c>
    </row>
    <row r="978">
      <c r="A978" s="3">
        <v>2016.0</v>
      </c>
      <c r="B978" s="4" t="s">
        <v>2193</v>
      </c>
      <c r="C978" s="3">
        <v>0.0</v>
      </c>
      <c r="D978" s="3" t="s">
        <v>32</v>
      </c>
    </row>
    <row r="979">
      <c r="A979" s="3">
        <v>2016.0</v>
      </c>
      <c r="B979" s="4" t="s">
        <v>661</v>
      </c>
      <c r="C979" s="3">
        <v>0.0</v>
      </c>
      <c r="D979" s="3" t="s">
        <v>29</v>
      </c>
    </row>
    <row r="980">
      <c r="A980" s="3">
        <v>2016.0</v>
      </c>
      <c r="B980" s="4" t="s">
        <v>667</v>
      </c>
      <c r="C980" s="3">
        <v>0.0</v>
      </c>
      <c r="D980" s="3" t="s">
        <v>668</v>
      </c>
    </row>
    <row r="981">
      <c r="A981" s="3">
        <v>2016.0</v>
      </c>
      <c r="B981" s="4" t="s">
        <v>671</v>
      </c>
      <c r="C981" s="3">
        <v>0.0</v>
      </c>
      <c r="D981" s="3" t="s">
        <v>32</v>
      </c>
    </row>
    <row r="982">
      <c r="A982" s="3">
        <v>2016.0</v>
      </c>
      <c r="B982" s="4" t="s">
        <v>672</v>
      </c>
      <c r="C982" s="3">
        <v>0.0</v>
      </c>
      <c r="D982" s="3" t="s">
        <v>3</v>
      </c>
    </row>
    <row r="983">
      <c r="A983" s="3">
        <v>2016.0</v>
      </c>
      <c r="B983" s="4" t="s">
        <v>673</v>
      </c>
      <c r="C983" s="3">
        <v>0.0</v>
      </c>
      <c r="D983" s="3" t="s">
        <v>29</v>
      </c>
    </row>
    <row r="984">
      <c r="A984" s="3">
        <v>2016.0</v>
      </c>
      <c r="B984" s="4" t="s">
        <v>677</v>
      </c>
      <c r="C984" s="3">
        <v>0.0</v>
      </c>
      <c r="D984" s="3" t="s">
        <v>3</v>
      </c>
    </row>
    <row r="985">
      <c r="A985" s="3">
        <v>2016.0</v>
      </c>
      <c r="B985" s="4" t="s">
        <v>678</v>
      </c>
      <c r="C985" s="3">
        <v>0.0</v>
      </c>
      <c r="D985" s="3" t="s">
        <v>32</v>
      </c>
    </row>
    <row r="986">
      <c r="A986" s="3">
        <v>2016.0</v>
      </c>
      <c r="B986" s="4" t="s">
        <v>682</v>
      </c>
      <c r="C986" s="3">
        <v>0.0</v>
      </c>
      <c r="D986" s="3" t="s">
        <v>26</v>
      </c>
    </row>
    <row r="987">
      <c r="A987" s="3">
        <v>2016.0</v>
      </c>
      <c r="B987" s="4" t="s">
        <v>685</v>
      </c>
      <c r="C987" s="3">
        <v>0.0</v>
      </c>
      <c r="D987" s="3" t="s">
        <v>6</v>
      </c>
    </row>
    <row r="988">
      <c r="A988" s="3">
        <v>2016.0</v>
      </c>
      <c r="B988" s="4" t="s">
        <v>688</v>
      </c>
      <c r="C988" s="3">
        <v>0.0</v>
      </c>
      <c r="D988" s="3" t="s">
        <v>6</v>
      </c>
    </row>
    <row r="989">
      <c r="A989" s="3">
        <v>2016.0</v>
      </c>
      <c r="B989" s="4" t="s">
        <v>690</v>
      </c>
      <c r="C989" s="3">
        <v>0.0</v>
      </c>
      <c r="D989" s="3" t="s">
        <v>29</v>
      </c>
    </row>
    <row r="990">
      <c r="A990" s="3">
        <v>2016.0</v>
      </c>
      <c r="B990" s="4" t="s">
        <v>693</v>
      </c>
      <c r="C990" s="3">
        <v>0.0</v>
      </c>
      <c r="D990" s="3" t="s">
        <v>3</v>
      </c>
    </row>
    <row r="991">
      <c r="A991" s="3">
        <v>2016.0</v>
      </c>
      <c r="B991" s="4" t="s">
        <v>694</v>
      </c>
      <c r="C991" s="3">
        <v>0.0</v>
      </c>
      <c r="D991" s="3" t="s">
        <v>6</v>
      </c>
    </row>
    <row r="992">
      <c r="A992" s="3">
        <v>2016.0</v>
      </c>
      <c r="B992" s="4" t="s">
        <v>695</v>
      </c>
      <c r="C992" s="3">
        <v>0.0</v>
      </c>
      <c r="D992" s="3" t="s">
        <v>3</v>
      </c>
    </row>
    <row r="993">
      <c r="A993" s="3">
        <v>2016.0</v>
      </c>
      <c r="B993" s="4" t="s">
        <v>696</v>
      </c>
      <c r="C993" s="3">
        <v>0.0</v>
      </c>
      <c r="D993" s="3" t="s">
        <v>3</v>
      </c>
    </row>
    <row r="994">
      <c r="A994" s="3">
        <v>2016.0</v>
      </c>
      <c r="B994" s="4" t="s">
        <v>699</v>
      </c>
      <c r="C994" s="3">
        <v>0.0</v>
      </c>
      <c r="D994" s="3" t="s">
        <v>3</v>
      </c>
    </row>
    <row r="995">
      <c r="A995" s="3">
        <v>2016.0</v>
      </c>
      <c r="B995" s="4" t="s">
        <v>2196</v>
      </c>
      <c r="C995" s="3">
        <v>0.0</v>
      </c>
      <c r="D995" s="3" t="s">
        <v>3</v>
      </c>
    </row>
    <row r="996">
      <c r="A996" s="3">
        <v>2016.0</v>
      </c>
      <c r="B996" s="4" t="s">
        <v>709</v>
      </c>
      <c r="C996" s="3">
        <v>0.0</v>
      </c>
      <c r="D996" s="3" t="s">
        <v>29</v>
      </c>
    </row>
    <row r="997">
      <c r="A997" s="3">
        <v>2016.0</v>
      </c>
      <c r="B997" s="4" t="s">
        <v>710</v>
      </c>
      <c r="C997" s="3">
        <v>0.0</v>
      </c>
      <c r="D997" s="3" t="s">
        <v>6</v>
      </c>
    </row>
    <row r="998">
      <c r="A998" s="3">
        <v>2016.0</v>
      </c>
      <c r="B998" s="4" t="s">
        <v>711</v>
      </c>
      <c r="C998" s="3">
        <v>0.0</v>
      </c>
      <c r="D998" s="3" t="s">
        <v>3</v>
      </c>
    </row>
    <row r="999">
      <c r="A999" s="3">
        <v>2016.0</v>
      </c>
      <c r="B999" s="4" t="s">
        <v>714</v>
      </c>
      <c r="C999" s="3">
        <v>0.0</v>
      </c>
      <c r="D999" s="3" t="s">
        <v>6</v>
      </c>
    </row>
    <row r="1000">
      <c r="A1000" s="3">
        <v>2016.0</v>
      </c>
      <c r="B1000" s="4" t="s">
        <v>719</v>
      </c>
      <c r="C1000" s="3">
        <v>0.0</v>
      </c>
      <c r="D1000" s="3" t="s">
        <v>29</v>
      </c>
    </row>
    <row r="1001">
      <c r="A1001" s="3">
        <v>2016.0</v>
      </c>
      <c r="B1001" s="4" t="s">
        <v>721</v>
      </c>
      <c r="C1001" s="3">
        <v>0.0</v>
      </c>
      <c r="D1001" s="3" t="s">
        <v>3</v>
      </c>
    </row>
    <row r="1002">
      <c r="A1002" s="3">
        <v>2016.0</v>
      </c>
      <c r="B1002" s="4" t="s">
        <v>724</v>
      </c>
      <c r="C1002" s="3">
        <v>0.0</v>
      </c>
      <c r="D1002" s="3" t="s">
        <v>29</v>
      </c>
    </row>
    <row r="1003">
      <c r="A1003" s="3">
        <v>2016.0</v>
      </c>
      <c r="B1003" s="4" t="s">
        <v>728</v>
      </c>
      <c r="C1003" s="3">
        <v>0.0</v>
      </c>
      <c r="D1003" s="3" t="s">
        <v>3</v>
      </c>
    </row>
    <row r="1004">
      <c r="A1004" s="3">
        <v>2016.0</v>
      </c>
      <c r="B1004" s="4" t="s">
        <v>731</v>
      </c>
      <c r="C1004" s="3">
        <v>0.0</v>
      </c>
      <c r="D1004" s="3" t="s">
        <v>3</v>
      </c>
    </row>
    <row r="1005">
      <c r="A1005" s="3">
        <v>2016.0</v>
      </c>
      <c r="B1005" s="4" t="s">
        <v>2199</v>
      </c>
      <c r="C1005" s="3">
        <v>0.0</v>
      </c>
      <c r="D1005" s="3" t="s">
        <v>3</v>
      </c>
    </row>
    <row r="1006">
      <c r="A1006" s="3">
        <v>2016.0</v>
      </c>
      <c r="B1006" s="4" t="s">
        <v>736</v>
      </c>
      <c r="C1006" s="3">
        <v>0.0</v>
      </c>
      <c r="D1006" s="3" t="s">
        <v>3</v>
      </c>
    </row>
    <row r="1007">
      <c r="A1007" s="3">
        <v>2016.0</v>
      </c>
      <c r="B1007" s="4" t="s">
        <v>2201</v>
      </c>
      <c r="C1007" s="3">
        <v>0.0</v>
      </c>
      <c r="D1007" s="3" t="s">
        <v>3</v>
      </c>
    </row>
    <row r="1008">
      <c r="A1008" s="3">
        <v>2016.0</v>
      </c>
      <c r="B1008" s="4" t="s">
        <v>744</v>
      </c>
      <c r="C1008" s="3">
        <v>0.0</v>
      </c>
      <c r="D1008" s="3" t="s">
        <v>3</v>
      </c>
    </row>
    <row r="1009">
      <c r="A1009" s="3">
        <v>2016.0</v>
      </c>
      <c r="B1009" s="4" t="s">
        <v>747</v>
      </c>
      <c r="C1009" s="3">
        <v>0.0</v>
      </c>
      <c r="D1009" s="3" t="s">
        <v>3</v>
      </c>
    </row>
    <row r="1010">
      <c r="A1010" s="3">
        <v>2016.0</v>
      </c>
      <c r="B1010" s="4" t="s">
        <v>748</v>
      </c>
      <c r="C1010" s="3">
        <v>0.0</v>
      </c>
      <c r="D1010" s="3" t="s">
        <v>32</v>
      </c>
    </row>
    <row r="1011">
      <c r="A1011" s="3">
        <v>2016.0</v>
      </c>
      <c r="B1011" s="4" t="s">
        <v>749</v>
      </c>
      <c r="C1011" s="3">
        <v>0.0</v>
      </c>
      <c r="D1011" s="3" t="s">
        <v>6</v>
      </c>
    </row>
    <row r="1012">
      <c r="A1012" s="3">
        <v>2016.0</v>
      </c>
      <c r="B1012" s="4" t="s">
        <v>2203</v>
      </c>
      <c r="C1012" s="3">
        <v>0.0</v>
      </c>
      <c r="D1012" s="3" t="s">
        <v>3</v>
      </c>
    </row>
    <row r="1013">
      <c r="A1013" s="3">
        <v>2016.0</v>
      </c>
      <c r="B1013" s="4" t="s">
        <v>762</v>
      </c>
      <c r="C1013" s="3">
        <v>0.0</v>
      </c>
      <c r="D1013" s="3" t="s">
        <v>3</v>
      </c>
    </row>
    <row r="1014">
      <c r="A1014" s="3">
        <v>2016.0</v>
      </c>
      <c r="B1014" s="4" t="s">
        <v>763</v>
      </c>
      <c r="C1014" s="3">
        <v>0.0</v>
      </c>
      <c r="D1014" s="3" t="s">
        <v>3</v>
      </c>
    </row>
    <row r="1015">
      <c r="A1015" s="3">
        <v>2016.0</v>
      </c>
      <c r="B1015" s="4" t="s">
        <v>766</v>
      </c>
      <c r="C1015" s="3">
        <v>0.0</v>
      </c>
      <c r="D1015" s="3" t="s">
        <v>3</v>
      </c>
    </row>
    <row r="1016">
      <c r="A1016" s="3">
        <v>2016.0</v>
      </c>
      <c r="B1016" s="4" t="s">
        <v>767</v>
      </c>
      <c r="C1016" s="3">
        <v>0.0</v>
      </c>
      <c r="D1016" s="3" t="s">
        <v>3</v>
      </c>
    </row>
    <row r="1017">
      <c r="A1017" s="3">
        <v>2016.0</v>
      </c>
      <c r="B1017" s="4" t="s">
        <v>768</v>
      </c>
      <c r="C1017" s="3">
        <v>0.0</v>
      </c>
      <c r="D1017" s="3" t="s">
        <v>3</v>
      </c>
    </row>
    <row r="1018">
      <c r="A1018" s="3">
        <v>2016.0</v>
      </c>
      <c r="B1018" s="4" t="s">
        <v>769</v>
      </c>
      <c r="C1018" s="3">
        <v>0.0</v>
      </c>
      <c r="D1018" s="3" t="s">
        <v>3</v>
      </c>
    </row>
    <row r="1019">
      <c r="A1019" s="3">
        <v>2016.0</v>
      </c>
      <c r="B1019" s="4" t="s">
        <v>770</v>
      </c>
      <c r="C1019" s="3">
        <v>0.0</v>
      </c>
      <c r="D1019" s="3" t="s">
        <v>3</v>
      </c>
    </row>
    <row r="1020">
      <c r="A1020" s="3">
        <v>2016.0</v>
      </c>
      <c r="B1020" s="4" t="s">
        <v>771</v>
      </c>
      <c r="C1020" s="3">
        <v>0.0</v>
      </c>
      <c r="D1020" s="3" t="s">
        <v>3</v>
      </c>
    </row>
    <row r="1021">
      <c r="A1021" s="3">
        <v>2016.0</v>
      </c>
      <c r="B1021" s="4" t="s">
        <v>772</v>
      </c>
      <c r="C1021" s="3">
        <v>0.0</v>
      </c>
      <c r="D1021" s="3" t="s">
        <v>3</v>
      </c>
    </row>
    <row r="1022">
      <c r="A1022" s="3">
        <v>2016.0</v>
      </c>
      <c r="B1022" s="4" t="s">
        <v>773</v>
      </c>
      <c r="C1022" s="3">
        <v>0.0</v>
      </c>
      <c r="D1022" s="3" t="s">
        <v>3</v>
      </c>
    </row>
    <row r="1023">
      <c r="A1023" s="3">
        <v>2016.0</v>
      </c>
      <c r="B1023" s="4" t="s">
        <v>2205</v>
      </c>
      <c r="C1023" s="3">
        <v>0.0</v>
      </c>
      <c r="D1023" s="3" t="s">
        <v>3</v>
      </c>
    </row>
    <row r="1024">
      <c r="A1024" s="3">
        <v>2016.0</v>
      </c>
      <c r="B1024" s="4" t="s">
        <v>781</v>
      </c>
      <c r="C1024" s="3">
        <v>0.0</v>
      </c>
      <c r="D1024" s="3" t="s">
        <v>6</v>
      </c>
    </row>
    <row r="1025">
      <c r="A1025" s="3">
        <v>2016.0</v>
      </c>
      <c r="B1025" s="4" t="s">
        <v>782</v>
      </c>
      <c r="C1025" s="3">
        <v>0.0</v>
      </c>
      <c r="D1025" s="3" t="s">
        <v>3</v>
      </c>
    </row>
    <row r="1026">
      <c r="A1026" s="3">
        <v>2016.0</v>
      </c>
      <c r="B1026" s="4" t="s">
        <v>783</v>
      </c>
      <c r="C1026" s="3">
        <v>0.0</v>
      </c>
      <c r="D1026" s="3" t="s">
        <v>29</v>
      </c>
    </row>
    <row r="1027">
      <c r="A1027" s="3">
        <v>2016.0</v>
      </c>
      <c r="B1027" s="4" t="s">
        <v>789</v>
      </c>
      <c r="C1027" s="3">
        <v>0.0</v>
      </c>
      <c r="D1027" s="3" t="s">
        <v>3</v>
      </c>
    </row>
    <row r="1028">
      <c r="A1028" s="3">
        <v>2016.0</v>
      </c>
      <c r="B1028" s="4" t="s">
        <v>791</v>
      </c>
      <c r="C1028" s="3">
        <v>0.0</v>
      </c>
      <c r="D1028" s="3" t="s">
        <v>3</v>
      </c>
    </row>
    <row r="1029">
      <c r="A1029" s="3">
        <v>2016.0</v>
      </c>
      <c r="B1029" s="4" t="s">
        <v>792</v>
      </c>
      <c r="C1029" s="3">
        <v>0.0</v>
      </c>
      <c r="D1029" s="3" t="s">
        <v>3</v>
      </c>
    </row>
    <row r="1030">
      <c r="A1030" s="3">
        <v>2016.0</v>
      </c>
      <c r="B1030" s="4" t="s">
        <v>794</v>
      </c>
      <c r="C1030" s="3">
        <v>0.0</v>
      </c>
      <c r="D1030" s="3" t="s">
        <v>3</v>
      </c>
    </row>
    <row r="1031">
      <c r="A1031" s="3">
        <v>2016.0</v>
      </c>
      <c r="B1031" s="4" t="s">
        <v>795</v>
      </c>
      <c r="C1031" s="3">
        <v>0.0</v>
      </c>
      <c r="D1031" s="3" t="s">
        <v>3</v>
      </c>
    </row>
    <row r="1032">
      <c r="A1032" s="3">
        <v>2016.0</v>
      </c>
      <c r="B1032" s="4" t="s">
        <v>796</v>
      </c>
      <c r="C1032" s="3">
        <v>0.0</v>
      </c>
      <c r="D1032" s="3" t="s">
        <v>3</v>
      </c>
    </row>
    <row r="1033">
      <c r="A1033" s="3">
        <v>2016.0</v>
      </c>
      <c r="B1033" s="4" t="s">
        <v>798</v>
      </c>
      <c r="C1033" s="3">
        <v>0.0</v>
      </c>
      <c r="D1033" s="3" t="s">
        <v>29</v>
      </c>
    </row>
    <row r="1034">
      <c r="A1034" s="3">
        <v>2016.0</v>
      </c>
      <c r="B1034" s="4" t="s">
        <v>799</v>
      </c>
      <c r="C1034" s="3">
        <v>0.0</v>
      </c>
      <c r="D1034" s="3" t="s">
        <v>29</v>
      </c>
    </row>
    <row r="1035">
      <c r="A1035" s="3">
        <v>2016.0</v>
      </c>
      <c r="B1035" s="4" t="s">
        <v>802</v>
      </c>
      <c r="C1035" s="3">
        <v>0.0</v>
      </c>
      <c r="D1035" s="3" t="s">
        <v>3</v>
      </c>
    </row>
    <row r="1036">
      <c r="A1036" s="3">
        <v>2016.0</v>
      </c>
      <c r="B1036" s="4" t="s">
        <v>803</v>
      </c>
      <c r="C1036" s="3">
        <v>0.0</v>
      </c>
      <c r="D1036" s="3" t="s">
        <v>3</v>
      </c>
    </row>
    <row r="1037">
      <c r="A1037" s="3">
        <v>2016.0</v>
      </c>
      <c r="B1037" s="4" t="s">
        <v>804</v>
      </c>
      <c r="C1037" s="3">
        <v>0.0</v>
      </c>
      <c r="D1037" s="3" t="s">
        <v>32</v>
      </c>
    </row>
    <row r="1038">
      <c r="A1038" s="3">
        <v>2016.0</v>
      </c>
      <c r="B1038" s="4" t="s">
        <v>805</v>
      </c>
      <c r="C1038" s="3">
        <v>0.0</v>
      </c>
      <c r="D1038" s="3" t="s">
        <v>6</v>
      </c>
    </row>
    <row r="1039">
      <c r="A1039" s="3">
        <v>2016.0</v>
      </c>
      <c r="B1039" s="4" t="s">
        <v>807</v>
      </c>
      <c r="C1039" s="3">
        <v>0.0</v>
      </c>
      <c r="D1039" s="3" t="s">
        <v>484</v>
      </c>
    </row>
    <row r="1040">
      <c r="A1040" s="3">
        <v>2016.0</v>
      </c>
      <c r="B1040" s="4" t="s">
        <v>808</v>
      </c>
      <c r="C1040" s="3">
        <v>0.0</v>
      </c>
      <c r="D1040" s="3" t="s">
        <v>6</v>
      </c>
    </row>
    <row r="1041">
      <c r="A1041" s="3">
        <v>2016.0</v>
      </c>
      <c r="B1041" s="4" t="s">
        <v>809</v>
      </c>
      <c r="C1041" s="3">
        <v>0.0</v>
      </c>
      <c r="D1041" s="3" t="s">
        <v>29</v>
      </c>
    </row>
    <row r="1042">
      <c r="A1042" s="3">
        <v>2016.0</v>
      </c>
      <c r="B1042" s="4" t="s">
        <v>810</v>
      </c>
      <c r="C1042" s="3">
        <v>0.0</v>
      </c>
      <c r="D1042" s="3" t="s">
        <v>32</v>
      </c>
    </row>
    <row r="1043">
      <c r="A1043" s="3">
        <v>2016.0</v>
      </c>
      <c r="B1043" s="4" t="s">
        <v>814</v>
      </c>
      <c r="C1043" s="3">
        <v>0.0</v>
      </c>
      <c r="D1043" s="3" t="s">
        <v>3</v>
      </c>
    </row>
    <row r="1044">
      <c r="A1044" s="3">
        <v>2016.0</v>
      </c>
      <c r="B1044" s="4" t="s">
        <v>815</v>
      </c>
      <c r="C1044" s="3">
        <v>0.0</v>
      </c>
      <c r="D1044" s="3" t="s">
        <v>3</v>
      </c>
    </row>
    <row r="1045">
      <c r="A1045" s="3">
        <v>2016.0</v>
      </c>
      <c r="B1045" s="4" t="s">
        <v>816</v>
      </c>
      <c r="C1045" s="3">
        <v>0.0</v>
      </c>
      <c r="D1045" s="3" t="s">
        <v>3</v>
      </c>
    </row>
    <row r="1046">
      <c r="A1046" s="3">
        <v>2016.0</v>
      </c>
      <c r="B1046" s="4" t="s">
        <v>818</v>
      </c>
      <c r="C1046" s="3">
        <v>0.0</v>
      </c>
      <c r="D1046" s="3" t="s">
        <v>3</v>
      </c>
    </row>
    <row r="1047">
      <c r="A1047" s="3">
        <v>2016.0</v>
      </c>
      <c r="B1047" s="4" t="s">
        <v>826</v>
      </c>
      <c r="C1047" s="3">
        <v>0.0</v>
      </c>
      <c r="D1047" s="3" t="s">
        <v>668</v>
      </c>
    </row>
    <row r="1048">
      <c r="A1048" s="3">
        <v>2016.0</v>
      </c>
      <c r="B1048" s="4" t="s">
        <v>2209</v>
      </c>
      <c r="C1048" s="3">
        <v>0.0</v>
      </c>
      <c r="D1048" s="3" t="s">
        <v>3</v>
      </c>
    </row>
    <row r="1049">
      <c r="A1049" s="3">
        <v>2016.0</v>
      </c>
      <c r="B1049" s="4" t="s">
        <v>829</v>
      </c>
      <c r="C1049" s="3">
        <v>0.0</v>
      </c>
      <c r="D1049" s="3" t="s">
        <v>3</v>
      </c>
    </row>
    <row r="1050">
      <c r="A1050" s="3">
        <v>2016.0</v>
      </c>
      <c r="B1050" s="4" t="s">
        <v>830</v>
      </c>
      <c r="C1050" s="3">
        <v>0.0</v>
      </c>
      <c r="D1050" s="3" t="s">
        <v>3</v>
      </c>
    </row>
    <row r="1051">
      <c r="A1051" s="3">
        <v>2016.0</v>
      </c>
      <c r="B1051" s="4" t="s">
        <v>2210</v>
      </c>
      <c r="C1051" s="3">
        <v>0.0</v>
      </c>
      <c r="D1051" s="3" t="s">
        <v>6</v>
      </c>
    </row>
    <row r="1052">
      <c r="A1052" s="3">
        <v>2016.0</v>
      </c>
      <c r="B1052" s="4" t="s">
        <v>2212</v>
      </c>
      <c r="C1052" s="3">
        <v>0.0</v>
      </c>
      <c r="D1052" s="3" t="s">
        <v>3</v>
      </c>
    </row>
    <row r="1053">
      <c r="A1053" s="3">
        <v>2016.0</v>
      </c>
      <c r="B1053" s="4" t="s">
        <v>848</v>
      </c>
      <c r="C1053" s="3">
        <v>0.0</v>
      </c>
      <c r="D1053" s="3" t="s">
        <v>3</v>
      </c>
    </row>
    <row r="1054">
      <c r="A1054" s="3">
        <v>2016.0</v>
      </c>
      <c r="B1054" s="4" t="s">
        <v>849</v>
      </c>
      <c r="C1054" s="3">
        <v>0.0</v>
      </c>
      <c r="D1054" s="3" t="s">
        <v>3</v>
      </c>
    </row>
    <row r="1055">
      <c r="A1055" s="3">
        <v>2016.0</v>
      </c>
      <c r="B1055" s="4" t="s">
        <v>850</v>
      </c>
      <c r="C1055" s="3">
        <v>0.0</v>
      </c>
      <c r="D1055" s="3" t="s">
        <v>3</v>
      </c>
    </row>
    <row r="1056">
      <c r="A1056" s="3">
        <v>2016.0</v>
      </c>
      <c r="B1056" s="4" t="s">
        <v>852</v>
      </c>
      <c r="C1056" s="3">
        <v>0.0</v>
      </c>
      <c r="D1056" s="3" t="s">
        <v>3</v>
      </c>
    </row>
    <row r="1057">
      <c r="A1057" s="3">
        <v>2016.0</v>
      </c>
      <c r="B1057" s="4" t="s">
        <v>853</v>
      </c>
      <c r="C1057" s="3">
        <v>0.0</v>
      </c>
      <c r="D1057" s="3" t="s">
        <v>32</v>
      </c>
    </row>
    <row r="1058">
      <c r="A1058" s="3">
        <v>2016.0</v>
      </c>
      <c r="B1058" s="4" t="s">
        <v>854</v>
      </c>
      <c r="C1058" s="3">
        <v>0.0</v>
      </c>
      <c r="D1058" s="3" t="s">
        <v>3</v>
      </c>
    </row>
    <row r="1059">
      <c r="A1059" s="3">
        <v>2016.0</v>
      </c>
      <c r="B1059" s="4" t="s">
        <v>2214</v>
      </c>
      <c r="C1059" s="3">
        <v>0.0</v>
      </c>
      <c r="D1059" s="3" t="s">
        <v>37</v>
      </c>
    </row>
    <row r="1060">
      <c r="A1060" s="3">
        <v>2016.0</v>
      </c>
      <c r="B1060" s="4" t="s">
        <v>2217</v>
      </c>
      <c r="C1060" s="3">
        <v>0.0</v>
      </c>
      <c r="D1060" s="3" t="s">
        <v>6</v>
      </c>
    </row>
    <row r="1061">
      <c r="A1061" s="3">
        <v>2016.0</v>
      </c>
      <c r="B1061" s="4" t="s">
        <v>864</v>
      </c>
      <c r="C1061" s="3">
        <v>0.0</v>
      </c>
      <c r="D1061" s="3" t="s">
        <v>3</v>
      </c>
    </row>
    <row r="1062">
      <c r="A1062" s="3">
        <v>2016.0</v>
      </c>
      <c r="B1062" s="4" t="s">
        <v>2219</v>
      </c>
      <c r="C1062" s="3">
        <v>0.0</v>
      </c>
      <c r="D1062" s="3" t="s">
        <v>3</v>
      </c>
    </row>
    <row r="1063">
      <c r="A1063" s="3">
        <v>2016.0</v>
      </c>
      <c r="B1063" s="4" t="s">
        <v>873</v>
      </c>
      <c r="C1063" s="3">
        <v>0.0</v>
      </c>
      <c r="D1063" s="3" t="s">
        <v>26</v>
      </c>
    </row>
    <row r="1064">
      <c r="A1064" s="3">
        <v>2016.0</v>
      </c>
      <c r="B1064" s="4" t="s">
        <v>875</v>
      </c>
      <c r="C1064" s="3">
        <v>0.0</v>
      </c>
      <c r="D1064" s="3" t="s">
        <v>6</v>
      </c>
    </row>
    <row r="1065">
      <c r="A1065" s="3">
        <v>2016.0</v>
      </c>
      <c r="B1065" s="4" t="s">
        <v>2222</v>
      </c>
      <c r="C1065" s="3">
        <v>0.0</v>
      </c>
      <c r="D1065" s="3" t="s">
        <v>29</v>
      </c>
    </row>
    <row r="1066">
      <c r="A1066" s="3">
        <v>2016.0</v>
      </c>
      <c r="B1066" s="4" t="s">
        <v>2223</v>
      </c>
      <c r="C1066" s="3">
        <v>0.0</v>
      </c>
      <c r="D1066" s="3" t="s">
        <v>29</v>
      </c>
    </row>
    <row r="1067">
      <c r="A1067" s="3">
        <v>2016.0</v>
      </c>
      <c r="B1067" s="4" t="s">
        <v>882</v>
      </c>
      <c r="C1067" s="3">
        <v>0.0</v>
      </c>
      <c r="D1067" s="3" t="s">
        <v>6</v>
      </c>
    </row>
    <row r="1068">
      <c r="A1068" s="3">
        <v>2016.0</v>
      </c>
      <c r="B1068" s="4" t="s">
        <v>2224</v>
      </c>
      <c r="C1068" s="3">
        <v>0.0</v>
      </c>
      <c r="D1068" s="3" t="s">
        <v>29</v>
      </c>
    </row>
    <row r="1069">
      <c r="A1069" s="3">
        <v>2016.0</v>
      </c>
      <c r="B1069" s="4" t="s">
        <v>894</v>
      </c>
      <c r="C1069" s="3">
        <v>0.0</v>
      </c>
      <c r="D1069" s="3" t="s">
        <v>6</v>
      </c>
    </row>
    <row r="1070">
      <c r="A1070" s="3">
        <v>2016.0</v>
      </c>
      <c r="B1070" s="4" t="s">
        <v>895</v>
      </c>
      <c r="C1070" s="3">
        <v>0.0</v>
      </c>
      <c r="D1070" s="3" t="s">
        <v>3</v>
      </c>
    </row>
    <row r="1071">
      <c r="A1071" s="3">
        <v>2016.0</v>
      </c>
      <c r="B1071" s="4" t="s">
        <v>896</v>
      </c>
      <c r="C1071" s="3">
        <v>0.0</v>
      </c>
      <c r="D1071" s="3" t="s">
        <v>32</v>
      </c>
    </row>
    <row r="1072">
      <c r="A1072" s="3">
        <v>2016.0</v>
      </c>
      <c r="B1072" s="4" t="s">
        <v>2228</v>
      </c>
      <c r="C1072" s="3">
        <v>0.0</v>
      </c>
      <c r="D1072" s="3" t="s">
        <v>3</v>
      </c>
    </row>
    <row r="1073">
      <c r="A1073" s="3">
        <v>2016.0</v>
      </c>
      <c r="B1073" s="4" t="s">
        <v>899</v>
      </c>
      <c r="C1073" s="3">
        <v>0.0</v>
      </c>
      <c r="D1073" s="3" t="s">
        <v>3</v>
      </c>
    </row>
    <row r="1074">
      <c r="A1074" s="3">
        <v>2016.0</v>
      </c>
      <c r="B1074" s="4" t="s">
        <v>901</v>
      </c>
      <c r="C1074" s="3">
        <v>0.0</v>
      </c>
      <c r="D1074" s="3" t="s">
        <v>32</v>
      </c>
    </row>
    <row r="1075">
      <c r="A1075" s="3">
        <v>2016.0</v>
      </c>
      <c r="B1075" s="4" t="s">
        <v>2229</v>
      </c>
      <c r="C1075" s="3">
        <v>0.0</v>
      </c>
      <c r="D1075" s="3" t="s">
        <v>6</v>
      </c>
    </row>
    <row r="1076">
      <c r="A1076" s="3">
        <v>2016.0</v>
      </c>
      <c r="B1076" s="4" t="s">
        <v>911</v>
      </c>
      <c r="C1076" s="3">
        <v>0.0</v>
      </c>
      <c r="D1076" s="3" t="s">
        <v>3</v>
      </c>
    </row>
    <row r="1077">
      <c r="A1077" s="3">
        <v>2016.0</v>
      </c>
      <c r="B1077" s="4" t="s">
        <v>912</v>
      </c>
      <c r="C1077" s="3">
        <v>0.0</v>
      </c>
      <c r="D1077" s="3" t="s">
        <v>3</v>
      </c>
    </row>
    <row r="1078">
      <c r="A1078" s="3">
        <v>2016.0</v>
      </c>
      <c r="B1078" s="4" t="s">
        <v>918</v>
      </c>
      <c r="C1078" s="3">
        <v>0.0</v>
      </c>
      <c r="D1078" s="3" t="s">
        <v>32</v>
      </c>
    </row>
    <row r="1079">
      <c r="A1079" s="3">
        <v>2016.0</v>
      </c>
      <c r="B1079" s="4" t="s">
        <v>919</v>
      </c>
      <c r="C1079" s="3">
        <v>0.0</v>
      </c>
      <c r="D1079" s="3" t="s">
        <v>3</v>
      </c>
    </row>
    <row r="1080">
      <c r="A1080" s="3">
        <v>2016.0</v>
      </c>
      <c r="B1080" s="4" t="s">
        <v>920</v>
      </c>
      <c r="C1080" s="3">
        <v>0.0</v>
      </c>
      <c r="D1080" s="3" t="s">
        <v>3</v>
      </c>
    </row>
    <row r="1081">
      <c r="A1081" s="3">
        <v>2016.0</v>
      </c>
      <c r="B1081" s="4" t="s">
        <v>924</v>
      </c>
      <c r="C1081" s="3">
        <v>0.0</v>
      </c>
      <c r="D1081" s="3" t="s">
        <v>3</v>
      </c>
    </row>
    <row r="1082">
      <c r="A1082" s="3">
        <v>2016.0</v>
      </c>
      <c r="B1082" s="4" t="s">
        <v>926</v>
      </c>
      <c r="C1082" s="3">
        <v>0.0</v>
      </c>
      <c r="D1082" s="3" t="s">
        <v>3</v>
      </c>
    </row>
    <row r="1083">
      <c r="A1083" s="3">
        <v>2016.0</v>
      </c>
      <c r="B1083" s="4" t="s">
        <v>928</v>
      </c>
      <c r="C1083" s="3">
        <v>0.0</v>
      </c>
      <c r="D1083" s="3" t="s">
        <v>32</v>
      </c>
    </row>
    <row r="1084">
      <c r="A1084" s="3">
        <v>2016.0</v>
      </c>
      <c r="B1084" s="4" t="s">
        <v>934</v>
      </c>
      <c r="C1084" s="3">
        <v>0.0</v>
      </c>
      <c r="D1084" s="3" t="s">
        <v>3</v>
      </c>
    </row>
    <row r="1085">
      <c r="A1085" s="3">
        <v>2016.0</v>
      </c>
      <c r="B1085" s="4" t="s">
        <v>943</v>
      </c>
      <c r="C1085" s="3">
        <v>0.0</v>
      </c>
      <c r="D1085" s="3" t="s">
        <v>3</v>
      </c>
    </row>
    <row r="1086">
      <c r="A1086" s="3">
        <v>2016.0</v>
      </c>
      <c r="B1086" s="4" t="s">
        <v>944</v>
      </c>
      <c r="C1086" s="3">
        <v>0.0</v>
      </c>
      <c r="D1086" s="3" t="s">
        <v>3</v>
      </c>
    </row>
    <row r="1087">
      <c r="A1087" s="3">
        <v>2016.0</v>
      </c>
      <c r="B1087" s="4" t="s">
        <v>947</v>
      </c>
      <c r="C1087" s="3">
        <v>0.0</v>
      </c>
      <c r="D1087" s="3" t="s">
        <v>29</v>
      </c>
    </row>
    <row r="1088">
      <c r="A1088" s="3">
        <v>2016.0</v>
      </c>
      <c r="B1088" s="4" t="s">
        <v>958</v>
      </c>
      <c r="C1088" s="3">
        <v>0.0</v>
      </c>
      <c r="D1088" s="3" t="s">
        <v>3</v>
      </c>
    </row>
    <row r="1089">
      <c r="A1089" s="3">
        <v>2016.0</v>
      </c>
      <c r="B1089" s="4" t="s">
        <v>2234</v>
      </c>
      <c r="C1089" s="3">
        <v>0.0</v>
      </c>
      <c r="D1089" s="3" t="s">
        <v>3</v>
      </c>
    </row>
    <row r="1090">
      <c r="A1090" s="3">
        <v>2016.0</v>
      </c>
      <c r="B1090" s="4" t="s">
        <v>964</v>
      </c>
      <c r="C1090" s="3">
        <v>0.0</v>
      </c>
      <c r="D1090" s="3" t="s">
        <v>3</v>
      </c>
    </row>
    <row r="1091">
      <c r="A1091" s="3">
        <v>2016.0</v>
      </c>
      <c r="B1091" s="4" t="s">
        <v>969</v>
      </c>
      <c r="C1091" s="3">
        <v>0.0</v>
      </c>
      <c r="D1091" s="3" t="s">
        <v>3</v>
      </c>
    </row>
    <row r="1092">
      <c r="A1092" s="3">
        <v>2016.0</v>
      </c>
      <c r="B1092" s="4" t="s">
        <v>970</v>
      </c>
      <c r="C1092" s="3">
        <v>0.0</v>
      </c>
      <c r="D1092" s="3" t="s">
        <v>3</v>
      </c>
    </row>
    <row r="1093">
      <c r="A1093" s="3">
        <v>2016.0</v>
      </c>
      <c r="B1093" s="4" t="s">
        <v>971</v>
      </c>
      <c r="C1093" s="3">
        <v>0.0</v>
      </c>
      <c r="D1093" s="3" t="s">
        <v>3</v>
      </c>
    </row>
    <row r="1094">
      <c r="A1094" s="3">
        <v>2016.0</v>
      </c>
      <c r="B1094" s="4" t="s">
        <v>972</v>
      </c>
      <c r="C1094" s="3">
        <v>0.0</v>
      </c>
      <c r="D1094" s="3" t="s">
        <v>32</v>
      </c>
    </row>
    <row r="1095">
      <c r="A1095" s="3">
        <v>2016.0</v>
      </c>
      <c r="B1095" s="4" t="s">
        <v>974</v>
      </c>
      <c r="C1095" s="3">
        <v>0.0</v>
      </c>
      <c r="D1095" s="3" t="s">
        <v>3</v>
      </c>
    </row>
    <row r="1096">
      <c r="A1096" s="3">
        <v>2016.0</v>
      </c>
      <c r="B1096" s="4" t="s">
        <v>978</v>
      </c>
      <c r="C1096" s="3">
        <v>0.0</v>
      </c>
      <c r="D1096" s="3" t="s">
        <v>29</v>
      </c>
    </row>
    <row r="1097">
      <c r="A1097" s="3">
        <v>2016.0</v>
      </c>
      <c r="B1097" s="4" t="s">
        <v>980</v>
      </c>
      <c r="C1097" s="3">
        <v>0.0</v>
      </c>
      <c r="D1097" s="3" t="s">
        <v>3</v>
      </c>
    </row>
    <row r="1098">
      <c r="A1098" s="3">
        <v>2016.0</v>
      </c>
      <c r="B1098" s="4" t="s">
        <v>982</v>
      </c>
      <c r="C1098" s="3">
        <v>0.0</v>
      </c>
      <c r="D1098" s="3" t="s">
        <v>6</v>
      </c>
    </row>
    <row r="1099">
      <c r="A1099" s="3">
        <v>2016.0</v>
      </c>
      <c r="B1099" s="4" t="s">
        <v>983</v>
      </c>
      <c r="C1099" s="3">
        <v>0.0</v>
      </c>
      <c r="D1099" s="3" t="s">
        <v>3</v>
      </c>
    </row>
    <row r="1100">
      <c r="A1100" s="3">
        <v>2016.0</v>
      </c>
      <c r="B1100" s="4" t="s">
        <v>987</v>
      </c>
      <c r="C1100" s="3">
        <v>0.0</v>
      </c>
      <c r="D1100" s="3" t="s">
        <v>3</v>
      </c>
    </row>
    <row r="1101">
      <c r="A1101" s="3">
        <v>2016.0</v>
      </c>
      <c r="B1101" s="4" t="s">
        <v>991</v>
      </c>
      <c r="C1101" s="3">
        <v>0.0</v>
      </c>
      <c r="D1101" s="3" t="s">
        <v>3</v>
      </c>
    </row>
    <row r="1102">
      <c r="A1102" s="3">
        <v>2016.0</v>
      </c>
      <c r="B1102" s="4" t="s">
        <v>992</v>
      </c>
      <c r="C1102" s="3">
        <v>0.0</v>
      </c>
      <c r="D1102" s="3" t="s">
        <v>3</v>
      </c>
    </row>
    <row r="1103">
      <c r="A1103" s="3">
        <v>2016.0</v>
      </c>
      <c r="B1103" s="4" t="s">
        <v>993</v>
      </c>
      <c r="C1103" s="3">
        <v>0.0</v>
      </c>
      <c r="D1103" s="3" t="s">
        <v>3</v>
      </c>
    </row>
    <row r="1104">
      <c r="A1104" s="3">
        <v>2016.0</v>
      </c>
      <c r="B1104" s="4" t="s">
        <v>999</v>
      </c>
      <c r="C1104" s="3">
        <v>0.0</v>
      </c>
      <c r="D1104" s="3" t="s">
        <v>3</v>
      </c>
    </row>
    <row r="1105">
      <c r="A1105" s="3">
        <v>2016.0</v>
      </c>
      <c r="B1105" s="4" t="s">
        <v>1001</v>
      </c>
      <c r="C1105" s="3">
        <v>0.0</v>
      </c>
      <c r="D1105" s="3" t="s">
        <v>6</v>
      </c>
    </row>
    <row r="1106">
      <c r="A1106" s="3">
        <v>2016.0</v>
      </c>
      <c r="B1106" s="4" t="s">
        <v>1003</v>
      </c>
      <c r="C1106" s="3">
        <v>0.0</v>
      </c>
      <c r="D1106" s="3" t="s">
        <v>3</v>
      </c>
    </row>
    <row r="1107">
      <c r="A1107" s="3">
        <v>2016.0</v>
      </c>
      <c r="B1107" s="4" t="s">
        <v>1004</v>
      </c>
      <c r="C1107" s="3">
        <v>0.0</v>
      </c>
      <c r="D1107" s="3" t="s">
        <v>3</v>
      </c>
    </row>
    <row r="1108">
      <c r="A1108" s="3">
        <v>2016.0</v>
      </c>
      <c r="B1108" s="4" t="s">
        <v>1006</v>
      </c>
      <c r="C1108" s="3">
        <v>0.0</v>
      </c>
      <c r="D1108" s="3" t="s">
        <v>3</v>
      </c>
    </row>
    <row r="1109">
      <c r="A1109" s="3">
        <v>2016.0</v>
      </c>
      <c r="B1109" s="4" t="s">
        <v>1008</v>
      </c>
      <c r="C1109" s="3">
        <v>0.0</v>
      </c>
      <c r="D1109" s="3" t="s">
        <v>484</v>
      </c>
    </row>
    <row r="1110">
      <c r="A1110" s="3">
        <v>2016.0</v>
      </c>
      <c r="B1110" s="4" t="s">
        <v>1009</v>
      </c>
      <c r="C1110" s="3">
        <v>0.0</v>
      </c>
      <c r="D1110" s="3" t="s">
        <v>3</v>
      </c>
    </row>
    <row r="1111">
      <c r="A1111" s="3">
        <v>2016.0</v>
      </c>
      <c r="B1111" s="4" t="s">
        <v>1010</v>
      </c>
      <c r="C1111" s="3">
        <v>0.0</v>
      </c>
      <c r="D1111" s="3" t="s">
        <v>6</v>
      </c>
    </row>
    <row r="1112">
      <c r="A1112" s="3">
        <v>2016.0</v>
      </c>
      <c r="B1112" s="4" t="s">
        <v>1015</v>
      </c>
      <c r="C1112" s="3">
        <v>0.0</v>
      </c>
      <c r="D1112" s="3" t="s">
        <v>3</v>
      </c>
    </row>
    <row r="1113">
      <c r="A1113" s="3">
        <v>2016.0</v>
      </c>
      <c r="B1113" s="4" t="s">
        <v>1016</v>
      </c>
      <c r="C1113" s="3">
        <v>0.0</v>
      </c>
      <c r="D1113" s="3" t="s">
        <v>6</v>
      </c>
    </row>
    <row r="1114">
      <c r="A1114" s="3">
        <v>2016.0</v>
      </c>
      <c r="B1114" s="4" t="s">
        <v>1018</v>
      </c>
      <c r="C1114" s="3">
        <v>0.0</v>
      </c>
      <c r="D1114" s="3" t="s">
        <v>32</v>
      </c>
    </row>
    <row r="1115">
      <c r="A1115" s="3">
        <v>2016.0</v>
      </c>
      <c r="B1115" s="4" t="s">
        <v>1019</v>
      </c>
      <c r="C1115" s="3">
        <v>0.0</v>
      </c>
      <c r="D1115" s="3" t="s">
        <v>6</v>
      </c>
    </row>
    <row r="1116">
      <c r="A1116" s="3">
        <v>2016.0</v>
      </c>
      <c r="B1116" s="4" t="s">
        <v>1022</v>
      </c>
      <c r="C1116" s="3">
        <v>0.0</v>
      </c>
      <c r="D1116" s="3" t="s">
        <v>6</v>
      </c>
    </row>
    <row r="1117">
      <c r="A1117" s="3">
        <v>2016.0</v>
      </c>
      <c r="B1117" s="4" t="s">
        <v>1025</v>
      </c>
      <c r="C1117" s="3">
        <v>0.0</v>
      </c>
      <c r="D1117" s="3" t="s">
        <v>3</v>
      </c>
    </row>
    <row r="1118">
      <c r="A1118" s="3">
        <v>2016.0</v>
      </c>
      <c r="B1118" s="4" t="s">
        <v>2237</v>
      </c>
      <c r="C1118" s="3">
        <v>0.0</v>
      </c>
      <c r="D1118" s="3" t="s">
        <v>3</v>
      </c>
    </row>
    <row r="1119">
      <c r="A1119" s="3">
        <v>2016.0</v>
      </c>
      <c r="B1119" s="4" t="s">
        <v>1031</v>
      </c>
      <c r="C1119" s="3">
        <v>0.0</v>
      </c>
      <c r="D1119" s="3" t="s">
        <v>3</v>
      </c>
    </row>
    <row r="1120">
      <c r="A1120" s="3">
        <v>2016.0</v>
      </c>
      <c r="B1120" s="4" t="s">
        <v>1032</v>
      </c>
      <c r="C1120" s="3">
        <v>0.0</v>
      </c>
      <c r="D1120" s="3" t="s">
        <v>29</v>
      </c>
    </row>
    <row r="1121">
      <c r="A1121" s="3">
        <v>2016.0</v>
      </c>
      <c r="B1121" s="4" t="s">
        <v>1036</v>
      </c>
      <c r="C1121" s="3">
        <v>0.0</v>
      </c>
      <c r="D1121" s="3" t="s">
        <v>3</v>
      </c>
    </row>
    <row r="1122">
      <c r="A1122" s="3">
        <v>2016.0</v>
      </c>
      <c r="B1122" s="4" t="s">
        <v>1037</v>
      </c>
      <c r="C1122" s="3">
        <v>0.0</v>
      </c>
      <c r="D1122" s="3" t="s">
        <v>26</v>
      </c>
    </row>
    <row r="1123">
      <c r="A1123" s="3">
        <v>2016.0</v>
      </c>
      <c r="B1123" s="4" t="s">
        <v>1038</v>
      </c>
      <c r="C1123" s="3">
        <v>0.0</v>
      </c>
      <c r="D1123" s="3" t="s">
        <v>3</v>
      </c>
    </row>
    <row r="1124">
      <c r="A1124" s="3">
        <v>2016.0</v>
      </c>
      <c r="B1124" s="4" t="s">
        <v>1042</v>
      </c>
      <c r="C1124" s="3">
        <v>0.0</v>
      </c>
      <c r="D1124" s="3" t="s">
        <v>3</v>
      </c>
    </row>
    <row r="1125">
      <c r="A1125" s="3">
        <v>2016.0</v>
      </c>
      <c r="B1125" s="4" t="s">
        <v>1046</v>
      </c>
      <c r="C1125" s="3">
        <v>0.0</v>
      </c>
      <c r="D1125" s="3" t="s">
        <v>3</v>
      </c>
    </row>
    <row r="1126">
      <c r="A1126" s="3">
        <v>2016.0</v>
      </c>
      <c r="B1126" s="4" t="s">
        <v>1048</v>
      </c>
      <c r="C1126" s="3">
        <v>0.0</v>
      </c>
      <c r="D1126" s="3" t="s">
        <v>3</v>
      </c>
    </row>
    <row r="1127">
      <c r="A1127" s="3">
        <v>2016.0</v>
      </c>
      <c r="B1127" s="4" t="s">
        <v>2239</v>
      </c>
      <c r="C1127" s="3">
        <v>0.0</v>
      </c>
      <c r="D1127" s="3" t="s">
        <v>3</v>
      </c>
    </row>
    <row r="1128">
      <c r="A1128" s="3">
        <v>2016.0</v>
      </c>
      <c r="B1128" s="4" t="s">
        <v>1054</v>
      </c>
      <c r="C1128" s="3">
        <v>0.0</v>
      </c>
      <c r="D1128" s="3" t="s">
        <v>3</v>
      </c>
    </row>
    <row r="1129">
      <c r="A1129" s="3">
        <v>2016.0</v>
      </c>
      <c r="B1129" s="4" t="s">
        <v>1057</v>
      </c>
      <c r="C1129" s="3">
        <v>0.0</v>
      </c>
      <c r="D1129" s="3" t="s">
        <v>32</v>
      </c>
    </row>
    <row r="1130">
      <c r="A1130" s="3">
        <v>2016.0</v>
      </c>
      <c r="B1130" s="4" t="s">
        <v>1059</v>
      </c>
      <c r="C1130" s="3">
        <v>0.0</v>
      </c>
      <c r="D1130" s="3" t="s">
        <v>3</v>
      </c>
    </row>
    <row r="1131">
      <c r="A1131" s="3">
        <v>2016.0</v>
      </c>
      <c r="B1131" s="4" t="s">
        <v>1064</v>
      </c>
      <c r="C1131" s="3">
        <v>0.0</v>
      </c>
      <c r="D1131" s="3" t="s">
        <v>3</v>
      </c>
    </row>
    <row r="1132">
      <c r="A1132" s="3">
        <v>2016.0</v>
      </c>
      <c r="B1132" s="4" t="s">
        <v>1072</v>
      </c>
      <c r="C1132" s="3">
        <v>0.0</v>
      </c>
      <c r="D1132" s="3" t="s">
        <v>3</v>
      </c>
    </row>
    <row r="1133">
      <c r="A1133" s="3">
        <v>2016.0</v>
      </c>
      <c r="B1133" s="4" t="s">
        <v>2243</v>
      </c>
      <c r="C1133" s="3">
        <v>0.0</v>
      </c>
      <c r="D1133" s="3" t="s">
        <v>484</v>
      </c>
    </row>
    <row r="1134">
      <c r="A1134" s="3">
        <v>2016.0</v>
      </c>
      <c r="B1134" s="4" t="s">
        <v>1075</v>
      </c>
      <c r="C1134" s="3">
        <v>0.0</v>
      </c>
      <c r="D1134" s="3" t="s">
        <v>3</v>
      </c>
    </row>
    <row r="1135">
      <c r="A1135" s="3">
        <v>2016.0</v>
      </c>
      <c r="B1135" s="4" t="s">
        <v>1076</v>
      </c>
      <c r="C1135" s="3">
        <v>0.0</v>
      </c>
      <c r="D1135" s="3" t="s">
        <v>3</v>
      </c>
    </row>
    <row r="1136">
      <c r="A1136" s="3">
        <v>2016.0</v>
      </c>
      <c r="B1136" s="4" t="s">
        <v>2244</v>
      </c>
      <c r="C1136" s="3">
        <v>0.0</v>
      </c>
      <c r="D1136" s="3" t="s">
        <v>3</v>
      </c>
    </row>
    <row r="1137">
      <c r="A1137" s="3">
        <v>2016.0</v>
      </c>
      <c r="B1137" s="4" t="s">
        <v>1079</v>
      </c>
      <c r="C1137" s="3">
        <v>0.0</v>
      </c>
      <c r="D1137" s="3" t="s">
        <v>3</v>
      </c>
    </row>
    <row r="1138">
      <c r="A1138" s="3">
        <v>2016.0</v>
      </c>
      <c r="B1138" s="4" t="s">
        <v>1081</v>
      </c>
      <c r="C1138" s="3">
        <v>0.0</v>
      </c>
      <c r="D1138" s="3" t="s">
        <v>6</v>
      </c>
    </row>
    <row r="1139">
      <c r="A1139" s="3">
        <v>2016.0</v>
      </c>
      <c r="B1139" s="4" t="s">
        <v>1082</v>
      </c>
      <c r="C1139" s="3">
        <v>0.0</v>
      </c>
      <c r="D1139" s="3" t="s">
        <v>3</v>
      </c>
    </row>
    <row r="1140">
      <c r="A1140" s="3">
        <v>2016.0</v>
      </c>
      <c r="B1140" s="4" t="s">
        <v>1084</v>
      </c>
      <c r="C1140" s="3">
        <v>0.0</v>
      </c>
      <c r="D1140" s="3" t="s">
        <v>3</v>
      </c>
    </row>
    <row r="1141">
      <c r="A1141" s="3">
        <v>2016.0</v>
      </c>
      <c r="B1141" s="4" t="s">
        <v>2245</v>
      </c>
      <c r="C1141" s="3">
        <v>0.0</v>
      </c>
      <c r="D1141" s="3" t="s">
        <v>3</v>
      </c>
    </row>
    <row r="1142">
      <c r="A1142" s="3">
        <v>2016.0</v>
      </c>
      <c r="B1142" s="4" t="s">
        <v>1091</v>
      </c>
      <c r="C1142" s="3">
        <v>0.0</v>
      </c>
      <c r="D1142" s="3" t="s">
        <v>3</v>
      </c>
    </row>
    <row r="1143">
      <c r="A1143" s="3">
        <v>2016.0</v>
      </c>
      <c r="B1143" s="4" t="s">
        <v>1094</v>
      </c>
      <c r="C1143" s="3">
        <v>0.0</v>
      </c>
      <c r="D1143" s="3" t="s">
        <v>3</v>
      </c>
    </row>
    <row r="1144">
      <c r="A1144" s="3">
        <v>2016.0</v>
      </c>
      <c r="B1144" s="4" t="s">
        <v>1095</v>
      </c>
      <c r="C1144" s="3">
        <v>0.0</v>
      </c>
      <c r="D1144" s="3" t="s">
        <v>6</v>
      </c>
    </row>
    <row r="1145">
      <c r="A1145" s="3">
        <v>2016.0</v>
      </c>
      <c r="B1145" s="4" t="s">
        <v>1097</v>
      </c>
      <c r="C1145" s="3">
        <v>0.0</v>
      </c>
      <c r="D1145" s="3" t="s">
        <v>29</v>
      </c>
    </row>
    <row r="1146">
      <c r="A1146" s="3">
        <v>2016.0</v>
      </c>
      <c r="B1146" s="4" t="s">
        <v>1099</v>
      </c>
      <c r="C1146" s="3">
        <v>0.0</v>
      </c>
      <c r="D1146" s="3" t="s">
        <v>3</v>
      </c>
    </row>
    <row r="1147">
      <c r="A1147" s="3">
        <v>2016.0</v>
      </c>
      <c r="B1147" s="4" t="s">
        <v>1100</v>
      </c>
      <c r="C1147" s="3">
        <v>0.0</v>
      </c>
      <c r="D1147" s="3" t="s">
        <v>3</v>
      </c>
    </row>
    <row r="1148">
      <c r="A1148" s="3">
        <v>2016.0</v>
      </c>
      <c r="B1148" s="4" t="s">
        <v>2246</v>
      </c>
      <c r="C1148" s="3">
        <v>0.0</v>
      </c>
      <c r="D1148" s="3" t="s">
        <v>3</v>
      </c>
    </row>
    <row r="1149">
      <c r="A1149" s="3">
        <v>2016.0</v>
      </c>
      <c r="B1149" s="4" t="s">
        <v>1103</v>
      </c>
      <c r="C1149" s="3">
        <v>0.0</v>
      </c>
      <c r="D1149" s="3" t="s">
        <v>3</v>
      </c>
    </row>
    <row r="1150">
      <c r="A1150" s="3">
        <v>2016.0</v>
      </c>
      <c r="B1150" s="4" t="s">
        <v>2247</v>
      </c>
      <c r="C1150" s="3">
        <v>0.0</v>
      </c>
      <c r="D1150" s="3" t="s">
        <v>32</v>
      </c>
    </row>
    <row r="1151">
      <c r="A1151" s="3">
        <v>2016.0</v>
      </c>
      <c r="B1151" s="4" t="s">
        <v>1107</v>
      </c>
      <c r="C1151" s="3">
        <v>0.0</v>
      </c>
      <c r="D1151" s="3" t="s">
        <v>3</v>
      </c>
    </row>
    <row r="1152">
      <c r="A1152" s="3">
        <v>2016.0</v>
      </c>
      <c r="B1152" s="4" t="s">
        <v>2248</v>
      </c>
      <c r="C1152" s="3">
        <v>0.0</v>
      </c>
      <c r="D1152" s="3" t="s">
        <v>3</v>
      </c>
    </row>
    <row r="1153">
      <c r="A1153" s="3">
        <v>2016.0</v>
      </c>
      <c r="B1153" s="4" t="s">
        <v>1114</v>
      </c>
      <c r="C1153" s="3">
        <v>0.0</v>
      </c>
      <c r="D1153" s="3" t="s">
        <v>6</v>
      </c>
    </row>
    <row r="1154">
      <c r="A1154" s="3">
        <v>2016.0</v>
      </c>
      <c r="B1154" s="4" t="s">
        <v>2251</v>
      </c>
      <c r="C1154" s="3">
        <v>0.0</v>
      </c>
      <c r="D1154" s="3" t="s">
        <v>3</v>
      </c>
    </row>
    <row r="1155">
      <c r="A1155" s="3">
        <v>2016.0</v>
      </c>
      <c r="B1155" s="4" t="s">
        <v>1117</v>
      </c>
      <c r="C1155" s="3">
        <v>0.0</v>
      </c>
      <c r="D1155" s="3" t="s">
        <v>3</v>
      </c>
    </row>
    <row r="1156">
      <c r="A1156" s="3">
        <v>2016.0</v>
      </c>
      <c r="B1156" s="4" t="s">
        <v>1118</v>
      </c>
      <c r="C1156" s="3">
        <v>0.0</v>
      </c>
      <c r="D1156" s="3" t="s">
        <v>6</v>
      </c>
    </row>
    <row r="1157">
      <c r="A1157" s="3">
        <v>2016.0</v>
      </c>
      <c r="B1157" s="4" t="s">
        <v>2252</v>
      </c>
      <c r="C1157" s="3">
        <v>0.0</v>
      </c>
      <c r="D1157" s="3" t="s">
        <v>3</v>
      </c>
    </row>
    <row r="1158">
      <c r="A1158" s="3">
        <v>2016.0</v>
      </c>
      <c r="B1158" s="4" t="s">
        <v>2254</v>
      </c>
      <c r="C1158" s="3">
        <v>0.0</v>
      </c>
      <c r="D1158" s="3" t="s">
        <v>3</v>
      </c>
    </row>
    <row r="1159">
      <c r="A1159" s="3">
        <v>2016.0</v>
      </c>
      <c r="B1159" s="4" t="s">
        <v>2255</v>
      </c>
      <c r="C1159" s="3">
        <v>0.0</v>
      </c>
      <c r="D1159" s="3" t="s">
        <v>3</v>
      </c>
    </row>
    <row r="1160">
      <c r="A1160" s="3">
        <v>2016.0</v>
      </c>
      <c r="B1160" s="4" t="s">
        <v>2256</v>
      </c>
      <c r="C1160" s="3">
        <v>0.0</v>
      </c>
      <c r="D1160" s="3" t="s">
        <v>32</v>
      </c>
    </row>
    <row r="1161">
      <c r="A1161" s="3">
        <v>2016.0</v>
      </c>
      <c r="B1161" s="4" t="s">
        <v>1132</v>
      </c>
      <c r="C1161" s="3">
        <v>0.0</v>
      </c>
      <c r="D1161" s="3" t="s">
        <v>6</v>
      </c>
    </row>
    <row r="1162">
      <c r="A1162" s="3">
        <v>2016.0</v>
      </c>
      <c r="B1162" s="4" t="s">
        <v>1133</v>
      </c>
      <c r="C1162" s="3">
        <v>0.0</v>
      </c>
      <c r="D1162" s="3" t="s">
        <v>32</v>
      </c>
    </row>
    <row r="1163">
      <c r="A1163" s="3">
        <v>2016.0</v>
      </c>
      <c r="B1163" s="4" t="s">
        <v>1138</v>
      </c>
      <c r="C1163" s="3">
        <v>0.0</v>
      </c>
      <c r="D1163" s="3" t="s">
        <v>3</v>
      </c>
    </row>
    <row r="1164">
      <c r="A1164" s="3">
        <v>2016.0</v>
      </c>
      <c r="B1164" s="4" t="s">
        <v>1139</v>
      </c>
      <c r="C1164" s="3">
        <v>0.0</v>
      </c>
      <c r="D1164" s="3" t="s">
        <v>3</v>
      </c>
    </row>
    <row r="1165">
      <c r="A1165" s="3">
        <v>2016.0</v>
      </c>
      <c r="B1165" s="4" t="s">
        <v>1140</v>
      </c>
      <c r="C1165" s="3">
        <v>0.0</v>
      </c>
      <c r="D1165" s="3" t="s">
        <v>6</v>
      </c>
    </row>
    <row r="1166">
      <c r="A1166" s="3">
        <v>2016.0</v>
      </c>
      <c r="B1166" s="4" t="s">
        <v>1141</v>
      </c>
      <c r="C1166" s="3">
        <v>0.0</v>
      </c>
      <c r="D1166" s="3" t="s">
        <v>3</v>
      </c>
    </row>
    <row r="1167">
      <c r="A1167" s="3">
        <v>2016.0</v>
      </c>
      <c r="B1167" s="4" t="s">
        <v>1142</v>
      </c>
      <c r="C1167" s="3">
        <v>0.0</v>
      </c>
      <c r="D1167" s="3" t="s">
        <v>6</v>
      </c>
    </row>
    <row r="1168">
      <c r="A1168" s="3">
        <v>2016.0</v>
      </c>
      <c r="B1168" s="4" t="s">
        <v>1143</v>
      </c>
      <c r="C1168" s="3">
        <v>0.0</v>
      </c>
      <c r="D1168" s="3" t="s">
        <v>3</v>
      </c>
    </row>
    <row r="1169">
      <c r="A1169" s="3">
        <v>2016.0</v>
      </c>
      <c r="B1169" s="4" t="s">
        <v>1148</v>
      </c>
      <c r="C1169" s="3">
        <v>0.0</v>
      </c>
      <c r="D1169" s="3" t="s">
        <v>26</v>
      </c>
    </row>
    <row r="1170">
      <c r="A1170" s="3">
        <v>2016.0</v>
      </c>
      <c r="B1170" s="4" t="s">
        <v>1149</v>
      </c>
      <c r="C1170" s="3">
        <v>0.0</v>
      </c>
      <c r="D1170" s="3" t="s">
        <v>29</v>
      </c>
    </row>
    <row r="1171">
      <c r="A1171" s="3">
        <v>2016.0</v>
      </c>
      <c r="B1171" s="4" t="s">
        <v>1152</v>
      </c>
      <c r="C1171" s="3">
        <v>0.0</v>
      </c>
      <c r="D1171" s="3" t="s">
        <v>29</v>
      </c>
    </row>
    <row r="1172">
      <c r="A1172" s="3">
        <v>2016.0</v>
      </c>
      <c r="B1172" s="4" t="s">
        <v>1153</v>
      </c>
      <c r="C1172" s="3">
        <v>0.0</v>
      </c>
      <c r="D1172" s="3" t="s">
        <v>29</v>
      </c>
    </row>
    <row r="1173">
      <c r="A1173" s="3">
        <v>2016.0</v>
      </c>
      <c r="B1173" s="4" t="s">
        <v>1154</v>
      </c>
      <c r="C1173" s="3">
        <v>0.0</v>
      </c>
      <c r="D1173" s="3" t="s">
        <v>3</v>
      </c>
    </row>
    <row r="1174">
      <c r="A1174" s="3">
        <v>2016.0</v>
      </c>
      <c r="B1174" s="4" t="s">
        <v>1155</v>
      </c>
      <c r="C1174" s="3">
        <v>0.0</v>
      </c>
      <c r="D1174" s="3" t="s">
        <v>3</v>
      </c>
    </row>
    <row r="1175">
      <c r="A1175" s="3">
        <v>2016.0</v>
      </c>
      <c r="B1175" s="4" t="s">
        <v>1158</v>
      </c>
      <c r="C1175" s="3">
        <v>0.0</v>
      </c>
      <c r="D1175" s="3" t="s">
        <v>3</v>
      </c>
    </row>
    <row r="1176">
      <c r="A1176" s="3">
        <v>2016.0</v>
      </c>
      <c r="B1176" s="4" t="s">
        <v>1162</v>
      </c>
      <c r="C1176" s="3">
        <v>0.0</v>
      </c>
      <c r="D1176" s="3" t="s">
        <v>3</v>
      </c>
    </row>
    <row r="1177">
      <c r="A1177" s="3">
        <v>2016.0</v>
      </c>
      <c r="B1177" s="4" t="s">
        <v>1163</v>
      </c>
      <c r="C1177" s="3">
        <v>0.0</v>
      </c>
      <c r="D1177" s="3" t="s">
        <v>3</v>
      </c>
    </row>
    <row r="1178">
      <c r="A1178" s="3">
        <v>2016.0</v>
      </c>
      <c r="B1178" s="4" t="s">
        <v>1164</v>
      </c>
      <c r="C1178" s="3">
        <v>0.0</v>
      </c>
      <c r="D1178" s="3" t="s">
        <v>3</v>
      </c>
    </row>
    <row r="1179">
      <c r="A1179" s="3">
        <v>2016.0</v>
      </c>
      <c r="B1179" s="4" t="s">
        <v>1166</v>
      </c>
      <c r="C1179" s="3">
        <v>0.0</v>
      </c>
      <c r="D1179" s="3" t="s">
        <v>3</v>
      </c>
    </row>
    <row r="1180">
      <c r="A1180" s="3">
        <v>2016.0</v>
      </c>
      <c r="B1180" s="4" t="s">
        <v>1167</v>
      </c>
      <c r="C1180" s="3">
        <v>0.0</v>
      </c>
      <c r="D1180" s="3" t="s">
        <v>3</v>
      </c>
    </row>
    <row r="1181">
      <c r="A1181" s="3">
        <v>2016.0</v>
      </c>
      <c r="B1181" s="4" t="s">
        <v>1168</v>
      </c>
      <c r="C1181" s="3">
        <v>0.0</v>
      </c>
      <c r="D1181" s="3" t="s">
        <v>3</v>
      </c>
    </row>
    <row r="1182">
      <c r="A1182" s="3">
        <v>2016.0</v>
      </c>
      <c r="B1182" s="4" t="s">
        <v>1169</v>
      </c>
      <c r="C1182" s="3">
        <v>0.0</v>
      </c>
      <c r="D1182" s="3" t="s">
        <v>3</v>
      </c>
    </row>
    <row r="1183">
      <c r="A1183" s="3">
        <v>2016.0</v>
      </c>
      <c r="B1183" s="4" t="s">
        <v>1170</v>
      </c>
      <c r="C1183" s="3">
        <v>0.0</v>
      </c>
      <c r="D1183" s="3" t="s">
        <v>3</v>
      </c>
    </row>
    <row r="1184">
      <c r="A1184" s="3">
        <v>2016.0</v>
      </c>
      <c r="B1184" s="4" t="s">
        <v>1171</v>
      </c>
      <c r="C1184" s="3">
        <v>0.0</v>
      </c>
      <c r="D1184" s="3" t="s">
        <v>3</v>
      </c>
    </row>
    <row r="1185">
      <c r="A1185" s="3">
        <v>2016.0</v>
      </c>
      <c r="B1185" s="4" t="s">
        <v>1172</v>
      </c>
      <c r="C1185" s="3">
        <v>0.0</v>
      </c>
      <c r="D1185" s="3" t="s">
        <v>6</v>
      </c>
    </row>
    <row r="1186">
      <c r="A1186" s="3">
        <v>2016.0</v>
      </c>
      <c r="B1186" s="4" t="s">
        <v>1173</v>
      </c>
      <c r="C1186" s="3">
        <v>0.0</v>
      </c>
      <c r="D1186" s="3" t="s">
        <v>3</v>
      </c>
    </row>
    <row r="1187">
      <c r="A1187" s="3">
        <v>2016.0</v>
      </c>
      <c r="B1187" s="4" t="s">
        <v>1174</v>
      </c>
      <c r="C1187" s="3">
        <v>0.0</v>
      </c>
      <c r="D1187" s="3" t="s">
        <v>3</v>
      </c>
    </row>
    <row r="1188">
      <c r="A1188" s="3">
        <v>2016.0</v>
      </c>
      <c r="B1188" s="4" t="s">
        <v>1183</v>
      </c>
      <c r="C1188" s="3">
        <v>0.0</v>
      </c>
      <c r="D1188" s="3" t="s">
        <v>3</v>
      </c>
    </row>
    <row r="1189">
      <c r="A1189" s="3">
        <v>2016.0</v>
      </c>
      <c r="B1189" s="4" t="s">
        <v>1186</v>
      </c>
      <c r="C1189" s="3">
        <v>0.0</v>
      </c>
      <c r="D1189" s="3" t="s">
        <v>6</v>
      </c>
    </row>
    <row r="1190">
      <c r="A1190" s="3">
        <v>2016.0</v>
      </c>
      <c r="B1190" s="4" t="s">
        <v>1190</v>
      </c>
      <c r="C1190" s="3">
        <v>0.0</v>
      </c>
      <c r="D1190" s="3" t="s">
        <v>3</v>
      </c>
    </row>
    <row r="1191">
      <c r="A1191" s="3">
        <v>2016.0</v>
      </c>
      <c r="B1191" s="4" t="s">
        <v>1191</v>
      </c>
      <c r="C1191" s="3">
        <v>0.0</v>
      </c>
      <c r="D1191" s="3" t="s">
        <v>6</v>
      </c>
    </row>
    <row r="1192">
      <c r="A1192" s="3">
        <v>2016.0</v>
      </c>
      <c r="B1192" s="4" t="s">
        <v>1195</v>
      </c>
      <c r="C1192" s="3">
        <v>0.0</v>
      </c>
      <c r="D1192" s="3" t="s">
        <v>3</v>
      </c>
    </row>
    <row r="1193">
      <c r="A1193" s="3">
        <v>2016.0</v>
      </c>
      <c r="B1193" s="4" t="s">
        <v>2260</v>
      </c>
      <c r="C1193" s="3">
        <v>0.0</v>
      </c>
      <c r="D1193" s="3" t="s">
        <v>3</v>
      </c>
    </row>
    <row r="1194">
      <c r="A1194" s="3">
        <v>2016.0</v>
      </c>
      <c r="B1194" s="4" t="s">
        <v>2261</v>
      </c>
      <c r="C1194" s="3">
        <v>0.0</v>
      </c>
      <c r="D1194" s="3" t="s">
        <v>3</v>
      </c>
    </row>
    <row r="1195">
      <c r="A1195" s="3">
        <v>2016.0</v>
      </c>
      <c r="B1195" s="4" t="s">
        <v>1201</v>
      </c>
      <c r="C1195" s="3">
        <v>0.0</v>
      </c>
      <c r="D1195" s="3" t="s">
        <v>16</v>
      </c>
    </row>
    <row r="1196">
      <c r="A1196" s="3">
        <v>2016.0</v>
      </c>
      <c r="B1196" s="4" t="s">
        <v>1202</v>
      </c>
      <c r="C1196" s="3">
        <v>0.0</v>
      </c>
      <c r="D1196" s="3" t="s">
        <v>32</v>
      </c>
    </row>
    <row r="1197">
      <c r="A1197" s="3">
        <v>2016.0</v>
      </c>
      <c r="B1197" s="4" t="s">
        <v>2264</v>
      </c>
      <c r="C1197" s="3">
        <v>0.0</v>
      </c>
      <c r="D1197" s="3" t="s">
        <v>3</v>
      </c>
    </row>
    <row r="1198">
      <c r="A1198" s="3">
        <v>2016.0</v>
      </c>
      <c r="B1198" s="4" t="s">
        <v>1215</v>
      </c>
      <c r="C1198" s="3">
        <v>0.0</v>
      </c>
      <c r="D1198" s="3" t="s">
        <v>29</v>
      </c>
    </row>
    <row r="1199">
      <c r="A1199" s="3">
        <v>2016.0</v>
      </c>
      <c r="B1199" s="4" t="s">
        <v>1216</v>
      </c>
      <c r="C1199" s="3">
        <v>0.0</v>
      </c>
      <c r="D1199" s="3" t="s">
        <v>3</v>
      </c>
    </row>
    <row r="1200">
      <c r="A1200" s="3">
        <v>2016.0</v>
      </c>
      <c r="B1200" s="4" t="s">
        <v>1217</v>
      </c>
      <c r="C1200" s="3">
        <v>0.0</v>
      </c>
      <c r="D1200" s="3" t="s">
        <v>29</v>
      </c>
    </row>
    <row r="1201">
      <c r="A1201" s="3">
        <v>2016.0</v>
      </c>
      <c r="B1201" s="4" t="s">
        <v>1218</v>
      </c>
      <c r="C1201" s="3">
        <v>0.0</v>
      </c>
      <c r="D1201" s="3" t="s">
        <v>29</v>
      </c>
    </row>
    <row r="1202">
      <c r="A1202" s="3">
        <v>2016.0</v>
      </c>
      <c r="B1202" s="4" t="s">
        <v>1219</v>
      </c>
      <c r="C1202" s="3">
        <v>0.0</v>
      </c>
      <c r="D1202" s="3" t="s">
        <v>26</v>
      </c>
    </row>
    <row r="1203">
      <c r="A1203" s="3">
        <v>2016.0</v>
      </c>
      <c r="B1203" s="4" t="s">
        <v>1220</v>
      </c>
      <c r="C1203" s="3">
        <v>0.0</v>
      </c>
      <c r="D1203" s="3" t="s">
        <v>3</v>
      </c>
    </row>
    <row r="1204">
      <c r="A1204" s="3">
        <v>2016.0</v>
      </c>
      <c r="B1204" s="4" t="s">
        <v>1221</v>
      </c>
      <c r="C1204" s="3">
        <v>0.0</v>
      </c>
      <c r="D1204" s="3" t="s">
        <v>3</v>
      </c>
    </row>
    <row r="1205">
      <c r="A1205" s="3">
        <v>2016.0</v>
      </c>
      <c r="B1205" s="4" t="s">
        <v>1222</v>
      </c>
      <c r="C1205" s="3">
        <v>0.0</v>
      </c>
      <c r="D1205" s="3" t="s">
        <v>6</v>
      </c>
    </row>
    <row r="1206">
      <c r="A1206" s="3">
        <v>2016.0</v>
      </c>
      <c r="B1206" s="4" t="s">
        <v>1224</v>
      </c>
      <c r="C1206" s="3">
        <v>0.0</v>
      </c>
      <c r="D1206" s="3" t="s">
        <v>6</v>
      </c>
    </row>
    <row r="1207">
      <c r="A1207" s="3">
        <v>2016.0</v>
      </c>
      <c r="B1207" s="4" t="s">
        <v>1225</v>
      </c>
      <c r="C1207" s="3">
        <v>0.0</v>
      </c>
      <c r="D1207" s="3" t="s">
        <v>3</v>
      </c>
    </row>
    <row r="1208">
      <c r="A1208" s="3">
        <v>2016.0</v>
      </c>
      <c r="B1208" s="4" t="s">
        <v>1226</v>
      </c>
      <c r="C1208" s="3">
        <v>0.0</v>
      </c>
      <c r="D1208" s="3" t="s">
        <v>29</v>
      </c>
    </row>
    <row r="1209">
      <c r="A1209" s="3">
        <v>2016.0</v>
      </c>
      <c r="B1209" s="4" t="s">
        <v>1229</v>
      </c>
      <c r="C1209" s="3">
        <v>0.0</v>
      </c>
      <c r="D1209" s="3" t="s">
        <v>6</v>
      </c>
    </row>
    <row r="1210">
      <c r="A1210" s="3">
        <v>2016.0</v>
      </c>
      <c r="B1210" s="4" t="s">
        <v>2266</v>
      </c>
      <c r="C1210" s="3">
        <v>0.0</v>
      </c>
      <c r="D1210" s="3" t="s">
        <v>3</v>
      </c>
    </row>
    <row r="1211">
      <c r="A1211" s="3">
        <v>2016.0</v>
      </c>
      <c r="B1211" s="4" t="s">
        <v>1232</v>
      </c>
      <c r="C1211" s="3">
        <v>0.0</v>
      </c>
      <c r="D1211" s="3" t="s">
        <v>29</v>
      </c>
    </row>
    <row r="1212">
      <c r="A1212" s="3">
        <v>2016.0</v>
      </c>
      <c r="B1212" s="4" t="s">
        <v>1233</v>
      </c>
      <c r="C1212" s="3">
        <v>0.0</v>
      </c>
      <c r="D1212" s="3" t="s">
        <v>3</v>
      </c>
    </row>
    <row r="1213">
      <c r="A1213" s="3">
        <v>2016.0</v>
      </c>
      <c r="B1213" s="4" t="s">
        <v>1236</v>
      </c>
      <c r="C1213" s="3">
        <v>0.0</v>
      </c>
      <c r="D1213" s="3" t="s">
        <v>6</v>
      </c>
    </row>
    <row r="1214">
      <c r="A1214" s="3">
        <v>2016.0</v>
      </c>
      <c r="B1214" s="4" t="s">
        <v>1237</v>
      </c>
      <c r="C1214" s="3">
        <v>0.0</v>
      </c>
      <c r="D1214" s="3" t="s">
        <v>32</v>
      </c>
    </row>
    <row r="1215">
      <c r="A1215" s="3">
        <v>2016.0</v>
      </c>
      <c r="B1215" s="4" t="s">
        <v>1239</v>
      </c>
      <c r="C1215" s="3">
        <v>0.0</v>
      </c>
      <c r="D1215" s="3" t="s">
        <v>3</v>
      </c>
    </row>
    <row r="1216">
      <c r="A1216" s="3">
        <v>2016.0</v>
      </c>
      <c r="B1216" s="4" t="s">
        <v>1240</v>
      </c>
      <c r="C1216" s="3">
        <v>0.0</v>
      </c>
      <c r="D1216" s="3" t="s">
        <v>3</v>
      </c>
    </row>
    <row r="1217">
      <c r="A1217" s="3">
        <v>2016.0</v>
      </c>
      <c r="B1217" s="4" t="s">
        <v>1249</v>
      </c>
      <c r="C1217" s="3">
        <v>0.0</v>
      </c>
      <c r="D1217" s="3" t="s">
        <v>3</v>
      </c>
    </row>
    <row r="1218">
      <c r="A1218" s="3">
        <v>2016.0</v>
      </c>
      <c r="B1218" s="4" t="s">
        <v>2267</v>
      </c>
      <c r="C1218" s="3">
        <v>0.0</v>
      </c>
      <c r="D1218" s="3" t="s">
        <v>3</v>
      </c>
    </row>
    <row r="1219">
      <c r="A1219" s="3">
        <v>2016.0</v>
      </c>
      <c r="B1219" s="4" t="s">
        <v>1253</v>
      </c>
      <c r="C1219" s="3">
        <v>0.0</v>
      </c>
      <c r="D1219" s="3" t="s">
        <v>6</v>
      </c>
    </row>
    <row r="1220">
      <c r="A1220" s="3">
        <v>2016.0</v>
      </c>
      <c r="B1220" s="4" t="s">
        <v>1254</v>
      </c>
      <c r="C1220" s="3">
        <v>0.0</v>
      </c>
      <c r="D1220" s="3" t="s">
        <v>484</v>
      </c>
    </row>
    <row r="1221">
      <c r="A1221" s="3">
        <v>2016.0</v>
      </c>
      <c r="B1221" s="4" t="s">
        <v>2268</v>
      </c>
      <c r="C1221" s="3">
        <v>0.0</v>
      </c>
      <c r="D1221" s="3" t="s">
        <v>3</v>
      </c>
    </row>
    <row r="1222">
      <c r="A1222" s="3">
        <v>2016.0</v>
      </c>
      <c r="B1222" s="4" t="s">
        <v>1257</v>
      </c>
      <c r="C1222" s="3">
        <v>0.0</v>
      </c>
      <c r="D1222" s="3" t="s">
        <v>29</v>
      </c>
    </row>
    <row r="1223">
      <c r="A1223" s="3">
        <v>2016.0</v>
      </c>
      <c r="B1223" s="4" t="s">
        <v>1266</v>
      </c>
      <c r="C1223" s="3">
        <v>0.0</v>
      </c>
      <c r="D1223" s="3" t="s">
        <v>3</v>
      </c>
    </row>
    <row r="1224">
      <c r="A1224" s="3">
        <v>2016.0</v>
      </c>
      <c r="B1224" s="4" t="s">
        <v>1267</v>
      </c>
      <c r="C1224" s="3">
        <v>0.0</v>
      </c>
      <c r="D1224" s="3" t="s">
        <v>29</v>
      </c>
    </row>
    <row r="1225">
      <c r="A1225" s="3">
        <v>2016.0</v>
      </c>
      <c r="B1225" s="4" t="s">
        <v>1268</v>
      </c>
      <c r="C1225" s="3">
        <v>0.0</v>
      </c>
      <c r="D1225" s="3" t="s">
        <v>6</v>
      </c>
    </row>
    <row r="1226">
      <c r="A1226" s="3">
        <v>2016.0</v>
      </c>
      <c r="B1226" s="4" t="s">
        <v>1275</v>
      </c>
      <c r="C1226" s="3">
        <v>0.0</v>
      </c>
      <c r="D1226" s="3" t="s">
        <v>29</v>
      </c>
    </row>
    <row r="1227">
      <c r="A1227" s="3">
        <v>2016.0</v>
      </c>
      <c r="B1227" s="4" t="s">
        <v>1276</v>
      </c>
      <c r="C1227" s="3">
        <v>0.0</v>
      </c>
      <c r="D1227" s="3" t="s">
        <v>3</v>
      </c>
    </row>
    <row r="1228">
      <c r="A1228" s="3">
        <v>2016.0</v>
      </c>
      <c r="B1228" s="4" t="s">
        <v>1280</v>
      </c>
      <c r="C1228" s="3">
        <v>0.0</v>
      </c>
      <c r="D1228" s="3" t="s">
        <v>3</v>
      </c>
    </row>
    <row r="1229">
      <c r="A1229" s="3">
        <v>2016.0</v>
      </c>
      <c r="B1229" s="4" t="s">
        <v>1282</v>
      </c>
      <c r="C1229" s="3">
        <v>0.0</v>
      </c>
      <c r="D1229" s="3" t="s">
        <v>3</v>
      </c>
    </row>
    <row r="1230">
      <c r="A1230" s="3">
        <v>2016.0</v>
      </c>
      <c r="B1230" s="4" t="s">
        <v>1283</v>
      </c>
      <c r="C1230" s="3">
        <v>0.0</v>
      </c>
      <c r="D1230" s="3" t="s">
        <v>3</v>
      </c>
    </row>
    <row r="1231">
      <c r="A1231" s="3">
        <v>2016.0</v>
      </c>
      <c r="B1231" s="4" t="s">
        <v>1284</v>
      </c>
      <c r="C1231" s="3">
        <v>0.0</v>
      </c>
      <c r="D1231" s="3" t="s">
        <v>32</v>
      </c>
    </row>
    <row r="1232">
      <c r="A1232" s="3">
        <v>2016.0</v>
      </c>
      <c r="B1232" s="4" t="s">
        <v>1291</v>
      </c>
      <c r="C1232" s="3">
        <v>0.0</v>
      </c>
      <c r="D1232" s="3" t="s">
        <v>29</v>
      </c>
    </row>
    <row r="1233">
      <c r="A1233" s="3">
        <v>2016.0</v>
      </c>
      <c r="B1233" s="4" t="s">
        <v>1292</v>
      </c>
      <c r="C1233" s="3">
        <v>0.0</v>
      </c>
      <c r="D1233" s="3" t="s">
        <v>3</v>
      </c>
    </row>
    <row r="1234">
      <c r="A1234" s="3">
        <v>2016.0</v>
      </c>
      <c r="B1234" s="4" t="s">
        <v>1295</v>
      </c>
      <c r="C1234" s="3">
        <v>0.0</v>
      </c>
      <c r="D1234" s="3" t="s">
        <v>3</v>
      </c>
    </row>
    <row r="1235">
      <c r="A1235" s="3">
        <v>2016.0</v>
      </c>
      <c r="B1235" s="4" t="s">
        <v>1296</v>
      </c>
      <c r="C1235" s="3">
        <v>0.0</v>
      </c>
      <c r="D1235" s="3" t="s">
        <v>3</v>
      </c>
    </row>
    <row r="1236">
      <c r="A1236" s="3">
        <v>2016.0</v>
      </c>
      <c r="B1236" s="4" t="s">
        <v>1297</v>
      </c>
      <c r="C1236" s="3">
        <v>0.0</v>
      </c>
      <c r="D1236" s="3" t="s">
        <v>3</v>
      </c>
    </row>
    <row r="1237">
      <c r="A1237" s="3">
        <v>2016.0</v>
      </c>
      <c r="B1237" s="4" t="s">
        <v>1298</v>
      </c>
      <c r="C1237" s="3">
        <v>0.0</v>
      </c>
      <c r="D1237" s="3" t="s">
        <v>3</v>
      </c>
    </row>
    <row r="1238">
      <c r="A1238" s="3">
        <v>2016.0</v>
      </c>
      <c r="B1238" s="4" t="s">
        <v>1299</v>
      </c>
      <c r="C1238" s="3">
        <v>0.0</v>
      </c>
      <c r="D1238" s="3" t="s">
        <v>3</v>
      </c>
    </row>
    <row r="1239">
      <c r="A1239" s="3">
        <v>2016.0</v>
      </c>
      <c r="B1239" s="4" t="s">
        <v>1301</v>
      </c>
      <c r="C1239" s="3">
        <v>0.0</v>
      </c>
      <c r="D1239" s="3" t="s">
        <v>3</v>
      </c>
    </row>
    <row r="1240">
      <c r="A1240" s="3">
        <v>2016.0</v>
      </c>
      <c r="B1240" s="4" t="s">
        <v>1302</v>
      </c>
      <c r="C1240" s="3">
        <v>0.0</v>
      </c>
      <c r="D1240" s="3" t="s">
        <v>29</v>
      </c>
    </row>
    <row r="1241">
      <c r="A1241" s="3">
        <v>2016.0</v>
      </c>
      <c r="B1241" s="4" t="s">
        <v>1307</v>
      </c>
      <c r="C1241" s="3">
        <v>0.0</v>
      </c>
      <c r="D1241" s="3" t="s">
        <v>32</v>
      </c>
    </row>
    <row r="1242">
      <c r="A1242" s="3">
        <v>2016.0</v>
      </c>
      <c r="B1242" s="4" t="s">
        <v>1309</v>
      </c>
      <c r="C1242" s="3">
        <v>0.0</v>
      </c>
      <c r="D1242" s="3" t="s">
        <v>3</v>
      </c>
    </row>
    <row r="1243">
      <c r="A1243" s="3">
        <v>2016.0</v>
      </c>
      <c r="B1243" s="4" t="s">
        <v>1310</v>
      </c>
      <c r="C1243" s="3">
        <v>0.0</v>
      </c>
      <c r="D1243" s="3" t="s">
        <v>6</v>
      </c>
    </row>
    <row r="1244">
      <c r="A1244" s="3">
        <v>2016.0</v>
      </c>
      <c r="B1244" s="4" t="s">
        <v>1311</v>
      </c>
      <c r="C1244" s="3">
        <v>0.0</v>
      </c>
      <c r="D1244" s="3" t="s">
        <v>3</v>
      </c>
    </row>
    <row r="1245">
      <c r="A1245" s="3">
        <v>2016.0</v>
      </c>
      <c r="B1245" s="4" t="s">
        <v>1313</v>
      </c>
      <c r="C1245" s="3">
        <v>0.0</v>
      </c>
      <c r="D1245" s="3" t="s">
        <v>3</v>
      </c>
    </row>
    <row r="1246">
      <c r="A1246" s="3">
        <v>2016.0</v>
      </c>
      <c r="B1246" s="4" t="s">
        <v>1316</v>
      </c>
      <c r="C1246" s="3">
        <v>0.0</v>
      </c>
      <c r="D1246" s="3" t="s">
        <v>3</v>
      </c>
    </row>
    <row r="1247">
      <c r="A1247" s="3">
        <v>2016.0</v>
      </c>
      <c r="B1247" s="4" t="s">
        <v>1317</v>
      </c>
      <c r="C1247" s="3">
        <v>0.0</v>
      </c>
      <c r="D1247" s="3" t="s">
        <v>6</v>
      </c>
    </row>
    <row r="1248">
      <c r="A1248" s="3">
        <v>2016.0</v>
      </c>
      <c r="B1248" s="4" t="s">
        <v>2269</v>
      </c>
      <c r="C1248" s="3">
        <v>0.0</v>
      </c>
      <c r="D1248" s="3" t="s">
        <v>3</v>
      </c>
    </row>
    <row r="1249">
      <c r="A1249" s="3">
        <v>2016.0</v>
      </c>
      <c r="B1249" s="4" t="s">
        <v>1323</v>
      </c>
      <c r="C1249" s="3">
        <v>0.0</v>
      </c>
      <c r="D1249" s="3" t="s">
        <v>3</v>
      </c>
    </row>
    <row r="1250">
      <c r="A1250" s="3">
        <v>2016.0</v>
      </c>
      <c r="B1250" s="4" t="s">
        <v>1325</v>
      </c>
      <c r="C1250" s="3">
        <v>0.0</v>
      </c>
      <c r="D1250" s="3" t="s">
        <v>3</v>
      </c>
    </row>
    <row r="1251">
      <c r="A1251" s="3">
        <v>2016.0</v>
      </c>
      <c r="B1251" s="4" t="s">
        <v>1327</v>
      </c>
      <c r="C1251" s="3">
        <v>0.0</v>
      </c>
      <c r="D1251" s="3" t="s">
        <v>6</v>
      </c>
    </row>
    <row r="1252">
      <c r="A1252" s="3">
        <v>2016.0</v>
      </c>
      <c r="B1252" s="4" t="s">
        <v>1328</v>
      </c>
      <c r="C1252" s="3">
        <v>0.0</v>
      </c>
      <c r="D1252" s="3" t="s">
        <v>29</v>
      </c>
    </row>
    <row r="1253">
      <c r="A1253" s="3">
        <v>2016.0</v>
      </c>
      <c r="B1253" s="4" t="s">
        <v>1329</v>
      </c>
      <c r="C1253" s="3">
        <v>0.0</v>
      </c>
      <c r="D1253" s="3" t="s">
        <v>6</v>
      </c>
    </row>
    <row r="1254">
      <c r="A1254" s="3">
        <v>2016.0</v>
      </c>
      <c r="B1254" s="4" t="s">
        <v>1330</v>
      </c>
      <c r="C1254" s="3">
        <v>0.0</v>
      </c>
      <c r="D1254" s="3" t="s">
        <v>6</v>
      </c>
    </row>
    <row r="1255">
      <c r="A1255" s="3">
        <v>2016.0</v>
      </c>
      <c r="B1255" s="4" t="s">
        <v>1344</v>
      </c>
      <c r="C1255" s="3">
        <v>0.0</v>
      </c>
      <c r="D1255" s="3" t="s">
        <v>3</v>
      </c>
    </row>
    <row r="1256">
      <c r="A1256" s="3">
        <v>2016.0</v>
      </c>
      <c r="B1256" s="4" t="s">
        <v>1347</v>
      </c>
      <c r="C1256" s="3">
        <v>0.0</v>
      </c>
      <c r="D1256" s="3" t="s">
        <v>3</v>
      </c>
    </row>
    <row r="1257">
      <c r="A1257" s="3">
        <v>2016.0</v>
      </c>
      <c r="B1257" s="4" t="s">
        <v>1350</v>
      </c>
      <c r="C1257" s="3">
        <v>0.0</v>
      </c>
      <c r="D1257" s="3" t="s">
        <v>3</v>
      </c>
    </row>
    <row r="1258">
      <c r="A1258" s="3">
        <v>2016.0</v>
      </c>
      <c r="B1258" s="4" t="s">
        <v>1352</v>
      </c>
      <c r="C1258" s="3">
        <v>0.0</v>
      </c>
      <c r="D1258" s="3" t="s">
        <v>3</v>
      </c>
    </row>
    <row r="1259">
      <c r="A1259" s="3">
        <v>2016.0</v>
      </c>
      <c r="B1259" s="4" t="s">
        <v>1353</v>
      </c>
      <c r="C1259" s="3">
        <v>0.0</v>
      </c>
      <c r="D1259" s="3" t="s">
        <v>3</v>
      </c>
    </row>
    <row r="1260">
      <c r="A1260" s="3">
        <v>2016.0</v>
      </c>
      <c r="B1260" s="4" t="s">
        <v>1355</v>
      </c>
      <c r="C1260" s="3">
        <v>0.0</v>
      </c>
      <c r="D1260" s="3" t="s">
        <v>3</v>
      </c>
    </row>
    <row r="1261">
      <c r="A1261" s="3">
        <v>2016.0</v>
      </c>
      <c r="B1261" s="4" t="s">
        <v>1356</v>
      </c>
      <c r="C1261" s="3">
        <v>0.0</v>
      </c>
      <c r="D1261" s="3" t="s">
        <v>3</v>
      </c>
    </row>
    <row r="1262">
      <c r="A1262" s="3">
        <v>2016.0</v>
      </c>
      <c r="B1262" s="4" t="s">
        <v>1357</v>
      </c>
      <c r="C1262" s="3">
        <v>0.0</v>
      </c>
      <c r="D1262" s="3" t="s">
        <v>3</v>
      </c>
    </row>
    <row r="1263">
      <c r="A1263" s="3">
        <v>2016.0</v>
      </c>
      <c r="B1263" s="4" t="s">
        <v>1360</v>
      </c>
      <c r="C1263" s="3">
        <v>0.0</v>
      </c>
      <c r="D1263" s="3" t="s">
        <v>3</v>
      </c>
    </row>
    <row r="1264">
      <c r="A1264" s="3">
        <v>2016.0</v>
      </c>
      <c r="B1264" s="4" t="s">
        <v>1362</v>
      </c>
      <c r="C1264" s="3">
        <v>0.0</v>
      </c>
      <c r="D1264" s="3" t="s">
        <v>29</v>
      </c>
    </row>
    <row r="1265">
      <c r="A1265" s="3">
        <v>2016.0</v>
      </c>
      <c r="B1265" s="4" t="s">
        <v>1364</v>
      </c>
      <c r="C1265" s="3">
        <v>0.0</v>
      </c>
      <c r="D1265" s="3" t="s">
        <v>6</v>
      </c>
    </row>
    <row r="1266">
      <c r="A1266" s="3">
        <v>2016.0</v>
      </c>
      <c r="B1266" s="4" t="s">
        <v>1365</v>
      </c>
      <c r="C1266" s="3">
        <v>0.0</v>
      </c>
      <c r="D1266" s="3" t="s">
        <v>3</v>
      </c>
    </row>
    <row r="1267">
      <c r="A1267" s="3">
        <v>2016.0</v>
      </c>
      <c r="B1267" s="4" t="s">
        <v>1366</v>
      </c>
      <c r="C1267" s="3">
        <v>0.0</v>
      </c>
      <c r="D1267" s="3" t="s">
        <v>6</v>
      </c>
    </row>
    <row r="1268">
      <c r="A1268" s="3">
        <v>2016.0</v>
      </c>
      <c r="B1268" s="4" t="s">
        <v>1369</v>
      </c>
      <c r="C1268" s="3">
        <v>0.0</v>
      </c>
      <c r="D1268" s="3" t="s">
        <v>3</v>
      </c>
    </row>
    <row r="1269">
      <c r="A1269" s="3">
        <v>2016.0</v>
      </c>
      <c r="B1269" s="4" t="s">
        <v>1376</v>
      </c>
      <c r="C1269" s="3">
        <v>0.0</v>
      </c>
      <c r="D1269" s="3" t="s">
        <v>3</v>
      </c>
    </row>
    <row r="1270">
      <c r="A1270" s="3">
        <v>2016.0</v>
      </c>
      <c r="B1270" s="4" t="s">
        <v>1380</v>
      </c>
      <c r="C1270" s="3">
        <v>0.0</v>
      </c>
      <c r="D1270" s="3" t="s">
        <v>3</v>
      </c>
    </row>
    <row r="1271">
      <c r="A1271" s="3">
        <v>2016.0</v>
      </c>
      <c r="B1271" s="4" t="s">
        <v>1382</v>
      </c>
      <c r="C1271" s="3">
        <v>0.0</v>
      </c>
      <c r="D1271" s="3" t="s">
        <v>6</v>
      </c>
    </row>
    <row r="1272">
      <c r="A1272" s="3">
        <v>2016.0</v>
      </c>
      <c r="B1272" s="4" t="s">
        <v>1384</v>
      </c>
      <c r="C1272" s="3">
        <v>0.0</v>
      </c>
      <c r="D1272" s="3" t="s">
        <v>3</v>
      </c>
    </row>
    <row r="1273">
      <c r="A1273" s="3">
        <v>2016.0</v>
      </c>
      <c r="B1273" s="4" t="s">
        <v>1391</v>
      </c>
      <c r="C1273" s="3">
        <v>0.0</v>
      </c>
      <c r="D1273" s="3" t="s">
        <v>29</v>
      </c>
    </row>
    <row r="1274">
      <c r="A1274" s="3">
        <v>2016.0</v>
      </c>
      <c r="B1274" s="4" t="s">
        <v>1394</v>
      </c>
      <c r="C1274" s="3">
        <v>0.0</v>
      </c>
      <c r="D1274" s="3" t="s">
        <v>6</v>
      </c>
    </row>
    <row r="1275">
      <c r="A1275" s="3">
        <v>2016.0</v>
      </c>
      <c r="B1275" s="4" t="s">
        <v>1397</v>
      </c>
      <c r="C1275" s="3">
        <v>0.0</v>
      </c>
      <c r="D1275" s="3" t="s">
        <v>3</v>
      </c>
    </row>
    <row r="1276">
      <c r="A1276" s="3">
        <v>2016.0</v>
      </c>
      <c r="B1276" s="4" t="s">
        <v>1398</v>
      </c>
      <c r="C1276" s="3">
        <v>0.0</v>
      </c>
      <c r="D1276" s="3" t="s">
        <v>3</v>
      </c>
    </row>
    <row r="1277">
      <c r="A1277" s="3">
        <v>2016.0</v>
      </c>
      <c r="B1277" s="4" t="s">
        <v>1399</v>
      </c>
      <c r="C1277" s="3">
        <v>0.0</v>
      </c>
      <c r="D1277" s="3" t="s">
        <v>3</v>
      </c>
    </row>
    <row r="1278">
      <c r="A1278" s="3">
        <v>2016.0</v>
      </c>
      <c r="B1278" s="4" t="s">
        <v>1400</v>
      </c>
      <c r="C1278" s="3">
        <v>0.0</v>
      </c>
      <c r="D1278" s="3" t="s">
        <v>3</v>
      </c>
    </row>
    <row r="1279">
      <c r="A1279" s="3">
        <v>2016.0</v>
      </c>
      <c r="B1279" s="4" t="s">
        <v>1403</v>
      </c>
      <c r="C1279" s="3">
        <v>0.0</v>
      </c>
      <c r="D1279" s="3" t="s">
        <v>3</v>
      </c>
    </row>
    <row r="1280">
      <c r="A1280" s="3">
        <v>2016.0</v>
      </c>
      <c r="B1280" s="4" t="s">
        <v>1404</v>
      </c>
      <c r="C1280" s="3">
        <v>0.0</v>
      </c>
      <c r="D1280" s="3" t="s">
        <v>32</v>
      </c>
    </row>
    <row r="1281">
      <c r="A1281" s="3">
        <v>2016.0</v>
      </c>
      <c r="B1281" s="4" t="s">
        <v>1409</v>
      </c>
      <c r="C1281" s="3">
        <v>0.0</v>
      </c>
      <c r="D1281" s="3" t="s">
        <v>6</v>
      </c>
    </row>
    <row r="1282">
      <c r="A1282" s="3">
        <v>2016.0</v>
      </c>
      <c r="B1282" s="4" t="s">
        <v>1410</v>
      </c>
      <c r="C1282" s="3">
        <v>0.0</v>
      </c>
      <c r="D1282" s="3" t="s">
        <v>6</v>
      </c>
    </row>
    <row r="1283">
      <c r="A1283" s="3">
        <v>2016.0</v>
      </c>
      <c r="B1283" s="4" t="s">
        <v>1413</v>
      </c>
      <c r="C1283" s="3">
        <v>0.0</v>
      </c>
      <c r="D1283" s="3" t="s">
        <v>32</v>
      </c>
    </row>
    <row r="1284">
      <c r="A1284" s="3">
        <v>2016.0</v>
      </c>
      <c r="B1284" s="4" t="s">
        <v>1425</v>
      </c>
      <c r="C1284" s="3">
        <v>0.0</v>
      </c>
      <c r="D1284" s="3" t="s">
        <v>3</v>
      </c>
    </row>
    <row r="1285">
      <c r="A1285" s="3">
        <v>2016.0</v>
      </c>
      <c r="B1285" s="4" t="s">
        <v>1426</v>
      </c>
      <c r="C1285" s="3">
        <v>0.0</v>
      </c>
      <c r="D1285" s="3" t="s">
        <v>3</v>
      </c>
    </row>
    <row r="1286">
      <c r="A1286" s="3">
        <v>2016.0</v>
      </c>
      <c r="B1286" s="4" t="s">
        <v>1429</v>
      </c>
      <c r="C1286" s="3">
        <v>0.0</v>
      </c>
      <c r="D1286" s="3" t="s">
        <v>3</v>
      </c>
    </row>
    <row r="1287">
      <c r="A1287" s="3">
        <v>2016.0</v>
      </c>
      <c r="B1287" s="4" t="s">
        <v>1430</v>
      </c>
      <c r="C1287" s="3">
        <v>0.0</v>
      </c>
      <c r="D1287" s="3" t="s">
        <v>6</v>
      </c>
    </row>
    <row r="1288">
      <c r="A1288" s="3">
        <v>2016.0</v>
      </c>
      <c r="B1288" s="4" t="s">
        <v>2273</v>
      </c>
      <c r="C1288" s="3">
        <v>0.0</v>
      </c>
      <c r="D1288" s="3" t="s">
        <v>484</v>
      </c>
    </row>
    <row r="1289">
      <c r="A1289" s="3">
        <v>2016.0</v>
      </c>
      <c r="B1289" s="4" t="s">
        <v>1437</v>
      </c>
      <c r="C1289" s="3">
        <v>0.0</v>
      </c>
      <c r="D1289" s="3" t="s">
        <v>6</v>
      </c>
    </row>
    <row r="1290">
      <c r="A1290" s="3">
        <v>2016.0</v>
      </c>
      <c r="B1290" s="4" t="s">
        <v>1441</v>
      </c>
      <c r="C1290" s="3">
        <v>0.0</v>
      </c>
      <c r="D1290" s="3" t="s">
        <v>3</v>
      </c>
    </row>
    <row r="1291">
      <c r="A1291" s="3">
        <v>2016.0</v>
      </c>
      <c r="B1291" s="4" t="s">
        <v>1442</v>
      </c>
      <c r="C1291" s="3">
        <v>0.0</v>
      </c>
      <c r="D1291" s="3" t="s">
        <v>3</v>
      </c>
    </row>
    <row r="1292">
      <c r="A1292" s="3">
        <v>2016.0</v>
      </c>
      <c r="B1292" s="4" t="s">
        <v>1443</v>
      </c>
      <c r="C1292" s="3">
        <v>0.0</v>
      </c>
      <c r="D1292" s="3" t="s">
        <v>3</v>
      </c>
    </row>
    <row r="1293">
      <c r="A1293" s="3">
        <v>2016.0</v>
      </c>
      <c r="B1293" s="4" t="s">
        <v>1445</v>
      </c>
      <c r="C1293" s="3">
        <v>0.0</v>
      </c>
      <c r="D1293" s="3" t="s">
        <v>3</v>
      </c>
    </row>
    <row r="1294">
      <c r="A1294" s="3">
        <v>2016.0</v>
      </c>
      <c r="B1294" s="4" t="s">
        <v>1446</v>
      </c>
      <c r="C1294" s="3">
        <v>0.0</v>
      </c>
      <c r="D1294" s="3" t="s">
        <v>3</v>
      </c>
    </row>
    <row r="1295">
      <c r="A1295" s="3">
        <v>2016.0</v>
      </c>
      <c r="B1295" s="4" t="s">
        <v>1447</v>
      </c>
      <c r="C1295" s="3">
        <v>0.0</v>
      </c>
      <c r="D1295" s="3" t="s">
        <v>3</v>
      </c>
    </row>
    <row r="1296">
      <c r="A1296" s="3">
        <v>2016.0</v>
      </c>
      <c r="B1296" s="4" t="s">
        <v>1448</v>
      </c>
      <c r="C1296" s="3">
        <v>0.0</v>
      </c>
      <c r="D1296" s="3" t="s">
        <v>3</v>
      </c>
    </row>
    <row r="1297">
      <c r="A1297" s="3">
        <v>2016.0</v>
      </c>
      <c r="B1297" s="4" t="s">
        <v>1452</v>
      </c>
      <c r="C1297" s="3">
        <v>0.0</v>
      </c>
      <c r="D1297" s="3" t="s">
        <v>32</v>
      </c>
    </row>
    <row r="1298">
      <c r="A1298" s="3">
        <v>2016.0</v>
      </c>
      <c r="B1298" s="4" t="s">
        <v>1453</v>
      </c>
      <c r="C1298" s="3">
        <v>0.0</v>
      </c>
      <c r="D1298" s="3" t="s">
        <v>3</v>
      </c>
    </row>
    <row r="1299">
      <c r="A1299" s="3">
        <v>2016.0</v>
      </c>
      <c r="B1299" s="4" t="s">
        <v>1458</v>
      </c>
      <c r="C1299" s="3">
        <v>0.0</v>
      </c>
      <c r="D1299" s="3" t="s">
        <v>3</v>
      </c>
    </row>
    <row r="1300">
      <c r="A1300" s="3">
        <v>2016.0</v>
      </c>
      <c r="B1300" s="4" t="s">
        <v>1459</v>
      </c>
      <c r="C1300" s="3">
        <v>0.0</v>
      </c>
      <c r="D1300" s="3" t="s">
        <v>3</v>
      </c>
    </row>
    <row r="1301">
      <c r="A1301" s="3">
        <v>2016.0</v>
      </c>
      <c r="B1301" s="4" t="s">
        <v>1465</v>
      </c>
      <c r="C1301" s="3">
        <v>0.0</v>
      </c>
      <c r="D1301" s="3" t="s">
        <v>3</v>
      </c>
    </row>
    <row r="1302">
      <c r="A1302" s="3">
        <v>2016.0</v>
      </c>
      <c r="B1302" s="4" t="s">
        <v>1466</v>
      </c>
      <c r="C1302" s="3">
        <v>0.0</v>
      </c>
      <c r="D1302" s="3" t="s">
        <v>3</v>
      </c>
    </row>
    <row r="1303">
      <c r="A1303" s="3">
        <v>2016.0</v>
      </c>
      <c r="B1303" s="4" t="s">
        <v>1469</v>
      </c>
      <c r="C1303" s="3">
        <v>0.0</v>
      </c>
      <c r="D1303" s="3" t="s">
        <v>6</v>
      </c>
    </row>
    <row r="1304">
      <c r="A1304" s="3">
        <v>2016.0</v>
      </c>
      <c r="B1304" s="4" t="s">
        <v>1474</v>
      </c>
      <c r="C1304" s="3">
        <v>0.0</v>
      </c>
      <c r="D1304" s="3" t="s">
        <v>3</v>
      </c>
    </row>
    <row r="1305">
      <c r="A1305" s="3">
        <v>2016.0</v>
      </c>
      <c r="B1305" s="4" t="s">
        <v>1476</v>
      </c>
      <c r="C1305" s="3">
        <v>0.0</v>
      </c>
      <c r="D1305" s="3" t="s">
        <v>3</v>
      </c>
    </row>
    <row r="1306">
      <c r="A1306" s="3">
        <v>2016.0</v>
      </c>
      <c r="B1306" s="4" t="s">
        <v>1477</v>
      </c>
      <c r="C1306" s="3">
        <v>0.0</v>
      </c>
      <c r="D1306" s="3" t="s">
        <v>6</v>
      </c>
    </row>
    <row r="1307">
      <c r="A1307" s="3">
        <v>2016.0</v>
      </c>
      <c r="B1307" s="4" t="s">
        <v>1478</v>
      </c>
      <c r="C1307" s="3">
        <v>0.0</v>
      </c>
      <c r="D1307" s="3" t="s">
        <v>3</v>
      </c>
    </row>
    <row r="1308">
      <c r="A1308" s="3">
        <v>2016.0</v>
      </c>
      <c r="B1308" s="4" t="s">
        <v>1483</v>
      </c>
      <c r="C1308" s="3">
        <v>0.0</v>
      </c>
      <c r="D1308" s="3" t="s">
        <v>3</v>
      </c>
    </row>
    <row r="1309">
      <c r="A1309" s="3">
        <v>2016.0</v>
      </c>
      <c r="B1309" s="4" t="s">
        <v>2277</v>
      </c>
      <c r="C1309" s="3">
        <v>0.0</v>
      </c>
      <c r="D1309" s="3" t="s">
        <v>6</v>
      </c>
    </row>
    <row r="1310">
      <c r="A1310" s="3">
        <v>2016.0</v>
      </c>
      <c r="B1310" s="4" t="s">
        <v>1486</v>
      </c>
      <c r="C1310" s="3">
        <v>0.0</v>
      </c>
      <c r="D1310" s="3" t="s">
        <v>3</v>
      </c>
    </row>
    <row r="1311">
      <c r="A1311" s="3">
        <v>2016.0</v>
      </c>
      <c r="B1311" s="4" t="s">
        <v>1487</v>
      </c>
      <c r="C1311" s="3">
        <v>0.0</v>
      </c>
      <c r="D1311" s="3" t="s">
        <v>3</v>
      </c>
    </row>
    <row r="1312">
      <c r="A1312" s="3">
        <v>2016.0</v>
      </c>
      <c r="B1312" s="4" t="s">
        <v>1488</v>
      </c>
      <c r="C1312" s="3">
        <v>0.0</v>
      </c>
      <c r="D1312" s="3" t="s">
        <v>3</v>
      </c>
    </row>
    <row r="1313">
      <c r="A1313" s="3">
        <v>2016.0</v>
      </c>
      <c r="B1313" s="4" t="s">
        <v>1494</v>
      </c>
      <c r="C1313" s="3">
        <v>0.0</v>
      </c>
      <c r="D1313" s="3" t="s">
        <v>3</v>
      </c>
    </row>
    <row r="1314">
      <c r="A1314" s="3">
        <v>2016.0</v>
      </c>
      <c r="B1314" s="4" t="s">
        <v>1497</v>
      </c>
      <c r="C1314" s="3">
        <v>0.0</v>
      </c>
      <c r="D1314" s="3" t="s">
        <v>3</v>
      </c>
    </row>
    <row r="1315">
      <c r="A1315" s="3">
        <v>2016.0</v>
      </c>
      <c r="B1315" s="4" t="s">
        <v>1498</v>
      </c>
      <c r="C1315" s="3">
        <v>0.0</v>
      </c>
      <c r="D1315" s="3" t="s">
        <v>29</v>
      </c>
    </row>
    <row r="1316">
      <c r="A1316" s="3">
        <v>2016.0</v>
      </c>
      <c r="B1316" s="4" t="s">
        <v>1505</v>
      </c>
      <c r="C1316" s="3">
        <v>0.0</v>
      </c>
      <c r="D1316" s="3" t="s">
        <v>3</v>
      </c>
    </row>
    <row r="1317">
      <c r="A1317" s="3">
        <v>2016.0</v>
      </c>
      <c r="B1317" s="4" t="s">
        <v>1506</v>
      </c>
      <c r="C1317" s="3">
        <v>0.0</v>
      </c>
      <c r="D1317" s="3" t="s">
        <v>3</v>
      </c>
    </row>
    <row r="1318">
      <c r="A1318" s="3">
        <v>2016.0</v>
      </c>
      <c r="B1318" s="4" t="s">
        <v>1507</v>
      </c>
      <c r="C1318" s="3">
        <v>0.0</v>
      </c>
      <c r="D1318" s="3" t="s">
        <v>3</v>
      </c>
    </row>
    <row r="1319">
      <c r="A1319" s="3">
        <v>2016.0</v>
      </c>
      <c r="B1319" s="4" t="s">
        <v>1508</v>
      </c>
      <c r="C1319" s="3">
        <v>0.0</v>
      </c>
      <c r="D1319" s="3" t="s">
        <v>3</v>
      </c>
    </row>
    <row r="1320">
      <c r="A1320" s="3">
        <v>2016.0</v>
      </c>
      <c r="B1320" s="4" t="s">
        <v>1509</v>
      </c>
      <c r="C1320" s="3">
        <v>0.0</v>
      </c>
      <c r="D1320" s="3" t="s">
        <v>3</v>
      </c>
    </row>
    <row r="1321">
      <c r="A1321" s="3">
        <v>2016.0</v>
      </c>
      <c r="B1321" s="4" t="s">
        <v>1511</v>
      </c>
      <c r="C1321" s="3">
        <v>0.0</v>
      </c>
      <c r="D1321" s="3" t="s">
        <v>6</v>
      </c>
    </row>
    <row r="1322">
      <c r="A1322" s="3">
        <v>2016.0</v>
      </c>
      <c r="B1322" s="4" t="s">
        <v>1513</v>
      </c>
      <c r="C1322" s="3">
        <v>0.0</v>
      </c>
      <c r="D1322" s="3" t="s">
        <v>6</v>
      </c>
    </row>
    <row r="1323">
      <c r="A1323" s="3">
        <v>2016.0</v>
      </c>
      <c r="B1323" s="4" t="s">
        <v>1514</v>
      </c>
      <c r="C1323" s="3">
        <v>0.0</v>
      </c>
      <c r="D1323" s="3" t="s">
        <v>6</v>
      </c>
    </row>
    <row r="1324">
      <c r="A1324" s="3">
        <v>2016.0</v>
      </c>
      <c r="B1324" s="4" t="s">
        <v>1518</v>
      </c>
      <c r="C1324" s="3">
        <v>0.0</v>
      </c>
      <c r="D1324" s="3" t="s">
        <v>3</v>
      </c>
    </row>
    <row r="1325">
      <c r="A1325" s="3">
        <v>2016.0</v>
      </c>
      <c r="B1325" s="4" t="s">
        <v>1519</v>
      </c>
      <c r="C1325" s="3">
        <v>0.0</v>
      </c>
      <c r="D1325" s="3" t="s">
        <v>3</v>
      </c>
    </row>
    <row r="1326">
      <c r="A1326" s="3">
        <v>2016.0</v>
      </c>
      <c r="B1326" s="4" t="s">
        <v>1520</v>
      </c>
      <c r="C1326" s="3">
        <v>0.0</v>
      </c>
      <c r="D1326" s="3" t="s">
        <v>32</v>
      </c>
    </row>
    <row r="1327">
      <c r="A1327" s="3">
        <v>2016.0</v>
      </c>
      <c r="B1327" s="4" t="s">
        <v>1521</v>
      </c>
      <c r="C1327" s="3">
        <v>0.0</v>
      </c>
      <c r="D1327" s="3" t="s">
        <v>6</v>
      </c>
    </row>
    <row r="1328">
      <c r="A1328" s="3">
        <v>2016.0</v>
      </c>
      <c r="B1328" s="4" t="s">
        <v>1522</v>
      </c>
      <c r="C1328" s="3">
        <v>0.0</v>
      </c>
      <c r="D1328" s="3" t="s">
        <v>6</v>
      </c>
    </row>
    <row r="1329">
      <c r="A1329" s="3">
        <v>2016.0</v>
      </c>
      <c r="B1329" s="4" t="s">
        <v>2279</v>
      </c>
      <c r="C1329" s="3">
        <v>0.0</v>
      </c>
      <c r="D1329" s="3" t="s">
        <v>3</v>
      </c>
    </row>
    <row r="1330">
      <c r="A1330" s="3">
        <v>2016.0</v>
      </c>
      <c r="B1330" s="4" t="s">
        <v>1528</v>
      </c>
      <c r="C1330" s="3">
        <v>0.0</v>
      </c>
      <c r="D1330" s="3" t="s">
        <v>29</v>
      </c>
    </row>
    <row r="1331">
      <c r="A1331" s="3">
        <v>2016.0</v>
      </c>
      <c r="B1331" s="4" t="s">
        <v>1529</v>
      </c>
      <c r="C1331" s="3">
        <v>0.0</v>
      </c>
      <c r="D1331" s="3" t="s">
        <v>32</v>
      </c>
    </row>
    <row r="1332">
      <c r="A1332" s="3">
        <v>2016.0</v>
      </c>
      <c r="B1332" s="4" t="s">
        <v>1530</v>
      </c>
      <c r="C1332" s="3">
        <v>0.0</v>
      </c>
      <c r="D1332" s="3" t="s">
        <v>32</v>
      </c>
    </row>
    <row r="1333">
      <c r="A1333" s="3">
        <v>2016.0</v>
      </c>
      <c r="B1333" s="4" t="s">
        <v>1531</v>
      </c>
      <c r="C1333" s="3">
        <v>0.0</v>
      </c>
      <c r="D1333" s="3" t="s">
        <v>3</v>
      </c>
    </row>
    <row r="1334">
      <c r="A1334" s="3">
        <v>2016.0</v>
      </c>
      <c r="B1334" s="4" t="s">
        <v>1532</v>
      </c>
      <c r="C1334" s="3">
        <v>0.0</v>
      </c>
      <c r="D1334" s="3" t="s">
        <v>6</v>
      </c>
    </row>
    <row r="1335">
      <c r="A1335" s="3">
        <v>2016.0</v>
      </c>
      <c r="B1335" s="4" t="s">
        <v>1533</v>
      </c>
      <c r="C1335" s="3">
        <v>0.0</v>
      </c>
      <c r="D1335" s="3" t="s">
        <v>32</v>
      </c>
    </row>
    <row r="1336">
      <c r="A1336" s="3">
        <v>2016.0</v>
      </c>
      <c r="B1336" s="4" t="s">
        <v>1534</v>
      </c>
      <c r="C1336" s="3">
        <v>0.0</v>
      </c>
      <c r="D1336" s="3" t="s">
        <v>6</v>
      </c>
    </row>
    <row r="1337">
      <c r="A1337" s="3">
        <v>2016.0</v>
      </c>
      <c r="B1337" s="4" t="s">
        <v>1535</v>
      </c>
      <c r="C1337" s="3">
        <v>0.0</v>
      </c>
      <c r="D1337" s="3" t="s">
        <v>6</v>
      </c>
    </row>
    <row r="1338">
      <c r="A1338" s="3">
        <v>2016.0</v>
      </c>
      <c r="B1338" s="4" t="s">
        <v>1537</v>
      </c>
      <c r="C1338" s="3">
        <v>0.0</v>
      </c>
      <c r="D1338" s="3" t="s">
        <v>32</v>
      </c>
    </row>
    <row r="1339">
      <c r="A1339" s="3">
        <v>2016.0</v>
      </c>
      <c r="B1339" s="4" t="s">
        <v>1538</v>
      </c>
      <c r="C1339" s="3">
        <v>0.0</v>
      </c>
      <c r="D1339" s="3" t="s">
        <v>3</v>
      </c>
    </row>
    <row r="1340">
      <c r="A1340" s="3">
        <v>2016.0</v>
      </c>
      <c r="B1340" s="4" t="s">
        <v>1542</v>
      </c>
      <c r="C1340" s="3">
        <v>0.0</v>
      </c>
      <c r="D1340" s="3" t="s">
        <v>3</v>
      </c>
    </row>
    <row r="1341">
      <c r="A1341" s="3">
        <v>2016.0</v>
      </c>
      <c r="B1341" s="4" t="s">
        <v>1543</v>
      </c>
      <c r="C1341" s="3">
        <v>0.0</v>
      </c>
      <c r="D1341" s="3" t="s">
        <v>3</v>
      </c>
    </row>
    <row r="1342">
      <c r="A1342" s="3">
        <v>2016.0</v>
      </c>
      <c r="B1342" s="4" t="s">
        <v>2281</v>
      </c>
      <c r="C1342" s="3">
        <v>0.0</v>
      </c>
      <c r="D1342" s="3" t="s">
        <v>3</v>
      </c>
    </row>
    <row r="1343">
      <c r="A1343" s="3">
        <v>2016.0</v>
      </c>
      <c r="B1343" s="4" t="s">
        <v>1548</v>
      </c>
      <c r="C1343" s="3">
        <v>0.0</v>
      </c>
      <c r="D1343" s="3" t="s">
        <v>484</v>
      </c>
    </row>
    <row r="1344">
      <c r="A1344" s="3">
        <v>2016.0</v>
      </c>
      <c r="B1344" s="4" t="s">
        <v>1549</v>
      </c>
      <c r="C1344" s="3">
        <v>0.0</v>
      </c>
      <c r="D1344" s="3" t="s">
        <v>3</v>
      </c>
    </row>
    <row r="1345">
      <c r="A1345" s="3">
        <v>2016.0</v>
      </c>
      <c r="B1345" s="4" t="s">
        <v>1551</v>
      </c>
      <c r="C1345" s="3">
        <v>0.0</v>
      </c>
      <c r="D1345" s="3" t="s">
        <v>3</v>
      </c>
    </row>
    <row r="1346">
      <c r="A1346" s="3">
        <v>2016.0</v>
      </c>
      <c r="B1346" s="4" t="s">
        <v>1555</v>
      </c>
      <c r="C1346" s="3">
        <v>0.0</v>
      </c>
      <c r="D1346" s="3" t="s">
        <v>32</v>
      </c>
    </row>
    <row r="1347">
      <c r="A1347" s="3">
        <v>2016.0</v>
      </c>
      <c r="B1347" s="4" t="s">
        <v>1562</v>
      </c>
      <c r="C1347" s="3">
        <v>0.0</v>
      </c>
      <c r="D1347" s="3" t="s">
        <v>3</v>
      </c>
    </row>
    <row r="1348">
      <c r="A1348" s="3">
        <v>2016.0</v>
      </c>
      <c r="B1348" s="4" t="s">
        <v>1572</v>
      </c>
      <c r="C1348" s="3">
        <v>0.0</v>
      </c>
      <c r="D1348" s="3" t="s">
        <v>3</v>
      </c>
    </row>
    <row r="1349">
      <c r="A1349" s="3">
        <v>2016.0</v>
      </c>
      <c r="B1349" s="4" t="s">
        <v>1573</v>
      </c>
      <c r="C1349" s="3">
        <v>0.0</v>
      </c>
      <c r="D1349" s="3" t="s">
        <v>3</v>
      </c>
    </row>
    <row r="1350">
      <c r="A1350" s="3">
        <v>2016.0</v>
      </c>
      <c r="B1350" s="4" t="s">
        <v>1576</v>
      </c>
      <c r="C1350" s="3">
        <v>0.0</v>
      </c>
      <c r="D1350" s="3" t="s">
        <v>3</v>
      </c>
    </row>
    <row r="1351">
      <c r="A1351" s="3">
        <v>2016.0</v>
      </c>
      <c r="B1351" s="4" t="s">
        <v>1578</v>
      </c>
      <c r="C1351" s="3">
        <v>0.0</v>
      </c>
      <c r="D1351" s="3" t="s">
        <v>6</v>
      </c>
    </row>
    <row r="1352">
      <c r="A1352" s="3">
        <v>2016.0</v>
      </c>
      <c r="B1352" s="4" t="s">
        <v>1582</v>
      </c>
      <c r="C1352" s="3">
        <v>0.0</v>
      </c>
      <c r="D1352" s="3" t="s">
        <v>29</v>
      </c>
    </row>
    <row r="1353">
      <c r="A1353" s="3">
        <v>2016.0</v>
      </c>
      <c r="B1353" s="4" t="s">
        <v>1583</v>
      </c>
      <c r="C1353" s="3">
        <v>0.0</v>
      </c>
      <c r="D1353" s="3" t="s">
        <v>6</v>
      </c>
    </row>
    <row r="1354">
      <c r="A1354" s="3">
        <v>2016.0</v>
      </c>
      <c r="B1354" s="4" t="s">
        <v>1584</v>
      </c>
      <c r="C1354" s="3">
        <v>0.0</v>
      </c>
      <c r="D1354" s="3" t="s">
        <v>6</v>
      </c>
    </row>
    <row r="1355">
      <c r="A1355" s="3">
        <v>2016.0</v>
      </c>
      <c r="B1355" s="4" t="s">
        <v>1587</v>
      </c>
      <c r="C1355" s="3">
        <v>0.0</v>
      </c>
      <c r="D1355" s="3" t="s">
        <v>3</v>
      </c>
    </row>
    <row r="1356">
      <c r="A1356" s="3">
        <v>2016.0</v>
      </c>
      <c r="B1356" s="4" t="s">
        <v>1588</v>
      </c>
      <c r="C1356" s="3">
        <v>0.0</v>
      </c>
      <c r="D1356" s="3" t="s">
        <v>3</v>
      </c>
    </row>
    <row r="1357">
      <c r="A1357" s="3">
        <v>2016.0</v>
      </c>
      <c r="B1357" s="4" t="s">
        <v>1591</v>
      </c>
      <c r="C1357" s="3">
        <v>0.0</v>
      </c>
      <c r="D1357" s="3" t="s">
        <v>3</v>
      </c>
    </row>
    <row r="1358">
      <c r="A1358" s="3">
        <v>2016.0</v>
      </c>
      <c r="B1358" s="4" t="s">
        <v>1593</v>
      </c>
      <c r="C1358" s="3">
        <v>0.0</v>
      </c>
      <c r="D1358" s="3" t="s">
        <v>3</v>
      </c>
    </row>
    <row r="1359">
      <c r="A1359" s="3">
        <v>2016.0</v>
      </c>
      <c r="B1359" s="4" t="s">
        <v>1595</v>
      </c>
      <c r="C1359" s="3">
        <v>0.0</v>
      </c>
      <c r="D1359" s="3" t="s">
        <v>6</v>
      </c>
    </row>
    <row r="1360">
      <c r="A1360" s="3">
        <v>2016.0</v>
      </c>
      <c r="B1360" s="4" t="s">
        <v>1598</v>
      </c>
      <c r="C1360" s="3">
        <v>0.0</v>
      </c>
      <c r="D1360" s="3" t="s">
        <v>32</v>
      </c>
    </row>
    <row r="1361">
      <c r="A1361" s="3">
        <v>2016.0</v>
      </c>
      <c r="B1361" s="4" t="s">
        <v>1599</v>
      </c>
      <c r="C1361" s="3">
        <v>0.0</v>
      </c>
      <c r="D1361" s="3" t="s">
        <v>6</v>
      </c>
    </row>
    <row r="1362">
      <c r="A1362" s="3">
        <v>2016.0</v>
      </c>
      <c r="B1362" s="4" t="s">
        <v>1607</v>
      </c>
      <c r="C1362" s="3">
        <v>0.0</v>
      </c>
      <c r="D1362" s="3" t="s">
        <v>3</v>
      </c>
    </row>
    <row r="1363">
      <c r="A1363" s="3">
        <v>2016.0</v>
      </c>
      <c r="B1363" s="4" t="s">
        <v>1608</v>
      </c>
      <c r="C1363" s="3">
        <v>0.0</v>
      </c>
      <c r="D1363" s="3" t="s">
        <v>3</v>
      </c>
    </row>
    <row r="1364">
      <c r="A1364" s="3">
        <v>2016.0</v>
      </c>
      <c r="B1364" s="4" t="s">
        <v>1614</v>
      </c>
      <c r="C1364" s="3">
        <v>0.0</v>
      </c>
      <c r="D1364" s="3" t="s">
        <v>3</v>
      </c>
    </row>
    <row r="1365">
      <c r="A1365" s="3">
        <v>2016.0</v>
      </c>
      <c r="B1365" s="4" t="s">
        <v>1617</v>
      </c>
      <c r="C1365" s="3">
        <v>0.0</v>
      </c>
      <c r="D1365" s="3" t="s">
        <v>3</v>
      </c>
    </row>
    <row r="1366">
      <c r="A1366" s="3">
        <v>2016.0</v>
      </c>
      <c r="B1366" s="4" t="s">
        <v>1618</v>
      </c>
      <c r="C1366" s="3">
        <v>0.0</v>
      </c>
      <c r="D1366" s="3" t="s">
        <v>3</v>
      </c>
    </row>
    <row r="1367">
      <c r="A1367" s="3">
        <v>2016.0</v>
      </c>
      <c r="B1367" s="4" t="s">
        <v>1619</v>
      </c>
      <c r="C1367" s="3">
        <v>0.0</v>
      </c>
      <c r="D1367" s="3" t="s">
        <v>29</v>
      </c>
    </row>
    <row r="1368">
      <c r="A1368" s="3">
        <v>2016.0</v>
      </c>
      <c r="B1368" s="4" t="s">
        <v>1622</v>
      </c>
      <c r="C1368" s="3">
        <v>0.0</v>
      </c>
      <c r="D1368" s="3" t="s">
        <v>3</v>
      </c>
    </row>
    <row r="1369">
      <c r="A1369" s="3">
        <v>2016.0</v>
      </c>
      <c r="B1369" s="4" t="s">
        <v>1623</v>
      </c>
      <c r="C1369" s="3">
        <v>0.0</v>
      </c>
      <c r="D1369" s="3" t="s">
        <v>6</v>
      </c>
    </row>
    <row r="1370">
      <c r="A1370" s="3">
        <v>2016.0</v>
      </c>
      <c r="B1370" s="4" t="s">
        <v>1625</v>
      </c>
      <c r="C1370" s="3">
        <v>0.0</v>
      </c>
      <c r="D1370" s="3" t="s">
        <v>29</v>
      </c>
    </row>
    <row r="1371">
      <c r="A1371" s="3">
        <v>2016.0</v>
      </c>
      <c r="B1371" s="4" t="s">
        <v>1627</v>
      </c>
      <c r="C1371" s="3">
        <v>0.0</v>
      </c>
      <c r="D1371" s="3" t="s">
        <v>6</v>
      </c>
    </row>
    <row r="1372">
      <c r="A1372" s="3">
        <v>2016.0</v>
      </c>
      <c r="B1372" s="4" t="s">
        <v>1629</v>
      </c>
      <c r="C1372" s="3">
        <v>0.0</v>
      </c>
      <c r="D1372" s="3" t="s">
        <v>3</v>
      </c>
    </row>
    <row r="1373">
      <c r="A1373" s="3">
        <v>2016.0</v>
      </c>
      <c r="B1373" s="4" t="s">
        <v>1630</v>
      </c>
      <c r="C1373" s="3">
        <v>0.0</v>
      </c>
      <c r="D1373" s="3" t="s">
        <v>3</v>
      </c>
    </row>
    <row r="1374">
      <c r="A1374" s="3">
        <v>2016.0</v>
      </c>
      <c r="B1374" s="4" t="s">
        <v>1631</v>
      </c>
      <c r="C1374" s="3">
        <v>0.0</v>
      </c>
      <c r="D1374" s="3" t="s">
        <v>3</v>
      </c>
    </row>
    <row r="1375">
      <c r="A1375" s="3">
        <v>2016.0</v>
      </c>
      <c r="B1375" s="4" t="s">
        <v>1632</v>
      </c>
      <c r="C1375" s="3">
        <v>0.0</v>
      </c>
      <c r="D1375" s="3" t="s">
        <v>3</v>
      </c>
    </row>
    <row r="1376">
      <c r="A1376" s="3">
        <v>2016.0</v>
      </c>
      <c r="B1376" s="4" t="s">
        <v>1633</v>
      </c>
      <c r="C1376" s="3">
        <v>0.0</v>
      </c>
      <c r="D1376" s="3" t="s">
        <v>668</v>
      </c>
    </row>
    <row r="1377">
      <c r="A1377" s="3">
        <v>2016.0</v>
      </c>
      <c r="B1377" s="4" t="s">
        <v>1634</v>
      </c>
      <c r="C1377" s="3">
        <v>0.0</v>
      </c>
      <c r="D1377" s="3" t="s">
        <v>3</v>
      </c>
    </row>
    <row r="1378">
      <c r="A1378" s="3">
        <v>2016.0</v>
      </c>
      <c r="B1378" s="4" t="s">
        <v>1645</v>
      </c>
      <c r="C1378" s="3">
        <v>0.0</v>
      </c>
      <c r="D1378" s="3" t="s">
        <v>3</v>
      </c>
    </row>
    <row r="1379">
      <c r="A1379" s="3">
        <v>2016.0</v>
      </c>
      <c r="B1379" s="4" t="s">
        <v>1646</v>
      </c>
      <c r="C1379" s="3">
        <v>0.0</v>
      </c>
      <c r="D1379" s="3" t="s">
        <v>32</v>
      </c>
    </row>
    <row r="1380">
      <c r="A1380" s="3">
        <v>2016.0</v>
      </c>
      <c r="B1380" s="4" t="s">
        <v>1650</v>
      </c>
      <c r="C1380" s="3">
        <v>0.0</v>
      </c>
      <c r="D1380" s="3" t="s">
        <v>1651</v>
      </c>
    </row>
    <row r="1381">
      <c r="A1381" s="3">
        <v>2016.0</v>
      </c>
      <c r="B1381" s="4" t="s">
        <v>1652</v>
      </c>
      <c r="C1381" s="3">
        <v>0.0</v>
      </c>
      <c r="D1381" s="3" t="s">
        <v>3</v>
      </c>
    </row>
    <row r="1382">
      <c r="A1382" s="3">
        <v>2016.0</v>
      </c>
      <c r="B1382" s="4" t="s">
        <v>1657</v>
      </c>
      <c r="C1382" s="3">
        <v>0.0</v>
      </c>
      <c r="D1382" s="3" t="s">
        <v>3</v>
      </c>
    </row>
    <row r="1383">
      <c r="A1383" s="3">
        <v>2016.0</v>
      </c>
      <c r="B1383" s="4" t="s">
        <v>1660</v>
      </c>
      <c r="C1383" s="3">
        <v>0.0</v>
      </c>
      <c r="D1383" s="3" t="s">
        <v>3</v>
      </c>
    </row>
    <row r="1384">
      <c r="A1384" s="3">
        <v>2016.0</v>
      </c>
      <c r="B1384" s="4" t="s">
        <v>1661</v>
      </c>
      <c r="C1384" s="3">
        <v>0.0</v>
      </c>
      <c r="D1384" s="3" t="s">
        <v>3</v>
      </c>
    </row>
    <row r="1385">
      <c r="A1385" s="3">
        <v>2016.0</v>
      </c>
      <c r="B1385" s="4" t="s">
        <v>1664</v>
      </c>
      <c r="C1385" s="3">
        <v>0.0</v>
      </c>
      <c r="D1385" s="3" t="s">
        <v>3</v>
      </c>
    </row>
    <row r="1386">
      <c r="A1386" s="3">
        <v>2016.0</v>
      </c>
      <c r="B1386" s="4" t="s">
        <v>1666</v>
      </c>
      <c r="C1386" s="3">
        <v>0.0</v>
      </c>
      <c r="D1386" s="3" t="s">
        <v>6</v>
      </c>
    </row>
    <row r="1387">
      <c r="A1387" s="3">
        <v>2016.0</v>
      </c>
      <c r="B1387" s="4" t="s">
        <v>1668</v>
      </c>
      <c r="C1387" s="3">
        <v>0.0</v>
      </c>
      <c r="D1387" s="3" t="s">
        <v>3</v>
      </c>
    </row>
    <row r="1388">
      <c r="A1388" s="3">
        <v>2016.0</v>
      </c>
      <c r="B1388" s="4" t="s">
        <v>1670</v>
      </c>
      <c r="C1388" s="3">
        <v>0.0</v>
      </c>
      <c r="D1388" s="3" t="s">
        <v>3</v>
      </c>
    </row>
    <row r="1389">
      <c r="A1389" s="3">
        <v>2016.0</v>
      </c>
      <c r="B1389" s="4" t="s">
        <v>1675</v>
      </c>
      <c r="C1389" s="3">
        <v>0.0</v>
      </c>
      <c r="D1389" s="3" t="s">
        <v>3</v>
      </c>
    </row>
    <row r="1390">
      <c r="A1390" s="3">
        <v>2016.0</v>
      </c>
      <c r="B1390" s="4" t="s">
        <v>2290</v>
      </c>
      <c r="C1390" s="3">
        <v>0.0</v>
      </c>
      <c r="D1390" s="3" t="s">
        <v>3</v>
      </c>
    </row>
    <row r="1391">
      <c r="A1391" s="3">
        <v>2016.0</v>
      </c>
      <c r="B1391" s="4" t="s">
        <v>1682</v>
      </c>
      <c r="C1391" s="3">
        <v>0.0</v>
      </c>
      <c r="D1391" s="3" t="s">
        <v>3</v>
      </c>
    </row>
    <row r="1392">
      <c r="A1392" s="3">
        <v>2016.0</v>
      </c>
      <c r="B1392" s="4" t="s">
        <v>1685</v>
      </c>
      <c r="C1392" s="3">
        <v>0.0</v>
      </c>
      <c r="D1392" s="3" t="s">
        <v>3</v>
      </c>
    </row>
    <row r="1393">
      <c r="A1393" s="3">
        <v>2016.0</v>
      </c>
      <c r="B1393" s="4" t="s">
        <v>1686</v>
      </c>
      <c r="C1393" s="3">
        <v>0.0</v>
      </c>
      <c r="D1393" s="3" t="s">
        <v>3</v>
      </c>
    </row>
    <row r="1394">
      <c r="A1394" s="3">
        <v>2016.0</v>
      </c>
      <c r="B1394" s="4" t="s">
        <v>1687</v>
      </c>
      <c r="C1394" s="3">
        <v>0.0</v>
      </c>
      <c r="D1394" s="3" t="s">
        <v>29</v>
      </c>
    </row>
    <row r="1395">
      <c r="A1395" s="3">
        <v>2016.0</v>
      </c>
      <c r="B1395" s="4" t="s">
        <v>1690</v>
      </c>
      <c r="C1395" s="3">
        <v>0.0</v>
      </c>
      <c r="D1395" s="3" t="s">
        <v>29</v>
      </c>
    </row>
    <row r="1396">
      <c r="A1396" s="3">
        <v>2016.0</v>
      </c>
      <c r="B1396" s="4" t="s">
        <v>1691</v>
      </c>
      <c r="C1396" s="3">
        <v>0.0</v>
      </c>
      <c r="D1396" s="3" t="s">
        <v>484</v>
      </c>
    </row>
    <row r="1397">
      <c r="A1397" s="3">
        <v>2016.0</v>
      </c>
      <c r="B1397" s="4" t="s">
        <v>1694</v>
      </c>
      <c r="C1397" s="3">
        <v>0.0</v>
      </c>
      <c r="D1397" s="3" t="s">
        <v>32</v>
      </c>
    </row>
    <row r="1398">
      <c r="A1398" s="3">
        <v>2016.0</v>
      </c>
      <c r="B1398" s="4" t="s">
        <v>1695</v>
      </c>
      <c r="C1398" s="3">
        <v>0.0</v>
      </c>
      <c r="D1398" s="3" t="s">
        <v>3</v>
      </c>
    </row>
    <row r="1399">
      <c r="A1399" s="3">
        <v>2016.0</v>
      </c>
      <c r="B1399" s="4" t="s">
        <v>1699</v>
      </c>
      <c r="C1399" s="3">
        <v>0.0</v>
      </c>
      <c r="D1399" s="3" t="s">
        <v>3</v>
      </c>
    </row>
    <row r="1400">
      <c r="A1400" s="3">
        <v>2016.0</v>
      </c>
      <c r="B1400" s="4" t="s">
        <v>1700</v>
      </c>
      <c r="C1400" s="3">
        <v>0.0</v>
      </c>
      <c r="D1400" s="3" t="s">
        <v>3</v>
      </c>
    </row>
    <row r="1401">
      <c r="A1401" s="3">
        <v>2016.0</v>
      </c>
      <c r="B1401" s="4" t="s">
        <v>1703</v>
      </c>
      <c r="C1401" s="3">
        <v>0.0</v>
      </c>
      <c r="D1401" s="3" t="s">
        <v>3</v>
      </c>
    </row>
    <row r="1402">
      <c r="A1402" s="3">
        <v>2016.0</v>
      </c>
      <c r="B1402" s="4" t="s">
        <v>1704</v>
      </c>
      <c r="C1402" s="3">
        <v>0.0</v>
      </c>
      <c r="D1402" s="3" t="s">
        <v>3</v>
      </c>
    </row>
    <row r="1403">
      <c r="A1403" s="3">
        <v>2016.0</v>
      </c>
      <c r="B1403" s="4" t="s">
        <v>1705</v>
      </c>
      <c r="C1403" s="3">
        <v>0.0</v>
      </c>
      <c r="D1403" s="3" t="s">
        <v>3</v>
      </c>
    </row>
    <row r="1404">
      <c r="A1404" s="3">
        <v>2016.0</v>
      </c>
      <c r="B1404" s="4" t="s">
        <v>1706</v>
      </c>
      <c r="C1404" s="3">
        <v>0.0</v>
      </c>
      <c r="D1404" s="3" t="s">
        <v>6</v>
      </c>
    </row>
    <row r="1405">
      <c r="A1405" s="3">
        <v>2016.0</v>
      </c>
      <c r="B1405" s="4" t="s">
        <v>1707</v>
      </c>
      <c r="C1405" s="3">
        <v>0.0</v>
      </c>
      <c r="D1405" s="3" t="s">
        <v>6</v>
      </c>
    </row>
    <row r="1406">
      <c r="A1406" s="3">
        <v>2016.0</v>
      </c>
      <c r="B1406" s="4" t="s">
        <v>1708</v>
      </c>
      <c r="C1406" s="3">
        <v>0.0</v>
      </c>
      <c r="D1406" s="3" t="s">
        <v>3</v>
      </c>
    </row>
    <row r="1407">
      <c r="A1407" s="3">
        <v>2016.0</v>
      </c>
      <c r="B1407" s="4" t="s">
        <v>1711</v>
      </c>
      <c r="C1407" s="3">
        <v>0.0</v>
      </c>
      <c r="D1407" s="3" t="s">
        <v>3</v>
      </c>
    </row>
    <row r="1408">
      <c r="A1408" s="3">
        <v>2016.0</v>
      </c>
      <c r="B1408" s="4" t="s">
        <v>1720</v>
      </c>
      <c r="C1408" s="3">
        <v>0.0</v>
      </c>
      <c r="D1408" s="3" t="s">
        <v>3</v>
      </c>
    </row>
    <row r="1409">
      <c r="A1409" s="3">
        <v>2016.0</v>
      </c>
      <c r="B1409" s="4" t="s">
        <v>1721</v>
      </c>
      <c r="C1409" s="3">
        <v>0.0</v>
      </c>
      <c r="D1409" s="3" t="s">
        <v>3</v>
      </c>
    </row>
    <row r="1410">
      <c r="A1410" s="3">
        <v>2016.0</v>
      </c>
      <c r="B1410" s="4" t="s">
        <v>1722</v>
      </c>
      <c r="C1410" s="3">
        <v>0.0</v>
      </c>
      <c r="D1410" s="3" t="s">
        <v>3</v>
      </c>
    </row>
    <row r="1411">
      <c r="A1411" s="3">
        <v>2016.0</v>
      </c>
      <c r="B1411" s="4" t="s">
        <v>2293</v>
      </c>
      <c r="C1411" s="3">
        <v>0.0</v>
      </c>
      <c r="D1411" s="3" t="s">
        <v>32</v>
      </c>
    </row>
    <row r="1412">
      <c r="A1412" s="3">
        <v>2016.0</v>
      </c>
      <c r="B1412" s="4" t="s">
        <v>1728</v>
      </c>
      <c r="C1412" s="3">
        <v>0.0</v>
      </c>
      <c r="D1412" s="3" t="s">
        <v>3</v>
      </c>
    </row>
    <row r="1413">
      <c r="A1413" s="3">
        <v>2016.0</v>
      </c>
      <c r="B1413" s="4" t="s">
        <v>1729</v>
      </c>
      <c r="C1413" s="3">
        <v>0.0</v>
      </c>
      <c r="D1413" s="3" t="s">
        <v>3</v>
      </c>
    </row>
    <row r="1414">
      <c r="A1414" s="3">
        <v>2016.0</v>
      </c>
      <c r="B1414" s="4" t="s">
        <v>1730</v>
      </c>
      <c r="C1414" s="3">
        <v>0.0</v>
      </c>
      <c r="D1414" s="3" t="s">
        <v>29</v>
      </c>
    </row>
    <row r="1415">
      <c r="A1415" s="3">
        <v>2016.0</v>
      </c>
      <c r="B1415" s="4" t="s">
        <v>1731</v>
      </c>
      <c r="C1415" s="3">
        <v>0.0</v>
      </c>
      <c r="D1415" s="3" t="s">
        <v>6</v>
      </c>
    </row>
    <row r="1416">
      <c r="A1416" s="3">
        <v>2016.0</v>
      </c>
      <c r="B1416" s="4" t="s">
        <v>1732</v>
      </c>
      <c r="C1416" s="3">
        <v>0.0</v>
      </c>
      <c r="D1416" s="3" t="s">
        <v>3</v>
      </c>
    </row>
    <row r="1417">
      <c r="A1417" s="3">
        <v>2016.0</v>
      </c>
      <c r="B1417" s="4" t="s">
        <v>1737</v>
      </c>
      <c r="C1417" s="3">
        <v>0.0</v>
      </c>
      <c r="D1417" s="3" t="s">
        <v>3</v>
      </c>
    </row>
    <row r="1418">
      <c r="A1418" s="3">
        <v>2016.0</v>
      </c>
      <c r="B1418" s="4" t="s">
        <v>1740</v>
      </c>
      <c r="C1418" s="3">
        <v>0.0</v>
      </c>
      <c r="D1418" s="3" t="s">
        <v>3</v>
      </c>
    </row>
    <row r="1419">
      <c r="A1419" s="3">
        <v>2016.0</v>
      </c>
      <c r="B1419" s="4" t="s">
        <v>2294</v>
      </c>
      <c r="C1419" s="3">
        <v>0.0</v>
      </c>
      <c r="D1419" s="3" t="s">
        <v>3</v>
      </c>
    </row>
    <row r="1420">
      <c r="A1420" s="3">
        <v>2016.0</v>
      </c>
      <c r="B1420" s="4" t="s">
        <v>1743</v>
      </c>
      <c r="C1420" s="3">
        <v>0.0</v>
      </c>
      <c r="D1420" s="3" t="s">
        <v>3</v>
      </c>
    </row>
    <row r="1421">
      <c r="A1421" s="3">
        <v>2016.0</v>
      </c>
      <c r="B1421" s="4" t="s">
        <v>1749</v>
      </c>
      <c r="C1421" s="3">
        <v>0.0</v>
      </c>
      <c r="D1421" s="3" t="s">
        <v>6</v>
      </c>
    </row>
    <row r="1422">
      <c r="A1422" s="3">
        <v>2016.0</v>
      </c>
      <c r="B1422" s="4" t="s">
        <v>1750</v>
      </c>
      <c r="C1422" s="3">
        <v>0.0</v>
      </c>
      <c r="D1422" s="3" t="s">
        <v>6</v>
      </c>
    </row>
    <row r="1423">
      <c r="A1423" s="3">
        <v>2016.0</v>
      </c>
      <c r="B1423" s="4" t="s">
        <v>1753</v>
      </c>
      <c r="C1423" s="3">
        <v>0.0</v>
      </c>
      <c r="D1423" s="3" t="s">
        <v>32</v>
      </c>
    </row>
    <row r="1424">
      <c r="A1424" s="3">
        <v>2016.0</v>
      </c>
      <c r="B1424" s="4" t="s">
        <v>1755</v>
      </c>
      <c r="C1424" s="3">
        <v>0.0</v>
      </c>
      <c r="D1424" s="3" t="s">
        <v>3</v>
      </c>
    </row>
    <row r="1425">
      <c r="A1425" s="3">
        <v>2016.0</v>
      </c>
      <c r="B1425" s="4" t="s">
        <v>1760</v>
      </c>
      <c r="C1425" s="3">
        <v>0.0</v>
      </c>
      <c r="D1425" s="3" t="s">
        <v>3</v>
      </c>
    </row>
    <row r="1426">
      <c r="A1426" s="3">
        <v>2016.0</v>
      </c>
      <c r="B1426" s="4" t="s">
        <v>1763</v>
      </c>
      <c r="C1426" s="3">
        <v>0.0</v>
      </c>
      <c r="D1426" s="3" t="s">
        <v>3</v>
      </c>
    </row>
    <row r="1427">
      <c r="A1427" s="3">
        <v>2016.0</v>
      </c>
      <c r="B1427" s="4" t="s">
        <v>1768</v>
      </c>
      <c r="C1427" s="3">
        <v>0.0</v>
      </c>
      <c r="D1427" s="3" t="s">
        <v>6</v>
      </c>
    </row>
    <row r="1428">
      <c r="A1428" s="3">
        <v>2016.0</v>
      </c>
      <c r="B1428" s="4" t="s">
        <v>1769</v>
      </c>
      <c r="C1428" s="3">
        <v>0.0</v>
      </c>
      <c r="D1428" s="3" t="s">
        <v>3</v>
      </c>
    </row>
    <row r="1429">
      <c r="A1429" s="3">
        <v>2016.0</v>
      </c>
      <c r="B1429" s="4" t="s">
        <v>1770</v>
      </c>
      <c r="C1429" s="3">
        <v>0.0</v>
      </c>
      <c r="D1429" s="3" t="s">
        <v>29</v>
      </c>
    </row>
    <row r="1430">
      <c r="A1430" s="3">
        <v>2016.0</v>
      </c>
      <c r="B1430" s="4" t="s">
        <v>1771</v>
      </c>
      <c r="C1430" s="3">
        <v>0.0</v>
      </c>
      <c r="D1430" s="3" t="s">
        <v>3</v>
      </c>
    </row>
    <row r="1431">
      <c r="A1431" s="3">
        <v>2016.0</v>
      </c>
      <c r="B1431" s="4" t="s">
        <v>1772</v>
      </c>
      <c r="C1431" s="3">
        <v>0.0</v>
      </c>
      <c r="D1431" s="3" t="s">
        <v>32</v>
      </c>
    </row>
    <row r="1432">
      <c r="A1432" s="3">
        <v>2016.0</v>
      </c>
      <c r="B1432" s="4" t="s">
        <v>1780</v>
      </c>
      <c r="C1432" s="3">
        <v>0.0</v>
      </c>
      <c r="D1432" s="3" t="s">
        <v>32</v>
      </c>
    </row>
    <row r="1433">
      <c r="A1433" s="3">
        <v>2016.0</v>
      </c>
      <c r="B1433" s="4" t="s">
        <v>1784</v>
      </c>
      <c r="C1433" s="3">
        <v>0.0</v>
      </c>
      <c r="D1433" s="3" t="s">
        <v>3</v>
      </c>
    </row>
    <row r="1434">
      <c r="A1434" s="3">
        <v>2016.0</v>
      </c>
      <c r="B1434" s="4" t="s">
        <v>1785</v>
      </c>
      <c r="C1434" s="3">
        <v>0.0</v>
      </c>
      <c r="D1434" s="3" t="s">
        <v>3</v>
      </c>
    </row>
    <row r="1435">
      <c r="A1435" s="3">
        <v>2016.0</v>
      </c>
      <c r="B1435" s="4" t="s">
        <v>1786</v>
      </c>
      <c r="C1435" s="3">
        <v>0.0</v>
      </c>
      <c r="D1435" s="3" t="s">
        <v>6</v>
      </c>
    </row>
    <row r="1436">
      <c r="A1436" s="3">
        <v>2016.0</v>
      </c>
      <c r="B1436" s="4" t="s">
        <v>1794</v>
      </c>
      <c r="C1436" s="3">
        <v>0.0</v>
      </c>
      <c r="D1436" s="3" t="s">
        <v>3</v>
      </c>
    </row>
    <row r="1437">
      <c r="A1437" s="3">
        <v>2016.0</v>
      </c>
      <c r="B1437" s="4" t="s">
        <v>1796</v>
      </c>
      <c r="C1437" s="3">
        <v>0.0</v>
      </c>
      <c r="D1437" s="3" t="s">
        <v>3</v>
      </c>
    </row>
    <row r="1438">
      <c r="A1438" s="3">
        <v>2016.0</v>
      </c>
      <c r="B1438" s="4" t="s">
        <v>2297</v>
      </c>
      <c r="C1438" s="3">
        <v>0.0</v>
      </c>
      <c r="D1438" s="3" t="s">
        <v>32</v>
      </c>
    </row>
    <row r="1439">
      <c r="A1439" s="3">
        <v>2016.0</v>
      </c>
      <c r="B1439" s="4" t="s">
        <v>1799</v>
      </c>
      <c r="C1439" s="3">
        <v>0.0</v>
      </c>
      <c r="D1439" s="3" t="s">
        <v>29</v>
      </c>
    </row>
    <row r="1440">
      <c r="A1440" s="3">
        <v>2016.0</v>
      </c>
      <c r="B1440" s="4" t="s">
        <v>2299</v>
      </c>
      <c r="C1440" s="3">
        <v>0.0</v>
      </c>
      <c r="D1440" s="3" t="s">
        <v>6</v>
      </c>
    </row>
    <row r="1441">
      <c r="A1441" s="3">
        <v>2016.0</v>
      </c>
      <c r="B1441" s="4" t="s">
        <v>2300</v>
      </c>
      <c r="C1441" s="3">
        <v>0.0</v>
      </c>
      <c r="D1441" s="3" t="s">
        <v>29</v>
      </c>
    </row>
    <row r="1442">
      <c r="A1442" s="3">
        <v>2016.0</v>
      </c>
      <c r="B1442" s="4" t="s">
        <v>1807</v>
      </c>
      <c r="C1442" s="3">
        <v>0.0</v>
      </c>
      <c r="D1442" s="3" t="s">
        <v>668</v>
      </c>
    </row>
    <row r="1443">
      <c r="A1443" s="3">
        <v>2016.0</v>
      </c>
      <c r="B1443" s="4" t="s">
        <v>1814</v>
      </c>
      <c r="C1443" s="3">
        <v>0.0</v>
      </c>
      <c r="D1443" s="3" t="s">
        <v>3</v>
      </c>
    </row>
    <row r="1444">
      <c r="A1444" s="3">
        <v>2016.0</v>
      </c>
      <c r="B1444" s="4" t="s">
        <v>2302</v>
      </c>
      <c r="C1444" s="3">
        <v>0.0</v>
      </c>
      <c r="D1444" s="3" t="s">
        <v>3</v>
      </c>
    </row>
    <row r="1445">
      <c r="A1445" s="3">
        <v>2016.0</v>
      </c>
      <c r="B1445" s="4" t="s">
        <v>1818</v>
      </c>
      <c r="C1445" s="3">
        <v>0.0</v>
      </c>
      <c r="D1445" s="3" t="s">
        <v>3</v>
      </c>
    </row>
    <row r="1446">
      <c r="A1446" s="3">
        <v>2016.0</v>
      </c>
      <c r="B1446" s="4" t="s">
        <v>1821</v>
      </c>
      <c r="C1446" s="3">
        <v>0.0</v>
      </c>
      <c r="D1446" s="3" t="s">
        <v>3</v>
      </c>
    </row>
    <row r="1447">
      <c r="A1447" s="3">
        <v>2016.0</v>
      </c>
      <c r="B1447" s="4" t="s">
        <v>1825</v>
      </c>
      <c r="C1447" s="3">
        <v>0.0</v>
      </c>
      <c r="D1447" s="3" t="s">
        <v>3</v>
      </c>
    </row>
    <row r="1448">
      <c r="A1448" s="3">
        <v>2016.0</v>
      </c>
      <c r="B1448" s="4" t="s">
        <v>1826</v>
      </c>
      <c r="C1448" s="3">
        <v>0.0</v>
      </c>
      <c r="D1448" s="3" t="s">
        <v>3</v>
      </c>
    </row>
    <row r="1449">
      <c r="A1449" s="3">
        <v>2016.0</v>
      </c>
      <c r="B1449" s="4" t="s">
        <v>2305</v>
      </c>
      <c r="C1449" s="3">
        <v>0.0</v>
      </c>
      <c r="D1449" s="3" t="s">
        <v>3</v>
      </c>
    </row>
    <row r="1450">
      <c r="A1450" s="3">
        <v>2016.0</v>
      </c>
      <c r="B1450" s="4" t="s">
        <v>1829</v>
      </c>
      <c r="C1450" s="3">
        <v>0.0</v>
      </c>
      <c r="D1450" s="3" t="s">
        <v>3</v>
      </c>
    </row>
    <row r="1451">
      <c r="A1451" s="3">
        <v>2016.0</v>
      </c>
      <c r="B1451" s="4" t="s">
        <v>1831</v>
      </c>
      <c r="C1451" s="3">
        <v>0.0</v>
      </c>
      <c r="D1451" s="3" t="s">
        <v>3</v>
      </c>
    </row>
    <row r="1452">
      <c r="A1452" s="3">
        <v>2016.0</v>
      </c>
      <c r="B1452" s="4" t="s">
        <v>1834</v>
      </c>
      <c r="C1452" s="3">
        <v>0.0</v>
      </c>
      <c r="D1452" s="3" t="s">
        <v>29</v>
      </c>
    </row>
    <row r="1453">
      <c r="A1453" s="3">
        <v>2016.0</v>
      </c>
      <c r="B1453" s="4" t="s">
        <v>1837</v>
      </c>
      <c r="C1453" s="3">
        <v>0.0</v>
      </c>
      <c r="D1453" s="3" t="s">
        <v>3</v>
      </c>
    </row>
    <row r="1454">
      <c r="A1454" s="3">
        <v>2016.0</v>
      </c>
      <c r="B1454" s="4" t="s">
        <v>1840</v>
      </c>
      <c r="C1454" s="3">
        <v>0.0</v>
      </c>
      <c r="D1454" s="3" t="s">
        <v>3</v>
      </c>
    </row>
    <row r="1455">
      <c r="A1455" s="3">
        <v>2016.0</v>
      </c>
      <c r="B1455" s="4" t="s">
        <v>1841</v>
      </c>
      <c r="C1455" s="3">
        <v>0.0</v>
      </c>
      <c r="D1455" s="3" t="s">
        <v>29</v>
      </c>
    </row>
    <row r="1456">
      <c r="A1456" s="3">
        <v>2016.0</v>
      </c>
      <c r="B1456" s="4" t="s">
        <v>1843</v>
      </c>
      <c r="C1456" s="3">
        <v>0.0</v>
      </c>
      <c r="D1456" s="3" t="s">
        <v>3</v>
      </c>
    </row>
    <row r="1457">
      <c r="A1457" s="3">
        <v>2016.0</v>
      </c>
      <c r="B1457" s="4" t="s">
        <v>2307</v>
      </c>
      <c r="C1457" s="3">
        <v>0.0</v>
      </c>
      <c r="D1457" s="3" t="s">
        <v>32</v>
      </c>
    </row>
    <row r="1458">
      <c r="A1458" s="3">
        <v>2016.0</v>
      </c>
      <c r="B1458" s="4" t="s">
        <v>1846</v>
      </c>
      <c r="C1458" s="3">
        <v>0.0</v>
      </c>
      <c r="D1458" s="3" t="s">
        <v>6</v>
      </c>
    </row>
    <row r="1459">
      <c r="A1459" s="3">
        <v>2016.0</v>
      </c>
      <c r="B1459" s="4" t="s">
        <v>1847</v>
      </c>
      <c r="C1459" s="3">
        <v>0.0</v>
      </c>
      <c r="D1459" s="3" t="s">
        <v>6</v>
      </c>
    </row>
    <row r="1460">
      <c r="A1460" s="3">
        <v>2016.0</v>
      </c>
      <c r="B1460" s="4" t="s">
        <v>1854</v>
      </c>
      <c r="C1460" s="3">
        <v>0.0</v>
      </c>
      <c r="D1460" s="3" t="s">
        <v>6</v>
      </c>
    </row>
    <row r="1461">
      <c r="A1461" s="3">
        <v>2016.0</v>
      </c>
      <c r="B1461" s="4" t="s">
        <v>1855</v>
      </c>
      <c r="C1461" s="3">
        <v>0.0</v>
      </c>
      <c r="D1461" s="3" t="s">
        <v>29</v>
      </c>
    </row>
    <row r="1462">
      <c r="A1462" s="3">
        <v>2016.0</v>
      </c>
      <c r="B1462" s="4" t="s">
        <v>2310</v>
      </c>
      <c r="C1462" s="3">
        <v>0.0</v>
      </c>
      <c r="D1462" s="3" t="s">
        <v>3</v>
      </c>
    </row>
    <row r="1463">
      <c r="A1463" s="3">
        <v>2016.0</v>
      </c>
      <c r="B1463" s="4" t="s">
        <v>1861</v>
      </c>
      <c r="C1463" s="3">
        <v>0.0</v>
      </c>
      <c r="D1463" s="3" t="s">
        <v>3</v>
      </c>
    </row>
    <row r="1464">
      <c r="A1464" s="3">
        <v>2016.0</v>
      </c>
      <c r="B1464" s="4" t="s">
        <v>1863</v>
      </c>
      <c r="C1464" s="3">
        <v>0.0</v>
      </c>
      <c r="D1464" s="3" t="s">
        <v>6</v>
      </c>
    </row>
    <row r="1465">
      <c r="A1465" s="3">
        <v>2016.0</v>
      </c>
      <c r="B1465" s="4" t="s">
        <v>1864</v>
      </c>
      <c r="C1465" s="3">
        <v>0.0</v>
      </c>
      <c r="D1465" s="3" t="s">
        <v>6</v>
      </c>
    </row>
    <row r="1466">
      <c r="A1466" s="3">
        <v>2016.0</v>
      </c>
      <c r="B1466" s="4" t="s">
        <v>1865</v>
      </c>
      <c r="C1466" s="3">
        <v>0.0</v>
      </c>
      <c r="D1466" s="3" t="s">
        <v>32</v>
      </c>
    </row>
    <row r="1467">
      <c r="A1467" s="3">
        <v>2016.0</v>
      </c>
      <c r="B1467" s="4" t="s">
        <v>1866</v>
      </c>
      <c r="C1467" s="3">
        <v>0.0</v>
      </c>
      <c r="D1467" s="3" t="s">
        <v>3</v>
      </c>
    </row>
    <row r="1468">
      <c r="A1468" s="3">
        <v>2016.0</v>
      </c>
      <c r="B1468" s="4" t="s">
        <v>1867</v>
      </c>
      <c r="C1468" s="3">
        <v>0.0</v>
      </c>
      <c r="D1468" s="3" t="s">
        <v>3</v>
      </c>
    </row>
    <row r="1469">
      <c r="A1469" s="3">
        <v>2016.0</v>
      </c>
      <c r="B1469" s="4" t="s">
        <v>1868</v>
      </c>
      <c r="C1469" s="3">
        <v>0.0</v>
      </c>
      <c r="D1469" s="3" t="s">
        <v>26</v>
      </c>
    </row>
    <row r="1470">
      <c r="A1470" s="3">
        <v>2016.0</v>
      </c>
      <c r="B1470" s="4" t="s">
        <v>1869</v>
      </c>
      <c r="C1470" s="3">
        <v>0.0</v>
      </c>
      <c r="D1470" s="3" t="s">
        <v>3</v>
      </c>
    </row>
    <row r="1471">
      <c r="A1471" s="3">
        <v>2016.0</v>
      </c>
      <c r="B1471" s="4" t="s">
        <v>1870</v>
      </c>
      <c r="C1471" s="3">
        <v>0.0</v>
      </c>
      <c r="D1471" s="3" t="s">
        <v>3</v>
      </c>
    </row>
    <row r="1472">
      <c r="A1472" s="3">
        <v>2016.0</v>
      </c>
      <c r="B1472" s="4" t="s">
        <v>1871</v>
      </c>
      <c r="C1472" s="3">
        <v>0.0</v>
      </c>
      <c r="D1472" s="3" t="s">
        <v>3</v>
      </c>
    </row>
    <row r="1473">
      <c r="A1473" s="3">
        <v>2016.0</v>
      </c>
      <c r="B1473" s="4" t="s">
        <v>2311</v>
      </c>
      <c r="C1473" s="3">
        <v>0.0</v>
      </c>
      <c r="D1473" s="3" t="s">
        <v>3</v>
      </c>
    </row>
    <row r="1474">
      <c r="A1474" s="3">
        <v>2016.0</v>
      </c>
      <c r="B1474" s="4" t="s">
        <v>1875</v>
      </c>
      <c r="C1474" s="3">
        <v>0.0</v>
      </c>
      <c r="D1474" s="3" t="s">
        <v>32</v>
      </c>
    </row>
    <row r="1475">
      <c r="A1475" s="3">
        <v>2016.0</v>
      </c>
      <c r="B1475" s="4" t="s">
        <v>1876</v>
      </c>
      <c r="C1475" s="3">
        <v>0.0</v>
      </c>
      <c r="D1475" s="3" t="s">
        <v>3</v>
      </c>
    </row>
    <row r="1476">
      <c r="A1476" s="3">
        <v>2016.0</v>
      </c>
      <c r="B1476" s="4" t="s">
        <v>1877</v>
      </c>
      <c r="C1476" s="3">
        <v>0.0</v>
      </c>
      <c r="D1476" s="3" t="s">
        <v>3</v>
      </c>
    </row>
    <row r="1477">
      <c r="A1477" s="3">
        <v>2016.0</v>
      </c>
      <c r="B1477" s="4" t="s">
        <v>1878</v>
      </c>
      <c r="C1477" s="3">
        <v>0.0</v>
      </c>
      <c r="D1477" s="3" t="s">
        <v>3</v>
      </c>
    </row>
    <row r="1478">
      <c r="A1478" s="3">
        <v>2016.0</v>
      </c>
      <c r="B1478" s="4" t="s">
        <v>1879</v>
      </c>
      <c r="C1478" s="3">
        <v>0.0</v>
      </c>
      <c r="D1478" s="3" t="s">
        <v>6</v>
      </c>
    </row>
    <row r="1479">
      <c r="A1479" s="3">
        <v>2016.0</v>
      </c>
      <c r="B1479" s="4" t="s">
        <v>1881</v>
      </c>
      <c r="C1479" s="3">
        <v>0.0</v>
      </c>
      <c r="D1479" s="3" t="s">
        <v>3</v>
      </c>
    </row>
    <row r="1480">
      <c r="A1480" s="3">
        <v>2016.0</v>
      </c>
      <c r="B1480" s="4" t="s">
        <v>1882</v>
      </c>
      <c r="C1480" s="3">
        <v>0.0</v>
      </c>
      <c r="D1480" s="3" t="s">
        <v>32</v>
      </c>
    </row>
    <row r="1481">
      <c r="A1481" s="3">
        <v>2016.0</v>
      </c>
      <c r="B1481" s="4" t="s">
        <v>1883</v>
      </c>
      <c r="C1481" s="3">
        <v>0.0</v>
      </c>
      <c r="D1481" s="3" t="s">
        <v>3</v>
      </c>
    </row>
    <row r="1482">
      <c r="A1482" s="3">
        <v>2016.0</v>
      </c>
      <c r="B1482" s="4" t="s">
        <v>1887</v>
      </c>
      <c r="C1482" s="3">
        <v>0.0</v>
      </c>
      <c r="D1482" s="3" t="s">
        <v>6</v>
      </c>
    </row>
    <row r="1483">
      <c r="A1483" s="3">
        <v>2016.0</v>
      </c>
      <c r="B1483" s="4" t="s">
        <v>1891</v>
      </c>
      <c r="C1483" s="3">
        <v>0.0</v>
      </c>
      <c r="D1483" s="3" t="s">
        <v>3</v>
      </c>
    </row>
    <row r="1484">
      <c r="A1484" s="3">
        <v>2016.0</v>
      </c>
      <c r="B1484" s="4" t="s">
        <v>1892</v>
      </c>
      <c r="C1484" s="3">
        <v>0.0</v>
      </c>
      <c r="D1484" s="3" t="s">
        <v>3</v>
      </c>
    </row>
    <row r="1485">
      <c r="A1485" s="3">
        <v>2016.0</v>
      </c>
      <c r="B1485" s="4" t="s">
        <v>1893</v>
      </c>
      <c r="C1485" s="3">
        <v>0.0</v>
      </c>
      <c r="D1485" s="3" t="s">
        <v>3</v>
      </c>
    </row>
    <row r="1486">
      <c r="A1486" s="3">
        <v>2016.0</v>
      </c>
      <c r="B1486" s="4" t="s">
        <v>1894</v>
      </c>
      <c r="C1486" s="3">
        <v>0.0</v>
      </c>
      <c r="D1486" s="3" t="s">
        <v>3</v>
      </c>
    </row>
    <row r="1487">
      <c r="A1487" s="3">
        <v>2016.0</v>
      </c>
      <c r="B1487" s="4" t="s">
        <v>1898</v>
      </c>
      <c r="C1487" s="3">
        <v>0.0</v>
      </c>
      <c r="D1487" s="3" t="s">
        <v>3</v>
      </c>
    </row>
    <row r="1488">
      <c r="A1488" s="3">
        <v>2016.0</v>
      </c>
      <c r="B1488" s="4" t="s">
        <v>1900</v>
      </c>
      <c r="C1488" s="3">
        <v>0.0</v>
      </c>
      <c r="D1488" s="3" t="s">
        <v>3</v>
      </c>
    </row>
    <row r="1489">
      <c r="A1489" s="3">
        <v>2016.0</v>
      </c>
      <c r="B1489" s="4" t="s">
        <v>1901</v>
      </c>
      <c r="C1489" s="3">
        <v>0.0</v>
      </c>
      <c r="D1489" s="3" t="s">
        <v>3</v>
      </c>
    </row>
    <row r="1490">
      <c r="A1490" s="3">
        <v>2016.0</v>
      </c>
      <c r="B1490" s="4" t="s">
        <v>1905</v>
      </c>
      <c r="C1490" s="3">
        <v>0.0</v>
      </c>
      <c r="D1490" s="3" t="s">
        <v>3</v>
      </c>
    </row>
    <row r="1491">
      <c r="A1491" s="3">
        <v>2016.0</v>
      </c>
      <c r="B1491" s="4" t="s">
        <v>1906</v>
      </c>
      <c r="C1491" s="3">
        <v>0.0</v>
      </c>
      <c r="D1491" s="3" t="s">
        <v>32</v>
      </c>
    </row>
    <row r="1492">
      <c r="A1492" s="3">
        <v>2016.0</v>
      </c>
      <c r="B1492" s="4" t="s">
        <v>1908</v>
      </c>
      <c r="C1492" s="3">
        <v>0.0</v>
      </c>
      <c r="D1492" s="3" t="s">
        <v>3</v>
      </c>
    </row>
    <row r="1493">
      <c r="A1493" s="3">
        <v>2016.0</v>
      </c>
      <c r="B1493" s="4" t="s">
        <v>1913</v>
      </c>
      <c r="C1493" s="3">
        <v>0.0</v>
      </c>
      <c r="D1493" s="3" t="s">
        <v>3</v>
      </c>
    </row>
    <row r="1494">
      <c r="A1494" s="3">
        <v>2016.0</v>
      </c>
      <c r="B1494" s="4" t="s">
        <v>1914</v>
      </c>
      <c r="C1494" s="3">
        <v>0.0</v>
      </c>
      <c r="D1494" s="3" t="s">
        <v>3</v>
      </c>
    </row>
    <row r="1495">
      <c r="A1495" s="3">
        <v>2016.0</v>
      </c>
      <c r="B1495" s="4" t="s">
        <v>1915</v>
      </c>
      <c r="C1495" s="3">
        <v>0.0</v>
      </c>
      <c r="D1495" s="3" t="s">
        <v>3</v>
      </c>
    </row>
    <row r="1496">
      <c r="A1496" s="3">
        <v>2016.0</v>
      </c>
      <c r="B1496" s="4" t="s">
        <v>1916</v>
      </c>
      <c r="C1496" s="3">
        <v>0.0</v>
      </c>
      <c r="D1496" s="3" t="s">
        <v>3</v>
      </c>
    </row>
    <row r="1497">
      <c r="A1497" s="3">
        <v>2016.0</v>
      </c>
      <c r="B1497" s="4" t="s">
        <v>1917</v>
      </c>
      <c r="C1497" s="3">
        <v>0.0</v>
      </c>
      <c r="D1497" s="3" t="s">
        <v>3</v>
      </c>
    </row>
    <row r="1498">
      <c r="A1498" s="3">
        <v>2016.0</v>
      </c>
      <c r="B1498" s="4" t="s">
        <v>1922</v>
      </c>
      <c r="C1498" s="3">
        <v>0.0</v>
      </c>
      <c r="D1498" s="3" t="s">
        <v>29</v>
      </c>
    </row>
    <row r="1499">
      <c r="A1499" s="3">
        <v>2016.0</v>
      </c>
      <c r="B1499" s="4" t="s">
        <v>1923</v>
      </c>
      <c r="C1499" s="3">
        <v>0.0</v>
      </c>
      <c r="D1499" s="3" t="s">
        <v>6</v>
      </c>
    </row>
    <row r="1500">
      <c r="A1500" s="3">
        <v>2016.0</v>
      </c>
      <c r="B1500" s="4" t="s">
        <v>1936</v>
      </c>
      <c r="C1500" s="3">
        <v>0.0</v>
      </c>
      <c r="D1500" s="3" t="s">
        <v>6</v>
      </c>
    </row>
    <row r="1501">
      <c r="A1501" s="3">
        <v>2016.0</v>
      </c>
      <c r="B1501" s="4" t="s">
        <v>1937</v>
      </c>
      <c r="C1501" s="3">
        <v>0.0</v>
      </c>
      <c r="D1501" s="3" t="s">
        <v>3</v>
      </c>
    </row>
    <row r="1502">
      <c r="A1502" s="3">
        <v>2016.0</v>
      </c>
      <c r="B1502" s="4" t="s">
        <v>2318</v>
      </c>
      <c r="C1502" s="3">
        <v>0.0</v>
      </c>
      <c r="D1502" s="3" t="s">
        <v>6</v>
      </c>
    </row>
    <row r="1503">
      <c r="A1503" s="3">
        <v>2016.0</v>
      </c>
      <c r="B1503" s="4" t="s">
        <v>2319</v>
      </c>
      <c r="C1503" s="3">
        <v>0.0</v>
      </c>
      <c r="D1503" s="3" t="s">
        <v>3</v>
      </c>
    </row>
    <row r="1504">
      <c r="A1504" s="3">
        <v>2016.0</v>
      </c>
      <c r="B1504" s="4" t="s">
        <v>2320</v>
      </c>
      <c r="C1504" s="3">
        <v>0.0</v>
      </c>
      <c r="D1504" s="3" t="s">
        <v>3</v>
      </c>
    </row>
    <row r="1505">
      <c r="A1505" s="3">
        <v>2016.0</v>
      </c>
      <c r="B1505" s="4" t="s">
        <v>1951</v>
      </c>
      <c r="C1505" s="3">
        <v>0.0</v>
      </c>
      <c r="D1505" s="3" t="s">
        <v>484</v>
      </c>
    </row>
    <row r="1506">
      <c r="A1506" s="3">
        <v>2016.0</v>
      </c>
      <c r="B1506" s="4" t="s">
        <v>2325</v>
      </c>
      <c r="C1506" s="3">
        <v>0.0</v>
      </c>
      <c r="D1506" s="3" t="s">
        <v>3</v>
      </c>
    </row>
    <row r="1507">
      <c r="A1507" s="3">
        <v>2016.0</v>
      </c>
      <c r="B1507" s="4" t="s">
        <v>1970</v>
      </c>
      <c r="C1507" s="3">
        <v>0.0</v>
      </c>
      <c r="D1507" s="3" t="s">
        <v>6</v>
      </c>
    </row>
    <row r="1508">
      <c r="A1508" s="3">
        <v>2016.0</v>
      </c>
      <c r="B1508" s="4" t="s">
        <v>2330</v>
      </c>
      <c r="C1508" s="3">
        <v>0.0</v>
      </c>
      <c r="D1508" s="3" t="s">
        <v>6</v>
      </c>
    </row>
    <row r="1509">
      <c r="A1509" s="3">
        <v>2016.0</v>
      </c>
      <c r="B1509" s="4" t="s">
        <v>1974</v>
      </c>
      <c r="C1509" s="3">
        <v>0.0</v>
      </c>
      <c r="D1509" s="3" t="s">
        <v>3</v>
      </c>
    </row>
    <row r="1510">
      <c r="A1510" s="3">
        <v>2016.0</v>
      </c>
      <c r="B1510" s="4" t="s">
        <v>1978</v>
      </c>
      <c r="C1510" s="3">
        <v>0.0</v>
      </c>
      <c r="D1510" s="3" t="s">
        <v>3</v>
      </c>
    </row>
    <row r="1511">
      <c r="A1511" s="3">
        <v>2016.0</v>
      </c>
      <c r="B1511" s="4" t="s">
        <v>1982</v>
      </c>
      <c r="C1511" s="3">
        <v>0.0</v>
      </c>
      <c r="D1511" s="3" t="s">
        <v>3</v>
      </c>
    </row>
    <row r="1512">
      <c r="A1512" s="3">
        <v>2016.0</v>
      </c>
      <c r="B1512" s="4" t="s">
        <v>1983</v>
      </c>
      <c r="C1512" s="3">
        <v>0.0</v>
      </c>
      <c r="D1512" s="3" t="s">
        <v>6</v>
      </c>
    </row>
    <row r="1513">
      <c r="A1513" s="3">
        <v>2016.0</v>
      </c>
      <c r="B1513" s="4" t="s">
        <v>1984</v>
      </c>
      <c r="C1513" s="3">
        <v>0.0</v>
      </c>
      <c r="D1513" s="3" t="s">
        <v>3</v>
      </c>
    </row>
    <row r="1514">
      <c r="A1514" s="3">
        <v>2016.0</v>
      </c>
      <c r="B1514" s="4" t="s">
        <v>1985</v>
      </c>
      <c r="C1514" s="3">
        <v>0.0</v>
      </c>
      <c r="D1514" s="3" t="s">
        <v>3</v>
      </c>
    </row>
    <row r="1515">
      <c r="A1515" s="3">
        <v>2016.0</v>
      </c>
      <c r="B1515" s="4" t="s">
        <v>1986</v>
      </c>
      <c r="C1515" s="3">
        <v>0.0</v>
      </c>
      <c r="D1515" s="3" t="s">
        <v>3</v>
      </c>
    </row>
    <row r="1516">
      <c r="A1516" s="3">
        <v>2016.0</v>
      </c>
      <c r="B1516" s="4" t="s">
        <v>1987</v>
      </c>
      <c r="C1516" s="3">
        <v>0.0</v>
      </c>
      <c r="D1516" s="3" t="s">
        <v>3</v>
      </c>
    </row>
    <row r="1517">
      <c r="A1517" s="3">
        <v>2016.0</v>
      </c>
      <c r="B1517" s="4" t="s">
        <v>1988</v>
      </c>
      <c r="C1517" s="3">
        <v>0.0</v>
      </c>
      <c r="D1517" s="3" t="s">
        <v>3</v>
      </c>
    </row>
    <row r="1518">
      <c r="A1518" s="3">
        <v>2016.0</v>
      </c>
      <c r="B1518" s="4" t="s">
        <v>1997</v>
      </c>
      <c r="C1518" s="3">
        <v>0.0</v>
      </c>
      <c r="D1518" s="3" t="s">
        <v>6</v>
      </c>
    </row>
    <row r="1519">
      <c r="A1519" s="3">
        <v>2016.0</v>
      </c>
      <c r="B1519" s="4" t="s">
        <v>2001</v>
      </c>
      <c r="C1519" s="3">
        <v>0.0</v>
      </c>
      <c r="D1519" s="3" t="s">
        <v>6</v>
      </c>
    </row>
    <row r="1520">
      <c r="A1520" s="3">
        <v>2016.0</v>
      </c>
      <c r="B1520" s="4" t="s">
        <v>2004</v>
      </c>
      <c r="C1520" s="3">
        <v>0.0</v>
      </c>
      <c r="D1520" s="3" t="s">
        <v>3</v>
      </c>
    </row>
    <row r="1521">
      <c r="A1521" s="3">
        <v>2016.0</v>
      </c>
      <c r="B1521" s="4" t="s">
        <v>2005</v>
      </c>
      <c r="C1521" s="3">
        <v>0.0</v>
      </c>
      <c r="D1521" s="3" t="s">
        <v>3</v>
      </c>
    </row>
    <row r="1522">
      <c r="A1522" s="3">
        <v>2016.0</v>
      </c>
      <c r="B1522" s="4" t="s">
        <v>2332</v>
      </c>
      <c r="C1522" s="3">
        <v>0.0</v>
      </c>
      <c r="D1522" s="3" t="s">
        <v>3</v>
      </c>
    </row>
    <row r="1523">
      <c r="A1523" s="3">
        <v>2016.0</v>
      </c>
      <c r="B1523" s="4" t="s">
        <v>2012</v>
      </c>
      <c r="C1523" s="3">
        <v>0.0</v>
      </c>
      <c r="D1523" s="3" t="s">
        <v>3</v>
      </c>
    </row>
    <row r="1524">
      <c r="A1524" s="3">
        <v>2016.0</v>
      </c>
      <c r="B1524" s="4" t="s">
        <v>2013</v>
      </c>
      <c r="C1524" s="3">
        <v>0.0</v>
      </c>
      <c r="D1524" s="3" t="s">
        <v>6</v>
      </c>
    </row>
    <row r="1525">
      <c r="A1525" s="3">
        <v>2016.0</v>
      </c>
      <c r="B1525" s="4" t="s">
        <v>2016</v>
      </c>
      <c r="C1525" s="3">
        <v>0.0</v>
      </c>
      <c r="D1525" s="3" t="s">
        <v>29</v>
      </c>
    </row>
    <row r="1526">
      <c r="A1526" s="3">
        <v>2016.0</v>
      </c>
      <c r="B1526" s="4" t="s">
        <v>2017</v>
      </c>
      <c r="C1526" s="3">
        <v>0.0</v>
      </c>
      <c r="D1526" s="3" t="s">
        <v>3</v>
      </c>
    </row>
    <row r="1527">
      <c r="A1527" s="3">
        <v>2016.0</v>
      </c>
      <c r="B1527" s="4" t="s">
        <v>2019</v>
      </c>
      <c r="C1527" s="3">
        <v>0.0</v>
      </c>
      <c r="D1527" s="3" t="s">
        <v>29</v>
      </c>
    </row>
    <row r="1528">
      <c r="A1528" s="3">
        <v>2016.0</v>
      </c>
      <c r="B1528" s="4" t="s">
        <v>2020</v>
      </c>
      <c r="C1528" s="3">
        <v>0.0</v>
      </c>
      <c r="D1528" s="3" t="s">
        <v>29</v>
      </c>
    </row>
    <row r="1529">
      <c r="A1529" s="3">
        <v>2016.0</v>
      </c>
      <c r="B1529" s="4" t="s">
        <v>2021</v>
      </c>
      <c r="C1529" s="3">
        <v>0.0</v>
      </c>
      <c r="D1529" s="3" t="s">
        <v>3</v>
      </c>
    </row>
    <row r="1530">
      <c r="A1530" s="3">
        <v>2016.0</v>
      </c>
      <c r="B1530" s="4" t="s">
        <v>2025</v>
      </c>
      <c r="C1530" s="3">
        <v>0.0</v>
      </c>
      <c r="D1530" s="3" t="s">
        <v>32</v>
      </c>
    </row>
    <row r="1531">
      <c r="A1531" s="3">
        <v>2016.0</v>
      </c>
      <c r="B1531" s="4" t="s">
        <v>2026</v>
      </c>
      <c r="C1531" s="3">
        <v>0.0</v>
      </c>
      <c r="D1531" s="3" t="s">
        <v>3</v>
      </c>
    </row>
    <row r="1532">
      <c r="A1532" s="3">
        <v>2016.0</v>
      </c>
      <c r="B1532" s="4" t="s">
        <v>2027</v>
      </c>
      <c r="C1532" s="3">
        <v>0.0</v>
      </c>
      <c r="D1532" s="3" t="s">
        <v>3</v>
      </c>
    </row>
    <row r="1533">
      <c r="A1533" s="3">
        <v>2016.0</v>
      </c>
      <c r="B1533" s="4" t="s">
        <v>2028</v>
      </c>
      <c r="C1533" s="3">
        <v>0.0</v>
      </c>
      <c r="D1533" s="3" t="s">
        <v>29</v>
      </c>
    </row>
    <row r="1534">
      <c r="A1534" s="3">
        <v>2016.0</v>
      </c>
      <c r="B1534" s="4" t="s">
        <v>2029</v>
      </c>
      <c r="C1534" s="3">
        <v>0.0</v>
      </c>
      <c r="D1534" s="3" t="s">
        <v>29</v>
      </c>
    </row>
    <row r="1535">
      <c r="A1535" s="3">
        <v>2017.0</v>
      </c>
      <c r="B1535" s="4" t="s">
        <v>2360</v>
      </c>
      <c r="C1535" s="4">
        <v>760.0</v>
      </c>
      <c r="D1535" s="4"/>
    </row>
    <row r="1536">
      <c r="A1536" s="3">
        <v>2017.0</v>
      </c>
      <c r="B1536" s="4" t="s">
        <v>5</v>
      </c>
      <c r="C1536" s="4">
        <v>0.0</v>
      </c>
      <c r="D1536" s="4" t="s">
        <v>6</v>
      </c>
    </row>
    <row r="1537">
      <c r="A1537" s="3">
        <v>2017.0</v>
      </c>
      <c r="B1537" s="4" t="s">
        <v>2361</v>
      </c>
      <c r="C1537" s="4">
        <v>0.0</v>
      </c>
      <c r="D1537" s="4" t="s">
        <v>3</v>
      </c>
    </row>
    <row r="1538">
      <c r="A1538" s="3">
        <v>2017.0</v>
      </c>
      <c r="B1538" s="4" t="s">
        <v>2362</v>
      </c>
      <c r="C1538" s="4">
        <v>500.0</v>
      </c>
      <c r="D1538" s="4"/>
    </row>
    <row r="1539">
      <c r="A1539" s="3">
        <v>2017.0</v>
      </c>
      <c r="B1539" s="4" t="s">
        <v>10</v>
      </c>
      <c r="C1539" s="4">
        <v>2000.0</v>
      </c>
      <c r="D1539" s="4"/>
    </row>
    <row r="1540">
      <c r="A1540" s="3">
        <v>2017.0</v>
      </c>
      <c r="B1540" s="4" t="s">
        <v>12</v>
      </c>
      <c r="C1540" s="4">
        <v>1800.0</v>
      </c>
      <c r="D1540" s="4"/>
    </row>
    <row r="1541">
      <c r="A1541" s="3">
        <v>2017.0</v>
      </c>
      <c r="B1541" s="4" t="s">
        <v>2363</v>
      </c>
      <c r="C1541" s="4">
        <v>1600.0</v>
      </c>
      <c r="D1541" s="4"/>
    </row>
    <row r="1542">
      <c r="A1542" s="3">
        <v>2017.0</v>
      </c>
      <c r="B1542" s="4" t="s">
        <v>2364</v>
      </c>
      <c r="C1542" s="4">
        <v>0.0</v>
      </c>
      <c r="D1542" s="4" t="s">
        <v>6</v>
      </c>
    </row>
    <row r="1543">
      <c r="A1543" s="3">
        <v>2017.0</v>
      </c>
      <c r="B1543" s="4" t="s">
        <v>2365</v>
      </c>
      <c r="C1543" s="4">
        <v>0.0</v>
      </c>
      <c r="D1543" s="4" t="s">
        <v>3</v>
      </c>
    </row>
    <row r="1544">
      <c r="A1544" s="3">
        <v>2017.0</v>
      </c>
      <c r="B1544" s="4" t="s">
        <v>19</v>
      </c>
      <c r="C1544" s="4">
        <v>700.0</v>
      </c>
      <c r="D1544" s="4" t="s">
        <v>6</v>
      </c>
    </row>
    <row r="1545">
      <c r="A1545" s="3">
        <v>2017.0</v>
      </c>
      <c r="B1545" s="4" t="s">
        <v>23</v>
      </c>
      <c r="C1545" s="4">
        <v>0.0</v>
      </c>
      <c r="D1545" s="4" t="s">
        <v>3</v>
      </c>
    </row>
    <row r="1546">
      <c r="A1546" s="3">
        <v>2017.0</v>
      </c>
      <c r="B1546" s="4" t="s">
        <v>2366</v>
      </c>
      <c r="C1546" s="4">
        <v>2000.0</v>
      </c>
      <c r="D1546" s="4"/>
    </row>
    <row r="1547">
      <c r="A1547" s="3">
        <v>2017.0</v>
      </c>
      <c r="B1547" s="4" t="s">
        <v>24</v>
      </c>
      <c r="C1547" s="4">
        <v>0.0</v>
      </c>
      <c r="D1547" s="4" t="s">
        <v>3</v>
      </c>
    </row>
    <row r="1548">
      <c r="A1548" s="3">
        <v>2017.0</v>
      </c>
      <c r="B1548" s="4" t="s">
        <v>2367</v>
      </c>
      <c r="C1548" s="4">
        <v>0.0</v>
      </c>
      <c r="D1548" s="4" t="s">
        <v>2368</v>
      </c>
    </row>
    <row r="1549">
      <c r="A1549" s="3">
        <v>2017.0</v>
      </c>
      <c r="B1549" s="4" t="s">
        <v>27</v>
      </c>
      <c r="C1549" s="4">
        <v>0.0</v>
      </c>
      <c r="D1549" s="4" t="s">
        <v>3</v>
      </c>
    </row>
    <row r="1550">
      <c r="A1550" s="3">
        <v>2017.0</v>
      </c>
      <c r="B1550" s="4" t="s">
        <v>2369</v>
      </c>
      <c r="C1550" s="4">
        <v>0.0</v>
      </c>
      <c r="D1550" s="4" t="s">
        <v>6</v>
      </c>
    </row>
    <row r="1551">
      <c r="A1551" s="3">
        <v>2017.0</v>
      </c>
      <c r="B1551" s="4" t="s">
        <v>28</v>
      </c>
      <c r="C1551" s="4">
        <v>0.0</v>
      </c>
      <c r="D1551" s="4" t="s">
        <v>29</v>
      </c>
    </row>
    <row r="1552">
      <c r="A1552" s="3">
        <v>2017.0</v>
      </c>
      <c r="B1552" s="4" t="s">
        <v>2070</v>
      </c>
      <c r="C1552" s="4">
        <v>7600.0</v>
      </c>
      <c r="D1552" s="4" t="s">
        <v>3</v>
      </c>
    </row>
    <row r="1553">
      <c r="A1553" s="3">
        <v>2017.0</v>
      </c>
      <c r="B1553" s="4" t="s">
        <v>2071</v>
      </c>
      <c r="C1553" s="4">
        <v>22016.0</v>
      </c>
      <c r="D1553" s="4" t="s">
        <v>2370</v>
      </c>
    </row>
    <row r="1554">
      <c r="A1554" s="3">
        <v>2017.0</v>
      </c>
      <c r="B1554" s="4" t="s">
        <v>2371</v>
      </c>
      <c r="C1554" s="4">
        <v>0.0</v>
      </c>
      <c r="D1554" s="4" t="s">
        <v>29</v>
      </c>
    </row>
    <row r="1555">
      <c r="A1555" s="3">
        <v>2017.0</v>
      </c>
      <c r="B1555" s="4" t="s">
        <v>2072</v>
      </c>
      <c r="C1555" s="4">
        <v>0.0</v>
      </c>
      <c r="D1555" s="4" t="s">
        <v>3</v>
      </c>
    </row>
    <row r="1556">
      <c r="A1556" s="3">
        <v>2017.0</v>
      </c>
      <c r="B1556" s="4" t="s">
        <v>2073</v>
      </c>
      <c r="C1556" s="4">
        <v>7000.0</v>
      </c>
      <c r="D1556" s="4" t="s">
        <v>3</v>
      </c>
    </row>
    <row r="1557">
      <c r="A1557" s="3">
        <v>2017.0</v>
      </c>
      <c r="B1557" s="4" t="s">
        <v>2372</v>
      </c>
      <c r="C1557" s="4">
        <v>1500.0</v>
      </c>
      <c r="D1557" s="4"/>
    </row>
    <row r="1558">
      <c r="A1558" s="3">
        <v>2017.0</v>
      </c>
      <c r="B1558" s="4" t="s">
        <v>44</v>
      </c>
      <c r="C1558" s="4">
        <v>300.0</v>
      </c>
      <c r="D1558" s="4" t="s">
        <v>3</v>
      </c>
    </row>
    <row r="1559">
      <c r="A1559" s="3">
        <v>2017.0</v>
      </c>
      <c r="B1559" s="4" t="s">
        <v>2373</v>
      </c>
      <c r="C1559" s="4">
        <v>6180.0</v>
      </c>
      <c r="D1559" s="4" t="s">
        <v>3</v>
      </c>
    </row>
    <row r="1560">
      <c r="A1560" s="3">
        <v>2017.0</v>
      </c>
      <c r="B1560" s="4" t="s">
        <v>2374</v>
      </c>
      <c r="C1560" s="4">
        <v>0.0</v>
      </c>
      <c r="D1560" s="4" t="s">
        <v>6</v>
      </c>
    </row>
    <row r="1561">
      <c r="A1561" s="3">
        <v>2017.0</v>
      </c>
      <c r="B1561" s="4" t="s">
        <v>2075</v>
      </c>
      <c r="C1561" s="4">
        <v>10000.0</v>
      </c>
      <c r="D1561" s="4" t="s">
        <v>3</v>
      </c>
    </row>
    <row r="1562">
      <c r="A1562" s="3">
        <v>2017.0</v>
      </c>
      <c r="B1562" s="4" t="s">
        <v>53</v>
      </c>
      <c r="C1562" s="4">
        <v>20000.0</v>
      </c>
      <c r="D1562" s="4"/>
    </row>
    <row r="1563">
      <c r="A1563" s="3">
        <v>2017.0</v>
      </c>
      <c r="B1563" s="4" t="s">
        <v>54</v>
      </c>
      <c r="C1563" s="4">
        <v>0.0</v>
      </c>
      <c r="D1563" s="4" t="s">
        <v>3</v>
      </c>
    </row>
    <row r="1564">
      <c r="A1564" s="3">
        <v>2017.0</v>
      </c>
      <c r="B1564" s="4" t="s">
        <v>55</v>
      </c>
      <c r="C1564" s="4">
        <v>2400.0</v>
      </c>
      <c r="D1564" s="4"/>
    </row>
    <row r="1565">
      <c r="A1565" s="3">
        <v>2017.0</v>
      </c>
      <c r="B1565" s="4" t="s">
        <v>57</v>
      </c>
      <c r="C1565" s="4">
        <v>29000.0</v>
      </c>
      <c r="D1565" s="4" t="s">
        <v>3</v>
      </c>
    </row>
    <row r="1566">
      <c r="A1566" s="3">
        <v>2017.0</v>
      </c>
      <c r="B1566" s="4" t="s">
        <v>2375</v>
      </c>
      <c r="C1566" s="4">
        <v>0.0</v>
      </c>
      <c r="D1566" s="4" t="s">
        <v>3</v>
      </c>
    </row>
    <row r="1567">
      <c r="A1567" s="3">
        <v>2017.0</v>
      </c>
      <c r="B1567" s="4" t="s">
        <v>2376</v>
      </c>
      <c r="C1567" s="4">
        <v>10738.0</v>
      </c>
      <c r="D1567" s="4" t="s">
        <v>2377</v>
      </c>
    </row>
    <row r="1568">
      <c r="A1568" s="3">
        <v>2017.0</v>
      </c>
      <c r="B1568" s="4" t="s">
        <v>2378</v>
      </c>
      <c r="C1568" s="4">
        <v>0.0</v>
      </c>
      <c r="D1568" s="4" t="s">
        <v>3</v>
      </c>
    </row>
    <row r="1569">
      <c r="A1569" s="3">
        <v>2017.0</v>
      </c>
      <c r="B1569" s="4" t="s">
        <v>2379</v>
      </c>
      <c r="C1569" s="4">
        <v>0.0</v>
      </c>
      <c r="D1569" s="4" t="s">
        <v>3</v>
      </c>
    </row>
    <row r="1570">
      <c r="A1570" s="3">
        <v>2017.0</v>
      </c>
      <c r="B1570" s="4" t="s">
        <v>62</v>
      </c>
      <c r="C1570" s="4">
        <v>500.0</v>
      </c>
      <c r="D1570" s="4"/>
    </row>
    <row r="1571">
      <c r="A1571" s="3">
        <v>2017.0</v>
      </c>
      <c r="B1571" s="4" t="s">
        <v>2380</v>
      </c>
      <c r="C1571" s="4">
        <v>8000.0</v>
      </c>
      <c r="D1571" s="4" t="s">
        <v>3</v>
      </c>
    </row>
    <row r="1572">
      <c r="A1572" s="3">
        <v>2017.0</v>
      </c>
      <c r="B1572" s="4" t="s">
        <v>2381</v>
      </c>
      <c r="C1572" s="4">
        <v>800.0</v>
      </c>
      <c r="D1572" s="4"/>
    </row>
    <row r="1573">
      <c r="A1573" s="3">
        <v>2017.0</v>
      </c>
      <c r="B1573" s="4" t="s">
        <v>2382</v>
      </c>
      <c r="C1573" s="4">
        <v>0.0</v>
      </c>
      <c r="D1573" s="4" t="s">
        <v>3</v>
      </c>
    </row>
    <row r="1574">
      <c r="A1574" s="3">
        <v>2017.0</v>
      </c>
      <c r="B1574" s="4" t="s">
        <v>67</v>
      </c>
      <c r="C1574" s="4">
        <v>1500.0</v>
      </c>
      <c r="D1574" s="4"/>
    </row>
    <row r="1575">
      <c r="A1575" s="3">
        <v>2017.0</v>
      </c>
      <c r="B1575" s="4" t="s">
        <v>2076</v>
      </c>
      <c r="C1575" s="4">
        <v>60000.0</v>
      </c>
      <c r="D1575" s="4"/>
    </row>
    <row r="1576">
      <c r="A1576" s="3">
        <v>2017.0</v>
      </c>
      <c r="B1576" s="4" t="s">
        <v>2383</v>
      </c>
      <c r="C1576" s="4">
        <v>0.0</v>
      </c>
      <c r="D1576" s="4" t="s">
        <v>3</v>
      </c>
    </row>
    <row r="1577">
      <c r="A1577" s="3">
        <v>2017.0</v>
      </c>
      <c r="B1577" s="4" t="s">
        <v>2384</v>
      </c>
      <c r="C1577" s="4">
        <v>500.0</v>
      </c>
      <c r="D1577" s="4"/>
    </row>
    <row r="1578">
      <c r="A1578" s="3">
        <v>2017.0</v>
      </c>
      <c r="B1578" s="4" t="s">
        <v>76</v>
      </c>
      <c r="C1578" s="4">
        <v>1500.0</v>
      </c>
      <c r="D1578" s="4" t="s">
        <v>2377</v>
      </c>
    </row>
    <row r="1579">
      <c r="A1579" s="3">
        <v>2017.0</v>
      </c>
      <c r="B1579" s="4" t="s">
        <v>77</v>
      </c>
      <c r="C1579" s="4">
        <v>2000.0</v>
      </c>
      <c r="D1579" s="4"/>
    </row>
    <row r="1580">
      <c r="A1580" s="3">
        <v>2017.0</v>
      </c>
      <c r="B1580" s="4" t="s">
        <v>2385</v>
      </c>
      <c r="C1580" s="4">
        <v>0.0</v>
      </c>
      <c r="D1580" s="4" t="s">
        <v>3</v>
      </c>
    </row>
    <row r="1581">
      <c r="A1581" s="3">
        <v>2017.0</v>
      </c>
      <c r="B1581" s="4" t="s">
        <v>2386</v>
      </c>
      <c r="C1581" s="4">
        <v>0.0</v>
      </c>
      <c r="D1581" s="4" t="s">
        <v>3</v>
      </c>
    </row>
    <row r="1582">
      <c r="A1582" s="3">
        <v>2017.0</v>
      </c>
      <c r="B1582" s="4" t="s">
        <v>78</v>
      </c>
      <c r="C1582" s="4">
        <v>2000.0</v>
      </c>
      <c r="D1582" s="4"/>
    </row>
    <row r="1583">
      <c r="A1583" s="3">
        <v>2017.0</v>
      </c>
      <c r="B1583" s="4" t="s">
        <v>2387</v>
      </c>
      <c r="C1583" s="4">
        <v>0.0</v>
      </c>
      <c r="D1583" s="4" t="s">
        <v>3</v>
      </c>
    </row>
    <row r="1584">
      <c r="A1584" s="3">
        <v>2017.0</v>
      </c>
      <c r="B1584" s="4" t="s">
        <v>80</v>
      </c>
      <c r="C1584" s="4">
        <v>0.0</v>
      </c>
      <c r="D1584" s="4" t="s">
        <v>3</v>
      </c>
    </row>
    <row r="1585">
      <c r="A1585" s="3">
        <v>2017.0</v>
      </c>
      <c r="B1585" s="4" t="s">
        <v>81</v>
      </c>
      <c r="C1585" s="4">
        <v>0.0</v>
      </c>
      <c r="D1585" s="4" t="s">
        <v>29</v>
      </c>
    </row>
    <row r="1586">
      <c r="A1586" s="3">
        <v>2017.0</v>
      </c>
      <c r="B1586" s="4" t="s">
        <v>82</v>
      </c>
      <c r="C1586" s="4">
        <v>25000.0</v>
      </c>
      <c r="D1586" s="4"/>
    </row>
    <row r="1587">
      <c r="A1587" s="3">
        <v>2017.0</v>
      </c>
      <c r="B1587" s="4" t="s">
        <v>2388</v>
      </c>
      <c r="C1587" s="4">
        <v>0.0</v>
      </c>
      <c r="D1587" s="4" t="s">
        <v>3</v>
      </c>
    </row>
    <row r="1588">
      <c r="A1588" s="3">
        <v>2017.0</v>
      </c>
      <c r="B1588" s="4" t="s">
        <v>84</v>
      </c>
      <c r="C1588" s="4">
        <v>9000.0</v>
      </c>
      <c r="D1588" s="4" t="s">
        <v>2368</v>
      </c>
    </row>
    <row r="1589">
      <c r="A1589" s="3">
        <v>2017.0</v>
      </c>
      <c r="B1589" s="4" t="s">
        <v>2389</v>
      </c>
      <c r="C1589" s="4">
        <v>0.0</v>
      </c>
      <c r="D1589" s="4" t="s">
        <v>3</v>
      </c>
    </row>
    <row r="1590">
      <c r="A1590" s="3">
        <v>2017.0</v>
      </c>
      <c r="B1590" s="4" t="s">
        <v>2390</v>
      </c>
      <c r="C1590" s="4">
        <v>550.0</v>
      </c>
      <c r="D1590" s="4"/>
    </row>
    <row r="1591">
      <c r="A1591" s="3">
        <v>2017.0</v>
      </c>
      <c r="B1591" s="4" t="s">
        <v>87</v>
      </c>
      <c r="C1591" s="4">
        <v>0.0</v>
      </c>
      <c r="D1591" s="4" t="s">
        <v>3</v>
      </c>
    </row>
    <row r="1592">
      <c r="A1592" s="3">
        <v>2017.0</v>
      </c>
      <c r="B1592" s="4" t="s">
        <v>2078</v>
      </c>
      <c r="C1592" s="4">
        <v>5000.0</v>
      </c>
      <c r="D1592" s="4" t="s">
        <v>2377</v>
      </c>
    </row>
    <row r="1593">
      <c r="A1593" s="3">
        <v>2017.0</v>
      </c>
      <c r="B1593" s="4" t="s">
        <v>2391</v>
      </c>
      <c r="C1593" s="4">
        <v>0.0</v>
      </c>
      <c r="D1593" s="4" t="s">
        <v>6</v>
      </c>
    </row>
    <row r="1594">
      <c r="A1594" s="3">
        <v>2017.0</v>
      </c>
      <c r="B1594" s="4" t="s">
        <v>2392</v>
      </c>
      <c r="C1594" s="4">
        <v>0.0</v>
      </c>
      <c r="D1594" s="4" t="s">
        <v>6</v>
      </c>
    </row>
    <row r="1595">
      <c r="A1595" s="3">
        <v>2017.0</v>
      </c>
      <c r="B1595" s="4" t="s">
        <v>2393</v>
      </c>
      <c r="C1595" s="4">
        <v>1000.0</v>
      </c>
      <c r="D1595" s="4"/>
    </row>
    <row r="1596">
      <c r="A1596" s="3">
        <v>2017.0</v>
      </c>
      <c r="B1596" s="4" t="s">
        <v>2394</v>
      </c>
      <c r="C1596" s="4">
        <v>2000.0</v>
      </c>
      <c r="D1596" s="4"/>
    </row>
    <row r="1597">
      <c r="A1597" s="3">
        <v>2017.0</v>
      </c>
      <c r="B1597" s="4" t="s">
        <v>93</v>
      </c>
      <c r="C1597" s="4">
        <v>1000.0</v>
      </c>
      <c r="D1597" s="4"/>
    </row>
    <row r="1598">
      <c r="A1598" s="3">
        <v>2017.0</v>
      </c>
      <c r="B1598" s="4" t="s">
        <v>100</v>
      </c>
      <c r="C1598" s="4">
        <v>0.0</v>
      </c>
      <c r="D1598" s="4" t="s">
        <v>3</v>
      </c>
    </row>
    <row r="1599">
      <c r="A1599" s="3">
        <v>2017.0</v>
      </c>
      <c r="B1599" s="4" t="s">
        <v>2395</v>
      </c>
      <c r="C1599" s="4">
        <v>0.0</v>
      </c>
      <c r="D1599" s="4" t="s">
        <v>3</v>
      </c>
    </row>
    <row r="1600">
      <c r="A1600" s="3">
        <v>2017.0</v>
      </c>
      <c r="B1600" s="4" t="s">
        <v>103</v>
      </c>
      <c r="C1600" s="4">
        <v>1000.0</v>
      </c>
      <c r="D1600" s="4"/>
    </row>
    <row r="1601">
      <c r="A1601" s="3">
        <v>2017.0</v>
      </c>
      <c r="B1601" s="4" t="s">
        <v>104</v>
      </c>
      <c r="C1601" s="4">
        <v>0.0</v>
      </c>
      <c r="D1601" s="4" t="s">
        <v>3</v>
      </c>
    </row>
    <row r="1602">
      <c r="A1602" s="3">
        <v>2017.0</v>
      </c>
      <c r="B1602" s="4" t="s">
        <v>2081</v>
      </c>
      <c r="C1602" s="4">
        <v>500.0</v>
      </c>
      <c r="D1602" s="4"/>
    </row>
    <row r="1603">
      <c r="A1603" s="3">
        <v>2017.0</v>
      </c>
      <c r="B1603" s="4" t="s">
        <v>2082</v>
      </c>
      <c r="C1603" s="4">
        <v>0.0</v>
      </c>
      <c r="D1603" s="4" t="s">
        <v>3</v>
      </c>
    </row>
    <row r="1604">
      <c r="A1604" s="3">
        <v>2017.0</v>
      </c>
      <c r="B1604" s="4" t="s">
        <v>110</v>
      </c>
      <c r="C1604" s="4">
        <v>0.0</v>
      </c>
      <c r="D1604" s="4" t="s">
        <v>3</v>
      </c>
    </row>
    <row r="1605">
      <c r="A1605" s="3">
        <v>2017.0</v>
      </c>
      <c r="B1605" s="4" t="s">
        <v>2083</v>
      </c>
      <c r="C1605" s="4">
        <v>88869.0</v>
      </c>
      <c r="D1605" s="4" t="s">
        <v>2370</v>
      </c>
    </row>
    <row r="1606">
      <c r="A1606" s="3">
        <v>2017.0</v>
      </c>
      <c r="B1606" s="4" t="s">
        <v>2396</v>
      </c>
      <c r="C1606" s="4">
        <v>0.0</v>
      </c>
      <c r="D1606" s="4" t="s">
        <v>3</v>
      </c>
    </row>
    <row r="1607">
      <c r="A1607" s="3">
        <v>2017.0</v>
      </c>
      <c r="B1607" s="4" t="s">
        <v>114</v>
      </c>
      <c r="C1607" s="4">
        <v>6500.0</v>
      </c>
      <c r="D1607" s="4"/>
    </row>
    <row r="1608">
      <c r="A1608" s="3">
        <v>2017.0</v>
      </c>
      <c r="B1608" s="4" t="s">
        <v>116</v>
      </c>
      <c r="C1608" s="4">
        <v>300.0</v>
      </c>
      <c r="D1608" s="4"/>
    </row>
    <row r="1609">
      <c r="A1609" s="3">
        <v>2017.0</v>
      </c>
      <c r="B1609" s="4" t="s">
        <v>117</v>
      </c>
      <c r="C1609" s="4">
        <v>8605.0</v>
      </c>
      <c r="D1609" s="4"/>
    </row>
    <row r="1610">
      <c r="A1610" s="3">
        <v>2017.0</v>
      </c>
      <c r="B1610" s="4" t="s">
        <v>121</v>
      </c>
      <c r="C1610" s="4">
        <v>0.0</v>
      </c>
      <c r="D1610" s="4" t="s">
        <v>3</v>
      </c>
    </row>
    <row r="1611">
      <c r="A1611" s="3">
        <v>2017.0</v>
      </c>
      <c r="B1611" s="4" t="s">
        <v>2397</v>
      </c>
      <c r="C1611" s="4">
        <v>0.0</v>
      </c>
      <c r="D1611" s="4" t="s">
        <v>6</v>
      </c>
    </row>
    <row r="1612">
      <c r="A1612" s="3">
        <v>2017.0</v>
      </c>
      <c r="B1612" s="4" t="s">
        <v>2085</v>
      </c>
      <c r="C1612" s="4">
        <v>0.0</v>
      </c>
      <c r="D1612" s="4" t="s">
        <v>6</v>
      </c>
    </row>
    <row r="1613">
      <c r="A1613" s="3">
        <v>2017.0</v>
      </c>
      <c r="B1613" s="4" t="s">
        <v>2398</v>
      </c>
      <c r="C1613" s="4">
        <v>1759.0</v>
      </c>
      <c r="D1613" s="4"/>
    </row>
    <row r="1614">
      <c r="A1614" s="3">
        <v>2017.0</v>
      </c>
      <c r="B1614" s="4" t="s">
        <v>124</v>
      </c>
      <c r="C1614" s="4">
        <v>2500.0</v>
      </c>
      <c r="D1614" s="4" t="s">
        <v>2368</v>
      </c>
    </row>
    <row r="1615">
      <c r="A1615" s="3">
        <v>2017.0</v>
      </c>
      <c r="B1615" s="4" t="s">
        <v>2086</v>
      </c>
      <c r="C1615" s="4">
        <v>389346.0</v>
      </c>
      <c r="D1615" s="4"/>
    </row>
    <row r="1616">
      <c r="A1616" s="3">
        <v>2017.0</v>
      </c>
      <c r="B1616" s="4" t="s">
        <v>2087</v>
      </c>
      <c r="C1616" s="4">
        <v>0.0</v>
      </c>
      <c r="D1616" s="4" t="s">
        <v>29</v>
      </c>
    </row>
    <row r="1617">
      <c r="A1617" s="3">
        <v>2017.0</v>
      </c>
      <c r="B1617" s="4" t="s">
        <v>133</v>
      </c>
      <c r="C1617" s="4">
        <v>2000.0</v>
      </c>
      <c r="D1617" s="4" t="s">
        <v>2377</v>
      </c>
    </row>
    <row r="1618">
      <c r="A1618" s="3">
        <v>2017.0</v>
      </c>
      <c r="B1618" s="4" t="s">
        <v>136</v>
      </c>
      <c r="C1618" s="4">
        <v>2434.58</v>
      </c>
      <c r="D1618" s="4"/>
    </row>
    <row r="1619">
      <c r="A1619" s="3">
        <v>2017.0</v>
      </c>
      <c r="B1619" s="4" t="s">
        <v>138</v>
      </c>
      <c r="C1619" s="4">
        <v>4000.0</v>
      </c>
      <c r="D1619" s="4"/>
    </row>
    <row r="1620">
      <c r="A1620" s="3">
        <v>2017.0</v>
      </c>
      <c r="B1620" s="4" t="s">
        <v>140</v>
      </c>
      <c r="C1620" s="4">
        <v>0.0</v>
      </c>
      <c r="D1620" s="4" t="s">
        <v>6</v>
      </c>
    </row>
    <row r="1621">
      <c r="A1621" s="3">
        <v>2017.0</v>
      </c>
      <c r="B1621" s="4" t="s">
        <v>2399</v>
      </c>
      <c r="C1621" s="4">
        <v>2250.0</v>
      </c>
      <c r="D1621" s="4"/>
    </row>
    <row r="1622">
      <c r="A1622" s="3">
        <v>2017.0</v>
      </c>
      <c r="B1622" s="4" t="s">
        <v>2400</v>
      </c>
      <c r="C1622" s="4">
        <v>0.0</v>
      </c>
      <c r="D1622" s="4" t="s">
        <v>3</v>
      </c>
    </row>
    <row r="1623">
      <c r="A1623" s="3">
        <v>2017.0</v>
      </c>
      <c r="B1623" s="4" t="s">
        <v>141</v>
      </c>
      <c r="C1623" s="4">
        <v>0.0</v>
      </c>
      <c r="D1623" s="4" t="s">
        <v>3</v>
      </c>
    </row>
    <row r="1624">
      <c r="A1624" s="3">
        <v>2017.0</v>
      </c>
      <c r="B1624" s="4" t="s">
        <v>142</v>
      </c>
      <c r="C1624" s="4">
        <v>0.0</v>
      </c>
      <c r="D1624" s="4" t="s">
        <v>3</v>
      </c>
    </row>
    <row r="1625">
      <c r="A1625" s="3">
        <v>2017.0</v>
      </c>
      <c r="B1625" s="4" t="s">
        <v>143</v>
      </c>
      <c r="C1625" s="4">
        <v>0.0</v>
      </c>
      <c r="D1625" s="4" t="s">
        <v>3</v>
      </c>
    </row>
    <row r="1626">
      <c r="A1626" s="3">
        <v>2017.0</v>
      </c>
      <c r="B1626" s="4" t="s">
        <v>145</v>
      </c>
      <c r="C1626" s="4">
        <v>15000.0</v>
      </c>
      <c r="D1626" s="4"/>
    </row>
    <row r="1627">
      <c r="A1627" s="3">
        <v>2017.0</v>
      </c>
      <c r="B1627" s="4" t="s">
        <v>147</v>
      </c>
      <c r="C1627" s="4">
        <v>0.0</v>
      </c>
      <c r="D1627" s="4" t="s">
        <v>3</v>
      </c>
    </row>
    <row r="1628">
      <c r="A1628" s="3">
        <v>2017.0</v>
      </c>
      <c r="B1628" s="4" t="s">
        <v>148</v>
      </c>
      <c r="C1628" s="4">
        <v>0.0</v>
      </c>
      <c r="D1628" s="4" t="s">
        <v>2377</v>
      </c>
    </row>
    <row r="1629">
      <c r="A1629" s="3">
        <v>2017.0</v>
      </c>
      <c r="B1629" s="4" t="s">
        <v>2088</v>
      </c>
      <c r="C1629" s="4">
        <v>10000.0</v>
      </c>
      <c r="D1629" s="4" t="s">
        <v>3</v>
      </c>
    </row>
    <row r="1630">
      <c r="A1630" s="3">
        <v>2017.0</v>
      </c>
      <c r="B1630" s="4" t="s">
        <v>2401</v>
      </c>
      <c r="C1630" s="4">
        <v>0.0</v>
      </c>
      <c r="D1630" s="4" t="s">
        <v>3</v>
      </c>
    </row>
    <row r="1631">
      <c r="A1631" s="3">
        <v>2017.0</v>
      </c>
      <c r="B1631" s="4" t="s">
        <v>2402</v>
      </c>
      <c r="C1631" s="4">
        <v>1512.0</v>
      </c>
      <c r="D1631" s="4"/>
    </row>
    <row r="1632">
      <c r="A1632" s="3">
        <v>2017.0</v>
      </c>
      <c r="B1632" s="4" t="s">
        <v>2403</v>
      </c>
      <c r="C1632" s="4">
        <v>700.0</v>
      </c>
      <c r="D1632" s="4"/>
    </row>
    <row r="1633">
      <c r="A1633" s="3">
        <v>2017.0</v>
      </c>
      <c r="B1633" s="4" t="s">
        <v>153</v>
      </c>
      <c r="C1633" s="4">
        <v>0.0</v>
      </c>
      <c r="D1633" s="4" t="s">
        <v>29</v>
      </c>
    </row>
    <row r="1634">
      <c r="A1634" s="3">
        <v>2017.0</v>
      </c>
      <c r="B1634" s="4" t="s">
        <v>2404</v>
      </c>
      <c r="C1634" s="4">
        <v>1200.0</v>
      </c>
      <c r="D1634" s="4" t="s">
        <v>3</v>
      </c>
    </row>
    <row r="1635">
      <c r="A1635" s="3">
        <v>2017.0</v>
      </c>
      <c r="B1635" s="4" t="s">
        <v>154</v>
      </c>
      <c r="C1635" s="4">
        <v>0.0</v>
      </c>
      <c r="D1635" s="4" t="s">
        <v>2377</v>
      </c>
    </row>
    <row r="1636">
      <c r="A1636" s="3">
        <v>2017.0</v>
      </c>
      <c r="B1636" s="4" t="s">
        <v>155</v>
      </c>
      <c r="C1636" s="4">
        <v>0.0</v>
      </c>
      <c r="D1636" s="4" t="s">
        <v>3</v>
      </c>
    </row>
    <row r="1637">
      <c r="A1637" s="3">
        <v>2017.0</v>
      </c>
      <c r="B1637" s="4" t="s">
        <v>157</v>
      </c>
      <c r="C1637" s="4">
        <v>1000.0</v>
      </c>
      <c r="D1637" s="4"/>
    </row>
    <row r="1638">
      <c r="A1638" s="3">
        <v>2017.0</v>
      </c>
      <c r="B1638" s="4" t="s">
        <v>158</v>
      </c>
      <c r="C1638" s="4">
        <v>8000.0</v>
      </c>
      <c r="D1638" s="4"/>
    </row>
    <row r="1639">
      <c r="A1639" s="3">
        <v>2017.0</v>
      </c>
      <c r="B1639" s="4" t="s">
        <v>160</v>
      </c>
      <c r="C1639" s="4">
        <v>0.0</v>
      </c>
      <c r="D1639" s="4" t="s">
        <v>2368</v>
      </c>
    </row>
    <row r="1640">
      <c r="A1640" s="3">
        <v>2017.0</v>
      </c>
      <c r="B1640" s="4" t="s">
        <v>2089</v>
      </c>
      <c r="C1640" s="4">
        <v>21000.0</v>
      </c>
      <c r="D1640" s="4"/>
    </row>
    <row r="1641">
      <c r="A1641" s="3">
        <v>2017.0</v>
      </c>
      <c r="B1641" s="4" t="s">
        <v>164</v>
      </c>
      <c r="C1641" s="4">
        <v>7500.0</v>
      </c>
      <c r="D1641" s="4" t="s">
        <v>3</v>
      </c>
    </row>
    <row r="1642">
      <c r="A1642" s="3">
        <v>2017.0</v>
      </c>
      <c r="B1642" s="4" t="s">
        <v>2405</v>
      </c>
      <c r="C1642" s="4">
        <v>0.0</v>
      </c>
      <c r="D1642" s="4" t="s">
        <v>3</v>
      </c>
    </row>
    <row r="1643">
      <c r="A1643" s="3">
        <v>2017.0</v>
      </c>
      <c r="B1643" s="4" t="s">
        <v>2406</v>
      </c>
      <c r="C1643" s="4">
        <v>0.0</v>
      </c>
      <c r="D1643" s="4" t="s">
        <v>6</v>
      </c>
    </row>
    <row r="1644">
      <c r="A1644" s="3">
        <v>2017.0</v>
      </c>
      <c r="B1644" s="4" t="s">
        <v>166</v>
      </c>
      <c r="C1644" s="4">
        <v>1000.0</v>
      </c>
      <c r="D1644" s="4"/>
    </row>
    <row r="1645">
      <c r="A1645" s="3">
        <v>2017.0</v>
      </c>
      <c r="B1645" s="4" t="s">
        <v>168</v>
      </c>
      <c r="C1645" s="4">
        <v>2500.0</v>
      </c>
      <c r="D1645" s="4" t="s">
        <v>6</v>
      </c>
    </row>
    <row r="1646">
      <c r="A1646" s="3">
        <v>2017.0</v>
      </c>
      <c r="B1646" s="4" t="s">
        <v>2407</v>
      </c>
      <c r="C1646" s="4">
        <v>0.0</v>
      </c>
      <c r="D1646" s="4" t="s">
        <v>6</v>
      </c>
    </row>
    <row r="1647">
      <c r="A1647" s="3">
        <v>2017.0</v>
      </c>
      <c r="B1647" s="4" t="s">
        <v>171</v>
      </c>
      <c r="C1647" s="4">
        <v>9000.0</v>
      </c>
      <c r="D1647" s="4" t="s">
        <v>6</v>
      </c>
    </row>
    <row r="1648">
      <c r="A1648" s="3">
        <v>2017.0</v>
      </c>
      <c r="B1648" s="4" t="s">
        <v>174</v>
      </c>
      <c r="C1648" s="4">
        <v>481688.0</v>
      </c>
      <c r="D1648" s="4" t="s">
        <v>176</v>
      </c>
    </row>
    <row r="1649">
      <c r="A1649" s="3">
        <v>2017.0</v>
      </c>
      <c r="B1649" s="4" t="s">
        <v>177</v>
      </c>
      <c r="C1649" s="4">
        <v>0.0</v>
      </c>
      <c r="D1649" s="4" t="s">
        <v>3</v>
      </c>
    </row>
    <row r="1650">
      <c r="A1650" s="3">
        <v>2017.0</v>
      </c>
      <c r="B1650" s="4" t="s">
        <v>2408</v>
      </c>
      <c r="C1650" s="4">
        <v>0.0</v>
      </c>
      <c r="D1650" s="4" t="s">
        <v>6</v>
      </c>
    </row>
    <row r="1651">
      <c r="A1651" s="3">
        <v>2017.0</v>
      </c>
      <c r="B1651" s="4" t="s">
        <v>178</v>
      </c>
      <c r="C1651" s="4">
        <v>800.0</v>
      </c>
      <c r="D1651" s="4" t="s">
        <v>2377</v>
      </c>
    </row>
    <row r="1652">
      <c r="A1652" s="3">
        <v>2017.0</v>
      </c>
      <c r="B1652" s="4" t="s">
        <v>2409</v>
      </c>
      <c r="C1652" s="4">
        <v>0.0</v>
      </c>
      <c r="D1652" s="4" t="s">
        <v>3</v>
      </c>
    </row>
    <row r="1653">
      <c r="A1653" s="3">
        <v>2017.0</v>
      </c>
      <c r="B1653" s="4" t="s">
        <v>2410</v>
      </c>
      <c r="C1653" s="4">
        <v>0.0</v>
      </c>
      <c r="D1653" s="4" t="s">
        <v>3</v>
      </c>
    </row>
    <row r="1654">
      <c r="A1654" s="3">
        <v>2017.0</v>
      </c>
      <c r="B1654" s="4" t="s">
        <v>2411</v>
      </c>
      <c r="C1654" s="4">
        <v>0.0</v>
      </c>
      <c r="D1654" s="4" t="s">
        <v>2377</v>
      </c>
    </row>
    <row r="1655">
      <c r="A1655" s="3">
        <v>2017.0</v>
      </c>
      <c r="B1655" s="4" t="s">
        <v>182</v>
      </c>
      <c r="C1655" s="4">
        <v>0.0</v>
      </c>
      <c r="D1655" s="4" t="s">
        <v>3</v>
      </c>
    </row>
    <row r="1656">
      <c r="A1656" s="3">
        <v>2017.0</v>
      </c>
      <c r="B1656" s="4" t="s">
        <v>2412</v>
      </c>
      <c r="C1656" s="4">
        <v>0.0</v>
      </c>
      <c r="D1656" s="4" t="s">
        <v>3</v>
      </c>
    </row>
    <row r="1657">
      <c r="A1657" s="3">
        <v>2017.0</v>
      </c>
      <c r="B1657" s="4" t="s">
        <v>185</v>
      </c>
      <c r="C1657" s="4">
        <v>0.0</v>
      </c>
      <c r="D1657" s="4" t="s">
        <v>6</v>
      </c>
    </row>
    <row r="1658">
      <c r="A1658" s="3">
        <v>2017.0</v>
      </c>
      <c r="B1658" s="4" t="s">
        <v>2413</v>
      </c>
      <c r="C1658" s="4">
        <v>6000.0</v>
      </c>
      <c r="D1658" s="4"/>
    </row>
    <row r="1659">
      <c r="A1659" s="3">
        <v>2017.0</v>
      </c>
      <c r="B1659" s="4" t="s">
        <v>2414</v>
      </c>
      <c r="C1659" s="4">
        <v>0.0</v>
      </c>
      <c r="D1659" s="4" t="s">
        <v>6</v>
      </c>
    </row>
    <row r="1660">
      <c r="A1660" s="3">
        <v>2017.0</v>
      </c>
      <c r="B1660" s="4" t="s">
        <v>2415</v>
      </c>
      <c r="C1660" s="4">
        <v>3000.0</v>
      </c>
      <c r="D1660" s="4"/>
    </row>
    <row r="1661">
      <c r="A1661" s="3">
        <v>2017.0</v>
      </c>
      <c r="B1661" s="4" t="s">
        <v>2416</v>
      </c>
      <c r="C1661" s="4">
        <v>0.0</v>
      </c>
      <c r="D1661" s="4" t="s">
        <v>2377</v>
      </c>
    </row>
    <row r="1662">
      <c r="A1662" s="3">
        <v>2017.0</v>
      </c>
      <c r="B1662" s="4" t="s">
        <v>2417</v>
      </c>
      <c r="C1662" s="4">
        <v>0.0</v>
      </c>
      <c r="D1662" s="4" t="s">
        <v>3</v>
      </c>
    </row>
    <row r="1663">
      <c r="A1663" s="3">
        <v>2017.0</v>
      </c>
      <c r="B1663" s="4" t="s">
        <v>186</v>
      </c>
      <c r="C1663" s="4">
        <v>0.0</v>
      </c>
      <c r="D1663" s="4" t="s">
        <v>2377</v>
      </c>
    </row>
    <row r="1664">
      <c r="A1664" s="3">
        <v>2017.0</v>
      </c>
      <c r="B1664" s="4" t="s">
        <v>2418</v>
      </c>
      <c r="C1664" s="4">
        <v>0.0</v>
      </c>
      <c r="D1664" s="4" t="s">
        <v>6</v>
      </c>
    </row>
    <row r="1665">
      <c r="A1665" s="3">
        <v>2017.0</v>
      </c>
      <c r="B1665" s="4" t="s">
        <v>188</v>
      </c>
      <c r="C1665" s="4">
        <v>0.0</v>
      </c>
      <c r="D1665" s="4" t="s">
        <v>2377</v>
      </c>
    </row>
    <row r="1666">
      <c r="A1666" s="3">
        <v>2017.0</v>
      </c>
      <c r="B1666" s="4" t="s">
        <v>2090</v>
      </c>
      <c r="C1666" s="4">
        <v>0.0</v>
      </c>
      <c r="D1666" s="4" t="s">
        <v>2377</v>
      </c>
    </row>
    <row r="1667">
      <c r="A1667" s="3">
        <v>2017.0</v>
      </c>
      <c r="B1667" s="4" t="s">
        <v>191</v>
      </c>
      <c r="C1667" s="4">
        <v>0.0</v>
      </c>
      <c r="D1667" s="4" t="s">
        <v>3</v>
      </c>
    </row>
    <row r="1668">
      <c r="A1668" s="3">
        <v>2017.0</v>
      </c>
      <c r="B1668" s="4" t="s">
        <v>192</v>
      </c>
      <c r="C1668" s="4">
        <v>0.0</v>
      </c>
      <c r="D1668" s="4" t="s">
        <v>29</v>
      </c>
    </row>
    <row r="1669">
      <c r="A1669" s="3">
        <v>2017.0</v>
      </c>
      <c r="B1669" s="4" t="s">
        <v>193</v>
      </c>
      <c r="C1669" s="4">
        <v>700.0</v>
      </c>
      <c r="D1669" s="4" t="s">
        <v>29</v>
      </c>
    </row>
    <row r="1670">
      <c r="A1670" s="3">
        <v>2017.0</v>
      </c>
      <c r="B1670" s="4" t="s">
        <v>194</v>
      </c>
      <c r="C1670" s="4">
        <v>0.0</v>
      </c>
      <c r="D1670" s="4" t="s">
        <v>29</v>
      </c>
    </row>
    <row r="1671">
      <c r="A1671" s="3">
        <v>2017.0</v>
      </c>
      <c r="B1671" s="4" t="s">
        <v>2419</v>
      </c>
      <c r="C1671" s="4">
        <v>0.0</v>
      </c>
      <c r="D1671" s="4" t="s">
        <v>3</v>
      </c>
    </row>
    <row r="1672">
      <c r="A1672" s="3">
        <v>2017.0</v>
      </c>
      <c r="B1672" s="4" t="s">
        <v>197</v>
      </c>
      <c r="C1672" s="4">
        <v>0.0</v>
      </c>
      <c r="D1672" s="4" t="s">
        <v>29</v>
      </c>
    </row>
    <row r="1673">
      <c r="A1673" s="3">
        <v>2017.0</v>
      </c>
      <c r="B1673" s="4" t="s">
        <v>2420</v>
      </c>
      <c r="C1673" s="4">
        <v>0.0</v>
      </c>
      <c r="D1673" s="4" t="s">
        <v>3</v>
      </c>
    </row>
    <row r="1674">
      <c r="A1674" s="3">
        <v>2017.0</v>
      </c>
      <c r="B1674" s="4" t="s">
        <v>198</v>
      </c>
      <c r="C1674" s="4">
        <v>0.0</v>
      </c>
      <c r="D1674" s="4" t="s">
        <v>3</v>
      </c>
    </row>
    <row r="1675">
      <c r="A1675" s="3">
        <v>2017.0</v>
      </c>
      <c r="B1675" s="4" t="s">
        <v>2421</v>
      </c>
      <c r="C1675" s="4">
        <v>1410.0</v>
      </c>
      <c r="D1675" s="4" t="s">
        <v>3</v>
      </c>
    </row>
    <row r="1676">
      <c r="A1676" s="3">
        <v>2017.0</v>
      </c>
      <c r="B1676" s="4" t="s">
        <v>2422</v>
      </c>
      <c r="C1676" s="4">
        <v>300.0</v>
      </c>
      <c r="D1676" s="4" t="s">
        <v>2377</v>
      </c>
    </row>
    <row r="1677">
      <c r="A1677" s="3">
        <v>2017.0</v>
      </c>
      <c r="B1677" s="4" t="s">
        <v>2423</v>
      </c>
      <c r="C1677" s="4">
        <v>1728.0</v>
      </c>
      <c r="D1677" s="4" t="s">
        <v>668</v>
      </c>
    </row>
    <row r="1678">
      <c r="A1678" s="3">
        <v>2017.0</v>
      </c>
      <c r="B1678" s="4" t="s">
        <v>2424</v>
      </c>
      <c r="C1678" s="4">
        <v>0.0</v>
      </c>
      <c r="D1678" s="4" t="s">
        <v>3</v>
      </c>
    </row>
    <row r="1679">
      <c r="A1679" s="3">
        <v>2017.0</v>
      </c>
      <c r="B1679" s="4" t="s">
        <v>2425</v>
      </c>
      <c r="C1679" s="4">
        <v>0.0</v>
      </c>
      <c r="D1679" s="4" t="s">
        <v>3</v>
      </c>
    </row>
    <row r="1680">
      <c r="A1680" s="3">
        <v>2017.0</v>
      </c>
      <c r="B1680" s="4" t="s">
        <v>2426</v>
      </c>
      <c r="C1680" s="4">
        <v>0.0</v>
      </c>
      <c r="D1680" s="4" t="s">
        <v>29</v>
      </c>
    </row>
    <row r="1681">
      <c r="A1681" s="3">
        <v>2017.0</v>
      </c>
      <c r="B1681" s="4" t="s">
        <v>2427</v>
      </c>
      <c r="C1681" s="4">
        <v>0.0</v>
      </c>
      <c r="D1681" s="4" t="s">
        <v>6</v>
      </c>
    </row>
    <row r="1682">
      <c r="A1682" s="3">
        <v>2017.0</v>
      </c>
      <c r="B1682" s="4" t="s">
        <v>2428</v>
      </c>
      <c r="C1682" s="4">
        <v>1000.0</v>
      </c>
      <c r="D1682" s="4"/>
    </row>
    <row r="1683">
      <c r="A1683" s="3">
        <v>2017.0</v>
      </c>
      <c r="B1683" s="4" t="s">
        <v>203</v>
      </c>
      <c r="C1683" s="4">
        <v>16000.0</v>
      </c>
      <c r="D1683" s="4" t="s">
        <v>6</v>
      </c>
    </row>
    <row r="1684">
      <c r="A1684" s="3">
        <v>2017.0</v>
      </c>
      <c r="B1684" s="4" t="s">
        <v>2429</v>
      </c>
      <c r="C1684" s="4">
        <v>800.0</v>
      </c>
      <c r="D1684" s="4" t="s">
        <v>3</v>
      </c>
    </row>
    <row r="1685">
      <c r="A1685" s="3">
        <v>2017.0</v>
      </c>
      <c r="B1685" s="4" t="s">
        <v>2092</v>
      </c>
      <c r="C1685" s="4">
        <v>2500.0</v>
      </c>
      <c r="D1685" s="4"/>
    </row>
    <row r="1686">
      <c r="A1686" s="3">
        <v>2017.0</v>
      </c>
      <c r="B1686" s="4" t="s">
        <v>210</v>
      </c>
      <c r="C1686" s="4">
        <v>0.0</v>
      </c>
      <c r="D1686" s="4" t="s">
        <v>3</v>
      </c>
    </row>
    <row r="1687">
      <c r="A1687" s="3">
        <v>2017.0</v>
      </c>
      <c r="B1687" s="4" t="s">
        <v>211</v>
      </c>
      <c r="C1687" s="4">
        <v>0.0</v>
      </c>
      <c r="D1687" s="4" t="s">
        <v>6</v>
      </c>
    </row>
    <row r="1688">
      <c r="A1688" s="3">
        <v>2017.0</v>
      </c>
      <c r="B1688" s="4" t="s">
        <v>212</v>
      </c>
      <c r="C1688" s="4">
        <v>0.0</v>
      </c>
      <c r="D1688" s="4" t="s">
        <v>29</v>
      </c>
    </row>
    <row r="1689">
      <c r="A1689" s="3">
        <v>2017.0</v>
      </c>
      <c r="B1689" s="4" t="s">
        <v>213</v>
      </c>
      <c r="C1689" s="4">
        <v>3220.0</v>
      </c>
      <c r="D1689" s="4"/>
    </row>
    <row r="1690">
      <c r="A1690" s="3">
        <v>2017.0</v>
      </c>
      <c r="B1690" s="4" t="s">
        <v>2093</v>
      </c>
      <c r="C1690" s="4">
        <v>3000.0</v>
      </c>
      <c r="D1690" s="4" t="s">
        <v>3</v>
      </c>
    </row>
    <row r="1691">
      <c r="A1691" s="3">
        <v>2017.0</v>
      </c>
      <c r="B1691" s="4" t="s">
        <v>220</v>
      </c>
      <c r="C1691" s="4">
        <v>500.0</v>
      </c>
      <c r="D1691" s="4"/>
    </row>
    <row r="1692">
      <c r="A1692" s="3">
        <v>2017.0</v>
      </c>
      <c r="B1692" s="4" t="s">
        <v>2094</v>
      </c>
      <c r="C1692" s="4">
        <v>0.0</v>
      </c>
      <c r="D1692" s="4" t="s">
        <v>29</v>
      </c>
    </row>
    <row r="1693">
      <c r="A1693" s="3">
        <v>2017.0</v>
      </c>
      <c r="B1693" s="4" t="s">
        <v>223</v>
      </c>
      <c r="C1693" s="4">
        <v>532800.0</v>
      </c>
      <c r="D1693" s="4"/>
    </row>
    <row r="1694">
      <c r="A1694" s="3">
        <v>2017.0</v>
      </c>
      <c r="B1694" s="4" t="s">
        <v>225</v>
      </c>
      <c r="C1694" s="4">
        <v>0.0</v>
      </c>
      <c r="D1694" s="4" t="s">
        <v>3</v>
      </c>
    </row>
    <row r="1695">
      <c r="A1695" s="3">
        <v>2017.0</v>
      </c>
      <c r="B1695" s="4" t="s">
        <v>2430</v>
      </c>
      <c r="C1695" s="4">
        <v>0.0</v>
      </c>
      <c r="D1695" s="4" t="s">
        <v>6</v>
      </c>
    </row>
    <row r="1696">
      <c r="A1696" s="3">
        <v>2017.0</v>
      </c>
      <c r="B1696" s="4" t="s">
        <v>226</v>
      </c>
      <c r="C1696" s="4">
        <v>0.0</v>
      </c>
      <c r="D1696" s="4" t="s">
        <v>3</v>
      </c>
    </row>
    <row r="1697">
      <c r="A1697" s="3">
        <v>2017.0</v>
      </c>
      <c r="B1697" s="4" t="s">
        <v>227</v>
      </c>
      <c r="C1697" s="4">
        <v>0.0</v>
      </c>
      <c r="D1697" s="4" t="s">
        <v>3</v>
      </c>
    </row>
    <row r="1698">
      <c r="A1698" s="3">
        <v>2017.0</v>
      </c>
      <c r="B1698" s="4" t="s">
        <v>2095</v>
      </c>
      <c r="C1698" s="4">
        <v>0.0</v>
      </c>
      <c r="D1698" s="4" t="s">
        <v>3</v>
      </c>
    </row>
    <row r="1699">
      <c r="A1699" s="3">
        <v>2017.0</v>
      </c>
      <c r="B1699" s="4" t="s">
        <v>2431</v>
      </c>
      <c r="C1699" s="4">
        <v>0.0</v>
      </c>
      <c r="D1699" s="4" t="s">
        <v>6</v>
      </c>
    </row>
    <row r="1700">
      <c r="A1700" s="3">
        <v>2017.0</v>
      </c>
      <c r="B1700" s="4" t="s">
        <v>232</v>
      </c>
      <c r="C1700" s="4">
        <v>0.0</v>
      </c>
      <c r="D1700" s="4" t="s">
        <v>6</v>
      </c>
    </row>
    <row r="1701">
      <c r="A1701" s="3">
        <v>2017.0</v>
      </c>
      <c r="B1701" s="4" t="s">
        <v>2432</v>
      </c>
      <c r="C1701" s="4">
        <v>0.0</v>
      </c>
      <c r="D1701" s="4" t="s">
        <v>3</v>
      </c>
    </row>
    <row r="1702">
      <c r="A1702" s="3">
        <v>2017.0</v>
      </c>
      <c r="B1702" s="4" t="s">
        <v>2433</v>
      </c>
      <c r="C1702" s="4">
        <v>0.0</v>
      </c>
      <c r="D1702" s="4" t="s">
        <v>6</v>
      </c>
    </row>
    <row r="1703">
      <c r="A1703" s="3">
        <v>2017.0</v>
      </c>
      <c r="B1703" s="4" t="s">
        <v>234</v>
      </c>
      <c r="C1703" s="4">
        <v>0.0</v>
      </c>
      <c r="D1703" s="4" t="s">
        <v>3</v>
      </c>
    </row>
    <row r="1704">
      <c r="A1704" s="3">
        <v>2017.0</v>
      </c>
      <c r="B1704" s="4" t="s">
        <v>2097</v>
      </c>
      <c r="C1704" s="4">
        <v>0.0</v>
      </c>
      <c r="D1704" s="4" t="s">
        <v>3</v>
      </c>
    </row>
    <row r="1705">
      <c r="A1705" s="3">
        <v>2017.0</v>
      </c>
      <c r="B1705" s="4" t="s">
        <v>237</v>
      </c>
      <c r="C1705" s="4">
        <v>0.0</v>
      </c>
      <c r="D1705" s="4" t="s">
        <v>2377</v>
      </c>
    </row>
    <row r="1706">
      <c r="A1706" s="3">
        <v>2017.0</v>
      </c>
      <c r="B1706" s="4" t="s">
        <v>238</v>
      </c>
      <c r="C1706" s="4">
        <v>8800.0</v>
      </c>
      <c r="D1706" s="4" t="s">
        <v>2377</v>
      </c>
    </row>
    <row r="1707">
      <c r="A1707" s="3">
        <v>2017.0</v>
      </c>
      <c r="B1707" s="4" t="s">
        <v>2434</v>
      </c>
      <c r="C1707" s="4">
        <v>2700.0</v>
      </c>
      <c r="D1707" s="4" t="s">
        <v>2377</v>
      </c>
    </row>
    <row r="1708">
      <c r="A1708" s="3">
        <v>2017.0</v>
      </c>
      <c r="B1708" s="4" t="s">
        <v>2435</v>
      </c>
      <c r="C1708" s="4">
        <v>0.0</v>
      </c>
      <c r="D1708" s="4" t="s">
        <v>3</v>
      </c>
    </row>
    <row r="1709">
      <c r="A1709" s="3">
        <v>2017.0</v>
      </c>
      <c r="B1709" s="4" t="s">
        <v>2436</v>
      </c>
      <c r="C1709" s="4">
        <v>0.0</v>
      </c>
      <c r="D1709" s="4" t="s">
        <v>6</v>
      </c>
    </row>
    <row r="1710">
      <c r="A1710" s="3">
        <v>2017.0</v>
      </c>
      <c r="B1710" s="4" t="s">
        <v>240</v>
      </c>
      <c r="C1710" s="4">
        <v>0.0</v>
      </c>
      <c r="D1710" s="4" t="s">
        <v>3</v>
      </c>
    </row>
    <row r="1711">
      <c r="A1711" s="3">
        <v>2017.0</v>
      </c>
      <c r="B1711" s="4" t="s">
        <v>241</v>
      </c>
      <c r="C1711" s="4">
        <v>0.0</v>
      </c>
      <c r="D1711" s="4" t="s">
        <v>6</v>
      </c>
    </row>
    <row r="1712">
      <c r="A1712" s="3">
        <v>2017.0</v>
      </c>
      <c r="B1712" s="4" t="s">
        <v>2098</v>
      </c>
      <c r="C1712" s="4">
        <v>300.0</v>
      </c>
      <c r="D1712" s="4" t="s">
        <v>3</v>
      </c>
    </row>
    <row r="1713">
      <c r="A1713" s="3">
        <v>2017.0</v>
      </c>
      <c r="B1713" s="4" t="s">
        <v>2099</v>
      </c>
      <c r="C1713" s="4">
        <v>35374.0</v>
      </c>
      <c r="D1713" s="4" t="s">
        <v>216</v>
      </c>
    </row>
    <row r="1714">
      <c r="A1714" s="3">
        <v>2017.0</v>
      </c>
      <c r="B1714" s="4" t="s">
        <v>2100</v>
      </c>
      <c r="C1714" s="4">
        <v>0.0</v>
      </c>
      <c r="D1714" s="4" t="s">
        <v>3</v>
      </c>
    </row>
    <row r="1715">
      <c r="A1715" s="3">
        <v>2017.0</v>
      </c>
      <c r="B1715" s="4" t="s">
        <v>2437</v>
      </c>
      <c r="C1715" s="4">
        <v>0.0</v>
      </c>
      <c r="D1715" s="4" t="s">
        <v>3</v>
      </c>
    </row>
    <row r="1716">
      <c r="A1716" s="3">
        <v>2017.0</v>
      </c>
      <c r="B1716" s="4" t="s">
        <v>2101</v>
      </c>
      <c r="C1716" s="4">
        <v>0.0</v>
      </c>
      <c r="D1716" s="4" t="s">
        <v>2377</v>
      </c>
    </row>
    <row r="1717">
      <c r="A1717" s="3">
        <v>2017.0</v>
      </c>
      <c r="B1717" s="4" t="s">
        <v>2103</v>
      </c>
      <c r="C1717" s="4">
        <v>522000.0</v>
      </c>
      <c r="D1717" s="4"/>
    </row>
    <row r="1718">
      <c r="A1718" s="3">
        <v>2017.0</v>
      </c>
      <c r="B1718" s="4" t="s">
        <v>258</v>
      </c>
      <c r="C1718" s="4">
        <v>0.0</v>
      </c>
      <c r="D1718" s="4" t="s">
        <v>3</v>
      </c>
    </row>
    <row r="1719">
      <c r="A1719" s="3">
        <v>2017.0</v>
      </c>
      <c r="B1719" s="4" t="s">
        <v>2438</v>
      </c>
      <c r="C1719" s="4">
        <v>0.0</v>
      </c>
      <c r="D1719" s="4" t="s">
        <v>3</v>
      </c>
    </row>
    <row r="1720">
      <c r="A1720" s="3">
        <v>2017.0</v>
      </c>
      <c r="B1720" s="4" t="s">
        <v>259</v>
      </c>
      <c r="C1720" s="4">
        <v>0.0</v>
      </c>
      <c r="D1720" s="4" t="s">
        <v>3</v>
      </c>
    </row>
    <row r="1721">
      <c r="A1721" s="3">
        <v>2017.0</v>
      </c>
      <c r="B1721" s="4" t="s">
        <v>260</v>
      </c>
      <c r="C1721" s="4">
        <v>1000.0</v>
      </c>
      <c r="D1721" s="4" t="s">
        <v>2377</v>
      </c>
    </row>
    <row r="1722">
      <c r="A1722" s="3">
        <v>2017.0</v>
      </c>
      <c r="B1722" s="4" t="s">
        <v>2439</v>
      </c>
      <c r="C1722" s="4">
        <v>0.0</v>
      </c>
      <c r="D1722" s="4" t="s">
        <v>2377</v>
      </c>
    </row>
    <row r="1723">
      <c r="A1723" s="3">
        <v>2017.0</v>
      </c>
      <c r="B1723" s="4" t="s">
        <v>2440</v>
      </c>
      <c r="C1723" s="4">
        <v>0.0</v>
      </c>
      <c r="D1723" s="4" t="s">
        <v>3</v>
      </c>
    </row>
    <row r="1724">
      <c r="A1724" s="3">
        <v>2017.0</v>
      </c>
      <c r="B1724" s="4" t="s">
        <v>2441</v>
      </c>
      <c r="C1724" s="4">
        <v>0.0</v>
      </c>
      <c r="D1724" s="4" t="s">
        <v>2377</v>
      </c>
    </row>
    <row r="1725">
      <c r="A1725" s="3">
        <v>2017.0</v>
      </c>
      <c r="B1725" s="4" t="s">
        <v>2109</v>
      </c>
      <c r="C1725" s="4">
        <v>5000.0</v>
      </c>
      <c r="D1725" s="4" t="s">
        <v>3</v>
      </c>
    </row>
    <row r="1726">
      <c r="A1726" s="3">
        <v>2017.0</v>
      </c>
      <c r="B1726" s="4" t="s">
        <v>2442</v>
      </c>
      <c r="C1726" s="4">
        <v>0.0</v>
      </c>
      <c r="D1726" s="4" t="s">
        <v>3</v>
      </c>
    </row>
    <row r="1727">
      <c r="A1727" s="3">
        <v>2017.0</v>
      </c>
      <c r="B1727" s="4" t="s">
        <v>278</v>
      </c>
      <c r="C1727" s="4">
        <v>4000.0</v>
      </c>
      <c r="D1727" s="4" t="s">
        <v>2377</v>
      </c>
    </row>
    <row r="1728">
      <c r="A1728" s="3">
        <v>2017.0</v>
      </c>
      <c r="B1728" s="4" t="s">
        <v>2443</v>
      </c>
      <c r="C1728" s="4">
        <v>0.0</v>
      </c>
      <c r="D1728" s="4" t="s">
        <v>29</v>
      </c>
    </row>
    <row r="1729">
      <c r="A1729" s="3">
        <v>2017.0</v>
      </c>
      <c r="B1729" s="4" t="s">
        <v>2444</v>
      </c>
      <c r="C1729" s="4">
        <v>0.0</v>
      </c>
      <c r="D1729" s="4" t="s">
        <v>3</v>
      </c>
    </row>
    <row r="1730">
      <c r="A1730" s="3">
        <v>2017.0</v>
      </c>
      <c r="B1730" s="4" t="s">
        <v>286</v>
      </c>
      <c r="C1730" s="4">
        <v>0.0</v>
      </c>
      <c r="D1730" s="4" t="s">
        <v>3</v>
      </c>
    </row>
    <row r="1731">
      <c r="A1731" s="3">
        <v>2017.0</v>
      </c>
      <c r="B1731" s="4" t="s">
        <v>2112</v>
      </c>
      <c r="C1731" s="4">
        <v>400.0</v>
      </c>
      <c r="D1731" s="4" t="s">
        <v>3</v>
      </c>
    </row>
    <row r="1732">
      <c r="A1732" s="3">
        <v>2017.0</v>
      </c>
      <c r="B1732" s="4" t="s">
        <v>2445</v>
      </c>
      <c r="C1732" s="4">
        <v>0.0</v>
      </c>
      <c r="D1732" s="4" t="s">
        <v>3</v>
      </c>
    </row>
    <row r="1733">
      <c r="A1733" s="3">
        <v>2017.0</v>
      </c>
      <c r="B1733" s="4" t="s">
        <v>2114</v>
      </c>
      <c r="C1733" s="4">
        <v>0.0</v>
      </c>
      <c r="D1733" s="4" t="s">
        <v>3</v>
      </c>
    </row>
    <row r="1734">
      <c r="A1734" s="3">
        <v>2017.0</v>
      </c>
      <c r="B1734" s="4" t="s">
        <v>2446</v>
      </c>
      <c r="C1734" s="4">
        <v>0.0</v>
      </c>
      <c r="D1734" s="4" t="s">
        <v>3</v>
      </c>
    </row>
    <row r="1735">
      <c r="A1735" s="3">
        <v>2017.0</v>
      </c>
      <c r="B1735" s="4" t="s">
        <v>2115</v>
      </c>
      <c r="C1735" s="4">
        <v>3030.0</v>
      </c>
      <c r="D1735" s="4"/>
    </row>
    <row r="1736">
      <c r="A1736" s="3">
        <v>2017.0</v>
      </c>
      <c r="B1736" s="4" t="s">
        <v>296</v>
      </c>
      <c r="C1736" s="4">
        <v>0.0</v>
      </c>
      <c r="D1736" s="4" t="s">
        <v>3</v>
      </c>
    </row>
    <row r="1737">
      <c r="A1737" s="3">
        <v>2017.0</v>
      </c>
      <c r="B1737" s="4" t="s">
        <v>299</v>
      </c>
      <c r="C1737" s="4">
        <v>6782.0</v>
      </c>
      <c r="D1737" s="4" t="s">
        <v>6</v>
      </c>
    </row>
    <row r="1738">
      <c r="A1738" s="3">
        <v>2017.0</v>
      </c>
      <c r="B1738" s="4" t="s">
        <v>2117</v>
      </c>
      <c r="C1738" s="4">
        <v>8035091.0</v>
      </c>
      <c r="D1738" s="4" t="s">
        <v>2447</v>
      </c>
    </row>
    <row r="1739">
      <c r="A1739" s="3">
        <v>2017.0</v>
      </c>
      <c r="B1739" s="4" t="s">
        <v>2118</v>
      </c>
      <c r="C1739" s="4">
        <v>0.0</v>
      </c>
      <c r="D1739" s="4" t="s">
        <v>3</v>
      </c>
    </row>
    <row r="1740">
      <c r="A1740" s="3">
        <v>2017.0</v>
      </c>
      <c r="B1740" s="4" t="s">
        <v>2119</v>
      </c>
      <c r="C1740" s="4">
        <v>4400.0</v>
      </c>
      <c r="D1740" s="4"/>
    </row>
    <row r="1741">
      <c r="A1741" s="3">
        <v>2017.0</v>
      </c>
      <c r="B1741" s="4" t="s">
        <v>2448</v>
      </c>
      <c r="C1741" s="4">
        <v>10100.0</v>
      </c>
      <c r="D1741" s="4" t="s">
        <v>6</v>
      </c>
    </row>
    <row r="1742">
      <c r="A1742" s="3">
        <v>2017.0</v>
      </c>
      <c r="B1742" s="4" t="s">
        <v>314</v>
      </c>
      <c r="C1742" s="4">
        <v>4880.0</v>
      </c>
      <c r="D1742" s="4" t="s">
        <v>6</v>
      </c>
    </row>
    <row r="1743">
      <c r="A1743" s="3">
        <v>2017.0</v>
      </c>
      <c r="B1743" s="4" t="s">
        <v>316</v>
      </c>
      <c r="C1743" s="4">
        <v>3750.0</v>
      </c>
      <c r="D1743" s="4"/>
    </row>
    <row r="1744">
      <c r="A1744" s="3">
        <v>2017.0</v>
      </c>
      <c r="B1744" s="4" t="s">
        <v>318</v>
      </c>
      <c r="C1744" s="4">
        <v>0.0</v>
      </c>
      <c r="D1744" s="4"/>
    </row>
    <row r="1745">
      <c r="A1745" s="3">
        <v>2017.0</v>
      </c>
      <c r="B1745" s="4" t="s">
        <v>320</v>
      </c>
      <c r="C1745" s="4">
        <v>450.0</v>
      </c>
      <c r="D1745" s="4"/>
    </row>
    <row r="1746">
      <c r="A1746" s="3">
        <v>2017.0</v>
      </c>
      <c r="B1746" s="4" t="s">
        <v>322</v>
      </c>
      <c r="C1746" s="4">
        <v>7601.0</v>
      </c>
      <c r="D1746" s="4" t="s">
        <v>2377</v>
      </c>
    </row>
    <row r="1747">
      <c r="A1747" s="3">
        <v>2017.0</v>
      </c>
      <c r="B1747" s="4" t="s">
        <v>2121</v>
      </c>
      <c r="C1747" s="4">
        <v>4400.0</v>
      </c>
      <c r="D1747" s="4"/>
    </row>
    <row r="1748">
      <c r="A1748" s="3">
        <v>2017.0</v>
      </c>
      <c r="B1748" s="4" t="s">
        <v>330</v>
      </c>
      <c r="C1748" s="4">
        <v>9000.0</v>
      </c>
      <c r="D1748" s="4" t="s">
        <v>6</v>
      </c>
    </row>
    <row r="1749">
      <c r="A1749" s="3">
        <v>2017.0</v>
      </c>
      <c r="B1749" s="4" t="s">
        <v>2123</v>
      </c>
      <c r="C1749" s="4">
        <v>4500.0</v>
      </c>
      <c r="D1749" s="4" t="s">
        <v>6</v>
      </c>
    </row>
    <row r="1750">
      <c r="A1750" s="3">
        <v>2017.0</v>
      </c>
      <c r="B1750" s="4" t="s">
        <v>2125</v>
      </c>
      <c r="C1750" s="4">
        <v>4000.0</v>
      </c>
      <c r="D1750" s="4" t="s">
        <v>6</v>
      </c>
    </row>
    <row r="1751">
      <c r="A1751" s="3">
        <v>2017.0</v>
      </c>
      <c r="B1751" s="4" t="s">
        <v>2127</v>
      </c>
      <c r="C1751" s="4">
        <v>11000.0</v>
      </c>
      <c r="D1751" s="4" t="s">
        <v>6</v>
      </c>
    </row>
    <row r="1752">
      <c r="A1752" s="3">
        <v>2017.0</v>
      </c>
      <c r="B1752" s="4" t="s">
        <v>2449</v>
      </c>
      <c r="C1752" s="4">
        <v>3500.0</v>
      </c>
      <c r="D1752" s="4" t="s">
        <v>6</v>
      </c>
    </row>
    <row r="1753">
      <c r="A1753" s="3">
        <v>2017.0</v>
      </c>
      <c r="B1753" s="4" t="s">
        <v>343</v>
      </c>
      <c r="C1753" s="4">
        <v>2670.0</v>
      </c>
      <c r="D1753" s="4"/>
    </row>
    <row r="1754">
      <c r="A1754" s="3">
        <v>2017.0</v>
      </c>
      <c r="B1754" s="4" t="s">
        <v>347</v>
      </c>
      <c r="C1754" s="4">
        <v>0.0</v>
      </c>
      <c r="D1754" s="4" t="s">
        <v>2377</v>
      </c>
    </row>
    <row r="1755">
      <c r="A1755" s="3">
        <v>2017.0</v>
      </c>
      <c r="B1755" s="4" t="s">
        <v>2129</v>
      </c>
      <c r="C1755" s="4">
        <v>0.0</v>
      </c>
      <c r="D1755" s="4" t="s">
        <v>6</v>
      </c>
    </row>
    <row r="1756">
      <c r="A1756" s="3">
        <v>2017.0</v>
      </c>
      <c r="B1756" s="4" t="s">
        <v>2450</v>
      </c>
      <c r="C1756" s="4">
        <v>0.0</v>
      </c>
      <c r="D1756" s="4" t="s">
        <v>3</v>
      </c>
    </row>
    <row r="1757">
      <c r="A1757" s="3">
        <v>2017.0</v>
      </c>
      <c r="B1757" s="4" t="s">
        <v>350</v>
      </c>
      <c r="C1757" s="4">
        <v>1000.0</v>
      </c>
      <c r="D1757" s="4" t="s">
        <v>3</v>
      </c>
    </row>
    <row r="1758">
      <c r="A1758" s="3">
        <v>2017.0</v>
      </c>
      <c r="B1758" s="4" t="s">
        <v>2130</v>
      </c>
      <c r="C1758" s="4">
        <v>2500.0</v>
      </c>
      <c r="D1758" s="4"/>
    </row>
    <row r="1759">
      <c r="A1759" s="3">
        <v>2017.0</v>
      </c>
      <c r="B1759" s="4" t="s">
        <v>2451</v>
      </c>
      <c r="C1759" s="4">
        <v>0.0</v>
      </c>
      <c r="D1759" s="4" t="s">
        <v>3</v>
      </c>
    </row>
    <row r="1760">
      <c r="A1760" s="3">
        <v>2017.0</v>
      </c>
      <c r="B1760" s="4" t="s">
        <v>2452</v>
      </c>
      <c r="C1760" s="4">
        <v>0.0</v>
      </c>
      <c r="D1760" s="4" t="s">
        <v>3</v>
      </c>
    </row>
    <row r="1761">
      <c r="A1761" s="3">
        <v>2017.0</v>
      </c>
      <c r="B1761" s="4" t="s">
        <v>360</v>
      </c>
      <c r="C1761" s="4">
        <v>0.0</v>
      </c>
      <c r="D1761" s="4" t="s">
        <v>3</v>
      </c>
    </row>
    <row r="1762">
      <c r="A1762" s="3">
        <v>2017.0</v>
      </c>
      <c r="B1762" s="4" t="s">
        <v>2453</v>
      </c>
      <c r="C1762" s="4">
        <v>4400.0</v>
      </c>
      <c r="D1762" s="4" t="s">
        <v>6</v>
      </c>
    </row>
    <row r="1763">
      <c r="A1763" s="3">
        <v>2017.0</v>
      </c>
      <c r="B1763" s="4" t="s">
        <v>2454</v>
      </c>
      <c r="C1763" s="4">
        <v>0.0</v>
      </c>
      <c r="D1763" s="4" t="s">
        <v>3</v>
      </c>
    </row>
    <row r="1764">
      <c r="A1764" s="3">
        <v>2017.0</v>
      </c>
      <c r="B1764" s="4" t="s">
        <v>2455</v>
      </c>
      <c r="C1764" s="4">
        <v>0.0</v>
      </c>
      <c r="D1764" s="4" t="s">
        <v>3</v>
      </c>
    </row>
    <row r="1765">
      <c r="A1765" s="3">
        <v>2017.0</v>
      </c>
      <c r="B1765" s="4" t="s">
        <v>2456</v>
      </c>
      <c r="C1765" s="4">
        <v>0.0</v>
      </c>
      <c r="D1765" s="4" t="s">
        <v>3</v>
      </c>
    </row>
    <row r="1766">
      <c r="A1766" s="3">
        <v>2017.0</v>
      </c>
      <c r="B1766" s="4" t="s">
        <v>374</v>
      </c>
      <c r="C1766" s="4">
        <v>0.0</v>
      </c>
      <c r="D1766" s="4" t="s">
        <v>3</v>
      </c>
    </row>
    <row r="1767">
      <c r="A1767" s="3">
        <v>2017.0</v>
      </c>
      <c r="B1767" s="4" t="s">
        <v>2457</v>
      </c>
      <c r="C1767" s="4">
        <v>0.0</v>
      </c>
      <c r="D1767" s="4" t="s">
        <v>3</v>
      </c>
    </row>
    <row r="1768">
      <c r="A1768" s="3">
        <v>2017.0</v>
      </c>
      <c r="B1768" s="4" t="s">
        <v>2458</v>
      </c>
      <c r="C1768" s="4">
        <v>0.0</v>
      </c>
      <c r="D1768" s="4" t="s">
        <v>3</v>
      </c>
    </row>
    <row r="1769">
      <c r="A1769" s="3">
        <v>2017.0</v>
      </c>
      <c r="B1769" s="4" t="s">
        <v>375</v>
      </c>
      <c r="C1769" s="4">
        <v>3200.0</v>
      </c>
      <c r="D1769" s="4" t="s">
        <v>6</v>
      </c>
    </row>
    <row r="1770">
      <c r="A1770" s="3">
        <v>2017.0</v>
      </c>
      <c r="B1770" s="4" t="s">
        <v>2459</v>
      </c>
      <c r="C1770" s="4">
        <v>0.0</v>
      </c>
      <c r="D1770" s="4" t="s">
        <v>3</v>
      </c>
    </row>
    <row r="1771">
      <c r="A1771" s="3">
        <v>2017.0</v>
      </c>
      <c r="B1771" s="4" t="s">
        <v>2460</v>
      </c>
      <c r="C1771" s="4">
        <v>0.0</v>
      </c>
      <c r="D1771" s="4" t="s">
        <v>6</v>
      </c>
    </row>
    <row r="1772">
      <c r="A1772" s="3">
        <v>2017.0</v>
      </c>
      <c r="B1772" s="4" t="s">
        <v>2461</v>
      </c>
      <c r="C1772" s="4">
        <v>0.0</v>
      </c>
      <c r="D1772" s="4" t="s">
        <v>6</v>
      </c>
    </row>
    <row r="1773">
      <c r="A1773" s="3">
        <v>2017.0</v>
      </c>
      <c r="B1773" s="4" t="s">
        <v>2139</v>
      </c>
      <c r="C1773" s="4">
        <v>0.0</v>
      </c>
      <c r="D1773" s="4" t="s">
        <v>3</v>
      </c>
    </row>
    <row r="1774">
      <c r="A1774" s="3">
        <v>2017.0</v>
      </c>
      <c r="B1774" s="4" t="s">
        <v>383</v>
      </c>
      <c r="C1774" s="4">
        <v>0.0</v>
      </c>
      <c r="D1774" s="4" t="s">
        <v>3</v>
      </c>
    </row>
    <row r="1775">
      <c r="A1775" s="3">
        <v>2017.0</v>
      </c>
      <c r="B1775" s="4" t="s">
        <v>2462</v>
      </c>
      <c r="C1775" s="4">
        <v>0.0</v>
      </c>
      <c r="D1775" s="4" t="s">
        <v>2377</v>
      </c>
    </row>
    <row r="1776">
      <c r="A1776" s="3">
        <v>2017.0</v>
      </c>
      <c r="B1776" s="4" t="s">
        <v>2463</v>
      </c>
      <c r="C1776" s="4">
        <v>1000.0</v>
      </c>
      <c r="D1776" s="4" t="s">
        <v>3</v>
      </c>
    </row>
    <row r="1777">
      <c r="A1777" s="3">
        <v>2017.0</v>
      </c>
      <c r="B1777" s="4" t="s">
        <v>387</v>
      </c>
      <c r="C1777" s="4">
        <v>1000.0</v>
      </c>
      <c r="D1777" s="4" t="s">
        <v>6</v>
      </c>
    </row>
    <row r="1778">
      <c r="A1778" s="3">
        <v>2017.0</v>
      </c>
      <c r="B1778" s="4" t="s">
        <v>2464</v>
      </c>
      <c r="C1778" s="4">
        <v>0.0</v>
      </c>
      <c r="D1778" s="4" t="s">
        <v>6</v>
      </c>
    </row>
    <row r="1779">
      <c r="A1779" s="3">
        <v>2017.0</v>
      </c>
      <c r="B1779" s="4" t="s">
        <v>2465</v>
      </c>
      <c r="C1779" s="4">
        <v>7000.0</v>
      </c>
      <c r="D1779" s="4"/>
    </row>
    <row r="1780">
      <c r="A1780" s="3">
        <v>2017.0</v>
      </c>
      <c r="B1780" s="4" t="s">
        <v>2142</v>
      </c>
      <c r="C1780" s="4">
        <v>380000.0</v>
      </c>
      <c r="D1780" s="4"/>
    </row>
    <row r="1781">
      <c r="A1781" s="3">
        <v>2017.0</v>
      </c>
      <c r="B1781" s="4" t="s">
        <v>2466</v>
      </c>
      <c r="C1781" s="4">
        <v>0.0</v>
      </c>
      <c r="D1781" s="4" t="s">
        <v>6</v>
      </c>
    </row>
    <row r="1782">
      <c r="A1782" s="3">
        <v>2017.0</v>
      </c>
      <c r="B1782" s="4" t="s">
        <v>395</v>
      </c>
      <c r="C1782" s="4">
        <v>28500.0</v>
      </c>
      <c r="D1782" s="4" t="s">
        <v>3</v>
      </c>
    </row>
    <row r="1783">
      <c r="A1783" s="3">
        <v>2017.0</v>
      </c>
      <c r="B1783" s="4" t="s">
        <v>397</v>
      </c>
      <c r="C1783" s="4">
        <v>2800.0</v>
      </c>
      <c r="D1783" s="4"/>
    </row>
    <row r="1784">
      <c r="A1784" s="3">
        <v>2017.0</v>
      </c>
      <c r="B1784" s="4" t="s">
        <v>399</v>
      </c>
      <c r="C1784" s="4">
        <v>5000.0</v>
      </c>
      <c r="D1784" s="4"/>
    </row>
    <row r="1785">
      <c r="A1785" s="3">
        <v>2017.0</v>
      </c>
      <c r="B1785" s="4" t="s">
        <v>2143</v>
      </c>
      <c r="C1785" s="4">
        <v>0.0</v>
      </c>
      <c r="D1785" s="4" t="s">
        <v>29</v>
      </c>
    </row>
    <row r="1786">
      <c r="A1786" s="3">
        <v>2017.0</v>
      </c>
      <c r="B1786" s="4" t="s">
        <v>401</v>
      </c>
      <c r="C1786" s="4">
        <v>0.0</v>
      </c>
      <c r="D1786" s="4" t="s">
        <v>6</v>
      </c>
    </row>
    <row r="1787">
      <c r="A1787" s="3">
        <v>2017.0</v>
      </c>
      <c r="B1787" s="4" t="s">
        <v>404</v>
      </c>
      <c r="C1787" s="4">
        <v>0.0</v>
      </c>
      <c r="D1787" s="4" t="s">
        <v>29</v>
      </c>
    </row>
    <row r="1788">
      <c r="A1788" s="3">
        <v>2017.0</v>
      </c>
      <c r="B1788" s="4" t="s">
        <v>405</v>
      </c>
      <c r="C1788" s="4">
        <v>1400.0</v>
      </c>
      <c r="D1788" s="4"/>
    </row>
    <row r="1789">
      <c r="A1789" s="3">
        <v>2017.0</v>
      </c>
      <c r="B1789" s="4" t="s">
        <v>2467</v>
      </c>
      <c r="C1789" s="4">
        <v>0.0</v>
      </c>
      <c r="D1789" s="4" t="s">
        <v>6</v>
      </c>
    </row>
    <row r="1790">
      <c r="A1790" s="3">
        <v>2017.0</v>
      </c>
      <c r="B1790" s="4" t="s">
        <v>2144</v>
      </c>
      <c r="C1790" s="4">
        <v>7000.0</v>
      </c>
      <c r="D1790" s="4" t="s">
        <v>3</v>
      </c>
    </row>
    <row r="1791">
      <c r="A1791" s="3">
        <v>2017.0</v>
      </c>
      <c r="B1791" s="4" t="s">
        <v>410</v>
      </c>
      <c r="C1791" s="4">
        <v>1500.0</v>
      </c>
      <c r="D1791" s="4"/>
    </row>
    <row r="1792">
      <c r="A1792" s="3">
        <v>2017.0</v>
      </c>
      <c r="B1792" s="4" t="s">
        <v>411</v>
      </c>
      <c r="C1792" s="4">
        <v>0.0</v>
      </c>
      <c r="D1792" s="4" t="s">
        <v>3</v>
      </c>
    </row>
    <row r="1793">
      <c r="A1793" s="3">
        <v>2017.0</v>
      </c>
      <c r="B1793" s="4" t="s">
        <v>2468</v>
      </c>
      <c r="C1793" s="4">
        <v>1100.0</v>
      </c>
      <c r="D1793" s="4"/>
    </row>
    <row r="1794">
      <c r="A1794" s="3">
        <v>2017.0</v>
      </c>
      <c r="B1794" s="4" t="s">
        <v>2469</v>
      </c>
      <c r="C1794" s="4">
        <v>3000.0</v>
      </c>
      <c r="D1794" s="4"/>
    </row>
    <row r="1795">
      <c r="A1795" s="3">
        <v>2017.0</v>
      </c>
      <c r="B1795" s="4" t="s">
        <v>413</v>
      </c>
      <c r="C1795" s="4">
        <v>26600.0</v>
      </c>
      <c r="D1795" s="4" t="s">
        <v>3</v>
      </c>
    </row>
    <row r="1796">
      <c r="A1796" s="3">
        <v>2017.0</v>
      </c>
      <c r="B1796" s="4" t="s">
        <v>2470</v>
      </c>
      <c r="C1796" s="4">
        <v>0.0</v>
      </c>
      <c r="D1796" s="4" t="s">
        <v>668</v>
      </c>
    </row>
    <row r="1797">
      <c r="A1797" s="3">
        <v>2017.0</v>
      </c>
      <c r="B1797" s="4" t="s">
        <v>2471</v>
      </c>
      <c r="C1797" s="4">
        <v>0.0</v>
      </c>
      <c r="D1797" s="4" t="s">
        <v>6</v>
      </c>
    </row>
    <row r="1798">
      <c r="A1798" s="3">
        <v>2017.0</v>
      </c>
      <c r="B1798" s="4" t="s">
        <v>2147</v>
      </c>
      <c r="C1798" s="4">
        <v>0.0</v>
      </c>
      <c r="D1798" s="4" t="s">
        <v>3</v>
      </c>
    </row>
    <row r="1799">
      <c r="A1799" s="3">
        <v>2017.0</v>
      </c>
      <c r="B1799" s="4" t="s">
        <v>2472</v>
      </c>
      <c r="C1799" s="4">
        <v>0.0</v>
      </c>
      <c r="D1799" s="4" t="s">
        <v>3</v>
      </c>
    </row>
    <row r="1800">
      <c r="A1800" s="3">
        <v>2017.0</v>
      </c>
      <c r="B1800" s="4" t="s">
        <v>2473</v>
      </c>
      <c r="C1800" s="4">
        <v>0.0</v>
      </c>
      <c r="D1800" s="4" t="s">
        <v>3</v>
      </c>
    </row>
    <row r="1801">
      <c r="A1801" s="3">
        <v>2017.0</v>
      </c>
      <c r="B1801" s="4" t="s">
        <v>2148</v>
      </c>
      <c r="C1801" s="4">
        <v>0.0</v>
      </c>
      <c r="D1801" s="4" t="s">
        <v>29</v>
      </c>
    </row>
    <row r="1802">
      <c r="A1802" s="3">
        <v>2017.0</v>
      </c>
      <c r="B1802" s="4" t="s">
        <v>422</v>
      </c>
      <c r="C1802" s="4">
        <v>0.0</v>
      </c>
      <c r="D1802" s="4" t="s">
        <v>29</v>
      </c>
    </row>
    <row r="1803">
      <c r="A1803" s="3">
        <v>2017.0</v>
      </c>
      <c r="B1803" s="4" t="s">
        <v>2474</v>
      </c>
      <c r="C1803" s="4">
        <v>0.0</v>
      </c>
      <c r="D1803" s="4" t="s">
        <v>6</v>
      </c>
    </row>
    <row r="1804">
      <c r="A1804" s="3">
        <v>2017.0</v>
      </c>
      <c r="B1804" s="4" t="s">
        <v>2475</v>
      </c>
      <c r="C1804" s="4">
        <v>2000.0</v>
      </c>
      <c r="D1804" s="4" t="s">
        <v>3</v>
      </c>
    </row>
    <row r="1805">
      <c r="A1805" s="3">
        <v>2017.0</v>
      </c>
      <c r="B1805" s="4" t="s">
        <v>2476</v>
      </c>
      <c r="C1805" s="4">
        <v>0.0</v>
      </c>
      <c r="D1805" s="4" t="s">
        <v>3</v>
      </c>
    </row>
    <row r="1806">
      <c r="A1806" s="3">
        <v>2017.0</v>
      </c>
      <c r="B1806" s="4" t="s">
        <v>2477</v>
      </c>
      <c r="C1806" s="4">
        <v>0.0</v>
      </c>
      <c r="D1806" s="4" t="s">
        <v>3</v>
      </c>
    </row>
    <row r="1807">
      <c r="A1807" s="3">
        <v>2017.0</v>
      </c>
      <c r="B1807" s="4" t="s">
        <v>2478</v>
      </c>
      <c r="C1807" s="4">
        <v>0.0</v>
      </c>
      <c r="D1807" s="4" t="s">
        <v>3</v>
      </c>
    </row>
    <row r="1808">
      <c r="A1808" s="3">
        <v>2017.0</v>
      </c>
      <c r="B1808" s="4" t="s">
        <v>424</v>
      </c>
      <c r="C1808" s="4">
        <v>0.0</v>
      </c>
      <c r="D1808" s="4" t="s">
        <v>3</v>
      </c>
    </row>
    <row r="1809">
      <c r="A1809" s="3">
        <v>2017.0</v>
      </c>
      <c r="B1809" s="4" t="s">
        <v>427</v>
      </c>
      <c r="C1809" s="4">
        <v>10623.0</v>
      </c>
      <c r="D1809" s="4" t="s">
        <v>29</v>
      </c>
    </row>
    <row r="1810">
      <c r="A1810" s="3">
        <v>2017.0</v>
      </c>
      <c r="B1810" s="4" t="s">
        <v>2479</v>
      </c>
      <c r="C1810" s="4">
        <v>3000.0</v>
      </c>
      <c r="D1810" s="4" t="s">
        <v>3</v>
      </c>
    </row>
    <row r="1811">
      <c r="A1811" s="3">
        <v>2017.0</v>
      </c>
      <c r="B1811" s="4" t="s">
        <v>2150</v>
      </c>
      <c r="C1811" s="4">
        <v>45000.0</v>
      </c>
      <c r="D1811" s="4" t="s">
        <v>3</v>
      </c>
    </row>
    <row r="1812">
      <c r="A1812" s="3">
        <v>2017.0</v>
      </c>
      <c r="B1812" s="4" t="s">
        <v>2151</v>
      </c>
      <c r="C1812" s="4">
        <v>0.0</v>
      </c>
      <c r="D1812" s="4" t="s">
        <v>29</v>
      </c>
    </row>
    <row r="1813">
      <c r="A1813" s="3">
        <v>2017.0</v>
      </c>
      <c r="B1813" s="4" t="s">
        <v>2480</v>
      </c>
      <c r="C1813" s="4">
        <v>0.0</v>
      </c>
      <c r="D1813" s="4" t="s">
        <v>3</v>
      </c>
    </row>
    <row r="1814">
      <c r="A1814" s="3">
        <v>2017.0</v>
      </c>
      <c r="B1814" s="4" t="s">
        <v>2481</v>
      </c>
      <c r="C1814" s="4">
        <v>0.0</v>
      </c>
      <c r="D1814" s="4" t="s">
        <v>3</v>
      </c>
    </row>
    <row r="1815">
      <c r="A1815" s="3">
        <v>2017.0</v>
      </c>
      <c r="B1815" s="4" t="s">
        <v>2152</v>
      </c>
      <c r="C1815" s="4">
        <v>0.0</v>
      </c>
      <c r="D1815" s="4" t="s">
        <v>3</v>
      </c>
    </row>
    <row r="1816">
      <c r="A1816" s="3">
        <v>2017.0</v>
      </c>
      <c r="B1816" s="4" t="s">
        <v>2153</v>
      </c>
      <c r="C1816" s="4">
        <v>1500.0</v>
      </c>
      <c r="D1816" s="4"/>
    </row>
    <row r="1817">
      <c r="A1817" s="3">
        <v>2017.0</v>
      </c>
      <c r="B1817" s="4" t="s">
        <v>2482</v>
      </c>
      <c r="C1817" s="4">
        <v>0.0</v>
      </c>
      <c r="D1817" s="4" t="s">
        <v>6</v>
      </c>
    </row>
    <row r="1818">
      <c r="A1818" s="3">
        <v>2017.0</v>
      </c>
      <c r="B1818" s="4" t="s">
        <v>2483</v>
      </c>
      <c r="C1818" s="4">
        <v>0.0</v>
      </c>
      <c r="D1818" s="4" t="s">
        <v>3</v>
      </c>
    </row>
    <row r="1819">
      <c r="A1819" s="3">
        <v>2017.0</v>
      </c>
      <c r="B1819" s="4" t="s">
        <v>2154</v>
      </c>
      <c r="C1819" s="4">
        <v>0.0</v>
      </c>
      <c r="D1819" s="4" t="s">
        <v>3</v>
      </c>
    </row>
    <row r="1820">
      <c r="A1820" s="3">
        <v>2017.0</v>
      </c>
      <c r="B1820" s="4" t="s">
        <v>2484</v>
      </c>
      <c r="C1820" s="4">
        <v>0.0</v>
      </c>
      <c r="D1820" s="4" t="s">
        <v>29</v>
      </c>
    </row>
    <row r="1821">
      <c r="A1821" s="3">
        <v>2017.0</v>
      </c>
      <c r="B1821" s="4" t="s">
        <v>442</v>
      </c>
      <c r="C1821" s="4">
        <v>4400.0</v>
      </c>
      <c r="D1821" s="4"/>
    </row>
    <row r="1822">
      <c r="A1822" s="3">
        <v>2017.0</v>
      </c>
      <c r="B1822" s="4" t="s">
        <v>445</v>
      </c>
      <c r="C1822" s="4">
        <v>180000.0</v>
      </c>
      <c r="D1822" s="4"/>
    </row>
    <row r="1823">
      <c r="A1823" s="3">
        <v>2017.0</v>
      </c>
      <c r="B1823" s="4" t="s">
        <v>2485</v>
      </c>
      <c r="C1823" s="4">
        <v>3600.0</v>
      </c>
      <c r="D1823" s="4" t="s">
        <v>6</v>
      </c>
    </row>
    <row r="1824">
      <c r="A1824" s="3">
        <v>2017.0</v>
      </c>
      <c r="B1824" s="4" t="s">
        <v>2486</v>
      </c>
      <c r="C1824" s="4">
        <v>55000.0</v>
      </c>
      <c r="D1824" s="4" t="s">
        <v>3</v>
      </c>
    </row>
    <row r="1825">
      <c r="A1825" s="3">
        <v>2017.0</v>
      </c>
      <c r="B1825" s="4" t="s">
        <v>449</v>
      </c>
      <c r="C1825" s="4">
        <v>0.0</v>
      </c>
      <c r="D1825" s="4" t="s">
        <v>2377</v>
      </c>
    </row>
    <row r="1826">
      <c r="A1826" s="3">
        <v>2017.0</v>
      </c>
      <c r="B1826" s="4" t="s">
        <v>450</v>
      </c>
      <c r="C1826" s="4">
        <v>1600.0</v>
      </c>
      <c r="D1826" s="4" t="s">
        <v>6</v>
      </c>
    </row>
    <row r="1827">
      <c r="A1827" s="3">
        <v>2017.0</v>
      </c>
      <c r="B1827" s="4" t="s">
        <v>451</v>
      </c>
      <c r="C1827" s="4">
        <v>0.0</v>
      </c>
      <c r="D1827" s="4" t="s">
        <v>3</v>
      </c>
    </row>
    <row r="1828">
      <c r="A1828" s="3">
        <v>2017.0</v>
      </c>
      <c r="B1828" s="4" t="s">
        <v>452</v>
      </c>
      <c r="C1828" s="4">
        <v>0.0</v>
      </c>
      <c r="D1828" s="4" t="s">
        <v>3</v>
      </c>
    </row>
    <row r="1829">
      <c r="A1829" s="3">
        <v>2017.0</v>
      </c>
      <c r="B1829" s="4" t="s">
        <v>2487</v>
      </c>
      <c r="C1829" s="4">
        <v>3000.0</v>
      </c>
      <c r="D1829" s="4"/>
    </row>
    <row r="1830">
      <c r="A1830" s="3">
        <v>2017.0</v>
      </c>
      <c r="B1830" s="4" t="s">
        <v>2488</v>
      </c>
      <c r="C1830" s="4">
        <v>0.0</v>
      </c>
      <c r="D1830" s="4" t="s">
        <v>3</v>
      </c>
    </row>
    <row r="1831">
      <c r="A1831" s="3">
        <v>2017.0</v>
      </c>
      <c r="B1831" s="4" t="s">
        <v>2489</v>
      </c>
      <c r="C1831" s="4">
        <v>0.0</v>
      </c>
      <c r="D1831" s="4" t="s">
        <v>3</v>
      </c>
    </row>
    <row r="1832">
      <c r="A1832" s="3">
        <v>2017.0</v>
      </c>
      <c r="B1832" s="4" t="s">
        <v>453</v>
      </c>
      <c r="C1832" s="4">
        <v>1000.0</v>
      </c>
      <c r="D1832" s="4"/>
    </row>
    <row r="1833">
      <c r="A1833" s="3">
        <v>2017.0</v>
      </c>
      <c r="B1833" s="4" t="s">
        <v>454</v>
      </c>
      <c r="C1833" s="4">
        <v>0.0</v>
      </c>
      <c r="D1833" s="4" t="s">
        <v>3</v>
      </c>
    </row>
    <row r="1834">
      <c r="A1834" s="3">
        <v>2017.0</v>
      </c>
      <c r="B1834" s="4" t="s">
        <v>455</v>
      </c>
      <c r="C1834" s="4">
        <v>0.0</v>
      </c>
      <c r="D1834" s="4" t="s">
        <v>3</v>
      </c>
    </row>
    <row r="1835">
      <c r="A1835" s="3">
        <v>2017.0</v>
      </c>
      <c r="B1835" s="4" t="s">
        <v>2490</v>
      </c>
      <c r="C1835" s="4">
        <v>500.0</v>
      </c>
      <c r="D1835" s="4"/>
    </row>
    <row r="1836">
      <c r="A1836" s="3">
        <v>2017.0</v>
      </c>
      <c r="B1836" s="4" t="s">
        <v>456</v>
      </c>
      <c r="C1836" s="4">
        <v>0.0</v>
      </c>
      <c r="D1836" s="4" t="s">
        <v>6</v>
      </c>
    </row>
    <row r="1837">
      <c r="A1837" s="3">
        <v>2017.0</v>
      </c>
      <c r="B1837" s="4" t="s">
        <v>2491</v>
      </c>
      <c r="C1837" s="4">
        <v>1700.0</v>
      </c>
      <c r="D1837" s="4"/>
    </row>
    <row r="1838">
      <c r="A1838" s="3">
        <v>2017.0</v>
      </c>
      <c r="B1838" s="4" t="s">
        <v>457</v>
      </c>
      <c r="C1838" s="4">
        <v>1500.0</v>
      </c>
      <c r="D1838" s="4" t="s">
        <v>3</v>
      </c>
    </row>
    <row r="1839">
      <c r="A1839" s="3">
        <v>2017.0</v>
      </c>
      <c r="B1839" s="4" t="s">
        <v>2492</v>
      </c>
      <c r="C1839" s="4">
        <v>0.0</v>
      </c>
      <c r="D1839" s="4" t="s">
        <v>3</v>
      </c>
    </row>
    <row r="1840">
      <c r="A1840" s="3">
        <v>2017.0</v>
      </c>
      <c r="B1840" s="4" t="s">
        <v>2157</v>
      </c>
      <c r="C1840" s="4">
        <v>3000.0</v>
      </c>
      <c r="D1840" s="4"/>
    </row>
    <row r="1841">
      <c r="A1841" s="3">
        <v>2017.0</v>
      </c>
      <c r="B1841" s="4" t="s">
        <v>2493</v>
      </c>
      <c r="C1841" s="4">
        <v>0.0</v>
      </c>
      <c r="D1841" s="4" t="s">
        <v>3</v>
      </c>
    </row>
    <row r="1842">
      <c r="A1842" s="3">
        <v>2017.0</v>
      </c>
      <c r="B1842" s="4" t="s">
        <v>2494</v>
      </c>
      <c r="C1842" s="4">
        <v>0.0</v>
      </c>
      <c r="D1842" s="4" t="s">
        <v>3</v>
      </c>
    </row>
    <row r="1843">
      <c r="A1843" s="3">
        <v>2017.0</v>
      </c>
      <c r="B1843" s="4" t="s">
        <v>465</v>
      </c>
      <c r="C1843" s="4">
        <v>300.0</v>
      </c>
      <c r="D1843" s="4"/>
    </row>
    <row r="1844">
      <c r="A1844" s="3">
        <v>2017.0</v>
      </c>
      <c r="B1844" s="4" t="s">
        <v>466</v>
      </c>
      <c r="C1844" s="4">
        <v>3000.0</v>
      </c>
      <c r="D1844" s="4" t="s">
        <v>3</v>
      </c>
    </row>
    <row r="1845">
      <c r="A1845" s="3">
        <v>2017.0</v>
      </c>
      <c r="B1845" s="4" t="s">
        <v>2495</v>
      </c>
      <c r="C1845" s="4">
        <v>0.0</v>
      </c>
      <c r="D1845" s="4" t="s">
        <v>3</v>
      </c>
    </row>
    <row r="1846">
      <c r="A1846" s="3">
        <v>2017.0</v>
      </c>
      <c r="B1846" s="4" t="s">
        <v>2160</v>
      </c>
      <c r="C1846" s="4">
        <v>0.0</v>
      </c>
      <c r="D1846" s="4" t="s">
        <v>3</v>
      </c>
    </row>
    <row r="1847">
      <c r="A1847" s="3">
        <v>2017.0</v>
      </c>
      <c r="B1847" s="4" t="s">
        <v>2496</v>
      </c>
      <c r="C1847" s="4">
        <v>0.0</v>
      </c>
      <c r="D1847" s="4" t="s">
        <v>3</v>
      </c>
    </row>
    <row r="1848">
      <c r="A1848" s="3">
        <v>2017.0</v>
      </c>
      <c r="B1848" s="4" t="s">
        <v>2497</v>
      </c>
      <c r="C1848" s="4">
        <v>0.0</v>
      </c>
      <c r="D1848" s="4" t="s">
        <v>3</v>
      </c>
    </row>
    <row r="1849">
      <c r="A1849" s="3">
        <v>2017.0</v>
      </c>
      <c r="B1849" s="4" t="s">
        <v>2498</v>
      </c>
      <c r="C1849" s="4">
        <v>0.0</v>
      </c>
      <c r="D1849" s="4" t="s">
        <v>3</v>
      </c>
    </row>
    <row r="1850">
      <c r="A1850" s="3">
        <v>2017.0</v>
      </c>
      <c r="B1850" s="4" t="s">
        <v>472</v>
      </c>
      <c r="C1850" s="4">
        <v>3000.0</v>
      </c>
      <c r="D1850" s="4" t="s">
        <v>2377</v>
      </c>
    </row>
    <row r="1851">
      <c r="A1851" s="3">
        <v>2017.0</v>
      </c>
      <c r="B1851" s="4" t="s">
        <v>473</v>
      </c>
      <c r="C1851" s="4">
        <v>2500.0</v>
      </c>
      <c r="D1851" s="4" t="s">
        <v>3</v>
      </c>
    </row>
    <row r="1852">
      <c r="A1852" s="3">
        <v>2017.0</v>
      </c>
      <c r="B1852" s="4" t="s">
        <v>2161</v>
      </c>
      <c r="C1852" s="4">
        <v>0.0</v>
      </c>
      <c r="D1852" s="4" t="s">
        <v>3</v>
      </c>
    </row>
    <row r="1853">
      <c r="A1853" s="3">
        <v>2017.0</v>
      </c>
      <c r="B1853" s="4" t="s">
        <v>2499</v>
      </c>
      <c r="C1853" s="4">
        <v>1000.0</v>
      </c>
      <c r="D1853" s="4"/>
    </row>
    <row r="1854">
      <c r="A1854" s="3">
        <v>2017.0</v>
      </c>
      <c r="B1854" s="4" t="s">
        <v>2500</v>
      </c>
      <c r="C1854" s="4">
        <v>336.0</v>
      </c>
      <c r="D1854" s="4"/>
    </row>
    <row r="1855">
      <c r="A1855" s="3">
        <v>2017.0</v>
      </c>
      <c r="B1855" s="4" t="s">
        <v>476</v>
      </c>
      <c r="C1855" s="4">
        <v>1691826.0</v>
      </c>
      <c r="D1855" s="4" t="s">
        <v>3</v>
      </c>
    </row>
    <row r="1856">
      <c r="A1856" s="3">
        <v>2017.0</v>
      </c>
      <c r="B1856" s="4" t="s">
        <v>478</v>
      </c>
      <c r="C1856" s="4">
        <v>310000.0</v>
      </c>
      <c r="D1856" s="4"/>
    </row>
    <row r="1857">
      <c r="A1857" s="3">
        <v>2017.0</v>
      </c>
      <c r="B1857" s="4" t="s">
        <v>481</v>
      </c>
      <c r="C1857" s="4">
        <v>1815900.0</v>
      </c>
      <c r="D1857" s="4" t="s">
        <v>3</v>
      </c>
    </row>
    <row r="1858">
      <c r="A1858" s="3">
        <v>2017.0</v>
      </c>
      <c r="B1858" s="4" t="s">
        <v>2162</v>
      </c>
      <c r="C1858" s="4">
        <v>1000.0</v>
      </c>
      <c r="D1858" s="4" t="s">
        <v>6</v>
      </c>
    </row>
    <row r="1859">
      <c r="A1859" s="3">
        <v>2017.0</v>
      </c>
      <c r="B1859" s="4" t="s">
        <v>2163</v>
      </c>
      <c r="C1859" s="4">
        <v>0.0</v>
      </c>
      <c r="D1859" s="4" t="s">
        <v>3</v>
      </c>
    </row>
    <row r="1860">
      <c r="A1860" s="3">
        <v>2017.0</v>
      </c>
      <c r="B1860" s="4" t="s">
        <v>2165</v>
      </c>
      <c r="C1860" s="4">
        <v>2000.0</v>
      </c>
      <c r="D1860" s="4"/>
    </row>
    <row r="1861">
      <c r="A1861" s="3">
        <v>2017.0</v>
      </c>
      <c r="B1861" s="4" t="s">
        <v>2501</v>
      </c>
      <c r="C1861" s="4">
        <v>380000.0</v>
      </c>
      <c r="D1861" s="4" t="s">
        <v>3</v>
      </c>
    </row>
    <row r="1862">
      <c r="A1862" s="3">
        <v>2017.0</v>
      </c>
      <c r="B1862" s="4" t="s">
        <v>2167</v>
      </c>
      <c r="C1862" s="4">
        <v>0.0</v>
      </c>
      <c r="D1862" s="4" t="s">
        <v>3</v>
      </c>
    </row>
    <row r="1863">
      <c r="A1863" s="3">
        <v>2017.0</v>
      </c>
      <c r="B1863" s="4" t="s">
        <v>2502</v>
      </c>
      <c r="C1863" s="4">
        <v>0.0</v>
      </c>
      <c r="D1863" s="4" t="s">
        <v>3</v>
      </c>
    </row>
    <row r="1864">
      <c r="A1864" s="3">
        <v>2017.0</v>
      </c>
      <c r="B1864" s="4" t="s">
        <v>2168</v>
      </c>
      <c r="C1864" s="4">
        <v>1500.0</v>
      </c>
      <c r="D1864" s="4"/>
    </row>
    <row r="1865">
      <c r="A1865" s="3">
        <v>2017.0</v>
      </c>
      <c r="B1865" s="4" t="s">
        <v>2503</v>
      </c>
      <c r="C1865" s="4">
        <v>0.0</v>
      </c>
      <c r="D1865" s="4" t="s">
        <v>3</v>
      </c>
    </row>
    <row r="1866">
      <c r="A1866" s="3">
        <v>2017.0</v>
      </c>
      <c r="B1866" s="4" t="s">
        <v>2504</v>
      </c>
      <c r="C1866" s="4">
        <v>0.0</v>
      </c>
      <c r="D1866" s="4" t="s">
        <v>3</v>
      </c>
    </row>
    <row r="1867">
      <c r="A1867" s="3">
        <v>2017.0</v>
      </c>
      <c r="B1867" s="4" t="s">
        <v>502</v>
      </c>
      <c r="C1867" s="4">
        <v>0.0</v>
      </c>
      <c r="D1867" s="4" t="s">
        <v>2368</v>
      </c>
    </row>
    <row r="1868">
      <c r="A1868" s="3">
        <v>2017.0</v>
      </c>
      <c r="B1868" s="4" t="s">
        <v>2170</v>
      </c>
      <c r="C1868" s="4">
        <v>0.0</v>
      </c>
      <c r="D1868" s="4" t="s">
        <v>3</v>
      </c>
    </row>
    <row r="1869">
      <c r="A1869" s="3">
        <v>2017.0</v>
      </c>
      <c r="B1869" s="4" t="s">
        <v>2505</v>
      </c>
      <c r="C1869" s="4">
        <v>0.0</v>
      </c>
      <c r="D1869" s="4" t="s">
        <v>3</v>
      </c>
    </row>
    <row r="1870">
      <c r="A1870" s="3">
        <v>2017.0</v>
      </c>
      <c r="B1870" s="4" t="s">
        <v>2175</v>
      </c>
      <c r="C1870" s="4">
        <v>0.0</v>
      </c>
      <c r="D1870" s="4" t="s">
        <v>3</v>
      </c>
    </row>
    <row r="1871">
      <c r="A1871" s="3">
        <v>2017.0</v>
      </c>
      <c r="B1871" s="4" t="s">
        <v>515</v>
      </c>
      <c r="C1871" s="4">
        <v>0.0</v>
      </c>
      <c r="D1871" s="4" t="s">
        <v>6</v>
      </c>
    </row>
    <row r="1872">
      <c r="A1872" s="3">
        <v>2017.0</v>
      </c>
      <c r="B1872" s="4" t="s">
        <v>2506</v>
      </c>
      <c r="C1872" s="4">
        <v>23606.0</v>
      </c>
      <c r="D1872" s="4" t="s">
        <v>29</v>
      </c>
    </row>
    <row r="1873">
      <c r="A1873" s="3">
        <v>2017.0</v>
      </c>
      <c r="B1873" s="4" t="s">
        <v>2507</v>
      </c>
      <c r="C1873" s="4">
        <v>0.0</v>
      </c>
      <c r="D1873" s="4" t="s">
        <v>3</v>
      </c>
    </row>
    <row r="1874">
      <c r="A1874" s="3">
        <v>2017.0</v>
      </c>
      <c r="B1874" s="4" t="s">
        <v>520</v>
      </c>
      <c r="C1874" s="4">
        <v>2500.0</v>
      </c>
      <c r="D1874" s="4" t="s">
        <v>6</v>
      </c>
    </row>
    <row r="1875">
      <c r="A1875" s="3">
        <v>2017.0</v>
      </c>
      <c r="B1875" s="4" t="s">
        <v>521</v>
      </c>
      <c r="C1875" s="4">
        <v>3500.0</v>
      </c>
      <c r="D1875" s="4"/>
    </row>
    <row r="1876">
      <c r="A1876" s="3">
        <v>2017.0</v>
      </c>
      <c r="B1876" s="4" t="s">
        <v>522</v>
      </c>
      <c r="C1876" s="4">
        <v>36821.0</v>
      </c>
      <c r="D1876" s="4" t="s">
        <v>2508</v>
      </c>
    </row>
    <row r="1877">
      <c r="A1877" s="3">
        <v>2017.0</v>
      </c>
      <c r="B1877" s="4" t="s">
        <v>2509</v>
      </c>
      <c r="C1877" s="4">
        <v>0.0</v>
      </c>
      <c r="D1877" s="4" t="s">
        <v>3</v>
      </c>
    </row>
    <row r="1878">
      <c r="A1878" s="3">
        <v>2017.0</v>
      </c>
      <c r="B1878" s="4" t="s">
        <v>2510</v>
      </c>
      <c r="C1878" s="4">
        <v>500.0</v>
      </c>
      <c r="D1878" s="4"/>
    </row>
    <row r="1879">
      <c r="A1879" s="3">
        <v>2017.0</v>
      </c>
      <c r="B1879" s="4" t="s">
        <v>526</v>
      </c>
      <c r="C1879" s="4">
        <v>4000.0</v>
      </c>
      <c r="D1879" s="4"/>
    </row>
    <row r="1880">
      <c r="A1880" s="3">
        <v>2017.0</v>
      </c>
      <c r="B1880" s="4" t="s">
        <v>2511</v>
      </c>
      <c r="C1880" s="4">
        <v>0.0</v>
      </c>
      <c r="D1880" s="4" t="s">
        <v>3</v>
      </c>
    </row>
    <row r="1881">
      <c r="A1881" s="3">
        <v>2017.0</v>
      </c>
      <c r="B1881" s="4" t="s">
        <v>2178</v>
      </c>
      <c r="C1881" s="4">
        <v>250.0</v>
      </c>
      <c r="D1881" s="4"/>
    </row>
    <row r="1882">
      <c r="A1882" s="3">
        <v>2017.0</v>
      </c>
      <c r="B1882" s="4" t="s">
        <v>2512</v>
      </c>
      <c r="C1882" s="4">
        <v>0.0</v>
      </c>
      <c r="D1882" s="4" t="s">
        <v>3</v>
      </c>
    </row>
    <row r="1883">
      <c r="A1883" s="3">
        <v>2017.0</v>
      </c>
      <c r="B1883" s="4" t="s">
        <v>2179</v>
      </c>
      <c r="C1883" s="4">
        <v>500.0</v>
      </c>
      <c r="D1883" s="4" t="s">
        <v>3</v>
      </c>
    </row>
    <row r="1884">
      <c r="A1884" s="3">
        <v>2017.0</v>
      </c>
      <c r="B1884" s="4" t="s">
        <v>2513</v>
      </c>
      <c r="C1884" s="4">
        <v>0.0</v>
      </c>
      <c r="D1884" s="4" t="s">
        <v>3</v>
      </c>
    </row>
    <row r="1885">
      <c r="A1885" s="3">
        <v>2017.0</v>
      </c>
      <c r="B1885" s="4" t="s">
        <v>532</v>
      </c>
      <c r="C1885" s="4">
        <v>7000.0</v>
      </c>
      <c r="D1885" s="4" t="s">
        <v>3</v>
      </c>
    </row>
    <row r="1886">
      <c r="A1886" s="3">
        <v>2017.0</v>
      </c>
      <c r="B1886" s="4" t="s">
        <v>534</v>
      </c>
      <c r="C1886" s="4">
        <v>0.0</v>
      </c>
      <c r="D1886" s="4" t="s">
        <v>2368</v>
      </c>
    </row>
    <row r="1887">
      <c r="A1887" s="3">
        <v>2017.0</v>
      </c>
      <c r="B1887" s="4" t="s">
        <v>2514</v>
      </c>
      <c r="C1887" s="4">
        <v>0.0</v>
      </c>
      <c r="D1887" s="4" t="s">
        <v>3</v>
      </c>
    </row>
    <row r="1888">
      <c r="A1888" s="3">
        <v>2017.0</v>
      </c>
      <c r="B1888" s="4" t="s">
        <v>2515</v>
      </c>
      <c r="C1888" s="4">
        <v>0.0</v>
      </c>
      <c r="D1888" s="4" t="s">
        <v>6</v>
      </c>
    </row>
    <row r="1889">
      <c r="A1889" s="3">
        <v>2017.0</v>
      </c>
      <c r="B1889" s="4" t="s">
        <v>2181</v>
      </c>
      <c r="C1889" s="4">
        <v>750.0</v>
      </c>
      <c r="D1889" s="4"/>
    </row>
    <row r="1890">
      <c r="A1890" s="3">
        <v>2017.0</v>
      </c>
      <c r="B1890" s="4" t="s">
        <v>539</v>
      </c>
      <c r="C1890" s="4">
        <v>0.0</v>
      </c>
      <c r="D1890" s="4" t="s">
        <v>6</v>
      </c>
    </row>
    <row r="1891">
      <c r="A1891" s="3">
        <v>2017.0</v>
      </c>
      <c r="B1891" s="4" t="s">
        <v>2516</v>
      </c>
      <c r="C1891" s="4">
        <v>0.0</v>
      </c>
      <c r="D1891" s="4" t="s">
        <v>3</v>
      </c>
    </row>
    <row r="1892">
      <c r="A1892" s="3">
        <v>2017.0</v>
      </c>
      <c r="B1892" s="4" t="s">
        <v>546</v>
      </c>
      <c r="C1892" s="4">
        <v>0.0</v>
      </c>
      <c r="D1892" s="4" t="s">
        <v>3</v>
      </c>
    </row>
    <row r="1893">
      <c r="A1893" s="3">
        <v>2017.0</v>
      </c>
      <c r="B1893" s="4" t="s">
        <v>547</v>
      </c>
      <c r="C1893" s="4">
        <v>4000.0</v>
      </c>
      <c r="D1893" s="4"/>
    </row>
    <row r="1894">
      <c r="A1894" s="3">
        <v>2017.0</v>
      </c>
      <c r="B1894" s="4" t="s">
        <v>2517</v>
      </c>
      <c r="C1894" s="4">
        <v>0.0</v>
      </c>
      <c r="D1894" s="4" t="s">
        <v>6</v>
      </c>
    </row>
    <row r="1895">
      <c r="A1895" s="3">
        <v>2017.0</v>
      </c>
      <c r="B1895" s="4" t="s">
        <v>2518</v>
      </c>
      <c r="C1895" s="4">
        <v>0.0</v>
      </c>
      <c r="D1895" s="4" t="s">
        <v>29</v>
      </c>
    </row>
    <row r="1896">
      <c r="A1896" s="3">
        <v>2017.0</v>
      </c>
      <c r="B1896" s="4" t="s">
        <v>2519</v>
      </c>
      <c r="C1896" s="4">
        <v>31796.0</v>
      </c>
      <c r="D1896" s="4" t="s">
        <v>29</v>
      </c>
    </row>
    <row r="1897">
      <c r="A1897" s="3">
        <v>2017.0</v>
      </c>
      <c r="B1897" s="4" t="s">
        <v>2520</v>
      </c>
      <c r="C1897" s="4">
        <v>0.0</v>
      </c>
      <c r="D1897" s="4" t="s">
        <v>6</v>
      </c>
    </row>
    <row r="1898">
      <c r="A1898" s="3">
        <v>2017.0</v>
      </c>
      <c r="B1898" s="4" t="s">
        <v>554</v>
      </c>
      <c r="C1898" s="4">
        <v>0.0</v>
      </c>
      <c r="D1898" s="4" t="s">
        <v>29</v>
      </c>
    </row>
    <row r="1899">
      <c r="A1899" s="3">
        <v>2017.0</v>
      </c>
      <c r="B1899" s="4" t="s">
        <v>2521</v>
      </c>
      <c r="C1899" s="4">
        <v>0.0</v>
      </c>
      <c r="D1899" s="4" t="s">
        <v>6</v>
      </c>
    </row>
    <row r="1900">
      <c r="A1900" s="3">
        <v>2017.0</v>
      </c>
      <c r="B1900" s="4" t="s">
        <v>2522</v>
      </c>
      <c r="C1900" s="4">
        <v>0.0</v>
      </c>
      <c r="D1900" s="4" t="s">
        <v>29</v>
      </c>
    </row>
    <row r="1901">
      <c r="A1901" s="3">
        <v>2017.0</v>
      </c>
      <c r="B1901" s="4" t="s">
        <v>557</v>
      </c>
      <c r="C1901" s="4">
        <v>1500.0</v>
      </c>
      <c r="D1901" s="4" t="s">
        <v>29</v>
      </c>
    </row>
    <row r="1902">
      <c r="A1902" s="3">
        <v>2017.0</v>
      </c>
      <c r="B1902" s="4" t="s">
        <v>558</v>
      </c>
      <c r="C1902" s="4">
        <v>1000.0</v>
      </c>
      <c r="D1902" s="4" t="s">
        <v>2508</v>
      </c>
    </row>
    <row r="1903">
      <c r="A1903" s="3">
        <v>2017.0</v>
      </c>
      <c r="B1903" s="4" t="s">
        <v>559</v>
      </c>
      <c r="C1903" s="4">
        <v>5600.0</v>
      </c>
      <c r="D1903" s="4"/>
    </row>
    <row r="1904">
      <c r="A1904" s="3">
        <v>2017.0</v>
      </c>
      <c r="B1904" s="4" t="s">
        <v>561</v>
      </c>
      <c r="C1904" s="4">
        <v>0.0</v>
      </c>
      <c r="D1904" s="4" t="s">
        <v>29</v>
      </c>
    </row>
    <row r="1905">
      <c r="A1905" s="3">
        <v>2017.0</v>
      </c>
      <c r="B1905" s="4" t="s">
        <v>2523</v>
      </c>
      <c r="C1905" s="4">
        <v>0.0</v>
      </c>
      <c r="D1905" s="4" t="s">
        <v>29</v>
      </c>
    </row>
    <row r="1906">
      <c r="A1906" s="3">
        <v>2017.0</v>
      </c>
      <c r="B1906" s="4" t="s">
        <v>562</v>
      </c>
      <c r="C1906" s="4">
        <v>0.0</v>
      </c>
      <c r="D1906" s="4" t="s">
        <v>29</v>
      </c>
    </row>
    <row r="1907">
      <c r="A1907" s="3">
        <v>2017.0</v>
      </c>
      <c r="B1907" s="4" t="s">
        <v>563</v>
      </c>
      <c r="C1907" s="4">
        <v>0.0</v>
      </c>
      <c r="D1907" s="4" t="s">
        <v>29</v>
      </c>
    </row>
    <row r="1908">
      <c r="A1908" s="3">
        <v>2017.0</v>
      </c>
      <c r="B1908" s="4" t="s">
        <v>564</v>
      </c>
      <c r="C1908" s="4">
        <v>0.0</v>
      </c>
      <c r="D1908" s="4" t="s">
        <v>29</v>
      </c>
    </row>
    <row r="1909">
      <c r="A1909" s="3">
        <v>2017.0</v>
      </c>
      <c r="B1909" s="4" t="s">
        <v>565</v>
      </c>
      <c r="C1909" s="4">
        <v>0.0</v>
      </c>
      <c r="D1909" s="4" t="s">
        <v>29</v>
      </c>
    </row>
    <row r="1910">
      <c r="A1910" s="3">
        <v>2017.0</v>
      </c>
      <c r="B1910" s="4" t="s">
        <v>2524</v>
      </c>
      <c r="C1910" s="4">
        <v>1180.0</v>
      </c>
      <c r="D1910" s="4"/>
    </row>
    <row r="1911">
      <c r="A1911" s="3">
        <v>2017.0</v>
      </c>
      <c r="B1911" s="4" t="s">
        <v>2525</v>
      </c>
      <c r="C1911" s="4">
        <v>0.0</v>
      </c>
      <c r="D1911" s="4" t="s">
        <v>2377</v>
      </c>
    </row>
    <row r="1912">
      <c r="A1912" s="3">
        <v>2017.0</v>
      </c>
      <c r="B1912" s="4" t="s">
        <v>2526</v>
      </c>
      <c r="C1912" s="4">
        <v>0.0</v>
      </c>
      <c r="D1912" s="4" t="s">
        <v>3</v>
      </c>
    </row>
    <row r="1913">
      <c r="A1913" s="3">
        <v>2017.0</v>
      </c>
      <c r="B1913" s="4" t="s">
        <v>567</v>
      </c>
      <c r="C1913" s="4">
        <v>5000.0</v>
      </c>
      <c r="D1913" s="4" t="s">
        <v>3</v>
      </c>
    </row>
    <row r="1914">
      <c r="A1914" s="3">
        <v>2017.0</v>
      </c>
      <c r="B1914" s="4" t="s">
        <v>568</v>
      </c>
      <c r="C1914" s="4">
        <v>0.0</v>
      </c>
      <c r="D1914" s="4" t="s">
        <v>3</v>
      </c>
    </row>
    <row r="1915">
      <c r="A1915" s="3">
        <v>2017.0</v>
      </c>
      <c r="B1915" s="4" t="s">
        <v>2527</v>
      </c>
      <c r="C1915" s="4">
        <v>0.0</v>
      </c>
      <c r="D1915" s="4" t="s">
        <v>3</v>
      </c>
    </row>
    <row r="1916">
      <c r="A1916" s="3">
        <v>2017.0</v>
      </c>
      <c r="B1916" s="4" t="s">
        <v>2528</v>
      </c>
      <c r="C1916" s="4">
        <v>0.0</v>
      </c>
      <c r="D1916" s="4" t="s">
        <v>3</v>
      </c>
    </row>
    <row r="1917">
      <c r="A1917" s="3">
        <v>2017.0</v>
      </c>
      <c r="B1917" s="4" t="s">
        <v>569</v>
      </c>
      <c r="C1917" s="4">
        <v>45000.0</v>
      </c>
      <c r="D1917" s="4"/>
    </row>
    <row r="1918">
      <c r="A1918" s="3">
        <v>2017.0</v>
      </c>
      <c r="B1918" s="4" t="s">
        <v>2184</v>
      </c>
      <c r="C1918" s="4">
        <v>500.0</v>
      </c>
      <c r="D1918" s="4"/>
    </row>
    <row r="1919">
      <c r="A1919" s="3">
        <v>2017.0</v>
      </c>
      <c r="B1919" s="4" t="s">
        <v>2529</v>
      </c>
      <c r="C1919" s="4">
        <v>0.0</v>
      </c>
      <c r="D1919" s="4" t="s">
        <v>3</v>
      </c>
    </row>
    <row r="1920">
      <c r="A1920" s="3">
        <v>2017.0</v>
      </c>
      <c r="B1920" s="4" t="s">
        <v>573</v>
      </c>
      <c r="C1920" s="4">
        <v>0.0</v>
      </c>
      <c r="D1920" s="4" t="s">
        <v>3</v>
      </c>
    </row>
    <row r="1921">
      <c r="A1921" s="3">
        <v>2017.0</v>
      </c>
      <c r="B1921" s="4" t="s">
        <v>2530</v>
      </c>
      <c r="C1921" s="4">
        <v>0.0</v>
      </c>
      <c r="D1921" s="4" t="s">
        <v>3</v>
      </c>
    </row>
    <row r="1922">
      <c r="A1922" s="3">
        <v>2017.0</v>
      </c>
      <c r="B1922" s="4" t="s">
        <v>2531</v>
      </c>
      <c r="C1922" s="4">
        <v>8000.0</v>
      </c>
      <c r="D1922" s="4" t="s">
        <v>3</v>
      </c>
    </row>
    <row r="1923">
      <c r="A1923" s="3">
        <v>2017.0</v>
      </c>
      <c r="B1923" s="4" t="s">
        <v>577</v>
      </c>
      <c r="C1923" s="4">
        <v>0.0</v>
      </c>
      <c r="D1923" s="4" t="s">
        <v>2377</v>
      </c>
    </row>
    <row r="1924">
      <c r="A1924" s="3">
        <v>2017.0</v>
      </c>
      <c r="B1924" s="4" t="s">
        <v>578</v>
      </c>
      <c r="C1924" s="4">
        <v>1000.0</v>
      </c>
      <c r="D1924" s="4" t="s">
        <v>3</v>
      </c>
    </row>
    <row r="1925">
      <c r="A1925" s="3">
        <v>2017.0</v>
      </c>
      <c r="B1925" s="4" t="s">
        <v>2532</v>
      </c>
      <c r="C1925" s="4">
        <v>152533.0</v>
      </c>
      <c r="D1925" s="4" t="s">
        <v>2370</v>
      </c>
    </row>
    <row r="1926">
      <c r="A1926" s="3">
        <v>2017.0</v>
      </c>
      <c r="B1926" s="4" t="s">
        <v>2533</v>
      </c>
      <c r="C1926" s="4">
        <v>800.0</v>
      </c>
      <c r="D1926" s="4" t="s">
        <v>2377</v>
      </c>
    </row>
    <row r="1927">
      <c r="A1927" s="3">
        <v>2017.0</v>
      </c>
      <c r="B1927" s="4" t="s">
        <v>2534</v>
      </c>
      <c r="C1927" s="4">
        <v>0.0</v>
      </c>
      <c r="D1927" s="4" t="s">
        <v>3</v>
      </c>
    </row>
    <row r="1928">
      <c r="A1928" s="3">
        <v>2017.0</v>
      </c>
      <c r="B1928" s="4" t="s">
        <v>586</v>
      </c>
      <c r="C1928" s="4">
        <v>4000.0</v>
      </c>
      <c r="D1928" s="4" t="s">
        <v>6</v>
      </c>
    </row>
    <row r="1929">
      <c r="A1929" s="3">
        <v>2017.0</v>
      </c>
      <c r="B1929" s="4" t="s">
        <v>588</v>
      </c>
      <c r="C1929" s="4">
        <v>0.0</v>
      </c>
      <c r="D1929" s="4" t="s">
        <v>3</v>
      </c>
    </row>
    <row r="1930">
      <c r="A1930" s="3">
        <v>2017.0</v>
      </c>
      <c r="B1930" s="4" t="s">
        <v>589</v>
      </c>
      <c r="C1930" s="4">
        <v>42900.0</v>
      </c>
      <c r="D1930" s="4"/>
    </row>
    <row r="1931">
      <c r="A1931" s="3">
        <v>2017.0</v>
      </c>
      <c r="B1931" s="4" t="s">
        <v>591</v>
      </c>
      <c r="C1931" s="4">
        <v>0.0</v>
      </c>
      <c r="D1931" s="4" t="s">
        <v>3</v>
      </c>
    </row>
    <row r="1932">
      <c r="A1932" s="3">
        <v>2017.0</v>
      </c>
      <c r="B1932" s="4" t="s">
        <v>592</v>
      </c>
      <c r="C1932" s="4">
        <v>0.0</v>
      </c>
      <c r="D1932" s="4" t="s">
        <v>3</v>
      </c>
    </row>
    <row r="1933">
      <c r="A1933" s="3">
        <v>2017.0</v>
      </c>
      <c r="B1933" s="4" t="s">
        <v>594</v>
      </c>
      <c r="C1933" s="4">
        <v>0.0</v>
      </c>
      <c r="D1933" s="4" t="s">
        <v>6</v>
      </c>
    </row>
    <row r="1934">
      <c r="A1934" s="3">
        <v>2017.0</v>
      </c>
      <c r="B1934" s="4" t="s">
        <v>2535</v>
      </c>
      <c r="C1934" s="4">
        <v>3000.0</v>
      </c>
      <c r="D1934" s="4"/>
    </row>
    <row r="1935">
      <c r="A1935" s="3">
        <v>2017.0</v>
      </c>
      <c r="B1935" s="4" t="s">
        <v>2536</v>
      </c>
      <c r="C1935" s="4">
        <v>0.0</v>
      </c>
      <c r="D1935" s="4" t="s">
        <v>3</v>
      </c>
    </row>
    <row r="1936">
      <c r="A1936" s="3">
        <v>2017.0</v>
      </c>
      <c r="B1936" s="4" t="s">
        <v>599</v>
      </c>
      <c r="C1936" s="4">
        <v>347000.0</v>
      </c>
      <c r="D1936" s="4"/>
    </row>
    <row r="1937">
      <c r="A1937" s="3">
        <v>2017.0</v>
      </c>
      <c r="B1937" s="4" t="s">
        <v>2537</v>
      </c>
      <c r="C1937" s="4">
        <v>0.0</v>
      </c>
      <c r="D1937" s="4" t="s">
        <v>29</v>
      </c>
    </row>
    <row r="1938">
      <c r="A1938" s="3">
        <v>2017.0</v>
      </c>
      <c r="B1938" s="4" t="s">
        <v>2189</v>
      </c>
      <c r="C1938" s="4">
        <v>1074006.0</v>
      </c>
      <c r="D1938" s="4" t="s">
        <v>2370</v>
      </c>
    </row>
    <row r="1939">
      <c r="A1939" s="3">
        <v>2017.0</v>
      </c>
      <c r="B1939" s="4" t="s">
        <v>2538</v>
      </c>
      <c r="C1939" s="4">
        <v>3000.0</v>
      </c>
      <c r="D1939" s="4"/>
    </row>
    <row r="1940">
      <c r="A1940" s="3">
        <v>2017.0</v>
      </c>
      <c r="B1940" s="4" t="s">
        <v>605</v>
      </c>
      <c r="C1940" s="4">
        <v>5000.0</v>
      </c>
      <c r="D1940" s="4" t="s">
        <v>29</v>
      </c>
    </row>
    <row r="1941">
      <c r="A1941" s="3">
        <v>2017.0</v>
      </c>
      <c r="B1941" s="4" t="s">
        <v>606</v>
      </c>
      <c r="C1941" s="4">
        <v>3000.0</v>
      </c>
      <c r="D1941" s="4" t="s">
        <v>2508</v>
      </c>
    </row>
    <row r="1942">
      <c r="A1942" s="3">
        <v>2017.0</v>
      </c>
      <c r="B1942" s="4" t="s">
        <v>607</v>
      </c>
      <c r="C1942" s="4">
        <v>49012.08</v>
      </c>
      <c r="D1942" s="4" t="s">
        <v>2377</v>
      </c>
    </row>
    <row r="1943">
      <c r="A1943" s="3">
        <v>2017.0</v>
      </c>
      <c r="B1943" s="4" t="s">
        <v>609</v>
      </c>
      <c r="C1943" s="4">
        <v>750.0</v>
      </c>
      <c r="D1943" s="4" t="s">
        <v>29</v>
      </c>
    </row>
    <row r="1944">
      <c r="A1944" s="3">
        <v>2017.0</v>
      </c>
      <c r="B1944" s="4" t="s">
        <v>2539</v>
      </c>
      <c r="C1944" s="4">
        <v>0.0</v>
      </c>
      <c r="D1944" s="4" t="s">
        <v>3</v>
      </c>
    </row>
    <row r="1945">
      <c r="A1945" s="3">
        <v>2017.0</v>
      </c>
      <c r="B1945" s="4" t="s">
        <v>611</v>
      </c>
      <c r="C1945" s="4">
        <v>2500.0</v>
      </c>
      <c r="D1945" s="4" t="s">
        <v>3</v>
      </c>
    </row>
    <row r="1946">
      <c r="A1946" s="3">
        <v>2017.0</v>
      </c>
      <c r="B1946" s="4" t="s">
        <v>2540</v>
      </c>
      <c r="C1946" s="4">
        <v>0.0</v>
      </c>
      <c r="D1946" s="4" t="s">
        <v>3</v>
      </c>
    </row>
    <row r="1947">
      <c r="A1947" s="3">
        <v>2017.0</v>
      </c>
      <c r="B1947" s="4" t="s">
        <v>613</v>
      </c>
      <c r="C1947" s="4">
        <v>7500.0</v>
      </c>
      <c r="D1947" s="4" t="s">
        <v>3</v>
      </c>
    </row>
    <row r="1948">
      <c r="A1948" s="3">
        <v>2017.0</v>
      </c>
      <c r="B1948" s="4" t="s">
        <v>2541</v>
      </c>
      <c r="C1948" s="4">
        <v>0.0</v>
      </c>
      <c r="D1948" s="4" t="s">
        <v>6</v>
      </c>
    </row>
    <row r="1949">
      <c r="A1949" s="3">
        <v>2017.0</v>
      </c>
      <c r="B1949" s="4" t="s">
        <v>2542</v>
      </c>
      <c r="C1949" s="4">
        <v>0.0</v>
      </c>
      <c r="D1949" s="4" t="s">
        <v>29</v>
      </c>
    </row>
    <row r="1950">
      <c r="A1950" s="3">
        <v>2017.0</v>
      </c>
      <c r="B1950" s="4" t="s">
        <v>615</v>
      </c>
      <c r="C1950" s="4">
        <v>0.0</v>
      </c>
      <c r="D1950" s="4" t="s">
        <v>3</v>
      </c>
    </row>
    <row r="1951">
      <c r="A1951" s="3">
        <v>2017.0</v>
      </c>
      <c r="B1951" s="4" t="s">
        <v>2543</v>
      </c>
      <c r="C1951" s="4">
        <v>0.0</v>
      </c>
      <c r="D1951" s="4" t="s">
        <v>3</v>
      </c>
    </row>
    <row r="1952">
      <c r="A1952" s="3">
        <v>2017.0</v>
      </c>
      <c r="B1952" s="4" t="s">
        <v>616</v>
      </c>
      <c r="C1952" s="4">
        <v>0.0</v>
      </c>
      <c r="D1952" s="4" t="s">
        <v>3</v>
      </c>
    </row>
    <row r="1953">
      <c r="A1953" s="3">
        <v>2017.0</v>
      </c>
      <c r="B1953" s="4" t="s">
        <v>618</v>
      </c>
      <c r="C1953" s="4">
        <v>0.0</v>
      </c>
      <c r="D1953" s="4" t="s">
        <v>3</v>
      </c>
    </row>
    <row r="1954">
      <c r="A1954" s="3">
        <v>2017.0</v>
      </c>
      <c r="B1954" s="4" t="s">
        <v>2544</v>
      </c>
      <c r="C1954" s="4">
        <v>0.0</v>
      </c>
      <c r="D1954" s="4" t="s">
        <v>6</v>
      </c>
    </row>
    <row r="1955">
      <c r="A1955" s="3">
        <v>2017.0</v>
      </c>
      <c r="B1955" s="4" t="s">
        <v>621</v>
      </c>
      <c r="C1955" s="4">
        <v>2071.77</v>
      </c>
      <c r="D1955" s="4" t="s">
        <v>2377</v>
      </c>
    </row>
    <row r="1956">
      <c r="A1956" s="3">
        <v>2017.0</v>
      </c>
      <c r="B1956" s="4" t="s">
        <v>2545</v>
      </c>
      <c r="C1956" s="4">
        <v>0.0</v>
      </c>
      <c r="D1956" s="4" t="s">
        <v>2377</v>
      </c>
    </row>
    <row r="1957">
      <c r="A1957" s="3">
        <v>2017.0</v>
      </c>
      <c r="B1957" s="4" t="s">
        <v>2546</v>
      </c>
      <c r="C1957" s="4">
        <v>0.0</v>
      </c>
      <c r="D1957" s="4" t="s">
        <v>6</v>
      </c>
    </row>
    <row r="1958">
      <c r="A1958" s="3">
        <v>2017.0</v>
      </c>
      <c r="B1958" s="4" t="s">
        <v>2547</v>
      </c>
      <c r="C1958" s="4">
        <v>500.0</v>
      </c>
      <c r="D1958" s="4"/>
    </row>
    <row r="1959">
      <c r="A1959" s="3">
        <v>2017.0</v>
      </c>
      <c r="B1959" s="4" t="s">
        <v>2190</v>
      </c>
      <c r="C1959" s="4">
        <v>13000.0</v>
      </c>
      <c r="D1959" s="4" t="s">
        <v>2370</v>
      </c>
    </row>
    <row r="1960">
      <c r="A1960" s="3">
        <v>2017.0</v>
      </c>
      <c r="B1960" s="4" t="s">
        <v>627</v>
      </c>
      <c r="C1960" s="4">
        <v>0.0</v>
      </c>
      <c r="D1960" s="4" t="s">
        <v>6</v>
      </c>
    </row>
    <row r="1961">
      <c r="A1961" s="3">
        <v>2017.0</v>
      </c>
      <c r="B1961" s="4" t="s">
        <v>628</v>
      </c>
      <c r="C1961" s="4">
        <v>38117.0</v>
      </c>
      <c r="D1961" s="4" t="s">
        <v>29</v>
      </c>
    </row>
    <row r="1962">
      <c r="A1962" s="3">
        <v>2017.0</v>
      </c>
      <c r="B1962" s="4" t="s">
        <v>2548</v>
      </c>
      <c r="C1962" s="4">
        <v>0.0</v>
      </c>
      <c r="D1962" s="4" t="s">
        <v>6</v>
      </c>
    </row>
    <row r="1963">
      <c r="A1963" s="3">
        <v>2017.0</v>
      </c>
      <c r="B1963" s="4" t="s">
        <v>631</v>
      </c>
      <c r="C1963" s="4">
        <v>1000.0</v>
      </c>
      <c r="D1963" s="4"/>
    </row>
    <row r="1964">
      <c r="A1964" s="3">
        <v>2017.0</v>
      </c>
      <c r="B1964" s="4" t="s">
        <v>2549</v>
      </c>
      <c r="C1964" s="4">
        <v>0.0</v>
      </c>
      <c r="D1964" s="4" t="s">
        <v>3</v>
      </c>
    </row>
    <row r="1965">
      <c r="A1965" s="3">
        <v>2017.0</v>
      </c>
      <c r="B1965" s="4" t="s">
        <v>633</v>
      </c>
      <c r="C1965" s="4">
        <v>2000.0</v>
      </c>
      <c r="D1965" s="4" t="s">
        <v>3</v>
      </c>
    </row>
    <row r="1966">
      <c r="A1966" s="3">
        <v>2017.0</v>
      </c>
      <c r="B1966" s="4" t="s">
        <v>635</v>
      </c>
      <c r="C1966" s="4">
        <v>0.0</v>
      </c>
      <c r="D1966" s="4" t="s">
        <v>2377</v>
      </c>
    </row>
    <row r="1967">
      <c r="A1967" s="3">
        <v>2017.0</v>
      </c>
      <c r="B1967" s="4" t="s">
        <v>637</v>
      </c>
      <c r="C1967" s="4">
        <v>500.0</v>
      </c>
      <c r="D1967" s="4" t="s">
        <v>2368</v>
      </c>
    </row>
    <row r="1968">
      <c r="A1968" s="3">
        <v>2017.0</v>
      </c>
      <c r="B1968" s="4" t="s">
        <v>2550</v>
      </c>
      <c r="C1968" s="4">
        <v>0.0</v>
      </c>
      <c r="D1968" s="4" t="s">
        <v>3</v>
      </c>
    </row>
    <row r="1969">
      <c r="A1969" s="3">
        <v>2017.0</v>
      </c>
      <c r="B1969" s="4" t="s">
        <v>2551</v>
      </c>
      <c r="C1969" s="4">
        <v>0.0</v>
      </c>
      <c r="D1969" s="4" t="s">
        <v>3</v>
      </c>
    </row>
    <row r="1970">
      <c r="A1970" s="3">
        <v>2017.0</v>
      </c>
      <c r="B1970" s="4" t="s">
        <v>639</v>
      </c>
      <c r="C1970" s="4">
        <v>21600.0</v>
      </c>
      <c r="D1970" s="4" t="s">
        <v>3</v>
      </c>
    </row>
    <row r="1971">
      <c r="A1971" s="3">
        <v>2017.0</v>
      </c>
      <c r="B1971" s="4" t="s">
        <v>2192</v>
      </c>
      <c r="C1971" s="4">
        <v>209595.0</v>
      </c>
      <c r="D1971" s="4" t="s">
        <v>2370</v>
      </c>
    </row>
    <row r="1972">
      <c r="A1972" s="3">
        <v>2017.0</v>
      </c>
      <c r="B1972" s="4" t="s">
        <v>2552</v>
      </c>
      <c r="C1972" s="4">
        <v>0.0</v>
      </c>
      <c r="D1972" s="4" t="s">
        <v>6</v>
      </c>
    </row>
    <row r="1973">
      <c r="A1973" s="3">
        <v>2017.0</v>
      </c>
      <c r="B1973" s="4" t="s">
        <v>643</v>
      </c>
      <c r="C1973" s="4">
        <v>4300.0</v>
      </c>
      <c r="D1973" s="4" t="s">
        <v>29</v>
      </c>
    </row>
    <row r="1974">
      <c r="A1974" s="3">
        <v>2017.0</v>
      </c>
      <c r="B1974" s="4" t="s">
        <v>2553</v>
      </c>
      <c r="C1974" s="4">
        <v>32000.0</v>
      </c>
      <c r="D1974" s="4" t="s">
        <v>3</v>
      </c>
    </row>
    <row r="1975">
      <c r="A1975" s="3">
        <v>2017.0</v>
      </c>
      <c r="B1975" s="4" t="s">
        <v>646</v>
      </c>
      <c r="C1975" s="4">
        <v>68775.0</v>
      </c>
      <c r="D1975" s="4"/>
    </row>
    <row r="1976">
      <c r="A1976" s="3">
        <v>2017.0</v>
      </c>
      <c r="B1976" s="4" t="s">
        <v>2554</v>
      </c>
      <c r="C1976" s="4">
        <v>2500.0</v>
      </c>
      <c r="D1976" s="4" t="s">
        <v>3</v>
      </c>
    </row>
    <row r="1977">
      <c r="A1977" s="3">
        <v>2017.0</v>
      </c>
      <c r="B1977" s="4" t="s">
        <v>648</v>
      </c>
      <c r="C1977" s="4">
        <v>300000.0</v>
      </c>
      <c r="D1977" s="4" t="s">
        <v>16</v>
      </c>
    </row>
    <row r="1978">
      <c r="A1978" s="3">
        <v>2017.0</v>
      </c>
      <c r="B1978" s="4" t="s">
        <v>2555</v>
      </c>
      <c r="C1978" s="4">
        <v>0.0</v>
      </c>
      <c r="D1978" s="4" t="s">
        <v>3</v>
      </c>
    </row>
    <row r="1979">
      <c r="A1979" s="3">
        <v>2017.0</v>
      </c>
      <c r="B1979" s="4" t="s">
        <v>650</v>
      </c>
      <c r="C1979" s="4">
        <v>1000.0</v>
      </c>
      <c r="D1979" s="4"/>
    </row>
    <row r="1980">
      <c r="A1980" s="3">
        <v>2017.0</v>
      </c>
      <c r="B1980" s="4" t="s">
        <v>651</v>
      </c>
      <c r="C1980" s="4">
        <v>0.0</v>
      </c>
      <c r="D1980" s="4" t="s">
        <v>3</v>
      </c>
    </row>
    <row r="1981">
      <c r="A1981" s="3">
        <v>2017.0</v>
      </c>
      <c r="B1981" s="4" t="s">
        <v>652</v>
      </c>
      <c r="C1981" s="4">
        <v>2700.0</v>
      </c>
      <c r="D1981" s="4" t="s">
        <v>29</v>
      </c>
    </row>
    <row r="1982">
      <c r="A1982" s="3">
        <v>2017.0</v>
      </c>
      <c r="B1982" s="4" t="s">
        <v>654</v>
      </c>
      <c r="C1982" s="4">
        <v>0.0</v>
      </c>
      <c r="D1982" s="4" t="s">
        <v>29</v>
      </c>
    </row>
    <row r="1983">
      <c r="A1983" s="3">
        <v>2017.0</v>
      </c>
      <c r="B1983" s="4" t="s">
        <v>655</v>
      </c>
      <c r="C1983" s="4">
        <v>84000.0</v>
      </c>
      <c r="D1983" s="4" t="s">
        <v>2508</v>
      </c>
    </row>
    <row r="1984">
      <c r="A1984" s="3">
        <v>2017.0</v>
      </c>
      <c r="B1984" s="4" t="s">
        <v>2193</v>
      </c>
      <c r="C1984" s="4">
        <v>0.0</v>
      </c>
      <c r="D1984" s="4" t="s">
        <v>6</v>
      </c>
    </row>
    <row r="1985">
      <c r="A1985" s="3">
        <v>2017.0</v>
      </c>
      <c r="B1985" s="4" t="s">
        <v>659</v>
      </c>
      <c r="C1985" s="4">
        <v>15000.0</v>
      </c>
      <c r="D1985" s="4" t="s">
        <v>216</v>
      </c>
    </row>
    <row r="1986">
      <c r="A1986" s="3">
        <v>2017.0</v>
      </c>
      <c r="B1986" s="4" t="s">
        <v>661</v>
      </c>
      <c r="C1986" s="4">
        <v>0.0</v>
      </c>
      <c r="D1986" s="4" t="s">
        <v>29</v>
      </c>
    </row>
    <row r="1987">
      <c r="A1987" s="3">
        <v>2017.0</v>
      </c>
      <c r="B1987" s="4" t="s">
        <v>2556</v>
      </c>
      <c r="C1987" s="4">
        <v>0.0</v>
      </c>
      <c r="D1987" s="4" t="s">
        <v>3</v>
      </c>
    </row>
    <row r="1988">
      <c r="A1988" s="3">
        <v>2017.0</v>
      </c>
      <c r="B1988" s="4" t="s">
        <v>2557</v>
      </c>
      <c r="C1988" s="4">
        <v>15000.0</v>
      </c>
      <c r="D1988" s="4" t="s">
        <v>2447</v>
      </c>
    </row>
    <row r="1989">
      <c r="A1989" s="3">
        <v>2017.0</v>
      </c>
      <c r="B1989" s="4" t="s">
        <v>666</v>
      </c>
      <c r="C1989" s="4">
        <v>18000.0</v>
      </c>
      <c r="D1989" s="4"/>
    </row>
    <row r="1990">
      <c r="A1990" s="3">
        <v>2017.0</v>
      </c>
      <c r="B1990" s="4" t="s">
        <v>667</v>
      </c>
      <c r="C1990" s="4">
        <v>2000.0</v>
      </c>
      <c r="D1990" s="4"/>
    </row>
    <row r="1991">
      <c r="A1991" s="3">
        <v>2017.0</v>
      </c>
      <c r="B1991" s="4" t="s">
        <v>669</v>
      </c>
      <c r="C1991" s="4">
        <v>25000.0</v>
      </c>
      <c r="D1991" s="4" t="s">
        <v>3</v>
      </c>
    </row>
    <row r="1992">
      <c r="A1992" s="3">
        <v>2017.0</v>
      </c>
      <c r="B1992" s="4" t="s">
        <v>2558</v>
      </c>
      <c r="C1992" s="4">
        <v>0.0</v>
      </c>
      <c r="D1992" s="4" t="s">
        <v>3</v>
      </c>
    </row>
    <row r="1993">
      <c r="A1993" s="3">
        <v>2017.0</v>
      </c>
      <c r="B1993" s="4" t="s">
        <v>672</v>
      </c>
      <c r="C1993" s="4">
        <v>0.0</v>
      </c>
      <c r="D1993" s="4" t="s">
        <v>2377</v>
      </c>
    </row>
    <row r="1994">
      <c r="A1994" s="3">
        <v>2017.0</v>
      </c>
      <c r="B1994" s="4" t="s">
        <v>2559</v>
      </c>
      <c r="C1994" s="4">
        <v>8300.0</v>
      </c>
      <c r="D1994" s="4" t="s">
        <v>2377</v>
      </c>
    </row>
    <row r="1995">
      <c r="A1995" s="3">
        <v>2017.0</v>
      </c>
      <c r="B1995" s="4" t="s">
        <v>675</v>
      </c>
      <c r="C1995" s="4">
        <v>2000.0</v>
      </c>
      <c r="D1995" s="4" t="s">
        <v>2508</v>
      </c>
    </row>
    <row r="1996">
      <c r="A1996" s="3">
        <v>2017.0</v>
      </c>
      <c r="B1996" s="4" t="s">
        <v>2560</v>
      </c>
      <c r="C1996" s="4">
        <v>0.0</v>
      </c>
      <c r="D1996" s="4" t="s">
        <v>6</v>
      </c>
    </row>
    <row r="1997">
      <c r="A1997" s="3">
        <v>2017.0</v>
      </c>
      <c r="B1997" s="4" t="s">
        <v>677</v>
      </c>
      <c r="C1997" s="4">
        <v>0.0</v>
      </c>
      <c r="D1997" s="4" t="s">
        <v>3</v>
      </c>
    </row>
    <row r="1998">
      <c r="A1998" s="3">
        <v>2017.0</v>
      </c>
      <c r="B1998" s="4" t="s">
        <v>678</v>
      </c>
      <c r="C1998" s="4">
        <v>0.0</v>
      </c>
      <c r="D1998" s="4" t="s">
        <v>2377</v>
      </c>
    </row>
    <row r="1999">
      <c r="A1999" s="3">
        <v>2017.0</v>
      </c>
      <c r="B1999" s="4" t="s">
        <v>679</v>
      </c>
      <c r="C1999" s="4">
        <v>280000.0</v>
      </c>
      <c r="D1999" s="4"/>
    </row>
    <row r="2000">
      <c r="A2000" s="3">
        <v>2017.0</v>
      </c>
      <c r="B2000" s="4" t="s">
        <v>681</v>
      </c>
      <c r="C2000" s="4">
        <v>8000.0</v>
      </c>
      <c r="D2000" s="4" t="s">
        <v>29</v>
      </c>
    </row>
    <row r="2001">
      <c r="A2001" s="3">
        <v>2017.0</v>
      </c>
      <c r="B2001" s="4" t="s">
        <v>682</v>
      </c>
      <c r="C2001" s="4">
        <v>1200.0</v>
      </c>
      <c r="D2001" s="4"/>
    </row>
    <row r="2002">
      <c r="A2002" s="3">
        <v>2017.0</v>
      </c>
      <c r="B2002" s="4" t="s">
        <v>683</v>
      </c>
      <c r="C2002" s="4">
        <v>4000.0</v>
      </c>
      <c r="D2002" s="4" t="s">
        <v>2508</v>
      </c>
    </row>
    <row r="2003">
      <c r="A2003" s="3">
        <v>2017.0</v>
      </c>
      <c r="B2003" s="4" t="s">
        <v>2561</v>
      </c>
      <c r="C2003" s="4">
        <v>0.0</v>
      </c>
      <c r="D2003" s="4" t="s">
        <v>3</v>
      </c>
    </row>
    <row r="2004">
      <c r="A2004" s="3">
        <v>2017.0</v>
      </c>
      <c r="B2004" s="4" t="s">
        <v>687</v>
      </c>
      <c r="C2004" s="4">
        <v>16250.0</v>
      </c>
      <c r="D2004" s="4" t="s">
        <v>6</v>
      </c>
    </row>
    <row r="2005">
      <c r="A2005" s="3">
        <v>2017.0</v>
      </c>
      <c r="B2005" s="4" t="s">
        <v>2562</v>
      </c>
      <c r="C2005" s="4">
        <v>0.0</v>
      </c>
      <c r="D2005" s="4" t="s">
        <v>29</v>
      </c>
    </row>
    <row r="2006">
      <c r="A2006" s="3">
        <v>2017.0</v>
      </c>
      <c r="B2006" s="4" t="s">
        <v>688</v>
      </c>
      <c r="C2006" s="4">
        <v>0.0</v>
      </c>
      <c r="D2006" s="4" t="s">
        <v>6</v>
      </c>
    </row>
    <row r="2007">
      <c r="A2007" s="3">
        <v>2017.0</v>
      </c>
      <c r="B2007" s="4" t="s">
        <v>689</v>
      </c>
      <c r="C2007" s="4">
        <v>1000.0</v>
      </c>
      <c r="D2007" s="4" t="s">
        <v>2377</v>
      </c>
    </row>
    <row r="2008">
      <c r="A2008" s="3">
        <v>2017.0</v>
      </c>
      <c r="B2008" s="4" t="s">
        <v>690</v>
      </c>
      <c r="C2008" s="4">
        <v>0.0</v>
      </c>
      <c r="D2008" s="4" t="s">
        <v>29</v>
      </c>
    </row>
    <row r="2009">
      <c r="A2009" s="3">
        <v>2017.0</v>
      </c>
      <c r="B2009" s="4" t="s">
        <v>2563</v>
      </c>
      <c r="C2009" s="4">
        <v>0.0</v>
      </c>
      <c r="D2009" s="4" t="s">
        <v>3</v>
      </c>
    </row>
    <row r="2010">
      <c r="A2010" s="3">
        <v>2017.0</v>
      </c>
      <c r="B2010" s="4" t="s">
        <v>2564</v>
      </c>
      <c r="C2010" s="4">
        <v>0.0</v>
      </c>
      <c r="D2010" s="4" t="s">
        <v>6</v>
      </c>
    </row>
    <row r="2011">
      <c r="A2011" s="3">
        <v>2017.0</v>
      </c>
      <c r="B2011" s="4" t="s">
        <v>2565</v>
      </c>
      <c r="C2011" s="4">
        <v>0.0</v>
      </c>
      <c r="D2011" s="4" t="s">
        <v>3</v>
      </c>
    </row>
    <row r="2012">
      <c r="A2012" s="3">
        <v>2017.0</v>
      </c>
      <c r="B2012" s="4" t="s">
        <v>695</v>
      </c>
      <c r="C2012" s="4">
        <v>0.0</v>
      </c>
      <c r="D2012" s="4" t="s">
        <v>3</v>
      </c>
    </row>
    <row r="2013">
      <c r="A2013" s="3">
        <v>2017.0</v>
      </c>
      <c r="B2013" s="4" t="s">
        <v>696</v>
      </c>
      <c r="C2013" s="4">
        <v>0.0</v>
      </c>
      <c r="D2013" s="4" t="s">
        <v>3</v>
      </c>
    </row>
    <row r="2014">
      <c r="A2014" s="3">
        <v>2017.0</v>
      </c>
      <c r="B2014" s="4" t="s">
        <v>2566</v>
      </c>
      <c r="C2014" s="4">
        <v>115000.0</v>
      </c>
      <c r="D2014" s="4" t="s">
        <v>6</v>
      </c>
    </row>
    <row r="2015">
      <c r="A2015" s="3">
        <v>2017.0</v>
      </c>
      <c r="B2015" s="4" t="s">
        <v>699</v>
      </c>
      <c r="C2015" s="4">
        <v>0.0</v>
      </c>
      <c r="D2015" s="4" t="s">
        <v>3</v>
      </c>
    </row>
    <row r="2016">
      <c r="A2016" s="3">
        <v>2017.0</v>
      </c>
      <c r="B2016" s="4" t="s">
        <v>700</v>
      </c>
      <c r="C2016" s="4">
        <v>2415.0</v>
      </c>
      <c r="D2016" s="4" t="s">
        <v>6</v>
      </c>
    </row>
    <row r="2017">
      <c r="A2017" s="3">
        <v>2017.0</v>
      </c>
      <c r="B2017" s="4" t="s">
        <v>2567</v>
      </c>
      <c r="C2017" s="4">
        <v>0.0</v>
      </c>
      <c r="D2017" s="4" t="s">
        <v>3</v>
      </c>
    </row>
    <row r="2018">
      <c r="A2018" s="3">
        <v>2017.0</v>
      </c>
      <c r="B2018" s="4" t="s">
        <v>705</v>
      </c>
      <c r="C2018" s="4">
        <v>1104.1</v>
      </c>
      <c r="D2018" s="4" t="s">
        <v>6</v>
      </c>
    </row>
    <row r="2019">
      <c r="A2019" s="3">
        <v>2017.0</v>
      </c>
      <c r="B2019" s="4" t="s">
        <v>2568</v>
      </c>
      <c r="C2019" s="4">
        <v>0.0</v>
      </c>
      <c r="D2019" s="4" t="s">
        <v>6</v>
      </c>
    </row>
    <row r="2020">
      <c r="A2020" s="3">
        <v>2017.0</v>
      </c>
      <c r="B2020" s="4" t="s">
        <v>709</v>
      </c>
      <c r="C2020" s="4">
        <v>0.0</v>
      </c>
      <c r="D2020" s="4" t="s">
        <v>29</v>
      </c>
    </row>
    <row r="2021">
      <c r="A2021" s="3">
        <v>2017.0</v>
      </c>
      <c r="B2021" s="4" t="s">
        <v>2569</v>
      </c>
      <c r="C2021" s="4">
        <v>56264.0</v>
      </c>
      <c r="D2021" s="4" t="s">
        <v>216</v>
      </c>
    </row>
    <row r="2022">
      <c r="A2022" s="3">
        <v>2017.0</v>
      </c>
      <c r="B2022" s="4" t="s">
        <v>714</v>
      </c>
      <c r="C2022" s="4">
        <v>0.0</v>
      </c>
      <c r="D2022" s="4" t="s">
        <v>6</v>
      </c>
    </row>
    <row r="2023">
      <c r="A2023" s="3">
        <v>2017.0</v>
      </c>
      <c r="B2023" s="4" t="s">
        <v>2570</v>
      </c>
      <c r="C2023" s="4">
        <v>0.0</v>
      </c>
      <c r="D2023" s="4" t="s">
        <v>6</v>
      </c>
    </row>
    <row r="2024">
      <c r="A2024" s="3">
        <v>2017.0</v>
      </c>
      <c r="B2024" s="4" t="s">
        <v>716</v>
      </c>
      <c r="C2024" s="4">
        <v>7000.0</v>
      </c>
      <c r="D2024" s="4" t="s">
        <v>2377</v>
      </c>
    </row>
    <row r="2025">
      <c r="A2025" s="3">
        <v>2017.0</v>
      </c>
      <c r="B2025" s="4" t="s">
        <v>2571</v>
      </c>
      <c r="C2025" s="4">
        <v>0.0</v>
      </c>
      <c r="D2025" s="4" t="s">
        <v>3</v>
      </c>
    </row>
    <row r="2026">
      <c r="A2026" s="3">
        <v>2017.0</v>
      </c>
      <c r="B2026" s="4" t="s">
        <v>717</v>
      </c>
      <c r="C2026" s="4">
        <v>4000.0</v>
      </c>
      <c r="D2026" s="4" t="s">
        <v>3</v>
      </c>
    </row>
    <row r="2027">
      <c r="A2027" s="3">
        <v>2017.0</v>
      </c>
      <c r="B2027" s="4" t="s">
        <v>719</v>
      </c>
      <c r="C2027" s="4">
        <v>0.0</v>
      </c>
      <c r="D2027" s="4" t="s">
        <v>29</v>
      </c>
    </row>
    <row r="2028">
      <c r="A2028" s="3">
        <v>2017.0</v>
      </c>
      <c r="B2028" s="4" t="s">
        <v>720</v>
      </c>
      <c r="C2028" s="4">
        <v>5400.0</v>
      </c>
      <c r="D2028" s="4"/>
    </row>
    <row r="2029">
      <c r="A2029" s="3">
        <v>2017.0</v>
      </c>
      <c r="B2029" s="4" t="s">
        <v>722</v>
      </c>
      <c r="C2029" s="4">
        <v>9000.0</v>
      </c>
      <c r="D2029" s="4"/>
    </row>
    <row r="2030">
      <c r="A2030" s="3">
        <v>2017.0</v>
      </c>
      <c r="B2030" s="4" t="s">
        <v>725</v>
      </c>
      <c r="C2030" s="4">
        <v>30000.0</v>
      </c>
      <c r="D2030" s="4" t="s">
        <v>6</v>
      </c>
    </row>
    <row r="2031">
      <c r="A2031" s="3">
        <v>2017.0</v>
      </c>
      <c r="B2031" s="4" t="s">
        <v>2197</v>
      </c>
      <c r="C2031" s="4">
        <v>19000.0</v>
      </c>
      <c r="D2031" s="4" t="s">
        <v>3</v>
      </c>
    </row>
    <row r="2032">
      <c r="A2032" s="3">
        <v>2017.0</v>
      </c>
      <c r="B2032" s="4" t="s">
        <v>2572</v>
      </c>
      <c r="C2032" s="4">
        <v>0.0</v>
      </c>
      <c r="D2032" s="4" t="s">
        <v>3</v>
      </c>
    </row>
    <row r="2033">
      <c r="A2033" s="3">
        <v>2017.0</v>
      </c>
      <c r="B2033" s="4" t="s">
        <v>729</v>
      </c>
      <c r="C2033" s="4">
        <v>40000.0</v>
      </c>
      <c r="D2033" s="4" t="s">
        <v>2377</v>
      </c>
    </row>
    <row r="2034">
      <c r="A2034" s="3">
        <v>2017.0</v>
      </c>
      <c r="B2034" s="4" t="s">
        <v>731</v>
      </c>
      <c r="C2034" s="4">
        <v>0.0</v>
      </c>
      <c r="D2034" s="4" t="s">
        <v>3</v>
      </c>
    </row>
    <row r="2035">
      <c r="A2035" s="3">
        <v>2017.0</v>
      </c>
      <c r="B2035" s="4" t="s">
        <v>2573</v>
      </c>
      <c r="C2035" s="4">
        <v>7000.0</v>
      </c>
      <c r="D2035" s="4" t="s">
        <v>6</v>
      </c>
    </row>
    <row r="2036">
      <c r="A2036" s="3">
        <v>2017.0</v>
      </c>
      <c r="B2036" s="4" t="s">
        <v>2574</v>
      </c>
      <c r="C2036" s="4">
        <v>0.0</v>
      </c>
      <c r="D2036" s="4" t="s">
        <v>3</v>
      </c>
    </row>
    <row r="2037">
      <c r="A2037" s="3">
        <v>2017.0</v>
      </c>
      <c r="B2037" s="4" t="s">
        <v>2575</v>
      </c>
      <c r="C2037" s="4">
        <v>10000.0</v>
      </c>
      <c r="D2037" s="4" t="s">
        <v>3</v>
      </c>
    </row>
    <row r="2038">
      <c r="A2038" s="3">
        <v>2017.0</v>
      </c>
      <c r="B2038" s="4" t="s">
        <v>2202</v>
      </c>
      <c r="C2038" s="4">
        <v>0.0</v>
      </c>
      <c r="D2038" s="4" t="s">
        <v>3</v>
      </c>
    </row>
    <row r="2039">
      <c r="A2039" s="3">
        <v>2017.0</v>
      </c>
      <c r="B2039" s="4" t="s">
        <v>2576</v>
      </c>
      <c r="C2039" s="4">
        <v>9000.0</v>
      </c>
      <c r="D2039" s="4" t="s">
        <v>3</v>
      </c>
    </row>
    <row r="2040">
      <c r="A2040" s="3">
        <v>2017.0</v>
      </c>
      <c r="B2040" s="4" t="s">
        <v>747</v>
      </c>
      <c r="C2040" s="4">
        <v>0.0</v>
      </c>
      <c r="D2040" s="4" t="s">
        <v>3</v>
      </c>
    </row>
    <row r="2041">
      <c r="A2041" s="3">
        <v>2017.0</v>
      </c>
      <c r="B2041" s="4" t="s">
        <v>748</v>
      </c>
      <c r="C2041" s="4">
        <v>1000.0</v>
      </c>
      <c r="D2041" s="4" t="s">
        <v>3</v>
      </c>
    </row>
    <row r="2042">
      <c r="A2042" s="3">
        <v>2017.0</v>
      </c>
      <c r="B2042" s="4" t="s">
        <v>749</v>
      </c>
      <c r="C2042" s="4">
        <v>0.0</v>
      </c>
      <c r="D2042" s="4" t="s">
        <v>6</v>
      </c>
    </row>
    <row r="2043">
      <c r="A2043" s="3">
        <v>2017.0</v>
      </c>
      <c r="B2043" s="4" t="s">
        <v>750</v>
      </c>
      <c r="C2043" s="4">
        <v>800.0</v>
      </c>
      <c r="D2043" s="4"/>
    </row>
    <row r="2044">
      <c r="A2044" s="3">
        <v>2017.0</v>
      </c>
      <c r="B2044" s="4" t="s">
        <v>751</v>
      </c>
      <c r="C2044" s="4">
        <v>0.0</v>
      </c>
      <c r="D2044" s="4" t="s">
        <v>3</v>
      </c>
    </row>
    <row r="2045">
      <c r="A2045" s="3">
        <v>2017.0</v>
      </c>
      <c r="B2045" s="4" t="s">
        <v>2577</v>
      </c>
      <c r="C2045" s="4">
        <v>0.0</v>
      </c>
      <c r="D2045" s="4" t="s">
        <v>3</v>
      </c>
    </row>
    <row r="2046">
      <c r="A2046" s="3">
        <v>2017.0</v>
      </c>
      <c r="B2046" s="4" t="s">
        <v>755</v>
      </c>
      <c r="C2046" s="4">
        <v>8000.0</v>
      </c>
      <c r="D2046" s="4" t="s">
        <v>6</v>
      </c>
    </row>
    <row r="2047">
      <c r="A2047" s="3">
        <v>2017.0</v>
      </c>
      <c r="B2047" s="4" t="s">
        <v>756</v>
      </c>
      <c r="C2047" s="4">
        <v>20000.0</v>
      </c>
      <c r="D2047" s="4"/>
    </row>
    <row r="2048">
      <c r="A2048" s="3">
        <v>2017.0</v>
      </c>
      <c r="B2048" s="4" t="s">
        <v>757</v>
      </c>
      <c r="C2048" s="4">
        <v>11358.0</v>
      </c>
      <c r="D2048" s="4"/>
    </row>
    <row r="2049">
      <c r="A2049" s="3">
        <v>2017.0</v>
      </c>
      <c r="B2049" s="4" t="s">
        <v>2204</v>
      </c>
      <c r="C2049" s="4">
        <v>460887.0</v>
      </c>
      <c r="D2049" s="4" t="s">
        <v>2370</v>
      </c>
    </row>
    <row r="2050">
      <c r="A2050" s="3">
        <v>2017.0</v>
      </c>
      <c r="B2050" s="4" t="s">
        <v>761</v>
      </c>
      <c r="C2050" s="4">
        <v>2500.0</v>
      </c>
      <c r="D2050" s="4"/>
    </row>
    <row r="2051">
      <c r="A2051" s="3">
        <v>2017.0</v>
      </c>
      <c r="B2051" s="4" t="s">
        <v>2578</v>
      </c>
      <c r="C2051" s="4">
        <v>0.0</v>
      </c>
      <c r="D2051" s="4" t="s">
        <v>3</v>
      </c>
    </row>
    <row r="2052">
      <c r="A2052" s="3">
        <v>2017.0</v>
      </c>
      <c r="B2052" s="4" t="s">
        <v>2579</v>
      </c>
      <c r="C2052" s="4">
        <v>0.0</v>
      </c>
      <c r="D2052" s="4" t="s">
        <v>3</v>
      </c>
    </row>
    <row r="2053">
      <c r="A2053" s="3">
        <v>2017.0</v>
      </c>
      <c r="B2053" s="4" t="s">
        <v>764</v>
      </c>
      <c r="C2053" s="4">
        <v>150.0</v>
      </c>
      <c r="D2053" s="4" t="s">
        <v>3</v>
      </c>
    </row>
    <row r="2054">
      <c r="A2054" s="3">
        <v>2017.0</v>
      </c>
      <c r="B2054" s="4" t="s">
        <v>766</v>
      </c>
      <c r="C2054" s="4">
        <v>0.0</v>
      </c>
      <c r="D2054" s="4" t="s">
        <v>3</v>
      </c>
    </row>
    <row r="2055">
      <c r="A2055" s="3">
        <v>2017.0</v>
      </c>
      <c r="B2055" s="4" t="s">
        <v>2580</v>
      </c>
      <c r="C2055" s="4">
        <v>0.0</v>
      </c>
      <c r="D2055" s="4" t="s">
        <v>3</v>
      </c>
    </row>
    <row r="2056">
      <c r="A2056" s="3">
        <v>2017.0</v>
      </c>
      <c r="B2056" s="4" t="s">
        <v>769</v>
      </c>
      <c r="C2056" s="4">
        <v>0.0</v>
      </c>
      <c r="D2056" s="4" t="s">
        <v>3</v>
      </c>
    </row>
    <row r="2057">
      <c r="A2057" s="3">
        <v>2017.0</v>
      </c>
      <c r="B2057" s="4" t="s">
        <v>770</v>
      </c>
      <c r="C2057" s="4">
        <v>0.0</v>
      </c>
      <c r="D2057" s="4" t="s">
        <v>3</v>
      </c>
    </row>
    <row r="2058">
      <c r="A2058" s="3">
        <v>2017.0</v>
      </c>
      <c r="B2058" s="4" t="s">
        <v>771</v>
      </c>
      <c r="C2058" s="4">
        <v>0.0</v>
      </c>
      <c r="D2058" s="4" t="s">
        <v>3</v>
      </c>
    </row>
    <row r="2059">
      <c r="A2059" s="3">
        <v>2017.0</v>
      </c>
      <c r="B2059" s="4" t="s">
        <v>772</v>
      </c>
      <c r="C2059" s="4">
        <v>0.0</v>
      </c>
      <c r="D2059" s="4" t="s">
        <v>3</v>
      </c>
    </row>
    <row r="2060">
      <c r="A2060" s="3">
        <v>2017.0</v>
      </c>
      <c r="B2060" s="4" t="s">
        <v>774</v>
      </c>
      <c r="C2060" s="4">
        <v>57000.0</v>
      </c>
      <c r="D2060" s="4" t="s">
        <v>176</v>
      </c>
    </row>
    <row r="2061">
      <c r="A2061" s="3">
        <v>2017.0</v>
      </c>
      <c r="B2061" s="4" t="s">
        <v>2059</v>
      </c>
      <c r="C2061" s="4">
        <v>11033.13</v>
      </c>
      <c r="D2061" s="4"/>
    </row>
    <row r="2062">
      <c r="A2062" s="3">
        <v>2017.0</v>
      </c>
      <c r="B2062" s="4" t="s">
        <v>2581</v>
      </c>
      <c r="C2062" s="4">
        <v>0.0</v>
      </c>
      <c r="D2062" s="4" t="s">
        <v>3</v>
      </c>
    </row>
    <row r="2063">
      <c r="A2063" s="3">
        <v>2017.0</v>
      </c>
      <c r="B2063" s="4" t="s">
        <v>778</v>
      </c>
      <c r="C2063" s="4">
        <v>1000.0</v>
      </c>
      <c r="D2063" s="4" t="s">
        <v>3</v>
      </c>
    </row>
    <row r="2064">
      <c r="A2064" s="3">
        <v>2017.0</v>
      </c>
      <c r="B2064" s="4" t="s">
        <v>779</v>
      </c>
      <c r="C2064" s="4">
        <v>800.0</v>
      </c>
      <c r="D2064" s="4"/>
    </row>
    <row r="2065">
      <c r="A2065" s="3">
        <v>2017.0</v>
      </c>
      <c r="B2065" s="4" t="s">
        <v>2582</v>
      </c>
      <c r="C2065" s="4">
        <v>0.0</v>
      </c>
      <c r="D2065" s="4" t="s">
        <v>3</v>
      </c>
    </row>
    <row r="2066">
      <c r="A2066" s="3">
        <v>2017.0</v>
      </c>
      <c r="B2066" s="4" t="s">
        <v>782</v>
      </c>
      <c r="C2066" s="4">
        <v>0.0</v>
      </c>
      <c r="D2066" s="4" t="s">
        <v>3</v>
      </c>
    </row>
    <row r="2067">
      <c r="A2067" s="3">
        <v>2017.0</v>
      </c>
      <c r="B2067" s="4" t="s">
        <v>783</v>
      </c>
      <c r="C2067" s="4">
        <v>0.0</v>
      </c>
      <c r="D2067" s="4" t="s">
        <v>29</v>
      </c>
    </row>
    <row r="2068">
      <c r="A2068" s="3">
        <v>2017.0</v>
      </c>
      <c r="B2068" s="4" t="s">
        <v>2583</v>
      </c>
      <c r="C2068" s="4">
        <v>0.0</v>
      </c>
      <c r="D2068" s="4" t="s">
        <v>6</v>
      </c>
    </row>
    <row r="2069">
      <c r="A2069" s="3">
        <v>2017.0</v>
      </c>
      <c r="B2069" s="4" t="s">
        <v>786</v>
      </c>
      <c r="C2069" s="4">
        <v>25000.0</v>
      </c>
      <c r="D2069" s="4"/>
    </row>
    <row r="2070">
      <c r="A2070" s="3">
        <v>2017.0</v>
      </c>
      <c r="B2070" s="4" t="s">
        <v>788</v>
      </c>
      <c r="C2070" s="4">
        <v>2000.0</v>
      </c>
      <c r="D2070" s="4" t="s">
        <v>2377</v>
      </c>
    </row>
    <row r="2071">
      <c r="A2071" s="3">
        <v>2017.0</v>
      </c>
      <c r="B2071" s="4" t="s">
        <v>2584</v>
      </c>
      <c r="C2071" s="4">
        <v>2000.0</v>
      </c>
      <c r="D2071" s="4"/>
    </row>
    <row r="2072">
      <c r="A2072" s="3">
        <v>2017.0</v>
      </c>
      <c r="B2072" s="4" t="s">
        <v>2585</v>
      </c>
      <c r="C2072" s="4">
        <v>0.0</v>
      </c>
      <c r="D2072" s="4" t="s">
        <v>3</v>
      </c>
    </row>
    <row r="2073">
      <c r="A2073" s="3">
        <v>2017.0</v>
      </c>
      <c r="B2073" s="4" t="s">
        <v>2586</v>
      </c>
      <c r="C2073" s="4">
        <v>0.0</v>
      </c>
      <c r="D2073" s="4" t="s">
        <v>3</v>
      </c>
    </row>
    <row r="2074">
      <c r="A2074" s="3">
        <v>2017.0</v>
      </c>
      <c r="B2074" s="4" t="s">
        <v>790</v>
      </c>
      <c r="C2074" s="4">
        <v>14000.0</v>
      </c>
      <c r="D2074" s="4"/>
    </row>
    <row r="2075">
      <c r="A2075" s="3">
        <v>2017.0</v>
      </c>
      <c r="B2075" s="4" t="s">
        <v>2587</v>
      </c>
      <c r="C2075" s="4">
        <v>4000.0</v>
      </c>
      <c r="D2075" s="4"/>
    </row>
    <row r="2076">
      <c r="A2076" s="3">
        <v>2017.0</v>
      </c>
      <c r="B2076" s="4" t="s">
        <v>792</v>
      </c>
      <c r="C2076" s="4">
        <v>0.0</v>
      </c>
      <c r="D2076" s="4" t="s">
        <v>3</v>
      </c>
    </row>
    <row r="2077">
      <c r="A2077" s="3">
        <v>2017.0</v>
      </c>
      <c r="B2077" s="4" t="s">
        <v>793</v>
      </c>
      <c r="C2077" s="4">
        <v>6000.0</v>
      </c>
      <c r="D2077" s="4"/>
    </row>
    <row r="2078">
      <c r="A2078" s="3">
        <v>2017.0</v>
      </c>
      <c r="B2078" s="4" t="s">
        <v>795</v>
      </c>
      <c r="C2078" s="4">
        <v>0.0</v>
      </c>
      <c r="D2078" s="4" t="s">
        <v>3</v>
      </c>
    </row>
    <row r="2079">
      <c r="A2079" s="3">
        <v>2017.0</v>
      </c>
      <c r="B2079" s="4" t="s">
        <v>2588</v>
      </c>
      <c r="C2079" s="4">
        <v>0.0</v>
      </c>
      <c r="D2079" s="4" t="s">
        <v>3</v>
      </c>
    </row>
    <row r="2080">
      <c r="A2080" s="3">
        <v>2017.0</v>
      </c>
      <c r="B2080" s="4" t="s">
        <v>2589</v>
      </c>
      <c r="C2080" s="4">
        <v>2000.0</v>
      </c>
      <c r="D2080" s="4" t="s">
        <v>3</v>
      </c>
    </row>
    <row r="2081">
      <c r="A2081" s="3">
        <v>2017.0</v>
      </c>
      <c r="B2081" s="4" t="s">
        <v>798</v>
      </c>
      <c r="C2081" s="4">
        <v>0.0</v>
      </c>
      <c r="D2081" s="4" t="s">
        <v>29</v>
      </c>
    </row>
    <row r="2082">
      <c r="A2082" s="3">
        <v>2017.0</v>
      </c>
      <c r="B2082" s="4" t="s">
        <v>799</v>
      </c>
      <c r="C2082" s="4">
        <v>0.0</v>
      </c>
      <c r="D2082" s="4" t="s">
        <v>29</v>
      </c>
    </row>
    <row r="2083">
      <c r="A2083" s="3">
        <v>2017.0</v>
      </c>
      <c r="B2083" s="4" t="s">
        <v>2206</v>
      </c>
      <c r="C2083" s="4">
        <v>229827.0</v>
      </c>
      <c r="D2083" s="4" t="s">
        <v>2370</v>
      </c>
    </row>
    <row r="2084">
      <c r="A2084" s="3">
        <v>2017.0</v>
      </c>
      <c r="B2084" s="4" t="s">
        <v>802</v>
      </c>
      <c r="C2084" s="4">
        <v>0.0</v>
      </c>
      <c r="D2084" s="4" t="s">
        <v>3</v>
      </c>
    </row>
    <row r="2085">
      <c r="A2085" s="3">
        <v>2017.0</v>
      </c>
      <c r="B2085" s="4" t="s">
        <v>803</v>
      </c>
      <c r="C2085" s="4">
        <v>1000.0</v>
      </c>
      <c r="D2085" s="4" t="s">
        <v>2377</v>
      </c>
    </row>
    <row r="2086">
      <c r="A2086" s="3">
        <v>2017.0</v>
      </c>
      <c r="B2086" s="4" t="s">
        <v>2590</v>
      </c>
      <c r="C2086" s="4">
        <v>0.0</v>
      </c>
      <c r="D2086" s="4" t="s">
        <v>3</v>
      </c>
    </row>
    <row r="2087">
      <c r="A2087" s="3">
        <v>2017.0</v>
      </c>
      <c r="B2087" s="4" t="s">
        <v>806</v>
      </c>
      <c r="C2087" s="4">
        <v>1000.0</v>
      </c>
      <c r="D2087" s="4" t="s">
        <v>6</v>
      </c>
    </row>
    <row r="2088">
      <c r="A2088" s="3">
        <v>2017.0</v>
      </c>
      <c r="B2088" s="4" t="s">
        <v>807</v>
      </c>
      <c r="C2088" s="4">
        <v>0.0</v>
      </c>
      <c r="D2088" s="4" t="s">
        <v>29</v>
      </c>
    </row>
    <row r="2089">
      <c r="A2089" s="3">
        <v>2017.0</v>
      </c>
      <c r="B2089" s="4" t="s">
        <v>809</v>
      </c>
      <c r="C2089" s="4">
        <v>0.0</v>
      </c>
      <c r="D2089" s="4" t="s">
        <v>29</v>
      </c>
    </row>
    <row r="2090">
      <c r="A2090" s="3">
        <v>2017.0</v>
      </c>
      <c r="B2090" s="4" t="s">
        <v>810</v>
      </c>
      <c r="C2090" s="4">
        <v>0.0</v>
      </c>
      <c r="D2090" s="4" t="s">
        <v>3</v>
      </c>
    </row>
    <row r="2091">
      <c r="A2091" s="3">
        <v>2017.0</v>
      </c>
      <c r="B2091" s="4" t="s">
        <v>2591</v>
      </c>
      <c r="C2091" s="4">
        <v>15800.0</v>
      </c>
      <c r="D2091" s="4"/>
    </row>
    <row r="2092">
      <c r="A2092" s="3">
        <v>2017.0</v>
      </c>
      <c r="B2092" s="4" t="s">
        <v>2592</v>
      </c>
      <c r="C2092" s="4">
        <v>0.0</v>
      </c>
      <c r="D2092" s="4" t="s">
        <v>3</v>
      </c>
    </row>
    <row r="2093">
      <c r="A2093" s="3">
        <v>2017.0</v>
      </c>
      <c r="B2093" s="4" t="s">
        <v>816</v>
      </c>
      <c r="C2093" s="4">
        <v>0.0</v>
      </c>
      <c r="D2093" s="4" t="s">
        <v>3</v>
      </c>
    </row>
    <row r="2094">
      <c r="A2094" s="3">
        <v>2017.0</v>
      </c>
      <c r="B2094" s="4" t="s">
        <v>2593</v>
      </c>
      <c r="C2094" s="4">
        <v>0.0</v>
      </c>
      <c r="D2094" s="4" t="s">
        <v>3</v>
      </c>
    </row>
    <row r="2095">
      <c r="A2095" s="3">
        <v>2017.0</v>
      </c>
      <c r="B2095" s="4" t="s">
        <v>2594</v>
      </c>
      <c r="C2095" s="4">
        <v>0.0</v>
      </c>
      <c r="D2095" s="4" t="s">
        <v>6</v>
      </c>
    </row>
    <row r="2096">
      <c r="A2096" s="3">
        <v>2017.0</v>
      </c>
      <c r="B2096" s="4" t="s">
        <v>817</v>
      </c>
      <c r="C2096" s="4">
        <v>1000.0</v>
      </c>
      <c r="D2096" s="4" t="s">
        <v>3</v>
      </c>
    </row>
    <row r="2097">
      <c r="A2097" s="3">
        <v>2017.0</v>
      </c>
      <c r="B2097" s="4" t="s">
        <v>2207</v>
      </c>
      <c r="C2097" s="4">
        <v>627135.0</v>
      </c>
      <c r="D2097" s="4" t="s">
        <v>2370</v>
      </c>
    </row>
    <row r="2098">
      <c r="A2098" s="3">
        <v>2017.0</v>
      </c>
      <c r="B2098" s="4" t="s">
        <v>824</v>
      </c>
      <c r="C2098" s="4">
        <v>5000.0</v>
      </c>
      <c r="D2098" s="4"/>
    </row>
    <row r="2099">
      <c r="A2099" s="3">
        <v>2017.0</v>
      </c>
      <c r="B2099" s="4" t="s">
        <v>2595</v>
      </c>
      <c r="C2099" s="4">
        <v>0.0</v>
      </c>
      <c r="D2099" s="4" t="s">
        <v>3</v>
      </c>
    </row>
    <row r="2100">
      <c r="A2100" s="3">
        <v>2017.0</v>
      </c>
      <c r="B2100" s="4" t="s">
        <v>830</v>
      </c>
      <c r="C2100" s="4">
        <v>0.0</v>
      </c>
      <c r="D2100" s="4" t="s">
        <v>3</v>
      </c>
    </row>
    <row r="2101">
      <c r="A2101" s="3">
        <v>2017.0</v>
      </c>
      <c r="B2101" s="4" t="s">
        <v>831</v>
      </c>
      <c r="C2101" s="4">
        <v>0.0</v>
      </c>
      <c r="D2101" s="4" t="s">
        <v>3</v>
      </c>
    </row>
    <row r="2102">
      <c r="A2102" s="3">
        <v>2017.0</v>
      </c>
      <c r="B2102" s="4" t="s">
        <v>833</v>
      </c>
      <c r="C2102" s="4">
        <v>0.0</v>
      </c>
      <c r="D2102" s="4" t="s">
        <v>3</v>
      </c>
    </row>
    <row r="2103">
      <c r="A2103" s="3">
        <v>2017.0</v>
      </c>
      <c r="B2103" s="4" t="s">
        <v>2596</v>
      </c>
      <c r="C2103" s="4">
        <v>0.0</v>
      </c>
      <c r="D2103" s="4" t="s">
        <v>3</v>
      </c>
    </row>
    <row r="2104">
      <c r="A2104" s="3">
        <v>2017.0</v>
      </c>
      <c r="B2104" s="4" t="s">
        <v>2597</v>
      </c>
      <c r="C2104" s="4">
        <v>0.0</v>
      </c>
      <c r="D2104" s="4" t="s">
        <v>3</v>
      </c>
    </row>
    <row r="2105">
      <c r="A2105" s="3">
        <v>2017.0</v>
      </c>
      <c r="B2105" s="4" t="s">
        <v>834</v>
      </c>
      <c r="C2105" s="4">
        <v>28000.0</v>
      </c>
      <c r="D2105" s="4"/>
    </row>
    <row r="2106">
      <c r="A2106" s="3">
        <v>2017.0</v>
      </c>
      <c r="B2106" s="4" t="s">
        <v>2598</v>
      </c>
      <c r="C2106" s="4">
        <v>0.0</v>
      </c>
      <c r="D2106" s="4" t="s">
        <v>3</v>
      </c>
    </row>
    <row r="2107">
      <c r="A2107" s="3">
        <v>2017.0</v>
      </c>
      <c r="B2107" s="4" t="s">
        <v>839</v>
      </c>
      <c r="C2107" s="4">
        <v>0.0</v>
      </c>
      <c r="D2107" s="4" t="s">
        <v>6</v>
      </c>
    </row>
    <row r="2108">
      <c r="A2108" s="3">
        <v>2017.0</v>
      </c>
      <c r="B2108" s="4" t="s">
        <v>2212</v>
      </c>
      <c r="C2108" s="4">
        <v>0.0</v>
      </c>
      <c r="D2108" s="4" t="s">
        <v>3</v>
      </c>
    </row>
    <row r="2109">
      <c r="A2109" s="3">
        <v>2017.0</v>
      </c>
      <c r="B2109" s="4" t="s">
        <v>2599</v>
      </c>
      <c r="C2109" s="4">
        <v>2000.0</v>
      </c>
      <c r="D2109" s="4" t="s">
        <v>3</v>
      </c>
    </row>
    <row r="2110">
      <c r="A2110" s="3">
        <v>2017.0</v>
      </c>
      <c r="B2110" s="4" t="s">
        <v>2600</v>
      </c>
      <c r="C2110" s="4">
        <v>0.0</v>
      </c>
      <c r="D2110" s="4" t="s">
        <v>2377</v>
      </c>
    </row>
    <row r="2111">
      <c r="A2111" s="3">
        <v>2017.0</v>
      </c>
      <c r="B2111" s="4" t="s">
        <v>2601</v>
      </c>
      <c r="C2111" s="4">
        <v>2000.0</v>
      </c>
      <c r="D2111" s="4"/>
    </row>
    <row r="2112">
      <c r="A2112" s="3">
        <v>2017.0</v>
      </c>
      <c r="B2112" s="4" t="s">
        <v>2602</v>
      </c>
      <c r="C2112" s="4">
        <v>0.0</v>
      </c>
      <c r="D2112" s="4" t="s">
        <v>3</v>
      </c>
    </row>
    <row r="2113">
      <c r="A2113" s="3">
        <v>2017.0</v>
      </c>
      <c r="B2113" s="4" t="s">
        <v>843</v>
      </c>
      <c r="C2113" s="4">
        <v>3100.0</v>
      </c>
      <c r="D2113" s="4" t="s">
        <v>2377</v>
      </c>
    </row>
    <row r="2114">
      <c r="A2114" s="3">
        <v>2017.0</v>
      </c>
      <c r="B2114" s="4" t="s">
        <v>2603</v>
      </c>
      <c r="C2114" s="4">
        <v>0.0</v>
      </c>
      <c r="D2114" s="4" t="s">
        <v>3</v>
      </c>
    </row>
    <row r="2115">
      <c r="A2115" s="3">
        <v>2017.0</v>
      </c>
      <c r="B2115" s="4" t="s">
        <v>845</v>
      </c>
      <c r="C2115" s="4">
        <v>8000.0</v>
      </c>
      <c r="D2115" s="4" t="s">
        <v>3</v>
      </c>
    </row>
    <row r="2116">
      <c r="A2116" s="3">
        <v>2017.0</v>
      </c>
      <c r="B2116" s="4" t="s">
        <v>2604</v>
      </c>
      <c r="C2116" s="4">
        <v>2500.0</v>
      </c>
      <c r="D2116" s="4"/>
    </row>
    <row r="2117">
      <c r="A2117" s="3">
        <v>2017.0</v>
      </c>
      <c r="B2117" s="4" t="s">
        <v>847</v>
      </c>
      <c r="C2117" s="4">
        <v>1500.0</v>
      </c>
      <c r="D2117" s="4"/>
    </row>
    <row r="2118">
      <c r="A2118" s="3">
        <v>2017.0</v>
      </c>
      <c r="B2118" s="4" t="s">
        <v>849</v>
      </c>
      <c r="C2118" s="4">
        <v>0.0</v>
      </c>
      <c r="D2118" s="4" t="s">
        <v>3</v>
      </c>
    </row>
    <row r="2119">
      <c r="A2119" s="3">
        <v>2017.0</v>
      </c>
      <c r="B2119" s="4" t="s">
        <v>2605</v>
      </c>
      <c r="C2119" s="4">
        <v>800.0</v>
      </c>
      <c r="D2119" s="4" t="s">
        <v>6</v>
      </c>
    </row>
    <row r="2120">
      <c r="A2120" s="3">
        <v>2017.0</v>
      </c>
      <c r="B2120" s="4" t="s">
        <v>850</v>
      </c>
      <c r="C2120" s="4">
        <v>0.0</v>
      </c>
      <c r="D2120" s="4" t="s">
        <v>3</v>
      </c>
    </row>
    <row r="2121">
      <c r="A2121" s="3">
        <v>2017.0</v>
      </c>
      <c r="B2121" s="4" t="s">
        <v>851</v>
      </c>
      <c r="C2121" s="4">
        <v>1000.0</v>
      </c>
      <c r="D2121" s="4"/>
    </row>
    <row r="2122">
      <c r="A2122" s="3">
        <v>2017.0</v>
      </c>
      <c r="B2122" s="4" t="s">
        <v>2606</v>
      </c>
      <c r="C2122" s="4">
        <v>0.0</v>
      </c>
      <c r="D2122" s="4" t="s">
        <v>3</v>
      </c>
    </row>
    <row r="2123">
      <c r="A2123" s="3">
        <v>2017.0</v>
      </c>
      <c r="B2123" s="4" t="s">
        <v>2607</v>
      </c>
      <c r="C2123" s="4">
        <v>0.0</v>
      </c>
      <c r="D2123" s="4" t="s">
        <v>6</v>
      </c>
    </row>
    <row r="2124">
      <c r="A2124" s="3">
        <v>2017.0</v>
      </c>
      <c r="B2124" s="4" t="s">
        <v>854</v>
      </c>
      <c r="C2124" s="4">
        <v>0.0</v>
      </c>
      <c r="D2124" s="4" t="s">
        <v>3</v>
      </c>
    </row>
    <row r="2125">
      <c r="A2125" s="3">
        <v>2017.0</v>
      </c>
      <c r="B2125" s="4" t="s">
        <v>2214</v>
      </c>
      <c r="C2125" s="4">
        <v>3700.0</v>
      </c>
      <c r="D2125" s="4" t="s">
        <v>2370</v>
      </c>
    </row>
    <row r="2126">
      <c r="A2126" s="3">
        <v>2017.0</v>
      </c>
      <c r="B2126" s="4" t="s">
        <v>2216</v>
      </c>
      <c r="C2126" s="4">
        <v>1000.0</v>
      </c>
      <c r="D2126" s="4"/>
    </row>
    <row r="2127">
      <c r="A2127" s="3">
        <v>2017.0</v>
      </c>
      <c r="B2127" s="4" t="s">
        <v>2608</v>
      </c>
      <c r="C2127" s="4">
        <v>0.0</v>
      </c>
      <c r="D2127" s="4" t="s">
        <v>3</v>
      </c>
    </row>
    <row r="2128">
      <c r="A2128" s="3">
        <v>2017.0</v>
      </c>
      <c r="B2128" s="4" t="s">
        <v>2609</v>
      </c>
      <c r="C2128" s="4">
        <v>0.0</v>
      </c>
      <c r="D2128" s="4" t="s">
        <v>6</v>
      </c>
    </row>
    <row r="2129">
      <c r="A2129" s="3">
        <v>2017.0</v>
      </c>
      <c r="B2129" s="4" t="s">
        <v>2610</v>
      </c>
      <c r="C2129" s="4">
        <v>0.0</v>
      </c>
      <c r="D2129" s="4" t="s">
        <v>29</v>
      </c>
    </row>
    <row r="2130">
      <c r="A2130" s="3">
        <v>2017.0</v>
      </c>
      <c r="B2130" s="4" t="s">
        <v>869</v>
      </c>
      <c r="C2130" s="4">
        <v>1600.0</v>
      </c>
      <c r="D2130" s="4"/>
    </row>
    <row r="2131">
      <c r="A2131" s="3">
        <v>2017.0</v>
      </c>
      <c r="B2131" s="4" t="s">
        <v>2220</v>
      </c>
      <c r="C2131" s="4">
        <v>500.0</v>
      </c>
      <c r="D2131" s="4"/>
    </row>
    <row r="2132">
      <c r="A2132" s="3">
        <v>2017.0</v>
      </c>
      <c r="B2132" s="4" t="s">
        <v>873</v>
      </c>
      <c r="C2132" s="4">
        <v>0.0</v>
      </c>
      <c r="D2132" s="4" t="s">
        <v>2368</v>
      </c>
    </row>
    <row r="2133">
      <c r="A2133" s="3">
        <v>2017.0</v>
      </c>
      <c r="B2133" s="4" t="s">
        <v>874</v>
      </c>
      <c r="C2133" s="4">
        <v>0.0</v>
      </c>
      <c r="D2133" s="4" t="s">
        <v>3</v>
      </c>
    </row>
    <row r="2134">
      <c r="A2134" s="3">
        <v>2017.0</v>
      </c>
      <c r="B2134" s="4" t="s">
        <v>2611</v>
      </c>
      <c r="C2134" s="4">
        <v>0.0</v>
      </c>
      <c r="D2134" s="4" t="s">
        <v>2377</v>
      </c>
    </row>
    <row r="2135">
      <c r="A2135" s="3">
        <v>2017.0</v>
      </c>
      <c r="B2135" s="4" t="s">
        <v>2612</v>
      </c>
      <c r="C2135" s="4">
        <v>500.0</v>
      </c>
      <c r="D2135" s="4" t="s">
        <v>3</v>
      </c>
    </row>
    <row r="2136">
      <c r="A2136" s="3">
        <v>2017.0</v>
      </c>
      <c r="B2136" s="4" t="s">
        <v>2222</v>
      </c>
      <c r="C2136" s="4">
        <v>0.0</v>
      </c>
      <c r="D2136" s="4" t="s">
        <v>29</v>
      </c>
    </row>
    <row r="2137">
      <c r="A2137" s="3">
        <v>2017.0</v>
      </c>
      <c r="B2137" s="4" t="s">
        <v>2613</v>
      </c>
      <c r="C2137" s="4">
        <v>0.0</v>
      </c>
      <c r="D2137" s="4" t="s">
        <v>2377</v>
      </c>
    </row>
    <row r="2138">
      <c r="A2138" s="3">
        <v>2017.0</v>
      </c>
      <c r="B2138" s="4" t="s">
        <v>2614</v>
      </c>
      <c r="C2138" s="4">
        <v>0.0</v>
      </c>
      <c r="D2138" s="4" t="s">
        <v>3</v>
      </c>
    </row>
    <row r="2139">
      <c r="A2139" s="3">
        <v>2017.0</v>
      </c>
      <c r="B2139" s="4" t="s">
        <v>882</v>
      </c>
      <c r="C2139" s="4">
        <v>0.0</v>
      </c>
      <c r="D2139" s="4" t="s">
        <v>6</v>
      </c>
    </row>
    <row r="2140">
      <c r="A2140" s="3">
        <v>2017.0</v>
      </c>
      <c r="B2140" s="4" t="s">
        <v>2615</v>
      </c>
      <c r="C2140" s="4">
        <v>0.0</v>
      </c>
      <c r="D2140" s="4" t="s">
        <v>3</v>
      </c>
    </row>
    <row r="2141">
      <c r="A2141" s="3">
        <v>2017.0</v>
      </c>
      <c r="B2141" s="4" t="s">
        <v>2224</v>
      </c>
      <c r="C2141" s="4">
        <v>0.0</v>
      </c>
      <c r="D2141" s="4" t="s">
        <v>29</v>
      </c>
    </row>
    <row r="2142">
      <c r="A2142" s="3">
        <v>2017.0</v>
      </c>
      <c r="B2142" s="4" t="s">
        <v>2616</v>
      </c>
      <c r="C2142" s="4">
        <v>750.0</v>
      </c>
      <c r="D2142" s="4"/>
    </row>
    <row r="2143">
      <c r="A2143" s="3">
        <v>2017.0</v>
      </c>
      <c r="B2143" s="4" t="s">
        <v>885</v>
      </c>
      <c r="C2143" s="4">
        <v>0.0</v>
      </c>
      <c r="D2143" s="4" t="s">
        <v>3</v>
      </c>
    </row>
    <row r="2144">
      <c r="A2144" s="3">
        <v>2017.0</v>
      </c>
      <c r="B2144" s="4" t="s">
        <v>2617</v>
      </c>
      <c r="C2144" s="4">
        <v>1650.0</v>
      </c>
      <c r="D2144" s="4"/>
    </row>
    <row r="2145">
      <c r="A2145" s="3">
        <v>2017.0</v>
      </c>
      <c r="B2145" s="4" t="s">
        <v>886</v>
      </c>
      <c r="C2145" s="4">
        <v>0.0</v>
      </c>
      <c r="D2145" s="4" t="s">
        <v>2377</v>
      </c>
    </row>
    <row r="2146">
      <c r="A2146" s="3">
        <v>2017.0</v>
      </c>
      <c r="B2146" s="4" t="s">
        <v>2225</v>
      </c>
      <c r="C2146" s="4">
        <v>500.0</v>
      </c>
      <c r="D2146" s="4"/>
    </row>
    <row r="2147">
      <c r="A2147" s="3">
        <v>2017.0</v>
      </c>
      <c r="B2147" s="4" t="s">
        <v>2618</v>
      </c>
      <c r="C2147" s="4">
        <v>9200.0</v>
      </c>
      <c r="D2147" s="4" t="s">
        <v>2377</v>
      </c>
    </row>
    <row r="2148">
      <c r="A2148" s="3">
        <v>2017.0</v>
      </c>
      <c r="B2148" s="4" t="s">
        <v>2619</v>
      </c>
      <c r="C2148" s="4">
        <v>41400.0</v>
      </c>
      <c r="D2148" s="4" t="s">
        <v>2370</v>
      </c>
    </row>
    <row r="2149">
      <c r="A2149" s="3">
        <v>2017.0</v>
      </c>
      <c r="B2149" s="4" t="s">
        <v>2226</v>
      </c>
      <c r="C2149" s="4">
        <v>1000.0</v>
      </c>
      <c r="D2149" s="4" t="s">
        <v>2377</v>
      </c>
    </row>
    <row r="2150">
      <c r="A2150" s="3">
        <v>2017.0</v>
      </c>
      <c r="B2150" s="4" t="s">
        <v>2620</v>
      </c>
      <c r="C2150" s="4">
        <v>0.0</v>
      </c>
      <c r="D2150" s="4" t="s">
        <v>3</v>
      </c>
    </row>
    <row r="2151">
      <c r="A2151" s="3">
        <v>2017.0</v>
      </c>
      <c r="B2151" s="4" t="s">
        <v>894</v>
      </c>
      <c r="C2151" s="4">
        <v>0.0</v>
      </c>
      <c r="D2151" s="4" t="s">
        <v>6</v>
      </c>
    </row>
    <row r="2152">
      <c r="A2152" s="3">
        <v>2017.0</v>
      </c>
      <c r="B2152" s="4" t="s">
        <v>895</v>
      </c>
      <c r="C2152" s="4">
        <v>0.0</v>
      </c>
      <c r="D2152" s="4" t="s">
        <v>3</v>
      </c>
    </row>
    <row r="2153">
      <c r="A2153" s="3">
        <v>2017.0</v>
      </c>
      <c r="B2153" s="4" t="s">
        <v>896</v>
      </c>
      <c r="C2153" s="4">
        <v>0.0</v>
      </c>
      <c r="D2153" s="4" t="s">
        <v>3</v>
      </c>
    </row>
    <row r="2154">
      <c r="A2154" s="3">
        <v>2017.0</v>
      </c>
      <c r="B2154" s="4" t="s">
        <v>2621</v>
      </c>
      <c r="C2154" s="4">
        <v>0.0</v>
      </c>
      <c r="D2154" s="4" t="s">
        <v>6</v>
      </c>
    </row>
    <row r="2155">
      <c r="A2155" s="3">
        <v>2017.0</v>
      </c>
      <c r="B2155" s="4" t="s">
        <v>899</v>
      </c>
      <c r="C2155" s="4">
        <v>0.0</v>
      </c>
      <c r="D2155" s="4" t="s">
        <v>3</v>
      </c>
    </row>
    <row r="2156">
      <c r="A2156" s="3">
        <v>2017.0</v>
      </c>
      <c r="B2156" s="4" t="s">
        <v>900</v>
      </c>
      <c r="C2156" s="4">
        <v>2000.0</v>
      </c>
      <c r="D2156" s="4"/>
    </row>
    <row r="2157">
      <c r="A2157" s="3">
        <v>2017.0</v>
      </c>
      <c r="B2157" s="4" t="s">
        <v>2622</v>
      </c>
      <c r="C2157" s="4">
        <v>0.0</v>
      </c>
      <c r="D2157" s="4" t="s">
        <v>3</v>
      </c>
    </row>
    <row r="2158">
      <c r="A2158" s="3">
        <v>2017.0</v>
      </c>
      <c r="B2158" s="4" t="s">
        <v>2623</v>
      </c>
      <c r="C2158" s="4">
        <v>0.0</v>
      </c>
      <c r="D2158" s="4" t="s">
        <v>3</v>
      </c>
    </row>
    <row r="2159">
      <c r="A2159" s="3">
        <v>2017.0</v>
      </c>
      <c r="B2159" s="4" t="s">
        <v>904</v>
      </c>
      <c r="C2159" s="4">
        <v>2085.0</v>
      </c>
      <c r="D2159" s="4"/>
    </row>
    <row r="2160">
      <c r="A2160" s="3">
        <v>2017.0</v>
      </c>
      <c r="B2160" s="4" t="s">
        <v>906</v>
      </c>
      <c r="C2160" s="4">
        <v>0.0</v>
      </c>
      <c r="D2160" s="4"/>
    </row>
    <row r="2161">
      <c r="A2161" s="3">
        <v>2017.0</v>
      </c>
      <c r="B2161" s="4" t="s">
        <v>911</v>
      </c>
      <c r="C2161" s="4">
        <v>0.0</v>
      </c>
      <c r="D2161" s="4" t="s">
        <v>3</v>
      </c>
    </row>
    <row r="2162">
      <c r="A2162" s="3">
        <v>2017.0</v>
      </c>
      <c r="B2162" s="4" t="s">
        <v>2624</v>
      </c>
      <c r="C2162" s="4">
        <v>980.0</v>
      </c>
      <c r="D2162" s="4" t="s">
        <v>6</v>
      </c>
    </row>
    <row r="2163">
      <c r="A2163" s="3">
        <v>2017.0</v>
      </c>
      <c r="B2163" s="4" t="s">
        <v>912</v>
      </c>
      <c r="C2163" s="4">
        <v>0.0</v>
      </c>
      <c r="D2163" s="4" t="s">
        <v>3</v>
      </c>
    </row>
    <row r="2164">
      <c r="A2164" s="3">
        <v>2017.0</v>
      </c>
      <c r="B2164" s="4" t="s">
        <v>2625</v>
      </c>
      <c r="C2164" s="4">
        <v>0.0</v>
      </c>
      <c r="D2164" s="4" t="s">
        <v>3</v>
      </c>
    </row>
    <row r="2165">
      <c r="A2165" s="3">
        <v>2017.0</v>
      </c>
      <c r="B2165" s="4" t="s">
        <v>2626</v>
      </c>
      <c r="C2165" s="4">
        <v>10000.0</v>
      </c>
      <c r="D2165" s="4"/>
    </row>
    <row r="2166">
      <c r="A2166" s="3">
        <v>2017.0</v>
      </c>
      <c r="B2166" s="4" t="s">
        <v>2627</v>
      </c>
      <c r="C2166" s="4">
        <v>0.0</v>
      </c>
      <c r="D2166" s="4" t="s">
        <v>3</v>
      </c>
    </row>
    <row r="2167">
      <c r="A2167" s="3">
        <v>2017.0</v>
      </c>
      <c r="B2167" s="4" t="s">
        <v>913</v>
      </c>
      <c r="C2167" s="4">
        <v>3000.0</v>
      </c>
      <c r="D2167" s="4"/>
    </row>
    <row r="2168">
      <c r="A2168" s="3">
        <v>2017.0</v>
      </c>
      <c r="B2168" s="4" t="s">
        <v>2628</v>
      </c>
      <c r="C2168" s="4">
        <v>0.0</v>
      </c>
      <c r="D2168" s="4" t="s">
        <v>3</v>
      </c>
    </row>
    <row r="2169">
      <c r="A2169" s="3">
        <v>2017.0</v>
      </c>
      <c r="B2169" s="4" t="s">
        <v>914</v>
      </c>
      <c r="C2169" s="4">
        <v>2000.0</v>
      </c>
      <c r="D2169" s="4" t="s">
        <v>2377</v>
      </c>
    </row>
    <row r="2170">
      <c r="A2170" s="3">
        <v>2017.0</v>
      </c>
      <c r="B2170" s="4" t="s">
        <v>916</v>
      </c>
      <c r="C2170" s="4">
        <v>35000.0</v>
      </c>
      <c r="D2170" s="4" t="s">
        <v>176</v>
      </c>
    </row>
    <row r="2171">
      <c r="A2171" s="3">
        <v>2017.0</v>
      </c>
      <c r="B2171" s="4" t="s">
        <v>918</v>
      </c>
      <c r="C2171" s="4">
        <v>2000.0</v>
      </c>
      <c r="D2171" s="4" t="s">
        <v>3</v>
      </c>
    </row>
    <row r="2172">
      <c r="A2172" s="3">
        <v>2017.0</v>
      </c>
      <c r="B2172" s="4" t="s">
        <v>2629</v>
      </c>
      <c r="C2172" s="4">
        <v>0.0</v>
      </c>
      <c r="D2172" s="4" t="s">
        <v>6</v>
      </c>
    </row>
    <row r="2173">
      <c r="A2173" s="3">
        <v>2017.0</v>
      </c>
      <c r="B2173" s="4" t="s">
        <v>2630</v>
      </c>
      <c r="C2173" s="4">
        <v>0.0</v>
      </c>
      <c r="D2173" s="4" t="s">
        <v>3</v>
      </c>
    </row>
    <row r="2174">
      <c r="A2174" s="3">
        <v>2017.0</v>
      </c>
      <c r="B2174" s="4" t="s">
        <v>920</v>
      </c>
      <c r="C2174" s="4">
        <v>0.0</v>
      </c>
      <c r="D2174" s="4" t="s">
        <v>3</v>
      </c>
    </row>
    <row r="2175">
      <c r="A2175" s="3">
        <v>2017.0</v>
      </c>
      <c r="B2175" s="4" t="s">
        <v>2631</v>
      </c>
      <c r="C2175" s="4">
        <v>0.0</v>
      </c>
      <c r="D2175" s="4" t="s">
        <v>3</v>
      </c>
    </row>
    <row r="2176">
      <c r="A2176" s="3">
        <v>2017.0</v>
      </c>
      <c r="B2176" s="4" t="s">
        <v>2632</v>
      </c>
      <c r="C2176" s="4">
        <v>42000.0</v>
      </c>
      <c r="D2176" s="4" t="s">
        <v>2377</v>
      </c>
    </row>
    <row r="2177">
      <c r="A2177" s="3">
        <v>2017.0</v>
      </c>
      <c r="B2177" s="4" t="s">
        <v>924</v>
      </c>
      <c r="C2177" s="4">
        <v>0.0</v>
      </c>
      <c r="D2177" s="4" t="s">
        <v>3</v>
      </c>
    </row>
    <row r="2178">
      <c r="A2178" s="3">
        <v>2017.0</v>
      </c>
      <c r="B2178" s="4" t="s">
        <v>925</v>
      </c>
      <c r="C2178" s="4">
        <v>3000.0</v>
      </c>
      <c r="D2178" s="4"/>
    </row>
    <row r="2179">
      <c r="A2179" s="3">
        <v>2017.0</v>
      </c>
      <c r="B2179" s="4" t="s">
        <v>2633</v>
      </c>
      <c r="C2179" s="4">
        <v>0.0</v>
      </c>
      <c r="D2179" s="4" t="s">
        <v>3</v>
      </c>
    </row>
    <row r="2180">
      <c r="A2180" s="3">
        <v>2017.0</v>
      </c>
      <c r="B2180" s="4" t="s">
        <v>928</v>
      </c>
      <c r="C2180" s="4">
        <v>0.0</v>
      </c>
      <c r="D2180" s="4" t="s">
        <v>2377</v>
      </c>
    </row>
    <row r="2181">
      <c r="A2181" s="3">
        <v>2017.0</v>
      </c>
      <c r="B2181" s="4" t="s">
        <v>2634</v>
      </c>
      <c r="C2181" s="4">
        <v>1000.0</v>
      </c>
      <c r="D2181" s="4"/>
    </row>
    <row r="2182">
      <c r="A2182" s="3">
        <v>2017.0</v>
      </c>
      <c r="B2182" s="4" t="s">
        <v>929</v>
      </c>
      <c r="C2182" s="4">
        <v>11000.0</v>
      </c>
      <c r="D2182" s="4"/>
    </row>
    <row r="2183">
      <c r="A2183" s="3">
        <v>2017.0</v>
      </c>
      <c r="B2183" s="4" t="s">
        <v>931</v>
      </c>
      <c r="C2183" s="4">
        <v>10500.0</v>
      </c>
      <c r="D2183" s="4" t="s">
        <v>3</v>
      </c>
    </row>
    <row r="2184">
      <c r="A2184" s="3">
        <v>2017.0</v>
      </c>
      <c r="B2184" s="4" t="s">
        <v>933</v>
      </c>
      <c r="C2184" s="4">
        <v>3500.0</v>
      </c>
      <c r="D2184" s="4"/>
    </row>
    <row r="2185">
      <c r="A2185" s="3">
        <v>2017.0</v>
      </c>
      <c r="B2185" s="4" t="s">
        <v>935</v>
      </c>
      <c r="C2185" s="4">
        <v>13000.0</v>
      </c>
      <c r="D2185" s="4"/>
    </row>
    <row r="2186">
      <c r="A2186" s="3">
        <v>2017.0</v>
      </c>
      <c r="B2186" s="4" t="s">
        <v>2635</v>
      </c>
      <c r="C2186" s="4">
        <v>17500.0</v>
      </c>
      <c r="D2186" s="4" t="s">
        <v>3</v>
      </c>
    </row>
    <row r="2187">
      <c r="A2187" s="3">
        <v>2017.0</v>
      </c>
      <c r="B2187" s="4" t="s">
        <v>939</v>
      </c>
      <c r="C2187" s="4">
        <v>13000.0</v>
      </c>
      <c r="D2187" s="4"/>
    </row>
    <row r="2188">
      <c r="A2188" s="3">
        <v>2017.0</v>
      </c>
      <c r="B2188" s="4" t="s">
        <v>2636</v>
      </c>
      <c r="C2188" s="4">
        <v>2100.0</v>
      </c>
      <c r="D2188" s="4"/>
    </row>
    <row r="2189">
      <c r="A2189" s="3">
        <v>2017.0</v>
      </c>
      <c r="B2189" s="4" t="s">
        <v>943</v>
      </c>
      <c r="C2189" s="4">
        <v>0.0</v>
      </c>
      <c r="D2189" s="4" t="s">
        <v>3</v>
      </c>
    </row>
    <row r="2190">
      <c r="A2190" s="3">
        <v>2017.0</v>
      </c>
      <c r="B2190" s="4" t="s">
        <v>944</v>
      </c>
      <c r="C2190" s="4">
        <v>0.0</v>
      </c>
      <c r="D2190" s="4" t="s">
        <v>3</v>
      </c>
    </row>
    <row r="2191">
      <c r="A2191" s="3">
        <v>2017.0</v>
      </c>
      <c r="B2191" s="4" t="s">
        <v>2637</v>
      </c>
      <c r="C2191" s="4">
        <v>1500.0</v>
      </c>
      <c r="D2191" s="4"/>
    </row>
    <row r="2192">
      <c r="A2192" s="3">
        <v>2017.0</v>
      </c>
      <c r="B2192" s="4" t="s">
        <v>2638</v>
      </c>
      <c r="C2192" s="4">
        <v>10000.0</v>
      </c>
      <c r="D2192" s="4"/>
    </row>
    <row r="2193">
      <c r="A2193" s="3">
        <v>2017.0</v>
      </c>
      <c r="B2193" s="4" t="s">
        <v>945</v>
      </c>
      <c r="C2193" s="4">
        <v>30000.0</v>
      </c>
      <c r="D2193" s="4" t="s">
        <v>668</v>
      </c>
    </row>
    <row r="2194">
      <c r="A2194" s="3">
        <v>2017.0</v>
      </c>
      <c r="B2194" s="4" t="s">
        <v>2639</v>
      </c>
      <c r="C2194" s="4">
        <v>2500.0</v>
      </c>
      <c r="D2194" s="4"/>
    </row>
    <row r="2195">
      <c r="A2195" s="3">
        <v>2017.0</v>
      </c>
      <c r="B2195" s="4" t="s">
        <v>2231</v>
      </c>
      <c r="C2195" s="4">
        <v>18000.0</v>
      </c>
      <c r="D2195" s="4"/>
    </row>
    <row r="2196">
      <c r="A2196" s="3">
        <v>2017.0</v>
      </c>
      <c r="B2196" s="4" t="s">
        <v>2640</v>
      </c>
      <c r="C2196" s="4">
        <v>0.0</v>
      </c>
      <c r="D2196" s="4" t="s">
        <v>668</v>
      </c>
    </row>
    <row r="2197">
      <c r="A2197" s="3">
        <v>2017.0</v>
      </c>
      <c r="B2197" s="4" t="s">
        <v>2641</v>
      </c>
      <c r="C2197" s="4">
        <v>0.0</v>
      </c>
      <c r="D2197" s="4" t="s">
        <v>3</v>
      </c>
    </row>
    <row r="2198">
      <c r="A2198" s="3">
        <v>2017.0</v>
      </c>
      <c r="B2198" s="4" t="s">
        <v>2233</v>
      </c>
      <c r="C2198" s="4">
        <v>250.0</v>
      </c>
      <c r="D2198" s="4" t="s">
        <v>3</v>
      </c>
    </row>
    <row r="2199">
      <c r="A2199" s="3">
        <v>2017.0</v>
      </c>
      <c r="B2199" s="4" t="s">
        <v>954</v>
      </c>
      <c r="C2199" s="4">
        <v>1400.0</v>
      </c>
      <c r="D2199" s="4"/>
    </row>
    <row r="2200">
      <c r="A2200" s="3">
        <v>2017.0</v>
      </c>
      <c r="B2200" s="4" t="s">
        <v>956</v>
      </c>
      <c r="C2200" s="4">
        <v>6000.0</v>
      </c>
      <c r="D2200" s="4"/>
    </row>
    <row r="2201">
      <c r="A2201" s="3">
        <v>2017.0</v>
      </c>
      <c r="B2201" s="4" t="s">
        <v>2642</v>
      </c>
      <c r="C2201" s="4">
        <v>0.0</v>
      </c>
      <c r="D2201" s="4" t="s">
        <v>6</v>
      </c>
    </row>
    <row r="2202">
      <c r="A2202" s="3">
        <v>2017.0</v>
      </c>
      <c r="B2202" s="4" t="s">
        <v>959</v>
      </c>
      <c r="C2202" s="4">
        <v>3000.0</v>
      </c>
      <c r="D2202" s="4"/>
    </row>
    <row r="2203">
      <c r="A2203" s="3">
        <v>2017.0</v>
      </c>
      <c r="B2203" s="4" t="s">
        <v>2643</v>
      </c>
      <c r="C2203" s="4">
        <v>1000.0</v>
      </c>
      <c r="D2203" s="4"/>
    </row>
    <row r="2204">
      <c r="A2204" s="3">
        <v>2017.0</v>
      </c>
      <c r="B2204" s="4" t="s">
        <v>963</v>
      </c>
      <c r="C2204" s="4">
        <v>119000.0</v>
      </c>
      <c r="D2204" s="4"/>
    </row>
    <row r="2205">
      <c r="A2205" s="3">
        <v>2017.0</v>
      </c>
      <c r="B2205" s="4" t="s">
        <v>2644</v>
      </c>
      <c r="C2205" s="4">
        <v>0.0</v>
      </c>
      <c r="D2205" s="4" t="s">
        <v>3</v>
      </c>
    </row>
    <row r="2206">
      <c r="A2206" s="3">
        <v>2017.0</v>
      </c>
      <c r="B2206" s="4" t="s">
        <v>964</v>
      </c>
      <c r="C2206" s="4">
        <v>1000.0</v>
      </c>
      <c r="D2206" s="4" t="s">
        <v>2377</v>
      </c>
    </row>
    <row r="2207">
      <c r="A2207" s="3">
        <v>2017.0</v>
      </c>
      <c r="B2207" s="4" t="s">
        <v>965</v>
      </c>
      <c r="C2207" s="4">
        <v>11040.0</v>
      </c>
      <c r="D2207" s="4"/>
    </row>
    <row r="2208">
      <c r="A2208" s="3">
        <v>2017.0</v>
      </c>
      <c r="B2208" s="4" t="s">
        <v>2645</v>
      </c>
      <c r="C2208" s="4">
        <v>0.0</v>
      </c>
      <c r="D2208" s="4" t="s">
        <v>2377</v>
      </c>
    </row>
    <row r="2209">
      <c r="A2209" s="3">
        <v>2017.0</v>
      </c>
      <c r="B2209" s="4" t="s">
        <v>2646</v>
      </c>
      <c r="C2209" s="4">
        <v>0.0</v>
      </c>
      <c r="D2209" s="4" t="s">
        <v>3</v>
      </c>
    </row>
    <row r="2210">
      <c r="A2210" s="3">
        <v>2017.0</v>
      </c>
      <c r="B2210" s="4" t="s">
        <v>968</v>
      </c>
      <c r="C2210" s="4">
        <v>1000.0</v>
      </c>
      <c r="D2210" s="4"/>
    </row>
    <row r="2211">
      <c r="A2211" s="3">
        <v>2017.0</v>
      </c>
      <c r="B2211" s="4" t="s">
        <v>2647</v>
      </c>
      <c r="C2211" s="4">
        <v>0.0</v>
      </c>
      <c r="D2211" s="4" t="s">
        <v>3</v>
      </c>
    </row>
    <row r="2212">
      <c r="A2212" s="3">
        <v>2017.0</v>
      </c>
      <c r="B2212" s="4" t="s">
        <v>973</v>
      </c>
      <c r="C2212" s="4">
        <v>400.0</v>
      </c>
      <c r="D2212" s="4"/>
    </row>
    <row r="2213">
      <c r="A2213" s="3">
        <v>2017.0</v>
      </c>
      <c r="B2213" s="4" t="s">
        <v>2648</v>
      </c>
      <c r="C2213" s="4">
        <v>0.0</v>
      </c>
      <c r="D2213" s="4" t="s">
        <v>6</v>
      </c>
    </row>
    <row r="2214">
      <c r="A2214" s="3">
        <v>2017.0</v>
      </c>
      <c r="B2214" s="4" t="s">
        <v>974</v>
      </c>
      <c r="C2214" s="4">
        <v>0.0</v>
      </c>
      <c r="D2214" s="4" t="s">
        <v>3</v>
      </c>
    </row>
    <row r="2215">
      <c r="A2215" s="3">
        <v>2017.0</v>
      </c>
      <c r="B2215" s="4" t="s">
        <v>2235</v>
      </c>
      <c r="C2215" s="4">
        <v>5500.0</v>
      </c>
      <c r="D2215" s="4"/>
    </row>
    <row r="2216">
      <c r="A2216" s="3">
        <v>2017.0</v>
      </c>
      <c r="B2216" s="4" t="s">
        <v>978</v>
      </c>
      <c r="C2216" s="4">
        <v>0.0</v>
      </c>
      <c r="D2216" s="4" t="s">
        <v>29</v>
      </c>
    </row>
    <row r="2217">
      <c r="A2217" s="3">
        <v>2017.0</v>
      </c>
      <c r="B2217" s="4" t="s">
        <v>979</v>
      </c>
      <c r="C2217" s="4">
        <v>0.0</v>
      </c>
      <c r="D2217" s="4" t="s">
        <v>6</v>
      </c>
    </row>
    <row r="2218">
      <c r="A2218" s="3">
        <v>2017.0</v>
      </c>
      <c r="B2218" s="4" t="s">
        <v>2649</v>
      </c>
      <c r="C2218" s="4">
        <v>750.0</v>
      </c>
      <c r="D2218" s="4" t="s">
        <v>3</v>
      </c>
    </row>
    <row r="2219">
      <c r="A2219" s="3">
        <v>2017.0</v>
      </c>
      <c r="B2219" s="4" t="s">
        <v>981</v>
      </c>
      <c r="C2219" s="4">
        <v>1000.0</v>
      </c>
      <c r="D2219" s="4"/>
    </row>
    <row r="2220">
      <c r="A2220" s="3">
        <v>2017.0</v>
      </c>
      <c r="B2220" s="4" t="s">
        <v>2650</v>
      </c>
      <c r="C2220" s="4">
        <v>400.0</v>
      </c>
      <c r="D2220" s="4"/>
    </row>
    <row r="2221">
      <c r="A2221" s="3">
        <v>2017.0</v>
      </c>
      <c r="B2221" s="4" t="s">
        <v>2651</v>
      </c>
      <c r="C2221" s="4">
        <v>0.0</v>
      </c>
      <c r="D2221" s="4" t="s">
        <v>6</v>
      </c>
    </row>
    <row r="2222">
      <c r="A2222" s="3">
        <v>2017.0</v>
      </c>
      <c r="B2222" s="4" t="s">
        <v>983</v>
      </c>
      <c r="C2222" s="4">
        <v>0.0</v>
      </c>
      <c r="D2222" s="4" t="s">
        <v>3</v>
      </c>
    </row>
    <row r="2223">
      <c r="A2223" s="3">
        <v>2017.0</v>
      </c>
      <c r="B2223" s="4" t="s">
        <v>984</v>
      </c>
      <c r="C2223" s="4">
        <v>9000.0</v>
      </c>
      <c r="D2223" s="4"/>
    </row>
    <row r="2224">
      <c r="A2224" s="3">
        <v>2017.0</v>
      </c>
      <c r="B2224" s="4" t="s">
        <v>2652</v>
      </c>
      <c r="C2224" s="4">
        <v>1000.0</v>
      </c>
      <c r="D2224" s="4"/>
    </row>
    <row r="2225">
      <c r="A2225" s="3">
        <v>2017.0</v>
      </c>
      <c r="B2225" s="4" t="s">
        <v>2653</v>
      </c>
      <c r="C2225" s="4">
        <v>0.0</v>
      </c>
      <c r="D2225" s="4" t="s">
        <v>3</v>
      </c>
    </row>
    <row r="2226">
      <c r="A2226" s="3">
        <v>2017.0</v>
      </c>
      <c r="B2226" s="4" t="s">
        <v>988</v>
      </c>
      <c r="C2226" s="4">
        <v>7000.0</v>
      </c>
      <c r="D2226" s="4" t="s">
        <v>216</v>
      </c>
    </row>
    <row r="2227">
      <c r="A2227" s="3">
        <v>2017.0</v>
      </c>
      <c r="B2227" s="4" t="s">
        <v>2654</v>
      </c>
      <c r="C2227" s="4">
        <v>0.0</v>
      </c>
      <c r="D2227" s="4" t="s">
        <v>2377</v>
      </c>
    </row>
    <row r="2228">
      <c r="A2228" s="3">
        <v>2017.0</v>
      </c>
      <c r="B2228" s="4" t="s">
        <v>2655</v>
      </c>
      <c r="C2228" s="4">
        <v>5000.0</v>
      </c>
      <c r="D2228" s="4"/>
    </row>
    <row r="2229">
      <c r="A2229" s="3">
        <v>2017.0</v>
      </c>
      <c r="B2229" s="4" t="s">
        <v>991</v>
      </c>
      <c r="C2229" s="4">
        <v>0.0</v>
      </c>
      <c r="D2229" s="4" t="s">
        <v>3</v>
      </c>
    </row>
    <row r="2230">
      <c r="A2230" s="3">
        <v>2017.0</v>
      </c>
      <c r="B2230" s="4" t="s">
        <v>992</v>
      </c>
      <c r="C2230" s="4">
        <v>0.0</v>
      </c>
      <c r="D2230" s="4" t="s">
        <v>6</v>
      </c>
    </row>
    <row r="2231">
      <c r="A2231" s="3">
        <v>2017.0</v>
      </c>
      <c r="B2231" s="4" t="s">
        <v>2656</v>
      </c>
      <c r="C2231" s="4">
        <v>0.0</v>
      </c>
      <c r="D2231" s="4" t="s">
        <v>3</v>
      </c>
    </row>
    <row r="2232">
      <c r="A2232" s="3">
        <v>2017.0</v>
      </c>
      <c r="B2232" s="4" t="s">
        <v>2657</v>
      </c>
      <c r="C2232" s="4">
        <v>0.0</v>
      </c>
      <c r="D2232" s="4" t="s">
        <v>3</v>
      </c>
    </row>
    <row r="2233">
      <c r="A2233" s="3">
        <v>2017.0</v>
      </c>
      <c r="B2233" s="4" t="s">
        <v>994</v>
      </c>
      <c r="C2233" s="4">
        <v>8000.0</v>
      </c>
      <c r="D2233" s="4"/>
    </row>
    <row r="2234">
      <c r="A2234" s="3">
        <v>2017.0</v>
      </c>
      <c r="B2234" s="4" t="s">
        <v>2658</v>
      </c>
      <c r="C2234" s="4">
        <v>0.0</v>
      </c>
      <c r="D2234" s="4" t="s">
        <v>2368</v>
      </c>
    </row>
    <row r="2235">
      <c r="A2235" s="3">
        <v>2017.0</v>
      </c>
      <c r="B2235" s="4" t="s">
        <v>995</v>
      </c>
      <c r="C2235" s="4">
        <v>1000.0</v>
      </c>
      <c r="D2235" s="4" t="s">
        <v>6</v>
      </c>
    </row>
    <row r="2236">
      <c r="A2236" s="3">
        <v>2017.0</v>
      </c>
      <c r="B2236" s="4" t="s">
        <v>999</v>
      </c>
      <c r="C2236" s="4">
        <v>0.0</v>
      </c>
      <c r="D2236" s="4" t="s">
        <v>3</v>
      </c>
    </row>
    <row r="2237">
      <c r="A2237" s="3">
        <v>2017.0</v>
      </c>
      <c r="B2237" s="4" t="s">
        <v>1000</v>
      </c>
      <c r="C2237" s="4">
        <v>30000.0</v>
      </c>
      <c r="D2237" s="4" t="s">
        <v>3</v>
      </c>
    </row>
    <row r="2238">
      <c r="A2238" s="3">
        <v>2017.0</v>
      </c>
      <c r="B2238" s="4" t="s">
        <v>1002</v>
      </c>
      <c r="C2238" s="4">
        <v>9000.0</v>
      </c>
      <c r="D2238" s="4" t="s">
        <v>2377</v>
      </c>
    </row>
    <row r="2239">
      <c r="A2239" s="3">
        <v>2017.0</v>
      </c>
      <c r="B2239" s="4" t="s">
        <v>1003</v>
      </c>
      <c r="C2239" s="4">
        <v>0.0</v>
      </c>
      <c r="D2239" s="4" t="s">
        <v>3</v>
      </c>
    </row>
    <row r="2240">
      <c r="A2240" s="3">
        <v>2017.0</v>
      </c>
      <c r="B2240" s="4" t="s">
        <v>1005</v>
      </c>
      <c r="C2240" s="4">
        <v>0.0</v>
      </c>
      <c r="D2240" s="4" t="s">
        <v>6</v>
      </c>
    </row>
    <row r="2241">
      <c r="A2241" s="3">
        <v>2017.0</v>
      </c>
      <c r="B2241" s="4" t="s">
        <v>1007</v>
      </c>
      <c r="C2241" s="4">
        <v>3000.0</v>
      </c>
      <c r="D2241" s="4"/>
    </row>
    <row r="2242">
      <c r="A2242" s="3">
        <v>2017.0</v>
      </c>
      <c r="B2242" s="4" t="s">
        <v>1008</v>
      </c>
      <c r="C2242" s="4">
        <v>0.0</v>
      </c>
      <c r="D2242" s="4" t="s">
        <v>2508</v>
      </c>
    </row>
    <row r="2243">
      <c r="A2243" s="3">
        <v>2017.0</v>
      </c>
      <c r="B2243" s="4" t="s">
        <v>2659</v>
      </c>
      <c r="C2243" s="4">
        <v>0.0</v>
      </c>
      <c r="D2243" s="4" t="s">
        <v>3</v>
      </c>
    </row>
    <row r="2244">
      <c r="A2244" s="3">
        <v>2017.0</v>
      </c>
      <c r="B2244" s="4" t="s">
        <v>2660</v>
      </c>
      <c r="C2244" s="4">
        <v>0.0</v>
      </c>
      <c r="D2244" s="4" t="s">
        <v>2377</v>
      </c>
    </row>
    <row r="2245">
      <c r="A2245" s="3">
        <v>2017.0</v>
      </c>
      <c r="B2245" s="4" t="s">
        <v>1010</v>
      </c>
      <c r="C2245" s="4">
        <v>0.0</v>
      </c>
      <c r="D2245" s="4" t="s">
        <v>6</v>
      </c>
    </row>
    <row r="2246">
      <c r="A2246" s="3">
        <v>2017.0</v>
      </c>
      <c r="B2246" s="4" t="s">
        <v>1012</v>
      </c>
      <c r="C2246" s="4">
        <v>150.0</v>
      </c>
      <c r="D2246" s="4"/>
    </row>
    <row r="2247">
      <c r="A2247" s="3">
        <v>2017.0</v>
      </c>
      <c r="B2247" s="4" t="s">
        <v>1013</v>
      </c>
      <c r="C2247" s="4">
        <v>6500.0</v>
      </c>
      <c r="D2247" s="4" t="s">
        <v>6</v>
      </c>
    </row>
    <row r="2248">
      <c r="A2248" s="3">
        <v>2017.0</v>
      </c>
      <c r="B2248" s="4" t="s">
        <v>1015</v>
      </c>
      <c r="C2248" s="4">
        <v>0.0</v>
      </c>
      <c r="D2248" s="4" t="s">
        <v>3</v>
      </c>
    </row>
    <row r="2249">
      <c r="A2249" s="3">
        <v>2017.0</v>
      </c>
      <c r="B2249" s="4" t="s">
        <v>1016</v>
      </c>
      <c r="C2249" s="4">
        <v>0.0</v>
      </c>
      <c r="D2249" s="4" t="s">
        <v>6</v>
      </c>
    </row>
    <row r="2250">
      <c r="A2250" s="3">
        <v>2017.0</v>
      </c>
      <c r="B2250" s="4" t="s">
        <v>1017</v>
      </c>
      <c r="C2250" s="4">
        <v>1500.0</v>
      </c>
      <c r="D2250" s="4"/>
    </row>
    <row r="2251">
      <c r="A2251" s="3">
        <v>2017.0</v>
      </c>
      <c r="B2251" s="4" t="s">
        <v>1018</v>
      </c>
      <c r="C2251" s="4">
        <v>0.0</v>
      </c>
      <c r="D2251" s="4" t="s">
        <v>2377</v>
      </c>
    </row>
    <row r="2252">
      <c r="A2252" s="3">
        <v>2017.0</v>
      </c>
      <c r="B2252" s="4" t="s">
        <v>2661</v>
      </c>
      <c r="C2252" s="4">
        <v>0.0</v>
      </c>
      <c r="D2252" s="4" t="s">
        <v>3</v>
      </c>
    </row>
    <row r="2253">
      <c r="A2253" s="3">
        <v>2017.0</v>
      </c>
      <c r="B2253" s="4" t="s">
        <v>2662</v>
      </c>
      <c r="C2253" s="4">
        <v>0.0</v>
      </c>
      <c r="D2253" s="4" t="s">
        <v>3</v>
      </c>
    </row>
    <row r="2254">
      <c r="A2254" s="3">
        <v>2017.0</v>
      </c>
      <c r="B2254" s="4" t="s">
        <v>2663</v>
      </c>
      <c r="C2254" s="4">
        <v>0.0</v>
      </c>
      <c r="D2254" s="4" t="s">
        <v>3</v>
      </c>
    </row>
    <row r="2255">
      <c r="A2255" s="3">
        <v>2017.0</v>
      </c>
      <c r="B2255" s="4" t="s">
        <v>2664</v>
      </c>
      <c r="C2255" s="4">
        <v>0.0</v>
      </c>
      <c r="D2255" s="4" t="s">
        <v>3</v>
      </c>
    </row>
    <row r="2256">
      <c r="A2256" s="3">
        <v>2017.0</v>
      </c>
      <c r="B2256" s="4" t="s">
        <v>1020</v>
      </c>
      <c r="C2256" s="4">
        <v>3882.0</v>
      </c>
      <c r="D2256" s="4"/>
    </row>
    <row r="2257">
      <c r="A2257" s="3">
        <v>2017.0</v>
      </c>
      <c r="B2257" s="4" t="s">
        <v>1023</v>
      </c>
      <c r="C2257" s="4">
        <v>21000.0</v>
      </c>
      <c r="D2257" s="4" t="s">
        <v>2377</v>
      </c>
    </row>
    <row r="2258">
      <c r="A2258" s="3">
        <v>2017.0</v>
      </c>
      <c r="B2258" s="4" t="s">
        <v>2665</v>
      </c>
      <c r="C2258" s="4">
        <v>8000.0</v>
      </c>
      <c r="D2258" s="4"/>
    </row>
    <row r="2259">
      <c r="A2259" s="3">
        <v>2017.0</v>
      </c>
      <c r="B2259" s="4" t="s">
        <v>1025</v>
      </c>
      <c r="C2259" s="4">
        <v>0.0</v>
      </c>
      <c r="D2259" s="4" t="s">
        <v>3</v>
      </c>
    </row>
    <row r="2260">
      <c r="A2260" s="3">
        <v>2017.0</v>
      </c>
      <c r="B2260" s="4" t="s">
        <v>2236</v>
      </c>
      <c r="C2260" s="4">
        <v>43000.0</v>
      </c>
      <c r="D2260" s="4" t="s">
        <v>3</v>
      </c>
    </row>
    <row r="2261">
      <c r="A2261" s="3">
        <v>2017.0</v>
      </c>
      <c r="B2261" s="4" t="s">
        <v>2666</v>
      </c>
      <c r="C2261" s="4">
        <v>0.0</v>
      </c>
      <c r="D2261" s="4" t="s">
        <v>3</v>
      </c>
    </row>
    <row r="2262">
      <c r="A2262" s="3">
        <v>2017.0</v>
      </c>
      <c r="B2262" s="4" t="s">
        <v>2237</v>
      </c>
      <c r="C2262" s="4">
        <v>1551.0</v>
      </c>
      <c r="D2262" s="4" t="s">
        <v>3</v>
      </c>
    </row>
    <row r="2263">
      <c r="A2263" s="3">
        <v>2017.0</v>
      </c>
      <c r="B2263" s="4" t="s">
        <v>1031</v>
      </c>
      <c r="C2263" s="4">
        <v>0.0</v>
      </c>
      <c r="D2263" s="4" t="s">
        <v>3</v>
      </c>
    </row>
    <row r="2264">
      <c r="A2264" s="3">
        <v>2017.0</v>
      </c>
      <c r="B2264" s="4" t="s">
        <v>1033</v>
      </c>
      <c r="C2264" s="4">
        <v>118107.65</v>
      </c>
      <c r="D2264" s="4"/>
    </row>
    <row r="2265">
      <c r="A2265" s="3">
        <v>2017.0</v>
      </c>
      <c r="B2265" s="4" t="s">
        <v>2667</v>
      </c>
      <c r="C2265" s="4">
        <v>0.0</v>
      </c>
      <c r="D2265" s="4" t="s">
        <v>3</v>
      </c>
    </row>
    <row r="2266">
      <c r="A2266" s="3">
        <v>2017.0</v>
      </c>
      <c r="B2266" s="4" t="s">
        <v>1036</v>
      </c>
      <c r="C2266" s="4">
        <v>0.0</v>
      </c>
      <c r="D2266" s="4" t="s">
        <v>3</v>
      </c>
    </row>
    <row r="2267">
      <c r="A2267" s="3">
        <v>2017.0</v>
      </c>
      <c r="B2267" s="4" t="s">
        <v>1037</v>
      </c>
      <c r="C2267" s="4">
        <v>0.0</v>
      </c>
      <c r="D2267" s="4" t="s">
        <v>29</v>
      </c>
    </row>
    <row r="2268">
      <c r="A2268" s="3">
        <v>2017.0</v>
      </c>
      <c r="B2268" s="4" t="s">
        <v>2668</v>
      </c>
      <c r="C2268" s="4">
        <v>10100.0</v>
      </c>
      <c r="D2268" s="4"/>
    </row>
    <row r="2269">
      <c r="A2269" s="3">
        <v>2017.0</v>
      </c>
      <c r="B2269" s="4" t="s">
        <v>2669</v>
      </c>
      <c r="C2269" s="4">
        <v>0.0</v>
      </c>
      <c r="D2269" s="4" t="s">
        <v>3</v>
      </c>
    </row>
    <row r="2270">
      <c r="A2270" s="3">
        <v>2017.0</v>
      </c>
      <c r="B2270" s="4" t="s">
        <v>2670</v>
      </c>
      <c r="C2270" s="4">
        <v>0.0</v>
      </c>
      <c r="D2270" s="4" t="s">
        <v>3</v>
      </c>
    </row>
    <row r="2271">
      <c r="A2271" s="3">
        <v>2017.0</v>
      </c>
      <c r="B2271" s="4" t="s">
        <v>1039</v>
      </c>
      <c r="C2271" s="4">
        <v>8560.0</v>
      </c>
      <c r="D2271" s="4"/>
    </row>
    <row r="2272">
      <c r="A2272" s="3">
        <v>2017.0</v>
      </c>
      <c r="B2272" s="4" t="s">
        <v>2671</v>
      </c>
      <c r="C2272" s="4">
        <v>200.0</v>
      </c>
      <c r="D2272" s="4"/>
    </row>
    <row r="2273">
      <c r="A2273" s="3">
        <v>2017.0</v>
      </c>
      <c r="B2273" s="4" t="s">
        <v>1044</v>
      </c>
      <c r="C2273" s="4">
        <v>113603.0</v>
      </c>
      <c r="D2273" s="4" t="s">
        <v>2368</v>
      </c>
    </row>
    <row r="2274">
      <c r="A2274" s="3">
        <v>2017.0</v>
      </c>
      <c r="B2274" s="4" t="s">
        <v>2672</v>
      </c>
      <c r="C2274" s="4">
        <v>0.0</v>
      </c>
      <c r="D2274" s="4" t="s">
        <v>3</v>
      </c>
    </row>
    <row r="2275">
      <c r="A2275" s="3">
        <v>2017.0</v>
      </c>
      <c r="B2275" s="4" t="s">
        <v>2673</v>
      </c>
      <c r="C2275" s="4">
        <v>3000.0</v>
      </c>
      <c r="D2275" s="4"/>
    </row>
    <row r="2276">
      <c r="A2276" s="3">
        <v>2017.0</v>
      </c>
      <c r="B2276" s="4" t="s">
        <v>2674</v>
      </c>
      <c r="C2276" s="4">
        <v>0.0</v>
      </c>
      <c r="D2276" s="4" t="s">
        <v>3</v>
      </c>
    </row>
    <row r="2277">
      <c r="A2277" s="3">
        <v>2017.0</v>
      </c>
      <c r="B2277" s="4" t="s">
        <v>2675</v>
      </c>
      <c r="C2277" s="4">
        <v>0.0</v>
      </c>
      <c r="D2277" s="4" t="s">
        <v>3</v>
      </c>
    </row>
    <row r="2278">
      <c r="A2278" s="3">
        <v>2017.0</v>
      </c>
      <c r="B2278" s="4" t="s">
        <v>1047</v>
      </c>
      <c r="C2278" s="4">
        <v>4500.0</v>
      </c>
      <c r="D2278" s="4"/>
    </row>
    <row r="2279">
      <c r="A2279" s="3">
        <v>2017.0</v>
      </c>
      <c r="B2279" s="4" t="s">
        <v>2676</v>
      </c>
      <c r="C2279" s="4">
        <v>400.0</v>
      </c>
      <c r="D2279" s="4"/>
    </row>
    <row r="2280">
      <c r="A2280" s="3">
        <v>2017.0</v>
      </c>
      <c r="B2280" s="4" t="s">
        <v>2677</v>
      </c>
      <c r="C2280" s="4">
        <v>0.0</v>
      </c>
      <c r="D2280" s="4" t="s">
        <v>3</v>
      </c>
    </row>
    <row r="2281">
      <c r="A2281" s="3">
        <v>2017.0</v>
      </c>
      <c r="B2281" s="4" t="s">
        <v>2678</v>
      </c>
      <c r="C2281" s="4">
        <v>0.0</v>
      </c>
      <c r="D2281" s="4" t="s">
        <v>3</v>
      </c>
    </row>
    <row r="2282">
      <c r="A2282" s="3">
        <v>2017.0</v>
      </c>
      <c r="B2282" s="4" t="s">
        <v>2679</v>
      </c>
      <c r="C2282" s="4">
        <v>0.0</v>
      </c>
      <c r="D2282" s="4" t="s">
        <v>3</v>
      </c>
    </row>
    <row r="2283">
      <c r="A2283" s="3">
        <v>2017.0</v>
      </c>
      <c r="B2283" s="4" t="s">
        <v>1051</v>
      </c>
      <c r="C2283" s="4">
        <v>2500.0</v>
      </c>
      <c r="D2283" s="4"/>
    </row>
    <row r="2284">
      <c r="A2284" s="3">
        <v>2017.0</v>
      </c>
      <c r="B2284" s="4" t="s">
        <v>2680</v>
      </c>
      <c r="C2284" s="4">
        <v>0.0</v>
      </c>
      <c r="D2284" s="4" t="s">
        <v>3</v>
      </c>
    </row>
    <row r="2285">
      <c r="A2285" s="3">
        <v>2017.0</v>
      </c>
      <c r="B2285" s="4" t="s">
        <v>1053</v>
      </c>
      <c r="C2285" s="4">
        <v>0.0</v>
      </c>
      <c r="D2285" s="4" t="s">
        <v>3</v>
      </c>
    </row>
    <row r="2286">
      <c r="A2286" s="3">
        <v>2017.0</v>
      </c>
      <c r="B2286" s="4" t="s">
        <v>1055</v>
      </c>
      <c r="C2286" s="4">
        <v>38000.0</v>
      </c>
      <c r="D2286" s="4"/>
    </row>
    <row r="2287">
      <c r="A2287" s="3">
        <v>2017.0</v>
      </c>
      <c r="B2287" s="4" t="s">
        <v>1057</v>
      </c>
      <c r="C2287" s="4">
        <v>9000.0</v>
      </c>
      <c r="D2287" s="4"/>
    </row>
    <row r="2288">
      <c r="A2288" s="3">
        <v>2017.0</v>
      </c>
      <c r="B2288" s="4" t="s">
        <v>1058</v>
      </c>
      <c r="C2288" s="4">
        <v>1500.0</v>
      </c>
      <c r="D2288" s="4"/>
    </row>
    <row r="2289">
      <c r="A2289" s="3">
        <v>2017.0</v>
      </c>
      <c r="B2289" s="4" t="s">
        <v>2681</v>
      </c>
      <c r="C2289" s="4">
        <v>0.0</v>
      </c>
      <c r="D2289" s="4" t="s">
        <v>3</v>
      </c>
    </row>
    <row r="2290">
      <c r="A2290" s="3">
        <v>2017.0</v>
      </c>
      <c r="B2290" s="4" t="s">
        <v>2240</v>
      </c>
      <c r="C2290" s="4">
        <v>4000.0</v>
      </c>
      <c r="D2290" s="4" t="s">
        <v>3</v>
      </c>
    </row>
    <row r="2291">
      <c r="A2291" s="3">
        <v>2017.0</v>
      </c>
      <c r="B2291" s="4" t="s">
        <v>1063</v>
      </c>
      <c r="C2291" s="4">
        <v>10300.0</v>
      </c>
      <c r="D2291" s="4" t="s">
        <v>2377</v>
      </c>
    </row>
    <row r="2292">
      <c r="A2292" s="3">
        <v>2017.0</v>
      </c>
      <c r="B2292" s="4" t="s">
        <v>1064</v>
      </c>
      <c r="C2292" s="4">
        <v>0.0</v>
      </c>
      <c r="D2292" s="4" t="s">
        <v>3</v>
      </c>
    </row>
    <row r="2293">
      <c r="A2293" s="3">
        <v>2017.0</v>
      </c>
      <c r="B2293" s="4" t="s">
        <v>2241</v>
      </c>
      <c r="C2293" s="4">
        <v>15000.0</v>
      </c>
      <c r="D2293" s="4" t="s">
        <v>3</v>
      </c>
    </row>
    <row r="2294">
      <c r="A2294" s="3">
        <v>2017.0</v>
      </c>
      <c r="B2294" s="4" t="s">
        <v>1067</v>
      </c>
      <c r="C2294" s="4">
        <v>14712.0</v>
      </c>
      <c r="D2294" s="4" t="s">
        <v>2508</v>
      </c>
    </row>
    <row r="2295">
      <c r="A2295" s="3">
        <v>2017.0</v>
      </c>
      <c r="B2295" s="4" t="s">
        <v>1069</v>
      </c>
      <c r="C2295" s="4">
        <v>4000.0</v>
      </c>
      <c r="D2295" s="4"/>
    </row>
    <row r="2296">
      <c r="A2296" s="3">
        <v>2017.0</v>
      </c>
      <c r="B2296" s="4" t="s">
        <v>2682</v>
      </c>
      <c r="C2296" s="4">
        <v>0.0</v>
      </c>
      <c r="D2296" s="4" t="s">
        <v>3</v>
      </c>
    </row>
    <row r="2297">
      <c r="A2297" s="3">
        <v>2017.0</v>
      </c>
      <c r="B2297" s="4" t="s">
        <v>2683</v>
      </c>
      <c r="C2297" s="4">
        <v>0.0</v>
      </c>
      <c r="D2297" s="4" t="s">
        <v>2377</v>
      </c>
    </row>
    <row r="2298">
      <c r="A2298" s="3">
        <v>2017.0</v>
      </c>
      <c r="B2298" s="4" t="s">
        <v>1070</v>
      </c>
      <c r="C2298" s="4">
        <v>177500.0</v>
      </c>
      <c r="D2298" s="4" t="s">
        <v>176</v>
      </c>
    </row>
    <row r="2299">
      <c r="A2299" s="3">
        <v>2017.0</v>
      </c>
      <c r="B2299" s="4" t="s">
        <v>2684</v>
      </c>
      <c r="C2299" s="4">
        <v>0.0</v>
      </c>
      <c r="D2299" s="4" t="s">
        <v>2377</v>
      </c>
    </row>
    <row r="2300">
      <c r="A2300" s="3">
        <v>2017.0</v>
      </c>
      <c r="B2300" s="4" t="s">
        <v>2243</v>
      </c>
      <c r="C2300" s="4">
        <v>3800.0</v>
      </c>
      <c r="D2300" s="4" t="s">
        <v>2508</v>
      </c>
    </row>
    <row r="2301">
      <c r="A2301" s="3">
        <v>2017.0</v>
      </c>
      <c r="B2301" s="4" t="s">
        <v>2685</v>
      </c>
      <c r="C2301" s="4">
        <v>0.0</v>
      </c>
      <c r="D2301" s="4" t="s">
        <v>29</v>
      </c>
    </row>
    <row r="2302">
      <c r="A2302" s="3">
        <v>2017.0</v>
      </c>
      <c r="B2302" s="4" t="s">
        <v>2686</v>
      </c>
      <c r="C2302" s="4">
        <v>0.0</v>
      </c>
      <c r="D2302" s="4" t="s">
        <v>3</v>
      </c>
    </row>
    <row r="2303">
      <c r="A2303" s="3">
        <v>2017.0</v>
      </c>
      <c r="B2303" s="4" t="s">
        <v>2687</v>
      </c>
      <c r="C2303" s="4">
        <v>1250.0</v>
      </c>
      <c r="D2303" s="4" t="s">
        <v>3</v>
      </c>
    </row>
    <row r="2304">
      <c r="A2304" s="3">
        <v>2017.0</v>
      </c>
      <c r="B2304" s="4" t="s">
        <v>2688</v>
      </c>
      <c r="C2304" s="4">
        <v>700.0</v>
      </c>
      <c r="D2304" s="4" t="s">
        <v>6</v>
      </c>
    </row>
    <row r="2305">
      <c r="A2305" s="3">
        <v>2017.0</v>
      </c>
      <c r="B2305" s="4" t="s">
        <v>2689</v>
      </c>
      <c r="C2305" s="4">
        <v>44000.0</v>
      </c>
      <c r="D2305" s="4" t="s">
        <v>6</v>
      </c>
    </row>
    <row r="2306">
      <c r="A2306" s="3">
        <v>2017.0</v>
      </c>
      <c r="B2306" s="4" t="s">
        <v>1080</v>
      </c>
      <c r="C2306" s="4">
        <v>0.0</v>
      </c>
      <c r="D2306" s="4" t="s">
        <v>6</v>
      </c>
    </row>
    <row r="2307">
      <c r="A2307" s="3">
        <v>2017.0</v>
      </c>
      <c r="B2307" s="4" t="s">
        <v>1082</v>
      </c>
      <c r="C2307" s="4">
        <v>0.0</v>
      </c>
      <c r="D2307" s="4" t="s">
        <v>3</v>
      </c>
    </row>
    <row r="2308">
      <c r="A2308" s="3">
        <v>2017.0</v>
      </c>
      <c r="B2308" s="4" t="s">
        <v>2690</v>
      </c>
      <c r="C2308" s="4">
        <v>3000.0</v>
      </c>
      <c r="D2308" s="4"/>
    </row>
    <row r="2309">
      <c r="A2309" s="3">
        <v>2017.0</v>
      </c>
      <c r="B2309" s="4" t="s">
        <v>1083</v>
      </c>
      <c r="C2309" s="4">
        <v>500.0</v>
      </c>
      <c r="D2309" s="4" t="s">
        <v>2377</v>
      </c>
    </row>
    <row r="2310">
      <c r="A2310" s="3">
        <v>2017.0</v>
      </c>
      <c r="B2310" s="4" t="s">
        <v>2691</v>
      </c>
      <c r="C2310" s="4">
        <v>0.0</v>
      </c>
      <c r="D2310" s="4" t="s">
        <v>6</v>
      </c>
    </row>
    <row r="2311">
      <c r="A2311" s="3">
        <v>2017.0</v>
      </c>
      <c r="B2311" s="4" t="s">
        <v>2692</v>
      </c>
      <c r="C2311" s="4">
        <v>8000.0</v>
      </c>
      <c r="D2311" s="4" t="s">
        <v>6</v>
      </c>
    </row>
    <row r="2312">
      <c r="A2312" s="3">
        <v>2017.0</v>
      </c>
      <c r="B2312" s="4" t="s">
        <v>1085</v>
      </c>
      <c r="C2312" s="4">
        <v>150.0</v>
      </c>
      <c r="D2312" s="4" t="s">
        <v>3</v>
      </c>
    </row>
    <row r="2313">
      <c r="A2313" s="3">
        <v>2017.0</v>
      </c>
      <c r="B2313" s="4" t="s">
        <v>2693</v>
      </c>
      <c r="C2313" s="4">
        <v>0.0</v>
      </c>
      <c r="D2313" s="4" t="s">
        <v>3</v>
      </c>
    </row>
    <row r="2314">
      <c r="A2314" s="3">
        <v>2017.0</v>
      </c>
      <c r="B2314" s="4" t="s">
        <v>1088</v>
      </c>
      <c r="C2314" s="4">
        <v>0.0</v>
      </c>
      <c r="D2314" s="4" t="s">
        <v>3</v>
      </c>
    </row>
    <row r="2315">
      <c r="A2315" s="3">
        <v>2017.0</v>
      </c>
      <c r="B2315" s="4" t="s">
        <v>1089</v>
      </c>
      <c r="C2315" s="4">
        <v>210000.0</v>
      </c>
      <c r="D2315" s="4"/>
    </row>
    <row r="2316">
      <c r="A2316" s="3">
        <v>2017.0</v>
      </c>
      <c r="B2316" s="4" t="s">
        <v>2694</v>
      </c>
      <c r="C2316" s="4">
        <v>4000.0</v>
      </c>
      <c r="D2316" s="4" t="s">
        <v>3</v>
      </c>
    </row>
    <row r="2317">
      <c r="A2317" s="3">
        <v>2017.0</v>
      </c>
      <c r="B2317" s="4" t="s">
        <v>2695</v>
      </c>
      <c r="C2317" s="4">
        <v>0.0</v>
      </c>
      <c r="D2317" s="4" t="s">
        <v>3</v>
      </c>
    </row>
    <row r="2318">
      <c r="A2318" s="3">
        <v>2017.0</v>
      </c>
      <c r="B2318" s="4" t="s">
        <v>1091</v>
      </c>
      <c r="C2318" s="4">
        <v>0.0</v>
      </c>
      <c r="D2318" s="4" t="s">
        <v>3</v>
      </c>
    </row>
    <row r="2319">
      <c r="A2319" s="3">
        <v>2017.0</v>
      </c>
      <c r="B2319" s="4" t="s">
        <v>2696</v>
      </c>
      <c r="C2319" s="4">
        <v>300.0</v>
      </c>
      <c r="D2319" s="4"/>
    </row>
    <row r="2320">
      <c r="A2320" s="3">
        <v>2017.0</v>
      </c>
      <c r="B2320" s="4" t="s">
        <v>1092</v>
      </c>
      <c r="C2320" s="4">
        <v>4664.0</v>
      </c>
      <c r="D2320" s="4"/>
    </row>
    <row r="2321">
      <c r="A2321" s="3">
        <v>2017.0</v>
      </c>
      <c r="B2321" s="4" t="s">
        <v>2697</v>
      </c>
      <c r="C2321" s="4">
        <v>0.0</v>
      </c>
      <c r="D2321" s="4" t="s">
        <v>3</v>
      </c>
    </row>
    <row r="2322">
      <c r="A2322" s="3">
        <v>2017.0</v>
      </c>
      <c r="B2322" s="4" t="s">
        <v>1095</v>
      </c>
      <c r="C2322" s="4">
        <v>1500.0</v>
      </c>
      <c r="D2322" s="4" t="s">
        <v>2377</v>
      </c>
    </row>
    <row r="2323">
      <c r="A2323" s="3">
        <v>2017.0</v>
      </c>
      <c r="B2323" s="4" t="s">
        <v>2698</v>
      </c>
      <c r="C2323" s="4">
        <v>2000.0</v>
      </c>
      <c r="D2323" s="4"/>
    </row>
    <row r="2324">
      <c r="A2324" s="3">
        <v>2017.0</v>
      </c>
      <c r="B2324" s="4" t="s">
        <v>1096</v>
      </c>
      <c r="C2324" s="4">
        <v>15500.0</v>
      </c>
      <c r="D2324" s="4" t="s">
        <v>3</v>
      </c>
    </row>
    <row r="2325">
      <c r="A2325" s="3">
        <v>2017.0</v>
      </c>
      <c r="B2325" s="4" t="s">
        <v>1097</v>
      </c>
      <c r="C2325" s="4">
        <v>0.0</v>
      </c>
      <c r="D2325" s="4" t="s">
        <v>29</v>
      </c>
    </row>
    <row r="2326">
      <c r="A2326" s="3">
        <v>2017.0</v>
      </c>
      <c r="B2326" s="4" t="s">
        <v>2699</v>
      </c>
      <c r="C2326" s="4">
        <v>1000.0</v>
      </c>
      <c r="D2326" s="4"/>
    </row>
    <row r="2327">
      <c r="A2327" s="3">
        <v>2017.0</v>
      </c>
      <c r="B2327" s="4" t="s">
        <v>2700</v>
      </c>
      <c r="C2327" s="4">
        <v>0.0</v>
      </c>
      <c r="D2327" s="4" t="s">
        <v>3</v>
      </c>
    </row>
    <row r="2328">
      <c r="A2328" s="3">
        <v>2017.0</v>
      </c>
      <c r="B2328" s="4" t="s">
        <v>2247</v>
      </c>
      <c r="C2328" s="4">
        <v>0.0</v>
      </c>
      <c r="D2328" s="4" t="s">
        <v>176</v>
      </c>
    </row>
    <row r="2329">
      <c r="A2329" s="3">
        <v>2017.0</v>
      </c>
      <c r="B2329" s="4" t="s">
        <v>1106</v>
      </c>
      <c r="C2329" s="4">
        <v>750.0</v>
      </c>
      <c r="D2329" s="4"/>
    </row>
    <row r="2330">
      <c r="A2330" s="3">
        <v>2017.0</v>
      </c>
      <c r="B2330" s="4" t="s">
        <v>2701</v>
      </c>
      <c r="C2330" s="4">
        <v>0.0</v>
      </c>
      <c r="D2330" s="4" t="s">
        <v>3</v>
      </c>
    </row>
    <row r="2331">
      <c r="A2331" s="3">
        <v>2017.0</v>
      </c>
      <c r="B2331" s="4" t="s">
        <v>2702</v>
      </c>
      <c r="C2331" s="4">
        <v>2000.0</v>
      </c>
      <c r="D2331" s="4"/>
    </row>
    <row r="2332">
      <c r="A2332" s="3">
        <v>2017.0</v>
      </c>
      <c r="B2332" s="4" t="s">
        <v>2249</v>
      </c>
      <c r="C2332" s="4">
        <v>1000.0</v>
      </c>
      <c r="D2332" s="4"/>
    </row>
    <row r="2333">
      <c r="A2333" s="3">
        <v>2017.0</v>
      </c>
      <c r="B2333" s="4" t="s">
        <v>2250</v>
      </c>
      <c r="C2333" s="4">
        <v>16000.0</v>
      </c>
      <c r="D2333" s="4"/>
    </row>
    <row r="2334">
      <c r="A2334" s="3">
        <v>2017.0</v>
      </c>
      <c r="B2334" s="4" t="s">
        <v>1113</v>
      </c>
      <c r="C2334" s="4">
        <v>0.0</v>
      </c>
      <c r="D2334" s="4" t="s">
        <v>668</v>
      </c>
    </row>
    <row r="2335">
      <c r="A2335" s="3">
        <v>2017.0</v>
      </c>
      <c r="B2335" s="4" t="s">
        <v>2703</v>
      </c>
      <c r="C2335" s="4">
        <v>0.0</v>
      </c>
      <c r="D2335" s="4" t="s">
        <v>6</v>
      </c>
    </row>
    <row r="2336">
      <c r="A2336" s="3">
        <v>2017.0</v>
      </c>
      <c r="B2336" s="4" t="s">
        <v>2704</v>
      </c>
      <c r="C2336" s="4">
        <v>0.0</v>
      </c>
      <c r="D2336" s="4" t="s">
        <v>3</v>
      </c>
    </row>
    <row r="2337">
      <c r="A2337" s="3">
        <v>2017.0</v>
      </c>
      <c r="B2337" s="4" t="s">
        <v>2251</v>
      </c>
      <c r="C2337" s="4">
        <v>0.0</v>
      </c>
      <c r="D2337" s="4" t="s">
        <v>16</v>
      </c>
    </row>
    <row r="2338">
      <c r="A2338" s="3">
        <v>2017.0</v>
      </c>
      <c r="B2338" s="4" t="s">
        <v>2705</v>
      </c>
      <c r="C2338" s="4">
        <v>0.0</v>
      </c>
      <c r="D2338" s="4" t="s">
        <v>6</v>
      </c>
    </row>
    <row r="2339">
      <c r="A2339" s="3">
        <v>2017.0</v>
      </c>
      <c r="B2339" s="4" t="s">
        <v>2706</v>
      </c>
      <c r="C2339" s="4">
        <v>0.0</v>
      </c>
      <c r="D2339" s="4" t="s">
        <v>3</v>
      </c>
    </row>
    <row r="2340">
      <c r="A2340" s="3">
        <v>2017.0</v>
      </c>
      <c r="B2340" s="4" t="s">
        <v>2707</v>
      </c>
      <c r="C2340" s="4">
        <v>0.0</v>
      </c>
      <c r="D2340" s="4" t="s">
        <v>3</v>
      </c>
    </row>
    <row r="2341">
      <c r="A2341" s="3">
        <v>2017.0</v>
      </c>
      <c r="B2341" s="4" t="s">
        <v>2708</v>
      </c>
      <c r="C2341" s="4">
        <v>0.0</v>
      </c>
      <c r="D2341" s="4" t="s">
        <v>3</v>
      </c>
    </row>
    <row r="2342">
      <c r="A2342" s="3">
        <v>2017.0</v>
      </c>
      <c r="B2342" s="4" t="s">
        <v>2253</v>
      </c>
      <c r="C2342" s="4">
        <v>500.0</v>
      </c>
      <c r="D2342" s="4"/>
    </row>
    <row r="2343">
      <c r="A2343" s="3">
        <v>2017.0</v>
      </c>
      <c r="B2343" s="4" t="s">
        <v>2709</v>
      </c>
      <c r="C2343" s="4">
        <v>0.0</v>
      </c>
      <c r="D2343" s="4" t="s">
        <v>6</v>
      </c>
    </row>
    <row r="2344">
      <c r="A2344" s="3">
        <v>2017.0</v>
      </c>
      <c r="B2344" s="4" t="s">
        <v>2710</v>
      </c>
      <c r="C2344" s="4">
        <v>0.0</v>
      </c>
      <c r="D2344" s="4" t="s">
        <v>3</v>
      </c>
    </row>
    <row r="2345">
      <c r="A2345" s="3">
        <v>2017.0</v>
      </c>
      <c r="B2345" s="4" t="s">
        <v>2256</v>
      </c>
      <c r="C2345" s="4">
        <v>0.0</v>
      </c>
      <c r="D2345" s="4" t="s">
        <v>6</v>
      </c>
    </row>
    <row r="2346">
      <c r="A2346" s="3">
        <v>2017.0</v>
      </c>
      <c r="B2346" s="4" t="s">
        <v>2711</v>
      </c>
      <c r="C2346" s="4">
        <v>0.0</v>
      </c>
      <c r="D2346" s="4" t="s">
        <v>3</v>
      </c>
    </row>
    <row r="2347">
      <c r="A2347" s="3">
        <v>2017.0</v>
      </c>
      <c r="B2347" s="4" t="s">
        <v>2257</v>
      </c>
      <c r="C2347" s="4">
        <v>800.0</v>
      </c>
      <c r="D2347" s="4"/>
    </row>
    <row r="2348">
      <c r="A2348" s="3">
        <v>2017.0</v>
      </c>
      <c r="B2348" s="4" t="s">
        <v>1131</v>
      </c>
      <c r="C2348" s="4">
        <v>3000.0</v>
      </c>
      <c r="D2348" s="4" t="s">
        <v>3</v>
      </c>
    </row>
    <row r="2349">
      <c r="A2349" s="3">
        <v>2017.0</v>
      </c>
      <c r="B2349" s="4" t="s">
        <v>1133</v>
      </c>
      <c r="C2349" s="4">
        <v>0.0</v>
      </c>
      <c r="D2349" s="4" t="s">
        <v>3</v>
      </c>
    </row>
    <row r="2350">
      <c r="A2350" s="3">
        <v>2017.0</v>
      </c>
      <c r="B2350" s="4" t="s">
        <v>1134</v>
      </c>
      <c r="C2350" s="4">
        <v>3000.0</v>
      </c>
      <c r="D2350" s="4"/>
    </row>
    <row r="2351">
      <c r="A2351" s="3">
        <v>2017.0</v>
      </c>
      <c r="B2351" s="4" t="s">
        <v>1135</v>
      </c>
      <c r="C2351" s="4">
        <v>4750.0</v>
      </c>
      <c r="D2351" s="4" t="s">
        <v>6</v>
      </c>
    </row>
    <row r="2352">
      <c r="A2352" s="3">
        <v>2017.0</v>
      </c>
      <c r="B2352" s="4" t="s">
        <v>2712</v>
      </c>
      <c r="C2352" s="4">
        <v>0.0</v>
      </c>
      <c r="D2352" s="4" t="s">
        <v>6</v>
      </c>
    </row>
    <row r="2353">
      <c r="A2353" s="3">
        <v>2017.0</v>
      </c>
      <c r="B2353" s="4" t="s">
        <v>1136</v>
      </c>
      <c r="C2353" s="4">
        <v>327000.0</v>
      </c>
      <c r="D2353" s="4" t="s">
        <v>176</v>
      </c>
    </row>
    <row r="2354">
      <c r="A2354" s="3">
        <v>2017.0</v>
      </c>
      <c r="B2354" s="4" t="s">
        <v>2713</v>
      </c>
      <c r="C2354" s="4">
        <v>3000.0</v>
      </c>
      <c r="D2354" s="4" t="s">
        <v>2508</v>
      </c>
    </row>
    <row r="2355">
      <c r="A2355" s="3">
        <v>2017.0</v>
      </c>
      <c r="B2355" s="4" t="s">
        <v>1138</v>
      </c>
      <c r="C2355" s="4">
        <v>0.0</v>
      </c>
      <c r="D2355" s="4" t="s">
        <v>3</v>
      </c>
    </row>
    <row r="2356">
      <c r="A2356" s="3">
        <v>2017.0</v>
      </c>
      <c r="B2356" s="4" t="s">
        <v>1139</v>
      </c>
      <c r="C2356" s="4">
        <v>0.0</v>
      </c>
      <c r="D2356" s="4" t="s">
        <v>3</v>
      </c>
    </row>
    <row r="2357">
      <c r="A2357" s="3">
        <v>2017.0</v>
      </c>
      <c r="B2357" s="4" t="s">
        <v>2714</v>
      </c>
      <c r="C2357" s="4">
        <v>0.0</v>
      </c>
      <c r="D2357" s="4" t="s">
        <v>3</v>
      </c>
    </row>
    <row r="2358">
      <c r="A2358" s="3">
        <v>2017.0</v>
      </c>
      <c r="B2358" s="4" t="s">
        <v>1140</v>
      </c>
      <c r="C2358" s="4">
        <v>0.0</v>
      </c>
      <c r="D2358" s="4" t="s">
        <v>216</v>
      </c>
    </row>
    <row r="2359">
      <c r="A2359" s="3">
        <v>2017.0</v>
      </c>
      <c r="B2359" s="4" t="s">
        <v>1141</v>
      </c>
      <c r="C2359" s="4">
        <v>0.0</v>
      </c>
      <c r="D2359" s="4" t="s">
        <v>3</v>
      </c>
    </row>
    <row r="2360">
      <c r="A2360" s="3">
        <v>2017.0</v>
      </c>
      <c r="B2360" s="4" t="s">
        <v>2715</v>
      </c>
      <c r="C2360" s="4">
        <v>6190.0</v>
      </c>
      <c r="D2360" s="4"/>
    </row>
    <row r="2361">
      <c r="A2361" s="3">
        <v>2017.0</v>
      </c>
      <c r="B2361" s="4" t="s">
        <v>1143</v>
      </c>
      <c r="C2361" s="4">
        <v>0.0</v>
      </c>
      <c r="D2361" s="4" t="s">
        <v>3</v>
      </c>
    </row>
    <row r="2362">
      <c r="A2362" s="3">
        <v>2017.0</v>
      </c>
      <c r="B2362" s="4" t="s">
        <v>2716</v>
      </c>
      <c r="C2362" s="4">
        <v>0.0</v>
      </c>
      <c r="D2362" s="4" t="s">
        <v>668</v>
      </c>
    </row>
    <row r="2363">
      <c r="A2363" s="3">
        <v>2017.0</v>
      </c>
      <c r="B2363" s="4" t="s">
        <v>1144</v>
      </c>
      <c r="C2363" s="4">
        <v>1000.0</v>
      </c>
      <c r="D2363" s="4"/>
    </row>
    <row r="2364">
      <c r="A2364" s="3">
        <v>2017.0</v>
      </c>
      <c r="B2364" s="4" t="s">
        <v>2717</v>
      </c>
      <c r="C2364" s="4">
        <v>15000.0</v>
      </c>
      <c r="D2364" s="4" t="s">
        <v>668</v>
      </c>
    </row>
    <row r="2365">
      <c r="A2365" s="3">
        <v>2017.0</v>
      </c>
      <c r="B2365" s="4" t="s">
        <v>1146</v>
      </c>
      <c r="C2365" s="4">
        <v>1450.0</v>
      </c>
      <c r="D2365" s="4" t="s">
        <v>29</v>
      </c>
    </row>
    <row r="2366">
      <c r="A2366" s="3">
        <v>2017.0</v>
      </c>
      <c r="B2366" s="4" t="s">
        <v>2718</v>
      </c>
      <c r="C2366" s="4">
        <v>0.0</v>
      </c>
      <c r="D2366" s="4" t="s">
        <v>29</v>
      </c>
    </row>
    <row r="2367">
      <c r="A2367" s="3">
        <v>2017.0</v>
      </c>
      <c r="B2367" s="4" t="s">
        <v>2719</v>
      </c>
      <c r="C2367" s="4">
        <v>0.0</v>
      </c>
      <c r="D2367" s="4" t="s">
        <v>29</v>
      </c>
    </row>
    <row r="2368">
      <c r="A2368" s="3">
        <v>2017.0</v>
      </c>
      <c r="B2368" s="4" t="s">
        <v>1150</v>
      </c>
      <c r="C2368" s="4">
        <v>90000.0</v>
      </c>
      <c r="D2368" s="4" t="s">
        <v>29</v>
      </c>
    </row>
    <row r="2369">
      <c r="A2369" s="3">
        <v>2017.0</v>
      </c>
      <c r="B2369" s="4" t="s">
        <v>2720</v>
      </c>
      <c r="C2369" s="4">
        <v>0.0</v>
      </c>
      <c r="D2369" s="4" t="s">
        <v>29</v>
      </c>
    </row>
    <row r="2370">
      <c r="A2370" s="3">
        <v>2017.0</v>
      </c>
      <c r="B2370" s="4" t="s">
        <v>2721</v>
      </c>
      <c r="C2370" s="4">
        <v>0.0</v>
      </c>
      <c r="D2370" s="4" t="s">
        <v>29</v>
      </c>
    </row>
    <row r="2371">
      <c r="A2371" s="3">
        <v>2017.0</v>
      </c>
      <c r="B2371" s="4" t="s">
        <v>2722</v>
      </c>
      <c r="C2371" s="4">
        <v>0.0</v>
      </c>
      <c r="D2371" s="4" t="s">
        <v>29</v>
      </c>
    </row>
    <row r="2372">
      <c r="A2372" s="3">
        <v>2017.0</v>
      </c>
      <c r="B2372" s="4" t="s">
        <v>1152</v>
      </c>
      <c r="C2372" s="4">
        <v>0.0</v>
      </c>
      <c r="D2372" s="4" t="s">
        <v>29</v>
      </c>
    </row>
    <row r="2373">
      <c r="A2373" s="3">
        <v>2017.0</v>
      </c>
      <c r="B2373" s="4" t="s">
        <v>1153</v>
      </c>
      <c r="C2373" s="4">
        <v>0.0</v>
      </c>
      <c r="D2373" s="4" t="s">
        <v>29</v>
      </c>
    </row>
    <row r="2374">
      <c r="A2374" s="3">
        <v>2017.0</v>
      </c>
      <c r="B2374" s="4" t="s">
        <v>1154</v>
      </c>
      <c r="C2374" s="4">
        <v>0.0</v>
      </c>
      <c r="D2374" s="4" t="s">
        <v>3</v>
      </c>
    </row>
    <row r="2375">
      <c r="A2375" s="3">
        <v>2017.0</v>
      </c>
      <c r="B2375" s="4" t="s">
        <v>2723</v>
      </c>
      <c r="C2375" s="4">
        <v>2200.0</v>
      </c>
      <c r="D2375" s="4"/>
    </row>
    <row r="2376">
      <c r="A2376" s="3">
        <v>2017.0</v>
      </c>
      <c r="B2376" s="4" t="s">
        <v>2724</v>
      </c>
      <c r="C2376" s="4">
        <v>0.0</v>
      </c>
      <c r="D2376" s="4" t="s">
        <v>2370</v>
      </c>
    </row>
    <row r="2377">
      <c r="A2377" s="3">
        <v>2017.0</v>
      </c>
      <c r="B2377" s="4" t="s">
        <v>1158</v>
      </c>
      <c r="C2377" s="4">
        <v>0.0</v>
      </c>
      <c r="D2377" s="4" t="s">
        <v>3</v>
      </c>
    </row>
    <row r="2378">
      <c r="A2378" s="3">
        <v>2017.0</v>
      </c>
      <c r="B2378" s="4" t="s">
        <v>2725</v>
      </c>
      <c r="C2378" s="4">
        <v>444542.0</v>
      </c>
      <c r="D2378" s="4" t="s">
        <v>2370</v>
      </c>
    </row>
    <row r="2379">
      <c r="A2379" s="3">
        <v>2017.0</v>
      </c>
      <c r="B2379" s="4" t="s">
        <v>2726</v>
      </c>
      <c r="C2379" s="4">
        <v>2500.0</v>
      </c>
      <c r="D2379" s="4"/>
    </row>
    <row r="2380">
      <c r="A2380" s="3">
        <v>2017.0</v>
      </c>
      <c r="B2380" s="4" t="s">
        <v>2727</v>
      </c>
      <c r="C2380" s="4">
        <v>0.0</v>
      </c>
      <c r="D2380" s="4" t="s">
        <v>29</v>
      </c>
    </row>
    <row r="2381">
      <c r="A2381" s="3">
        <v>2017.0</v>
      </c>
      <c r="B2381" s="4" t="s">
        <v>2728</v>
      </c>
      <c r="C2381" s="4">
        <v>4000.0</v>
      </c>
      <c r="D2381" s="4"/>
    </row>
    <row r="2382">
      <c r="A2382" s="3">
        <v>2017.0</v>
      </c>
      <c r="B2382" s="4" t="s">
        <v>1163</v>
      </c>
      <c r="C2382" s="4">
        <v>0.0</v>
      </c>
      <c r="D2382" s="4" t="s">
        <v>3</v>
      </c>
    </row>
    <row r="2383">
      <c r="A2383" s="3">
        <v>2017.0</v>
      </c>
      <c r="B2383" s="4" t="s">
        <v>1164</v>
      </c>
      <c r="C2383" s="4">
        <v>0.0</v>
      </c>
      <c r="D2383" s="4" t="s">
        <v>3</v>
      </c>
    </row>
    <row r="2384">
      <c r="A2384" s="3">
        <v>2017.0</v>
      </c>
      <c r="B2384" s="4" t="s">
        <v>2729</v>
      </c>
      <c r="C2384" s="4">
        <v>0.0</v>
      </c>
      <c r="D2384" s="4" t="s">
        <v>3</v>
      </c>
    </row>
    <row r="2385">
      <c r="A2385" s="3">
        <v>2017.0</v>
      </c>
      <c r="B2385" s="4" t="s">
        <v>1165</v>
      </c>
      <c r="C2385" s="4">
        <v>3000.0</v>
      </c>
      <c r="D2385" s="4" t="s">
        <v>3</v>
      </c>
    </row>
    <row r="2386">
      <c r="A2386" s="3">
        <v>2017.0</v>
      </c>
      <c r="B2386" s="4" t="s">
        <v>2730</v>
      </c>
      <c r="C2386" s="4">
        <v>0.0</v>
      </c>
      <c r="D2386" s="4" t="s">
        <v>3</v>
      </c>
    </row>
    <row r="2387">
      <c r="A2387" s="3">
        <v>2017.0</v>
      </c>
      <c r="B2387" s="4" t="s">
        <v>1166</v>
      </c>
      <c r="C2387" s="4">
        <v>0.0</v>
      </c>
      <c r="D2387" s="4" t="s">
        <v>3</v>
      </c>
    </row>
    <row r="2388">
      <c r="A2388" s="3">
        <v>2017.0</v>
      </c>
      <c r="B2388" s="4" t="s">
        <v>2731</v>
      </c>
      <c r="C2388" s="4">
        <v>0.0</v>
      </c>
      <c r="D2388" s="4" t="s">
        <v>3</v>
      </c>
    </row>
    <row r="2389">
      <c r="A2389" s="3">
        <v>2017.0</v>
      </c>
      <c r="B2389" s="4" t="s">
        <v>2732</v>
      </c>
      <c r="C2389" s="4">
        <v>3000.0</v>
      </c>
      <c r="D2389" s="4"/>
    </row>
    <row r="2390">
      <c r="A2390" s="3">
        <v>2017.0</v>
      </c>
      <c r="B2390" s="4" t="s">
        <v>2733</v>
      </c>
      <c r="C2390" s="4">
        <v>0.0</v>
      </c>
      <c r="D2390" s="4" t="s">
        <v>3</v>
      </c>
    </row>
    <row r="2391">
      <c r="A2391" s="3">
        <v>2017.0</v>
      </c>
      <c r="B2391" s="4" t="s">
        <v>1170</v>
      </c>
      <c r="C2391" s="4">
        <v>0.0</v>
      </c>
      <c r="D2391" s="4" t="s">
        <v>3</v>
      </c>
    </row>
    <row r="2392">
      <c r="A2392" s="3">
        <v>2017.0</v>
      </c>
      <c r="B2392" s="4" t="s">
        <v>1171</v>
      </c>
      <c r="C2392" s="4">
        <v>0.0</v>
      </c>
      <c r="D2392" s="4" t="s">
        <v>3</v>
      </c>
    </row>
    <row r="2393">
      <c r="A2393" s="3">
        <v>2017.0</v>
      </c>
      <c r="B2393" s="4" t="s">
        <v>1172</v>
      </c>
      <c r="C2393" s="4">
        <v>0.0</v>
      </c>
      <c r="D2393" s="4" t="s">
        <v>6</v>
      </c>
    </row>
    <row r="2394">
      <c r="A2394" s="3">
        <v>2017.0</v>
      </c>
      <c r="B2394" s="4" t="s">
        <v>1174</v>
      </c>
      <c r="C2394" s="4">
        <v>0.0</v>
      </c>
      <c r="D2394" s="4" t="s">
        <v>2377</v>
      </c>
    </row>
    <row r="2395">
      <c r="A2395" s="3">
        <v>2017.0</v>
      </c>
      <c r="B2395" s="4" t="s">
        <v>2734</v>
      </c>
      <c r="C2395" s="4">
        <v>0.0</v>
      </c>
      <c r="D2395" s="4" t="s">
        <v>3</v>
      </c>
    </row>
    <row r="2396">
      <c r="A2396" s="3">
        <v>2017.0</v>
      </c>
      <c r="B2396" s="4" t="s">
        <v>1177</v>
      </c>
      <c r="C2396" s="4">
        <v>2800.0</v>
      </c>
      <c r="D2396" s="4" t="s">
        <v>3</v>
      </c>
    </row>
    <row r="2397">
      <c r="A2397" s="3">
        <v>2017.0</v>
      </c>
      <c r="B2397" s="4" t="s">
        <v>1179</v>
      </c>
      <c r="C2397" s="4">
        <v>334000.0</v>
      </c>
      <c r="D2397" s="4"/>
    </row>
    <row r="2398">
      <c r="A2398" s="3">
        <v>2017.0</v>
      </c>
      <c r="B2398" s="4" t="s">
        <v>1182</v>
      </c>
      <c r="C2398" s="4">
        <v>500.0</v>
      </c>
      <c r="D2398" s="4"/>
    </row>
    <row r="2399">
      <c r="A2399" s="3">
        <v>2017.0</v>
      </c>
      <c r="B2399" s="4" t="s">
        <v>1183</v>
      </c>
      <c r="C2399" s="4">
        <v>0.0</v>
      </c>
      <c r="D2399" s="4" t="s">
        <v>3</v>
      </c>
    </row>
    <row r="2400">
      <c r="A2400" s="3">
        <v>2017.0</v>
      </c>
      <c r="B2400" s="4" t="s">
        <v>2259</v>
      </c>
      <c r="C2400" s="4">
        <v>129693.0</v>
      </c>
      <c r="D2400" s="4" t="s">
        <v>2370</v>
      </c>
    </row>
    <row r="2401">
      <c r="A2401" s="3">
        <v>2017.0</v>
      </c>
      <c r="B2401" s="4" t="s">
        <v>1187</v>
      </c>
      <c r="C2401" s="4">
        <v>115000.0</v>
      </c>
      <c r="D2401" s="4" t="s">
        <v>2377</v>
      </c>
    </row>
    <row r="2402">
      <c r="A2402" s="3">
        <v>2017.0</v>
      </c>
      <c r="B2402" s="4" t="s">
        <v>2735</v>
      </c>
      <c r="C2402" s="4">
        <v>0.0</v>
      </c>
      <c r="D2402" s="4" t="s">
        <v>3</v>
      </c>
    </row>
    <row r="2403">
      <c r="A2403" s="3">
        <v>2017.0</v>
      </c>
      <c r="B2403" s="4" t="s">
        <v>1188</v>
      </c>
      <c r="C2403" s="4">
        <v>470044.0</v>
      </c>
      <c r="D2403" s="4" t="s">
        <v>2377</v>
      </c>
    </row>
    <row r="2404">
      <c r="A2404" s="3">
        <v>2017.0</v>
      </c>
      <c r="B2404" s="4" t="s">
        <v>1190</v>
      </c>
      <c r="C2404" s="4">
        <v>500.0</v>
      </c>
      <c r="D2404" s="4" t="s">
        <v>3</v>
      </c>
    </row>
    <row r="2405">
      <c r="A2405" s="3">
        <v>2017.0</v>
      </c>
      <c r="B2405" s="4" t="s">
        <v>2736</v>
      </c>
      <c r="C2405" s="4">
        <v>0.0</v>
      </c>
      <c r="D2405" s="4" t="s">
        <v>3</v>
      </c>
    </row>
    <row r="2406">
      <c r="A2406" s="3">
        <v>2017.0</v>
      </c>
      <c r="B2406" s="4" t="s">
        <v>1191</v>
      </c>
      <c r="C2406" s="4">
        <v>3200.0</v>
      </c>
      <c r="D2406" s="4" t="s">
        <v>6</v>
      </c>
    </row>
    <row r="2407">
      <c r="A2407" s="3">
        <v>2017.0</v>
      </c>
      <c r="B2407" s="4" t="s">
        <v>1192</v>
      </c>
      <c r="C2407" s="4">
        <v>2600.0</v>
      </c>
      <c r="D2407" s="4" t="s">
        <v>3</v>
      </c>
    </row>
    <row r="2408">
      <c r="A2408" s="3">
        <v>2017.0</v>
      </c>
      <c r="B2408" s="4" t="s">
        <v>2737</v>
      </c>
      <c r="C2408" s="4">
        <v>0.0</v>
      </c>
      <c r="D2408" s="4" t="s">
        <v>3</v>
      </c>
    </row>
    <row r="2409">
      <c r="A2409" s="3">
        <v>2017.0</v>
      </c>
      <c r="B2409" s="4" t="s">
        <v>1193</v>
      </c>
      <c r="C2409" s="4">
        <v>4000.0</v>
      </c>
      <c r="D2409" s="4"/>
    </row>
    <row r="2410">
      <c r="A2410" s="3">
        <v>2017.0</v>
      </c>
      <c r="B2410" s="4" t="s">
        <v>1194</v>
      </c>
      <c r="C2410" s="4">
        <v>10000.0</v>
      </c>
      <c r="D2410" s="4"/>
    </row>
    <row r="2411">
      <c r="A2411" s="3">
        <v>2017.0</v>
      </c>
      <c r="B2411" s="4" t="s">
        <v>2738</v>
      </c>
      <c r="C2411" s="4">
        <v>4000.0</v>
      </c>
      <c r="D2411" s="4" t="s">
        <v>3</v>
      </c>
    </row>
    <row r="2412">
      <c r="A2412" s="3">
        <v>2017.0</v>
      </c>
      <c r="B2412" s="4" t="s">
        <v>2739</v>
      </c>
      <c r="C2412" s="4">
        <v>500.0</v>
      </c>
      <c r="D2412" s="4"/>
    </row>
    <row r="2413">
      <c r="A2413" s="3">
        <v>2017.0</v>
      </c>
      <c r="B2413" s="4" t="s">
        <v>2740</v>
      </c>
      <c r="C2413" s="4">
        <v>0.0</v>
      </c>
      <c r="D2413" s="4" t="s">
        <v>6</v>
      </c>
    </row>
    <row r="2414">
      <c r="A2414" s="3">
        <v>2017.0</v>
      </c>
      <c r="B2414" s="4" t="s">
        <v>1202</v>
      </c>
      <c r="C2414" s="4">
        <v>0.0</v>
      </c>
      <c r="D2414" s="4" t="s">
        <v>6</v>
      </c>
    </row>
    <row r="2415">
      <c r="A2415" s="3">
        <v>2017.0</v>
      </c>
      <c r="B2415" s="4" t="s">
        <v>2262</v>
      </c>
      <c r="C2415" s="4">
        <v>60000.0</v>
      </c>
      <c r="D2415" s="4"/>
    </row>
    <row r="2416">
      <c r="A2416" s="3">
        <v>2017.0</v>
      </c>
      <c r="B2416" s="4" t="s">
        <v>2263</v>
      </c>
      <c r="C2416" s="4">
        <v>1000.0</v>
      </c>
      <c r="D2416" s="4"/>
    </row>
    <row r="2417">
      <c r="A2417" s="3">
        <v>2017.0</v>
      </c>
      <c r="B2417" s="4" t="s">
        <v>2741</v>
      </c>
      <c r="C2417" s="4">
        <v>0.0</v>
      </c>
      <c r="D2417" s="4" t="s">
        <v>3</v>
      </c>
    </row>
    <row r="2418">
      <c r="A2418" s="3">
        <v>2017.0</v>
      </c>
      <c r="B2418" s="4" t="s">
        <v>2742</v>
      </c>
      <c r="C2418" s="4">
        <v>0.0</v>
      </c>
      <c r="D2418" s="4" t="s">
        <v>6</v>
      </c>
    </row>
    <row r="2419">
      <c r="A2419" s="3">
        <v>2017.0</v>
      </c>
      <c r="B2419" s="4" t="s">
        <v>1209</v>
      </c>
      <c r="C2419" s="4">
        <v>1500.0</v>
      </c>
      <c r="D2419" s="4"/>
    </row>
    <row r="2420">
      <c r="A2420" s="3">
        <v>2017.0</v>
      </c>
      <c r="B2420" s="4" t="s">
        <v>2743</v>
      </c>
      <c r="C2420" s="4">
        <v>0.0</v>
      </c>
      <c r="D2420" s="4" t="s">
        <v>3</v>
      </c>
    </row>
    <row r="2421">
      <c r="A2421" s="3">
        <v>2017.0</v>
      </c>
      <c r="B2421" s="4" t="s">
        <v>2265</v>
      </c>
      <c r="C2421" s="4">
        <v>2500.0</v>
      </c>
      <c r="D2421" s="4" t="s">
        <v>3</v>
      </c>
    </row>
    <row r="2422">
      <c r="A2422" s="3">
        <v>2017.0</v>
      </c>
      <c r="B2422" s="4" t="s">
        <v>1214</v>
      </c>
      <c r="C2422" s="4">
        <v>5000.0</v>
      </c>
      <c r="D2422" s="4" t="s">
        <v>29</v>
      </c>
    </row>
    <row r="2423">
      <c r="A2423" s="3">
        <v>2017.0</v>
      </c>
      <c r="B2423" s="4" t="s">
        <v>1215</v>
      </c>
      <c r="C2423" s="4">
        <v>0.0</v>
      </c>
      <c r="D2423" s="4" t="s">
        <v>29</v>
      </c>
    </row>
    <row r="2424">
      <c r="A2424" s="3">
        <v>2017.0</v>
      </c>
      <c r="B2424" s="4" t="s">
        <v>1216</v>
      </c>
      <c r="C2424" s="4">
        <v>0.0</v>
      </c>
      <c r="D2424" s="4" t="s">
        <v>3</v>
      </c>
    </row>
    <row r="2425">
      <c r="A2425" s="3">
        <v>2017.0</v>
      </c>
      <c r="B2425" s="4" t="s">
        <v>1217</v>
      </c>
      <c r="C2425" s="4">
        <v>0.0</v>
      </c>
      <c r="D2425" s="4" t="s">
        <v>29</v>
      </c>
    </row>
    <row r="2426">
      <c r="A2426" s="3">
        <v>2017.0</v>
      </c>
      <c r="B2426" s="4" t="s">
        <v>2744</v>
      </c>
      <c r="C2426" s="4">
        <v>0.0</v>
      </c>
      <c r="D2426" s="4" t="s">
        <v>3</v>
      </c>
    </row>
    <row r="2427">
      <c r="A2427" s="3">
        <v>2017.0</v>
      </c>
      <c r="B2427" s="4" t="s">
        <v>1218</v>
      </c>
      <c r="C2427" s="4">
        <v>0.0</v>
      </c>
      <c r="D2427" s="4" t="s">
        <v>29</v>
      </c>
    </row>
    <row r="2428">
      <c r="A2428" s="3">
        <v>2017.0</v>
      </c>
      <c r="B2428" s="4" t="s">
        <v>1219</v>
      </c>
      <c r="C2428" s="4">
        <v>0.0</v>
      </c>
      <c r="D2428" s="4" t="s">
        <v>2368</v>
      </c>
    </row>
    <row r="2429">
      <c r="A2429" s="3">
        <v>2017.0</v>
      </c>
      <c r="B2429" s="4" t="s">
        <v>1221</v>
      </c>
      <c r="C2429" s="4">
        <v>0.0</v>
      </c>
      <c r="D2429" s="4" t="s">
        <v>3</v>
      </c>
    </row>
    <row r="2430">
      <c r="A2430" s="3">
        <v>2017.0</v>
      </c>
      <c r="B2430" s="4" t="s">
        <v>1222</v>
      </c>
      <c r="C2430" s="4">
        <v>0.0</v>
      </c>
      <c r="D2430" s="4" t="s">
        <v>6</v>
      </c>
    </row>
    <row r="2431">
      <c r="A2431" s="3">
        <v>2017.0</v>
      </c>
      <c r="B2431" s="4" t="s">
        <v>1223</v>
      </c>
      <c r="C2431" s="4">
        <v>3000.0</v>
      </c>
      <c r="D2431" s="4" t="s">
        <v>3</v>
      </c>
    </row>
    <row r="2432">
      <c r="A2432" s="3">
        <v>2017.0</v>
      </c>
      <c r="B2432" s="4" t="s">
        <v>1226</v>
      </c>
      <c r="C2432" s="4">
        <v>0.0</v>
      </c>
      <c r="D2432" s="4" t="s">
        <v>29</v>
      </c>
    </row>
    <row r="2433">
      <c r="A2433" s="3">
        <v>2017.0</v>
      </c>
      <c r="B2433" s="4" t="s">
        <v>1227</v>
      </c>
      <c r="C2433" s="4">
        <v>66000.0</v>
      </c>
      <c r="D2433" s="4"/>
    </row>
    <row r="2434">
      <c r="A2434" s="3">
        <v>2017.0</v>
      </c>
      <c r="B2434" s="4" t="s">
        <v>2745</v>
      </c>
      <c r="C2434" s="4">
        <v>2500.0</v>
      </c>
      <c r="D2434" s="4" t="s">
        <v>3</v>
      </c>
    </row>
    <row r="2435">
      <c r="A2435" s="3">
        <v>2017.0</v>
      </c>
      <c r="B2435" s="4" t="s">
        <v>2746</v>
      </c>
      <c r="C2435" s="4">
        <v>0.0</v>
      </c>
      <c r="D2435" s="4" t="s">
        <v>3</v>
      </c>
    </row>
    <row r="2436">
      <c r="A2436" s="3">
        <v>2017.0</v>
      </c>
      <c r="B2436" s="4" t="s">
        <v>2747</v>
      </c>
      <c r="C2436" s="4">
        <v>0.0</v>
      </c>
      <c r="D2436" s="4" t="s">
        <v>3</v>
      </c>
    </row>
    <row r="2437">
      <c r="A2437" s="3">
        <v>2017.0</v>
      </c>
      <c r="B2437" s="4" t="s">
        <v>1229</v>
      </c>
      <c r="C2437" s="4">
        <v>0.0</v>
      </c>
      <c r="D2437" s="4" t="s">
        <v>2377</v>
      </c>
    </row>
    <row r="2438">
      <c r="A2438" s="3">
        <v>2017.0</v>
      </c>
      <c r="B2438" s="4" t="s">
        <v>2748</v>
      </c>
      <c r="C2438" s="4">
        <v>22000.0</v>
      </c>
      <c r="D2438" s="4" t="s">
        <v>6</v>
      </c>
    </row>
    <row r="2439">
      <c r="A2439" s="3">
        <v>2017.0</v>
      </c>
      <c r="B2439" s="4" t="s">
        <v>2749</v>
      </c>
      <c r="C2439" s="4">
        <v>0.0</v>
      </c>
      <c r="D2439" s="4" t="s">
        <v>3</v>
      </c>
    </row>
    <row r="2440">
      <c r="A2440" s="3">
        <v>2017.0</v>
      </c>
      <c r="B2440" s="4" t="s">
        <v>1232</v>
      </c>
      <c r="C2440" s="4">
        <v>0.0</v>
      </c>
      <c r="D2440" s="4" t="s">
        <v>29</v>
      </c>
    </row>
    <row r="2441">
      <c r="A2441" s="3">
        <v>2017.0</v>
      </c>
      <c r="B2441" s="4" t="s">
        <v>2750</v>
      </c>
      <c r="C2441" s="4">
        <v>1000.0</v>
      </c>
      <c r="D2441" s="4" t="s">
        <v>3</v>
      </c>
    </row>
    <row r="2442">
      <c r="A2442" s="3">
        <v>2017.0</v>
      </c>
      <c r="B2442" s="4" t="s">
        <v>2751</v>
      </c>
      <c r="C2442" s="4">
        <v>0.0</v>
      </c>
      <c r="D2442" s="4" t="s">
        <v>3</v>
      </c>
    </row>
    <row r="2443">
      <c r="A2443" s="3">
        <v>2017.0</v>
      </c>
      <c r="B2443" s="4" t="s">
        <v>2752</v>
      </c>
      <c r="C2443" s="4">
        <v>0.0</v>
      </c>
      <c r="D2443" s="4" t="s">
        <v>6</v>
      </c>
    </row>
    <row r="2444">
      <c r="A2444" s="3">
        <v>2017.0</v>
      </c>
      <c r="B2444" s="4" t="s">
        <v>1234</v>
      </c>
      <c r="C2444" s="4">
        <v>12041.0</v>
      </c>
      <c r="D2444" s="4" t="s">
        <v>29</v>
      </c>
    </row>
    <row r="2445">
      <c r="A2445" s="3">
        <v>2017.0</v>
      </c>
      <c r="B2445" s="4" t="s">
        <v>1236</v>
      </c>
      <c r="C2445" s="4">
        <v>12000.0</v>
      </c>
      <c r="D2445" s="4" t="s">
        <v>6</v>
      </c>
    </row>
    <row r="2446">
      <c r="A2446" s="3">
        <v>2017.0</v>
      </c>
      <c r="B2446" s="4" t="s">
        <v>2753</v>
      </c>
      <c r="C2446" s="4">
        <v>0.0</v>
      </c>
      <c r="D2446" s="4" t="s">
        <v>3</v>
      </c>
    </row>
    <row r="2447">
      <c r="A2447" s="3">
        <v>2017.0</v>
      </c>
      <c r="B2447" s="4" t="s">
        <v>1240</v>
      </c>
      <c r="C2447" s="4">
        <v>0.0</v>
      </c>
      <c r="D2447" s="4" t="s">
        <v>3</v>
      </c>
    </row>
    <row r="2448">
      <c r="A2448" s="3">
        <v>2017.0</v>
      </c>
      <c r="B2448" s="4" t="s">
        <v>1242</v>
      </c>
      <c r="C2448" s="4">
        <v>2800.0</v>
      </c>
      <c r="D2448" s="4" t="s">
        <v>3</v>
      </c>
    </row>
    <row r="2449">
      <c r="A2449" s="3">
        <v>2017.0</v>
      </c>
      <c r="B2449" s="4" t="s">
        <v>2754</v>
      </c>
      <c r="C2449" s="4">
        <v>3000.0</v>
      </c>
      <c r="D2449" s="4" t="s">
        <v>2368</v>
      </c>
    </row>
    <row r="2450">
      <c r="A2450" s="3">
        <v>2017.0</v>
      </c>
      <c r="B2450" s="4" t="s">
        <v>2755</v>
      </c>
      <c r="C2450" s="4">
        <v>4800.0</v>
      </c>
      <c r="D2450" s="4"/>
    </row>
    <row r="2451">
      <c r="A2451" s="3">
        <v>2017.0</v>
      </c>
      <c r="B2451" s="4" t="s">
        <v>1245</v>
      </c>
      <c r="C2451" s="4">
        <v>0.0</v>
      </c>
      <c r="D2451" s="4" t="s">
        <v>3</v>
      </c>
    </row>
    <row r="2452">
      <c r="A2452" s="3">
        <v>2017.0</v>
      </c>
      <c r="B2452" s="4" t="s">
        <v>1246</v>
      </c>
      <c r="C2452" s="4">
        <v>21000.0</v>
      </c>
      <c r="D2452" s="4"/>
    </row>
    <row r="2453">
      <c r="A2453" s="3">
        <v>2017.0</v>
      </c>
      <c r="B2453" s="4" t="s">
        <v>1247</v>
      </c>
      <c r="C2453" s="4">
        <v>2500.0</v>
      </c>
      <c r="D2453" s="4"/>
    </row>
    <row r="2454">
      <c r="A2454" s="3">
        <v>2017.0</v>
      </c>
      <c r="B2454" s="4" t="s">
        <v>1248</v>
      </c>
      <c r="C2454" s="4">
        <v>12000.0</v>
      </c>
      <c r="D2454" s="4"/>
    </row>
    <row r="2455">
      <c r="A2455" s="3">
        <v>2017.0</v>
      </c>
      <c r="B2455" s="4" t="s">
        <v>2756</v>
      </c>
      <c r="C2455" s="4">
        <v>0.0</v>
      </c>
      <c r="D2455" s="4" t="s">
        <v>3</v>
      </c>
    </row>
    <row r="2456">
      <c r="A2456" s="3">
        <v>2017.0</v>
      </c>
      <c r="B2456" s="4" t="s">
        <v>1254</v>
      </c>
      <c r="C2456" s="4">
        <v>0.0</v>
      </c>
      <c r="D2456" s="4" t="s">
        <v>6</v>
      </c>
    </row>
    <row r="2457">
      <c r="A2457" s="3">
        <v>2017.0</v>
      </c>
      <c r="B2457" s="4" t="s">
        <v>2757</v>
      </c>
      <c r="C2457" s="4">
        <v>0.0</v>
      </c>
      <c r="D2457" s="4" t="s">
        <v>3</v>
      </c>
    </row>
    <row r="2458">
      <c r="A2458" s="3">
        <v>2017.0</v>
      </c>
      <c r="B2458" s="4" t="s">
        <v>2758</v>
      </c>
      <c r="C2458" s="4">
        <v>0.0</v>
      </c>
      <c r="D2458" s="4" t="s">
        <v>3</v>
      </c>
    </row>
    <row r="2459">
      <c r="A2459" s="3">
        <v>2017.0</v>
      </c>
      <c r="B2459" s="4" t="s">
        <v>1258</v>
      </c>
      <c r="C2459" s="4">
        <v>1300.0</v>
      </c>
      <c r="D2459" s="4" t="s">
        <v>3</v>
      </c>
    </row>
    <row r="2460">
      <c r="A2460" s="3">
        <v>2017.0</v>
      </c>
      <c r="B2460" s="4" t="s">
        <v>1260</v>
      </c>
      <c r="C2460" s="4">
        <v>1550.0</v>
      </c>
      <c r="D2460" s="4" t="s">
        <v>2508</v>
      </c>
    </row>
    <row r="2461">
      <c r="A2461" s="3">
        <v>2017.0</v>
      </c>
      <c r="B2461" s="4" t="s">
        <v>1262</v>
      </c>
      <c r="C2461" s="4">
        <v>25000.0</v>
      </c>
      <c r="D2461" s="4"/>
    </row>
    <row r="2462">
      <c r="A2462" s="3">
        <v>2017.0</v>
      </c>
      <c r="B2462" s="4" t="s">
        <v>2759</v>
      </c>
      <c r="C2462" s="4">
        <v>0.0</v>
      </c>
      <c r="D2462" s="4" t="s">
        <v>3</v>
      </c>
    </row>
    <row r="2463">
      <c r="A2463" s="3">
        <v>2017.0</v>
      </c>
      <c r="B2463" s="4" t="s">
        <v>2760</v>
      </c>
      <c r="C2463" s="4">
        <v>0.0</v>
      </c>
      <c r="D2463" s="4" t="s">
        <v>6</v>
      </c>
    </row>
    <row r="2464">
      <c r="A2464" s="3">
        <v>2017.0</v>
      </c>
      <c r="B2464" s="4" t="s">
        <v>2761</v>
      </c>
      <c r="C2464" s="4">
        <v>4000.0</v>
      </c>
      <c r="D2464" s="4"/>
    </row>
    <row r="2465">
      <c r="A2465" s="3">
        <v>2017.0</v>
      </c>
      <c r="B2465" s="4" t="s">
        <v>1270</v>
      </c>
      <c r="C2465" s="4">
        <v>481561.0</v>
      </c>
      <c r="D2465" s="4" t="s">
        <v>2377</v>
      </c>
    </row>
    <row r="2466">
      <c r="A2466" s="3">
        <v>2017.0</v>
      </c>
      <c r="B2466" s="4" t="s">
        <v>1272</v>
      </c>
      <c r="C2466" s="4">
        <v>500.0</v>
      </c>
      <c r="D2466" s="4"/>
    </row>
    <row r="2467">
      <c r="A2467" s="3">
        <v>2017.0</v>
      </c>
      <c r="B2467" s="4" t="s">
        <v>2762</v>
      </c>
      <c r="C2467" s="4">
        <v>0.0</v>
      </c>
      <c r="D2467" s="4" t="s">
        <v>3</v>
      </c>
    </row>
    <row r="2468">
      <c r="A2468" s="3">
        <v>2017.0</v>
      </c>
      <c r="B2468" s="4" t="s">
        <v>2763</v>
      </c>
      <c r="C2468" s="4">
        <v>0.0</v>
      </c>
      <c r="D2468" s="4" t="s">
        <v>3</v>
      </c>
    </row>
    <row r="2469">
      <c r="A2469" s="3">
        <v>2017.0</v>
      </c>
      <c r="B2469" s="4" t="s">
        <v>1273</v>
      </c>
      <c r="C2469" s="4">
        <v>19500.0</v>
      </c>
      <c r="D2469" s="4" t="s">
        <v>2377</v>
      </c>
    </row>
    <row r="2470">
      <c r="A2470" s="3">
        <v>2017.0</v>
      </c>
      <c r="B2470" s="4" t="s">
        <v>1275</v>
      </c>
      <c r="C2470" s="4">
        <v>0.0</v>
      </c>
      <c r="D2470" s="4" t="s">
        <v>29</v>
      </c>
    </row>
    <row r="2471">
      <c r="A2471" s="3">
        <v>2017.0</v>
      </c>
      <c r="B2471" s="4" t="s">
        <v>2764</v>
      </c>
      <c r="C2471" s="4">
        <v>300.0</v>
      </c>
      <c r="D2471" s="4" t="s">
        <v>3</v>
      </c>
    </row>
    <row r="2472">
      <c r="A2472" s="3">
        <v>2017.0</v>
      </c>
      <c r="B2472" s="4" t="s">
        <v>2765</v>
      </c>
      <c r="C2472" s="4">
        <v>3500.0</v>
      </c>
      <c r="D2472" s="4"/>
    </row>
    <row r="2473">
      <c r="A2473" s="3">
        <v>2017.0</v>
      </c>
      <c r="B2473" s="4" t="s">
        <v>1277</v>
      </c>
      <c r="C2473" s="4">
        <v>18000.0</v>
      </c>
      <c r="D2473" s="4" t="s">
        <v>16</v>
      </c>
    </row>
    <row r="2474">
      <c r="A2474" s="3">
        <v>2017.0</v>
      </c>
      <c r="B2474" s="4" t="s">
        <v>1278</v>
      </c>
      <c r="C2474" s="4">
        <v>10000.0</v>
      </c>
      <c r="D2474" s="4"/>
    </row>
    <row r="2475">
      <c r="A2475" s="3">
        <v>2017.0</v>
      </c>
      <c r="B2475" s="4" t="s">
        <v>1279</v>
      </c>
      <c r="C2475" s="4">
        <v>4000.0</v>
      </c>
      <c r="D2475" s="4" t="s">
        <v>3</v>
      </c>
    </row>
    <row r="2476">
      <c r="A2476" s="3">
        <v>2017.0</v>
      </c>
      <c r="B2476" s="4" t="s">
        <v>2766</v>
      </c>
      <c r="C2476" s="4">
        <v>0.0</v>
      </c>
      <c r="D2476" s="4" t="s">
        <v>3</v>
      </c>
    </row>
    <row r="2477">
      <c r="A2477" s="3">
        <v>2017.0</v>
      </c>
      <c r="B2477" s="4" t="s">
        <v>1281</v>
      </c>
      <c r="C2477" s="4">
        <v>2000.0</v>
      </c>
      <c r="D2477" s="4" t="s">
        <v>3</v>
      </c>
    </row>
    <row r="2478">
      <c r="A2478" s="3">
        <v>2017.0</v>
      </c>
      <c r="B2478" s="4" t="s">
        <v>2767</v>
      </c>
      <c r="C2478" s="4">
        <v>0.0</v>
      </c>
      <c r="D2478" s="4" t="s">
        <v>2377</v>
      </c>
    </row>
    <row r="2479">
      <c r="A2479" s="3">
        <v>2017.0</v>
      </c>
      <c r="B2479" s="4" t="s">
        <v>1285</v>
      </c>
      <c r="C2479" s="4">
        <v>3300.0</v>
      </c>
      <c r="D2479" s="4"/>
    </row>
    <row r="2480">
      <c r="A2480" s="3">
        <v>2017.0</v>
      </c>
      <c r="B2480" s="4" t="s">
        <v>2768</v>
      </c>
      <c r="C2480" s="4">
        <v>0.0</v>
      </c>
      <c r="D2480" s="4" t="s">
        <v>3</v>
      </c>
    </row>
    <row r="2481">
      <c r="A2481" s="3">
        <v>2017.0</v>
      </c>
      <c r="B2481" s="4" t="s">
        <v>1287</v>
      </c>
      <c r="C2481" s="4">
        <v>4000.0</v>
      </c>
      <c r="D2481" s="4" t="s">
        <v>2377</v>
      </c>
    </row>
    <row r="2482">
      <c r="A2482" s="3">
        <v>2017.0</v>
      </c>
      <c r="B2482" s="4" t="s">
        <v>1288</v>
      </c>
      <c r="C2482" s="4">
        <v>10533.0</v>
      </c>
      <c r="D2482" s="4" t="s">
        <v>3</v>
      </c>
    </row>
    <row r="2483">
      <c r="A2483" s="3">
        <v>2017.0</v>
      </c>
      <c r="B2483" s="4" t="s">
        <v>2769</v>
      </c>
      <c r="C2483" s="4">
        <v>0.0</v>
      </c>
      <c r="D2483" s="4" t="s">
        <v>3</v>
      </c>
    </row>
    <row r="2484">
      <c r="A2484" s="3">
        <v>2017.0</v>
      </c>
      <c r="B2484" s="4" t="s">
        <v>2770</v>
      </c>
      <c r="C2484" s="4">
        <v>400.0</v>
      </c>
      <c r="D2484" s="4"/>
    </row>
    <row r="2485">
      <c r="A2485" s="3">
        <v>2017.0</v>
      </c>
      <c r="B2485" s="4" t="s">
        <v>2771</v>
      </c>
      <c r="C2485" s="4">
        <v>50000.0</v>
      </c>
      <c r="D2485" s="4" t="s">
        <v>29</v>
      </c>
    </row>
    <row r="2486">
      <c r="A2486" s="3">
        <v>2017.0</v>
      </c>
      <c r="B2486" s="4" t="s">
        <v>1290</v>
      </c>
      <c r="C2486" s="4">
        <v>3000.0</v>
      </c>
      <c r="D2486" s="4"/>
    </row>
    <row r="2487">
      <c r="A2487" s="3">
        <v>2017.0</v>
      </c>
      <c r="B2487" s="4" t="s">
        <v>1291</v>
      </c>
      <c r="C2487" s="4">
        <v>0.0</v>
      </c>
      <c r="D2487" s="4" t="s">
        <v>29</v>
      </c>
    </row>
    <row r="2488">
      <c r="A2488" s="3">
        <v>2017.0</v>
      </c>
      <c r="B2488" s="4" t="s">
        <v>2772</v>
      </c>
      <c r="C2488" s="4">
        <v>0.0</v>
      </c>
      <c r="D2488" s="4" t="s">
        <v>6</v>
      </c>
    </row>
    <row r="2489">
      <c r="A2489" s="3">
        <v>2017.0</v>
      </c>
      <c r="B2489" s="4" t="s">
        <v>1292</v>
      </c>
      <c r="C2489" s="4">
        <v>0.0</v>
      </c>
      <c r="D2489" s="4" t="s">
        <v>3</v>
      </c>
    </row>
    <row r="2490">
      <c r="A2490" s="3">
        <v>2017.0</v>
      </c>
      <c r="B2490" s="4" t="s">
        <v>2773</v>
      </c>
      <c r="C2490" s="4">
        <v>1000.0</v>
      </c>
      <c r="D2490" s="4"/>
    </row>
    <row r="2491">
      <c r="A2491" s="3">
        <v>2017.0</v>
      </c>
      <c r="B2491" s="4" t="s">
        <v>1293</v>
      </c>
      <c r="C2491" s="4">
        <v>2000.0</v>
      </c>
      <c r="D2491" s="4" t="s">
        <v>29</v>
      </c>
    </row>
    <row r="2492">
      <c r="A2492" s="3">
        <v>2017.0</v>
      </c>
      <c r="B2492" s="4" t="s">
        <v>1295</v>
      </c>
      <c r="C2492" s="4">
        <v>0.0</v>
      </c>
      <c r="D2492" s="4" t="s">
        <v>3</v>
      </c>
    </row>
    <row r="2493">
      <c r="A2493" s="3">
        <v>2017.0</v>
      </c>
      <c r="B2493" s="4" t="s">
        <v>2774</v>
      </c>
      <c r="C2493" s="4">
        <v>0.0</v>
      </c>
      <c r="D2493" s="4" t="s">
        <v>3</v>
      </c>
    </row>
    <row r="2494">
      <c r="A2494" s="3">
        <v>2017.0</v>
      </c>
      <c r="B2494" s="4" t="s">
        <v>1298</v>
      </c>
      <c r="C2494" s="4">
        <v>0.0</v>
      </c>
      <c r="D2494" s="4" t="s">
        <v>3</v>
      </c>
    </row>
    <row r="2495">
      <c r="A2495" s="3">
        <v>2017.0</v>
      </c>
      <c r="B2495" s="4" t="s">
        <v>1299</v>
      </c>
      <c r="C2495" s="4">
        <v>0.0</v>
      </c>
      <c r="D2495" s="4" t="s">
        <v>3</v>
      </c>
    </row>
    <row r="2496">
      <c r="A2496" s="3">
        <v>2017.0</v>
      </c>
      <c r="B2496" s="4" t="s">
        <v>1300</v>
      </c>
      <c r="C2496" s="4">
        <v>2000.0</v>
      </c>
      <c r="D2496" s="4" t="s">
        <v>2377</v>
      </c>
    </row>
    <row r="2497">
      <c r="A2497" s="3">
        <v>2017.0</v>
      </c>
      <c r="B2497" s="4" t="s">
        <v>2775</v>
      </c>
      <c r="C2497" s="4">
        <v>0.0</v>
      </c>
      <c r="D2497" s="4" t="s">
        <v>6</v>
      </c>
    </row>
    <row r="2498">
      <c r="A2498" s="3">
        <v>2017.0</v>
      </c>
      <c r="B2498" s="4" t="s">
        <v>1302</v>
      </c>
      <c r="C2498" s="4">
        <v>0.0</v>
      </c>
      <c r="D2498" s="4" t="s">
        <v>29</v>
      </c>
    </row>
    <row r="2499">
      <c r="A2499" s="3">
        <v>2017.0</v>
      </c>
      <c r="B2499" s="4" t="s">
        <v>1303</v>
      </c>
      <c r="C2499" s="4">
        <v>1500.0</v>
      </c>
      <c r="D2499" s="4" t="s">
        <v>6</v>
      </c>
    </row>
    <row r="2500">
      <c r="A2500" s="3">
        <v>2017.0</v>
      </c>
      <c r="B2500" s="4" t="s">
        <v>2776</v>
      </c>
      <c r="C2500" s="4">
        <v>0.0</v>
      </c>
      <c r="D2500" s="4" t="s">
        <v>3</v>
      </c>
    </row>
    <row r="2501">
      <c r="A2501" s="3">
        <v>2017.0</v>
      </c>
      <c r="B2501" s="4" t="s">
        <v>1304</v>
      </c>
      <c r="C2501" s="4">
        <v>45000.0</v>
      </c>
      <c r="D2501" s="4" t="s">
        <v>2377</v>
      </c>
    </row>
    <row r="2502">
      <c r="A2502" s="3">
        <v>2017.0</v>
      </c>
      <c r="B2502" s="4" t="s">
        <v>1305</v>
      </c>
      <c r="C2502" s="4">
        <v>7000.0</v>
      </c>
      <c r="D2502" s="4" t="s">
        <v>3</v>
      </c>
    </row>
    <row r="2503">
      <c r="A2503" s="3">
        <v>2017.0</v>
      </c>
      <c r="B2503" s="4" t="s">
        <v>1306</v>
      </c>
      <c r="C2503" s="4">
        <v>1700.0</v>
      </c>
      <c r="D2503" s="4" t="s">
        <v>6</v>
      </c>
    </row>
    <row r="2504">
      <c r="A2504" s="3">
        <v>2017.0</v>
      </c>
      <c r="B2504" s="4" t="s">
        <v>1307</v>
      </c>
      <c r="C2504" s="4">
        <v>0.0</v>
      </c>
      <c r="D2504" s="4" t="s">
        <v>2377</v>
      </c>
    </row>
    <row r="2505">
      <c r="A2505" s="3">
        <v>2017.0</v>
      </c>
      <c r="B2505" s="4" t="s">
        <v>2777</v>
      </c>
      <c r="C2505" s="4">
        <v>3000.0</v>
      </c>
      <c r="D2505" s="4"/>
    </row>
    <row r="2506">
      <c r="A2506" s="3">
        <v>2017.0</v>
      </c>
      <c r="B2506" s="4" t="s">
        <v>2778</v>
      </c>
      <c r="C2506" s="4">
        <v>0.0</v>
      </c>
      <c r="D2506" s="4" t="s">
        <v>6</v>
      </c>
    </row>
    <row r="2507">
      <c r="A2507" s="3">
        <v>2017.0</v>
      </c>
      <c r="B2507" s="4" t="s">
        <v>2779</v>
      </c>
      <c r="C2507" s="4">
        <v>10000.0</v>
      </c>
      <c r="D2507" s="4" t="s">
        <v>3</v>
      </c>
    </row>
    <row r="2508">
      <c r="A2508" s="3">
        <v>2017.0</v>
      </c>
      <c r="B2508" s="4" t="s">
        <v>2780</v>
      </c>
      <c r="C2508" s="4">
        <v>860.0</v>
      </c>
      <c r="D2508" s="4"/>
    </row>
    <row r="2509">
      <c r="A2509" s="3">
        <v>2017.0</v>
      </c>
      <c r="B2509" s="4" t="s">
        <v>2781</v>
      </c>
      <c r="C2509" s="4">
        <v>0.0</v>
      </c>
      <c r="D2509" s="4" t="s">
        <v>3</v>
      </c>
    </row>
    <row r="2510">
      <c r="A2510" s="3">
        <v>2017.0</v>
      </c>
      <c r="B2510" s="4" t="s">
        <v>1309</v>
      </c>
      <c r="C2510" s="4">
        <v>0.0</v>
      </c>
      <c r="D2510" s="4" t="s">
        <v>3</v>
      </c>
    </row>
    <row r="2511">
      <c r="A2511" s="3">
        <v>2017.0</v>
      </c>
      <c r="B2511" s="4" t="s">
        <v>1310</v>
      </c>
      <c r="C2511" s="4">
        <v>0.0</v>
      </c>
      <c r="D2511" s="4" t="s">
        <v>6</v>
      </c>
    </row>
    <row r="2512">
      <c r="A2512" s="3">
        <v>2017.0</v>
      </c>
      <c r="B2512" s="4" t="s">
        <v>1312</v>
      </c>
      <c r="C2512" s="4">
        <v>500.0</v>
      </c>
      <c r="D2512" s="4"/>
    </row>
    <row r="2513">
      <c r="A2513" s="3">
        <v>2017.0</v>
      </c>
      <c r="B2513" s="4" t="s">
        <v>1313</v>
      </c>
      <c r="C2513" s="4">
        <v>0.0</v>
      </c>
      <c r="D2513" s="4" t="s">
        <v>3</v>
      </c>
    </row>
    <row r="2514">
      <c r="A2514" s="3">
        <v>2017.0</v>
      </c>
      <c r="B2514" s="4" t="s">
        <v>1314</v>
      </c>
      <c r="C2514" s="4">
        <v>4000.0</v>
      </c>
      <c r="D2514" s="4"/>
    </row>
    <row r="2515">
      <c r="A2515" s="3">
        <v>2017.0</v>
      </c>
      <c r="B2515" s="4" t="s">
        <v>1315</v>
      </c>
      <c r="C2515" s="4">
        <v>16000.0</v>
      </c>
      <c r="D2515" s="4" t="s">
        <v>3</v>
      </c>
    </row>
    <row r="2516">
      <c r="A2516" s="3">
        <v>2017.0</v>
      </c>
      <c r="B2516" s="4" t="s">
        <v>1317</v>
      </c>
      <c r="C2516" s="4">
        <v>0.0</v>
      </c>
      <c r="D2516" s="4" t="s">
        <v>6</v>
      </c>
    </row>
    <row r="2517">
      <c r="A2517" s="3">
        <v>2017.0</v>
      </c>
      <c r="B2517" s="4" t="s">
        <v>2269</v>
      </c>
      <c r="C2517" s="4">
        <v>0.0</v>
      </c>
      <c r="D2517" s="4" t="s">
        <v>3</v>
      </c>
    </row>
    <row r="2518">
      <c r="A2518" s="3">
        <v>2017.0</v>
      </c>
      <c r="B2518" s="4" t="s">
        <v>2782</v>
      </c>
      <c r="C2518" s="4">
        <v>0.0</v>
      </c>
      <c r="D2518" s="4" t="s">
        <v>3</v>
      </c>
    </row>
    <row r="2519">
      <c r="A2519" s="3">
        <v>2017.0</v>
      </c>
      <c r="B2519" s="4" t="s">
        <v>2783</v>
      </c>
      <c r="C2519" s="4">
        <v>0.0</v>
      </c>
      <c r="D2519" s="4" t="s">
        <v>6</v>
      </c>
    </row>
    <row r="2520">
      <c r="A2520" s="3">
        <v>2017.0</v>
      </c>
      <c r="B2520" s="4" t="s">
        <v>2784</v>
      </c>
      <c r="C2520" s="4">
        <v>0.0</v>
      </c>
      <c r="D2520" s="4" t="s">
        <v>3</v>
      </c>
    </row>
    <row r="2521">
      <c r="A2521" s="3">
        <v>2017.0</v>
      </c>
      <c r="B2521" s="4" t="s">
        <v>1322</v>
      </c>
      <c r="C2521" s="4">
        <v>23000.0</v>
      </c>
      <c r="D2521" s="4" t="s">
        <v>3</v>
      </c>
    </row>
    <row r="2522">
      <c r="A2522" s="3">
        <v>2017.0</v>
      </c>
      <c r="B2522" s="4" t="s">
        <v>1324</v>
      </c>
      <c r="C2522" s="4">
        <v>4500.0</v>
      </c>
      <c r="D2522" s="4" t="s">
        <v>216</v>
      </c>
    </row>
    <row r="2523">
      <c r="A2523" s="3">
        <v>2017.0</v>
      </c>
      <c r="B2523" s="4" t="s">
        <v>2785</v>
      </c>
      <c r="C2523" s="4">
        <v>0.0</v>
      </c>
      <c r="D2523" s="4" t="s">
        <v>3</v>
      </c>
    </row>
    <row r="2524">
      <c r="A2524" s="3">
        <v>2017.0</v>
      </c>
      <c r="B2524" s="4" t="s">
        <v>1325</v>
      </c>
      <c r="C2524" s="4">
        <v>0.0</v>
      </c>
      <c r="D2524" s="4" t="s">
        <v>3</v>
      </c>
    </row>
    <row r="2525">
      <c r="A2525" s="3">
        <v>2017.0</v>
      </c>
      <c r="B2525" s="4" t="s">
        <v>2786</v>
      </c>
      <c r="C2525" s="4">
        <v>500.0</v>
      </c>
      <c r="D2525" s="4"/>
    </row>
    <row r="2526">
      <c r="A2526" s="3">
        <v>2017.0</v>
      </c>
      <c r="B2526" s="4" t="s">
        <v>2787</v>
      </c>
      <c r="C2526" s="4">
        <v>2500.0</v>
      </c>
      <c r="D2526" s="4"/>
    </row>
    <row r="2527">
      <c r="A2527" s="3">
        <v>2017.0</v>
      </c>
      <c r="B2527" s="4" t="s">
        <v>1328</v>
      </c>
      <c r="C2527" s="4">
        <v>0.0</v>
      </c>
      <c r="D2527" s="4" t="s">
        <v>29</v>
      </c>
    </row>
    <row r="2528">
      <c r="A2528" s="3">
        <v>2017.0</v>
      </c>
      <c r="B2528" s="4" t="s">
        <v>1329</v>
      </c>
      <c r="C2528" s="4">
        <v>2000.0</v>
      </c>
      <c r="D2528" s="4" t="s">
        <v>6</v>
      </c>
    </row>
    <row r="2529">
      <c r="A2529" s="3">
        <v>2017.0</v>
      </c>
      <c r="B2529" s="4" t="s">
        <v>2788</v>
      </c>
      <c r="C2529" s="4">
        <v>0.0</v>
      </c>
      <c r="D2529" s="4" t="s">
        <v>2377</v>
      </c>
    </row>
    <row r="2530">
      <c r="A2530" s="3">
        <v>2017.0</v>
      </c>
      <c r="B2530" s="4" t="s">
        <v>1331</v>
      </c>
      <c r="C2530" s="4">
        <v>8000.0</v>
      </c>
      <c r="D2530" s="4" t="s">
        <v>6</v>
      </c>
    </row>
    <row r="2531">
      <c r="A2531" s="3">
        <v>2017.0</v>
      </c>
      <c r="B2531" s="4" t="s">
        <v>1332</v>
      </c>
      <c r="C2531" s="4">
        <v>500.0</v>
      </c>
      <c r="D2531" s="4"/>
    </row>
    <row r="2532">
      <c r="A2532" s="3">
        <v>2017.0</v>
      </c>
      <c r="B2532" s="4" t="s">
        <v>1333</v>
      </c>
      <c r="C2532" s="4">
        <v>1500.0</v>
      </c>
      <c r="D2532" s="4"/>
    </row>
    <row r="2533">
      <c r="A2533" s="3">
        <v>2017.0</v>
      </c>
      <c r="B2533" s="4" t="s">
        <v>2789</v>
      </c>
      <c r="C2533" s="4">
        <v>2000.0</v>
      </c>
      <c r="D2533" s="4" t="s">
        <v>6</v>
      </c>
    </row>
    <row r="2534">
      <c r="A2534" s="3">
        <v>2017.0</v>
      </c>
      <c r="B2534" s="4" t="s">
        <v>1335</v>
      </c>
      <c r="C2534" s="4">
        <v>0.0</v>
      </c>
      <c r="D2534" s="4" t="s">
        <v>3</v>
      </c>
    </row>
    <row r="2535">
      <c r="A2535" s="3">
        <v>2017.0</v>
      </c>
      <c r="B2535" s="4" t="s">
        <v>1336</v>
      </c>
      <c r="C2535" s="4">
        <v>18000.0</v>
      </c>
      <c r="D2535" s="4" t="s">
        <v>3</v>
      </c>
    </row>
    <row r="2536">
      <c r="A2536" s="3">
        <v>2017.0</v>
      </c>
      <c r="B2536" s="4" t="s">
        <v>1337</v>
      </c>
      <c r="C2536" s="4">
        <v>3000.0</v>
      </c>
      <c r="D2536" s="4"/>
    </row>
    <row r="2537">
      <c r="A2537" s="3">
        <v>2017.0</v>
      </c>
      <c r="B2537" s="4" t="s">
        <v>2790</v>
      </c>
      <c r="C2537" s="4">
        <v>8000.0</v>
      </c>
      <c r="D2537" s="4" t="s">
        <v>3</v>
      </c>
    </row>
    <row r="2538">
      <c r="A2538" s="3">
        <v>2017.0</v>
      </c>
      <c r="B2538" s="4" t="s">
        <v>1338</v>
      </c>
      <c r="C2538" s="4">
        <v>4000.0</v>
      </c>
      <c r="D2538" s="4" t="s">
        <v>3</v>
      </c>
    </row>
    <row r="2539">
      <c r="A2539" s="3">
        <v>2017.0</v>
      </c>
      <c r="B2539" s="4" t="s">
        <v>1339</v>
      </c>
      <c r="C2539" s="4">
        <v>57357.0</v>
      </c>
      <c r="D2539" s="4"/>
    </row>
    <row r="2540">
      <c r="A2540" s="3">
        <v>2017.0</v>
      </c>
      <c r="B2540" s="4" t="s">
        <v>2791</v>
      </c>
      <c r="C2540" s="4">
        <v>5000.0</v>
      </c>
      <c r="D2540" s="4"/>
    </row>
    <row r="2541">
      <c r="A2541" s="3">
        <v>2017.0</v>
      </c>
      <c r="B2541" s="4" t="s">
        <v>2792</v>
      </c>
      <c r="C2541" s="4">
        <v>0.0</v>
      </c>
      <c r="D2541" s="4" t="s">
        <v>6</v>
      </c>
    </row>
    <row r="2542">
      <c r="A2542" s="3">
        <v>2017.0</v>
      </c>
      <c r="B2542" s="4" t="s">
        <v>2793</v>
      </c>
      <c r="C2542" s="4">
        <v>0.0</v>
      </c>
      <c r="D2542" s="4" t="s">
        <v>3</v>
      </c>
    </row>
    <row r="2543">
      <c r="A2543" s="3">
        <v>2017.0</v>
      </c>
      <c r="B2543" s="4" t="s">
        <v>2794</v>
      </c>
      <c r="C2543" s="4">
        <v>0.0</v>
      </c>
      <c r="D2543" s="4" t="s">
        <v>3</v>
      </c>
    </row>
    <row r="2544">
      <c r="A2544" s="3">
        <v>2017.0</v>
      </c>
      <c r="B2544" s="4" t="s">
        <v>1347</v>
      </c>
      <c r="C2544" s="4">
        <v>0.0</v>
      </c>
      <c r="D2544" s="4" t="s">
        <v>3</v>
      </c>
    </row>
    <row r="2545">
      <c r="A2545" s="3">
        <v>2017.0</v>
      </c>
      <c r="B2545" s="4" t="s">
        <v>1348</v>
      </c>
      <c r="C2545" s="4">
        <v>13000.0</v>
      </c>
      <c r="D2545" s="4"/>
    </row>
    <row r="2546">
      <c r="A2546" s="3">
        <v>2017.0</v>
      </c>
      <c r="B2546" s="4" t="s">
        <v>2795</v>
      </c>
      <c r="C2546" s="4">
        <v>0.0</v>
      </c>
      <c r="D2546" s="4" t="s">
        <v>3</v>
      </c>
    </row>
    <row r="2547">
      <c r="A2547" s="3">
        <v>2017.0</v>
      </c>
      <c r="B2547" s="4" t="s">
        <v>2796</v>
      </c>
      <c r="C2547" s="4">
        <v>2000.0</v>
      </c>
      <c r="D2547" s="4" t="s">
        <v>6</v>
      </c>
    </row>
    <row r="2548">
      <c r="A2548" s="3">
        <v>2017.0</v>
      </c>
      <c r="B2548" s="4" t="s">
        <v>1351</v>
      </c>
      <c r="C2548" s="4">
        <v>4000.0</v>
      </c>
      <c r="D2548" s="4"/>
    </row>
    <row r="2549">
      <c r="A2549" s="3">
        <v>2017.0</v>
      </c>
      <c r="B2549" s="4" t="s">
        <v>1352</v>
      </c>
      <c r="C2549" s="4">
        <v>0.0</v>
      </c>
      <c r="D2549" s="4" t="s">
        <v>3</v>
      </c>
    </row>
    <row r="2550">
      <c r="A2550" s="3">
        <v>2017.0</v>
      </c>
      <c r="B2550" s="4" t="s">
        <v>2797</v>
      </c>
      <c r="C2550" s="4">
        <v>0.0</v>
      </c>
      <c r="D2550" s="4" t="s">
        <v>3</v>
      </c>
    </row>
    <row r="2551">
      <c r="A2551" s="3">
        <v>2017.0</v>
      </c>
      <c r="B2551" s="4" t="s">
        <v>2798</v>
      </c>
      <c r="C2551" s="4">
        <v>0.0</v>
      </c>
      <c r="D2551" s="4" t="s">
        <v>3</v>
      </c>
    </row>
    <row r="2552">
      <c r="A2552" s="3">
        <v>2017.0</v>
      </c>
      <c r="B2552" s="4" t="s">
        <v>2799</v>
      </c>
      <c r="C2552" s="4">
        <v>0.0</v>
      </c>
      <c r="D2552" s="4" t="s">
        <v>3</v>
      </c>
    </row>
    <row r="2553">
      <c r="A2553" s="3">
        <v>2017.0</v>
      </c>
      <c r="B2553" s="4" t="s">
        <v>2800</v>
      </c>
      <c r="C2553" s="4">
        <v>6300.0</v>
      </c>
      <c r="D2553" s="4" t="s">
        <v>3</v>
      </c>
    </row>
    <row r="2554">
      <c r="A2554" s="3">
        <v>2017.0</v>
      </c>
      <c r="B2554" s="4" t="s">
        <v>1355</v>
      </c>
      <c r="C2554" s="4">
        <v>0.0</v>
      </c>
      <c r="D2554" s="4" t="s">
        <v>3</v>
      </c>
    </row>
    <row r="2555">
      <c r="A2555" s="3">
        <v>2017.0</v>
      </c>
      <c r="B2555" s="4" t="s">
        <v>2801</v>
      </c>
      <c r="C2555" s="4">
        <v>0.0</v>
      </c>
      <c r="D2555" s="4" t="s">
        <v>3</v>
      </c>
    </row>
    <row r="2556">
      <c r="A2556" s="3">
        <v>2017.0</v>
      </c>
      <c r="B2556" s="4" t="s">
        <v>1357</v>
      </c>
      <c r="C2556" s="4">
        <v>0.0</v>
      </c>
      <c r="D2556" s="4" t="s">
        <v>3</v>
      </c>
    </row>
    <row r="2557">
      <c r="A2557" s="3">
        <v>2017.0</v>
      </c>
      <c r="B2557" s="4" t="s">
        <v>2802</v>
      </c>
      <c r="C2557" s="4">
        <v>0.0</v>
      </c>
      <c r="D2557" s="4" t="s">
        <v>6</v>
      </c>
    </row>
    <row r="2558">
      <c r="A2558" s="3">
        <v>2017.0</v>
      </c>
      <c r="B2558" s="4" t="s">
        <v>1358</v>
      </c>
      <c r="C2558" s="4">
        <v>27000.0</v>
      </c>
      <c r="D2558" s="4" t="s">
        <v>2377</v>
      </c>
    </row>
    <row r="2559">
      <c r="A2559" s="3">
        <v>2017.0</v>
      </c>
      <c r="B2559" s="4" t="s">
        <v>2803</v>
      </c>
      <c r="C2559" s="4">
        <v>0.0</v>
      </c>
      <c r="D2559" s="4" t="s">
        <v>3</v>
      </c>
    </row>
    <row r="2560">
      <c r="A2560" s="3">
        <v>2017.0</v>
      </c>
      <c r="B2560" s="4" t="s">
        <v>2270</v>
      </c>
      <c r="C2560" s="4">
        <v>8900.0</v>
      </c>
      <c r="D2560" s="4" t="s">
        <v>2370</v>
      </c>
    </row>
    <row r="2561">
      <c r="A2561" s="3">
        <v>2017.0</v>
      </c>
      <c r="B2561" s="4" t="s">
        <v>1361</v>
      </c>
      <c r="C2561" s="4">
        <v>10000.0</v>
      </c>
      <c r="D2561" s="4"/>
    </row>
    <row r="2562">
      <c r="A2562" s="3">
        <v>2017.0</v>
      </c>
      <c r="B2562" s="4" t="s">
        <v>1362</v>
      </c>
      <c r="C2562" s="4">
        <v>650.0</v>
      </c>
      <c r="D2562" s="4" t="s">
        <v>2368</v>
      </c>
    </row>
    <row r="2563">
      <c r="A2563" s="3">
        <v>2017.0</v>
      </c>
      <c r="B2563" s="4" t="s">
        <v>1363</v>
      </c>
      <c r="C2563" s="4">
        <v>74000.0</v>
      </c>
      <c r="D2563" s="4" t="s">
        <v>2377</v>
      </c>
    </row>
    <row r="2564">
      <c r="A2564" s="3">
        <v>2017.0</v>
      </c>
      <c r="B2564" s="4" t="s">
        <v>2804</v>
      </c>
      <c r="C2564" s="4">
        <v>0.0</v>
      </c>
      <c r="D2564" s="4" t="s">
        <v>6</v>
      </c>
    </row>
    <row r="2565">
      <c r="A2565" s="3">
        <v>2017.0</v>
      </c>
      <c r="B2565" s="4" t="s">
        <v>2805</v>
      </c>
      <c r="C2565" s="4">
        <v>0.0</v>
      </c>
      <c r="D2565" s="4" t="s">
        <v>3</v>
      </c>
    </row>
    <row r="2566">
      <c r="A2566" s="3">
        <v>2017.0</v>
      </c>
      <c r="B2566" s="4" t="s">
        <v>2806</v>
      </c>
      <c r="C2566" s="4">
        <v>0.0</v>
      </c>
      <c r="D2566" s="4" t="s">
        <v>2370</v>
      </c>
    </row>
    <row r="2567">
      <c r="A2567" s="3">
        <v>2017.0</v>
      </c>
      <c r="B2567" s="4" t="s">
        <v>1365</v>
      </c>
      <c r="C2567" s="4">
        <v>0.0</v>
      </c>
      <c r="D2567" s="4" t="s">
        <v>2377</v>
      </c>
    </row>
    <row r="2568">
      <c r="A2568" s="3">
        <v>2017.0</v>
      </c>
      <c r="B2568" s="4" t="s">
        <v>2807</v>
      </c>
      <c r="C2568" s="4">
        <v>0.0</v>
      </c>
      <c r="D2568" s="4" t="s">
        <v>3</v>
      </c>
    </row>
    <row r="2569">
      <c r="A2569" s="3">
        <v>2017.0</v>
      </c>
      <c r="B2569" s="4" t="s">
        <v>1367</v>
      </c>
      <c r="C2569" s="4">
        <v>11500.0</v>
      </c>
      <c r="D2569" s="4" t="s">
        <v>3</v>
      </c>
    </row>
    <row r="2570">
      <c r="A2570" s="3">
        <v>2017.0</v>
      </c>
      <c r="B2570" s="4" t="s">
        <v>1368</v>
      </c>
      <c r="C2570" s="4">
        <v>3000.0</v>
      </c>
      <c r="D2570" s="4"/>
    </row>
    <row r="2571">
      <c r="A2571" s="3">
        <v>2017.0</v>
      </c>
      <c r="B2571" s="4" t="s">
        <v>1369</v>
      </c>
      <c r="C2571" s="4">
        <v>0.0</v>
      </c>
      <c r="D2571" s="4" t="s">
        <v>3</v>
      </c>
    </row>
    <row r="2572">
      <c r="A2572" s="3">
        <v>2017.0</v>
      </c>
      <c r="B2572" s="4" t="s">
        <v>1370</v>
      </c>
      <c r="C2572" s="4">
        <v>2500.0</v>
      </c>
      <c r="D2572" s="4" t="s">
        <v>2377</v>
      </c>
    </row>
    <row r="2573">
      <c r="A2573" s="3">
        <v>2017.0</v>
      </c>
      <c r="B2573" s="4" t="s">
        <v>1371</v>
      </c>
      <c r="C2573" s="4">
        <v>190000.0</v>
      </c>
      <c r="D2573" s="4" t="s">
        <v>176</v>
      </c>
    </row>
    <row r="2574">
      <c r="A2574" s="3">
        <v>2017.0</v>
      </c>
      <c r="B2574" s="4" t="s">
        <v>1375</v>
      </c>
      <c r="C2574" s="4">
        <v>0.0</v>
      </c>
      <c r="D2574" s="4" t="s">
        <v>3</v>
      </c>
    </row>
    <row r="2575">
      <c r="A2575" s="3">
        <v>2017.0</v>
      </c>
      <c r="B2575" s="4" t="s">
        <v>1376</v>
      </c>
      <c r="C2575" s="4">
        <v>0.0</v>
      </c>
      <c r="D2575" s="4" t="s">
        <v>3</v>
      </c>
    </row>
    <row r="2576">
      <c r="A2576" s="3">
        <v>2017.0</v>
      </c>
      <c r="B2576" s="4" t="s">
        <v>1377</v>
      </c>
      <c r="C2576" s="4">
        <v>51819.78</v>
      </c>
      <c r="D2576" s="4" t="s">
        <v>3</v>
      </c>
    </row>
    <row r="2577">
      <c r="A2577" s="3">
        <v>2017.0</v>
      </c>
      <c r="B2577" s="4" t="s">
        <v>2808</v>
      </c>
      <c r="C2577" s="4">
        <v>0.0</v>
      </c>
      <c r="D2577" s="4" t="s">
        <v>3</v>
      </c>
    </row>
    <row r="2578">
      <c r="A2578" s="3">
        <v>2017.0</v>
      </c>
      <c r="B2578" s="4" t="s">
        <v>1381</v>
      </c>
      <c r="C2578" s="4">
        <v>0.0</v>
      </c>
      <c r="D2578" s="4" t="s">
        <v>1651</v>
      </c>
    </row>
    <row r="2579">
      <c r="A2579" s="3">
        <v>2017.0</v>
      </c>
      <c r="B2579" s="4" t="s">
        <v>1384</v>
      </c>
      <c r="C2579" s="4">
        <v>0.0</v>
      </c>
      <c r="D2579" s="4" t="s">
        <v>3</v>
      </c>
    </row>
    <row r="2580">
      <c r="A2580" s="3">
        <v>2017.0</v>
      </c>
      <c r="B2580" s="4" t="s">
        <v>2809</v>
      </c>
      <c r="C2580" s="4">
        <v>0.0</v>
      </c>
      <c r="D2580" s="4" t="s">
        <v>3</v>
      </c>
    </row>
    <row r="2581">
      <c r="A2581" s="3">
        <v>2017.0</v>
      </c>
      <c r="B2581" s="4" t="s">
        <v>2810</v>
      </c>
      <c r="C2581" s="4">
        <v>12000.0</v>
      </c>
      <c r="D2581" s="4"/>
    </row>
    <row r="2582">
      <c r="A2582" s="3">
        <v>2017.0</v>
      </c>
      <c r="B2582" s="4" t="s">
        <v>1386</v>
      </c>
      <c r="C2582" s="4">
        <v>2200.0</v>
      </c>
      <c r="D2582" s="4" t="s">
        <v>2377</v>
      </c>
    </row>
    <row r="2583">
      <c r="A2583" s="3">
        <v>2017.0</v>
      </c>
      <c r="B2583" s="4" t="s">
        <v>1387</v>
      </c>
      <c r="C2583" s="4">
        <v>4000.0</v>
      </c>
      <c r="D2583" s="4" t="s">
        <v>3</v>
      </c>
    </row>
    <row r="2584">
      <c r="A2584" s="3">
        <v>2017.0</v>
      </c>
      <c r="B2584" s="4" t="s">
        <v>1389</v>
      </c>
      <c r="C2584" s="4">
        <v>121000.0</v>
      </c>
      <c r="D2584" s="4" t="s">
        <v>176</v>
      </c>
    </row>
    <row r="2585">
      <c r="A2585" s="3">
        <v>2017.0</v>
      </c>
      <c r="B2585" s="4" t="s">
        <v>2811</v>
      </c>
      <c r="C2585" s="4">
        <v>0.0</v>
      </c>
      <c r="D2585" s="4" t="s">
        <v>2508</v>
      </c>
    </row>
    <row r="2586">
      <c r="A2586" s="3">
        <v>2017.0</v>
      </c>
      <c r="B2586" s="4" t="s">
        <v>2812</v>
      </c>
      <c r="C2586" s="4">
        <v>1000.0</v>
      </c>
      <c r="D2586" s="4"/>
    </row>
    <row r="2587">
      <c r="A2587" s="3">
        <v>2017.0</v>
      </c>
      <c r="B2587" s="4" t="s">
        <v>1393</v>
      </c>
      <c r="C2587" s="4">
        <v>4000.0</v>
      </c>
      <c r="D2587" s="4" t="s">
        <v>6</v>
      </c>
    </row>
    <row r="2588">
      <c r="A2588" s="3">
        <v>2017.0</v>
      </c>
      <c r="B2588" s="4" t="s">
        <v>2813</v>
      </c>
      <c r="C2588" s="4">
        <v>0.0</v>
      </c>
      <c r="D2588" s="4" t="s">
        <v>6</v>
      </c>
    </row>
    <row r="2589">
      <c r="A2589" s="3">
        <v>2017.0</v>
      </c>
      <c r="B2589" s="4" t="s">
        <v>2814</v>
      </c>
      <c r="C2589" s="4">
        <v>4000.0</v>
      </c>
      <c r="D2589" s="4" t="s">
        <v>3</v>
      </c>
    </row>
    <row r="2590">
      <c r="A2590" s="3">
        <v>2017.0</v>
      </c>
      <c r="B2590" s="4" t="s">
        <v>2815</v>
      </c>
      <c r="C2590" s="4">
        <v>0.0</v>
      </c>
      <c r="D2590" s="4" t="s">
        <v>3</v>
      </c>
    </row>
    <row r="2591">
      <c r="A2591" s="3">
        <v>2017.0</v>
      </c>
      <c r="B2591" s="4" t="s">
        <v>2816</v>
      </c>
      <c r="C2591" s="4">
        <v>0.0</v>
      </c>
      <c r="D2591" s="4" t="s">
        <v>2377</v>
      </c>
    </row>
    <row r="2592">
      <c r="A2592" s="3">
        <v>2017.0</v>
      </c>
      <c r="B2592" s="4" t="s">
        <v>1394</v>
      </c>
      <c r="C2592" s="4">
        <v>0.0</v>
      </c>
      <c r="D2592" s="4" t="s">
        <v>6</v>
      </c>
    </row>
    <row r="2593">
      <c r="A2593" s="3">
        <v>2017.0</v>
      </c>
      <c r="B2593" s="4" t="s">
        <v>1395</v>
      </c>
      <c r="C2593" s="4">
        <v>480.0</v>
      </c>
      <c r="D2593" s="4"/>
    </row>
    <row r="2594">
      <c r="A2594" s="3">
        <v>2017.0</v>
      </c>
      <c r="B2594" s="4" t="s">
        <v>1399</v>
      </c>
      <c r="C2594" s="4">
        <v>0.0</v>
      </c>
      <c r="D2594" s="4" t="s">
        <v>3</v>
      </c>
    </row>
    <row r="2595">
      <c r="A2595" s="3">
        <v>2017.0</v>
      </c>
      <c r="B2595" s="4" t="s">
        <v>1400</v>
      </c>
      <c r="C2595" s="4">
        <v>0.0</v>
      </c>
      <c r="D2595" s="4" t="s">
        <v>3</v>
      </c>
    </row>
    <row r="2596">
      <c r="A2596" s="3">
        <v>2017.0</v>
      </c>
      <c r="B2596" s="4" t="s">
        <v>2817</v>
      </c>
      <c r="C2596" s="4">
        <v>4800.0</v>
      </c>
      <c r="D2596" s="4"/>
    </row>
    <row r="2597">
      <c r="A2597" s="3">
        <v>2017.0</v>
      </c>
      <c r="B2597" s="4" t="s">
        <v>1401</v>
      </c>
      <c r="C2597" s="4">
        <v>5400.0</v>
      </c>
      <c r="D2597" s="4"/>
    </row>
    <row r="2598">
      <c r="A2598" s="3">
        <v>2017.0</v>
      </c>
      <c r="B2598" s="4" t="s">
        <v>2818</v>
      </c>
      <c r="C2598" s="4">
        <v>0.0</v>
      </c>
      <c r="D2598" s="4" t="s">
        <v>3</v>
      </c>
    </row>
    <row r="2599">
      <c r="A2599" s="3">
        <v>2017.0</v>
      </c>
      <c r="B2599" s="4" t="s">
        <v>1403</v>
      </c>
      <c r="C2599" s="4">
        <v>0.0</v>
      </c>
      <c r="D2599" s="4" t="s">
        <v>3</v>
      </c>
    </row>
    <row r="2600">
      <c r="A2600" s="3">
        <v>2017.0</v>
      </c>
      <c r="B2600" s="4" t="s">
        <v>1404</v>
      </c>
      <c r="C2600" s="4">
        <v>0.0</v>
      </c>
      <c r="D2600" s="4" t="s">
        <v>2377</v>
      </c>
    </row>
    <row r="2601">
      <c r="A2601" s="3">
        <v>2017.0</v>
      </c>
      <c r="B2601" s="4" t="s">
        <v>1405</v>
      </c>
      <c r="C2601" s="4">
        <v>14000.0</v>
      </c>
      <c r="D2601" s="4"/>
    </row>
    <row r="2602">
      <c r="A2602" s="3">
        <v>2017.0</v>
      </c>
      <c r="B2602" s="4" t="s">
        <v>1406</v>
      </c>
      <c r="C2602" s="4">
        <v>15180.0</v>
      </c>
      <c r="D2602" s="4" t="s">
        <v>2377</v>
      </c>
    </row>
    <row r="2603">
      <c r="A2603" s="3">
        <v>2017.0</v>
      </c>
      <c r="B2603" s="4" t="s">
        <v>2819</v>
      </c>
      <c r="C2603" s="4">
        <v>0.0</v>
      </c>
      <c r="D2603" s="4" t="s">
        <v>668</v>
      </c>
    </row>
    <row r="2604">
      <c r="A2604" s="3">
        <v>2017.0</v>
      </c>
      <c r="B2604" s="4" t="s">
        <v>1408</v>
      </c>
      <c r="C2604" s="4">
        <v>1500.0</v>
      </c>
      <c r="D2604" s="4"/>
    </row>
    <row r="2605">
      <c r="A2605" s="3">
        <v>2017.0</v>
      </c>
      <c r="B2605" s="4" t="s">
        <v>1409</v>
      </c>
      <c r="C2605" s="4">
        <v>0.0</v>
      </c>
      <c r="D2605" s="4" t="s">
        <v>6</v>
      </c>
    </row>
    <row r="2606">
      <c r="A2606" s="3">
        <v>2017.0</v>
      </c>
      <c r="B2606" s="4" t="s">
        <v>2820</v>
      </c>
      <c r="C2606" s="4">
        <v>0.0</v>
      </c>
      <c r="D2606" s="4" t="s">
        <v>3</v>
      </c>
    </row>
    <row r="2607">
      <c r="A2607" s="3">
        <v>2017.0</v>
      </c>
      <c r="B2607" s="4" t="s">
        <v>1410</v>
      </c>
      <c r="C2607" s="4">
        <v>0.0</v>
      </c>
      <c r="D2607" s="4" t="s">
        <v>6</v>
      </c>
    </row>
    <row r="2608">
      <c r="A2608" s="3">
        <v>2017.0</v>
      </c>
      <c r="B2608" s="4" t="s">
        <v>1411</v>
      </c>
      <c r="C2608" s="4">
        <v>0.0</v>
      </c>
      <c r="D2608" s="4" t="s">
        <v>2377</v>
      </c>
    </row>
    <row r="2609">
      <c r="A2609" s="3">
        <v>2017.0</v>
      </c>
      <c r="B2609" s="4" t="s">
        <v>1412</v>
      </c>
      <c r="C2609" s="4">
        <v>0.0</v>
      </c>
      <c r="D2609" s="4" t="s">
        <v>3</v>
      </c>
    </row>
    <row r="2610">
      <c r="A2610" s="3">
        <v>2017.0</v>
      </c>
      <c r="B2610" s="4" t="s">
        <v>1413</v>
      </c>
      <c r="C2610" s="4">
        <v>0.0</v>
      </c>
      <c r="D2610" s="4" t="s">
        <v>3</v>
      </c>
    </row>
    <row r="2611">
      <c r="A2611" s="3">
        <v>2017.0</v>
      </c>
      <c r="B2611" s="4" t="s">
        <v>2821</v>
      </c>
      <c r="C2611" s="4">
        <v>4000.0</v>
      </c>
      <c r="D2611" s="4"/>
    </row>
    <row r="2612">
      <c r="A2612" s="3">
        <v>2017.0</v>
      </c>
      <c r="B2612" s="4" t="s">
        <v>1415</v>
      </c>
      <c r="C2612" s="4">
        <v>500.0</v>
      </c>
      <c r="D2612" s="4"/>
    </row>
    <row r="2613">
      <c r="A2613" s="3">
        <v>2017.0</v>
      </c>
      <c r="B2613" s="4" t="s">
        <v>1417</v>
      </c>
      <c r="C2613" s="4">
        <v>4500.0</v>
      </c>
      <c r="D2613" s="4"/>
    </row>
    <row r="2614">
      <c r="A2614" s="3">
        <v>2017.0</v>
      </c>
      <c r="B2614" s="4" t="s">
        <v>2822</v>
      </c>
      <c r="C2614" s="4">
        <v>0.0</v>
      </c>
      <c r="D2614" s="4" t="s">
        <v>3</v>
      </c>
    </row>
    <row r="2615">
      <c r="A2615" s="3">
        <v>2017.0</v>
      </c>
      <c r="B2615" s="4" t="s">
        <v>1418</v>
      </c>
      <c r="C2615" s="4">
        <v>5000.0</v>
      </c>
      <c r="D2615" s="4" t="s">
        <v>216</v>
      </c>
    </row>
    <row r="2616">
      <c r="A2616" s="3">
        <v>2017.0</v>
      </c>
      <c r="B2616" s="4" t="s">
        <v>2823</v>
      </c>
      <c r="C2616" s="4">
        <v>0.0</v>
      </c>
      <c r="D2616" s="4" t="s">
        <v>3</v>
      </c>
    </row>
    <row r="2617">
      <c r="A2617" s="3">
        <v>2017.0</v>
      </c>
      <c r="B2617" s="4" t="s">
        <v>2824</v>
      </c>
      <c r="C2617" s="4">
        <v>4000.0</v>
      </c>
      <c r="D2617" s="4"/>
    </row>
    <row r="2618">
      <c r="A2618" s="3">
        <v>2017.0</v>
      </c>
      <c r="B2618" s="4" t="s">
        <v>1420</v>
      </c>
      <c r="C2618" s="4">
        <v>10000.0</v>
      </c>
      <c r="D2618" s="4" t="s">
        <v>6</v>
      </c>
    </row>
    <row r="2619">
      <c r="A2619" s="3">
        <v>2017.0</v>
      </c>
      <c r="B2619" s="4" t="s">
        <v>2825</v>
      </c>
      <c r="C2619" s="4">
        <v>0.0</v>
      </c>
      <c r="D2619" s="4" t="s">
        <v>3</v>
      </c>
    </row>
    <row r="2620">
      <c r="A2620" s="3">
        <v>2017.0</v>
      </c>
      <c r="B2620" s="4" t="s">
        <v>1427</v>
      </c>
      <c r="C2620" s="4">
        <v>5955.0</v>
      </c>
      <c r="D2620" s="4" t="s">
        <v>2377</v>
      </c>
    </row>
    <row r="2621">
      <c r="A2621" s="3">
        <v>2017.0</v>
      </c>
      <c r="B2621" s="4" t="s">
        <v>2826</v>
      </c>
      <c r="C2621" s="4">
        <v>0.0</v>
      </c>
      <c r="D2621" s="4" t="s">
        <v>3</v>
      </c>
    </row>
    <row r="2622">
      <c r="A2622" s="3">
        <v>2017.0</v>
      </c>
      <c r="B2622" s="4" t="s">
        <v>1429</v>
      </c>
      <c r="C2622" s="4">
        <v>0.0</v>
      </c>
      <c r="D2622" s="4" t="s">
        <v>3</v>
      </c>
    </row>
    <row r="2623">
      <c r="A2623" s="3">
        <v>2017.0</v>
      </c>
      <c r="B2623" s="4" t="s">
        <v>2827</v>
      </c>
      <c r="C2623" s="4">
        <v>800.0</v>
      </c>
      <c r="D2623" s="4" t="s">
        <v>3</v>
      </c>
    </row>
    <row r="2624">
      <c r="A2624" s="3">
        <v>2017.0</v>
      </c>
      <c r="B2624" s="4" t="s">
        <v>1430</v>
      </c>
      <c r="C2624" s="4">
        <v>500.0</v>
      </c>
      <c r="D2624" s="4" t="s">
        <v>6</v>
      </c>
    </row>
    <row r="2625">
      <c r="A2625" s="3">
        <v>2017.0</v>
      </c>
      <c r="B2625" s="4" t="s">
        <v>1431</v>
      </c>
      <c r="C2625" s="4">
        <v>5000.0</v>
      </c>
      <c r="D2625" s="4" t="s">
        <v>6</v>
      </c>
    </row>
    <row r="2626">
      <c r="A2626" s="3">
        <v>2017.0</v>
      </c>
      <c r="B2626" s="4" t="s">
        <v>2273</v>
      </c>
      <c r="C2626" s="4">
        <v>0.0</v>
      </c>
      <c r="D2626" s="4" t="s">
        <v>2508</v>
      </c>
    </row>
    <row r="2627">
      <c r="A2627" s="3">
        <v>2017.0</v>
      </c>
      <c r="B2627" s="4" t="s">
        <v>2828</v>
      </c>
      <c r="C2627" s="4">
        <v>0.0</v>
      </c>
      <c r="D2627" s="4" t="s">
        <v>3</v>
      </c>
    </row>
    <row r="2628">
      <c r="A2628" s="3">
        <v>2017.0</v>
      </c>
      <c r="B2628" s="4" t="s">
        <v>1434</v>
      </c>
      <c r="C2628" s="4">
        <v>3500.0</v>
      </c>
      <c r="D2628" s="4" t="s">
        <v>3</v>
      </c>
    </row>
    <row r="2629">
      <c r="A2629" s="3">
        <v>2017.0</v>
      </c>
      <c r="B2629" s="4" t="s">
        <v>1436</v>
      </c>
      <c r="C2629" s="4">
        <v>4000.0</v>
      </c>
      <c r="D2629" s="4"/>
    </row>
    <row r="2630">
      <c r="A2630" s="3">
        <v>2017.0</v>
      </c>
      <c r="B2630" s="4" t="s">
        <v>2829</v>
      </c>
      <c r="C2630" s="4">
        <v>1500.0</v>
      </c>
      <c r="D2630" s="4"/>
    </row>
    <row r="2631">
      <c r="A2631" s="3">
        <v>2017.0</v>
      </c>
      <c r="B2631" s="4" t="s">
        <v>2830</v>
      </c>
      <c r="C2631" s="4">
        <v>0.0</v>
      </c>
      <c r="D2631" s="4" t="s">
        <v>3</v>
      </c>
    </row>
    <row r="2632">
      <c r="A2632" s="3">
        <v>2017.0</v>
      </c>
      <c r="B2632" s="4" t="s">
        <v>1438</v>
      </c>
      <c r="C2632" s="4">
        <v>50000.0</v>
      </c>
      <c r="D2632" s="4"/>
    </row>
    <row r="2633">
      <c r="A2633" s="3">
        <v>2017.0</v>
      </c>
      <c r="B2633" s="4" t="s">
        <v>2274</v>
      </c>
      <c r="C2633" s="4">
        <v>26852.0</v>
      </c>
      <c r="D2633" s="4" t="s">
        <v>2370</v>
      </c>
    </row>
    <row r="2634">
      <c r="A2634" s="3">
        <v>2017.0</v>
      </c>
      <c r="B2634" s="4" t="s">
        <v>2831</v>
      </c>
      <c r="C2634" s="4">
        <v>6000.0</v>
      </c>
      <c r="D2634" s="4" t="s">
        <v>6</v>
      </c>
    </row>
    <row r="2635">
      <c r="A2635" s="3">
        <v>2017.0</v>
      </c>
      <c r="B2635" s="4" t="s">
        <v>2832</v>
      </c>
      <c r="C2635" s="4">
        <v>5000.0</v>
      </c>
      <c r="D2635" s="4"/>
    </row>
    <row r="2636">
      <c r="A2636" s="3">
        <v>2017.0</v>
      </c>
      <c r="B2636" s="4" t="s">
        <v>1443</v>
      </c>
      <c r="C2636" s="4">
        <v>0.0</v>
      </c>
      <c r="D2636" s="4" t="s">
        <v>3</v>
      </c>
    </row>
    <row r="2637">
      <c r="A2637" s="3">
        <v>2017.0</v>
      </c>
      <c r="B2637" s="4" t="s">
        <v>1444</v>
      </c>
      <c r="C2637" s="4">
        <v>1000.0</v>
      </c>
      <c r="D2637" s="4"/>
    </row>
    <row r="2638">
      <c r="A2638" s="3">
        <v>2017.0</v>
      </c>
      <c r="B2638" s="4" t="s">
        <v>2833</v>
      </c>
      <c r="C2638" s="4">
        <v>0.0</v>
      </c>
      <c r="D2638" s="4" t="s">
        <v>3</v>
      </c>
    </row>
    <row r="2639">
      <c r="A2639" s="3">
        <v>2017.0</v>
      </c>
      <c r="B2639" s="4" t="s">
        <v>2834</v>
      </c>
      <c r="C2639" s="4">
        <v>15000.0</v>
      </c>
      <c r="D2639" s="4" t="s">
        <v>6</v>
      </c>
    </row>
    <row r="2640">
      <c r="A2640" s="3">
        <v>2017.0</v>
      </c>
      <c r="B2640" s="4" t="s">
        <v>1447</v>
      </c>
      <c r="C2640" s="4">
        <v>0.0</v>
      </c>
      <c r="D2640" s="4" t="s">
        <v>6</v>
      </c>
    </row>
    <row r="2641">
      <c r="A2641" s="3">
        <v>2017.0</v>
      </c>
      <c r="B2641" s="4" t="s">
        <v>1449</v>
      </c>
      <c r="C2641" s="4">
        <v>0.0</v>
      </c>
      <c r="D2641" s="4" t="s">
        <v>6</v>
      </c>
    </row>
    <row r="2642">
      <c r="A2642" s="3">
        <v>2017.0</v>
      </c>
      <c r="B2642" s="4" t="s">
        <v>1450</v>
      </c>
      <c r="C2642" s="4">
        <v>0.0</v>
      </c>
      <c r="D2642" s="4" t="s">
        <v>3</v>
      </c>
    </row>
    <row r="2643">
      <c r="A2643" s="3">
        <v>2017.0</v>
      </c>
      <c r="B2643" s="4" t="s">
        <v>2835</v>
      </c>
      <c r="C2643" s="4">
        <v>0.0</v>
      </c>
      <c r="D2643" s="4" t="s">
        <v>6</v>
      </c>
    </row>
    <row r="2644">
      <c r="A2644" s="3">
        <v>2017.0</v>
      </c>
      <c r="B2644" s="4" t="s">
        <v>1451</v>
      </c>
      <c r="C2644" s="4">
        <v>1000.0</v>
      </c>
      <c r="D2644" s="4" t="s">
        <v>3</v>
      </c>
    </row>
    <row r="2645">
      <c r="A2645" s="3">
        <v>2017.0</v>
      </c>
      <c r="B2645" s="4" t="s">
        <v>2836</v>
      </c>
      <c r="C2645" s="4">
        <v>0.0</v>
      </c>
      <c r="D2645" s="4" t="s">
        <v>2377</v>
      </c>
    </row>
    <row r="2646">
      <c r="A2646" s="3">
        <v>2017.0</v>
      </c>
      <c r="B2646" s="4" t="s">
        <v>1452</v>
      </c>
      <c r="C2646" s="4">
        <v>0.0</v>
      </c>
      <c r="D2646" s="4" t="s">
        <v>2377</v>
      </c>
    </row>
    <row r="2647">
      <c r="A2647" s="3">
        <v>2017.0</v>
      </c>
      <c r="B2647" s="4" t="s">
        <v>2837</v>
      </c>
      <c r="C2647" s="4">
        <v>0.0</v>
      </c>
      <c r="D2647" s="4" t="s">
        <v>3</v>
      </c>
    </row>
    <row r="2648">
      <c r="A2648" s="3">
        <v>2017.0</v>
      </c>
      <c r="B2648" s="4" t="s">
        <v>2838</v>
      </c>
      <c r="C2648" s="4">
        <v>0.0</v>
      </c>
      <c r="D2648" s="4" t="s">
        <v>3</v>
      </c>
    </row>
    <row r="2649">
      <c r="A2649" s="3">
        <v>2017.0</v>
      </c>
      <c r="B2649" s="4" t="s">
        <v>1454</v>
      </c>
      <c r="C2649" s="4">
        <v>500.0</v>
      </c>
      <c r="D2649" s="4" t="s">
        <v>2508</v>
      </c>
    </row>
    <row r="2650">
      <c r="A2650" s="3">
        <v>2017.0</v>
      </c>
      <c r="B2650" s="4" t="s">
        <v>2839</v>
      </c>
      <c r="C2650" s="4">
        <v>0.0</v>
      </c>
      <c r="D2650" s="4" t="s">
        <v>3</v>
      </c>
    </row>
    <row r="2651">
      <c r="A2651" s="3">
        <v>2017.0</v>
      </c>
      <c r="B2651" s="4" t="s">
        <v>2840</v>
      </c>
      <c r="C2651" s="4">
        <v>0.0</v>
      </c>
      <c r="D2651" s="4" t="s">
        <v>3</v>
      </c>
    </row>
    <row r="2652">
      <c r="A2652" s="3">
        <v>2017.0</v>
      </c>
      <c r="B2652" s="4" t="s">
        <v>2841</v>
      </c>
      <c r="C2652" s="4">
        <v>0.0</v>
      </c>
      <c r="D2652" s="4" t="s">
        <v>3</v>
      </c>
    </row>
    <row r="2653">
      <c r="A2653" s="3">
        <v>2017.0</v>
      </c>
      <c r="B2653" s="4" t="s">
        <v>2275</v>
      </c>
      <c r="C2653" s="4">
        <v>500.0</v>
      </c>
      <c r="D2653" s="4"/>
    </row>
    <row r="2654">
      <c r="A2654" s="3">
        <v>2017.0</v>
      </c>
      <c r="B2654" s="4" t="s">
        <v>2842</v>
      </c>
      <c r="C2654" s="4">
        <v>800.0</v>
      </c>
      <c r="D2654" s="4" t="s">
        <v>3</v>
      </c>
    </row>
    <row r="2655">
      <c r="A2655" s="3">
        <v>2017.0</v>
      </c>
      <c r="B2655" s="4" t="s">
        <v>1458</v>
      </c>
      <c r="C2655" s="4">
        <v>0.0</v>
      </c>
      <c r="D2655" s="4" t="s">
        <v>3</v>
      </c>
    </row>
    <row r="2656">
      <c r="A2656" s="3">
        <v>2017.0</v>
      </c>
      <c r="B2656" s="4" t="s">
        <v>1460</v>
      </c>
      <c r="C2656" s="4">
        <v>6000.0</v>
      </c>
      <c r="D2656" s="4" t="s">
        <v>6</v>
      </c>
    </row>
    <row r="2657">
      <c r="A2657" s="3">
        <v>2017.0</v>
      </c>
      <c r="B2657" s="4" t="s">
        <v>2843</v>
      </c>
      <c r="C2657" s="4">
        <v>0.0</v>
      </c>
      <c r="D2657" s="4" t="s">
        <v>6</v>
      </c>
    </row>
    <row r="2658">
      <c r="A2658" s="3">
        <v>2017.0</v>
      </c>
      <c r="B2658" s="4" t="s">
        <v>1461</v>
      </c>
      <c r="C2658" s="4">
        <v>1000.0</v>
      </c>
      <c r="D2658" s="4"/>
    </row>
    <row r="2659">
      <c r="A2659" s="3">
        <v>2017.0</v>
      </c>
      <c r="B2659" s="4" t="s">
        <v>1462</v>
      </c>
      <c r="C2659" s="4">
        <v>6200.0</v>
      </c>
      <c r="D2659" s="4" t="s">
        <v>6</v>
      </c>
    </row>
    <row r="2660">
      <c r="A2660" s="3">
        <v>2017.0</v>
      </c>
      <c r="B2660" s="4" t="s">
        <v>2844</v>
      </c>
      <c r="C2660" s="4">
        <v>500.0</v>
      </c>
      <c r="D2660" s="4"/>
    </row>
    <row r="2661">
      <c r="A2661" s="3">
        <v>2017.0</v>
      </c>
      <c r="B2661" s="4" t="s">
        <v>1463</v>
      </c>
      <c r="C2661" s="4">
        <v>350358.0</v>
      </c>
      <c r="D2661" s="4" t="s">
        <v>2508</v>
      </c>
    </row>
    <row r="2662">
      <c r="A2662" s="3">
        <v>2017.0</v>
      </c>
      <c r="B2662" s="4" t="s">
        <v>1465</v>
      </c>
      <c r="C2662" s="4">
        <v>450.0</v>
      </c>
      <c r="D2662" s="4"/>
    </row>
    <row r="2663">
      <c r="A2663" s="3">
        <v>2017.0</v>
      </c>
      <c r="B2663" s="4" t="s">
        <v>1466</v>
      </c>
      <c r="C2663" s="4">
        <v>0.0</v>
      </c>
      <c r="D2663" s="4" t="s">
        <v>3</v>
      </c>
    </row>
    <row r="2664">
      <c r="A2664" s="3">
        <v>2017.0</v>
      </c>
      <c r="B2664" s="4" t="s">
        <v>2845</v>
      </c>
      <c r="C2664" s="4">
        <v>4000.0</v>
      </c>
      <c r="D2664" s="4"/>
    </row>
    <row r="2665">
      <c r="A2665" s="3">
        <v>2017.0</v>
      </c>
      <c r="B2665" s="4" t="s">
        <v>1469</v>
      </c>
      <c r="C2665" s="4">
        <v>0.0</v>
      </c>
      <c r="D2665" s="4" t="s">
        <v>6</v>
      </c>
    </row>
    <row r="2666">
      <c r="A2666" s="3">
        <v>2017.0</v>
      </c>
      <c r="B2666" s="4" t="s">
        <v>2846</v>
      </c>
      <c r="C2666" s="4">
        <v>0.0</v>
      </c>
      <c r="D2666" s="4" t="s">
        <v>3</v>
      </c>
    </row>
    <row r="2667">
      <c r="A2667" s="3">
        <v>2017.0</v>
      </c>
      <c r="B2667" s="4" t="s">
        <v>1470</v>
      </c>
      <c r="C2667" s="4">
        <v>1500.0</v>
      </c>
      <c r="D2667" s="4"/>
    </row>
    <row r="2668">
      <c r="A2668" s="3">
        <v>2017.0</v>
      </c>
      <c r="B2668" s="4" t="s">
        <v>1472</v>
      </c>
      <c r="C2668" s="4">
        <v>374400.0</v>
      </c>
      <c r="D2668" s="4" t="s">
        <v>2377</v>
      </c>
    </row>
    <row r="2669">
      <c r="A2669" s="3">
        <v>2017.0</v>
      </c>
      <c r="B2669" s="4" t="s">
        <v>1475</v>
      </c>
      <c r="C2669" s="4">
        <v>11000.0</v>
      </c>
      <c r="D2669" s="4"/>
    </row>
    <row r="2670">
      <c r="A2670" s="3">
        <v>2017.0</v>
      </c>
      <c r="B2670" s="4" t="s">
        <v>1476</v>
      </c>
      <c r="C2670" s="4">
        <v>0.0</v>
      </c>
      <c r="D2670" s="4" t="s">
        <v>3</v>
      </c>
    </row>
    <row r="2671">
      <c r="A2671" s="3">
        <v>2017.0</v>
      </c>
      <c r="B2671" s="4" t="s">
        <v>1477</v>
      </c>
      <c r="C2671" s="4">
        <v>0.0</v>
      </c>
      <c r="D2671" s="4" t="s">
        <v>6</v>
      </c>
    </row>
    <row r="2672">
      <c r="A2672" s="3">
        <v>2017.0</v>
      </c>
      <c r="B2672" s="4" t="s">
        <v>2847</v>
      </c>
      <c r="C2672" s="4">
        <v>0.0</v>
      </c>
      <c r="D2672" s="4" t="s">
        <v>2377</v>
      </c>
    </row>
    <row r="2673">
      <c r="A2673" s="3">
        <v>2017.0</v>
      </c>
      <c r="B2673" s="4" t="s">
        <v>2848</v>
      </c>
      <c r="C2673" s="4">
        <v>0.0</v>
      </c>
      <c r="D2673" s="4" t="s">
        <v>3</v>
      </c>
    </row>
    <row r="2674">
      <c r="A2674" s="3">
        <v>2017.0</v>
      </c>
      <c r="B2674" s="4" t="s">
        <v>1478</v>
      </c>
      <c r="C2674" s="4">
        <v>0.0</v>
      </c>
      <c r="D2674" s="4" t="s">
        <v>3</v>
      </c>
    </row>
    <row r="2675">
      <c r="A2675" s="3">
        <v>2017.0</v>
      </c>
      <c r="B2675" s="4" t="s">
        <v>2276</v>
      </c>
      <c r="C2675" s="4">
        <v>111800.0</v>
      </c>
      <c r="D2675" s="4" t="s">
        <v>2370</v>
      </c>
    </row>
    <row r="2676">
      <c r="A2676" s="3">
        <v>2017.0</v>
      </c>
      <c r="B2676" s="4" t="s">
        <v>2277</v>
      </c>
      <c r="C2676" s="4">
        <v>0.0</v>
      </c>
      <c r="D2676" s="4" t="s">
        <v>6</v>
      </c>
    </row>
    <row r="2677">
      <c r="A2677" s="3">
        <v>2017.0</v>
      </c>
      <c r="B2677" s="4" t="s">
        <v>1486</v>
      </c>
      <c r="C2677" s="4">
        <v>0.0</v>
      </c>
      <c r="D2677" s="4" t="s">
        <v>3</v>
      </c>
    </row>
    <row r="2678">
      <c r="A2678" s="3">
        <v>2017.0</v>
      </c>
      <c r="B2678" s="4" t="s">
        <v>1487</v>
      </c>
      <c r="C2678" s="4">
        <v>0.0</v>
      </c>
      <c r="D2678" s="4" t="s">
        <v>3</v>
      </c>
    </row>
    <row r="2679">
      <c r="A2679" s="3">
        <v>2017.0</v>
      </c>
      <c r="B2679" s="4" t="s">
        <v>1488</v>
      </c>
      <c r="C2679" s="4">
        <v>0.0</v>
      </c>
      <c r="D2679" s="4" t="s">
        <v>3</v>
      </c>
    </row>
    <row r="2680">
      <c r="A2680" s="3">
        <v>2017.0</v>
      </c>
      <c r="B2680" s="4" t="s">
        <v>1489</v>
      </c>
      <c r="C2680" s="4">
        <v>0.0</v>
      </c>
      <c r="D2680" s="4" t="s">
        <v>3</v>
      </c>
    </row>
    <row r="2681">
      <c r="A2681" s="3">
        <v>2017.0</v>
      </c>
      <c r="B2681" s="4" t="s">
        <v>1491</v>
      </c>
      <c r="C2681" s="4">
        <v>800.0</v>
      </c>
      <c r="D2681" s="4"/>
    </row>
    <row r="2682">
      <c r="A2682" s="3">
        <v>2017.0</v>
      </c>
      <c r="B2682" s="4" t="s">
        <v>2278</v>
      </c>
      <c r="C2682" s="4">
        <v>946685.0</v>
      </c>
      <c r="D2682" s="4" t="s">
        <v>2370</v>
      </c>
    </row>
    <row r="2683">
      <c r="A2683" s="3">
        <v>2017.0</v>
      </c>
      <c r="B2683" s="4" t="s">
        <v>1495</v>
      </c>
      <c r="C2683" s="4">
        <v>0.0</v>
      </c>
      <c r="D2683" s="4" t="s">
        <v>3</v>
      </c>
    </row>
    <row r="2684">
      <c r="A2684" s="3">
        <v>2017.0</v>
      </c>
      <c r="B2684" s="4" t="s">
        <v>1496</v>
      </c>
      <c r="C2684" s="4">
        <v>12000.0</v>
      </c>
      <c r="D2684" s="4" t="s">
        <v>29</v>
      </c>
    </row>
    <row r="2685">
      <c r="A2685" s="3">
        <v>2017.0</v>
      </c>
      <c r="B2685" s="4" t="s">
        <v>2849</v>
      </c>
      <c r="C2685" s="4">
        <v>3400.0</v>
      </c>
      <c r="D2685" s="4"/>
    </row>
    <row r="2686">
      <c r="A2686" s="3">
        <v>2017.0</v>
      </c>
      <c r="B2686" s="4" t="s">
        <v>2850</v>
      </c>
      <c r="C2686" s="4">
        <v>0.0</v>
      </c>
      <c r="D2686" s="4" t="s">
        <v>3</v>
      </c>
    </row>
    <row r="2687">
      <c r="A2687" s="3">
        <v>2017.0</v>
      </c>
      <c r="B2687" s="4" t="s">
        <v>2851</v>
      </c>
      <c r="C2687" s="4">
        <v>0.0</v>
      </c>
      <c r="D2687" s="4" t="s">
        <v>6</v>
      </c>
    </row>
    <row r="2688">
      <c r="A2688" s="3">
        <v>2017.0</v>
      </c>
      <c r="B2688" s="4" t="s">
        <v>2852</v>
      </c>
      <c r="C2688" s="4">
        <v>0.0</v>
      </c>
      <c r="D2688" s="4" t="s">
        <v>3</v>
      </c>
    </row>
    <row r="2689">
      <c r="A2689" s="3">
        <v>2017.0</v>
      </c>
      <c r="B2689" s="4" t="s">
        <v>1497</v>
      </c>
      <c r="C2689" s="4">
        <v>0.0</v>
      </c>
      <c r="D2689" s="4" t="s">
        <v>3</v>
      </c>
    </row>
    <row r="2690">
      <c r="A2690" s="3">
        <v>2017.0</v>
      </c>
      <c r="B2690" s="4" t="s">
        <v>1498</v>
      </c>
      <c r="C2690" s="4">
        <v>0.0</v>
      </c>
      <c r="D2690" s="4" t="s">
        <v>29</v>
      </c>
    </row>
    <row r="2691">
      <c r="A2691" s="3">
        <v>2017.0</v>
      </c>
      <c r="B2691" s="4" t="s">
        <v>2853</v>
      </c>
      <c r="C2691" s="4">
        <v>500.0</v>
      </c>
      <c r="D2691" s="4" t="s">
        <v>3</v>
      </c>
    </row>
    <row r="2692">
      <c r="A2692" s="3">
        <v>2017.0</v>
      </c>
      <c r="B2692" s="4" t="s">
        <v>2854</v>
      </c>
      <c r="C2692" s="4">
        <v>3700.0</v>
      </c>
      <c r="D2692" s="4"/>
    </row>
    <row r="2693">
      <c r="A2693" s="3">
        <v>2017.0</v>
      </c>
      <c r="B2693" s="4" t="s">
        <v>1499</v>
      </c>
      <c r="C2693" s="4">
        <v>12500.0</v>
      </c>
      <c r="D2693" s="4" t="s">
        <v>2377</v>
      </c>
    </row>
    <row r="2694">
      <c r="A2694" s="3">
        <v>2017.0</v>
      </c>
      <c r="B2694" s="4" t="s">
        <v>1500</v>
      </c>
      <c r="C2694" s="4">
        <v>205000.0</v>
      </c>
      <c r="D2694" s="4"/>
    </row>
    <row r="2695">
      <c r="A2695" s="3">
        <v>2017.0</v>
      </c>
      <c r="B2695" s="4" t="s">
        <v>2855</v>
      </c>
      <c r="C2695" s="4">
        <v>0.0</v>
      </c>
      <c r="D2695" s="4" t="s">
        <v>3</v>
      </c>
    </row>
    <row r="2696">
      <c r="A2696" s="3">
        <v>2017.0</v>
      </c>
      <c r="B2696" s="4" t="s">
        <v>1502</v>
      </c>
      <c r="C2696" s="4">
        <v>44620.0</v>
      </c>
      <c r="D2696" s="4"/>
    </row>
    <row r="2697">
      <c r="A2697" s="3">
        <v>2017.0</v>
      </c>
      <c r="B2697" s="4" t="s">
        <v>1504</v>
      </c>
      <c r="C2697" s="4">
        <v>3500.0</v>
      </c>
      <c r="D2697" s="4" t="s">
        <v>2377</v>
      </c>
    </row>
    <row r="2698">
      <c r="A2698" s="3">
        <v>2017.0</v>
      </c>
      <c r="B2698" s="4" t="s">
        <v>1505</v>
      </c>
      <c r="C2698" s="4">
        <v>500.0</v>
      </c>
      <c r="D2698" s="4" t="s">
        <v>3</v>
      </c>
    </row>
    <row r="2699">
      <c r="A2699" s="3">
        <v>2017.0</v>
      </c>
      <c r="B2699" s="4" t="s">
        <v>1506</v>
      </c>
      <c r="C2699" s="4">
        <v>500.0</v>
      </c>
      <c r="D2699" s="4"/>
    </row>
    <row r="2700">
      <c r="A2700" s="3">
        <v>2017.0</v>
      </c>
      <c r="B2700" s="4" t="s">
        <v>1507</v>
      </c>
      <c r="C2700" s="4">
        <v>0.0</v>
      </c>
      <c r="D2700" s="4" t="s">
        <v>3</v>
      </c>
    </row>
    <row r="2701">
      <c r="A2701" s="3">
        <v>2017.0</v>
      </c>
      <c r="B2701" s="4" t="s">
        <v>2856</v>
      </c>
      <c r="C2701" s="4">
        <v>2000.0</v>
      </c>
      <c r="D2701" s="4"/>
    </row>
    <row r="2702">
      <c r="A2702" s="3">
        <v>2017.0</v>
      </c>
      <c r="B2702" s="4" t="s">
        <v>1508</v>
      </c>
      <c r="C2702" s="4">
        <v>0.0</v>
      </c>
      <c r="D2702" s="4" t="s">
        <v>3</v>
      </c>
    </row>
    <row r="2703">
      <c r="A2703" s="3">
        <v>2017.0</v>
      </c>
      <c r="B2703" s="4" t="s">
        <v>2857</v>
      </c>
      <c r="C2703" s="4">
        <v>0.0</v>
      </c>
      <c r="D2703" s="4" t="s">
        <v>29</v>
      </c>
    </row>
    <row r="2704">
      <c r="A2704" s="3">
        <v>2017.0</v>
      </c>
      <c r="B2704" s="4" t="s">
        <v>1510</v>
      </c>
      <c r="C2704" s="4">
        <v>8000.0</v>
      </c>
      <c r="D2704" s="4" t="s">
        <v>3</v>
      </c>
    </row>
    <row r="2705">
      <c r="A2705" s="3">
        <v>2017.0</v>
      </c>
      <c r="B2705" s="4" t="s">
        <v>2858</v>
      </c>
      <c r="C2705" s="4">
        <v>0.0</v>
      </c>
      <c r="D2705" s="4" t="s">
        <v>6</v>
      </c>
    </row>
    <row r="2706">
      <c r="A2706" s="3">
        <v>2017.0</v>
      </c>
      <c r="B2706" s="4" t="s">
        <v>1511</v>
      </c>
      <c r="C2706" s="4">
        <v>0.0</v>
      </c>
      <c r="D2706" s="4" t="s">
        <v>6</v>
      </c>
    </row>
    <row r="2707">
      <c r="A2707" s="3">
        <v>2017.0</v>
      </c>
      <c r="B2707" s="4" t="s">
        <v>1512</v>
      </c>
      <c r="C2707" s="4">
        <v>8000.0</v>
      </c>
      <c r="D2707" s="4" t="s">
        <v>6</v>
      </c>
    </row>
    <row r="2708">
      <c r="A2708" s="3">
        <v>2017.0</v>
      </c>
      <c r="B2708" s="4" t="s">
        <v>1515</v>
      </c>
      <c r="C2708" s="4">
        <v>13000.0</v>
      </c>
      <c r="D2708" s="4" t="s">
        <v>176</v>
      </c>
    </row>
    <row r="2709">
      <c r="A2709" s="3">
        <v>2017.0</v>
      </c>
      <c r="B2709" s="4" t="s">
        <v>2859</v>
      </c>
      <c r="C2709" s="4">
        <v>0.0</v>
      </c>
      <c r="D2709" s="4" t="s">
        <v>6</v>
      </c>
    </row>
    <row r="2710">
      <c r="A2710" s="3">
        <v>2017.0</v>
      </c>
      <c r="B2710" s="4" t="s">
        <v>2860</v>
      </c>
      <c r="C2710" s="4">
        <v>0.0</v>
      </c>
      <c r="D2710" s="4" t="s">
        <v>6</v>
      </c>
    </row>
    <row r="2711">
      <c r="A2711" s="3">
        <v>2017.0</v>
      </c>
      <c r="B2711" s="4" t="s">
        <v>2861</v>
      </c>
      <c r="C2711" s="4">
        <v>0.0</v>
      </c>
      <c r="D2711" s="4" t="s">
        <v>6</v>
      </c>
    </row>
    <row r="2712">
      <c r="A2712" s="3">
        <v>2017.0</v>
      </c>
      <c r="B2712" s="4" t="s">
        <v>2862</v>
      </c>
      <c r="C2712" s="4">
        <v>0.0</v>
      </c>
      <c r="D2712" s="4" t="s">
        <v>3</v>
      </c>
    </row>
    <row r="2713">
      <c r="A2713" s="3">
        <v>2017.0</v>
      </c>
      <c r="B2713" s="4" t="s">
        <v>2280</v>
      </c>
      <c r="C2713" s="4">
        <v>8000.0</v>
      </c>
      <c r="D2713" s="4" t="s">
        <v>6</v>
      </c>
    </row>
    <row r="2714">
      <c r="A2714" s="3">
        <v>2017.0</v>
      </c>
      <c r="B2714" s="4" t="s">
        <v>2863</v>
      </c>
      <c r="C2714" s="4">
        <v>0.0</v>
      </c>
      <c r="D2714" s="4" t="s">
        <v>6</v>
      </c>
    </row>
    <row r="2715">
      <c r="A2715" s="3">
        <v>2017.0</v>
      </c>
      <c r="B2715" s="4" t="s">
        <v>1532</v>
      </c>
      <c r="C2715" s="4">
        <v>0.0</v>
      </c>
      <c r="D2715" s="4" t="s">
        <v>2377</v>
      </c>
    </row>
    <row r="2716">
      <c r="A2716" s="3">
        <v>2017.0</v>
      </c>
      <c r="B2716" s="4" t="s">
        <v>2864</v>
      </c>
      <c r="C2716" s="4">
        <v>0.0</v>
      </c>
      <c r="D2716" s="4" t="s">
        <v>3</v>
      </c>
    </row>
    <row r="2717">
      <c r="A2717" s="3">
        <v>2017.0</v>
      </c>
      <c r="B2717" s="4" t="s">
        <v>2865</v>
      </c>
      <c r="C2717" s="4">
        <v>0.0</v>
      </c>
      <c r="D2717" s="4" t="s">
        <v>2377</v>
      </c>
    </row>
    <row r="2718">
      <c r="A2718" s="3">
        <v>2017.0</v>
      </c>
      <c r="B2718" s="4" t="s">
        <v>1533</v>
      </c>
      <c r="C2718" s="4">
        <v>0.0</v>
      </c>
      <c r="D2718" s="4" t="s">
        <v>2377</v>
      </c>
    </row>
    <row r="2719">
      <c r="A2719" s="3">
        <v>2017.0</v>
      </c>
      <c r="B2719" s="4" t="s">
        <v>2866</v>
      </c>
      <c r="C2719" s="4">
        <v>0.0</v>
      </c>
      <c r="D2719" s="4" t="s">
        <v>2377</v>
      </c>
    </row>
    <row r="2720">
      <c r="A2720" s="3">
        <v>2017.0</v>
      </c>
      <c r="B2720" s="4" t="s">
        <v>2867</v>
      </c>
      <c r="C2720" s="4">
        <v>0.0</v>
      </c>
      <c r="D2720" s="4" t="s">
        <v>6</v>
      </c>
    </row>
    <row r="2721">
      <c r="A2721" s="3">
        <v>2017.0</v>
      </c>
      <c r="B2721" s="4" t="s">
        <v>2868</v>
      </c>
      <c r="C2721" s="4">
        <v>0.0</v>
      </c>
      <c r="D2721" s="4" t="s">
        <v>3</v>
      </c>
    </row>
    <row r="2722">
      <c r="A2722" s="3">
        <v>2017.0</v>
      </c>
      <c r="B2722" s="4" t="s">
        <v>2869</v>
      </c>
      <c r="C2722" s="4">
        <v>0.0</v>
      </c>
      <c r="D2722" s="4" t="s">
        <v>3</v>
      </c>
    </row>
    <row r="2723">
      <c r="A2723" s="3">
        <v>2017.0</v>
      </c>
      <c r="B2723" s="4" t="s">
        <v>2870</v>
      </c>
      <c r="C2723" s="4">
        <v>4000.0</v>
      </c>
      <c r="D2723" s="4"/>
    </row>
    <row r="2724">
      <c r="A2724" s="3">
        <v>2017.0</v>
      </c>
      <c r="B2724" s="4" t="s">
        <v>1537</v>
      </c>
      <c r="C2724" s="4">
        <v>0.0</v>
      </c>
      <c r="D2724" s="4" t="s">
        <v>2377</v>
      </c>
    </row>
    <row r="2725">
      <c r="A2725" s="3">
        <v>2017.0</v>
      </c>
      <c r="B2725" s="4" t="s">
        <v>1538</v>
      </c>
      <c r="C2725" s="4">
        <v>0.0</v>
      </c>
      <c r="D2725" s="4" t="s">
        <v>3</v>
      </c>
    </row>
    <row r="2726">
      <c r="A2726" s="3">
        <v>2017.0</v>
      </c>
      <c r="B2726" s="4" t="s">
        <v>1539</v>
      </c>
      <c r="C2726" s="4">
        <v>200000.0</v>
      </c>
      <c r="D2726" s="4"/>
    </row>
    <row r="2727">
      <c r="A2727" s="3">
        <v>2017.0</v>
      </c>
      <c r="B2727" s="4" t="s">
        <v>1541</v>
      </c>
      <c r="C2727" s="4">
        <v>300.0</v>
      </c>
      <c r="D2727" s="4" t="s">
        <v>6</v>
      </c>
    </row>
    <row r="2728">
      <c r="A2728" s="3">
        <v>2017.0</v>
      </c>
      <c r="B2728" s="4" t="s">
        <v>1542</v>
      </c>
      <c r="C2728" s="4">
        <v>0.0</v>
      </c>
      <c r="D2728" s="4" t="s">
        <v>3</v>
      </c>
    </row>
    <row r="2729">
      <c r="A2729" s="3">
        <v>2017.0</v>
      </c>
      <c r="B2729" s="4" t="s">
        <v>2871</v>
      </c>
      <c r="C2729" s="4">
        <v>0.0</v>
      </c>
      <c r="D2729" s="4" t="s">
        <v>6</v>
      </c>
    </row>
    <row r="2730">
      <c r="A2730" s="3">
        <v>2017.0</v>
      </c>
      <c r="B2730" s="4" t="s">
        <v>2872</v>
      </c>
      <c r="C2730" s="4">
        <v>0.0</v>
      </c>
      <c r="D2730" s="4" t="s">
        <v>3</v>
      </c>
    </row>
    <row r="2731">
      <c r="A2731" s="3">
        <v>2017.0</v>
      </c>
      <c r="B2731" s="4" t="s">
        <v>1544</v>
      </c>
      <c r="C2731" s="4">
        <v>1000.0</v>
      </c>
      <c r="D2731" s="4"/>
    </row>
    <row r="2732">
      <c r="A2732" s="3">
        <v>2017.0</v>
      </c>
      <c r="B2732" s="4" t="s">
        <v>2873</v>
      </c>
      <c r="C2732" s="4">
        <v>0.0</v>
      </c>
      <c r="D2732" s="4" t="s">
        <v>6</v>
      </c>
    </row>
    <row r="2733">
      <c r="A2733" s="3">
        <v>2017.0</v>
      </c>
      <c r="B2733" s="4" t="s">
        <v>1548</v>
      </c>
      <c r="C2733" s="4">
        <v>0.0</v>
      </c>
      <c r="D2733" s="4" t="s">
        <v>29</v>
      </c>
    </row>
    <row r="2734">
      <c r="A2734" s="3">
        <v>2017.0</v>
      </c>
      <c r="B2734" s="4" t="s">
        <v>1549</v>
      </c>
      <c r="C2734" s="4">
        <v>0.0</v>
      </c>
      <c r="D2734" s="4" t="s">
        <v>3</v>
      </c>
    </row>
    <row r="2735">
      <c r="A2735" s="3">
        <v>2017.0</v>
      </c>
      <c r="B2735" s="4" t="s">
        <v>1551</v>
      </c>
      <c r="C2735" s="4">
        <v>0.0</v>
      </c>
      <c r="D2735" s="4" t="s">
        <v>3</v>
      </c>
    </row>
    <row r="2736">
      <c r="A2736" s="3">
        <v>2017.0</v>
      </c>
      <c r="B2736" s="4" t="s">
        <v>2874</v>
      </c>
      <c r="C2736" s="4">
        <v>3813.45</v>
      </c>
      <c r="D2736" s="4"/>
    </row>
    <row r="2737">
      <c r="A2737" s="3">
        <v>2017.0</v>
      </c>
      <c r="B2737" s="4" t="s">
        <v>1552</v>
      </c>
      <c r="C2737" s="4">
        <v>50000.0</v>
      </c>
      <c r="D2737" s="4"/>
    </row>
    <row r="2738">
      <c r="A2738" s="3">
        <v>2017.0</v>
      </c>
      <c r="B2738" s="4" t="s">
        <v>1553</v>
      </c>
      <c r="C2738" s="4">
        <v>300.0</v>
      </c>
      <c r="D2738" s="4"/>
    </row>
    <row r="2739">
      <c r="A2739" s="3">
        <v>2017.0</v>
      </c>
      <c r="B2739" s="4" t="s">
        <v>1554</v>
      </c>
      <c r="C2739" s="4">
        <v>1800.0</v>
      </c>
      <c r="D2739" s="4"/>
    </row>
    <row r="2740">
      <c r="A2740" s="3">
        <v>2017.0</v>
      </c>
      <c r="B2740" s="4" t="s">
        <v>1555</v>
      </c>
      <c r="C2740" s="4">
        <v>0.0</v>
      </c>
      <c r="D2740" s="4" t="s">
        <v>3</v>
      </c>
    </row>
    <row r="2741">
      <c r="A2741" s="3">
        <v>2017.0</v>
      </c>
      <c r="B2741" s="4" t="s">
        <v>2282</v>
      </c>
      <c r="C2741" s="4">
        <v>648000.0</v>
      </c>
      <c r="D2741" s="4" t="s">
        <v>6</v>
      </c>
    </row>
    <row r="2742">
      <c r="A2742" s="3">
        <v>2017.0</v>
      </c>
      <c r="B2742" s="4" t="s">
        <v>1559</v>
      </c>
      <c r="C2742" s="4">
        <v>50000.0</v>
      </c>
      <c r="D2742" s="4" t="s">
        <v>2377</v>
      </c>
    </row>
    <row r="2743">
      <c r="A2743" s="3">
        <v>2017.0</v>
      </c>
      <c r="B2743" s="4" t="s">
        <v>1561</v>
      </c>
      <c r="C2743" s="4">
        <v>12000.0</v>
      </c>
      <c r="D2743" s="4"/>
    </row>
    <row r="2744">
      <c r="A2744" s="3">
        <v>2017.0</v>
      </c>
      <c r="B2744" s="4" t="s">
        <v>2875</v>
      </c>
      <c r="C2744" s="4">
        <v>0.0</v>
      </c>
      <c r="D2744" s="4" t="s">
        <v>2377</v>
      </c>
    </row>
    <row r="2745">
      <c r="A2745" s="3">
        <v>2017.0</v>
      </c>
      <c r="B2745" s="4" t="s">
        <v>1563</v>
      </c>
      <c r="C2745" s="4">
        <v>45000.0</v>
      </c>
      <c r="D2745" s="4"/>
    </row>
    <row r="2746">
      <c r="A2746" s="3">
        <v>2017.0</v>
      </c>
      <c r="B2746" s="4" t="s">
        <v>1565</v>
      </c>
      <c r="C2746" s="4">
        <v>5000.0</v>
      </c>
      <c r="D2746" s="4"/>
    </row>
    <row r="2747">
      <c r="A2747" s="3">
        <v>2017.0</v>
      </c>
      <c r="B2747" s="4" t="s">
        <v>2876</v>
      </c>
      <c r="C2747" s="4">
        <v>13262.69</v>
      </c>
      <c r="D2747" s="4" t="s">
        <v>2377</v>
      </c>
    </row>
    <row r="2748">
      <c r="A2748" s="3">
        <v>2017.0</v>
      </c>
      <c r="B2748" s="4" t="s">
        <v>1568</v>
      </c>
      <c r="C2748" s="4">
        <v>5000.0</v>
      </c>
      <c r="D2748" s="4" t="s">
        <v>6</v>
      </c>
    </row>
    <row r="2749">
      <c r="A2749" s="3">
        <v>2017.0</v>
      </c>
      <c r="B2749" s="4" t="s">
        <v>2283</v>
      </c>
      <c r="C2749" s="4">
        <v>112450.0</v>
      </c>
      <c r="D2749" s="4"/>
    </row>
    <row r="2750">
      <c r="A2750" s="3">
        <v>2017.0</v>
      </c>
      <c r="B2750" s="4" t="s">
        <v>2877</v>
      </c>
      <c r="C2750" s="4">
        <v>0.0</v>
      </c>
      <c r="D2750" s="4" t="s">
        <v>3</v>
      </c>
    </row>
    <row r="2751">
      <c r="A2751" s="3">
        <v>2017.0</v>
      </c>
      <c r="B2751" s="4" t="s">
        <v>1573</v>
      </c>
      <c r="C2751" s="4">
        <v>0.0</v>
      </c>
      <c r="D2751" s="4" t="s">
        <v>3</v>
      </c>
    </row>
    <row r="2752">
      <c r="A2752" s="3">
        <v>2017.0</v>
      </c>
      <c r="B2752" s="4" t="s">
        <v>2878</v>
      </c>
      <c r="C2752" s="4">
        <v>0.0</v>
      </c>
      <c r="D2752" s="4" t="s">
        <v>3</v>
      </c>
    </row>
    <row r="2753">
      <c r="A2753" s="3">
        <v>2017.0</v>
      </c>
      <c r="B2753" s="4" t="s">
        <v>1575</v>
      </c>
      <c r="C2753" s="4">
        <v>2000.0</v>
      </c>
      <c r="D2753" s="4"/>
    </row>
    <row r="2754">
      <c r="A2754" s="3">
        <v>2017.0</v>
      </c>
      <c r="B2754" s="4" t="s">
        <v>1576</v>
      </c>
      <c r="C2754" s="4">
        <v>0.0</v>
      </c>
      <c r="D2754" s="4" t="s">
        <v>3</v>
      </c>
    </row>
    <row r="2755">
      <c r="A2755" s="3">
        <v>2017.0</v>
      </c>
      <c r="B2755" s="4" t="s">
        <v>2879</v>
      </c>
      <c r="C2755" s="4">
        <v>0.0</v>
      </c>
      <c r="D2755" s="4" t="s">
        <v>3</v>
      </c>
    </row>
    <row r="2756">
      <c r="A2756" s="3">
        <v>2017.0</v>
      </c>
      <c r="B2756" s="4" t="s">
        <v>2880</v>
      </c>
      <c r="C2756" s="4">
        <v>3000.0</v>
      </c>
      <c r="D2756" s="4"/>
    </row>
    <row r="2757">
      <c r="A2757" s="3">
        <v>2017.0</v>
      </c>
      <c r="B2757" s="4" t="s">
        <v>2881</v>
      </c>
      <c r="C2757" s="4">
        <v>3500.0</v>
      </c>
      <c r="D2757" s="4"/>
    </row>
    <row r="2758">
      <c r="A2758" s="3">
        <v>2017.0</v>
      </c>
      <c r="B2758" s="4" t="s">
        <v>2882</v>
      </c>
      <c r="C2758" s="4">
        <v>3000.0</v>
      </c>
      <c r="D2758" s="4"/>
    </row>
    <row r="2759">
      <c r="A2759" s="3">
        <v>2017.0</v>
      </c>
      <c r="B2759" s="4" t="s">
        <v>1578</v>
      </c>
      <c r="C2759" s="4">
        <v>0.0</v>
      </c>
      <c r="D2759" s="4" t="s">
        <v>6</v>
      </c>
    </row>
    <row r="2760">
      <c r="A2760" s="3">
        <v>2017.0</v>
      </c>
      <c r="B2760" s="4" t="s">
        <v>1579</v>
      </c>
      <c r="C2760" s="4">
        <v>43000.0</v>
      </c>
      <c r="D2760" s="4" t="s">
        <v>3</v>
      </c>
    </row>
    <row r="2761">
      <c r="A2761" s="3">
        <v>2017.0</v>
      </c>
      <c r="B2761" s="4" t="s">
        <v>1581</v>
      </c>
      <c r="C2761" s="4">
        <v>6000.0</v>
      </c>
      <c r="D2761" s="4" t="s">
        <v>216</v>
      </c>
    </row>
    <row r="2762">
      <c r="A2762" s="3">
        <v>2017.0</v>
      </c>
      <c r="B2762" s="4" t="s">
        <v>2883</v>
      </c>
      <c r="C2762" s="4">
        <v>0.0</v>
      </c>
      <c r="D2762" s="4" t="s">
        <v>3</v>
      </c>
    </row>
    <row r="2763">
      <c r="A2763" s="3">
        <v>2017.0</v>
      </c>
      <c r="B2763" s="4" t="s">
        <v>1582</v>
      </c>
      <c r="C2763" s="4">
        <v>0.0</v>
      </c>
      <c r="D2763" s="4" t="s">
        <v>29</v>
      </c>
    </row>
    <row r="2764">
      <c r="A2764" s="3">
        <v>2017.0</v>
      </c>
      <c r="B2764" s="4" t="s">
        <v>2884</v>
      </c>
      <c r="C2764" s="4">
        <v>0.0</v>
      </c>
      <c r="D2764" s="4" t="s">
        <v>3</v>
      </c>
    </row>
    <row r="2765">
      <c r="A2765" s="3">
        <v>2017.0</v>
      </c>
      <c r="B2765" s="4" t="s">
        <v>1585</v>
      </c>
      <c r="C2765" s="4">
        <v>3300.0</v>
      </c>
      <c r="D2765" s="4" t="s">
        <v>2377</v>
      </c>
    </row>
    <row r="2766">
      <c r="A2766" s="3">
        <v>2017.0</v>
      </c>
      <c r="B2766" s="4" t="s">
        <v>2885</v>
      </c>
      <c r="C2766" s="4">
        <v>0.0</v>
      </c>
      <c r="D2766" s="4" t="s">
        <v>3</v>
      </c>
    </row>
    <row r="2767">
      <c r="A2767" s="3">
        <v>2017.0</v>
      </c>
      <c r="B2767" s="4" t="s">
        <v>2886</v>
      </c>
      <c r="C2767" s="4">
        <v>2000.0</v>
      </c>
      <c r="D2767" s="4" t="s">
        <v>3</v>
      </c>
    </row>
    <row r="2768">
      <c r="A2768" s="3">
        <v>2017.0</v>
      </c>
      <c r="B2768" s="4" t="s">
        <v>1589</v>
      </c>
      <c r="C2768" s="4">
        <v>3000.0</v>
      </c>
      <c r="D2768" s="4" t="s">
        <v>3</v>
      </c>
    </row>
    <row r="2769">
      <c r="A2769" s="3">
        <v>2017.0</v>
      </c>
      <c r="B2769" s="4" t="s">
        <v>2887</v>
      </c>
      <c r="C2769" s="4">
        <v>4000.0</v>
      </c>
      <c r="D2769" s="4"/>
    </row>
    <row r="2770">
      <c r="A2770" s="3">
        <v>2017.0</v>
      </c>
      <c r="B2770" s="4" t="s">
        <v>2888</v>
      </c>
      <c r="C2770" s="4">
        <v>10000.0</v>
      </c>
      <c r="D2770" s="4"/>
    </row>
    <row r="2771">
      <c r="A2771" s="3">
        <v>2017.0</v>
      </c>
      <c r="B2771" s="4" t="s">
        <v>2889</v>
      </c>
      <c r="C2771" s="4">
        <v>5500.0</v>
      </c>
      <c r="D2771" s="4" t="s">
        <v>3</v>
      </c>
    </row>
    <row r="2772">
      <c r="A2772" s="3">
        <v>2017.0</v>
      </c>
      <c r="B2772" s="4" t="s">
        <v>1592</v>
      </c>
      <c r="C2772" s="4">
        <v>2000.0</v>
      </c>
      <c r="D2772" s="4" t="s">
        <v>2377</v>
      </c>
    </row>
    <row r="2773">
      <c r="A2773" s="3">
        <v>2017.0</v>
      </c>
      <c r="B2773" s="4" t="s">
        <v>1593</v>
      </c>
      <c r="C2773" s="4">
        <v>0.0</v>
      </c>
      <c r="D2773" s="4" t="s">
        <v>3</v>
      </c>
    </row>
    <row r="2774">
      <c r="A2774" s="3">
        <v>2017.0</v>
      </c>
      <c r="B2774" s="4" t="s">
        <v>1594</v>
      </c>
      <c r="C2774" s="4">
        <v>7000.0</v>
      </c>
      <c r="D2774" s="4" t="s">
        <v>6</v>
      </c>
    </row>
    <row r="2775">
      <c r="A2775" s="3">
        <v>2017.0</v>
      </c>
      <c r="B2775" s="4" t="s">
        <v>2890</v>
      </c>
      <c r="C2775" s="4">
        <v>0.0</v>
      </c>
      <c r="D2775" s="4" t="s">
        <v>6</v>
      </c>
    </row>
    <row r="2776">
      <c r="A2776" s="3">
        <v>2017.0</v>
      </c>
      <c r="B2776" s="4" t="s">
        <v>1596</v>
      </c>
      <c r="C2776" s="4">
        <v>22500.0</v>
      </c>
      <c r="D2776" s="4" t="s">
        <v>2377</v>
      </c>
    </row>
    <row r="2777">
      <c r="A2777" s="3">
        <v>2017.0</v>
      </c>
      <c r="B2777" s="4" t="s">
        <v>1598</v>
      </c>
      <c r="C2777" s="4">
        <v>0.0</v>
      </c>
      <c r="D2777" s="4" t="s">
        <v>2377</v>
      </c>
    </row>
    <row r="2778">
      <c r="A2778" s="3">
        <v>2017.0</v>
      </c>
      <c r="B2778" s="4" t="s">
        <v>2891</v>
      </c>
      <c r="C2778" s="4">
        <v>1000.0</v>
      </c>
      <c r="D2778" s="4"/>
    </row>
    <row r="2779">
      <c r="A2779" s="3">
        <v>2017.0</v>
      </c>
      <c r="B2779" s="4" t="s">
        <v>2892</v>
      </c>
      <c r="C2779" s="4">
        <v>3000.0</v>
      </c>
      <c r="D2779" s="4"/>
    </row>
    <row r="2780">
      <c r="A2780" s="3">
        <v>2017.0</v>
      </c>
      <c r="B2780" s="4" t="s">
        <v>1600</v>
      </c>
      <c r="C2780" s="4">
        <v>494000.0</v>
      </c>
      <c r="D2780" s="4" t="s">
        <v>3</v>
      </c>
    </row>
    <row r="2781">
      <c r="A2781" s="3">
        <v>2017.0</v>
      </c>
      <c r="B2781" s="4" t="s">
        <v>1602</v>
      </c>
      <c r="C2781" s="4">
        <v>1400.0</v>
      </c>
      <c r="D2781" s="4"/>
    </row>
    <row r="2782">
      <c r="A2782" s="3">
        <v>2017.0</v>
      </c>
      <c r="B2782" s="4" t="s">
        <v>1603</v>
      </c>
      <c r="C2782" s="4">
        <v>1000.0</v>
      </c>
      <c r="D2782" s="4" t="s">
        <v>3</v>
      </c>
    </row>
    <row r="2783">
      <c r="A2783" s="3">
        <v>2017.0</v>
      </c>
      <c r="B2783" s="4" t="s">
        <v>1604</v>
      </c>
      <c r="C2783" s="4">
        <v>11000.0</v>
      </c>
      <c r="D2783" s="4" t="s">
        <v>1379</v>
      </c>
    </row>
    <row r="2784">
      <c r="A2784" s="3">
        <v>2017.0</v>
      </c>
      <c r="B2784" s="4" t="s">
        <v>2893</v>
      </c>
      <c r="C2784" s="4">
        <v>0.0</v>
      </c>
      <c r="D2784" s="4" t="s">
        <v>6</v>
      </c>
    </row>
    <row r="2785">
      <c r="A2785" s="3">
        <v>2017.0</v>
      </c>
      <c r="B2785" s="4" t="s">
        <v>1606</v>
      </c>
      <c r="C2785" s="4">
        <v>4500.0</v>
      </c>
      <c r="D2785" s="4"/>
    </row>
    <row r="2786">
      <c r="A2786" s="3">
        <v>2017.0</v>
      </c>
      <c r="B2786" s="4" t="s">
        <v>2894</v>
      </c>
      <c r="C2786" s="4">
        <v>0.0</v>
      </c>
      <c r="D2786" s="4" t="s">
        <v>3</v>
      </c>
    </row>
    <row r="2787">
      <c r="A2787" s="3">
        <v>2017.0</v>
      </c>
      <c r="B2787" s="4" t="s">
        <v>1609</v>
      </c>
      <c r="C2787" s="4">
        <v>9000.0</v>
      </c>
      <c r="D2787" s="4" t="s">
        <v>2377</v>
      </c>
    </row>
    <row r="2788">
      <c r="A2788" s="3">
        <v>2017.0</v>
      </c>
      <c r="B2788" s="4" t="s">
        <v>2895</v>
      </c>
      <c r="C2788" s="4">
        <v>0.0</v>
      </c>
      <c r="D2788" s="4" t="s">
        <v>3</v>
      </c>
    </row>
    <row r="2789">
      <c r="A2789" s="3">
        <v>2017.0</v>
      </c>
      <c r="B2789" s="4" t="s">
        <v>1614</v>
      </c>
      <c r="C2789" s="4">
        <v>0.0</v>
      </c>
      <c r="D2789" s="4" t="s">
        <v>2377</v>
      </c>
    </row>
    <row r="2790">
      <c r="A2790" s="3">
        <v>2017.0</v>
      </c>
      <c r="B2790" s="4" t="s">
        <v>2286</v>
      </c>
      <c r="C2790" s="4">
        <v>2000.0</v>
      </c>
      <c r="D2790" s="4" t="s">
        <v>3</v>
      </c>
    </row>
    <row r="2791">
      <c r="A2791" s="3">
        <v>2017.0</v>
      </c>
      <c r="B2791" s="4" t="s">
        <v>1617</v>
      </c>
      <c r="C2791" s="4">
        <v>0.0</v>
      </c>
      <c r="D2791" s="4" t="s">
        <v>3</v>
      </c>
    </row>
    <row r="2792">
      <c r="A2792" s="3">
        <v>2017.0</v>
      </c>
      <c r="B2792" s="4" t="s">
        <v>1618</v>
      </c>
      <c r="C2792" s="4">
        <v>0.0</v>
      </c>
      <c r="D2792" s="4" t="s">
        <v>3</v>
      </c>
    </row>
    <row r="2793">
      <c r="A2793" s="3">
        <v>2017.0</v>
      </c>
      <c r="B2793" s="4" t="s">
        <v>2896</v>
      </c>
      <c r="C2793" s="4">
        <v>0.0</v>
      </c>
      <c r="D2793" s="4" t="s">
        <v>3</v>
      </c>
    </row>
    <row r="2794">
      <c r="A2794" s="3">
        <v>2017.0</v>
      </c>
      <c r="B2794" s="4" t="s">
        <v>1620</v>
      </c>
      <c r="C2794" s="4">
        <v>32000.0</v>
      </c>
      <c r="D2794" s="4" t="s">
        <v>668</v>
      </c>
    </row>
    <row r="2795">
      <c r="A2795" s="3">
        <v>2017.0</v>
      </c>
      <c r="B2795" s="4" t="s">
        <v>1623</v>
      </c>
      <c r="C2795" s="4">
        <v>0.0</v>
      </c>
      <c r="D2795" s="4" t="s">
        <v>6</v>
      </c>
    </row>
    <row r="2796">
      <c r="A2796" s="3">
        <v>2017.0</v>
      </c>
      <c r="B2796" s="4" t="s">
        <v>1624</v>
      </c>
      <c r="C2796" s="4">
        <v>9000.0</v>
      </c>
      <c r="D2796" s="4"/>
    </row>
    <row r="2797">
      <c r="A2797" s="3">
        <v>2017.0</v>
      </c>
      <c r="B2797" s="4" t="s">
        <v>2897</v>
      </c>
      <c r="C2797" s="4">
        <v>0.0</v>
      </c>
      <c r="D2797" s="4" t="s">
        <v>3</v>
      </c>
    </row>
    <row r="2798">
      <c r="A2798" s="3">
        <v>2017.0</v>
      </c>
      <c r="B2798" s="4" t="s">
        <v>2898</v>
      </c>
      <c r="C2798" s="4">
        <v>69000.0</v>
      </c>
      <c r="D2798" s="4"/>
    </row>
    <row r="2799">
      <c r="A2799" s="3">
        <v>2017.0</v>
      </c>
      <c r="B2799" s="4" t="s">
        <v>2899</v>
      </c>
      <c r="C2799" s="4">
        <v>0.0</v>
      </c>
      <c r="D2799" s="4" t="s">
        <v>29</v>
      </c>
    </row>
    <row r="2800">
      <c r="A2800" s="3">
        <v>2017.0</v>
      </c>
      <c r="B2800" s="4" t="s">
        <v>2900</v>
      </c>
      <c r="C2800" s="4">
        <v>0.0</v>
      </c>
      <c r="D2800" s="4" t="s">
        <v>3</v>
      </c>
    </row>
    <row r="2801">
      <c r="A2801" s="3">
        <v>2017.0</v>
      </c>
      <c r="B2801" s="4" t="s">
        <v>1626</v>
      </c>
      <c r="C2801" s="4">
        <v>10500.0</v>
      </c>
      <c r="D2801" s="4" t="s">
        <v>29</v>
      </c>
    </row>
    <row r="2802">
      <c r="A2802" s="3">
        <v>2017.0</v>
      </c>
      <c r="B2802" s="4" t="s">
        <v>1627</v>
      </c>
      <c r="C2802" s="4">
        <v>0.0</v>
      </c>
      <c r="D2802" s="4" t="s">
        <v>6</v>
      </c>
    </row>
    <row r="2803">
      <c r="A2803" s="3">
        <v>2017.0</v>
      </c>
      <c r="B2803" s="4" t="s">
        <v>2901</v>
      </c>
      <c r="C2803" s="4">
        <v>1500.0</v>
      </c>
      <c r="D2803" s="4"/>
    </row>
    <row r="2804">
      <c r="A2804" s="3">
        <v>2017.0</v>
      </c>
      <c r="B2804" s="4" t="s">
        <v>1630</v>
      </c>
      <c r="C2804" s="4">
        <v>0.0</v>
      </c>
      <c r="D2804" s="4" t="s">
        <v>3</v>
      </c>
    </row>
    <row r="2805">
      <c r="A2805" s="3">
        <v>2017.0</v>
      </c>
      <c r="B2805" s="4" t="s">
        <v>2902</v>
      </c>
      <c r="C2805" s="4">
        <v>0.0</v>
      </c>
      <c r="D2805" s="4" t="s">
        <v>2377</v>
      </c>
    </row>
    <row r="2806">
      <c r="A2806" s="3">
        <v>2017.0</v>
      </c>
      <c r="B2806" s="4" t="s">
        <v>1634</v>
      </c>
      <c r="C2806" s="4">
        <v>0.0</v>
      </c>
      <c r="D2806" s="4" t="s">
        <v>3</v>
      </c>
    </row>
    <row r="2807">
      <c r="A2807" s="3">
        <v>2017.0</v>
      </c>
      <c r="B2807" s="4" t="s">
        <v>2903</v>
      </c>
      <c r="C2807" s="4">
        <v>0.0</v>
      </c>
      <c r="D2807" s="4" t="s">
        <v>3</v>
      </c>
    </row>
    <row r="2808">
      <c r="A2808" s="3">
        <v>2017.0</v>
      </c>
      <c r="B2808" s="4" t="s">
        <v>2904</v>
      </c>
      <c r="C2808" s="4">
        <v>0.0</v>
      </c>
      <c r="D2808" s="4" t="s">
        <v>3</v>
      </c>
    </row>
    <row r="2809">
      <c r="A2809" s="3">
        <v>2017.0</v>
      </c>
      <c r="B2809" s="4" t="s">
        <v>2905</v>
      </c>
      <c r="C2809" s="4">
        <v>0.0</v>
      </c>
      <c r="D2809" s="4" t="s">
        <v>3</v>
      </c>
    </row>
    <row r="2810">
      <c r="A2810" s="3">
        <v>2017.0</v>
      </c>
      <c r="B2810" s="4" t="s">
        <v>1635</v>
      </c>
      <c r="C2810" s="4">
        <v>130000.0</v>
      </c>
      <c r="D2810" s="4"/>
    </row>
    <row r="2811">
      <c r="A2811" s="3">
        <v>2017.0</v>
      </c>
      <c r="B2811" s="4" t="s">
        <v>2906</v>
      </c>
      <c r="C2811" s="4">
        <v>0.0</v>
      </c>
      <c r="D2811" s="4" t="s">
        <v>3</v>
      </c>
    </row>
    <row r="2812">
      <c r="A2812" s="3">
        <v>2017.0</v>
      </c>
      <c r="B2812" s="4" t="s">
        <v>1637</v>
      </c>
      <c r="C2812" s="4">
        <v>31418.0</v>
      </c>
      <c r="D2812" s="4" t="s">
        <v>3</v>
      </c>
    </row>
    <row r="2813">
      <c r="A2813" s="3">
        <v>2017.0</v>
      </c>
      <c r="B2813" s="4" t="s">
        <v>2907</v>
      </c>
      <c r="C2813" s="4">
        <v>175215.0</v>
      </c>
      <c r="D2813" s="4" t="s">
        <v>3</v>
      </c>
    </row>
    <row r="2814">
      <c r="A2814" s="3">
        <v>2017.0</v>
      </c>
      <c r="B2814" s="4" t="s">
        <v>1646</v>
      </c>
      <c r="C2814" s="4">
        <v>0.0</v>
      </c>
      <c r="D2814" s="4" t="s">
        <v>3</v>
      </c>
    </row>
    <row r="2815">
      <c r="A2815" s="3">
        <v>2017.0</v>
      </c>
      <c r="B2815" s="4" t="s">
        <v>2908</v>
      </c>
      <c r="C2815" s="4">
        <v>0.0</v>
      </c>
      <c r="D2815" s="4" t="s">
        <v>2377</v>
      </c>
    </row>
    <row r="2816">
      <c r="A2816" s="3">
        <v>2017.0</v>
      </c>
      <c r="B2816" s="4" t="s">
        <v>2909</v>
      </c>
      <c r="C2816" s="4">
        <v>200.0</v>
      </c>
      <c r="D2816" s="4" t="s">
        <v>3</v>
      </c>
    </row>
    <row r="2817">
      <c r="A2817" s="3">
        <v>2017.0</v>
      </c>
      <c r="B2817" s="4" t="s">
        <v>1654</v>
      </c>
      <c r="C2817" s="4">
        <v>120000.0</v>
      </c>
      <c r="D2817" s="4"/>
    </row>
    <row r="2818">
      <c r="A2818" s="3">
        <v>2017.0</v>
      </c>
      <c r="B2818" s="4" t="s">
        <v>1656</v>
      </c>
      <c r="C2818" s="4">
        <v>1500.0</v>
      </c>
      <c r="D2818" s="4"/>
    </row>
    <row r="2819">
      <c r="A2819" s="3">
        <v>2017.0</v>
      </c>
      <c r="B2819" s="4" t="s">
        <v>1658</v>
      </c>
      <c r="C2819" s="4">
        <v>2000.0</v>
      </c>
      <c r="D2819" s="4"/>
    </row>
    <row r="2820">
      <c r="A2820" s="3">
        <v>2017.0</v>
      </c>
      <c r="B2820" s="4" t="s">
        <v>1660</v>
      </c>
      <c r="C2820" s="4">
        <v>0.0</v>
      </c>
      <c r="D2820" s="4" t="s">
        <v>3</v>
      </c>
    </row>
    <row r="2821">
      <c r="A2821" s="3">
        <v>2017.0</v>
      </c>
      <c r="B2821" s="4" t="s">
        <v>1661</v>
      </c>
      <c r="C2821" s="4">
        <v>0.0</v>
      </c>
      <c r="D2821" s="4" t="s">
        <v>3</v>
      </c>
    </row>
    <row r="2822">
      <c r="A2822" s="3">
        <v>2017.0</v>
      </c>
      <c r="B2822" s="4" t="s">
        <v>1662</v>
      </c>
      <c r="C2822" s="4">
        <v>16000.0</v>
      </c>
      <c r="D2822" s="4"/>
    </row>
    <row r="2823">
      <c r="A2823" s="3">
        <v>2017.0</v>
      </c>
      <c r="B2823" s="4" t="s">
        <v>1664</v>
      </c>
      <c r="C2823" s="4">
        <v>0.0</v>
      </c>
      <c r="D2823" s="4" t="s">
        <v>3</v>
      </c>
    </row>
    <row r="2824">
      <c r="A2824" s="3">
        <v>2017.0</v>
      </c>
      <c r="B2824" s="4" t="s">
        <v>1665</v>
      </c>
      <c r="C2824" s="4">
        <v>16000.0</v>
      </c>
      <c r="D2824" s="4" t="s">
        <v>2910</v>
      </c>
    </row>
    <row r="2825">
      <c r="A2825" s="3">
        <v>2017.0</v>
      </c>
      <c r="B2825" s="4" t="s">
        <v>2911</v>
      </c>
      <c r="C2825" s="4">
        <v>0.0</v>
      </c>
      <c r="D2825" s="4" t="s">
        <v>3</v>
      </c>
    </row>
    <row r="2826">
      <c r="A2826" s="3">
        <v>2017.0</v>
      </c>
      <c r="B2826" s="4" t="s">
        <v>1668</v>
      </c>
      <c r="C2826" s="4">
        <v>0.0</v>
      </c>
      <c r="D2826" s="4" t="s">
        <v>3</v>
      </c>
    </row>
    <row r="2827">
      <c r="A2827" s="3">
        <v>2017.0</v>
      </c>
      <c r="B2827" s="4" t="s">
        <v>1669</v>
      </c>
      <c r="C2827" s="4">
        <v>1000.0</v>
      </c>
      <c r="D2827" s="4" t="s">
        <v>3</v>
      </c>
    </row>
    <row r="2828">
      <c r="A2828" s="3">
        <v>2017.0</v>
      </c>
      <c r="B2828" s="4" t="s">
        <v>1671</v>
      </c>
      <c r="C2828" s="4">
        <v>27000.0</v>
      </c>
      <c r="D2828" s="4"/>
    </row>
    <row r="2829">
      <c r="A2829" s="3">
        <v>2017.0</v>
      </c>
      <c r="B2829" s="4" t="s">
        <v>2912</v>
      </c>
      <c r="C2829" s="4">
        <v>0.0</v>
      </c>
      <c r="D2829" s="4" t="s">
        <v>3</v>
      </c>
    </row>
    <row r="2830">
      <c r="A2830" s="3">
        <v>2017.0</v>
      </c>
      <c r="B2830" s="4" t="s">
        <v>1672</v>
      </c>
      <c r="C2830" s="4">
        <v>3700.0</v>
      </c>
      <c r="D2830" s="4" t="s">
        <v>3</v>
      </c>
    </row>
    <row r="2831">
      <c r="A2831" s="3">
        <v>2017.0</v>
      </c>
      <c r="B2831" s="4" t="s">
        <v>1673</v>
      </c>
      <c r="C2831" s="4">
        <v>567000.0</v>
      </c>
      <c r="D2831" s="4" t="s">
        <v>6</v>
      </c>
    </row>
    <row r="2832">
      <c r="A2832" s="3">
        <v>2017.0</v>
      </c>
      <c r="B2832" s="4" t="s">
        <v>2913</v>
      </c>
      <c r="C2832" s="4">
        <v>7000.0</v>
      </c>
      <c r="D2832" s="4"/>
    </row>
    <row r="2833">
      <c r="A2833" s="3">
        <v>2017.0</v>
      </c>
      <c r="B2833" s="4" t="s">
        <v>1676</v>
      </c>
      <c r="C2833" s="4">
        <v>238200.0</v>
      </c>
      <c r="D2833" s="4" t="s">
        <v>176</v>
      </c>
    </row>
    <row r="2834">
      <c r="A2834" s="3">
        <v>2017.0</v>
      </c>
      <c r="B2834" s="4" t="s">
        <v>2914</v>
      </c>
      <c r="C2834" s="4">
        <v>0.0</v>
      </c>
      <c r="D2834" s="4" t="s">
        <v>3</v>
      </c>
    </row>
    <row r="2835">
      <c r="A2835" s="3">
        <v>2017.0</v>
      </c>
      <c r="B2835" s="4" t="s">
        <v>1678</v>
      </c>
      <c r="C2835" s="4">
        <v>1000.0</v>
      </c>
      <c r="D2835" s="4" t="s">
        <v>3</v>
      </c>
    </row>
    <row r="2836">
      <c r="A2836" s="3">
        <v>2017.0</v>
      </c>
      <c r="B2836" s="4" t="s">
        <v>1679</v>
      </c>
      <c r="C2836" s="4">
        <v>0.0</v>
      </c>
      <c r="D2836" s="4" t="s">
        <v>3</v>
      </c>
    </row>
    <row r="2837">
      <c r="A2837" s="3">
        <v>2017.0</v>
      </c>
      <c r="B2837" s="4" t="s">
        <v>2915</v>
      </c>
      <c r="C2837" s="4">
        <v>0.0</v>
      </c>
      <c r="D2837" s="4" t="s">
        <v>3</v>
      </c>
    </row>
    <row r="2838">
      <c r="A2838" s="3">
        <v>2017.0</v>
      </c>
      <c r="B2838" s="4" t="s">
        <v>2290</v>
      </c>
      <c r="C2838" s="4">
        <v>0.0</v>
      </c>
      <c r="D2838" s="4" t="s">
        <v>3</v>
      </c>
    </row>
    <row r="2839">
      <c r="A2839" s="3">
        <v>2017.0</v>
      </c>
      <c r="B2839" s="4" t="s">
        <v>1682</v>
      </c>
      <c r="C2839" s="4">
        <v>0.0</v>
      </c>
      <c r="D2839" s="4" t="s">
        <v>3</v>
      </c>
    </row>
    <row r="2840">
      <c r="A2840" s="3">
        <v>2017.0</v>
      </c>
      <c r="B2840" s="4" t="s">
        <v>1685</v>
      </c>
      <c r="C2840" s="4">
        <v>0.0</v>
      </c>
      <c r="D2840" s="4" t="s">
        <v>6</v>
      </c>
    </row>
    <row r="2841">
      <c r="A2841" s="3">
        <v>2017.0</v>
      </c>
      <c r="B2841" s="4" t="s">
        <v>1687</v>
      </c>
      <c r="C2841" s="4">
        <v>0.0</v>
      </c>
      <c r="D2841" s="4" t="s">
        <v>29</v>
      </c>
    </row>
    <row r="2842">
      <c r="A2842" s="3">
        <v>2017.0</v>
      </c>
      <c r="B2842" s="4" t="s">
        <v>1689</v>
      </c>
      <c r="C2842" s="4">
        <v>1500.0</v>
      </c>
      <c r="D2842" s="4"/>
    </row>
    <row r="2843">
      <c r="A2843" s="3">
        <v>2017.0</v>
      </c>
      <c r="B2843" s="4" t="s">
        <v>1691</v>
      </c>
      <c r="C2843" s="4">
        <v>0.0</v>
      </c>
      <c r="D2843" s="4" t="s">
        <v>29</v>
      </c>
    </row>
    <row r="2844">
      <c r="A2844" s="3">
        <v>2017.0</v>
      </c>
      <c r="B2844" s="4" t="s">
        <v>1692</v>
      </c>
      <c r="C2844" s="4">
        <v>5000.0</v>
      </c>
      <c r="D2844" s="4" t="s">
        <v>668</v>
      </c>
    </row>
    <row r="2845">
      <c r="A2845" s="3">
        <v>2017.0</v>
      </c>
      <c r="B2845" s="4" t="s">
        <v>1694</v>
      </c>
      <c r="C2845" s="4">
        <v>0.0</v>
      </c>
      <c r="D2845" s="4" t="s">
        <v>2377</v>
      </c>
    </row>
    <row r="2846">
      <c r="A2846" s="3">
        <v>2017.0</v>
      </c>
      <c r="B2846" s="4" t="s">
        <v>1695</v>
      </c>
      <c r="C2846" s="4">
        <v>500.0</v>
      </c>
      <c r="D2846" s="4" t="s">
        <v>3</v>
      </c>
    </row>
    <row r="2847">
      <c r="A2847" s="3">
        <v>2017.0</v>
      </c>
      <c r="B2847" s="4" t="s">
        <v>1697</v>
      </c>
      <c r="C2847" s="4">
        <v>0.0</v>
      </c>
      <c r="D2847" s="4" t="s">
        <v>2377</v>
      </c>
    </row>
    <row r="2848">
      <c r="A2848" s="3">
        <v>2017.0</v>
      </c>
      <c r="B2848" s="4" t="s">
        <v>1698</v>
      </c>
      <c r="C2848" s="4">
        <v>1500.0</v>
      </c>
      <c r="D2848" s="4" t="s">
        <v>6</v>
      </c>
    </row>
    <row r="2849">
      <c r="A2849" s="3">
        <v>2017.0</v>
      </c>
      <c r="B2849" s="4" t="s">
        <v>2916</v>
      </c>
      <c r="C2849" s="4">
        <v>3500.0</v>
      </c>
      <c r="D2849" s="4" t="s">
        <v>3</v>
      </c>
    </row>
    <row r="2850">
      <c r="A2850" s="3">
        <v>2017.0</v>
      </c>
      <c r="B2850" s="4" t="s">
        <v>1700</v>
      </c>
      <c r="C2850" s="4">
        <v>0.0</v>
      </c>
      <c r="D2850" s="4" t="s">
        <v>3</v>
      </c>
    </row>
    <row r="2851">
      <c r="A2851" s="3">
        <v>2017.0</v>
      </c>
      <c r="B2851" s="4" t="s">
        <v>1701</v>
      </c>
      <c r="C2851" s="4">
        <v>2500.0</v>
      </c>
      <c r="D2851" s="4" t="s">
        <v>3</v>
      </c>
    </row>
    <row r="2852">
      <c r="A2852" s="3">
        <v>2017.0</v>
      </c>
      <c r="B2852" s="4" t="s">
        <v>1702</v>
      </c>
      <c r="C2852" s="4">
        <v>3000.0</v>
      </c>
      <c r="D2852" s="4" t="s">
        <v>2377</v>
      </c>
    </row>
    <row r="2853">
      <c r="A2853" s="3">
        <v>2017.0</v>
      </c>
      <c r="B2853" s="4" t="s">
        <v>1703</v>
      </c>
      <c r="C2853" s="4">
        <v>0.0</v>
      </c>
      <c r="D2853" s="4" t="s">
        <v>3</v>
      </c>
    </row>
    <row r="2854">
      <c r="A2854" s="3">
        <v>2017.0</v>
      </c>
      <c r="B2854" s="4" t="s">
        <v>1704</v>
      </c>
      <c r="C2854" s="4">
        <v>0.0</v>
      </c>
      <c r="D2854" s="4" t="s">
        <v>3</v>
      </c>
    </row>
    <row r="2855">
      <c r="A2855" s="3">
        <v>2017.0</v>
      </c>
      <c r="B2855" s="4" t="s">
        <v>2917</v>
      </c>
      <c r="C2855" s="4">
        <v>0.0</v>
      </c>
      <c r="D2855" s="4" t="s">
        <v>6</v>
      </c>
    </row>
    <row r="2856">
      <c r="A2856" s="3">
        <v>2017.0</v>
      </c>
      <c r="B2856" s="4" t="s">
        <v>1705</v>
      </c>
      <c r="C2856" s="4">
        <v>0.0</v>
      </c>
      <c r="D2856" s="4" t="s">
        <v>2377</v>
      </c>
    </row>
    <row r="2857">
      <c r="A2857" s="3">
        <v>2017.0</v>
      </c>
      <c r="B2857" s="4" t="s">
        <v>1709</v>
      </c>
      <c r="C2857" s="4">
        <v>4000.0</v>
      </c>
      <c r="D2857" s="4"/>
    </row>
    <row r="2858">
      <c r="A2858" s="3">
        <v>2017.0</v>
      </c>
      <c r="B2858" s="4" t="s">
        <v>2918</v>
      </c>
      <c r="C2858" s="4">
        <v>0.0</v>
      </c>
      <c r="D2858" s="4" t="s">
        <v>3</v>
      </c>
    </row>
    <row r="2859">
      <c r="A2859" s="3">
        <v>2017.0</v>
      </c>
      <c r="B2859" s="4" t="s">
        <v>2291</v>
      </c>
      <c r="C2859" s="4">
        <v>500.0</v>
      </c>
      <c r="D2859" s="4" t="s">
        <v>6</v>
      </c>
    </row>
    <row r="2860">
      <c r="A2860" s="3">
        <v>2017.0</v>
      </c>
      <c r="B2860" s="4" t="s">
        <v>2292</v>
      </c>
      <c r="C2860" s="4">
        <v>337986.0</v>
      </c>
      <c r="D2860" s="4"/>
    </row>
    <row r="2861">
      <c r="A2861" s="3">
        <v>2017.0</v>
      </c>
      <c r="B2861" s="4" t="s">
        <v>1718</v>
      </c>
      <c r="C2861" s="4">
        <v>30000.0</v>
      </c>
      <c r="D2861" s="4" t="s">
        <v>2377</v>
      </c>
    </row>
    <row r="2862">
      <c r="A2862" s="3">
        <v>2017.0</v>
      </c>
      <c r="B2862" s="4" t="s">
        <v>1720</v>
      </c>
      <c r="C2862" s="4">
        <v>0.0</v>
      </c>
      <c r="D2862" s="4" t="s">
        <v>3</v>
      </c>
    </row>
    <row r="2863">
      <c r="A2863" s="3">
        <v>2017.0</v>
      </c>
      <c r="B2863" s="4" t="s">
        <v>2919</v>
      </c>
      <c r="C2863" s="4">
        <v>1000.0</v>
      </c>
      <c r="D2863" s="4"/>
    </row>
    <row r="2864">
      <c r="A2864" s="3">
        <v>2017.0</v>
      </c>
      <c r="B2864" s="4" t="s">
        <v>2920</v>
      </c>
      <c r="C2864" s="4">
        <v>0.0</v>
      </c>
      <c r="D2864" s="4" t="s">
        <v>3</v>
      </c>
    </row>
    <row r="2865">
      <c r="A2865" s="3">
        <v>2017.0</v>
      </c>
      <c r="B2865" s="4" t="s">
        <v>2921</v>
      </c>
      <c r="C2865" s="4">
        <v>0.0</v>
      </c>
      <c r="D2865" s="4" t="s">
        <v>3</v>
      </c>
    </row>
    <row r="2866">
      <c r="A2866" s="3">
        <v>2017.0</v>
      </c>
      <c r="B2866" s="4" t="s">
        <v>1729</v>
      </c>
      <c r="C2866" s="4">
        <v>0.0</v>
      </c>
      <c r="D2866" s="4" t="s">
        <v>3</v>
      </c>
    </row>
    <row r="2867">
      <c r="A2867" s="3">
        <v>2017.0</v>
      </c>
      <c r="B2867" s="4" t="s">
        <v>1730</v>
      </c>
      <c r="C2867" s="4">
        <v>0.0</v>
      </c>
      <c r="D2867" s="4" t="s">
        <v>29</v>
      </c>
    </row>
    <row r="2868">
      <c r="A2868" s="3">
        <v>2017.0</v>
      </c>
      <c r="B2868" s="4" t="s">
        <v>2922</v>
      </c>
      <c r="C2868" s="4">
        <v>900.0</v>
      </c>
      <c r="D2868" s="4" t="s">
        <v>2377</v>
      </c>
    </row>
    <row r="2869">
      <c r="A2869" s="3">
        <v>2017.0</v>
      </c>
      <c r="B2869" s="4" t="s">
        <v>1733</v>
      </c>
      <c r="C2869" s="4">
        <v>31500.0</v>
      </c>
      <c r="D2869" s="4" t="s">
        <v>3</v>
      </c>
    </row>
    <row r="2870">
      <c r="A2870" s="3">
        <v>2017.0</v>
      </c>
      <c r="B2870" s="4" t="s">
        <v>1735</v>
      </c>
      <c r="C2870" s="4">
        <v>10000.0</v>
      </c>
      <c r="D2870" s="4" t="s">
        <v>3</v>
      </c>
    </row>
    <row r="2871">
      <c r="A2871" s="3">
        <v>2017.0</v>
      </c>
      <c r="B2871" s="4" t="s">
        <v>1736</v>
      </c>
      <c r="C2871" s="4">
        <v>5000.0</v>
      </c>
      <c r="D2871" s="4" t="s">
        <v>16</v>
      </c>
    </row>
    <row r="2872">
      <c r="A2872" s="3">
        <v>2017.0</v>
      </c>
      <c r="B2872" s="4" t="s">
        <v>1737</v>
      </c>
      <c r="C2872" s="4">
        <v>0.0</v>
      </c>
      <c r="D2872" s="4" t="s">
        <v>3</v>
      </c>
    </row>
    <row r="2873">
      <c r="A2873" s="3">
        <v>2017.0</v>
      </c>
      <c r="B2873" s="4" t="s">
        <v>1738</v>
      </c>
      <c r="C2873" s="4">
        <v>3500.0</v>
      </c>
      <c r="D2873" s="4" t="s">
        <v>2377</v>
      </c>
    </row>
    <row r="2874">
      <c r="A2874" s="3">
        <v>2017.0</v>
      </c>
      <c r="B2874" s="4" t="s">
        <v>1739</v>
      </c>
      <c r="C2874" s="4">
        <v>22520.0</v>
      </c>
      <c r="D2874" s="4" t="s">
        <v>2508</v>
      </c>
    </row>
    <row r="2875">
      <c r="A2875" s="3">
        <v>2017.0</v>
      </c>
      <c r="B2875" s="4" t="s">
        <v>1740</v>
      </c>
      <c r="C2875" s="4">
        <v>1700.0</v>
      </c>
      <c r="D2875" s="4" t="s">
        <v>3</v>
      </c>
    </row>
    <row r="2876">
      <c r="A2876" s="3">
        <v>2017.0</v>
      </c>
      <c r="B2876" s="4" t="s">
        <v>2923</v>
      </c>
      <c r="C2876" s="4">
        <v>0.0</v>
      </c>
      <c r="D2876" s="4" t="s">
        <v>3</v>
      </c>
    </row>
    <row r="2877">
      <c r="A2877" s="3">
        <v>2017.0</v>
      </c>
      <c r="B2877" s="4" t="s">
        <v>1747</v>
      </c>
      <c r="C2877" s="4">
        <v>7560.0</v>
      </c>
      <c r="D2877" s="4" t="s">
        <v>6</v>
      </c>
    </row>
    <row r="2878">
      <c r="A2878" s="3">
        <v>2017.0</v>
      </c>
      <c r="B2878" s="4" t="s">
        <v>1749</v>
      </c>
      <c r="C2878" s="4">
        <v>0.0</v>
      </c>
      <c r="D2878" s="4" t="s">
        <v>6</v>
      </c>
    </row>
    <row r="2879">
      <c r="A2879" s="3">
        <v>2017.0</v>
      </c>
      <c r="B2879" s="4" t="s">
        <v>2924</v>
      </c>
      <c r="C2879" s="4">
        <v>20000.0</v>
      </c>
      <c r="D2879" s="4" t="s">
        <v>176</v>
      </c>
    </row>
    <row r="2880">
      <c r="A2880" s="3">
        <v>2017.0</v>
      </c>
      <c r="B2880" s="4" t="s">
        <v>1750</v>
      </c>
      <c r="C2880" s="4">
        <v>0.0</v>
      </c>
      <c r="D2880" s="4" t="s">
        <v>6</v>
      </c>
    </row>
    <row r="2881">
      <c r="A2881" s="3">
        <v>2017.0</v>
      </c>
      <c r="B2881" s="4" t="s">
        <v>1751</v>
      </c>
      <c r="C2881" s="4">
        <v>47500.0</v>
      </c>
      <c r="D2881" s="4" t="s">
        <v>3</v>
      </c>
    </row>
    <row r="2882">
      <c r="A2882" s="3">
        <v>2017.0</v>
      </c>
      <c r="B2882" s="4" t="s">
        <v>1753</v>
      </c>
      <c r="C2882" s="4">
        <v>0.0</v>
      </c>
      <c r="D2882" s="4" t="s">
        <v>3</v>
      </c>
    </row>
    <row r="2883">
      <c r="A2883" s="3">
        <v>2017.0</v>
      </c>
      <c r="B2883" s="4" t="s">
        <v>1754</v>
      </c>
      <c r="C2883" s="4">
        <v>6000.0</v>
      </c>
      <c r="D2883" s="4" t="s">
        <v>3</v>
      </c>
    </row>
    <row r="2884">
      <c r="A2884" s="3">
        <v>2017.0</v>
      </c>
      <c r="B2884" s="4" t="s">
        <v>2925</v>
      </c>
      <c r="C2884" s="4">
        <v>4000.0</v>
      </c>
      <c r="D2884" s="4"/>
    </row>
    <row r="2885">
      <c r="A2885" s="3">
        <v>2017.0</v>
      </c>
      <c r="B2885" s="4" t="s">
        <v>1756</v>
      </c>
      <c r="C2885" s="4">
        <v>30192.0</v>
      </c>
      <c r="D2885" s="4"/>
    </row>
    <row r="2886">
      <c r="A2886" s="3">
        <v>2017.0</v>
      </c>
      <c r="B2886" s="4" t="s">
        <v>1758</v>
      </c>
      <c r="C2886" s="4">
        <v>2500.0</v>
      </c>
      <c r="D2886" s="4"/>
    </row>
    <row r="2887">
      <c r="A2887" s="3">
        <v>2017.0</v>
      </c>
      <c r="B2887" s="4" t="s">
        <v>1759</v>
      </c>
      <c r="C2887" s="4">
        <v>10000.0</v>
      </c>
      <c r="D2887" s="4" t="s">
        <v>3</v>
      </c>
    </row>
    <row r="2888">
      <c r="A2888" s="3">
        <v>2017.0</v>
      </c>
      <c r="B2888" s="4" t="s">
        <v>2926</v>
      </c>
      <c r="C2888" s="4">
        <v>0.0</v>
      </c>
      <c r="D2888" s="4" t="s">
        <v>3</v>
      </c>
    </row>
    <row r="2889">
      <c r="A2889" s="3">
        <v>2017.0</v>
      </c>
      <c r="B2889" s="4" t="s">
        <v>1760</v>
      </c>
      <c r="C2889" s="4">
        <v>0.0</v>
      </c>
      <c r="D2889" s="4" t="s">
        <v>3</v>
      </c>
    </row>
    <row r="2890">
      <c r="A2890" s="3">
        <v>2017.0</v>
      </c>
      <c r="B2890" s="4" t="s">
        <v>1761</v>
      </c>
      <c r="C2890" s="4">
        <v>67600.0</v>
      </c>
      <c r="D2890" s="4"/>
    </row>
    <row r="2891">
      <c r="A2891" s="3">
        <v>2017.0</v>
      </c>
      <c r="B2891" s="4" t="s">
        <v>2927</v>
      </c>
      <c r="C2891" s="4">
        <v>0.0</v>
      </c>
      <c r="D2891" s="4" t="s">
        <v>2377</v>
      </c>
    </row>
    <row r="2892">
      <c r="A2892" s="3">
        <v>2017.0</v>
      </c>
      <c r="B2892" s="4" t="s">
        <v>1763</v>
      </c>
      <c r="C2892" s="4">
        <v>0.0</v>
      </c>
      <c r="D2892" s="4" t="s">
        <v>3</v>
      </c>
    </row>
    <row r="2893">
      <c r="A2893" s="3">
        <v>2017.0</v>
      </c>
      <c r="B2893" s="4" t="s">
        <v>2928</v>
      </c>
      <c r="C2893" s="4">
        <v>0.0</v>
      </c>
      <c r="D2893" s="4" t="s">
        <v>3</v>
      </c>
    </row>
    <row r="2894">
      <c r="A2894" s="3">
        <v>2017.0</v>
      </c>
      <c r="B2894" s="4" t="s">
        <v>1764</v>
      </c>
      <c r="C2894" s="4">
        <v>10000.0</v>
      </c>
      <c r="D2894" s="4" t="s">
        <v>2377</v>
      </c>
    </row>
    <row r="2895">
      <c r="A2895" s="3">
        <v>2017.0</v>
      </c>
      <c r="B2895" s="4" t="s">
        <v>1765</v>
      </c>
      <c r="C2895" s="4">
        <v>0.0</v>
      </c>
      <c r="D2895" s="4" t="s">
        <v>2377</v>
      </c>
    </row>
    <row r="2896">
      <c r="A2896" s="3">
        <v>2017.0</v>
      </c>
      <c r="B2896" s="4" t="s">
        <v>2929</v>
      </c>
      <c r="C2896" s="4">
        <v>3000.0</v>
      </c>
      <c r="D2896" s="4"/>
    </row>
    <row r="2897">
      <c r="A2897" s="3">
        <v>2017.0</v>
      </c>
      <c r="B2897" s="4" t="s">
        <v>1766</v>
      </c>
      <c r="C2897" s="4">
        <v>13000.0</v>
      </c>
      <c r="D2897" s="4"/>
    </row>
    <row r="2898">
      <c r="A2898" s="3">
        <v>2017.0</v>
      </c>
      <c r="B2898" s="4" t="s">
        <v>2930</v>
      </c>
      <c r="C2898" s="4">
        <v>640.0</v>
      </c>
      <c r="D2898" s="4"/>
    </row>
    <row r="2899">
      <c r="A2899" s="3">
        <v>2017.0</v>
      </c>
      <c r="B2899" s="4" t="s">
        <v>2931</v>
      </c>
      <c r="C2899" s="4">
        <v>0.0</v>
      </c>
      <c r="D2899" s="4" t="s">
        <v>3</v>
      </c>
    </row>
    <row r="2900">
      <c r="A2900" s="3">
        <v>2017.0</v>
      </c>
      <c r="B2900" s="4" t="s">
        <v>1769</v>
      </c>
      <c r="C2900" s="4">
        <v>0.0</v>
      </c>
      <c r="D2900" s="4" t="s">
        <v>6</v>
      </c>
    </row>
    <row r="2901">
      <c r="A2901" s="3">
        <v>2017.0</v>
      </c>
      <c r="B2901" s="4" t="s">
        <v>2932</v>
      </c>
      <c r="C2901" s="4">
        <v>0.0</v>
      </c>
      <c r="D2901" s="4" t="s">
        <v>3</v>
      </c>
    </row>
    <row r="2902">
      <c r="A2902" s="3">
        <v>2017.0</v>
      </c>
      <c r="B2902" s="4" t="s">
        <v>1771</v>
      </c>
      <c r="C2902" s="4">
        <v>0.0</v>
      </c>
      <c r="D2902" s="4" t="s">
        <v>2377</v>
      </c>
    </row>
    <row r="2903">
      <c r="A2903" s="3">
        <v>2017.0</v>
      </c>
      <c r="B2903" s="4" t="s">
        <v>2933</v>
      </c>
      <c r="C2903" s="4">
        <v>0.0</v>
      </c>
      <c r="D2903" s="4" t="s">
        <v>3</v>
      </c>
    </row>
    <row r="2904">
      <c r="A2904" s="3">
        <v>2017.0</v>
      </c>
      <c r="B2904" s="4" t="s">
        <v>1772</v>
      </c>
      <c r="C2904" s="4">
        <v>0.0</v>
      </c>
      <c r="D2904" s="4" t="s">
        <v>3</v>
      </c>
    </row>
    <row r="2905">
      <c r="A2905" s="3">
        <v>2017.0</v>
      </c>
      <c r="B2905" s="4" t="s">
        <v>2934</v>
      </c>
      <c r="C2905" s="4">
        <v>0.0</v>
      </c>
      <c r="D2905" s="4" t="s">
        <v>3</v>
      </c>
    </row>
    <row r="2906">
      <c r="A2906" s="3">
        <v>2017.0</v>
      </c>
      <c r="B2906" s="4" t="s">
        <v>2935</v>
      </c>
      <c r="C2906" s="4">
        <v>0.0</v>
      </c>
      <c r="D2906" s="4" t="s">
        <v>6</v>
      </c>
    </row>
    <row r="2907">
      <c r="A2907" s="3">
        <v>2017.0</v>
      </c>
      <c r="B2907" s="4" t="s">
        <v>2936</v>
      </c>
      <c r="C2907" s="4">
        <v>5487.0</v>
      </c>
      <c r="D2907" s="4" t="s">
        <v>6</v>
      </c>
    </row>
    <row r="2908">
      <c r="A2908" s="3">
        <v>2017.0</v>
      </c>
      <c r="B2908" s="4" t="s">
        <v>2295</v>
      </c>
      <c r="C2908" s="4">
        <v>2000.0</v>
      </c>
      <c r="D2908" s="4" t="s">
        <v>3</v>
      </c>
    </row>
    <row r="2909">
      <c r="A2909" s="3">
        <v>2017.0</v>
      </c>
      <c r="B2909" s="4" t="s">
        <v>1777</v>
      </c>
      <c r="C2909" s="4">
        <v>1000.0</v>
      </c>
      <c r="D2909" s="4" t="s">
        <v>29</v>
      </c>
    </row>
    <row r="2910">
      <c r="A2910" s="3">
        <v>2017.0</v>
      </c>
      <c r="B2910" s="4" t="s">
        <v>1778</v>
      </c>
      <c r="C2910" s="4">
        <v>1150.0</v>
      </c>
      <c r="D2910" s="4"/>
    </row>
    <row r="2911">
      <c r="A2911" s="3">
        <v>2017.0</v>
      </c>
      <c r="B2911" s="4" t="s">
        <v>1780</v>
      </c>
      <c r="C2911" s="4">
        <v>0.0</v>
      </c>
      <c r="D2911" s="4" t="s">
        <v>3</v>
      </c>
    </row>
    <row r="2912">
      <c r="A2912" s="3">
        <v>2017.0</v>
      </c>
      <c r="B2912" s="4" t="s">
        <v>1782</v>
      </c>
      <c r="C2912" s="4">
        <v>4200.0</v>
      </c>
      <c r="D2912" s="4" t="s">
        <v>2377</v>
      </c>
    </row>
    <row r="2913">
      <c r="A2913" s="3">
        <v>2017.0</v>
      </c>
      <c r="B2913" s="4" t="s">
        <v>1783</v>
      </c>
      <c r="C2913" s="4">
        <v>4400.0</v>
      </c>
      <c r="D2913" s="4"/>
    </row>
    <row r="2914">
      <c r="A2914" s="3">
        <v>2017.0</v>
      </c>
      <c r="B2914" s="4" t="s">
        <v>1784</v>
      </c>
      <c r="C2914" s="4">
        <v>0.0</v>
      </c>
      <c r="D2914" s="4" t="s">
        <v>3</v>
      </c>
    </row>
    <row r="2915">
      <c r="A2915" s="3">
        <v>2017.0</v>
      </c>
      <c r="B2915" s="4" t="s">
        <v>1785</v>
      </c>
      <c r="C2915" s="4">
        <v>0.0</v>
      </c>
      <c r="D2915" s="4" t="s">
        <v>3</v>
      </c>
    </row>
    <row r="2916">
      <c r="A2916" s="3">
        <v>2017.0</v>
      </c>
      <c r="B2916" s="4" t="s">
        <v>2937</v>
      </c>
      <c r="C2916" s="4">
        <v>0.0</v>
      </c>
      <c r="D2916" s="4" t="s">
        <v>3</v>
      </c>
    </row>
    <row r="2917">
      <c r="A2917" s="3">
        <v>2017.0</v>
      </c>
      <c r="B2917" s="4" t="s">
        <v>2938</v>
      </c>
      <c r="C2917" s="4">
        <v>0.0</v>
      </c>
      <c r="D2917" s="4" t="s">
        <v>3</v>
      </c>
    </row>
    <row r="2918">
      <c r="A2918" s="3">
        <v>2017.0</v>
      </c>
      <c r="B2918" s="4" t="s">
        <v>1787</v>
      </c>
      <c r="C2918" s="4">
        <v>200000.0</v>
      </c>
      <c r="D2918" s="4"/>
    </row>
    <row r="2919">
      <c r="A2919" s="3">
        <v>2017.0</v>
      </c>
      <c r="B2919" s="4" t="s">
        <v>1789</v>
      </c>
      <c r="C2919" s="4">
        <v>450000.0</v>
      </c>
      <c r="D2919" s="4"/>
    </row>
    <row r="2920">
      <c r="A2920" s="3">
        <v>2017.0</v>
      </c>
      <c r="B2920" s="4" t="s">
        <v>2939</v>
      </c>
      <c r="C2920" s="4">
        <v>0.0</v>
      </c>
      <c r="D2920" s="4" t="s">
        <v>3</v>
      </c>
    </row>
    <row r="2921">
      <c r="A2921" s="3">
        <v>2017.0</v>
      </c>
      <c r="B2921" s="4" t="s">
        <v>1791</v>
      </c>
      <c r="C2921" s="4">
        <v>1000.0</v>
      </c>
      <c r="D2921" s="4" t="s">
        <v>29</v>
      </c>
    </row>
    <row r="2922">
      <c r="A2922" s="3">
        <v>2017.0</v>
      </c>
      <c r="B2922" s="4" t="s">
        <v>2940</v>
      </c>
      <c r="C2922" s="4">
        <v>0.0</v>
      </c>
      <c r="D2922" s="4" t="s">
        <v>3</v>
      </c>
    </row>
    <row r="2923">
      <c r="A2923" s="3">
        <v>2017.0</v>
      </c>
      <c r="B2923" s="4" t="s">
        <v>2941</v>
      </c>
      <c r="C2923" s="4">
        <v>0.0</v>
      </c>
      <c r="D2923" s="4" t="s">
        <v>6</v>
      </c>
    </row>
    <row r="2924">
      <c r="A2924" s="3">
        <v>2017.0</v>
      </c>
      <c r="B2924" s="4" t="s">
        <v>1796</v>
      </c>
      <c r="C2924" s="4">
        <v>0.0</v>
      </c>
      <c r="D2924" s="4" t="s">
        <v>3</v>
      </c>
    </row>
    <row r="2925">
      <c r="A2925" s="3">
        <v>2017.0</v>
      </c>
      <c r="B2925" s="4" t="s">
        <v>2297</v>
      </c>
      <c r="C2925" s="4">
        <v>0.0</v>
      </c>
      <c r="D2925" s="4" t="s">
        <v>176</v>
      </c>
    </row>
    <row r="2926">
      <c r="A2926" s="3">
        <v>2017.0</v>
      </c>
      <c r="B2926" s="4" t="s">
        <v>1799</v>
      </c>
      <c r="C2926" s="4">
        <v>0.0</v>
      </c>
      <c r="D2926" s="4" t="s">
        <v>29</v>
      </c>
    </row>
    <row r="2927">
      <c r="A2927" s="3">
        <v>2017.0</v>
      </c>
      <c r="B2927" s="4" t="s">
        <v>2298</v>
      </c>
      <c r="C2927" s="4">
        <v>72000.0</v>
      </c>
      <c r="D2927" s="4" t="s">
        <v>2447</v>
      </c>
    </row>
    <row r="2928">
      <c r="A2928" s="3">
        <v>2017.0</v>
      </c>
      <c r="B2928" s="4" t="s">
        <v>2942</v>
      </c>
      <c r="C2928" s="4">
        <v>0.0</v>
      </c>
      <c r="D2928" s="4" t="s">
        <v>6</v>
      </c>
    </row>
    <row r="2929">
      <c r="A2929" s="3">
        <v>2017.0</v>
      </c>
      <c r="B2929" s="4" t="s">
        <v>2943</v>
      </c>
      <c r="C2929" s="4">
        <v>0.0</v>
      </c>
      <c r="D2929" s="4" t="s">
        <v>3</v>
      </c>
    </row>
    <row r="2930">
      <c r="A2930" s="3">
        <v>2017.0</v>
      </c>
      <c r="B2930" s="4" t="s">
        <v>1805</v>
      </c>
      <c r="C2930" s="4">
        <v>9000.0</v>
      </c>
      <c r="D2930" s="4"/>
    </row>
    <row r="2931">
      <c r="A2931" s="3">
        <v>2017.0</v>
      </c>
      <c r="B2931" s="4" t="s">
        <v>2944</v>
      </c>
      <c r="C2931" s="4">
        <v>0.0</v>
      </c>
      <c r="D2931" s="4" t="s">
        <v>3</v>
      </c>
    </row>
    <row r="2932">
      <c r="A2932" s="3">
        <v>2017.0</v>
      </c>
      <c r="B2932" s="4" t="s">
        <v>1807</v>
      </c>
      <c r="C2932" s="4">
        <v>0.0</v>
      </c>
      <c r="D2932" s="4" t="s">
        <v>668</v>
      </c>
    </row>
    <row r="2933">
      <c r="A2933" s="3">
        <v>2017.0</v>
      </c>
      <c r="B2933" s="4" t="s">
        <v>1809</v>
      </c>
      <c r="C2933" s="4">
        <v>500.0</v>
      </c>
      <c r="D2933" s="4"/>
    </row>
    <row r="2934">
      <c r="A2934" s="3">
        <v>2017.0</v>
      </c>
      <c r="B2934" s="4" t="s">
        <v>2945</v>
      </c>
      <c r="C2934" s="4">
        <v>0.0</v>
      </c>
      <c r="D2934" s="4" t="s">
        <v>29</v>
      </c>
    </row>
    <row r="2935">
      <c r="A2935" s="3">
        <v>2017.0</v>
      </c>
      <c r="B2935" s="4" t="s">
        <v>2946</v>
      </c>
      <c r="C2935" s="4">
        <v>0.0</v>
      </c>
      <c r="D2935" s="4" t="s">
        <v>6</v>
      </c>
    </row>
    <row r="2936">
      <c r="A2936" s="3">
        <v>2017.0</v>
      </c>
      <c r="B2936" s="4" t="s">
        <v>1810</v>
      </c>
      <c r="C2936" s="4">
        <v>8815.0</v>
      </c>
      <c r="D2936" s="4" t="s">
        <v>2377</v>
      </c>
    </row>
    <row r="2937">
      <c r="A2937" s="3">
        <v>2017.0</v>
      </c>
      <c r="B2937" s="4" t="s">
        <v>2947</v>
      </c>
      <c r="C2937" s="4">
        <v>0.0</v>
      </c>
      <c r="D2937" s="4" t="s">
        <v>3</v>
      </c>
    </row>
    <row r="2938">
      <c r="A2938" s="3">
        <v>2017.0</v>
      </c>
      <c r="B2938" s="4" t="s">
        <v>1811</v>
      </c>
      <c r="C2938" s="4">
        <v>16770.0</v>
      </c>
      <c r="D2938" s="4" t="s">
        <v>3</v>
      </c>
    </row>
    <row r="2939">
      <c r="A2939" s="3">
        <v>2017.0</v>
      </c>
      <c r="B2939" s="4" t="s">
        <v>1813</v>
      </c>
      <c r="C2939" s="4">
        <v>300.0</v>
      </c>
      <c r="D2939" s="4"/>
    </row>
    <row r="2940">
      <c r="A2940" s="3">
        <v>2017.0</v>
      </c>
      <c r="B2940" s="4" t="s">
        <v>1814</v>
      </c>
      <c r="C2940" s="4">
        <v>0.0</v>
      </c>
      <c r="D2940" s="4" t="s">
        <v>3</v>
      </c>
    </row>
    <row r="2941">
      <c r="A2941" s="3">
        <v>2017.0</v>
      </c>
      <c r="B2941" s="4" t="s">
        <v>2301</v>
      </c>
      <c r="C2941" s="4">
        <v>500.0</v>
      </c>
      <c r="D2941" s="4"/>
    </row>
    <row r="2942">
      <c r="A2942" s="3">
        <v>2017.0</v>
      </c>
      <c r="B2942" s="4" t="s">
        <v>1818</v>
      </c>
      <c r="C2942" s="4">
        <v>2000.0</v>
      </c>
      <c r="D2942" s="4" t="s">
        <v>3</v>
      </c>
    </row>
    <row r="2943">
      <c r="A2943" s="3">
        <v>2017.0</v>
      </c>
      <c r="B2943" s="4" t="s">
        <v>2303</v>
      </c>
      <c r="C2943" s="4">
        <v>1500.0</v>
      </c>
      <c r="D2943" s="4" t="s">
        <v>3</v>
      </c>
    </row>
    <row r="2944">
      <c r="A2944" s="3">
        <v>2017.0</v>
      </c>
      <c r="B2944" s="4" t="s">
        <v>2948</v>
      </c>
      <c r="C2944" s="4">
        <v>0.0</v>
      </c>
      <c r="D2944" s="4" t="s">
        <v>3</v>
      </c>
    </row>
    <row r="2945">
      <c r="A2945" s="3">
        <v>2017.0</v>
      </c>
      <c r="B2945" s="4" t="s">
        <v>1821</v>
      </c>
      <c r="C2945" s="4">
        <v>0.0</v>
      </c>
      <c r="D2945" s="4" t="s">
        <v>3</v>
      </c>
    </row>
    <row r="2946">
      <c r="A2946" s="3">
        <v>2017.0</v>
      </c>
      <c r="B2946" s="4" t="s">
        <v>2304</v>
      </c>
      <c r="C2946" s="4">
        <v>9500.0</v>
      </c>
      <c r="D2946" s="4" t="s">
        <v>2377</v>
      </c>
    </row>
    <row r="2947">
      <c r="A2947" s="3">
        <v>2017.0</v>
      </c>
      <c r="B2947" s="4" t="s">
        <v>1825</v>
      </c>
      <c r="C2947" s="4">
        <v>0.0</v>
      </c>
      <c r="D2947" s="4" t="s">
        <v>3</v>
      </c>
    </row>
    <row r="2948">
      <c r="A2948" s="3">
        <v>2017.0</v>
      </c>
      <c r="B2948" s="4" t="s">
        <v>1826</v>
      </c>
      <c r="C2948" s="4">
        <v>0.0</v>
      </c>
      <c r="D2948" s="4" t="s">
        <v>3</v>
      </c>
    </row>
    <row r="2949">
      <c r="A2949" s="3">
        <v>2017.0</v>
      </c>
      <c r="B2949" s="4" t="s">
        <v>2306</v>
      </c>
      <c r="C2949" s="4">
        <v>2100.0</v>
      </c>
      <c r="D2949" s="4"/>
    </row>
    <row r="2950">
      <c r="A2950" s="3">
        <v>2017.0</v>
      </c>
      <c r="B2950" s="4" t="s">
        <v>2949</v>
      </c>
      <c r="C2950" s="4">
        <v>0.0</v>
      </c>
      <c r="D2950" s="4" t="s">
        <v>6</v>
      </c>
    </row>
    <row r="2951">
      <c r="A2951" s="3">
        <v>2017.0</v>
      </c>
      <c r="B2951" s="4" t="s">
        <v>1833</v>
      </c>
      <c r="C2951" s="4">
        <v>12000.0</v>
      </c>
      <c r="D2951" s="4" t="s">
        <v>3</v>
      </c>
    </row>
    <row r="2952">
      <c r="A2952" s="3">
        <v>2017.0</v>
      </c>
      <c r="B2952" s="4" t="s">
        <v>2950</v>
      </c>
      <c r="C2952" s="4">
        <v>0.0</v>
      </c>
      <c r="D2952" s="4" t="s">
        <v>29</v>
      </c>
    </row>
    <row r="2953">
      <c r="A2953" s="3">
        <v>2017.0</v>
      </c>
      <c r="B2953" s="4" t="s">
        <v>2951</v>
      </c>
      <c r="C2953" s="4">
        <v>0.0</v>
      </c>
      <c r="D2953" s="4" t="s">
        <v>3</v>
      </c>
    </row>
    <row r="2954">
      <c r="A2954" s="3">
        <v>2017.0</v>
      </c>
      <c r="B2954" s="4" t="s">
        <v>2952</v>
      </c>
      <c r="C2954" s="4">
        <v>0.0</v>
      </c>
      <c r="D2954" s="4" t="s">
        <v>6</v>
      </c>
    </row>
    <row r="2955">
      <c r="A2955" s="3">
        <v>2017.0</v>
      </c>
      <c r="B2955" s="4" t="s">
        <v>1836</v>
      </c>
      <c r="C2955" s="4">
        <v>0.0</v>
      </c>
      <c r="D2955" s="4" t="s">
        <v>3</v>
      </c>
    </row>
    <row r="2956">
      <c r="A2956" s="3">
        <v>2017.0</v>
      </c>
      <c r="B2956" s="4" t="s">
        <v>2953</v>
      </c>
      <c r="C2956" s="4">
        <v>0.0</v>
      </c>
      <c r="D2956" s="4" t="s">
        <v>3</v>
      </c>
    </row>
    <row r="2957">
      <c r="A2957" s="3">
        <v>2017.0</v>
      </c>
      <c r="B2957" s="4" t="s">
        <v>1837</v>
      </c>
      <c r="C2957" s="4">
        <v>0.0</v>
      </c>
      <c r="D2957" s="4" t="s">
        <v>3</v>
      </c>
    </row>
    <row r="2958">
      <c r="A2958" s="3">
        <v>2017.0</v>
      </c>
      <c r="B2958" s="4" t="s">
        <v>2954</v>
      </c>
      <c r="C2958" s="4">
        <v>0.0</v>
      </c>
      <c r="D2958" s="4" t="s">
        <v>3</v>
      </c>
    </row>
    <row r="2959">
      <c r="A2959" s="3">
        <v>2017.0</v>
      </c>
      <c r="B2959" s="4" t="s">
        <v>2955</v>
      </c>
      <c r="C2959" s="4">
        <v>0.0</v>
      </c>
      <c r="D2959" s="4" t="s">
        <v>3</v>
      </c>
    </row>
    <row r="2960">
      <c r="A2960" s="3">
        <v>2017.0</v>
      </c>
      <c r="B2960" s="4" t="s">
        <v>1838</v>
      </c>
      <c r="C2960" s="4">
        <v>72400.0</v>
      </c>
      <c r="D2960" s="4" t="s">
        <v>3</v>
      </c>
    </row>
    <row r="2961">
      <c r="A2961" s="3">
        <v>2017.0</v>
      </c>
      <c r="B2961" s="4" t="s">
        <v>2956</v>
      </c>
      <c r="C2961" s="4">
        <v>0.0</v>
      </c>
      <c r="D2961" s="4" t="s">
        <v>3</v>
      </c>
    </row>
    <row r="2962">
      <c r="A2962" s="3">
        <v>2017.0</v>
      </c>
      <c r="B2962" s="4" t="s">
        <v>1841</v>
      </c>
      <c r="C2962" s="4">
        <v>0.0</v>
      </c>
      <c r="D2962" s="4" t="s">
        <v>29</v>
      </c>
    </row>
    <row r="2963">
      <c r="A2963" s="3">
        <v>2017.0</v>
      </c>
      <c r="B2963" s="4" t="s">
        <v>2957</v>
      </c>
      <c r="C2963" s="4">
        <v>1500.0</v>
      </c>
      <c r="D2963" s="4"/>
    </row>
    <row r="2964">
      <c r="A2964" s="3">
        <v>2017.0</v>
      </c>
      <c r="B2964" s="4" t="s">
        <v>2958</v>
      </c>
      <c r="C2964" s="4">
        <v>0.0</v>
      </c>
      <c r="D2964" s="4" t="s">
        <v>3</v>
      </c>
    </row>
    <row r="2965">
      <c r="A2965" s="3">
        <v>2017.0</v>
      </c>
      <c r="B2965" s="4" t="s">
        <v>1842</v>
      </c>
      <c r="C2965" s="4">
        <v>2000.0</v>
      </c>
      <c r="D2965" s="4" t="s">
        <v>3</v>
      </c>
    </row>
    <row r="2966">
      <c r="A2966" s="3">
        <v>2017.0</v>
      </c>
      <c r="B2966" s="4" t="s">
        <v>1843</v>
      </c>
      <c r="C2966" s="4">
        <v>1000.0</v>
      </c>
      <c r="D2966" s="4" t="s">
        <v>3</v>
      </c>
    </row>
    <row r="2967">
      <c r="A2967" s="3">
        <v>2017.0</v>
      </c>
      <c r="B2967" s="4" t="s">
        <v>2307</v>
      </c>
      <c r="C2967" s="4">
        <v>0.0</v>
      </c>
      <c r="D2967" s="4" t="s">
        <v>3</v>
      </c>
    </row>
    <row r="2968">
      <c r="A2968" s="3">
        <v>2017.0</v>
      </c>
      <c r="B2968" s="4" t="s">
        <v>2959</v>
      </c>
      <c r="C2968" s="4">
        <v>2000.0</v>
      </c>
      <c r="D2968" s="4" t="s">
        <v>3</v>
      </c>
    </row>
    <row r="2969">
      <c r="A2969" s="3">
        <v>2017.0</v>
      </c>
      <c r="B2969" s="4" t="s">
        <v>1846</v>
      </c>
      <c r="C2969" s="4">
        <v>0.0</v>
      </c>
      <c r="D2969" s="4" t="s">
        <v>6</v>
      </c>
    </row>
    <row r="2970">
      <c r="A2970" s="3">
        <v>2017.0</v>
      </c>
      <c r="B2970" s="4" t="s">
        <v>1847</v>
      </c>
      <c r="C2970" s="4">
        <v>0.0</v>
      </c>
      <c r="D2970" s="4" t="s">
        <v>3</v>
      </c>
    </row>
    <row r="2971">
      <c r="A2971" s="3">
        <v>2017.0</v>
      </c>
      <c r="B2971" s="4" t="s">
        <v>2960</v>
      </c>
      <c r="C2971" s="4">
        <v>3000.0</v>
      </c>
      <c r="D2971" s="4"/>
    </row>
    <row r="2972">
      <c r="A2972" s="3">
        <v>2017.0</v>
      </c>
      <c r="B2972" s="4" t="s">
        <v>2961</v>
      </c>
      <c r="C2972" s="4">
        <v>0.0</v>
      </c>
      <c r="D2972" s="4" t="s">
        <v>3</v>
      </c>
    </row>
    <row r="2973">
      <c r="A2973" s="3">
        <v>2017.0</v>
      </c>
      <c r="B2973" s="4" t="s">
        <v>2308</v>
      </c>
      <c r="C2973" s="4">
        <v>1026622.0</v>
      </c>
      <c r="D2973" s="4" t="s">
        <v>2370</v>
      </c>
    </row>
    <row r="2974">
      <c r="A2974" s="3">
        <v>2017.0</v>
      </c>
      <c r="B2974" s="4" t="s">
        <v>2962</v>
      </c>
      <c r="C2974" s="4">
        <v>863827.0</v>
      </c>
      <c r="D2974" s="4" t="s">
        <v>2370</v>
      </c>
    </row>
    <row r="2975">
      <c r="A2975" s="3">
        <v>2017.0</v>
      </c>
      <c r="B2975" s="4" t="s">
        <v>2963</v>
      </c>
      <c r="C2975" s="4">
        <v>0.0</v>
      </c>
      <c r="D2975" s="4" t="s">
        <v>3</v>
      </c>
    </row>
    <row r="2976">
      <c r="A2976" s="3">
        <v>2017.0</v>
      </c>
      <c r="B2976" s="4" t="s">
        <v>1855</v>
      </c>
      <c r="C2976" s="4">
        <v>0.0</v>
      </c>
      <c r="D2976" s="4" t="s">
        <v>29</v>
      </c>
    </row>
    <row r="2977">
      <c r="A2977" s="3">
        <v>2017.0</v>
      </c>
      <c r="B2977" s="4" t="s">
        <v>2964</v>
      </c>
      <c r="C2977" s="4">
        <v>0.0</v>
      </c>
      <c r="D2977" s="4" t="s">
        <v>3</v>
      </c>
    </row>
    <row r="2978">
      <c r="A2978" s="3">
        <v>2017.0</v>
      </c>
      <c r="B2978" s="4" t="s">
        <v>2965</v>
      </c>
      <c r="C2978" s="4">
        <v>0.0</v>
      </c>
      <c r="D2978" s="4" t="s">
        <v>3</v>
      </c>
    </row>
    <row r="2979">
      <c r="A2979" s="3">
        <v>2017.0</v>
      </c>
      <c r="B2979" s="4" t="s">
        <v>2966</v>
      </c>
      <c r="C2979" s="4">
        <v>0.0</v>
      </c>
      <c r="D2979" s="4" t="s">
        <v>6</v>
      </c>
    </row>
    <row r="2980">
      <c r="A2980" s="3">
        <v>2017.0</v>
      </c>
      <c r="B2980" s="4" t="s">
        <v>2967</v>
      </c>
      <c r="C2980" s="4">
        <v>0.0</v>
      </c>
      <c r="D2980" s="4" t="s">
        <v>6</v>
      </c>
    </row>
    <row r="2981">
      <c r="A2981" s="3">
        <v>2017.0</v>
      </c>
      <c r="B2981" s="4" t="s">
        <v>2968</v>
      </c>
      <c r="C2981" s="4">
        <v>0.0</v>
      </c>
      <c r="D2981" s="4" t="s">
        <v>3</v>
      </c>
    </row>
    <row r="2982">
      <c r="A2982" s="3">
        <v>2017.0</v>
      </c>
      <c r="B2982" s="4" t="s">
        <v>2969</v>
      </c>
      <c r="C2982" s="4">
        <v>0.0</v>
      </c>
      <c r="D2982" s="4" t="s">
        <v>3</v>
      </c>
    </row>
    <row r="2983">
      <c r="A2983" s="3">
        <v>2017.0</v>
      </c>
      <c r="B2983" s="4" t="s">
        <v>1859</v>
      </c>
      <c r="C2983" s="4">
        <v>19000.0</v>
      </c>
      <c r="D2983" s="4"/>
    </row>
    <row r="2984">
      <c r="A2984" s="3">
        <v>2017.0</v>
      </c>
      <c r="B2984" s="4" t="s">
        <v>2970</v>
      </c>
      <c r="C2984" s="4">
        <v>0.0</v>
      </c>
      <c r="D2984" s="4" t="s">
        <v>176</v>
      </c>
    </row>
    <row r="2985">
      <c r="A2985" s="3">
        <v>2017.0</v>
      </c>
      <c r="B2985" s="4" t="s">
        <v>2971</v>
      </c>
      <c r="C2985" s="4">
        <v>0.0</v>
      </c>
      <c r="D2985" s="4" t="s">
        <v>3</v>
      </c>
    </row>
    <row r="2986">
      <c r="A2986" s="3">
        <v>2017.0</v>
      </c>
      <c r="B2986" s="4" t="s">
        <v>1862</v>
      </c>
      <c r="C2986" s="4">
        <v>2000.0</v>
      </c>
      <c r="D2986" s="4" t="s">
        <v>2377</v>
      </c>
    </row>
    <row r="2987">
      <c r="A2987" s="3">
        <v>2017.0</v>
      </c>
      <c r="B2987" s="4" t="s">
        <v>2972</v>
      </c>
      <c r="C2987" s="4">
        <v>0.0</v>
      </c>
      <c r="D2987" s="4" t="s">
        <v>3</v>
      </c>
    </row>
    <row r="2988">
      <c r="A2988" s="3">
        <v>2017.0</v>
      </c>
      <c r="B2988" s="4" t="s">
        <v>1865</v>
      </c>
      <c r="C2988" s="4">
        <v>0.0</v>
      </c>
      <c r="D2988" s="4" t="s">
        <v>2377</v>
      </c>
    </row>
    <row r="2989">
      <c r="A2989" s="3">
        <v>2017.0</v>
      </c>
      <c r="B2989" s="4" t="s">
        <v>1867</v>
      </c>
      <c r="C2989" s="4">
        <v>0.0</v>
      </c>
      <c r="D2989" s="4" t="s">
        <v>3</v>
      </c>
    </row>
    <row r="2990">
      <c r="A2990" s="3">
        <v>2017.0</v>
      </c>
      <c r="B2990" s="4" t="s">
        <v>1868</v>
      </c>
      <c r="C2990" s="4">
        <v>0.0</v>
      </c>
      <c r="D2990" s="4" t="s">
        <v>3</v>
      </c>
    </row>
    <row r="2991">
      <c r="A2991" s="3">
        <v>2017.0</v>
      </c>
      <c r="B2991" s="4" t="s">
        <v>1869</v>
      </c>
      <c r="C2991" s="4">
        <v>0.0</v>
      </c>
      <c r="D2991" s="4" t="s">
        <v>3</v>
      </c>
    </row>
    <row r="2992">
      <c r="A2992" s="3">
        <v>2017.0</v>
      </c>
      <c r="B2992" s="4" t="s">
        <v>1871</v>
      </c>
      <c r="C2992" s="4">
        <v>0.0</v>
      </c>
      <c r="D2992" s="4" t="s">
        <v>3</v>
      </c>
    </row>
    <row r="2993">
      <c r="A2993" s="3">
        <v>2017.0</v>
      </c>
      <c r="B2993" s="4" t="s">
        <v>2973</v>
      </c>
      <c r="C2993" s="4">
        <v>0.0</v>
      </c>
      <c r="D2993" s="4" t="s">
        <v>3</v>
      </c>
    </row>
    <row r="2994">
      <c r="A2994" s="3">
        <v>2017.0</v>
      </c>
      <c r="B2994" s="4" t="s">
        <v>1874</v>
      </c>
      <c r="C2994" s="4">
        <v>4000.0</v>
      </c>
      <c r="D2994" s="4" t="s">
        <v>29</v>
      </c>
    </row>
    <row r="2995">
      <c r="A2995" s="3">
        <v>2017.0</v>
      </c>
      <c r="B2995" s="4" t="s">
        <v>1875</v>
      </c>
      <c r="C2995" s="4">
        <v>0.0</v>
      </c>
      <c r="D2995" s="4" t="s">
        <v>2377</v>
      </c>
    </row>
    <row r="2996">
      <c r="A2996" s="3">
        <v>2017.0</v>
      </c>
      <c r="B2996" s="4" t="s">
        <v>1878</v>
      </c>
      <c r="C2996" s="4">
        <v>0.0</v>
      </c>
      <c r="D2996" s="4" t="s">
        <v>3</v>
      </c>
    </row>
    <row r="2997">
      <c r="A2997" s="3">
        <v>2017.0</v>
      </c>
      <c r="B2997" s="4" t="s">
        <v>1880</v>
      </c>
      <c r="C2997" s="4">
        <v>13500.0</v>
      </c>
      <c r="D2997" s="4" t="s">
        <v>3</v>
      </c>
    </row>
    <row r="2998">
      <c r="A2998" s="3">
        <v>2017.0</v>
      </c>
      <c r="B2998" s="4" t="s">
        <v>2974</v>
      </c>
      <c r="C2998" s="4">
        <v>1000.0</v>
      </c>
      <c r="D2998" s="4"/>
    </row>
    <row r="2999">
      <c r="A2999" s="3">
        <v>2017.0</v>
      </c>
      <c r="B2999" s="4" t="s">
        <v>1881</v>
      </c>
      <c r="C2999" s="4">
        <v>0.0</v>
      </c>
      <c r="D2999" s="4" t="s">
        <v>3</v>
      </c>
    </row>
    <row r="3000">
      <c r="A3000" s="3">
        <v>2017.0</v>
      </c>
      <c r="B3000" s="4" t="s">
        <v>1884</v>
      </c>
      <c r="C3000" s="4">
        <v>51500.0</v>
      </c>
      <c r="D3000" s="4"/>
    </row>
    <row r="3001">
      <c r="A3001" s="3">
        <v>2017.0</v>
      </c>
      <c r="B3001" s="4" t="s">
        <v>2975</v>
      </c>
      <c r="C3001" s="4">
        <v>0.0</v>
      </c>
      <c r="D3001" s="4" t="s">
        <v>3</v>
      </c>
    </row>
    <row r="3002">
      <c r="A3002" s="3">
        <v>2017.0</v>
      </c>
      <c r="B3002" s="4" t="s">
        <v>1890</v>
      </c>
      <c r="C3002" s="4">
        <v>8000.0</v>
      </c>
      <c r="D3002" s="4"/>
    </row>
    <row r="3003">
      <c r="A3003" s="3">
        <v>2017.0</v>
      </c>
      <c r="B3003" s="4" t="s">
        <v>1892</v>
      </c>
      <c r="C3003" s="4">
        <v>0.0</v>
      </c>
      <c r="D3003" s="4" t="s">
        <v>2377</v>
      </c>
    </row>
    <row r="3004">
      <c r="A3004" s="3">
        <v>2017.0</v>
      </c>
      <c r="B3004" s="4" t="s">
        <v>1893</v>
      </c>
      <c r="C3004" s="4">
        <v>0.0</v>
      </c>
      <c r="D3004" s="4" t="s">
        <v>3</v>
      </c>
    </row>
    <row r="3005">
      <c r="A3005" s="3">
        <v>2017.0</v>
      </c>
      <c r="B3005" s="4" t="s">
        <v>2976</v>
      </c>
      <c r="C3005" s="4">
        <v>0.0</v>
      </c>
      <c r="D3005" s="4" t="s">
        <v>3</v>
      </c>
    </row>
    <row r="3006">
      <c r="A3006" s="3">
        <v>2017.0</v>
      </c>
      <c r="B3006" s="4" t="s">
        <v>2977</v>
      </c>
      <c r="C3006" s="4">
        <v>0.0</v>
      </c>
      <c r="D3006" s="4" t="s">
        <v>6</v>
      </c>
    </row>
    <row r="3007">
      <c r="A3007" s="3">
        <v>2017.0</v>
      </c>
      <c r="B3007" s="4" t="s">
        <v>1896</v>
      </c>
      <c r="C3007" s="4">
        <v>6000.0</v>
      </c>
      <c r="D3007" s="4"/>
    </row>
    <row r="3008">
      <c r="A3008" s="3">
        <v>2017.0</v>
      </c>
      <c r="B3008" s="4" t="s">
        <v>1897</v>
      </c>
      <c r="C3008" s="4">
        <v>1500.0</v>
      </c>
      <c r="D3008" s="4"/>
    </row>
    <row r="3009">
      <c r="A3009" s="3">
        <v>2017.0</v>
      </c>
      <c r="B3009" s="4" t="s">
        <v>2978</v>
      </c>
      <c r="C3009" s="4">
        <v>500.0</v>
      </c>
      <c r="D3009" s="4"/>
    </row>
    <row r="3010">
      <c r="A3010" s="3">
        <v>2017.0</v>
      </c>
      <c r="B3010" s="4" t="s">
        <v>1898</v>
      </c>
      <c r="C3010" s="4">
        <v>0.0</v>
      </c>
      <c r="D3010" s="4" t="s">
        <v>3</v>
      </c>
    </row>
    <row r="3011">
      <c r="A3011" s="3">
        <v>2017.0</v>
      </c>
      <c r="B3011" s="4" t="s">
        <v>2979</v>
      </c>
      <c r="C3011" s="4">
        <v>0.0</v>
      </c>
      <c r="D3011" s="4" t="s">
        <v>2377</v>
      </c>
    </row>
    <row r="3012">
      <c r="A3012" s="3">
        <v>2017.0</v>
      </c>
      <c r="B3012" s="4" t="s">
        <v>1899</v>
      </c>
      <c r="C3012" s="4">
        <v>1500.0</v>
      </c>
      <c r="D3012" s="4" t="s">
        <v>3</v>
      </c>
    </row>
    <row r="3013">
      <c r="A3013" s="3">
        <v>2017.0</v>
      </c>
      <c r="B3013" s="4" t="s">
        <v>2980</v>
      </c>
      <c r="C3013" s="4">
        <v>0.0</v>
      </c>
      <c r="D3013" s="4" t="s">
        <v>3</v>
      </c>
    </row>
    <row r="3014">
      <c r="A3014" s="3">
        <v>2017.0</v>
      </c>
      <c r="B3014" s="4" t="s">
        <v>2981</v>
      </c>
      <c r="C3014" s="4">
        <v>0.0</v>
      </c>
      <c r="D3014" s="4" t="s">
        <v>3</v>
      </c>
    </row>
    <row r="3015">
      <c r="A3015" s="3">
        <v>2017.0</v>
      </c>
      <c r="B3015" s="4" t="s">
        <v>2982</v>
      </c>
      <c r="C3015" s="4">
        <v>0.0</v>
      </c>
      <c r="D3015" s="4" t="s">
        <v>3</v>
      </c>
    </row>
    <row r="3016">
      <c r="A3016" s="3">
        <v>2017.0</v>
      </c>
      <c r="B3016" s="4" t="s">
        <v>1900</v>
      </c>
      <c r="C3016" s="4">
        <v>0.0</v>
      </c>
      <c r="D3016" s="4" t="s">
        <v>3</v>
      </c>
    </row>
    <row r="3017">
      <c r="A3017" s="3">
        <v>2017.0</v>
      </c>
      <c r="B3017" s="4" t="s">
        <v>1901</v>
      </c>
      <c r="C3017" s="4">
        <v>0.0</v>
      </c>
      <c r="D3017" s="4" t="s">
        <v>3</v>
      </c>
    </row>
    <row r="3018">
      <c r="A3018" s="3">
        <v>2017.0</v>
      </c>
      <c r="B3018" s="4" t="s">
        <v>1903</v>
      </c>
      <c r="C3018" s="4">
        <v>18000.0</v>
      </c>
      <c r="D3018" s="4" t="s">
        <v>2377</v>
      </c>
    </row>
    <row r="3019">
      <c r="A3019" s="3">
        <v>2017.0</v>
      </c>
      <c r="B3019" s="4" t="s">
        <v>1905</v>
      </c>
      <c r="C3019" s="4">
        <v>200.0</v>
      </c>
      <c r="D3019" s="4" t="s">
        <v>3</v>
      </c>
    </row>
    <row r="3020">
      <c r="A3020" s="3">
        <v>2017.0</v>
      </c>
      <c r="B3020" s="4" t="s">
        <v>1907</v>
      </c>
      <c r="C3020" s="4">
        <v>12000.0</v>
      </c>
      <c r="D3020" s="4"/>
    </row>
    <row r="3021">
      <c r="A3021" s="3">
        <v>2017.0</v>
      </c>
      <c r="B3021" s="4" t="s">
        <v>1908</v>
      </c>
      <c r="C3021" s="4">
        <v>0.0</v>
      </c>
      <c r="D3021" s="4" t="s">
        <v>3</v>
      </c>
    </row>
    <row r="3022">
      <c r="A3022" s="3">
        <v>2017.0</v>
      </c>
      <c r="B3022" s="4" t="s">
        <v>1909</v>
      </c>
      <c r="C3022" s="4">
        <v>0.0</v>
      </c>
      <c r="D3022" s="4" t="s">
        <v>3</v>
      </c>
    </row>
    <row r="3023">
      <c r="A3023" s="3">
        <v>2017.0</v>
      </c>
      <c r="B3023" s="4" t="s">
        <v>2983</v>
      </c>
      <c r="C3023" s="4">
        <v>0.0</v>
      </c>
      <c r="D3023" s="4" t="s">
        <v>3</v>
      </c>
    </row>
    <row r="3024">
      <c r="A3024" s="3">
        <v>2017.0</v>
      </c>
      <c r="B3024" s="4" t="s">
        <v>2984</v>
      </c>
      <c r="C3024" s="4">
        <v>0.0</v>
      </c>
      <c r="D3024" s="4" t="s">
        <v>3</v>
      </c>
    </row>
    <row r="3025">
      <c r="A3025" s="3">
        <v>2017.0</v>
      </c>
      <c r="B3025" s="4" t="s">
        <v>2985</v>
      </c>
      <c r="C3025" s="4">
        <v>0.0</v>
      </c>
      <c r="D3025" s="4" t="s">
        <v>3</v>
      </c>
    </row>
    <row r="3026">
      <c r="A3026" s="3">
        <v>2017.0</v>
      </c>
      <c r="B3026" s="4" t="s">
        <v>1914</v>
      </c>
      <c r="C3026" s="4">
        <v>200.0</v>
      </c>
      <c r="D3026" s="4"/>
    </row>
    <row r="3027">
      <c r="A3027" s="3">
        <v>2017.0</v>
      </c>
      <c r="B3027" s="4" t="s">
        <v>2986</v>
      </c>
      <c r="C3027" s="4">
        <v>0.0</v>
      </c>
      <c r="D3027" s="4" t="s">
        <v>2377</v>
      </c>
    </row>
    <row r="3028">
      <c r="A3028" s="3">
        <v>2017.0</v>
      </c>
      <c r="B3028" s="4" t="s">
        <v>1916</v>
      </c>
      <c r="C3028" s="4">
        <v>0.0</v>
      </c>
      <c r="D3028" s="4" t="s">
        <v>3</v>
      </c>
    </row>
    <row r="3029">
      <c r="A3029" s="3">
        <v>2017.0</v>
      </c>
      <c r="B3029" s="4" t="s">
        <v>2987</v>
      </c>
      <c r="C3029" s="4">
        <v>0.0</v>
      </c>
      <c r="D3029" s="4" t="s">
        <v>29</v>
      </c>
    </row>
    <row r="3030">
      <c r="A3030" s="3">
        <v>2017.0</v>
      </c>
      <c r="B3030" s="4" t="s">
        <v>1918</v>
      </c>
      <c r="C3030" s="4">
        <v>80300.0</v>
      </c>
      <c r="D3030" s="4" t="s">
        <v>2368</v>
      </c>
    </row>
    <row r="3031">
      <c r="A3031" s="3">
        <v>2017.0</v>
      </c>
      <c r="B3031" s="4" t="s">
        <v>2988</v>
      </c>
      <c r="C3031" s="4">
        <v>15600.0</v>
      </c>
      <c r="D3031" s="4" t="s">
        <v>2508</v>
      </c>
    </row>
    <row r="3032">
      <c r="A3032" s="3">
        <v>2017.0</v>
      </c>
      <c r="B3032" s="4" t="s">
        <v>2313</v>
      </c>
      <c r="C3032" s="4">
        <v>5300.0</v>
      </c>
      <c r="D3032" s="4"/>
    </row>
    <row r="3033">
      <c r="A3033" s="3">
        <v>2017.0</v>
      </c>
      <c r="B3033" s="4" t="s">
        <v>2315</v>
      </c>
      <c r="C3033" s="4">
        <v>8000.0</v>
      </c>
      <c r="D3033" s="4"/>
    </row>
    <row r="3034">
      <c r="A3034" s="3">
        <v>2017.0</v>
      </c>
      <c r="B3034" s="4" t="s">
        <v>1931</v>
      </c>
      <c r="C3034" s="4">
        <v>500.0</v>
      </c>
      <c r="D3034" s="4" t="s">
        <v>3</v>
      </c>
    </row>
    <row r="3035">
      <c r="A3035" s="3">
        <v>2017.0</v>
      </c>
      <c r="B3035" s="4" t="s">
        <v>2316</v>
      </c>
      <c r="C3035" s="4">
        <v>400.0</v>
      </c>
      <c r="D3035" s="4"/>
    </row>
    <row r="3036">
      <c r="A3036" s="3">
        <v>2017.0</v>
      </c>
      <c r="B3036" s="4" t="s">
        <v>2317</v>
      </c>
      <c r="C3036" s="4">
        <v>500.0</v>
      </c>
      <c r="D3036" s="4"/>
    </row>
    <row r="3037">
      <c r="A3037" s="3">
        <v>2017.0</v>
      </c>
      <c r="B3037" s="4" t="s">
        <v>2989</v>
      </c>
      <c r="C3037" s="4">
        <v>0.0</v>
      </c>
      <c r="D3037" s="4" t="s">
        <v>3</v>
      </c>
    </row>
    <row r="3038">
      <c r="A3038" s="3">
        <v>2017.0</v>
      </c>
      <c r="B3038" s="4" t="s">
        <v>1937</v>
      </c>
      <c r="C3038" s="4">
        <v>0.0</v>
      </c>
      <c r="D3038" s="4" t="s">
        <v>3</v>
      </c>
    </row>
    <row r="3039">
      <c r="A3039" s="3">
        <v>2017.0</v>
      </c>
      <c r="B3039" s="4" t="s">
        <v>2990</v>
      </c>
      <c r="C3039" s="4">
        <v>3000.0</v>
      </c>
      <c r="D3039" s="4"/>
    </row>
    <row r="3040">
      <c r="A3040" s="3">
        <v>2017.0</v>
      </c>
      <c r="B3040" s="4" t="s">
        <v>2991</v>
      </c>
      <c r="C3040" s="4">
        <v>0.0</v>
      </c>
      <c r="D3040" s="4" t="s">
        <v>3</v>
      </c>
    </row>
    <row r="3041">
      <c r="A3041" s="3">
        <v>2017.0</v>
      </c>
      <c r="B3041" s="4" t="s">
        <v>1938</v>
      </c>
      <c r="C3041" s="4">
        <v>6075.0</v>
      </c>
      <c r="D3041" s="4"/>
    </row>
    <row r="3042">
      <c r="A3042" s="3">
        <v>2017.0</v>
      </c>
      <c r="B3042" s="4" t="s">
        <v>2992</v>
      </c>
      <c r="C3042" s="4">
        <v>0.0</v>
      </c>
      <c r="D3042" s="4" t="s">
        <v>6</v>
      </c>
    </row>
    <row r="3043">
      <c r="A3043" s="3">
        <v>2017.0</v>
      </c>
      <c r="B3043" s="4" t="s">
        <v>2319</v>
      </c>
      <c r="C3043" s="4">
        <v>0.0</v>
      </c>
      <c r="D3043" s="4" t="s">
        <v>3</v>
      </c>
    </row>
    <row r="3044">
      <c r="A3044" s="3">
        <v>2017.0</v>
      </c>
      <c r="B3044" s="4" t="s">
        <v>2993</v>
      </c>
      <c r="C3044" s="4">
        <v>0.0</v>
      </c>
      <c r="D3044" s="4" t="s">
        <v>3</v>
      </c>
    </row>
    <row r="3045">
      <c r="A3045" s="3">
        <v>2017.0</v>
      </c>
      <c r="B3045" s="4" t="s">
        <v>2994</v>
      </c>
      <c r="C3045" s="4">
        <v>0.0</v>
      </c>
      <c r="D3045" s="4" t="s">
        <v>3</v>
      </c>
    </row>
    <row r="3046">
      <c r="A3046" s="3">
        <v>2017.0</v>
      </c>
      <c r="B3046" s="4" t="s">
        <v>1944</v>
      </c>
      <c r="C3046" s="4">
        <v>500.0</v>
      </c>
      <c r="D3046" s="4"/>
    </row>
    <row r="3047">
      <c r="A3047" s="3">
        <v>2017.0</v>
      </c>
      <c r="B3047" s="4" t="s">
        <v>2320</v>
      </c>
      <c r="C3047" s="4">
        <v>0.0</v>
      </c>
      <c r="D3047" s="4" t="s">
        <v>3</v>
      </c>
    </row>
    <row r="3048">
      <c r="A3048" s="3">
        <v>2017.0</v>
      </c>
      <c r="B3048" s="4" t="s">
        <v>2321</v>
      </c>
      <c r="C3048" s="4">
        <v>400.0</v>
      </c>
      <c r="D3048" s="4" t="s">
        <v>3</v>
      </c>
    </row>
    <row r="3049">
      <c r="A3049" s="3">
        <v>2017.0</v>
      </c>
      <c r="B3049" s="4" t="s">
        <v>2322</v>
      </c>
      <c r="C3049" s="4">
        <v>0.0</v>
      </c>
      <c r="D3049" s="4" t="s">
        <v>3</v>
      </c>
    </row>
    <row r="3050">
      <c r="A3050" s="3">
        <v>2017.0</v>
      </c>
      <c r="B3050" s="4" t="s">
        <v>2322</v>
      </c>
      <c r="C3050" s="4">
        <v>950.0</v>
      </c>
      <c r="D3050" s="4"/>
    </row>
    <row r="3051">
      <c r="A3051" s="3">
        <v>2017.0</v>
      </c>
      <c r="B3051" s="4" t="s">
        <v>2995</v>
      </c>
      <c r="C3051" s="4">
        <v>0.0</v>
      </c>
      <c r="D3051" s="4" t="s">
        <v>3</v>
      </c>
    </row>
    <row r="3052">
      <c r="A3052" s="3">
        <v>2017.0</v>
      </c>
      <c r="B3052" s="4" t="s">
        <v>2323</v>
      </c>
      <c r="C3052" s="4">
        <v>750.0</v>
      </c>
      <c r="D3052" s="4"/>
    </row>
    <row r="3053">
      <c r="A3053" s="3">
        <v>2017.0</v>
      </c>
      <c r="B3053" s="4" t="s">
        <v>2996</v>
      </c>
      <c r="C3053" s="4">
        <v>0.0</v>
      </c>
      <c r="D3053" s="4" t="s">
        <v>3</v>
      </c>
    </row>
    <row r="3054">
      <c r="A3054" s="3">
        <v>2017.0</v>
      </c>
      <c r="B3054" s="4" t="s">
        <v>2324</v>
      </c>
      <c r="C3054" s="4">
        <v>1500.0</v>
      </c>
      <c r="D3054" s="4" t="s">
        <v>3</v>
      </c>
    </row>
    <row r="3055">
      <c r="A3055" s="3">
        <v>2017.0</v>
      </c>
      <c r="B3055" s="4" t="s">
        <v>2997</v>
      </c>
      <c r="C3055" s="4">
        <v>0.0</v>
      </c>
      <c r="D3055" s="4" t="s">
        <v>3</v>
      </c>
    </row>
    <row r="3056">
      <c r="A3056" s="3">
        <v>2017.0</v>
      </c>
      <c r="B3056" s="4" t="s">
        <v>2326</v>
      </c>
      <c r="C3056" s="4">
        <v>750595.0</v>
      </c>
      <c r="D3056" s="4" t="s">
        <v>2370</v>
      </c>
    </row>
    <row r="3057">
      <c r="A3057" s="3">
        <v>2017.0</v>
      </c>
      <c r="B3057" s="4" t="s">
        <v>2327</v>
      </c>
      <c r="C3057" s="4">
        <v>1495999.0</v>
      </c>
      <c r="D3057" s="4" t="s">
        <v>2370</v>
      </c>
    </row>
    <row r="3058">
      <c r="A3058" s="3">
        <v>2017.0</v>
      </c>
      <c r="B3058" s="4" t="s">
        <v>2328</v>
      </c>
      <c r="C3058" s="4">
        <v>17000.0</v>
      </c>
      <c r="D3058" s="4" t="s">
        <v>29</v>
      </c>
    </row>
    <row r="3059">
      <c r="A3059" s="3">
        <v>2017.0</v>
      </c>
      <c r="B3059" s="4" t="s">
        <v>2329</v>
      </c>
      <c r="C3059" s="4">
        <v>980549.0</v>
      </c>
      <c r="D3059" s="4" t="s">
        <v>2370</v>
      </c>
    </row>
    <row r="3060">
      <c r="A3060" s="3">
        <v>2017.0</v>
      </c>
      <c r="B3060" s="4" t="s">
        <v>1967</v>
      </c>
      <c r="C3060" s="4">
        <v>105000.0</v>
      </c>
      <c r="D3060" s="4" t="s">
        <v>3</v>
      </c>
    </row>
    <row r="3061">
      <c r="A3061" s="3">
        <v>2017.0</v>
      </c>
      <c r="B3061" s="4" t="s">
        <v>1969</v>
      </c>
      <c r="C3061" s="4">
        <v>4000.0</v>
      </c>
      <c r="D3061" s="4"/>
    </row>
    <row r="3062">
      <c r="A3062" s="3">
        <v>2017.0</v>
      </c>
      <c r="B3062" s="4" t="s">
        <v>1970</v>
      </c>
      <c r="C3062" s="4">
        <v>0.0</v>
      </c>
      <c r="D3062" s="4" t="s">
        <v>3</v>
      </c>
    </row>
    <row r="3063">
      <c r="A3063" s="3">
        <v>2017.0</v>
      </c>
      <c r="B3063" s="4" t="s">
        <v>1974</v>
      </c>
      <c r="C3063" s="4">
        <v>0.0</v>
      </c>
      <c r="D3063" s="4" t="s">
        <v>3</v>
      </c>
    </row>
    <row r="3064">
      <c r="A3064" s="3">
        <v>2017.0</v>
      </c>
      <c r="B3064" s="4" t="s">
        <v>1976</v>
      </c>
      <c r="C3064" s="4">
        <v>40250.0</v>
      </c>
      <c r="D3064" s="4" t="s">
        <v>6</v>
      </c>
    </row>
    <row r="3065">
      <c r="A3065" s="3">
        <v>2017.0</v>
      </c>
      <c r="B3065" s="4" t="s">
        <v>2998</v>
      </c>
      <c r="C3065" s="4">
        <v>4940.0</v>
      </c>
      <c r="D3065" s="4"/>
    </row>
    <row r="3066">
      <c r="A3066" s="3">
        <v>2017.0</v>
      </c>
      <c r="B3066" s="4" t="s">
        <v>1980</v>
      </c>
      <c r="C3066" s="4">
        <v>3558.0</v>
      </c>
      <c r="D3066" s="4"/>
    </row>
    <row r="3067">
      <c r="A3067" s="3">
        <v>2017.0</v>
      </c>
      <c r="B3067" s="4" t="s">
        <v>2999</v>
      </c>
      <c r="C3067" s="4">
        <v>1500.0</v>
      </c>
      <c r="D3067" s="4" t="s">
        <v>3</v>
      </c>
    </row>
    <row r="3068">
      <c r="A3068" s="3">
        <v>2017.0</v>
      </c>
      <c r="B3068" s="4" t="s">
        <v>1983</v>
      </c>
      <c r="C3068" s="4">
        <v>0.0</v>
      </c>
      <c r="D3068" s="4" t="s">
        <v>6</v>
      </c>
    </row>
    <row r="3069">
      <c r="A3069" s="3">
        <v>2017.0</v>
      </c>
      <c r="B3069" s="4" t="s">
        <v>1984</v>
      </c>
      <c r="C3069" s="4">
        <v>0.0</v>
      </c>
      <c r="D3069" s="4" t="s">
        <v>3</v>
      </c>
    </row>
    <row r="3070">
      <c r="A3070" s="3">
        <v>2017.0</v>
      </c>
      <c r="B3070" s="4" t="s">
        <v>3000</v>
      </c>
      <c r="C3070" s="4">
        <v>0.0</v>
      </c>
      <c r="D3070" s="4" t="s">
        <v>3</v>
      </c>
    </row>
    <row r="3071">
      <c r="A3071" s="3">
        <v>2017.0</v>
      </c>
      <c r="B3071" s="4" t="s">
        <v>3001</v>
      </c>
      <c r="C3071" s="4">
        <v>0.0</v>
      </c>
      <c r="D3071" s="4" t="s">
        <v>29</v>
      </c>
    </row>
    <row r="3072">
      <c r="A3072" s="3">
        <v>2017.0</v>
      </c>
      <c r="B3072" s="4" t="s">
        <v>1989</v>
      </c>
      <c r="C3072" s="4">
        <v>3000.0</v>
      </c>
      <c r="D3072" s="4" t="s">
        <v>176</v>
      </c>
    </row>
    <row r="3073">
      <c r="A3073" s="3">
        <v>2017.0</v>
      </c>
      <c r="B3073" s="4" t="s">
        <v>1991</v>
      </c>
      <c r="C3073" s="4">
        <v>700.0</v>
      </c>
      <c r="D3073" s="4"/>
    </row>
    <row r="3074">
      <c r="A3074" s="3">
        <v>2017.0</v>
      </c>
      <c r="B3074" s="4" t="s">
        <v>3002</v>
      </c>
      <c r="C3074" s="4">
        <v>0.0</v>
      </c>
      <c r="D3074" s="4" t="s">
        <v>3</v>
      </c>
    </row>
    <row r="3075">
      <c r="A3075" s="3">
        <v>2017.0</v>
      </c>
      <c r="B3075" s="4" t="s">
        <v>3003</v>
      </c>
      <c r="C3075" s="4">
        <v>0.0</v>
      </c>
      <c r="D3075" s="4" t="s">
        <v>3</v>
      </c>
    </row>
    <row r="3076">
      <c r="A3076" s="3">
        <v>2017.0</v>
      </c>
      <c r="B3076" s="4" t="s">
        <v>1995</v>
      </c>
      <c r="C3076" s="4">
        <v>0.0</v>
      </c>
      <c r="D3076" s="4" t="s">
        <v>2377</v>
      </c>
    </row>
    <row r="3077">
      <c r="A3077" s="3">
        <v>2017.0</v>
      </c>
      <c r="B3077" s="4" t="s">
        <v>1996</v>
      </c>
      <c r="C3077" s="4">
        <v>500.0</v>
      </c>
      <c r="D3077" s="4" t="s">
        <v>3</v>
      </c>
    </row>
    <row r="3078">
      <c r="A3078" s="3">
        <v>2017.0</v>
      </c>
      <c r="B3078" s="4" t="s">
        <v>1997</v>
      </c>
      <c r="C3078" s="4">
        <v>0.0</v>
      </c>
      <c r="D3078" s="4" t="s">
        <v>6</v>
      </c>
    </row>
    <row r="3079">
      <c r="A3079" s="3">
        <v>2017.0</v>
      </c>
      <c r="B3079" s="4" t="s">
        <v>2331</v>
      </c>
      <c r="C3079" s="4">
        <v>126000.0</v>
      </c>
      <c r="D3079" s="4" t="s">
        <v>2447</v>
      </c>
    </row>
    <row r="3080">
      <c r="A3080" s="3">
        <v>2017.0</v>
      </c>
      <c r="B3080" s="4" t="s">
        <v>2001</v>
      </c>
      <c r="C3080" s="4">
        <v>0.0</v>
      </c>
      <c r="D3080" s="4" t="s">
        <v>6</v>
      </c>
    </row>
    <row r="3081">
      <c r="A3081" s="3">
        <v>2017.0</v>
      </c>
      <c r="B3081" s="4" t="s">
        <v>2002</v>
      </c>
      <c r="C3081" s="4">
        <v>9800.0</v>
      </c>
      <c r="D3081" s="4" t="s">
        <v>6</v>
      </c>
    </row>
    <row r="3082">
      <c r="A3082" s="3">
        <v>2017.0</v>
      </c>
      <c r="B3082" s="4" t="s">
        <v>2004</v>
      </c>
      <c r="C3082" s="4">
        <v>0.0</v>
      </c>
      <c r="D3082" s="4" t="s">
        <v>3</v>
      </c>
    </row>
    <row r="3083">
      <c r="A3083" s="3">
        <v>2017.0</v>
      </c>
      <c r="B3083" s="4" t="s">
        <v>2005</v>
      </c>
      <c r="C3083" s="4">
        <v>0.0</v>
      </c>
      <c r="D3083" s="4" t="s">
        <v>3</v>
      </c>
    </row>
    <row r="3084">
      <c r="A3084" s="3">
        <v>2017.0</v>
      </c>
      <c r="B3084" s="4" t="s">
        <v>2332</v>
      </c>
      <c r="C3084" s="4">
        <v>500.0</v>
      </c>
      <c r="D3084" s="4" t="s">
        <v>3</v>
      </c>
    </row>
    <row r="3085">
      <c r="A3085" s="3">
        <v>2017.0</v>
      </c>
      <c r="B3085" s="4" t="s">
        <v>2008</v>
      </c>
      <c r="C3085" s="4">
        <v>0.0</v>
      </c>
      <c r="D3085" s="4" t="s">
        <v>2377</v>
      </c>
    </row>
    <row r="3086">
      <c r="A3086" s="3">
        <v>2017.0</v>
      </c>
      <c r="B3086" s="4" t="s">
        <v>2009</v>
      </c>
      <c r="C3086" s="4">
        <v>5000.0</v>
      </c>
      <c r="D3086" s="4" t="s">
        <v>6</v>
      </c>
    </row>
    <row r="3087">
      <c r="A3087" s="3">
        <v>2017.0</v>
      </c>
      <c r="B3087" s="4" t="s">
        <v>2011</v>
      </c>
      <c r="C3087" s="4">
        <v>1500.0</v>
      </c>
      <c r="D3087" s="4" t="s">
        <v>3</v>
      </c>
    </row>
    <row r="3088">
      <c r="A3088" s="3">
        <v>2017.0</v>
      </c>
      <c r="B3088" s="4" t="s">
        <v>3004</v>
      </c>
      <c r="C3088" s="4">
        <v>0.0</v>
      </c>
      <c r="D3088" s="4" t="s">
        <v>3</v>
      </c>
    </row>
    <row r="3089">
      <c r="A3089" s="3">
        <v>2017.0</v>
      </c>
      <c r="B3089" s="4" t="s">
        <v>3005</v>
      </c>
      <c r="C3089" s="4">
        <v>0.0</v>
      </c>
      <c r="D3089" s="4" t="s">
        <v>29</v>
      </c>
    </row>
    <row r="3090">
      <c r="A3090" s="3">
        <v>2017.0</v>
      </c>
      <c r="B3090" s="4" t="s">
        <v>3006</v>
      </c>
      <c r="C3090" s="4">
        <v>7000.0</v>
      </c>
      <c r="D3090" s="4" t="s">
        <v>3</v>
      </c>
    </row>
    <row r="3091">
      <c r="A3091" s="3">
        <v>2017.0</v>
      </c>
      <c r="B3091" s="4" t="s">
        <v>2017</v>
      </c>
      <c r="C3091" s="4">
        <v>500.0</v>
      </c>
      <c r="D3091" s="4" t="s">
        <v>3</v>
      </c>
    </row>
    <row r="3092">
      <c r="A3092" s="3">
        <v>2017.0</v>
      </c>
      <c r="B3092" s="4" t="s">
        <v>3007</v>
      </c>
      <c r="C3092" s="4">
        <v>0.0</v>
      </c>
      <c r="D3092" s="4" t="s">
        <v>3</v>
      </c>
    </row>
    <row r="3093">
      <c r="A3093" s="3">
        <v>2017.0</v>
      </c>
      <c r="B3093" s="4" t="s">
        <v>2018</v>
      </c>
      <c r="C3093" s="4">
        <v>5000.0</v>
      </c>
      <c r="D3093" s="4" t="s">
        <v>3</v>
      </c>
    </row>
    <row r="3094">
      <c r="A3094" s="3">
        <v>2017.0</v>
      </c>
      <c r="B3094" s="4" t="s">
        <v>3008</v>
      </c>
      <c r="C3094" s="4">
        <v>1000.0</v>
      </c>
      <c r="D3094" s="4" t="s">
        <v>3</v>
      </c>
    </row>
    <row r="3095">
      <c r="A3095" s="3">
        <v>2017.0</v>
      </c>
      <c r="B3095" s="4" t="s">
        <v>3009</v>
      </c>
      <c r="C3095" s="4">
        <v>0.0</v>
      </c>
      <c r="D3095" s="4" t="s">
        <v>29</v>
      </c>
    </row>
    <row r="3096">
      <c r="A3096" s="3">
        <v>2017.0</v>
      </c>
      <c r="B3096" s="4" t="s">
        <v>3010</v>
      </c>
      <c r="C3096" s="4">
        <v>2000.0</v>
      </c>
      <c r="D3096" s="4"/>
    </row>
    <row r="3097">
      <c r="A3097" s="3">
        <v>2017.0</v>
      </c>
      <c r="B3097" s="4" t="s">
        <v>3011</v>
      </c>
      <c r="C3097" s="4">
        <v>0.0</v>
      </c>
      <c r="D3097" s="4" t="s">
        <v>6</v>
      </c>
    </row>
    <row r="3098">
      <c r="A3098" s="3">
        <v>2017.0</v>
      </c>
      <c r="B3098" s="4" t="s">
        <v>3012</v>
      </c>
      <c r="C3098" s="4">
        <v>300.0</v>
      </c>
      <c r="D3098" s="4"/>
    </row>
    <row r="3099">
      <c r="A3099" s="3">
        <v>2017.0</v>
      </c>
      <c r="B3099" s="4" t="s">
        <v>2022</v>
      </c>
      <c r="C3099" s="4">
        <v>21000.0</v>
      </c>
      <c r="D3099" s="4" t="s">
        <v>2377</v>
      </c>
    </row>
    <row r="3100">
      <c r="A3100" s="3">
        <v>2017.0</v>
      </c>
      <c r="B3100" s="4" t="s">
        <v>2333</v>
      </c>
      <c r="C3100" s="4">
        <v>11800.0</v>
      </c>
      <c r="D3100" s="4" t="s">
        <v>3</v>
      </c>
    </row>
    <row r="3101">
      <c r="A3101" s="3">
        <v>2017.0</v>
      </c>
      <c r="B3101" s="4" t="s">
        <v>2025</v>
      </c>
      <c r="C3101" s="4">
        <v>0.0</v>
      </c>
      <c r="D3101" s="4" t="s">
        <v>2377</v>
      </c>
    </row>
    <row r="3102">
      <c r="A3102" s="3">
        <v>2017.0</v>
      </c>
      <c r="B3102" s="4" t="s">
        <v>2026</v>
      </c>
      <c r="C3102" s="4">
        <v>0.0</v>
      </c>
      <c r="D3102" s="4" t="s">
        <v>3</v>
      </c>
    </row>
    <row r="3103">
      <c r="A3103" s="3">
        <v>2017.0</v>
      </c>
      <c r="B3103" s="4" t="s">
        <v>3013</v>
      </c>
      <c r="C3103" s="4">
        <v>0.0</v>
      </c>
      <c r="D3103" s="4" t="s">
        <v>3</v>
      </c>
    </row>
    <row r="3104">
      <c r="A3104" s="3">
        <v>2017.0</v>
      </c>
      <c r="B3104" s="4" t="s">
        <v>2028</v>
      </c>
      <c r="C3104" s="4">
        <v>0.0</v>
      </c>
      <c r="D3104" s="4" t="s">
        <v>29</v>
      </c>
    </row>
    <row r="3105">
      <c r="A3105" s="3">
        <v>2017.0</v>
      </c>
      <c r="B3105" s="4" t="s">
        <v>2029</v>
      </c>
      <c r="C3105" s="4">
        <v>0.0</v>
      </c>
      <c r="D3105" s="4" t="s">
        <v>29</v>
      </c>
    </row>
    <row r="3106">
      <c r="A3106" s="3">
        <v>2017.0</v>
      </c>
      <c r="B3106" s="4" t="s">
        <v>3014</v>
      </c>
      <c r="C3106" s="4">
        <v>3000.0</v>
      </c>
      <c r="D3106" s="4"/>
    </row>
    <row r="3107">
      <c r="A3107" s="3">
        <v>2017.0</v>
      </c>
      <c r="B3107" s="4" t="s">
        <v>2030</v>
      </c>
      <c r="C3107" s="4">
        <v>17000.0</v>
      </c>
      <c r="D3107" s="4" t="s">
        <v>3</v>
      </c>
    </row>
    <row r="3108">
      <c r="A3108" s="3">
        <v>2017.0</v>
      </c>
      <c r="B3108" s="4" t="s">
        <v>2031</v>
      </c>
      <c r="C3108" s="4">
        <v>14000.0</v>
      </c>
      <c r="D3108" s="4"/>
    </row>
    <row r="3109">
      <c r="A3109" s="3">
        <v>2017.0</v>
      </c>
      <c r="B3109" s="4" t="s">
        <v>3015</v>
      </c>
      <c r="C3109" s="4">
        <v>0.0</v>
      </c>
      <c r="D3109" s="4" t="s">
        <v>3</v>
      </c>
    </row>
    <row r="3110">
      <c r="A3110" s="3">
        <v>2017.0</v>
      </c>
      <c r="B3110" s="4" t="s">
        <v>2334</v>
      </c>
      <c r="C3110" s="4">
        <v>5000.0</v>
      </c>
      <c r="D3110" s="4"/>
    </row>
    <row r="3111">
      <c r="A3111" s="3">
        <v>2017.0</v>
      </c>
      <c r="B3111" s="4" t="s">
        <v>3016</v>
      </c>
      <c r="C3111" s="4">
        <v>0.0</v>
      </c>
      <c r="D3111" s="4" t="s">
        <v>6</v>
      </c>
    </row>
    <row r="3112">
      <c r="A3112" s="3">
        <v>2017.0</v>
      </c>
      <c r="B3112" s="4" t="s">
        <v>673</v>
      </c>
      <c r="C3112" s="4">
        <v>0.0</v>
      </c>
      <c r="D3112" s="4" t="s">
        <v>29</v>
      </c>
    </row>
    <row r="3113">
      <c r="A3113" s="3">
        <v>2017.0</v>
      </c>
      <c r="B3113" s="4" t="s">
        <v>3017</v>
      </c>
      <c r="C3113" s="4">
        <v>0.0</v>
      </c>
      <c r="D3113" s="4" t="s">
        <v>6</v>
      </c>
    </row>
    <row r="3114">
      <c r="A3114" s="3">
        <v>2017.0</v>
      </c>
      <c r="B3114" s="4" t="s">
        <v>3018</v>
      </c>
      <c r="C3114" s="4">
        <v>0.0</v>
      </c>
      <c r="D3114" s="4" t="s">
        <v>668</v>
      </c>
    </row>
    <row r="3115">
      <c r="A3115" s="3">
        <v>2017.0</v>
      </c>
      <c r="B3115" s="4" t="s">
        <v>1253</v>
      </c>
      <c r="C3115" s="4">
        <v>0.0</v>
      </c>
      <c r="D3115" s="4" t="s">
        <v>6</v>
      </c>
    </row>
    <row r="3116">
      <c r="A3116" s="3">
        <v>2017.0</v>
      </c>
      <c r="B3116" s="4" t="s">
        <v>1327</v>
      </c>
      <c r="C3116" s="4">
        <v>0.0</v>
      </c>
      <c r="D3116" s="4" t="s">
        <v>6</v>
      </c>
    </row>
    <row r="3117">
      <c r="A3117" s="3">
        <v>2017.0</v>
      </c>
      <c r="B3117" s="4" t="s">
        <v>3019</v>
      </c>
      <c r="C3117" s="4">
        <v>0.0</v>
      </c>
      <c r="D3117" s="4" t="s">
        <v>668</v>
      </c>
    </row>
    <row r="3118">
      <c r="A3118" s="3">
        <v>2017.0</v>
      </c>
      <c r="B3118" s="4" t="s">
        <v>3020</v>
      </c>
      <c r="C3118" s="4">
        <v>0.0</v>
      </c>
      <c r="D3118" s="4" t="s">
        <v>6</v>
      </c>
    </row>
    <row r="3119">
      <c r="A3119" s="3">
        <v>2017.0</v>
      </c>
      <c r="B3119" s="4" t="s">
        <v>3021</v>
      </c>
      <c r="C3119" s="4">
        <v>0.0</v>
      </c>
      <c r="D3119" s="4" t="s">
        <v>668</v>
      </c>
    </row>
    <row r="3120">
      <c r="A3120" s="3">
        <v>2017.0</v>
      </c>
      <c r="B3120" s="4" t="s">
        <v>1888</v>
      </c>
      <c r="C3120" s="4">
        <v>1660153.0</v>
      </c>
      <c r="D3120" s="4" t="s">
        <v>668</v>
      </c>
    </row>
    <row r="3121">
      <c r="A3121" s="3">
        <v>2017.0</v>
      </c>
      <c r="B3121" s="4" t="s">
        <v>3022</v>
      </c>
      <c r="C3121" s="4">
        <v>0.0</v>
      </c>
      <c r="D3121" s="4" t="s">
        <v>29</v>
      </c>
    </row>
    <row r="3122">
      <c r="A3122" s="3">
        <v>2017.0</v>
      </c>
      <c r="B3122" s="4" t="s">
        <v>3023</v>
      </c>
      <c r="C3122" s="4">
        <v>0.0</v>
      </c>
      <c r="D3122" s="4" t="s">
        <v>3</v>
      </c>
    </row>
    <row r="3123">
      <c r="A3123" s="3">
        <v>2017.0</v>
      </c>
      <c r="B3123" s="4" t="s">
        <v>1132</v>
      </c>
      <c r="C3123" s="4">
        <v>0.0</v>
      </c>
      <c r="D3123" s="4" t="s">
        <v>6</v>
      </c>
    </row>
    <row r="3124">
      <c r="A3124" s="3">
        <v>2017.0</v>
      </c>
      <c r="B3124" s="4" t="s">
        <v>3024</v>
      </c>
      <c r="C3124" s="4">
        <v>0.0</v>
      </c>
      <c r="D3124" s="4" t="s">
        <v>29</v>
      </c>
    </row>
    <row r="3125">
      <c r="A3125" s="3">
        <v>2017.0</v>
      </c>
      <c r="B3125" s="4" t="s">
        <v>3025</v>
      </c>
      <c r="C3125" s="4">
        <v>0.0</v>
      </c>
      <c r="D3125" s="4" t="s">
        <v>3</v>
      </c>
    </row>
    <row r="3126">
      <c r="A3126" s="3">
        <v>2017.0</v>
      </c>
      <c r="B3126" s="4" t="s">
        <v>3026</v>
      </c>
      <c r="C3126" s="4">
        <v>0.0</v>
      </c>
      <c r="D3126" s="4" t="s">
        <v>29</v>
      </c>
    </row>
    <row r="3127">
      <c r="A3127" s="3">
        <v>2017.0</v>
      </c>
      <c r="B3127" s="4" t="s">
        <v>283</v>
      </c>
      <c r="C3127" s="4">
        <v>5000.0</v>
      </c>
      <c r="D3127" s="4"/>
    </row>
    <row r="3128">
      <c r="A3128" s="3">
        <v>2017.0</v>
      </c>
      <c r="B3128" s="4" t="s">
        <v>2045</v>
      </c>
      <c r="C3128" s="4">
        <v>53250.0</v>
      </c>
      <c r="D3128" s="4" t="s">
        <v>2377</v>
      </c>
    </row>
    <row r="3129">
      <c r="A3129" s="3">
        <v>2017.0</v>
      </c>
      <c r="B3129" s="4" t="s">
        <v>2047</v>
      </c>
      <c r="C3129" s="4">
        <v>7000.0</v>
      </c>
      <c r="D3129" s="4"/>
    </row>
    <row r="3130">
      <c r="A3130" s="3">
        <v>2017.0</v>
      </c>
      <c r="B3130" s="4" t="s">
        <v>1257</v>
      </c>
      <c r="C3130" s="4">
        <v>0.0</v>
      </c>
      <c r="D3130" s="4" t="s">
        <v>29</v>
      </c>
    </row>
    <row r="3131">
      <c r="A3131" s="3">
        <v>2017.0</v>
      </c>
      <c r="B3131" s="4" t="s">
        <v>2049</v>
      </c>
      <c r="C3131" s="4">
        <v>13003.28</v>
      </c>
      <c r="D3131" s="4"/>
    </row>
    <row r="3132">
      <c r="A3132" s="3">
        <v>2017.0</v>
      </c>
      <c r="B3132" s="4" t="s">
        <v>2051</v>
      </c>
      <c r="C3132" s="4">
        <v>44521.21</v>
      </c>
      <c r="D3132" s="4"/>
    </row>
    <row r="3133">
      <c r="A3133" s="3">
        <v>2017.0</v>
      </c>
      <c r="B3133" s="4" t="s">
        <v>2053</v>
      </c>
      <c r="C3133" s="4">
        <v>1.6115663E7</v>
      </c>
      <c r="D3133" s="4"/>
    </row>
    <row r="3134">
      <c r="A3134" s="3">
        <v>2017.0</v>
      </c>
      <c r="B3134" s="4" t="s">
        <v>3027</v>
      </c>
      <c r="C3134" s="4">
        <v>6700.0</v>
      </c>
      <c r="D3134" s="4" t="s">
        <v>3028</v>
      </c>
    </row>
    <row r="3135">
      <c r="A3135" s="3">
        <v>2017.0</v>
      </c>
      <c r="B3135" s="4" t="s">
        <v>2057</v>
      </c>
      <c r="C3135" s="4">
        <v>7823937.0</v>
      </c>
      <c r="D3135" s="4"/>
    </row>
    <row r="3136">
      <c r="A3136" s="3">
        <v>2017.0</v>
      </c>
      <c r="B3136" s="4" t="s">
        <v>3029</v>
      </c>
      <c r="C3136" s="4">
        <v>30000.0</v>
      </c>
      <c r="D3136" s="4"/>
    </row>
    <row r="3137">
      <c r="A3137" s="3">
        <v>2017.0</v>
      </c>
      <c r="B3137" s="4" t="s">
        <v>3030</v>
      </c>
      <c r="C3137" s="4">
        <v>3140000.0</v>
      </c>
      <c r="D3137" s="4"/>
    </row>
    <row r="3138">
      <c r="A3138" s="3">
        <v>2017.0</v>
      </c>
      <c r="B3138" s="4" t="s">
        <v>3031</v>
      </c>
      <c r="C3138" s="4">
        <v>0.0</v>
      </c>
      <c r="D3138" s="4" t="s">
        <v>6</v>
      </c>
    </row>
    <row r="3139">
      <c r="A3139" s="3">
        <v>2017.0</v>
      </c>
      <c r="B3139" s="4" t="s">
        <v>1203</v>
      </c>
      <c r="C3139" s="4">
        <v>290000.0</v>
      </c>
      <c r="D3139" s="4"/>
    </row>
    <row r="3140">
      <c r="A3140" s="3">
        <v>2017.0</v>
      </c>
      <c r="B3140" s="4" t="s">
        <v>3032</v>
      </c>
      <c r="C3140" s="4">
        <v>0.0</v>
      </c>
      <c r="D3140" s="4" t="s">
        <v>668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5.38"/>
    <col customWidth="1" min="2" max="2" width="12.88"/>
    <col customWidth="1" min="4" max="4" width="12.0"/>
    <col customWidth="1" min="5" max="5" width="5.38"/>
  </cols>
  <sheetData>
    <row r="1"/>
    <row r="2">
      <c r="D2" s="11" t="s">
        <v>3035</v>
      </c>
      <c r="E2">
        <f>countif(B2:B2203,"&gt;1")</f>
        <v>936</v>
      </c>
    </row>
    <row r="3">
      <c r="D3" s="11" t="s">
        <v>3036</v>
      </c>
      <c r="E3">
        <f>countif(B3:B2204,"=1")</f>
        <v>1266</v>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sheetData>
  <hyperlinks>
    <hyperlink r:id="rId2" ref="A944"/>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5.38"/>
    <col customWidth="1" min="2" max="2" width="12.88"/>
    <col customWidth="1" min="4" max="4" width="12.0"/>
    <col customWidth="1" min="5" max="5" width="5.38"/>
  </cols>
  <sheetData>
    <row r="1"/>
    <row r="2" hidden="1">
      <c r="G2" s="11" t="s">
        <v>3035</v>
      </c>
      <c r="H2">
        <f>countif(B2:B2203,"&gt;1")</f>
        <v>981</v>
      </c>
    </row>
    <row r="3" hidden="1">
      <c r="G3" s="11" t="s">
        <v>3036</v>
      </c>
      <c r="H3">
        <f>countif(B3:B2204,"=1")</f>
        <v>0</v>
      </c>
    </row>
    <row r="4" hidden="1"/>
    <row r="5" hidden="1"/>
    <row r="6" hidden="1"/>
    <row r="7" hidden="1"/>
    <row r="8"/>
    <row r="9"/>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row r="28" hidden="1"/>
    <row r="29"/>
    <row r="30" hidden="1"/>
    <row r="31" hidden="1"/>
    <row r="32" hidden="1"/>
    <row r="33" hidden="1"/>
    <row r="34" hidden="1"/>
    <row r="35" hidden="1"/>
    <row r="36" hidden="1"/>
    <row r="37" hidden="1"/>
    <row r="38" hidden="1"/>
    <row r="39" hidden="1"/>
    <row r="40" hidden="1"/>
    <row r="41" hidden="1"/>
    <row r="42" hidden="1"/>
    <row r="43"/>
    <row r="44" hidden="1"/>
    <row r="45"/>
    <row r="46" hidden="1"/>
    <row r="47" hidden="1"/>
    <row r="48" hidden="1"/>
    <row r="49"/>
    <row r="50" hidden="1"/>
    <row r="51" hidden="1"/>
    <row r="52"/>
    <row r="53" hidden="1"/>
    <row r="54" hidden="1"/>
    <row r="55" hidden="1"/>
    <row r="56" hidden="1"/>
    <row r="57" hidden="1"/>
    <row r="58" hidden="1"/>
    <row r="59" hidden="1"/>
    <row r="60"/>
    <row r="61"/>
    <row r="62" hidden="1"/>
    <row r="63" hidden="1"/>
    <row r="64" hidden="1"/>
    <row r="65" hidden="1"/>
    <row r="66" hidden="1"/>
    <row r="67"/>
    <row r="68"/>
    <row r="69" hidden="1"/>
    <row r="70"/>
    <row r="71" hidden="1"/>
    <row r="72"/>
    <row r="73" hidden="1"/>
    <row r="74" hidden="1"/>
    <row r="75" hidden="1"/>
    <row r="76"/>
    <row r="77"/>
    <row r="78" hidden="1"/>
    <row r="79" hidden="1"/>
    <row r="80" hidden="1"/>
    <row r="81" hidden="1"/>
    <row r="82" hidden="1"/>
    <row r="83"/>
    <row r="84"/>
    <row r="85"/>
    <row r="86" hidden="1"/>
    <row r="87" hidden="1"/>
    <row r="88"/>
    <row r="89" hidden="1"/>
    <row r="90" hidden="1"/>
    <row r="91" hidden="1"/>
    <row r="92" hidden="1"/>
    <row r="93" hidden="1"/>
    <row r="94" hidden="1"/>
    <row r="95" hidden="1"/>
    <row r="96" hidden="1"/>
    <row r="97" hidden="1"/>
    <row r="98" hidden="1"/>
    <row r="99" hidden="1"/>
    <row r="100" hidden="1"/>
    <row r="101" hidden="1"/>
    <row r="102" hidden="1"/>
    <row r="103" hidden="1"/>
    <row r="104" hidden="1"/>
    <row r="105"/>
    <row r="106" hidden="1"/>
    <row r="107" hidden="1"/>
    <row r="108" hidden="1"/>
    <row r="109" hidden="1"/>
    <row r="110" hidden="1"/>
    <row r="111" hidden="1"/>
    <row r="112" hidden="1"/>
    <row r="113"/>
    <row r="114" hidden="1"/>
    <row r="115" hidden="1"/>
    <row r="116" hidden="1"/>
    <row r="117" hidden="1"/>
    <row r="118" hidden="1"/>
    <row r="119" hidden="1"/>
    <row r="120" hidden="1"/>
    <row r="121" hidden="1"/>
    <row r="122" hidden="1"/>
    <row r="123"/>
    <row r="124" hidden="1"/>
    <row r="125"/>
    <row r="126"/>
    <row r="127" hidden="1"/>
    <row r="128" hidden="1"/>
    <row r="129" hidden="1"/>
    <row r="130" hidden="1"/>
    <row r="131" hidden="1"/>
    <row r="132" hidden="1"/>
    <row r="133"/>
    <row r="134"/>
    <row r="135" hidden="1"/>
    <row r="136" hidden="1"/>
    <row r="137" hidden="1"/>
    <row r="138" hidden="1"/>
    <row r="139" hidden="1"/>
    <row r="140" hidden="1"/>
    <row r="141" hidden="1"/>
    <row r="142" hidden="1"/>
    <row r="143" hidden="1"/>
    <row r="144"/>
    <row r="145" hidden="1"/>
    <row r="146" hidden="1"/>
    <row r="147" hidden="1"/>
    <row r="148"/>
    <row r="149" hidden="1"/>
    <row r="150" hidden="1"/>
    <row r="151"/>
    <row r="152" hidden="1"/>
    <row r="153" hidden="1"/>
    <row r="154" hidden="1"/>
    <row r="155" hidden="1"/>
    <row r="156" hidden="1"/>
    <row r="157" hidden="1"/>
    <row r="158" hidden="1"/>
    <row r="159"/>
    <row r="160" hidden="1"/>
    <row r="161" hidden="1"/>
    <row r="162" hidden="1"/>
    <row r="163" hidden="1"/>
    <row r="164"/>
    <row r="165" hidden="1"/>
    <row r="166" hidden="1"/>
    <row r="167" hidden="1"/>
    <row r="168" hidden="1"/>
    <row r="169" hidden="1"/>
    <row r="170" hidden="1"/>
    <row r="171"/>
    <row r="172"/>
    <row r="173" hidden="1"/>
    <row r="174" hidden="1"/>
    <row r="175" hidden="1"/>
    <row r="176" hidden="1"/>
    <row r="177" hidden="1"/>
    <row r="178"/>
    <row r="179" hidden="1"/>
    <row r="180"/>
    <row r="181" hidden="1"/>
    <row r="182" hidden="1"/>
    <row r="183" hidden="1"/>
    <row r="184" hidden="1"/>
    <row r="185" hidden="1"/>
    <row r="186" hidden="1"/>
    <row r="187" hidden="1"/>
    <row r="188" hidden="1"/>
    <row r="189"/>
    <row r="190" hidden="1"/>
    <row r="191"/>
    <row r="192" hidden="1"/>
    <row r="193" hidden="1"/>
    <row r="194" hidden="1"/>
    <row r="195" hidden="1"/>
    <row r="196" hidden="1"/>
    <row r="197" hidden="1"/>
    <row r="198" hidden="1"/>
    <row r="199"/>
    <row r="200"/>
    <row r="201" hidden="1"/>
    <row r="202" hidden="1"/>
    <row r="203" hidden="1"/>
    <row r="204" hidden="1"/>
    <row r="205" hidden="1"/>
    <row r="206"/>
    <row r="207" hidden="1"/>
    <row r="208" hidden="1"/>
    <row r="209" hidden="1"/>
    <row r="210" hidden="1"/>
    <row r="211"/>
    <row r="212"/>
    <row r="213" hidden="1"/>
    <row r="214" hidden="1"/>
    <row r="215"/>
    <row r="216" hidden="1"/>
    <row r="217" hidden="1"/>
    <row r="218" hidden="1"/>
    <row r="219" hidden="1"/>
    <row r="220"/>
    <row r="221" hidden="1"/>
    <row r="222" hidden="1"/>
    <row r="223" hidden="1"/>
    <row r="224" hidden="1"/>
    <row r="225" hidden="1"/>
    <row r="226" hidden="1"/>
    <row r="227"/>
    <row r="228" hidden="1"/>
    <row r="229" hidden="1"/>
    <row r="230" hidden="1"/>
    <row r="231" hidden="1"/>
    <row r="232"/>
    <row r="233" hidden="1"/>
    <row r="234" hidden="1"/>
    <row r="235" hidden="1"/>
    <row r="236" hidden="1"/>
    <row r="237" hidden="1"/>
    <row r="238" hidden="1"/>
    <row r="239" hidden="1"/>
    <row r="240" hidden="1"/>
    <row r="241" hidden="1"/>
    <row r="242"/>
    <row r="243" hidden="1"/>
    <row r="244"/>
    <row r="245" hidden="1"/>
    <row r="246" hidden="1"/>
    <row r="247" hidden="1"/>
    <row r="248" hidden="1"/>
    <row r="249" hidden="1"/>
    <row r="250" hidden="1"/>
    <row r="251" hidden="1"/>
    <row r="252"/>
    <row r="253" hidden="1"/>
    <row r="254" hidden="1"/>
    <row r="255" hidden="1"/>
    <row r="256"/>
    <row r="257" hidden="1"/>
    <row r="258" hidden="1"/>
    <row r="259" hidden="1"/>
    <row r="260" hidden="1"/>
    <row r="261"/>
    <row r="262" hidden="1"/>
    <row r="263" hidden="1"/>
    <row r="264" hidden="1"/>
    <row r="265"/>
    <row r="266"/>
    <row r="267" hidden="1"/>
    <row r="268" hidden="1"/>
    <row r="269"/>
    <row r="270" hidden="1"/>
    <row r="271" hidden="1"/>
    <row r="272" hidden="1"/>
    <row r="273" hidden="1"/>
    <row r="274"/>
    <row r="275" hidden="1"/>
    <row r="276"/>
    <row r="277"/>
    <row r="278"/>
    <row r="279" hidden="1"/>
    <row r="280"/>
    <row r="281"/>
    <row r="282" hidden="1"/>
    <row r="283" hidden="1"/>
    <row r="284"/>
    <row r="285" hidden="1"/>
    <row r="286" hidden="1"/>
    <row r="287"/>
    <row r="288"/>
    <row r="289" hidden="1"/>
    <row r="290" hidden="1"/>
    <row r="291" hidden="1"/>
    <row r="292" hidden="1"/>
    <row r="293" hidden="1"/>
    <row r="294"/>
    <row r="295"/>
    <row r="296"/>
    <row r="297" hidden="1"/>
    <row r="298" hidden="1"/>
    <row r="299" hidden="1"/>
    <row r="300" hidden="1"/>
    <row r="301" hidden="1"/>
    <row r="302" hidden="1"/>
    <row r="303" hidden="1"/>
    <row r="304" hidden="1"/>
    <row r="305" hidden="1"/>
    <row r="306" hidden="1"/>
    <row r="307"/>
    <row r="308" hidden="1"/>
    <row r="309" hidden="1"/>
    <row r="310" hidden="1"/>
    <row r="311" hidden="1"/>
    <row r="312" hidden="1"/>
    <row r="313" hidden="1"/>
    <row r="314" hidden="1"/>
    <row r="315" hidden="1"/>
    <row r="316" hidden="1"/>
    <row r="317"/>
    <row r="318" hidden="1"/>
    <row r="319" hidden="1"/>
    <row r="320" hidden="1"/>
    <row r="321" hidden="1"/>
    <row r="322" hidden="1"/>
    <row r="323" hidden="1"/>
    <row r="324"/>
    <row r="325"/>
    <row r="326" hidden="1"/>
    <row r="327"/>
    <row r="328"/>
    <row r="329" hidden="1"/>
    <row r="330" hidden="1"/>
    <row r="331"/>
    <row r="332" hidden="1"/>
    <row r="333" hidden="1"/>
    <row r="334"/>
    <row r="335"/>
    <row r="336" hidden="1"/>
    <row r="337" hidden="1"/>
    <row r="338" hidden="1"/>
    <row r="339" hidden="1"/>
    <row r="340"/>
    <row r="341" hidden="1"/>
    <row r="342" hidden="1"/>
    <row r="343"/>
    <row r="344" hidden="1"/>
    <row r="345" hidden="1"/>
    <row r="346"/>
    <row r="347" hidden="1"/>
    <row r="348" hidden="1"/>
    <row r="349"/>
    <row r="350" hidden="1"/>
    <row r="351" hidden="1"/>
    <row r="352" hidden="1"/>
    <row r="353"/>
    <row r="354" hidden="1"/>
    <row r="355" hidden="1"/>
    <row r="356"/>
    <row r="357" hidden="1"/>
    <row r="358" hidden="1"/>
    <row r="359" hidden="1"/>
    <row r="360" hidden="1"/>
    <row r="361" hidden="1"/>
    <row r="362"/>
    <row r="363"/>
    <row r="364" hidden="1"/>
    <row r="365" hidden="1"/>
    <row r="366" hidden="1"/>
    <row r="367" hidden="1"/>
    <row r="368" hidden="1"/>
    <row r="369"/>
    <row r="370"/>
    <row r="371"/>
    <row r="372" hidden="1"/>
    <row r="373" hidden="1"/>
    <row r="374" hidden="1"/>
    <row r="375"/>
    <row r="376" hidden="1"/>
    <row r="377"/>
    <row r="378"/>
    <row r="379"/>
    <row r="380"/>
    <row r="381" hidden="1"/>
    <row r="382"/>
    <row r="383" hidden="1"/>
    <row r="384" hidden="1"/>
    <row r="385"/>
    <row r="386" hidden="1"/>
    <row r="387"/>
    <row r="388" hidden="1"/>
    <row r="389"/>
    <row r="390" hidden="1"/>
    <row r="391" hidden="1"/>
    <row r="392" hidden="1"/>
    <row r="393" hidden="1"/>
    <row r="394" hidden="1"/>
    <row r="395"/>
    <row r="396" hidden="1"/>
    <row r="397" hidden="1"/>
    <row r="398"/>
    <row r="399" hidden="1"/>
    <row r="400"/>
    <row r="401"/>
    <row r="402"/>
    <row r="403"/>
    <row r="404"/>
    <row r="405"/>
    <row r="406" hidden="1"/>
    <row r="407" hidden="1"/>
    <row r="408"/>
    <row r="409" hidden="1"/>
    <row r="410" hidden="1"/>
    <row r="411"/>
    <row r="412" hidden="1"/>
    <row r="413" hidden="1"/>
    <row r="414"/>
    <row r="415"/>
    <row r="416" hidden="1"/>
    <row r="417" hidden="1"/>
    <row r="418" hidden="1"/>
    <row r="419" hidden="1"/>
    <row r="420"/>
    <row r="421" hidden="1"/>
    <row r="422" hidden="1"/>
    <row r="423" hidden="1"/>
    <row r="424"/>
    <row r="425" hidden="1"/>
    <row r="426"/>
    <row r="427"/>
    <row r="428"/>
    <row r="429" hidden="1"/>
    <row r="430" hidden="1"/>
    <row r="431" hidden="1"/>
    <row r="432" hidden="1"/>
    <row r="433"/>
    <row r="434" hidden="1"/>
    <row r="435" hidden="1"/>
    <row r="436"/>
    <row r="437" hidden="1"/>
    <row r="438" hidden="1"/>
    <row r="439" hidden="1"/>
    <row r="440" hidden="1"/>
    <row r="441" hidden="1"/>
    <row r="442" hidden="1"/>
    <row r="443"/>
    <row r="444"/>
    <row r="445" hidden="1"/>
    <row r="446" hidden="1"/>
    <row r="447" hidden="1"/>
    <row r="448" hidden="1"/>
    <row r="449" hidden="1"/>
    <row r="450"/>
    <row r="451"/>
    <row r="452" hidden="1"/>
    <row r="453" hidden="1"/>
    <row r="454" hidden="1"/>
    <row r="455" hidden="1"/>
    <row r="456"/>
    <row r="457" hidden="1"/>
    <row r="458" hidden="1"/>
    <row r="459"/>
    <row r="460" hidden="1"/>
    <row r="461" hidden="1"/>
    <row r="462" hidden="1"/>
    <row r="463"/>
    <row r="464" hidden="1"/>
    <row r="465" hidden="1"/>
    <row r="466"/>
    <row r="467" hidden="1"/>
    <row r="468"/>
    <row r="469"/>
    <row r="470"/>
    <row r="471" hidden="1"/>
    <row r="472" hidden="1"/>
    <row r="473" hidden="1"/>
    <row r="474" hidden="1"/>
    <row r="475"/>
    <row r="476" hidden="1"/>
    <row r="477"/>
    <row r="478"/>
    <row r="479" hidden="1"/>
    <row r="480" hidden="1"/>
    <row r="481" hidden="1"/>
    <row r="482" hidden="1"/>
    <row r="483" hidden="1"/>
    <row r="484" hidden="1"/>
    <row r="485" hidden="1"/>
    <row r="486" hidden="1"/>
    <row r="487"/>
    <row r="488"/>
    <row r="489"/>
    <row r="490" hidden="1"/>
    <row r="491"/>
    <row r="492"/>
    <row r="493" hidden="1"/>
    <row r="494" hidden="1"/>
    <row r="495" hidden="1"/>
    <row r="496" hidden="1"/>
    <row r="497" hidden="1"/>
    <row r="498" hidden="1"/>
    <row r="499"/>
    <row r="500" hidden="1"/>
    <row r="501" hidden="1"/>
    <row r="502" hidden="1"/>
    <row r="503" hidden="1"/>
    <row r="504"/>
    <row r="505"/>
    <row r="506"/>
    <row r="507" hidden="1"/>
    <row r="508" hidden="1"/>
    <row r="509" hidden="1"/>
    <row r="510"/>
    <row r="511" hidden="1"/>
    <row r="512"/>
    <row r="513" hidden="1"/>
    <row r="514"/>
    <row r="515" hidden="1"/>
    <row r="516"/>
    <row r="517" hidden="1"/>
    <row r="518"/>
    <row r="519"/>
    <row r="520" hidden="1"/>
    <row r="521"/>
    <row r="522"/>
    <row r="523"/>
    <row r="524"/>
    <row r="525"/>
    <row r="526"/>
    <row r="527"/>
    <row r="528" hidden="1"/>
    <row r="529"/>
    <row r="530"/>
    <row r="531"/>
    <row r="532"/>
    <row r="533"/>
    <row r="534"/>
    <row r="535"/>
    <row r="536"/>
    <row r="537"/>
    <row r="538"/>
    <row r="539" hidden="1"/>
    <row r="540" hidden="1"/>
    <row r="541" hidden="1"/>
    <row r="542"/>
    <row r="543"/>
    <row r="544"/>
    <row r="545" hidden="1"/>
    <row r="546" hidden="1"/>
    <row r="547" hidden="1"/>
    <row r="548" hidden="1"/>
    <row r="549" hidden="1"/>
    <row r="550"/>
    <row r="551"/>
    <row r="552" hidden="1"/>
    <row r="553" hidden="1"/>
    <row r="554" hidden="1"/>
    <row r="555" hidden="1"/>
    <row r="556"/>
    <row r="557" hidden="1"/>
    <row r="558" hidden="1"/>
    <row r="559" hidden="1"/>
    <row r="560" hidden="1"/>
    <row r="561"/>
    <row r="562" hidden="1"/>
    <row r="563" hidden="1"/>
    <row r="564"/>
    <row r="565"/>
    <row r="566"/>
    <row r="567"/>
    <row r="568" hidden="1"/>
    <row r="569"/>
    <row r="570"/>
    <row r="571"/>
    <row r="572" hidden="1"/>
    <row r="573" hidden="1"/>
    <row r="574" hidden="1"/>
    <row r="575" hidden="1"/>
    <row r="576" hidden="1"/>
    <row r="577" hidden="1"/>
    <row r="578"/>
    <row r="579"/>
    <row r="580" hidden="1"/>
    <row r="581" hidden="1"/>
    <row r="582" hidden="1"/>
    <row r="583"/>
    <row r="584" hidden="1"/>
    <row r="585" hidden="1"/>
    <row r="586"/>
    <row r="587" hidden="1"/>
    <row r="588"/>
    <row r="589"/>
    <row r="590"/>
    <row r="591" hidden="1"/>
    <row r="592"/>
    <row r="593"/>
    <row r="594"/>
    <row r="595" hidden="1"/>
    <row r="596" hidden="1"/>
    <row r="597"/>
    <row r="598"/>
    <row r="599"/>
    <row r="600"/>
    <row r="601"/>
    <row r="602" hidden="1"/>
    <row r="603"/>
    <row r="604" hidden="1"/>
    <row r="605" hidden="1"/>
    <row r="606"/>
    <row r="607"/>
    <row r="608"/>
    <row r="609"/>
    <row r="610"/>
    <row r="611" hidden="1"/>
    <row r="612"/>
    <row r="613" hidden="1"/>
    <row r="614"/>
    <row r="615" hidden="1"/>
    <row r="616"/>
    <row r="617"/>
    <row r="618"/>
    <row r="619"/>
    <row r="620"/>
    <row r="621" hidden="1"/>
    <row r="622"/>
    <row r="623"/>
    <row r="624"/>
    <row r="625"/>
    <row r="626" hidden="1"/>
    <row r="627"/>
    <row r="628"/>
    <row r="629"/>
    <row r="630"/>
    <row r="631"/>
    <row r="632"/>
    <row r="633" hidden="1"/>
    <row r="634"/>
    <row r="635" hidden="1"/>
    <row r="636" hidden="1"/>
    <row r="637" hidden="1"/>
    <row r="638" hidden="1"/>
    <row r="639"/>
    <row r="640" hidden="1"/>
    <row r="641" hidden="1"/>
    <row r="642"/>
    <row r="643" hidden="1"/>
    <row r="644"/>
    <row r="645"/>
    <row r="646" hidden="1"/>
    <row r="647"/>
    <row r="648"/>
    <row r="649"/>
    <row r="650"/>
    <row r="651"/>
    <row r="652" hidden="1"/>
    <row r="653" hidden="1"/>
    <row r="654"/>
    <row r="655"/>
    <row r="656"/>
    <row r="657" hidden="1"/>
    <row r="658"/>
    <row r="659"/>
    <row r="660"/>
    <row r="661" hidden="1"/>
    <row r="662" hidden="1"/>
    <row r="663" hidden="1"/>
    <row r="664" hidden="1"/>
    <row r="665"/>
    <row r="666" hidden="1"/>
    <row r="667" hidden="1"/>
    <row r="668"/>
    <row r="669" hidden="1"/>
    <row r="670" hidden="1"/>
    <row r="671"/>
    <row r="672"/>
    <row r="673" hidden="1"/>
    <row r="674" hidden="1"/>
    <row r="675"/>
    <row r="676"/>
    <row r="677" hidden="1"/>
    <row r="678"/>
    <row r="679"/>
    <row r="680"/>
    <row r="681"/>
    <row r="682" hidden="1"/>
    <row r="683"/>
    <row r="684"/>
    <row r="685" hidden="1"/>
    <row r="686" hidden="1"/>
    <row r="687"/>
    <row r="688"/>
    <row r="689"/>
    <row r="690" hidden="1"/>
    <row r="691" hidden="1"/>
    <row r="692"/>
    <row r="693"/>
    <row r="694"/>
    <row r="695" hidden="1"/>
    <row r="696"/>
    <row r="697" hidden="1"/>
    <row r="698" hidden="1"/>
    <row r="699" hidden="1"/>
    <row r="700"/>
    <row r="701"/>
    <row r="702" hidden="1"/>
    <row r="703" hidden="1"/>
    <row r="704"/>
    <row r="705" hidden="1"/>
    <row r="706" hidden="1"/>
    <row r="707" hidden="1"/>
    <row r="708"/>
    <row r="709"/>
    <row r="710" hidden="1"/>
    <row r="711"/>
    <row r="712"/>
    <row r="713"/>
    <row r="714"/>
    <row r="715" hidden="1"/>
    <row r="716" hidden="1"/>
    <row r="717" hidden="1"/>
    <row r="718"/>
    <row r="719" hidden="1"/>
    <row r="720"/>
    <row r="721" hidden="1"/>
    <row r="722" hidden="1"/>
    <row r="723" hidden="1"/>
    <row r="724"/>
    <row r="725" hidden="1"/>
    <row r="726"/>
    <row r="727" hidden="1"/>
    <row r="728" hidden="1"/>
    <row r="729" hidden="1"/>
    <row r="730" hidden="1"/>
    <row r="731" hidden="1"/>
    <row r="732"/>
    <row r="733" hidden="1"/>
    <row r="734" hidden="1"/>
    <row r="735" hidden="1"/>
    <row r="736"/>
    <row r="737"/>
    <row r="738"/>
    <row r="739" hidden="1"/>
    <row r="740" hidden="1"/>
    <row r="741"/>
    <row r="742"/>
    <row r="743"/>
    <row r="744" hidden="1"/>
    <row r="745" hidden="1"/>
    <row r="746" hidden="1"/>
    <row r="747"/>
    <row r="748"/>
    <row r="749" hidden="1"/>
    <row r="750"/>
    <row r="751" hidden="1"/>
    <row r="752"/>
    <row r="753" hidden="1"/>
    <row r="754"/>
    <row r="755"/>
    <row r="756"/>
    <row r="757" hidden="1"/>
    <row r="758" hidden="1"/>
    <row r="759" hidden="1"/>
    <row r="760"/>
    <row r="761"/>
    <row r="762" hidden="1"/>
    <row r="763" hidden="1"/>
    <row r="764"/>
    <row r="765"/>
    <row r="766" hidden="1"/>
    <row r="767" hidden="1"/>
    <row r="768"/>
    <row r="769"/>
    <row r="770" hidden="1"/>
    <row r="771"/>
    <row r="772"/>
    <row r="773" hidden="1"/>
    <row r="774"/>
    <row r="775"/>
    <row r="776"/>
    <row r="777"/>
    <row r="778"/>
    <row r="779" hidden="1"/>
    <row r="780"/>
    <row r="781" hidden="1"/>
    <row r="782"/>
    <row r="783" hidden="1"/>
    <row r="784"/>
    <row r="785" hidden="1"/>
    <row r="786" hidden="1"/>
    <row r="787" hidden="1"/>
    <row r="788" hidden="1"/>
    <row r="789"/>
    <row r="790"/>
    <row r="791"/>
    <row r="792"/>
    <row r="793" hidden="1"/>
    <row r="794" hidden="1"/>
    <row r="795" hidden="1"/>
    <row r="796"/>
    <row r="797"/>
    <row r="798" hidden="1"/>
    <row r="799" hidden="1"/>
    <row r="800"/>
    <row r="801"/>
    <row r="802"/>
    <row r="803"/>
    <row r="804" hidden="1"/>
    <row r="805" hidden="1"/>
    <row r="806"/>
    <row r="807" hidden="1"/>
    <row r="808"/>
    <row r="809"/>
    <row r="810" hidden="1"/>
    <row r="811" hidden="1"/>
    <row r="812"/>
    <row r="813"/>
    <row r="814"/>
    <row r="815" hidden="1"/>
    <row r="816"/>
    <row r="817"/>
    <row r="818" hidden="1"/>
    <row r="819" hidden="1"/>
    <row r="820"/>
    <row r="821" hidden="1"/>
    <row r="822"/>
    <row r="823"/>
    <row r="824" hidden="1"/>
    <row r="825" hidden="1"/>
    <row r="826" hidden="1"/>
    <row r="827" hidden="1"/>
    <row r="828"/>
    <row r="829" hidden="1"/>
    <row r="830" hidden="1"/>
    <row r="831" hidden="1"/>
    <row r="832"/>
    <row r="833" hidden="1"/>
    <row r="834"/>
    <row r="835" hidden="1"/>
    <row r="836" hidden="1"/>
    <row r="837"/>
    <row r="838"/>
    <row r="839"/>
    <row r="840" hidden="1"/>
    <row r="841" hidden="1"/>
    <row r="842"/>
    <row r="843" hidden="1"/>
    <row r="844"/>
    <row r="845"/>
    <row r="846" hidden="1"/>
    <row r="847" hidden="1"/>
    <row r="848"/>
    <row r="849" hidden="1"/>
    <row r="850"/>
    <row r="851"/>
    <row r="852"/>
    <row r="853"/>
    <row r="854"/>
    <row r="855"/>
    <row r="856" hidden="1"/>
    <row r="857"/>
    <row r="858"/>
    <row r="859" hidden="1"/>
    <row r="860" hidden="1"/>
    <row r="861" hidden="1"/>
    <row r="862" hidden="1"/>
    <row r="863"/>
    <row r="864"/>
    <row r="865"/>
    <row r="866"/>
    <row r="867"/>
    <row r="868"/>
    <row r="869" hidden="1"/>
    <row r="870" hidden="1"/>
    <row r="871"/>
    <row r="872"/>
    <row r="873" hidden="1"/>
    <row r="874"/>
    <row r="875"/>
    <row r="876"/>
    <row r="877"/>
    <row r="878"/>
    <row r="879"/>
    <row r="880" hidden="1"/>
    <row r="881"/>
    <row r="882"/>
    <row r="883"/>
    <row r="884"/>
    <row r="885"/>
    <row r="886"/>
    <row r="887"/>
    <row r="888"/>
    <row r="889"/>
    <row r="890" hidden="1"/>
    <row r="891"/>
    <row r="892"/>
    <row r="893" hidden="1"/>
    <row r="894"/>
    <row r="895" hidden="1"/>
    <row r="896" hidden="1"/>
    <row r="897"/>
    <row r="898"/>
    <row r="899" hidden="1"/>
    <row r="900"/>
    <row r="901"/>
    <row r="902" hidden="1"/>
    <row r="903"/>
    <row r="904" hidden="1"/>
    <row r="905" hidden="1"/>
    <row r="906" hidden="1"/>
    <row r="907"/>
    <row r="908"/>
    <row r="909" hidden="1"/>
    <row r="910" hidden="1"/>
    <row r="911" hidden="1"/>
    <row r="912"/>
    <row r="913" hidden="1"/>
    <row r="914"/>
    <row r="915"/>
    <row r="916" hidden="1"/>
    <row r="917" hidden="1"/>
    <row r="918"/>
    <row r="919" hidden="1"/>
    <row r="920" hidden="1"/>
    <row r="921"/>
    <row r="922"/>
    <row r="923" hidden="1"/>
    <row r="924"/>
    <row r="925"/>
    <row r="926" hidden="1"/>
    <row r="927"/>
    <row r="928"/>
    <row r="929" hidden="1"/>
    <row r="930"/>
    <row r="931"/>
    <row r="932"/>
    <row r="933"/>
    <row r="934" hidden="1"/>
    <row r="935"/>
    <row r="936"/>
    <row r="937" hidden="1"/>
    <row r="938"/>
    <row r="939"/>
    <row r="940"/>
    <row r="941"/>
    <row r="942"/>
    <row r="943" hidden="1"/>
    <row r="944"/>
    <row r="945" hidden="1"/>
    <row r="946"/>
    <row r="947"/>
    <row r="948" hidden="1"/>
    <row r="949"/>
    <row r="950"/>
    <row r="951"/>
    <row r="952"/>
    <row r="953"/>
    <row r="954" hidden="1"/>
    <row r="955"/>
    <row r="956"/>
    <row r="957"/>
    <row r="958"/>
    <row r="959"/>
    <row r="960"/>
    <row r="961"/>
    <row r="962"/>
    <row r="963" hidden="1"/>
    <row r="964"/>
    <row r="965"/>
    <row r="966"/>
    <row r="967"/>
    <row r="968"/>
    <row r="969"/>
    <row r="970" hidden="1"/>
    <row r="971"/>
    <row r="972"/>
    <row r="973"/>
    <row r="974" hidden="1"/>
    <row r="975" hidden="1"/>
    <row r="976"/>
    <row r="977"/>
    <row r="978"/>
    <row r="979"/>
    <row r="980"/>
    <row r="981" hidden="1"/>
    <row r="982"/>
    <row r="983"/>
    <row r="984" hidden="1"/>
    <row r="985" hidden="1"/>
    <row r="986"/>
    <row r="987"/>
    <row r="988" hidden="1"/>
    <row r="989" hidden="1"/>
    <row r="990"/>
    <row r="991"/>
    <row r="992"/>
    <row r="993"/>
    <row r="994"/>
    <row r="995"/>
    <row r="996"/>
    <row r="997"/>
    <row r="998"/>
    <row r="999"/>
    <row r="1000"/>
    <row r="1001" hidden="1"/>
    <row r="1002" hidden="1"/>
    <row r="1003" hidden="1"/>
    <row r="1004" hidden="1"/>
    <row r="1005"/>
    <row r="1006"/>
    <row r="1007"/>
    <row r="1008"/>
    <row r="1009"/>
    <row r="1010"/>
    <row r="1011"/>
    <row r="1012"/>
    <row r="1013" hidden="1"/>
    <row r="1014" hidden="1"/>
    <row r="1015"/>
    <row r="1016"/>
    <row r="1017" hidden="1"/>
    <row r="1018"/>
    <row r="1019" hidden="1"/>
    <row r="1020"/>
    <row r="1021"/>
    <row r="1022"/>
    <row r="1023"/>
    <row r="1024"/>
    <row r="1025" hidden="1"/>
    <row r="1026"/>
    <row r="1027"/>
    <row r="1028" hidden="1"/>
    <row r="1029"/>
    <row r="1030"/>
    <row r="1031"/>
    <row r="1032" hidden="1"/>
    <row r="1033"/>
    <row r="1034"/>
    <row r="1035"/>
    <row r="1036"/>
    <row r="1037"/>
    <row r="1038"/>
    <row r="1039"/>
    <row r="1040" hidden="1"/>
    <row r="1041"/>
    <row r="1042"/>
    <row r="1043"/>
    <row r="1044"/>
    <row r="1045"/>
    <row r="1046"/>
    <row r="1047" hidden="1"/>
    <row r="1048"/>
    <row r="1049" hidden="1"/>
    <row r="1050" hidden="1"/>
    <row r="1051"/>
    <row r="1052"/>
    <row r="1053"/>
    <row r="1054"/>
    <row r="1055" hidden="1"/>
    <row r="1056"/>
    <row r="1057"/>
    <row r="1058"/>
    <row r="1059" hidden="1"/>
    <row r="1060" hidden="1"/>
    <row r="1061"/>
    <row r="1062"/>
    <row r="1063"/>
    <row r="1064"/>
    <row r="1065"/>
    <row r="1066" hidden="1"/>
    <row r="1067"/>
    <row r="1068" hidden="1"/>
    <row r="1069"/>
    <row r="1070"/>
    <row r="1071" hidden="1"/>
    <row r="1072"/>
    <row r="1073"/>
    <row r="1074" hidden="1"/>
    <row r="1075"/>
    <row r="1076" hidden="1"/>
    <row r="1077" hidden="1"/>
    <row r="1078" hidden="1"/>
    <row r="1079"/>
    <row r="1080" hidden="1"/>
    <row r="1081"/>
    <row r="1082"/>
    <row r="1083"/>
    <row r="1084"/>
    <row r="1085"/>
    <row r="1086"/>
    <row r="1087"/>
    <row r="1088"/>
    <row r="1089"/>
    <row r="1090"/>
    <row r="1091"/>
    <row r="1092"/>
    <row r="1093"/>
    <row r="1094" hidden="1"/>
    <row r="1095"/>
    <row r="1096"/>
    <row r="1097"/>
    <row r="1098" hidden="1"/>
    <row r="1099" hidden="1"/>
    <row r="1100" hidden="1"/>
    <row r="1101"/>
    <row r="1102" hidden="1"/>
    <row r="1103"/>
    <row r="1104"/>
    <row r="1105"/>
    <row r="1106"/>
    <row r="1107" hidden="1"/>
    <row r="1108"/>
    <row r="1109"/>
    <row r="1110"/>
    <row r="1111"/>
    <row r="1112"/>
    <row r="1113"/>
    <row r="1114"/>
    <row r="1115"/>
    <row r="1116"/>
    <row r="1117"/>
    <row r="1118"/>
    <row r="1119" hidden="1"/>
    <row r="1120" hidden="1"/>
    <row r="1121" hidden="1"/>
    <row r="1122"/>
    <row r="1123"/>
    <row r="1124" hidden="1"/>
    <row r="1125"/>
    <row r="1126"/>
    <row r="1127"/>
    <row r="1128" hidden="1"/>
    <row r="1129"/>
    <row r="1130"/>
    <row r="1131"/>
    <row r="1132"/>
    <row r="1133"/>
    <row r="1134" hidden="1"/>
    <row r="1135" hidden="1"/>
    <row r="1136" hidden="1"/>
    <row r="1137"/>
    <row r="1138"/>
    <row r="1139"/>
    <row r="1140"/>
    <row r="1141"/>
    <row r="1142"/>
    <row r="1143"/>
    <row r="1144" hidden="1"/>
    <row r="1145" hidden="1"/>
    <row r="1146" hidden="1"/>
    <row r="1147"/>
    <row r="1148"/>
    <row r="1149" hidden="1"/>
    <row r="1150"/>
    <row r="1151" hidden="1"/>
    <row r="1152"/>
    <row r="1153"/>
    <row r="1154" hidden="1"/>
    <row r="1155"/>
    <row r="1156"/>
    <row r="1157"/>
    <row r="1158" hidden="1"/>
    <row r="1159" hidden="1"/>
    <row r="1160"/>
    <row r="1161"/>
    <row r="1162"/>
    <row r="1163" hidden="1"/>
    <row r="1164" hidden="1"/>
    <row r="1165" hidden="1"/>
    <row r="1166"/>
    <row r="1167"/>
    <row r="1168"/>
    <row r="1169"/>
    <row r="1170" hidden="1"/>
    <row r="1171"/>
    <row r="1172"/>
    <row r="1173" hidden="1"/>
    <row r="1174" hidden="1"/>
    <row r="1175"/>
    <row r="1176"/>
    <row r="1177"/>
    <row r="1178"/>
    <row r="1179"/>
    <row r="1180"/>
    <row r="1181" hidden="1"/>
    <row r="1182"/>
    <row r="1183"/>
    <row r="1184"/>
    <row r="1185"/>
    <row r="1186"/>
    <row r="1187" hidden="1"/>
    <row r="1188"/>
    <row r="1189" hidden="1"/>
    <row r="1190" hidden="1"/>
    <row r="1191" hidden="1"/>
    <row r="1192"/>
    <row r="1193" hidden="1"/>
    <row r="1194" hidden="1"/>
    <row r="1195"/>
    <row r="1196" hidden="1"/>
    <row r="1197"/>
    <row r="1198" hidden="1"/>
    <row r="1199" hidden="1"/>
    <row r="1200" hidden="1"/>
    <row r="1201"/>
    <row r="1202"/>
    <row r="1203"/>
    <row r="1204"/>
    <row r="1205"/>
    <row r="1206"/>
    <row r="1207" hidden="1"/>
    <row r="1208"/>
    <row r="1209"/>
    <row r="1210" hidden="1"/>
    <row r="1211" hidden="1"/>
    <row r="1212" hidden="1"/>
    <row r="1213"/>
    <row r="1214"/>
    <row r="1215"/>
    <row r="1216"/>
    <row r="1217" hidden="1"/>
    <row r="1218"/>
    <row r="1219"/>
    <row r="1220"/>
    <row r="1221"/>
    <row r="1222"/>
    <row r="1223"/>
    <row r="1224" hidden="1"/>
    <row r="1225"/>
    <row r="1226"/>
    <row r="1227"/>
    <row r="1228"/>
    <row r="1229" hidden="1"/>
    <row r="1230"/>
    <row r="1231" hidden="1"/>
    <row r="1232"/>
    <row r="1233"/>
    <row r="1234"/>
    <row r="1235"/>
    <row r="1236" hidden="1"/>
    <row r="1237"/>
    <row r="1238"/>
    <row r="1239"/>
    <row r="1240" hidden="1"/>
    <row r="1241" hidden="1"/>
    <row r="1242"/>
    <row r="1243" hidden="1"/>
    <row r="1244"/>
    <row r="1245"/>
    <row r="1246"/>
    <row r="1247"/>
    <row r="1248"/>
    <row r="1249"/>
    <row r="1250" hidden="1"/>
    <row r="1251"/>
    <row r="1252"/>
    <row r="1253" hidden="1"/>
    <row r="1254"/>
    <row r="1255"/>
    <row r="1256"/>
    <row r="1257"/>
    <row r="1258"/>
    <row r="1259"/>
    <row r="1260"/>
    <row r="1261" hidden="1"/>
    <row r="1262"/>
    <row r="1263" hidden="1"/>
    <row r="1264"/>
    <row r="1265" hidden="1"/>
    <row r="1266"/>
    <row r="1267" hidden="1"/>
    <row r="1268"/>
    <row r="1269"/>
    <row r="1270"/>
    <row r="1271"/>
    <row r="1272" hidden="1"/>
    <row r="1273" hidden="1"/>
    <row r="1274" hidden="1"/>
    <row r="1275" hidden="1"/>
    <row r="1276"/>
    <row r="1277"/>
    <row r="1278"/>
    <row r="1279"/>
    <row r="1280" hidden="1"/>
    <row r="1281" hidden="1"/>
    <row r="1282" hidden="1"/>
    <row r="1283"/>
    <row r="1284"/>
    <row r="1285"/>
    <row r="1286"/>
    <row r="1287"/>
    <row r="1288"/>
    <row r="1289" hidden="1"/>
    <row r="1290"/>
    <row r="1291"/>
    <row r="1292" hidden="1"/>
    <row r="1293"/>
    <row r="1294"/>
    <row r="1295"/>
    <row r="1296"/>
    <row r="1297"/>
    <row r="1298"/>
    <row r="1299"/>
    <row r="1300"/>
    <row r="1301"/>
    <row r="1302"/>
    <row r="1303"/>
    <row r="1304"/>
    <row r="1305"/>
    <row r="1306"/>
    <row r="1307"/>
    <row r="1308"/>
    <row r="1309"/>
    <row r="1310" hidden="1"/>
    <row r="1311"/>
    <row r="1312"/>
    <row r="1313"/>
    <row r="1314" hidden="1"/>
    <row r="1315" hidden="1"/>
    <row r="1316"/>
    <row r="1317" hidden="1"/>
    <row r="1318" hidden="1"/>
    <row r="1319"/>
    <row r="1320"/>
    <row r="1321"/>
    <row r="1322"/>
    <row r="1323" hidden="1"/>
    <row r="1324" hidden="1"/>
    <row r="1325" hidden="1"/>
    <row r="1326" hidden="1"/>
    <row r="1327"/>
    <row r="1328" hidden="1"/>
    <row r="1329"/>
    <row r="1330"/>
    <row r="1331" hidden="1"/>
    <row r="1332" hidden="1"/>
    <row r="1333"/>
    <row r="1334"/>
    <row r="1335" hidden="1"/>
    <row r="1336" hidden="1"/>
    <row r="1337"/>
    <row r="1338"/>
    <row r="1339" hidden="1"/>
    <row r="1340"/>
    <row r="1341"/>
    <row r="1342"/>
    <row r="1343"/>
    <row r="1344"/>
    <row r="1345"/>
    <row r="1346" hidden="1"/>
    <row r="1347"/>
    <row r="1348"/>
    <row r="1349"/>
    <row r="1350" hidden="1"/>
    <row r="1351"/>
    <row r="1352" hidden="1"/>
    <row r="1353" hidden="1"/>
    <row r="1354"/>
    <row r="1355"/>
    <row r="1356"/>
    <row r="1357"/>
    <row r="1358"/>
    <row r="1359" hidden="1"/>
    <row r="1360" hidden="1"/>
    <row r="1361"/>
    <row r="1362"/>
    <row r="1363" hidden="1"/>
    <row r="1364"/>
    <row r="1365"/>
    <row r="1366" hidden="1"/>
    <row r="1367" hidden="1"/>
    <row r="1368"/>
    <row r="1369" hidden="1"/>
    <row r="1370"/>
    <row r="1371" hidden="1"/>
    <row r="1372" hidden="1"/>
    <row r="1373"/>
    <row r="1374" hidden="1"/>
    <row r="1375" hidden="1"/>
    <row r="1376"/>
    <row r="1377"/>
    <row r="1378" hidden="1"/>
    <row r="1379"/>
    <row r="1380"/>
    <row r="1381"/>
    <row r="1382"/>
    <row r="1383"/>
    <row r="1384"/>
    <row r="1385" hidden="1"/>
    <row r="1386"/>
    <row r="1387"/>
    <row r="1388"/>
    <row r="1389" hidden="1"/>
    <row r="1390" hidden="1"/>
    <row r="1391"/>
    <row r="1392"/>
    <row r="1393" hidden="1"/>
    <row r="1394"/>
    <row r="1395"/>
    <row r="1396"/>
    <row r="1397"/>
    <row r="1398"/>
    <row r="1399"/>
    <row r="1400"/>
    <row r="1401" hidden="1"/>
    <row r="1402"/>
    <row r="1403" hidden="1"/>
    <row r="1404"/>
    <row r="1405"/>
    <row r="1406"/>
    <row r="1407"/>
    <row r="1408" hidden="1"/>
    <row r="1409"/>
    <row r="1410"/>
    <row r="1411"/>
    <row r="1412" hidden="1"/>
    <row r="1413"/>
    <row r="1414"/>
    <row r="1415"/>
    <row r="1416"/>
    <row r="1417"/>
    <row r="1418"/>
    <row r="1419"/>
    <row r="1420" hidden="1"/>
    <row r="1421" hidden="1"/>
    <row r="1422" hidden="1"/>
    <row r="1423"/>
    <row r="1424"/>
    <row r="1425"/>
    <row r="1426"/>
    <row r="1427"/>
    <row r="1428" hidden="1"/>
    <row r="1429" hidden="1"/>
    <row r="1430"/>
    <row r="1431" hidden="1"/>
    <row r="1432"/>
    <row r="1433" hidden="1"/>
    <row r="1434" hidden="1"/>
    <row r="1435"/>
    <row r="1436"/>
    <row r="1437" hidden="1"/>
    <row r="1438"/>
    <row r="1439" hidden="1"/>
    <row r="1440"/>
    <row r="1441"/>
    <row r="1442" hidden="1"/>
    <row r="1443" hidden="1"/>
    <row r="1444"/>
    <row r="1445"/>
    <row r="1446"/>
    <row r="1447" hidden="1"/>
    <row r="1448" hidden="1"/>
    <row r="1449"/>
    <row r="1450" hidden="1"/>
    <row r="1451"/>
    <row r="1452"/>
    <row r="1453"/>
    <row r="1454"/>
    <row r="1455"/>
    <row r="1456"/>
    <row r="1457"/>
    <row r="1458"/>
    <row r="1459"/>
    <row r="1460" hidden="1"/>
    <row r="1461"/>
    <row r="1462"/>
    <row r="1463"/>
    <row r="1464"/>
    <row r="1465"/>
    <row r="1466"/>
    <row r="1467"/>
    <row r="1468"/>
    <row r="1469" hidden="1"/>
    <row r="1470"/>
    <row r="1471"/>
    <row r="1472" hidden="1"/>
    <row r="1473" hidden="1"/>
    <row r="1474"/>
    <row r="1475"/>
    <row r="1476"/>
    <row r="1477" hidden="1"/>
    <row r="1478"/>
    <row r="1479"/>
    <row r="1480"/>
    <row r="1481"/>
    <row r="1482"/>
    <row r="1483"/>
    <row r="1484" hidden="1"/>
    <row r="1485"/>
    <row r="1486"/>
    <row r="1487" hidden="1"/>
    <row r="1488"/>
    <row r="1489"/>
    <row r="1490" hidden="1"/>
    <row r="1491"/>
    <row r="1492"/>
    <row r="1493" hidden="1"/>
    <row r="1494" hidden="1"/>
    <row r="1495"/>
    <row r="1496" hidden="1"/>
    <row r="1497" hidden="1"/>
    <row r="1498"/>
    <row r="1499" hidden="1"/>
    <row r="1500" hidden="1"/>
    <row r="1501" hidden="1"/>
    <row r="1502"/>
    <row r="1503"/>
    <row r="1504"/>
    <row r="1505"/>
    <row r="1506" hidden="1"/>
    <row r="1507"/>
    <row r="1508"/>
    <row r="1509"/>
    <row r="1510"/>
    <row r="1511"/>
    <row r="1512"/>
    <row r="1513"/>
    <row r="1514"/>
    <row r="1515"/>
    <row r="1516" hidden="1"/>
    <row r="1517"/>
    <row r="1518" hidden="1"/>
    <row r="1519"/>
    <row r="1520" hidden="1"/>
    <row r="1521" hidden="1"/>
    <row r="1522" hidden="1"/>
    <row r="1523"/>
    <row r="1524"/>
    <row r="1525"/>
    <row r="1526"/>
    <row r="1527" hidden="1"/>
    <row r="1528" hidden="1"/>
    <row r="1529"/>
    <row r="1530" hidden="1"/>
    <row r="1531" hidden="1"/>
    <row r="1532"/>
    <row r="1533"/>
    <row r="1534" hidden="1"/>
    <row r="1535"/>
    <row r="1536"/>
    <row r="1537" hidden="1"/>
    <row r="1538" hidden="1"/>
    <row r="1539" hidden="1"/>
    <row r="1540"/>
    <row r="1541"/>
    <row r="1542"/>
    <row r="1543"/>
    <row r="1544"/>
    <row r="1545"/>
    <row r="1546"/>
    <row r="1547"/>
    <row r="1548" hidden="1"/>
    <row r="1549"/>
    <row r="1550" hidden="1"/>
    <row r="1551" hidden="1"/>
    <row r="1552"/>
    <row r="1553" hidden="1"/>
    <row r="1554" hidden="1"/>
    <row r="1555"/>
    <row r="1556" hidden="1"/>
    <row r="1557" hidden="1"/>
    <row r="1558"/>
    <row r="1559" hidden="1"/>
    <row r="1560"/>
    <row r="1561"/>
    <row r="1562"/>
    <row r="1563"/>
    <row r="1564"/>
    <row r="1565"/>
    <row r="1566"/>
    <row r="1567"/>
    <row r="1568"/>
    <row r="1569"/>
    <row r="1570"/>
    <row r="1571" hidden="1"/>
    <row r="1572"/>
    <row r="1573"/>
    <row r="1574"/>
    <row r="1575"/>
    <row r="1576"/>
    <row r="1577"/>
    <row r="1578" hidden="1"/>
    <row r="1579"/>
    <row r="1580"/>
    <row r="1581"/>
    <row r="1582"/>
    <row r="1583"/>
    <row r="1584" hidden="1"/>
    <row r="1585"/>
    <row r="1586"/>
    <row r="1587" hidden="1"/>
    <row r="1588"/>
    <row r="1589"/>
    <row r="1590"/>
    <row r="1591"/>
    <row r="1592"/>
    <row r="1593"/>
    <row r="1594" hidden="1"/>
    <row r="1595"/>
    <row r="1596"/>
    <row r="1597"/>
    <row r="1598"/>
    <row r="1599"/>
    <row r="1600"/>
    <row r="1601"/>
    <row r="1602"/>
    <row r="1603"/>
    <row r="1604"/>
    <row r="1605"/>
    <row r="1606" hidden="1"/>
    <row r="1607"/>
    <row r="1608"/>
    <row r="1609"/>
    <row r="1610"/>
    <row r="1611"/>
    <row r="1612"/>
    <row r="1613"/>
    <row r="1614"/>
    <row r="1615"/>
    <row r="1616"/>
    <row r="1617"/>
    <row r="1618"/>
    <row r="1619"/>
    <row r="1620"/>
    <row r="1621"/>
    <row r="1622"/>
    <row r="1623"/>
    <row r="1624" hidden="1"/>
    <row r="1625" hidden="1"/>
    <row r="1626"/>
    <row r="1627"/>
    <row r="1628"/>
    <row r="1629" hidden="1"/>
    <row r="1630"/>
    <row r="1631" hidden="1"/>
    <row r="1632"/>
    <row r="1633"/>
    <row r="1634"/>
    <row r="1635"/>
    <row r="1636"/>
    <row r="1637"/>
    <row r="1638"/>
    <row r="1639" hidden="1"/>
    <row r="1640" hidden="1"/>
    <row r="1641" hidden="1"/>
    <row r="1642" hidden="1"/>
    <row r="1643"/>
    <row r="1644"/>
    <row r="1645"/>
    <row r="1646" hidden="1"/>
    <row r="1647"/>
    <row r="1648"/>
    <row r="1649" hidden="1"/>
    <row r="1650"/>
    <row r="1651" hidden="1"/>
    <row r="1652"/>
    <row r="1653"/>
    <row r="1654"/>
    <row r="1655"/>
    <row r="1656"/>
    <row r="1657" hidden="1"/>
    <row r="1658" hidden="1"/>
    <row r="1659"/>
    <row r="1660"/>
    <row r="1661"/>
    <row r="1662" hidden="1"/>
    <row r="1663"/>
    <row r="1664"/>
    <row r="1665"/>
    <row r="1666" hidden="1"/>
    <row r="1667" hidden="1"/>
    <row r="1668"/>
    <row r="1669"/>
    <row r="1670"/>
    <row r="1671"/>
    <row r="1672"/>
    <row r="1673"/>
    <row r="1674"/>
    <row r="1675"/>
    <row r="1676"/>
    <row r="1677"/>
    <row r="1678"/>
    <row r="1679"/>
    <row r="1680"/>
    <row r="1681"/>
    <row r="1682"/>
    <row r="1683" hidden="1"/>
    <row r="1684" hidden="1"/>
    <row r="1685"/>
    <row r="1686" hidden="1"/>
    <row r="1687"/>
    <row r="1688"/>
    <row r="1689" hidden="1"/>
    <row r="1690"/>
    <row r="1691" hidden="1"/>
    <row r="1692"/>
    <row r="1693"/>
    <row r="1694"/>
    <row r="1695"/>
    <row r="1696"/>
    <row r="1697"/>
    <row r="1698" hidden="1"/>
    <row r="1699" hidden="1"/>
    <row r="1700"/>
    <row r="1701"/>
    <row r="1702"/>
    <row r="1703"/>
    <row r="1704" hidden="1"/>
    <row r="1705"/>
    <row r="1706"/>
    <row r="1707" hidden="1"/>
    <row r="1708" hidden="1"/>
    <row r="1709" hidden="1"/>
    <row r="1710"/>
    <row r="1711" hidden="1"/>
    <row r="1712"/>
    <row r="1713" hidden="1"/>
    <row r="1714"/>
    <row r="1715"/>
    <row r="1716"/>
    <row r="1717" hidden="1"/>
    <row r="1718"/>
    <row r="1719"/>
    <row r="1720" hidden="1"/>
    <row r="1721"/>
    <row r="1722"/>
    <row r="1723"/>
    <row r="1724"/>
    <row r="1725"/>
    <row r="1726"/>
    <row r="1727" hidden="1"/>
    <row r="1728"/>
    <row r="1729"/>
    <row r="1730"/>
    <row r="1731"/>
    <row r="1732" hidden="1"/>
    <row r="1733" hidden="1"/>
    <row r="1734"/>
    <row r="1735"/>
    <row r="1736"/>
    <row r="1737"/>
    <row r="1738" hidden="1"/>
    <row r="1739"/>
    <row r="1740"/>
    <row r="1741"/>
    <row r="1742"/>
    <row r="1743" hidden="1"/>
    <row r="1744"/>
    <row r="1745"/>
    <row r="1746"/>
    <row r="1747"/>
    <row r="1748"/>
    <row r="1749"/>
    <row r="1750" hidden="1"/>
    <row r="1751"/>
    <row r="1752"/>
    <row r="1753"/>
    <row r="1754" hidden="1"/>
    <row r="1755" hidden="1"/>
    <row r="1756"/>
    <row r="1757" hidden="1"/>
    <row r="1758"/>
    <row r="1759" hidden="1"/>
    <row r="1760" hidden="1"/>
    <row r="1761" hidden="1"/>
    <row r="1762" hidden="1"/>
    <row r="1763"/>
    <row r="1764"/>
    <row r="1765" hidden="1"/>
    <row r="1766"/>
    <row r="1767"/>
    <row r="1768" hidden="1"/>
    <row r="1769"/>
    <row r="1770"/>
    <row r="1771"/>
    <row r="1772"/>
    <row r="1773"/>
    <row r="1774" hidden="1"/>
    <row r="1775" hidden="1"/>
    <row r="1776"/>
    <row r="1777"/>
    <row r="1778"/>
    <row r="1779"/>
    <row r="1780"/>
    <row r="1781" hidden="1"/>
    <row r="1782" hidden="1"/>
    <row r="1783" hidden="1"/>
    <row r="1784" hidden="1"/>
    <row r="1785"/>
    <row r="1786"/>
    <row r="1787"/>
    <row r="1788" hidden="1"/>
    <row r="1789"/>
    <row r="1790"/>
    <row r="1791"/>
    <row r="1792"/>
    <row r="1793"/>
    <row r="1794"/>
    <row r="1795" hidden="1"/>
    <row r="1796" hidden="1"/>
    <row r="1797"/>
    <row r="1798"/>
    <row r="1799"/>
    <row r="1800"/>
    <row r="1801"/>
    <row r="1802" hidden="1"/>
    <row r="1803"/>
    <row r="1804"/>
    <row r="1805"/>
    <row r="1806"/>
    <row r="1807" hidden="1"/>
    <row r="1808"/>
    <row r="1809"/>
    <row r="1810" hidden="1"/>
    <row r="1811"/>
    <row r="1812"/>
    <row r="1813" hidden="1"/>
    <row r="1814"/>
    <row r="1815"/>
    <row r="1816"/>
    <row r="1817" hidden="1"/>
    <row r="1818" hidden="1"/>
    <row r="1819" hidden="1"/>
    <row r="1820"/>
    <row r="1821"/>
    <row r="1822"/>
    <row r="1823"/>
    <row r="1824" hidden="1"/>
    <row r="1825" hidden="1"/>
    <row r="1826"/>
    <row r="1827"/>
    <row r="1828"/>
    <row r="1829"/>
    <row r="1830" hidden="1"/>
    <row r="1831" hidden="1"/>
    <row r="1832"/>
    <row r="1833" hidden="1"/>
    <row r="1834" hidden="1"/>
    <row r="1835"/>
    <row r="1836"/>
    <row r="1837"/>
    <row r="1838" hidden="1"/>
    <row r="1839" hidden="1"/>
    <row r="1840"/>
    <row r="1841" hidden="1"/>
    <row r="1842" hidden="1"/>
    <row r="1843"/>
    <row r="1844"/>
    <row r="1845"/>
    <row r="1846"/>
    <row r="1847"/>
    <row r="1848"/>
    <row r="1849"/>
    <row r="1850"/>
    <row r="1851"/>
    <row r="1852"/>
    <row r="1853" hidden="1"/>
    <row r="1854"/>
    <row r="1855"/>
    <row r="1856"/>
    <row r="1857"/>
    <row r="1858"/>
    <row r="1859"/>
    <row r="1860" hidden="1"/>
    <row r="1861"/>
    <row r="1862" hidden="1"/>
    <row r="1863"/>
    <row r="1864" hidden="1"/>
    <row r="1865"/>
    <row r="1866"/>
    <row r="1867"/>
    <row r="1868"/>
    <row r="1869"/>
    <row r="1870"/>
    <row r="1871"/>
    <row r="1872"/>
    <row r="1873"/>
    <row r="1874"/>
    <row r="1875"/>
    <row r="1876" hidden="1"/>
    <row r="1877"/>
    <row r="1878" hidden="1"/>
    <row r="1879" hidden="1"/>
    <row r="1880" hidden="1"/>
    <row r="1881"/>
    <row r="1882"/>
    <row r="1883" hidden="1"/>
    <row r="1884"/>
    <row r="1885" hidden="1"/>
    <row r="1886"/>
    <row r="1887"/>
    <row r="1888"/>
    <row r="1889" hidden="1"/>
    <row r="1890"/>
    <row r="1891"/>
    <row r="1892"/>
    <row r="1893" hidden="1"/>
    <row r="1894" hidden="1"/>
    <row r="1895" hidden="1"/>
    <row r="1896" hidden="1"/>
    <row r="1897"/>
    <row r="1898" hidden="1"/>
    <row r="1899"/>
    <row r="1900"/>
    <row r="1901"/>
    <row r="1902" hidden="1"/>
    <row r="1903"/>
    <row r="1904"/>
    <row r="1905"/>
    <row r="1906"/>
    <row r="1907"/>
    <row r="1908"/>
    <row r="1909" hidden="1"/>
    <row r="1910"/>
    <row r="1911"/>
    <row r="1912"/>
    <row r="1913"/>
    <row r="1914" hidden="1"/>
    <row r="1915"/>
    <row r="1916"/>
    <row r="1917" hidden="1"/>
    <row r="1918"/>
    <row r="1919"/>
    <row r="1920"/>
    <row r="1921"/>
    <row r="1922"/>
    <row r="1923"/>
    <row r="1924"/>
    <row r="1925" hidden="1"/>
    <row r="1926" hidden="1"/>
    <row r="1927"/>
    <row r="1928"/>
    <row r="1929"/>
    <row r="1930"/>
    <row r="1931"/>
    <row r="1932" hidden="1"/>
    <row r="1933"/>
    <row r="1934"/>
    <row r="1935"/>
    <row r="1936"/>
    <row r="1937" hidden="1"/>
    <row r="1938"/>
    <row r="1939"/>
    <row r="1940" hidden="1"/>
    <row r="1941" hidden="1"/>
    <row r="1942"/>
    <row r="1943"/>
    <row r="1944"/>
    <row r="1945" hidden="1"/>
    <row r="1946"/>
    <row r="1947"/>
    <row r="1948"/>
    <row r="1949"/>
    <row r="1950"/>
    <row r="1951"/>
    <row r="1952"/>
    <row r="1953" hidden="1"/>
    <row r="1954" hidden="1"/>
    <row r="1955" hidden="1"/>
    <row r="1956"/>
    <row r="1957"/>
    <row r="1958" hidden="1"/>
    <row r="1959" hidden="1"/>
    <row r="1960"/>
    <row r="1961"/>
    <row r="1962"/>
    <row r="1963" hidden="1"/>
    <row r="1964"/>
    <row r="1965"/>
    <row r="1966" hidden="1"/>
    <row r="1967"/>
    <row r="1968"/>
    <row r="1969" hidden="1"/>
    <row r="1970"/>
    <row r="1971" hidden="1"/>
    <row r="1972"/>
    <row r="1973"/>
    <row r="1974"/>
    <row r="1975"/>
    <row r="1976" hidden="1"/>
    <row r="1977" hidden="1"/>
    <row r="1978"/>
    <row r="1979"/>
    <row r="1980"/>
    <row r="1981"/>
    <row r="1982" hidden="1"/>
    <row r="1983"/>
    <row r="1984"/>
    <row r="1985"/>
    <row r="1986"/>
    <row r="1987" hidden="1"/>
    <row r="1988"/>
    <row r="1989"/>
    <row r="1990" hidden="1"/>
    <row r="1991"/>
    <row r="1992"/>
    <row r="1993" hidden="1"/>
    <row r="1994" hidden="1"/>
    <row r="1995"/>
    <row r="1996"/>
    <row r="1997"/>
    <row r="1998"/>
    <row r="1999"/>
    <row r="2000"/>
    <row r="2001"/>
    <row r="2002" hidden="1"/>
    <row r="2003" hidden="1"/>
    <row r="2004"/>
    <row r="2005"/>
    <row r="2006"/>
    <row r="2007"/>
    <row r="2008"/>
    <row r="2009"/>
    <row r="2010"/>
    <row r="2011" hidden="1"/>
    <row r="2012"/>
    <row r="2013"/>
    <row r="2014"/>
    <row r="2015"/>
    <row r="2016"/>
    <row r="2017"/>
    <row r="2018"/>
    <row r="2019"/>
    <row r="2020" hidden="1"/>
    <row r="2021"/>
    <row r="2022"/>
    <row r="2023"/>
    <row r="2024"/>
    <row r="2025"/>
    <row r="2026"/>
    <row r="2027"/>
    <row r="2028" hidden="1"/>
    <row r="2029" hidden="1"/>
    <row r="2030"/>
    <row r="2031"/>
    <row r="2032"/>
    <row r="2033"/>
    <row r="2034" hidden="1"/>
    <row r="2035" hidden="1"/>
    <row r="2036"/>
    <row r="2037" hidden="1"/>
    <row r="2038"/>
    <row r="2039"/>
    <row r="2040" hidden="1"/>
    <row r="2041"/>
    <row r="2042"/>
    <row r="2043"/>
    <row r="2044"/>
    <row r="2045"/>
    <row r="2046"/>
    <row r="2047"/>
    <row r="2048"/>
    <row r="2049"/>
    <row r="2050"/>
    <row r="2051"/>
    <row r="2052"/>
    <row r="2053"/>
    <row r="2054"/>
    <row r="2055"/>
    <row r="2056"/>
    <row r="2057" hidden="1"/>
    <row r="2058"/>
    <row r="2059" hidden="1"/>
    <row r="2060"/>
    <row r="2061" hidden="1"/>
    <row r="2062"/>
    <row r="2063"/>
    <row r="2064" hidden="1"/>
    <row r="2065" hidden="1"/>
    <row r="2066" hidden="1"/>
    <row r="2067"/>
    <row r="2068"/>
    <row r="2069"/>
    <row r="2070" hidden="1"/>
    <row r="2071" hidden="1"/>
    <row r="2072" hidden="1"/>
    <row r="2073"/>
    <row r="2074"/>
    <row r="2075"/>
    <row r="2076" hidden="1"/>
    <row r="2077"/>
    <row r="2078"/>
    <row r="2079" hidden="1"/>
    <row r="2080" hidden="1"/>
    <row r="2081"/>
    <row r="2082" hidden="1"/>
    <row r="2083" hidden="1"/>
    <row r="2084"/>
    <row r="2085" hidden="1"/>
    <row r="2086" hidden="1"/>
    <row r="2087" hidden="1"/>
    <row r="2088"/>
    <row r="2089"/>
    <row r="2090"/>
    <row r="2091"/>
    <row r="2092"/>
    <row r="2093"/>
    <row r="2094"/>
    <row r="2095"/>
    <row r="2096"/>
    <row r="2097" hidden="1"/>
    <row r="2098"/>
    <row r="2099" hidden="1"/>
    <row r="2100"/>
    <row r="2101"/>
    <row r="2102" hidden="1"/>
    <row r="2103" hidden="1"/>
    <row r="2104" hidden="1"/>
    <row r="2105" hidden="1"/>
    <row r="2106" hidden="1"/>
    <row r="2107"/>
    <row r="2108"/>
    <row r="2109" hidden="1"/>
    <row r="2110"/>
    <row r="2111"/>
    <row r="2112"/>
    <row r="2113" hidden="1"/>
    <row r="2114"/>
    <row r="2115"/>
    <row r="2116"/>
    <row r="2117" hidden="1"/>
    <row r="2118"/>
    <row r="2119"/>
    <row r="2120"/>
    <row r="2121"/>
    <row r="2122"/>
    <row r="2123" hidden="1"/>
    <row r="2124"/>
    <row r="2125"/>
    <row r="2126"/>
    <row r="2127"/>
    <row r="2128"/>
    <row r="2129" hidden="1"/>
    <row r="2130"/>
    <row r="2131" hidden="1"/>
    <row r="2132" hidden="1"/>
    <row r="2133" hidden="1"/>
    <row r="2134"/>
    <row r="2135" hidden="1"/>
    <row r="2136" hidden="1"/>
    <row r="2137"/>
    <row r="2138" hidden="1"/>
    <row r="2139" hidden="1"/>
    <row r="2140" hidden="1"/>
    <row r="2141"/>
    <row r="2142" hidden="1"/>
    <row r="2143"/>
    <row r="2144"/>
    <row r="2145" hidden="1"/>
    <row r="2146"/>
    <row r="2147" hidden="1"/>
    <row r="2148"/>
    <row r="2149"/>
    <row r="2150" hidden="1"/>
    <row r="2151" hidden="1"/>
    <row r="2152"/>
    <row r="2153" hidden="1"/>
    <row r="2154"/>
    <row r="2155"/>
    <row r="2156"/>
    <row r="2157" hidden="1"/>
    <row r="2158"/>
    <row r="2159"/>
    <row r="2160"/>
    <row r="2161"/>
    <row r="2162"/>
    <row r="2163"/>
    <row r="2164" hidden="1"/>
    <row r="2165"/>
    <row r="2166"/>
    <row r="2167"/>
    <row r="2168" hidden="1"/>
    <row r="2169"/>
    <row r="2170"/>
    <row r="2171"/>
    <row r="2172"/>
    <row r="2173"/>
    <row r="2174"/>
    <row r="2175"/>
    <row r="2176"/>
    <row r="2177"/>
    <row r="2178"/>
    <row r="2179"/>
    <row r="2180"/>
    <row r="2181"/>
    <row r="2182"/>
    <row r="2183" hidden="1"/>
    <row r="2184"/>
    <row r="2185"/>
    <row r="2186" hidden="1"/>
    <row r="2187"/>
    <row r="2188"/>
    <row r="2189" hidden="1"/>
    <row r="2190"/>
    <row r="2191" hidden="1"/>
    <row r="2192"/>
    <row r="2193"/>
    <row r="2194" hidden="1"/>
    <row r="2195" hidden="1"/>
    <row r="2196"/>
    <row r="2197"/>
    <row r="2198"/>
    <row r="2199"/>
    <row r="2200"/>
    <row r="2201"/>
    <row r="2202" hidden="1"/>
    <row r="2203"/>
    <row r="2204" hidden="1"/>
  </sheetData>
  <autoFilter ref="$B$1:$D$2204">
    <filterColumn colId="2">
      <filters>
        <filter val="2017"/>
        <filter val="2016"/>
      </filters>
    </filterColumn>
  </autoFilter>
  <conditionalFormatting sqref="A1:A2704">
    <cfRule type="notContainsBlanks" dxfId="7" priority="1">
      <formula>LEN(TRIM(A1))&gt;0</formula>
    </cfRule>
  </conditionalFormatting>
  <hyperlinks>
    <hyperlink r:id="rId2" ref="A991"/>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4.13"/>
    <col customWidth="1" min="3" max="3" width="34.63"/>
    <col customWidth="1" min="8" max="8" width="14.75"/>
  </cols>
  <sheetData>
    <row r="1">
      <c r="A1" s="19" t="s">
        <v>3039</v>
      </c>
      <c r="B1" s="3" t="s">
        <v>3040</v>
      </c>
      <c r="C1" s="3" t="s">
        <v>3041</v>
      </c>
      <c r="D1" s="3" t="s">
        <v>3042</v>
      </c>
      <c r="E1" s="3" t="s">
        <v>3043</v>
      </c>
      <c r="F1" s="3" t="s">
        <v>3044</v>
      </c>
      <c r="G1" s="3" t="s">
        <v>3045</v>
      </c>
      <c r="H1" s="3" t="s">
        <v>3046</v>
      </c>
      <c r="I1" s="3" t="s">
        <v>3047</v>
      </c>
    </row>
    <row r="2">
      <c r="A2" s="20" t="s">
        <v>3048</v>
      </c>
      <c r="B2" s="3" t="s">
        <v>3049</v>
      </c>
      <c r="C2" s="3" t="s">
        <v>3050</v>
      </c>
      <c r="D2" s="3" t="s">
        <v>3051</v>
      </c>
      <c r="E2" s="3" t="s">
        <v>3052</v>
      </c>
      <c r="F2" s="3" t="s">
        <v>3053</v>
      </c>
      <c r="G2" s="3" t="s">
        <v>3054</v>
      </c>
      <c r="H2" s="3" t="s">
        <v>3054</v>
      </c>
      <c r="I2" s="3" t="s">
        <v>3054</v>
      </c>
    </row>
    <row r="3">
      <c r="A3" s="20" t="s">
        <v>3055</v>
      </c>
      <c r="B3" s="3" t="s">
        <v>3056</v>
      </c>
      <c r="C3" s="3" t="s">
        <v>3057</v>
      </c>
      <c r="D3" s="3" t="s">
        <v>3058</v>
      </c>
      <c r="E3" s="3" t="s">
        <v>3052</v>
      </c>
      <c r="F3" s="3" t="s">
        <v>3059</v>
      </c>
      <c r="G3" s="3" t="s">
        <v>3054</v>
      </c>
      <c r="H3" s="21" t="s">
        <v>3060</v>
      </c>
      <c r="I3" s="3" t="s">
        <v>3061</v>
      </c>
    </row>
    <row r="4">
      <c r="A4" s="20" t="s">
        <v>3062</v>
      </c>
      <c r="B4" s="3" t="s">
        <v>3063</v>
      </c>
      <c r="C4" s="3" t="s">
        <v>3064</v>
      </c>
      <c r="D4" s="3" t="s">
        <v>3065</v>
      </c>
      <c r="E4" s="3" t="s">
        <v>3066</v>
      </c>
      <c r="F4" s="3" t="s">
        <v>3067</v>
      </c>
      <c r="G4" s="3" t="s">
        <v>3068</v>
      </c>
      <c r="H4" s="3" t="s">
        <v>3054</v>
      </c>
      <c r="I4" s="3" t="s">
        <v>3069</v>
      </c>
    </row>
    <row r="5">
      <c r="A5" s="20" t="s">
        <v>3070</v>
      </c>
      <c r="B5" s="3" t="s">
        <v>2391</v>
      </c>
      <c r="C5" s="3" t="s">
        <v>3071</v>
      </c>
      <c r="D5" s="3" t="s">
        <v>3072</v>
      </c>
      <c r="E5" s="3" t="s">
        <v>3073</v>
      </c>
      <c r="F5" s="3" t="s">
        <v>3074</v>
      </c>
      <c r="G5" s="3" t="s">
        <v>3075</v>
      </c>
      <c r="H5" s="3" t="s">
        <v>3054</v>
      </c>
      <c r="I5" s="3" t="s">
        <v>3076</v>
      </c>
    </row>
    <row r="6">
      <c r="A6" s="20" t="s">
        <v>3077</v>
      </c>
      <c r="B6" s="3" t="s">
        <v>3078</v>
      </c>
      <c r="C6" s="3" t="s">
        <v>3079</v>
      </c>
      <c r="D6" s="3" t="s">
        <v>3080</v>
      </c>
      <c r="E6" s="3" t="s">
        <v>3081</v>
      </c>
      <c r="F6" s="3" t="s">
        <v>3082</v>
      </c>
      <c r="G6" s="3" t="s">
        <v>3083</v>
      </c>
      <c r="H6" s="21" t="s">
        <v>3084</v>
      </c>
      <c r="I6" s="3" t="s">
        <v>3076</v>
      </c>
    </row>
    <row r="7">
      <c r="A7" s="20" t="s">
        <v>3085</v>
      </c>
      <c r="B7" s="3" t="s">
        <v>3086</v>
      </c>
      <c r="C7" s="3" t="s">
        <v>3087</v>
      </c>
      <c r="D7" s="3" t="s">
        <v>3088</v>
      </c>
      <c r="E7" s="3" t="s">
        <v>3089</v>
      </c>
      <c r="F7" s="3" t="s">
        <v>3090</v>
      </c>
      <c r="G7" s="3" t="s">
        <v>3091</v>
      </c>
      <c r="H7" s="3" t="s">
        <v>3054</v>
      </c>
      <c r="I7" s="3" t="s">
        <v>3054</v>
      </c>
    </row>
    <row r="8">
      <c r="A8" s="20" t="s">
        <v>3092</v>
      </c>
      <c r="B8" s="3" t="s">
        <v>3093</v>
      </c>
      <c r="C8" s="3" t="s">
        <v>3094</v>
      </c>
      <c r="D8" s="3" t="s">
        <v>3095</v>
      </c>
      <c r="E8" s="3" t="s">
        <v>3096</v>
      </c>
      <c r="F8" s="3" t="s">
        <v>3097</v>
      </c>
      <c r="G8" s="3" t="s">
        <v>3098</v>
      </c>
      <c r="H8" s="3" t="s">
        <v>3054</v>
      </c>
      <c r="I8" s="3" t="s">
        <v>3099</v>
      </c>
    </row>
    <row r="9">
      <c r="A9" s="20" t="s">
        <v>3100</v>
      </c>
      <c r="B9" s="3" t="s">
        <v>3101</v>
      </c>
      <c r="C9" s="3" t="s">
        <v>3102</v>
      </c>
      <c r="D9" s="3" t="s">
        <v>3103</v>
      </c>
      <c r="E9" s="3" t="s">
        <v>3104</v>
      </c>
      <c r="F9" s="3" t="s">
        <v>3105</v>
      </c>
      <c r="G9" s="3" t="s">
        <v>3054</v>
      </c>
      <c r="H9" s="21" t="s">
        <v>3106</v>
      </c>
      <c r="I9" s="3" t="s">
        <v>3076</v>
      </c>
    </row>
    <row r="10">
      <c r="A10" s="20" t="s">
        <v>3107</v>
      </c>
      <c r="B10" s="3" t="s">
        <v>3108</v>
      </c>
      <c r="C10" s="3" t="s">
        <v>3109</v>
      </c>
      <c r="D10" s="3" t="s">
        <v>3110</v>
      </c>
      <c r="E10" s="3" t="s">
        <v>3111</v>
      </c>
      <c r="F10" s="3" t="s">
        <v>3112</v>
      </c>
      <c r="G10" s="3" t="s">
        <v>3054</v>
      </c>
      <c r="H10" s="3" t="s">
        <v>3054</v>
      </c>
      <c r="I10" s="3" t="s">
        <v>3099</v>
      </c>
    </row>
    <row r="11">
      <c r="A11" s="20" t="s">
        <v>3113</v>
      </c>
      <c r="B11" s="3" t="s">
        <v>3114</v>
      </c>
      <c r="C11" s="4"/>
      <c r="D11" s="3" t="s">
        <v>3115</v>
      </c>
      <c r="E11" s="3" t="s">
        <v>3116</v>
      </c>
      <c r="F11" s="4"/>
      <c r="G11" s="3" t="s">
        <v>3054</v>
      </c>
      <c r="H11" s="3" t="s">
        <v>3054</v>
      </c>
      <c r="I11" s="3" t="s">
        <v>3054</v>
      </c>
    </row>
    <row r="12">
      <c r="A12" s="20" t="s">
        <v>3117</v>
      </c>
      <c r="B12" s="3" t="s">
        <v>3118</v>
      </c>
      <c r="C12" s="3" t="s">
        <v>3119</v>
      </c>
      <c r="D12" s="3" t="s">
        <v>3120</v>
      </c>
      <c r="E12" s="3" t="s">
        <v>3096</v>
      </c>
      <c r="F12" s="3" t="s">
        <v>3121</v>
      </c>
      <c r="G12" s="3" t="s">
        <v>3122</v>
      </c>
      <c r="H12" s="4"/>
      <c r="I12" s="3" t="s">
        <v>3123</v>
      </c>
    </row>
    <row r="13">
      <c r="A13" s="20" t="s">
        <v>3124</v>
      </c>
      <c r="B13" s="3" t="s">
        <v>3125</v>
      </c>
      <c r="C13" s="3" t="s">
        <v>3126</v>
      </c>
      <c r="D13" s="3" t="s">
        <v>3127</v>
      </c>
      <c r="E13" s="3" t="s">
        <v>3128</v>
      </c>
      <c r="F13" s="3" t="s">
        <v>3129</v>
      </c>
      <c r="G13" s="3" t="s">
        <v>3054</v>
      </c>
      <c r="H13" s="21" t="s">
        <v>3130</v>
      </c>
      <c r="I13" s="3" t="s">
        <v>3099</v>
      </c>
    </row>
    <row r="14">
      <c r="A14" s="20" t="s">
        <v>3131</v>
      </c>
      <c r="B14" s="3" t="s">
        <v>3132</v>
      </c>
      <c r="C14" s="3" t="s">
        <v>3133</v>
      </c>
      <c r="D14" s="3" t="s">
        <v>3134</v>
      </c>
      <c r="E14" s="3" t="s">
        <v>3052</v>
      </c>
      <c r="F14" s="3" t="s">
        <v>3135</v>
      </c>
      <c r="G14" s="3" t="s">
        <v>3054</v>
      </c>
      <c r="H14" s="21" t="s">
        <v>3136</v>
      </c>
      <c r="I14" s="3" t="s">
        <v>3137</v>
      </c>
    </row>
    <row r="15">
      <c r="A15" s="20" t="s">
        <v>3138</v>
      </c>
      <c r="B15" s="3" t="s">
        <v>3139</v>
      </c>
      <c r="C15" s="3" t="s">
        <v>3140</v>
      </c>
      <c r="D15" s="3" t="s">
        <v>3141</v>
      </c>
      <c r="E15" s="3" t="s">
        <v>3096</v>
      </c>
      <c r="F15" s="3" t="s">
        <v>3142</v>
      </c>
      <c r="G15" s="3" t="s">
        <v>3054</v>
      </c>
      <c r="H15" s="21" t="s">
        <v>3143</v>
      </c>
      <c r="I15" s="3" t="s">
        <v>3137</v>
      </c>
    </row>
    <row r="16">
      <c r="A16" s="20" t="s">
        <v>3144</v>
      </c>
      <c r="B16" s="3" t="s">
        <v>3145</v>
      </c>
      <c r="C16" s="3" t="s">
        <v>3146</v>
      </c>
      <c r="D16" s="3" t="s">
        <v>3147</v>
      </c>
      <c r="E16" s="3" t="s">
        <v>3052</v>
      </c>
      <c r="F16" s="3" t="s">
        <v>3148</v>
      </c>
      <c r="G16" s="3" t="s">
        <v>3054</v>
      </c>
      <c r="H16" s="21" t="s">
        <v>3149</v>
      </c>
      <c r="I16" s="3" t="s">
        <v>3123</v>
      </c>
    </row>
    <row r="17">
      <c r="A17" s="20" t="s">
        <v>3150</v>
      </c>
      <c r="B17" s="3" t="s">
        <v>2387</v>
      </c>
      <c r="C17" s="3" t="s">
        <v>3151</v>
      </c>
      <c r="D17" s="3" t="s">
        <v>3152</v>
      </c>
      <c r="E17" s="3" t="s">
        <v>3096</v>
      </c>
      <c r="F17" s="3" t="s">
        <v>3153</v>
      </c>
      <c r="G17" s="3" t="s">
        <v>3054</v>
      </c>
      <c r="H17" s="21" t="s">
        <v>3154</v>
      </c>
      <c r="I17" s="3" t="s">
        <v>3076</v>
      </c>
    </row>
    <row r="18">
      <c r="A18" s="20" t="s">
        <v>3155</v>
      </c>
      <c r="B18" s="3" t="s">
        <v>3156</v>
      </c>
      <c r="C18" s="3" t="s">
        <v>3157</v>
      </c>
      <c r="D18" s="3" t="s">
        <v>3158</v>
      </c>
      <c r="E18" s="3" t="s">
        <v>3052</v>
      </c>
      <c r="F18" s="3" t="s">
        <v>3159</v>
      </c>
      <c r="G18" s="3" t="s">
        <v>3054</v>
      </c>
      <c r="H18" s="21" t="s">
        <v>3160</v>
      </c>
      <c r="I18" s="3" t="s">
        <v>3076</v>
      </c>
    </row>
    <row r="19">
      <c r="A19" s="20" t="s">
        <v>3161</v>
      </c>
      <c r="B19" s="3" t="s">
        <v>3162</v>
      </c>
      <c r="C19" s="3" t="s">
        <v>3163</v>
      </c>
      <c r="D19" s="3" t="s">
        <v>3164</v>
      </c>
      <c r="E19" s="3" t="s">
        <v>3073</v>
      </c>
      <c r="F19" s="3" t="s">
        <v>3165</v>
      </c>
      <c r="G19" s="3" t="s">
        <v>3054</v>
      </c>
      <c r="H19" s="21" t="s">
        <v>3166</v>
      </c>
      <c r="I19" s="3" t="s">
        <v>3061</v>
      </c>
    </row>
    <row r="20">
      <c r="A20" s="20" t="s">
        <v>3167</v>
      </c>
      <c r="B20" s="3" t="s">
        <v>1418</v>
      </c>
      <c r="C20" s="3" t="s">
        <v>3168</v>
      </c>
      <c r="D20" s="3" t="s">
        <v>3169</v>
      </c>
      <c r="E20" s="3" t="s">
        <v>3096</v>
      </c>
      <c r="F20" s="3" t="s">
        <v>3170</v>
      </c>
      <c r="G20" s="3" t="s">
        <v>3054</v>
      </c>
      <c r="H20" s="3" t="s">
        <v>3054</v>
      </c>
      <c r="I20" s="3" t="s">
        <v>3099</v>
      </c>
    </row>
    <row r="21">
      <c r="A21" s="20" t="s">
        <v>3171</v>
      </c>
      <c r="B21" s="3" t="s">
        <v>3172</v>
      </c>
      <c r="C21" s="4"/>
      <c r="D21" s="3" t="s">
        <v>3115</v>
      </c>
      <c r="E21" s="3" t="s">
        <v>3116</v>
      </c>
      <c r="F21" s="4"/>
      <c r="G21" s="3" t="s">
        <v>3054</v>
      </c>
      <c r="H21" s="3" t="s">
        <v>3054</v>
      </c>
      <c r="I21" s="3" t="s">
        <v>3054</v>
      </c>
    </row>
    <row r="22">
      <c r="A22" s="20" t="s">
        <v>3173</v>
      </c>
      <c r="B22" s="3" t="s">
        <v>3174</v>
      </c>
      <c r="C22" s="3" t="s">
        <v>3175</v>
      </c>
      <c r="D22" s="3" t="s">
        <v>3176</v>
      </c>
      <c r="E22" s="3" t="s">
        <v>3177</v>
      </c>
      <c r="F22" s="3" t="s">
        <v>3178</v>
      </c>
      <c r="G22" s="3" t="s">
        <v>3054</v>
      </c>
      <c r="H22" s="21" t="s">
        <v>3179</v>
      </c>
      <c r="I22" s="3" t="s">
        <v>3061</v>
      </c>
    </row>
    <row r="23">
      <c r="A23" s="20" t="s">
        <v>3180</v>
      </c>
      <c r="B23" s="3" t="s">
        <v>3181</v>
      </c>
      <c r="C23" s="3" t="s">
        <v>3182</v>
      </c>
      <c r="D23" s="3" t="s">
        <v>3183</v>
      </c>
      <c r="E23" s="3" t="s">
        <v>3073</v>
      </c>
      <c r="F23" s="3" t="s">
        <v>3184</v>
      </c>
      <c r="G23" s="3" t="s">
        <v>3054</v>
      </c>
      <c r="H23" s="21" t="s">
        <v>3185</v>
      </c>
      <c r="I23" s="3" t="s">
        <v>3186</v>
      </c>
    </row>
    <row r="24">
      <c r="A24" s="20" t="s">
        <v>3187</v>
      </c>
      <c r="B24" s="3" t="s">
        <v>3188</v>
      </c>
      <c r="C24" s="3" t="s">
        <v>3189</v>
      </c>
      <c r="D24" s="3" t="s">
        <v>3190</v>
      </c>
      <c r="E24" s="3" t="s">
        <v>3191</v>
      </c>
      <c r="F24" s="3" t="s">
        <v>3192</v>
      </c>
      <c r="G24" s="3" t="s">
        <v>3193</v>
      </c>
      <c r="H24" s="3" t="s">
        <v>3054</v>
      </c>
      <c r="I24" s="3" t="s">
        <v>3069</v>
      </c>
    </row>
    <row r="25">
      <c r="A25" s="20" t="s">
        <v>3194</v>
      </c>
      <c r="B25" s="3" t="s">
        <v>2840</v>
      </c>
      <c r="C25" s="3" t="s">
        <v>3195</v>
      </c>
      <c r="D25" s="3" t="s">
        <v>3196</v>
      </c>
      <c r="E25" s="3" t="s">
        <v>3073</v>
      </c>
      <c r="F25" s="3" t="s">
        <v>3197</v>
      </c>
      <c r="G25" s="3" t="s">
        <v>3054</v>
      </c>
      <c r="H25" s="21" t="s">
        <v>3198</v>
      </c>
      <c r="I25" s="3" t="s">
        <v>3099</v>
      </c>
    </row>
    <row r="26">
      <c r="A26" s="20" t="s">
        <v>3199</v>
      </c>
      <c r="B26" s="3" t="s">
        <v>3200</v>
      </c>
      <c r="C26" s="3" t="s">
        <v>3201</v>
      </c>
      <c r="D26" s="3" t="s">
        <v>3202</v>
      </c>
      <c r="E26" s="3" t="s">
        <v>3052</v>
      </c>
      <c r="F26" s="3" t="s">
        <v>3203</v>
      </c>
      <c r="G26" s="3" t="s">
        <v>3054</v>
      </c>
      <c r="H26" s="3" t="s">
        <v>3054</v>
      </c>
      <c r="I26" s="3" t="s">
        <v>3186</v>
      </c>
    </row>
    <row r="27">
      <c r="A27" s="20" t="s">
        <v>3204</v>
      </c>
      <c r="B27" s="3" t="s">
        <v>3205</v>
      </c>
      <c r="C27" s="3" t="s">
        <v>3206</v>
      </c>
      <c r="D27" s="3" t="s">
        <v>3207</v>
      </c>
      <c r="E27" s="3" t="s">
        <v>3052</v>
      </c>
      <c r="F27" s="3" t="s">
        <v>3208</v>
      </c>
      <c r="G27" s="3" t="s">
        <v>3209</v>
      </c>
      <c r="H27" s="21" t="s">
        <v>3210</v>
      </c>
      <c r="I27" s="3" t="s">
        <v>3123</v>
      </c>
    </row>
    <row r="28">
      <c r="A28" s="20" t="s">
        <v>3211</v>
      </c>
      <c r="B28" s="3" t="s">
        <v>3212</v>
      </c>
      <c r="C28" s="3" t="s">
        <v>3213</v>
      </c>
      <c r="D28" s="3" t="s">
        <v>3214</v>
      </c>
      <c r="E28" s="3" t="s">
        <v>3096</v>
      </c>
      <c r="F28" s="3" t="s">
        <v>3215</v>
      </c>
      <c r="G28" s="3" t="s">
        <v>3216</v>
      </c>
      <c r="H28" s="21" t="s">
        <v>3217</v>
      </c>
      <c r="I28" s="3" t="s">
        <v>3186</v>
      </c>
    </row>
    <row r="29">
      <c r="A29" s="20" t="s">
        <v>3218</v>
      </c>
      <c r="B29" s="3" t="s">
        <v>3219</v>
      </c>
      <c r="C29" s="3" t="s">
        <v>3220</v>
      </c>
      <c r="D29" s="3" t="s">
        <v>3221</v>
      </c>
      <c r="E29" s="3" t="s">
        <v>3222</v>
      </c>
      <c r="F29" s="3" t="s">
        <v>3223</v>
      </c>
      <c r="G29" s="3" t="s">
        <v>3054</v>
      </c>
      <c r="H29" s="21" t="s">
        <v>3224</v>
      </c>
      <c r="I29" s="3" t="s">
        <v>3123</v>
      </c>
    </row>
    <row r="30">
      <c r="A30" s="20" t="s">
        <v>3225</v>
      </c>
      <c r="B30" s="3" t="s">
        <v>3226</v>
      </c>
      <c r="C30" s="3" t="s">
        <v>3227</v>
      </c>
      <c r="D30" s="3" t="s">
        <v>3228</v>
      </c>
      <c r="E30" s="3" t="s">
        <v>3096</v>
      </c>
      <c r="F30" s="3" t="s">
        <v>3229</v>
      </c>
      <c r="G30" s="3" t="s">
        <v>3054</v>
      </c>
      <c r="H30" s="3" t="s">
        <v>3054</v>
      </c>
      <c r="I30" s="3" t="s">
        <v>3230</v>
      </c>
    </row>
    <row r="31">
      <c r="A31" s="20" t="s">
        <v>3231</v>
      </c>
      <c r="B31" s="3" t="s">
        <v>3232</v>
      </c>
      <c r="C31" s="3" t="s">
        <v>3233</v>
      </c>
      <c r="D31" s="3" t="s">
        <v>3234</v>
      </c>
      <c r="E31" s="3" t="s">
        <v>3235</v>
      </c>
      <c r="F31" s="3" t="s">
        <v>3236</v>
      </c>
      <c r="G31" s="3" t="s">
        <v>3054</v>
      </c>
      <c r="H31" s="21" t="s">
        <v>3237</v>
      </c>
      <c r="I31" s="3" t="s">
        <v>3099</v>
      </c>
    </row>
    <row r="32">
      <c r="A32" s="20" t="s">
        <v>3238</v>
      </c>
      <c r="B32" s="3" t="s">
        <v>3239</v>
      </c>
      <c r="C32" s="3" t="s">
        <v>3240</v>
      </c>
      <c r="D32" s="3" t="s">
        <v>3241</v>
      </c>
      <c r="E32" s="3" t="s">
        <v>3096</v>
      </c>
      <c r="F32" s="3" t="s">
        <v>3242</v>
      </c>
      <c r="G32" s="3" t="s">
        <v>3243</v>
      </c>
      <c r="H32" s="4"/>
      <c r="I32" s="3" t="s">
        <v>3076</v>
      </c>
    </row>
    <row r="33">
      <c r="A33" s="20" t="s">
        <v>3244</v>
      </c>
      <c r="B33" s="3" t="s">
        <v>3245</v>
      </c>
      <c r="C33" s="3" t="s">
        <v>3246</v>
      </c>
      <c r="D33" s="3" t="s">
        <v>3247</v>
      </c>
      <c r="E33" s="3" t="s">
        <v>3073</v>
      </c>
      <c r="F33" s="3" t="s">
        <v>3248</v>
      </c>
      <c r="G33" s="3" t="s">
        <v>3249</v>
      </c>
      <c r="H33" s="3" t="s">
        <v>3054</v>
      </c>
      <c r="I33" s="3" t="s">
        <v>3137</v>
      </c>
    </row>
    <row r="34">
      <c r="A34" s="20" t="s">
        <v>3250</v>
      </c>
      <c r="B34" s="3" t="s">
        <v>3251</v>
      </c>
      <c r="C34" s="3" t="s">
        <v>3252</v>
      </c>
      <c r="D34" s="3" t="s">
        <v>3253</v>
      </c>
      <c r="E34" s="3" t="s">
        <v>3235</v>
      </c>
      <c r="F34" s="3" t="s">
        <v>3254</v>
      </c>
      <c r="G34" s="3" t="s">
        <v>3255</v>
      </c>
      <c r="H34" s="3" t="s">
        <v>3054</v>
      </c>
      <c r="I34" s="3" t="s">
        <v>3099</v>
      </c>
    </row>
    <row r="35">
      <c r="A35" s="20" t="s">
        <v>3256</v>
      </c>
      <c r="B35" s="3" t="s">
        <v>3257</v>
      </c>
      <c r="C35" s="3" t="s">
        <v>3258</v>
      </c>
      <c r="D35" s="3" t="s">
        <v>3259</v>
      </c>
      <c r="E35" s="3" t="s">
        <v>3260</v>
      </c>
      <c r="F35" s="3" t="s">
        <v>3261</v>
      </c>
      <c r="G35" s="3" t="s">
        <v>3262</v>
      </c>
      <c r="H35" s="21" t="s">
        <v>3263</v>
      </c>
      <c r="I35" s="3" t="s">
        <v>3137</v>
      </c>
    </row>
    <row r="36">
      <c r="A36" s="20" t="s">
        <v>3264</v>
      </c>
      <c r="B36" s="3" t="s">
        <v>3265</v>
      </c>
      <c r="C36" s="3" t="s">
        <v>3266</v>
      </c>
      <c r="D36" s="3" t="s">
        <v>3267</v>
      </c>
      <c r="E36" s="3" t="s">
        <v>3096</v>
      </c>
      <c r="F36" s="3" t="s">
        <v>3268</v>
      </c>
      <c r="G36" s="3" t="s">
        <v>3054</v>
      </c>
      <c r="H36" s="4"/>
      <c r="I36" s="3" t="s">
        <v>3076</v>
      </c>
    </row>
    <row r="37">
      <c r="A37" s="20" t="s">
        <v>3269</v>
      </c>
      <c r="B37" s="3" t="s">
        <v>3270</v>
      </c>
      <c r="C37" s="3" t="s">
        <v>3271</v>
      </c>
      <c r="D37" s="3" t="s">
        <v>3272</v>
      </c>
      <c r="E37" s="3" t="s">
        <v>3096</v>
      </c>
      <c r="F37" s="3" t="s">
        <v>3273</v>
      </c>
      <c r="G37" s="3" t="s">
        <v>3054</v>
      </c>
      <c r="H37" s="3" t="s">
        <v>3054</v>
      </c>
      <c r="I37" s="3" t="s">
        <v>3054</v>
      </c>
    </row>
    <row r="38">
      <c r="A38" s="20" t="s">
        <v>3274</v>
      </c>
      <c r="B38" s="3" t="s">
        <v>3275</v>
      </c>
      <c r="C38" s="3" t="s">
        <v>3276</v>
      </c>
      <c r="D38" s="3" t="s">
        <v>3277</v>
      </c>
      <c r="E38" s="3" t="s">
        <v>3052</v>
      </c>
      <c r="F38" s="3" t="s">
        <v>3278</v>
      </c>
      <c r="G38" s="3" t="s">
        <v>3279</v>
      </c>
      <c r="H38" s="21" t="s">
        <v>3280</v>
      </c>
      <c r="I38" s="3" t="s">
        <v>3099</v>
      </c>
    </row>
    <row r="39">
      <c r="A39" s="20" t="s">
        <v>3281</v>
      </c>
      <c r="B39" s="3" t="s">
        <v>700</v>
      </c>
      <c r="C39" s="3" t="s">
        <v>3282</v>
      </c>
      <c r="D39" s="3" t="s">
        <v>3283</v>
      </c>
      <c r="E39" s="3" t="s">
        <v>3235</v>
      </c>
      <c r="F39" s="3" t="s">
        <v>3284</v>
      </c>
      <c r="G39" s="3" t="s">
        <v>3054</v>
      </c>
      <c r="H39" s="3" t="s">
        <v>3285</v>
      </c>
      <c r="I39" s="3" t="s">
        <v>3186</v>
      </c>
    </row>
    <row r="40">
      <c r="A40" s="20" t="s">
        <v>3286</v>
      </c>
      <c r="B40" s="3" t="s">
        <v>1506</v>
      </c>
      <c r="C40" s="3" t="s">
        <v>3287</v>
      </c>
      <c r="D40" s="3" t="s">
        <v>3288</v>
      </c>
      <c r="E40" s="3" t="s">
        <v>3235</v>
      </c>
      <c r="F40" s="3" t="s">
        <v>3289</v>
      </c>
      <c r="G40" s="3" t="s">
        <v>3290</v>
      </c>
      <c r="H40" s="21" t="s">
        <v>3291</v>
      </c>
      <c r="I40" s="3" t="s">
        <v>3123</v>
      </c>
    </row>
    <row r="41">
      <c r="A41" s="20" t="s">
        <v>3292</v>
      </c>
      <c r="B41" s="3" t="s">
        <v>3293</v>
      </c>
      <c r="C41" s="3" t="s">
        <v>3294</v>
      </c>
      <c r="D41" s="3" t="s">
        <v>3295</v>
      </c>
      <c r="E41" s="3" t="s">
        <v>3066</v>
      </c>
      <c r="F41" s="3" t="s">
        <v>3296</v>
      </c>
      <c r="G41" s="3" t="s">
        <v>3054</v>
      </c>
      <c r="H41" s="4"/>
      <c r="I41" s="3" t="s">
        <v>3137</v>
      </c>
    </row>
    <row r="42">
      <c r="A42" s="20" t="s">
        <v>3297</v>
      </c>
      <c r="B42" s="3" t="s">
        <v>3298</v>
      </c>
      <c r="C42" s="3" t="s">
        <v>3299</v>
      </c>
      <c r="D42" s="3" t="s">
        <v>3300</v>
      </c>
      <c r="E42" s="3" t="s">
        <v>3052</v>
      </c>
      <c r="F42" s="3" t="s">
        <v>3301</v>
      </c>
      <c r="G42" s="3" t="s">
        <v>3054</v>
      </c>
      <c r="H42" s="21" t="s">
        <v>3302</v>
      </c>
      <c r="I42" s="3" t="s">
        <v>3099</v>
      </c>
    </row>
    <row r="43">
      <c r="A43" s="20" t="s">
        <v>3303</v>
      </c>
      <c r="B43" s="3" t="s">
        <v>3304</v>
      </c>
      <c r="C43" s="3" t="s">
        <v>3305</v>
      </c>
      <c r="D43" s="3" t="s">
        <v>3306</v>
      </c>
      <c r="E43" s="3" t="s">
        <v>3073</v>
      </c>
      <c r="F43" s="3" t="s">
        <v>3307</v>
      </c>
      <c r="G43" s="3" t="s">
        <v>3054</v>
      </c>
      <c r="H43" s="21" t="s">
        <v>3308</v>
      </c>
      <c r="I43" s="3" t="s">
        <v>3061</v>
      </c>
    </row>
    <row r="44">
      <c r="A44" s="20" t="s">
        <v>3309</v>
      </c>
      <c r="B44" s="3" t="s">
        <v>3310</v>
      </c>
      <c r="C44" s="4"/>
      <c r="D44" s="3" t="s">
        <v>3115</v>
      </c>
      <c r="E44" s="3" t="s">
        <v>3116</v>
      </c>
      <c r="F44" s="4"/>
      <c r="G44" s="3" t="s">
        <v>3054</v>
      </c>
      <c r="H44" s="3" t="s">
        <v>3054</v>
      </c>
      <c r="I44" s="3" t="s">
        <v>3054</v>
      </c>
    </row>
    <row r="45">
      <c r="A45" s="20" t="s">
        <v>3311</v>
      </c>
      <c r="B45" s="3" t="s">
        <v>3312</v>
      </c>
      <c r="C45" s="3" t="s">
        <v>3313</v>
      </c>
      <c r="D45" s="3" t="s">
        <v>3314</v>
      </c>
      <c r="E45" s="3" t="s">
        <v>3052</v>
      </c>
      <c r="F45" s="3" t="s">
        <v>3315</v>
      </c>
      <c r="G45" s="3" t="s">
        <v>3054</v>
      </c>
      <c r="H45" s="3" t="s">
        <v>3316</v>
      </c>
      <c r="I45" s="3" t="s">
        <v>3054</v>
      </c>
    </row>
    <row r="46">
      <c r="A46" s="20" t="s">
        <v>3317</v>
      </c>
      <c r="B46" s="3" t="s">
        <v>2699</v>
      </c>
      <c r="C46" s="3" t="s">
        <v>3318</v>
      </c>
      <c r="D46" s="3" t="s">
        <v>3319</v>
      </c>
      <c r="E46" s="3" t="s">
        <v>3073</v>
      </c>
      <c r="F46" s="3" t="s">
        <v>3320</v>
      </c>
      <c r="G46" s="3" t="s">
        <v>3321</v>
      </c>
      <c r="H46" s="4"/>
      <c r="I46" s="3" t="s">
        <v>3061</v>
      </c>
    </row>
    <row r="47">
      <c r="A47" s="20" t="s">
        <v>3322</v>
      </c>
      <c r="B47" s="3" t="s">
        <v>3323</v>
      </c>
      <c r="C47" s="3" t="s">
        <v>3324</v>
      </c>
      <c r="D47" s="3" t="s">
        <v>3325</v>
      </c>
      <c r="E47" s="3" t="s">
        <v>3073</v>
      </c>
      <c r="F47" s="3" t="s">
        <v>3326</v>
      </c>
      <c r="G47" s="3" t="s">
        <v>3327</v>
      </c>
      <c r="H47" s="21" t="s">
        <v>3328</v>
      </c>
      <c r="I47" s="3" t="s">
        <v>3099</v>
      </c>
    </row>
    <row r="48">
      <c r="A48" s="20" t="s">
        <v>3329</v>
      </c>
      <c r="B48" s="3" t="s">
        <v>3330</v>
      </c>
      <c r="C48" s="3" t="s">
        <v>3331</v>
      </c>
      <c r="D48" s="3" t="s">
        <v>3332</v>
      </c>
      <c r="E48" s="3" t="s">
        <v>3073</v>
      </c>
      <c r="F48" s="3" t="s">
        <v>3333</v>
      </c>
      <c r="G48" s="3" t="s">
        <v>3334</v>
      </c>
      <c r="H48" s="21" t="s">
        <v>3335</v>
      </c>
      <c r="I48" s="3" t="s">
        <v>3061</v>
      </c>
    </row>
    <row r="49">
      <c r="A49" s="20" t="s">
        <v>3336</v>
      </c>
      <c r="B49" s="3" t="s">
        <v>3337</v>
      </c>
      <c r="C49" s="3" t="s">
        <v>3338</v>
      </c>
      <c r="D49" s="3" t="s">
        <v>3115</v>
      </c>
      <c r="E49" s="3" t="s">
        <v>3116</v>
      </c>
      <c r="F49" s="4"/>
      <c r="G49" s="3" t="s">
        <v>3054</v>
      </c>
      <c r="H49" s="3" t="s">
        <v>3054</v>
      </c>
      <c r="I49" s="3" t="s">
        <v>3054</v>
      </c>
    </row>
    <row r="50">
      <c r="A50" s="20" t="s">
        <v>3339</v>
      </c>
      <c r="B50" s="3" t="s">
        <v>3340</v>
      </c>
      <c r="C50" s="3" t="s">
        <v>3341</v>
      </c>
      <c r="D50" s="3" t="s">
        <v>3342</v>
      </c>
      <c r="E50" s="3" t="s">
        <v>3343</v>
      </c>
      <c r="F50" s="3" t="s">
        <v>3344</v>
      </c>
      <c r="G50" s="3" t="s">
        <v>3054</v>
      </c>
      <c r="H50" s="21" t="s">
        <v>3345</v>
      </c>
      <c r="I50" s="3" t="s">
        <v>3061</v>
      </c>
    </row>
    <row r="51">
      <c r="A51" s="20" t="s">
        <v>3346</v>
      </c>
      <c r="B51" s="3" t="s">
        <v>3347</v>
      </c>
      <c r="C51" s="4"/>
      <c r="D51" s="3" t="s">
        <v>3115</v>
      </c>
      <c r="E51" s="3" t="s">
        <v>3116</v>
      </c>
      <c r="F51" s="4"/>
      <c r="G51" s="3" t="s">
        <v>3054</v>
      </c>
      <c r="H51" s="3" t="s">
        <v>3054</v>
      </c>
      <c r="I51" s="3" t="s">
        <v>3054</v>
      </c>
    </row>
    <row r="52">
      <c r="A52" s="20" t="s">
        <v>3348</v>
      </c>
      <c r="B52" s="3" t="s">
        <v>3349</v>
      </c>
      <c r="C52" s="3" t="s">
        <v>3350</v>
      </c>
      <c r="D52" s="3" t="s">
        <v>3351</v>
      </c>
      <c r="E52" s="3" t="s">
        <v>3222</v>
      </c>
      <c r="F52" s="3" t="s">
        <v>3352</v>
      </c>
      <c r="G52" s="3" t="s">
        <v>3054</v>
      </c>
      <c r="H52" s="21" t="s">
        <v>3353</v>
      </c>
      <c r="I52" s="3" t="s">
        <v>3099</v>
      </c>
    </row>
    <row r="53">
      <c r="A53" s="20" t="s">
        <v>3354</v>
      </c>
      <c r="B53" s="3" t="s">
        <v>3355</v>
      </c>
      <c r="C53" s="3" t="s">
        <v>3356</v>
      </c>
      <c r="D53" s="3" t="s">
        <v>3357</v>
      </c>
      <c r="E53" s="3" t="s">
        <v>3096</v>
      </c>
      <c r="F53" s="3" t="s">
        <v>3358</v>
      </c>
      <c r="G53" s="3" t="s">
        <v>3359</v>
      </c>
      <c r="H53" s="21" t="s">
        <v>3360</v>
      </c>
      <c r="I53" s="3" t="s">
        <v>3361</v>
      </c>
    </row>
    <row r="54">
      <c r="A54" s="20" t="s">
        <v>3362</v>
      </c>
      <c r="B54" s="3" t="s">
        <v>520</v>
      </c>
      <c r="C54" s="3" t="s">
        <v>3363</v>
      </c>
      <c r="D54" s="3" t="s">
        <v>3364</v>
      </c>
      <c r="E54" s="3" t="s">
        <v>3052</v>
      </c>
      <c r="F54" s="3" t="s">
        <v>3365</v>
      </c>
      <c r="G54" s="3" t="s">
        <v>3054</v>
      </c>
      <c r="H54" s="4"/>
      <c r="I54" s="3" t="s">
        <v>3186</v>
      </c>
    </row>
    <row r="55">
      <c r="A55" s="20" t="s">
        <v>3366</v>
      </c>
      <c r="B55" s="3" t="s">
        <v>3367</v>
      </c>
      <c r="C55" s="3" t="s">
        <v>3368</v>
      </c>
      <c r="D55" s="3" t="s">
        <v>3369</v>
      </c>
      <c r="E55" s="3" t="s">
        <v>3073</v>
      </c>
      <c r="F55" s="3" t="s">
        <v>3370</v>
      </c>
      <c r="G55" s="3" t="s">
        <v>3054</v>
      </c>
      <c r="H55" s="21" t="s">
        <v>3371</v>
      </c>
      <c r="I55" s="3" t="s">
        <v>3099</v>
      </c>
    </row>
    <row r="56">
      <c r="A56" s="20" t="s">
        <v>3372</v>
      </c>
      <c r="B56" s="3" t="s">
        <v>3373</v>
      </c>
      <c r="C56" s="4"/>
      <c r="D56" s="3" t="s">
        <v>3115</v>
      </c>
      <c r="E56" s="3" t="s">
        <v>3116</v>
      </c>
      <c r="F56" s="4"/>
      <c r="G56" s="3" t="s">
        <v>3054</v>
      </c>
      <c r="H56" s="3" t="s">
        <v>3054</v>
      </c>
      <c r="I56" s="3" t="s">
        <v>3054</v>
      </c>
    </row>
    <row r="57">
      <c r="A57" s="20" t="s">
        <v>3374</v>
      </c>
      <c r="B57" s="3" t="s">
        <v>3375</v>
      </c>
      <c r="C57" s="3" t="s">
        <v>3376</v>
      </c>
      <c r="D57" s="3" t="s">
        <v>3377</v>
      </c>
      <c r="E57" s="3" t="s">
        <v>3260</v>
      </c>
      <c r="F57" s="3" t="s">
        <v>3378</v>
      </c>
      <c r="G57" s="3" t="s">
        <v>3054</v>
      </c>
      <c r="H57" s="21" t="s">
        <v>3379</v>
      </c>
      <c r="I57" s="3" t="s">
        <v>3054</v>
      </c>
    </row>
    <row r="58">
      <c r="A58" s="20" t="s">
        <v>3380</v>
      </c>
      <c r="B58" s="3" t="s">
        <v>3381</v>
      </c>
      <c r="C58" s="3" t="s">
        <v>3382</v>
      </c>
      <c r="D58" s="3" t="s">
        <v>3383</v>
      </c>
      <c r="E58" s="3" t="s">
        <v>3384</v>
      </c>
      <c r="F58" s="3" t="s">
        <v>3385</v>
      </c>
      <c r="G58" s="3" t="s">
        <v>3054</v>
      </c>
      <c r="H58" s="21" t="s">
        <v>3386</v>
      </c>
      <c r="I58" s="3" t="s">
        <v>3061</v>
      </c>
    </row>
    <row r="59">
      <c r="A59" s="20" t="s">
        <v>3387</v>
      </c>
      <c r="B59" s="3" t="s">
        <v>3388</v>
      </c>
      <c r="C59" s="3" t="s">
        <v>3389</v>
      </c>
      <c r="D59" s="3" t="s">
        <v>3390</v>
      </c>
      <c r="E59" s="3" t="s">
        <v>3052</v>
      </c>
      <c r="F59" s="3" t="s">
        <v>3391</v>
      </c>
      <c r="G59" s="3" t="s">
        <v>3392</v>
      </c>
      <c r="H59" s="3" t="s">
        <v>3054</v>
      </c>
      <c r="I59" s="3" t="s">
        <v>3099</v>
      </c>
    </row>
    <row r="60">
      <c r="A60" s="20" t="s">
        <v>3393</v>
      </c>
      <c r="B60" s="3" t="s">
        <v>3394</v>
      </c>
      <c r="C60" s="3" t="s">
        <v>3395</v>
      </c>
      <c r="D60" s="3" t="s">
        <v>3396</v>
      </c>
      <c r="E60" s="3" t="s">
        <v>3096</v>
      </c>
      <c r="F60" s="3" t="s">
        <v>3397</v>
      </c>
      <c r="G60" s="3" t="s">
        <v>3398</v>
      </c>
      <c r="H60" s="3" t="s">
        <v>3054</v>
      </c>
      <c r="I60" s="3" t="s">
        <v>3099</v>
      </c>
    </row>
    <row r="61">
      <c r="A61" s="20" t="s">
        <v>3399</v>
      </c>
      <c r="B61" s="3" t="s">
        <v>3400</v>
      </c>
      <c r="C61" s="3" t="s">
        <v>3401</v>
      </c>
      <c r="D61" s="3" t="s">
        <v>3402</v>
      </c>
      <c r="E61" s="3" t="s">
        <v>3403</v>
      </c>
      <c r="F61" s="3" t="s">
        <v>3404</v>
      </c>
      <c r="G61" s="3" t="s">
        <v>3054</v>
      </c>
      <c r="H61" s="21" t="s">
        <v>3405</v>
      </c>
      <c r="I61" s="3" t="s">
        <v>3099</v>
      </c>
    </row>
    <row r="62">
      <c r="A62" s="20" t="s">
        <v>3406</v>
      </c>
      <c r="B62" s="3" t="s">
        <v>454</v>
      </c>
      <c r="C62" s="3" t="s">
        <v>3407</v>
      </c>
      <c r="D62" s="3" t="s">
        <v>3408</v>
      </c>
      <c r="E62" s="3" t="s">
        <v>3073</v>
      </c>
      <c r="F62" s="3" t="s">
        <v>3409</v>
      </c>
      <c r="G62" s="3" t="s">
        <v>3054</v>
      </c>
      <c r="H62" s="21" t="s">
        <v>3410</v>
      </c>
      <c r="I62" s="3" t="s">
        <v>3099</v>
      </c>
    </row>
    <row r="63">
      <c r="A63" s="20" t="s">
        <v>3411</v>
      </c>
      <c r="B63" s="3" t="s">
        <v>3412</v>
      </c>
      <c r="C63" s="4"/>
      <c r="D63" s="3" t="s">
        <v>3115</v>
      </c>
      <c r="E63" s="3" t="s">
        <v>3116</v>
      </c>
      <c r="F63" s="4"/>
      <c r="G63" s="3" t="s">
        <v>3054</v>
      </c>
      <c r="H63" s="3" t="s">
        <v>3054</v>
      </c>
      <c r="I63" s="3" t="s">
        <v>3054</v>
      </c>
    </row>
    <row r="64">
      <c r="A64" s="20" t="s">
        <v>3413</v>
      </c>
      <c r="B64" s="3" t="s">
        <v>1416</v>
      </c>
      <c r="C64" s="3" t="s">
        <v>3414</v>
      </c>
      <c r="D64" s="3" t="s">
        <v>3415</v>
      </c>
      <c r="E64" s="3" t="s">
        <v>3052</v>
      </c>
      <c r="F64" s="3" t="s">
        <v>3416</v>
      </c>
      <c r="G64" s="3" t="s">
        <v>3054</v>
      </c>
      <c r="H64" s="21" t="s">
        <v>3417</v>
      </c>
      <c r="I64" s="3" t="s">
        <v>3069</v>
      </c>
    </row>
    <row r="65">
      <c r="A65" s="20" t="s">
        <v>3418</v>
      </c>
      <c r="B65" s="3" t="s">
        <v>3419</v>
      </c>
      <c r="C65" s="4"/>
      <c r="D65" s="3" t="s">
        <v>3115</v>
      </c>
      <c r="E65" s="3" t="s">
        <v>3116</v>
      </c>
      <c r="F65" s="4"/>
      <c r="G65" s="3" t="s">
        <v>3054</v>
      </c>
      <c r="H65" s="3" t="s">
        <v>3054</v>
      </c>
      <c r="I65" s="3" t="s">
        <v>3054</v>
      </c>
    </row>
    <row r="66">
      <c r="A66" s="20" t="s">
        <v>3420</v>
      </c>
      <c r="B66" s="3" t="s">
        <v>3421</v>
      </c>
      <c r="C66" s="3" t="s">
        <v>3422</v>
      </c>
      <c r="D66" s="3" t="s">
        <v>3423</v>
      </c>
      <c r="E66" s="3" t="s">
        <v>3424</v>
      </c>
      <c r="F66" s="3" t="s">
        <v>3425</v>
      </c>
      <c r="G66" s="3" t="s">
        <v>3054</v>
      </c>
      <c r="H66" s="21" t="s">
        <v>3426</v>
      </c>
      <c r="I66" s="3" t="s">
        <v>3076</v>
      </c>
    </row>
    <row r="67">
      <c r="A67" s="20" t="s">
        <v>3427</v>
      </c>
      <c r="B67" s="3" t="s">
        <v>3428</v>
      </c>
      <c r="C67" s="3" t="s">
        <v>3429</v>
      </c>
      <c r="D67" s="3" t="s">
        <v>3430</v>
      </c>
      <c r="E67" s="3" t="s">
        <v>3052</v>
      </c>
      <c r="F67" s="3" t="s">
        <v>3431</v>
      </c>
      <c r="G67" s="3" t="s">
        <v>3432</v>
      </c>
      <c r="H67" s="3" t="s">
        <v>3054</v>
      </c>
      <c r="I67" s="3" t="s">
        <v>3099</v>
      </c>
    </row>
    <row r="68">
      <c r="A68" s="20" t="s">
        <v>3433</v>
      </c>
      <c r="B68" s="3" t="s">
        <v>3434</v>
      </c>
      <c r="C68" s="3" t="s">
        <v>3435</v>
      </c>
      <c r="D68" s="3" t="s">
        <v>3436</v>
      </c>
      <c r="E68" s="3" t="s">
        <v>3403</v>
      </c>
      <c r="F68" s="3" t="s">
        <v>3437</v>
      </c>
      <c r="G68" s="3" t="s">
        <v>3054</v>
      </c>
      <c r="H68" s="4"/>
      <c r="I68" s="3" t="s">
        <v>3099</v>
      </c>
    </row>
    <row r="69">
      <c r="A69" s="20" t="s">
        <v>3438</v>
      </c>
      <c r="B69" s="3" t="s">
        <v>3439</v>
      </c>
      <c r="C69" s="3" t="s">
        <v>3440</v>
      </c>
      <c r="D69" s="3" t="s">
        <v>3441</v>
      </c>
      <c r="E69" s="3" t="s">
        <v>3052</v>
      </c>
      <c r="F69" s="3" t="s">
        <v>3442</v>
      </c>
      <c r="G69" s="3" t="s">
        <v>3054</v>
      </c>
      <c r="H69" s="21" t="s">
        <v>3443</v>
      </c>
      <c r="I69" s="3" t="s">
        <v>3061</v>
      </c>
    </row>
    <row r="70">
      <c r="A70" s="20" t="s">
        <v>3444</v>
      </c>
      <c r="B70" s="3" t="s">
        <v>3445</v>
      </c>
      <c r="C70" s="3" t="s">
        <v>3446</v>
      </c>
      <c r="D70" s="3" t="s">
        <v>3447</v>
      </c>
      <c r="E70" s="3" t="s">
        <v>3448</v>
      </c>
      <c r="F70" s="3" t="s">
        <v>3449</v>
      </c>
      <c r="G70" s="3" t="s">
        <v>3054</v>
      </c>
      <c r="H70" s="21" t="s">
        <v>3450</v>
      </c>
      <c r="I70" s="3" t="s">
        <v>3137</v>
      </c>
    </row>
    <row r="71">
      <c r="A71" s="20" t="s">
        <v>3451</v>
      </c>
      <c r="B71" s="3" t="s">
        <v>3452</v>
      </c>
      <c r="C71" s="4"/>
      <c r="D71" s="3" t="s">
        <v>3115</v>
      </c>
      <c r="E71" s="3" t="s">
        <v>3116</v>
      </c>
      <c r="F71" s="4"/>
      <c r="G71" s="3" t="s">
        <v>3054</v>
      </c>
      <c r="H71" s="3" t="s">
        <v>3054</v>
      </c>
      <c r="I71" s="3" t="s">
        <v>3054</v>
      </c>
    </row>
    <row r="72">
      <c r="A72" s="20" t="s">
        <v>3453</v>
      </c>
      <c r="B72" s="3" t="s">
        <v>3454</v>
      </c>
      <c r="C72" s="3" t="s">
        <v>3455</v>
      </c>
      <c r="D72" s="3" t="s">
        <v>3456</v>
      </c>
      <c r="E72" s="3" t="s">
        <v>3052</v>
      </c>
      <c r="F72" s="3" t="s">
        <v>3457</v>
      </c>
      <c r="G72" s="3" t="s">
        <v>3054</v>
      </c>
      <c r="H72" s="4"/>
      <c r="I72" s="3" t="s">
        <v>3137</v>
      </c>
    </row>
    <row r="73">
      <c r="A73" s="20" t="s">
        <v>3458</v>
      </c>
      <c r="B73" s="3" t="s">
        <v>3459</v>
      </c>
      <c r="C73" s="3" t="s">
        <v>3460</v>
      </c>
      <c r="D73" s="3" t="s">
        <v>3461</v>
      </c>
      <c r="E73" s="3" t="s">
        <v>3096</v>
      </c>
      <c r="F73" s="3" t="s">
        <v>3462</v>
      </c>
      <c r="G73" s="3" t="s">
        <v>3054</v>
      </c>
      <c r="H73" s="3" t="s">
        <v>3054</v>
      </c>
      <c r="I73" s="3" t="s">
        <v>3137</v>
      </c>
    </row>
    <row r="74">
      <c r="A74" s="20" t="s">
        <v>3463</v>
      </c>
      <c r="B74" s="3" t="s">
        <v>2175</v>
      </c>
      <c r="C74" s="3" t="s">
        <v>3464</v>
      </c>
      <c r="D74" s="3" t="s">
        <v>3465</v>
      </c>
      <c r="E74" s="3" t="s">
        <v>3222</v>
      </c>
      <c r="F74" s="3" t="s">
        <v>3466</v>
      </c>
      <c r="G74" s="3" t="s">
        <v>3467</v>
      </c>
      <c r="H74" s="3" t="s">
        <v>3054</v>
      </c>
      <c r="I74" s="3" t="s">
        <v>3076</v>
      </c>
    </row>
    <row r="75">
      <c r="A75" s="20" t="s">
        <v>3468</v>
      </c>
      <c r="B75" s="3" t="s">
        <v>3469</v>
      </c>
      <c r="C75" s="3" t="s">
        <v>3470</v>
      </c>
      <c r="D75" s="3" t="s">
        <v>3471</v>
      </c>
      <c r="E75" s="3" t="s">
        <v>3073</v>
      </c>
      <c r="F75" s="3" t="s">
        <v>3472</v>
      </c>
      <c r="G75" s="3" t="s">
        <v>3054</v>
      </c>
      <c r="H75" s="4"/>
      <c r="I75" s="3" t="s">
        <v>3099</v>
      </c>
    </row>
    <row r="76">
      <c r="A76" s="20" t="s">
        <v>3473</v>
      </c>
      <c r="B76" s="3" t="s">
        <v>3474</v>
      </c>
      <c r="C76" s="3" t="s">
        <v>3475</v>
      </c>
      <c r="D76" s="3" t="s">
        <v>3476</v>
      </c>
      <c r="E76" s="3" t="s">
        <v>3073</v>
      </c>
      <c r="F76" s="3" t="s">
        <v>3477</v>
      </c>
      <c r="G76" s="3" t="s">
        <v>3478</v>
      </c>
      <c r="H76" s="4"/>
      <c r="I76" s="3" t="s">
        <v>3137</v>
      </c>
    </row>
    <row r="77">
      <c r="A77" s="20" t="s">
        <v>3479</v>
      </c>
      <c r="B77" s="3" t="s">
        <v>928</v>
      </c>
      <c r="C77" s="3" t="s">
        <v>3480</v>
      </c>
      <c r="D77" s="3" t="s">
        <v>3481</v>
      </c>
      <c r="E77" s="3" t="s">
        <v>3073</v>
      </c>
      <c r="F77" s="3" t="s">
        <v>3482</v>
      </c>
      <c r="G77" s="3" t="s">
        <v>3054</v>
      </c>
      <c r="H77" s="21" t="s">
        <v>3483</v>
      </c>
      <c r="I77" s="3" t="s">
        <v>3099</v>
      </c>
    </row>
    <row r="78">
      <c r="A78" s="20" t="s">
        <v>3484</v>
      </c>
      <c r="B78" s="3" t="s">
        <v>3485</v>
      </c>
      <c r="C78" s="4"/>
      <c r="D78" s="3" t="s">
        <v>3115</v>
      </c>
      <c r="E78" s="3" t="s">
        <v>3116</v>
      </c>
      <c r="F78" s="4"/>
      <c r="G78" s="3" t="s">
        <v>3054</v>
      </c>
      <c r="H78" s="3" t="s">
        <v>3054</v>
      </c>
      <c r="I78" s="3" t="s">
        <v>3054</v>
      </c>
    </row>
    <row r="79">
      <c r="A79" s="20" t="s">
        <v>3486</v>
      </c>
      <c r="B79" s="3" t="s">
        <v>2017</v>
      </c>
      <c r="C79" s="3" t="s">
        <v>3487</v>
      </c>
      <c r="D79" s="3" t="s">
        <v>3488</v>
      </c>
      <c r="E79" s="3" t="s">
        <v>3052</v>
      </c>
      <c r="F79" s="3" t="s">
        <v>3489</v>
      </c>
      <c r="G79" s="3" t="s">
        <v>3054</v>
      </c>
      <c r="H79" s="21" t="s">
        <v>3490</v>
      </c>
      <c r="I79" s="3" t="s">
        <v>3491</v>
      </c>
    </row>
    <row r="80">
      <c r="A80" s="20" t="s">
        <v>3492</v>
      </c>
      <c r="B80" s="3" t="s">
        <v>3493</v>
      </c>
      <c r="C80" s="3" t="s">
        <v>3494</v>
      </c>
      <c r="D80" s="3" t="s">
        <v>3495</v>
      </c>
      <c r="E80" s="3" t="s">
        <v>3235</v>
      </c>
      <c r="F80" s="3" t="s">
        <v>3496</v>
      </c>
      <c r="G80" s="3" t="s">
        <v>3054</v>
      </c>
      <c r="H80" s="21" t="s">
        <v>3497</v>
      </c>
      <c r="I80" s="3" t="s">
        <v>3137</v>
      </c>
    </row>
    <row r="81">
      <c r="A81" s="20" t="s">
        <v>3498</v>
      </c>
      <c r="B81" s="3" t="s">
        <v>3499</v>
      </c>
      <c r="C81" s="3" t="s">
        <v>3500</v>
      </c>
      <c r="D81" s="3" t="s">
        <v>3501</v>
      </c>
      <c r="E81" s="3" t="s">
        <v>3052</v>
      </c>
      <c r="F81" s="3" t="s">
        <v>3502</v>
      </c>
      <c r="G81" s="3" t="s">
        <v>3503</v>
      </c>
      <c r="H81" s="3" t="s">
        <v>3054</v>
      </c>
      <c r="I81" s="3" t="s">
        <v>3054</v>
      </c>
    </row>
    <row r="82">
      <c r="A82" s="20" t="s">
        <v>3504</v>
      </c>
      <c r="B82" s="3" t="s">
        <v>582</v>
      </c>
      <c r="C82" s="3" t="s">
        <v>3505</v>
      </c>
      <c r="D82" s="3" t="s">
        <v>3506</v>
      </c>
      <c r="E82" s="3" t="s">
        <v>3073</v>
      </c>
      <c r="F82" s="3" t="s">
        <v>3507</v>
      </c>
      <c r="G82" s="3" t="s">
        <v>3508</v>
      </c>
      <c r="H82" s="4"/>
      <c r="I82" s="3" t="s">
        <v>3123</v>
      </c>
    </row>
    <row r="83">
      <c r="A83" s="20" t="s">
        <v>3509</v>
      </c>
      <c r="B83" s="3" t="s">
        <v>3510</v>
      </c>
      <c r="C83" s="4"/>
      <c r="D83" s="3" t="s">
        <v>3115</v>
      </c>
      <c r="E83" s="3" t="s">
        <v>3116</v>
      </c>
      <c r="F83" s="4"/>
      <c r="G83" s="3" t="s">
        <v>3054</v>
      </c>
      <c r="H83" s="3" t="s">
        <v>3054</v>
      </c>
      <c r="I83" s="3" t="s">
        <v>3054</v>
      </c>
    </row>
    <row r="84">
      <c r="A84" s="20" t="s">
        <v>3511</v>
      </c>
      <c r="B84" s="3" t="s">
        <v>3512</v>
      </c>
      <c r="C84" s="3" t="s">
        <v>3513</v>
      </c>
      <c r="D84" s="3" t="s">
        <v>3514</v>
      </c>
      <c r="E84" s="3" t="s">
        <v>3096</v>
      </c>
      <c r="F84" s="3" t="s">
        <v>3515</v>
      </c>
      <c r="G84" s="3" t="s">
        <v>3516</v>
      </c>
      <c r="H84" s="3" t="s">
        <v>3054</v>
      </c>
      <c r="I84" s="3" t="s">
        <v>3137</v>
      </c>
    </row>
    <row r="85">
      <c r="A85" s="20" t="s">
        <v>3517</v>
      </c>
      <c r="B85" s="3" t="s">
        <v>3518</v>
      </c>
      <c r="C85" s="3" t="s">
        <v>3519</v>
      </c>
      <c r="D85" s="3" t="s">
        <v>3520</v>
      </c>
      <c r="E85" s="3" t="s">
        <v>3521</v>
      </c>
      <c r="F85" s="3" t="s">
        <v>3522</v>
      </c>
      <c r="G85" s="3" t="s">
        <v>3523</v>
      </c>
      <c r="H85" s="21" t="s">
        <v>3524</v>
      </c>
      <c r="I85" s="3" t="s">
        <v>3099</v>
      </c>
    </row>
    <row r="86">
      <c r="A86" s="20" t="s">
        <v>3525</v>
      </c>
      <c r="B86" s="3" t="s">
        <v>3526</v>
      </c>
      <c r="C86" s="3" t="s">
        <v>3527</v>
      </c>
      <c r="D86" s="3" t="s">
        <v>3528</v>
      </c>
      <c r="E86" s="3" t="s">
        <v>3096</v>
      </c>
      <c r="F86" s="3" t="s">
        <v>3529</v>
      </c>
      <c r="G86" s="3" t="s">
        <v>3530</v>
      </c>
      <c r="H86" s="3" t="s">
        <v>3054</v>
      </c>
      <c r="I86" s="3" t="s">
        <v>3186</v>
      </c>
    </row>
    <row r="87">
      <c r="A87" s="20" t="s">
        <v>3531</v>
      </c>
      <c r="B87" s="3" t="s">
        <v>3532</v>
      </c>
      <c r="C87" s="3" t="s">
        <v>3533</v>
      </c>
      <c r="D87" s="3" t="s">
        <v>3534</v>
      </c>
      <c r="E87" s="3" t="s">
        <v>3177</v>
      </c>
      <c r="F87" s="3" t="s">
        <v>3535</v>
      </c>
      <c r="G87" s="3" t="s">
        <v>3054</v>
      </c>
      <c r="H87" s="21" t="s">
        <v>3536</v>
      </c>
      <c r="I87" s="3" t="s">
        <v>3054</v>
      </c>
    </row>
    <row r="88">
      <c r="A88" s="20" t="s">
        <v>3537</v>
      </c>
      <c r="B88" s="3" t="s">
        <v>3538</v>
      </c>
      <c r="C88" s="3" t="s">
        <v>3539</v>
      </c>
      <c r="D88" s="3" t="s">
        <v>3540</v>
      </c>
      <c r="E88" s="3" t="s">
        <v>3052</v>
      </c>
      <c r="F88" s="3" t="s">
        <v>3541</v>
      </c>
      <c r="G88" s="3" t="s">
        <v>3542</v>
      </c>
      <c r="H88" s="4"/>
      <c r="I88" s="3" t="s">
        <v>3061</v>
      </c>
    </row>
    <row r="89">
      <c r="A89" s="20" t="s">
        <v>3543</v>
      </c>
      <c r="B89" s="3" t="s">
        <v>3544</v>
      </c>
      <c r="C89" s="3" t="s">
        <v>3545</v>
      </c>
      <c r="D89" s="3" t="s">
        <v>3546</v>
      </c>
      <c r="E89" s="3" t="s">
        <v>3089</v>
      </c>
      <c r="F89" s="3" t="s">
        <v>3547</v>
      </c>
      <c r="G89" s="3" t="s">
        <v>3054</v>
      </c>
      <c r="H89" s="21" t="s">
        <v>3548</v>
      </c>
      <c r="I89" s="3" t="s">
        <v>3076</v>
      </c>
    </row>
    <row r="90">
      <c r="A90" s="20" t="s">
        <v>3549</v>
      </c>
      <c r="B90" s="3" t="s">
        <v>628</v>
      </c>
      <c r="C90" s="3" t="s">
        <v>3550</v>
      </c>
      <c r="D90" s="3" t="s">
        <v>3551</v>
      </c>
      <c r="E90" s="3" t="s">
        <v>3235</v>
      </c>
      <c r="F90" s="3" t="s">
        <v>3552</v>
      </c>
      <c r="G90" s="3" t="s">
        <v>3054</v>
      </c>
      <c r="H90" s="3" t="s">
        <v>3054</v>
      </c>
      <c r="I90" s="3" t="s">
        <v>3137</v>
      </c>
    </row>
    <row r="91">
      <c r="A91" s="20" t="s">
        <v>3553</v>
      </c>
      <c r="B91" s="3" t="s">
        <v>3554</v>
      </c>
      <c r="C91" s="3" t="s">
        <v>3555</v>
      </c>
      <c r="D91" s="3" t="s">
        <v>3556</v>
      </c>
      <c r="E91" s="3" t="s">
        <v>3052</v>
      </c>
      <c r="F91" s="3" t="s">
        <v>3557</v>
      </c>
      <c r="G91" s="3" t="s">
        <v>3558</v>
      </c>
      <c r="H91" s="21" t="s">
        <v>3559</v>
      </c>
      <c r="I91" s="3" t="s">
        <v>3099</v>
      </c>
    </row>
    <row r="92">
      <c r="A92" s="20" t="s">
        <v>3560</v>
      </c>
      <c r="B92" s="3" t="s">
        <v>3561</v>
      </c>
      <c r="C92" s="3" t="s">
        <v>3562</v>
      </c>
      <c r="D92" s="3" t="s">
        <v>3563</v>
      </c>
      <c r="E92" s="3" t="s">
        <v>3073</v>
      </c>
      <c r="F92" s="3" t="s">
        <v>3564</v>
      </c>
      <c r="G92" s="3" t="s">
        <v>3054</v>
      </c>
      <c r="H92" s="21" t="s">
        <v>3565</v>
      </c>
      <c r="I92" s="3" t="s">
        <v>3061</v>
      </c>
    </row>
    <row r="93">
      <c r="A93" s="20" t="s">
        <v>3566</v>
      </c>
      <c r="B93" s="3" t="s">
        <v>3567</v>
      </c>
      <c r="C93" s="3" t="s">
        <v>3568</v>
      </c>
      <c r="D93" s="3" t="s">
        <v>3569</v>
      </c>
      <c r="E93" s="3" t="s">
        <v>3570</v>
      </c>
      <c r="F93" s="3" t="s">
        <v>3571</v>
      </c>
      <c r="G93" s="3" t="s">
        <v>3054</v>
      </c>
      <c r="H93" s="21" t="s">
        <v>3572</v>
      </c>
      <c r="I93" s="3" t="s">
        <v>3137</v>
      </c>
    </row>
    <row r="94">
      <c r="A94" s="20" t="s">
        <v>3573</v>
      </c>
      <c r="B94" s="3" t="s">
        <v>1475</v>
      </c>
      <c r="C94" s="3" t="s">
        <v>3574</v>
      </c>
      <c r="D94" s="3" t="s">
        <v>3575</v>
      </c>
      <c r="E94" s="3" t="s">
        <v>3096</v>
      </c>
      <c r="F94" s="3" t="s">
        <v>3576</v>
      </c>
      <c r="G94" s="3" t="s">
        <v>3577</v>
      </c>
      <c r="H94" s="21" t="s">
        <v>3578</v>
      </c>
      <c r="I94" s="3" t="s">
        <v>3076</v>
      </c>
    </row>
    <row r="95">
      <c r="A95" s="20" t="s">
        <v>3579</v>
      </c>
      <c r="B95" s="3" t="s">
        <v>3580</v>
      </c>
      <c r="C95" s="3" t="s">
        <v>3581</v>
      </c>
      <c r="D95" s="3" t="s">
        <v>3582</v>
      </c>
      <c r="E95" s="3" t="s">
        <v>3235</v>
      </c>
      <c r="F95" s="3" t="s">
        <v>3583</v>
      </c>
      <c r="G95" s="3" t="s">
        <v>3584</v>
      </c>
      <c r="H95" s="21" t="s">
        <v>3585</v>
      </c>
      <c r="I95" s="3" t="s">
        <v>3137</v>
      </c>
    </row>
    <row r="96">
      <c r="A96" s="20" t="s">
        <v>3586</v>
      </c>
      <c r="B96" s="3" t="s">
        <v>3587</v>
      </c>
      <c r="C96" s="4"/>
      <c r="D96" s="3" t="s">
        <v>3115</v>
      </c>
      <c r="E96" s="3" t="s">
        <v>3116</v>
      </c>
      <c r="F96" s="4"/>
      <c r="G96" s="3" t="s">
        <v>3054</v>
      </c>
      <c r="H96" s="3" t="s">
        <v>3054</v>
      </c>
      <c r="I96" s="3" t="s">
        <v>3054</v>
      </c>
    </row>
    <row r="97">
      <c r="A97" s="20" t="s">
        <v>3588</v>
      </c>
      <c r="B97" s="3" t="s">
        <v>3589</v>
      </c>
      <c r="C97" s="3" t="s">
        <v>3590</v>
      </c>
      <c r="D97" s="3" t="s">
        <v>3591</v>
      </c>
      <c r="E97" s="3" t="s">
        <v>3096</v>
      </c>
      <c r="F97" s="3" t="s">
        <v>3592</v>
      </c>
      <c r="G97" s="3" t="s">
        <v>3054</v>
      </c>
      <c r="H97" s="3" t="s">
        <v>3054</v>
      </c>
      <c r="I97" s="3" t="s">
        <v>3186</v>
      </c>
    </row>
    <row r="98">
      <c r="A98" s="20" t="s">
        <v>3593</v>
      </c>
      <c r="B98" s="3" t="s">
        <v>3594</v>
      </c>
      <c r="C98" s="3" t="s">
        <v>3595</v>
      </c>
      <c r="D98" s="3" t="s">
        <v>3596</v>
      </c>
      <c r="E98" s="3" t="s">
        <v>3052</v>
      </c>
      <c r="F98" s="3" t="s">
        <v>3597</v>
      </c>
      <c r="G98" s="3" t="s">
        <v>3054</v>
      </c>
      <c r="H98" s="21" t="s">
        <v>3598</v>
      </c>
      <c r="I98" s="3" t="s">
        <v>3099</v>
      </c>
    </row>
    <row r="99">
      <c r="A99" s="20" t="s">
        <v>3599</v>
      </c>
      <c r="B99" s="3" t="s">
        <v>3600</v>
      </c>
      <c r="C99" s="3" t="s">
        <v>3601</v>
      </c>
      <c r="D99" s="3" t="s">
        <v>3602</v>
      </c>
      <c r="E99" s="3" t="s">
        <v>3073</v>
      </c>
      <c r="F99" s="3" t="s">
        <v>3603</v>
      </c>
      <c r="G99" s="3" t="s">
        <v>3054</v>
      </c>
      <c r="H99" s="3" t="s">
        <v>3054</v>
      </c>
      <c r="I99" s="3" t="s">
        <v>3099</v>
      </c>
    </row>
    <row r="100">
      <c r="A100" s="20" t="s">
        <v>3604</v>
      </c>
      <c r="B100" s="3" t="s">
        <v>3605</v>
      </c>
      <c r="C100" s="3" t="s">
        <v>3606</v>
      </c>
      <c r="D100" s="3" t="s">
        <v>3607</v>
      </c>
      <c r="E100" s="3" t="s">
        <v>3052</v>
      </c>
      <c r="F100" s="3" t="s">
        <v>3608</v>
      </c>
      <c r="G100" s="3" t="s">
        <v>3054</v>
      </c>
      <c r="H100" s="21" t="s">
        <v>3609</v>
      </c>
      <c r="I100" s="3" t="s">
        <v>3099</v>
      </c>
    </row>
    <row r="101">
      <c r="A101" s="20" t="s">
        <v>3610</v>
      </c>
      <c r="B101" s="3" t="s">
        <v>1460</v>
      </c>
      <c r="C101" s="3" t="s">
        <v>3611</v>
      </c>
      <c r="D101" s="3" t="s">
        <v>3612</v>
      </c>
      <c r="E101" s="3" t="s">
        <v>3052</v>
      </c>
      <c r="F101" s="3" t="s">
        <v>3613</v>
      </c>
      <c r="G101" s="3" t="s">
        <v>3054</v>
      </c>
      <c r="H101" s="3" t="s">
        <v>3054</v>
      </c>
      <c r="I101" s="3" t="s">
        <v>3099</v>
      </c>
    </row>
    <row r="102">
      <c r="A102" s="20" t="s">
        <v>3614</v>
      </c>
      <c r="B102" s="3" t="s">
        <v>3615</v>
      </c>
      <c r="C102" s="4"/>
      <c r="D102" s="3" t="s">
        <v>3115</v>
      </c>
      <c r="E102" s="3" t="s">
        <v>3116</v>
      </c>
      <c r="F102" s="4"/>
      <c r="G102" s="3" t="s">
        <v>3054</v>
      </c>
      <c r="H102" s="3" t="s">
        <v>3054</v>
      </c>
      <c r="I102" s="3" t="s">
        <v>3054</v>
      </c>
    </row>
    <row r="103">
      <c r="A103" s="20" t="s">
        <v>3616</v>
      </c>
      <c r="B103" s="3" t="s">
        <v>3617</v>
      </c>
      <c r="C103" s="3" t="s">
        <v>3618</v>
      </c>
      <c r="D103" s="3" t="s">
        <v>3619</v>
      </c>
      <c r="E103" s="3" t="s">
        <v>3052</v>
      </c>
      <c r="F103" s="3" t="s">
        <v>3620</v>
      </c>
      <c r="G103" s="3" t="s">
        <v>3054</v>
      </c>
      <c r="H103" s="3" t="s">
        <v>3054</v>
      </c>
      <c r="I103" s="3" t="s">
        <v>3069</v>
      </c>
    </row>
    <row r="104">
      <c r="A104" s="20" t="s">
        <v>3621</v>
      </c>
      <c r="B104" s="3" t="s">
        <v>3622</v>
      </c>
      <c r="C104" s="3" t="s">
        <v>3623</v>
      </c>
      <c r="D104" s="3" t="s">
        <v>3624</v>
      </c>
      <c r="E104" s="3" t="s">
        <v>3073</v>
      </c>
      <c r="F104" s="3" t="s">
        <v>3625</v>
      </c>
      <c r="G104" s="3" t="s">
        <v>3626</v>
      </c>
      <c r="H104" s="3" t="s">
        <v>3054</v>
      </c>
      <c r="I104" s="3" t="s">
        <v>3076</v>
      </c>
    </row>
    <row r="105">
      <c r="A105" s="20" t="s">
        <v>3627</v>
      </c>
      <c r="B105" s="3" t="s">
        <v>3628</v>
      </c>
      <c r="C105" s="3" t="s">
        <v>3629</v>
      </c>
      <c r="D105" s="3" t="s">
        <v>3630</v>
      </c>
      <c r="E105" s="3" t="s">
        <v>3073</v>
      </c>
      <c r="F105" s="3" t="s">
        <v>3631</v>
      </c>
      <c r="G105" s="3" t="s">
        <v>3054</v>
      </c>
      <c r="H105" s="21" t="s">
        <v>3632</v>
      </c>
      <c r="I105" s="3" t="s">
        <v>3061</v>
      </c>
    </row>
    <row r="106">
      <c r="A106" s="20" t="s">
        <v>3633</v>
      </c>
      <c r="B106" s="3" t="s">
        <v>3634</v>
      </c>
      <c r="C106" s="3" t="s">
        <v>3635</v>
      </c>
      <c r="D106" s="3" t="s">
        <v>3636</v>
      </c>
      <c r="E106" s="3" t="s">
        <v>3637</v>
      </c>
      <c r="F106" s="3" t="s">
        <v>3638</v>
      </c>
      <c r="G106" s="3" t="s">
        <v>3054</v>
      </c>
      <c r="H106" s="21" t="s">
        <v>3639</v>
      </c>
      <c r="I106" s="3" t="s">
        <v>3640</v>
      </c>
    </row>
    <row r="107">
      <c r="A107" s="20" t="s">
        <v>3641</v>
      </c>
      <c r="B107" s="3" t="s">
        <v>3642</v>
      </c>
      <c r="C107" s="3" t="s">
        <v>3643</v>
      </c>
      <c r="D107" s="3" t="s">
        <v>3644</v>
      </c>
      <c r="E107" s="3" t="s">
        <v>3645</v>
      </c>
      <c r="F107" s="3" t="s">
        <v>3646</v>
      </c>
      <c r="G107" s="3" t="s">
        <v>3054</v>
      </c>
      <c r="H107" s="21" t="s">
        <v>3647</v>
      </c>
      <c r="I107" s="3" t="s">
        <v>3186</v>
      </c>
    </row>
    <row r="108">
      <c r="A108" s="20" t="s">
        <v>3648</v>
      </c>
      <c r="B108" s="3" t="s">
        <v>3649</v>
      </c>
      <c r="C108" s="3" t="s">
        <v>3650</v>
      </c>
      <c r="D108" s="3" t="s">
        <v>3651</v>
      </c>
      <c r="E108" s="3" t="s">
        <v>3052</v>
      </c>
      <c r="F108" s="3" t="s">
        <v>3652</v>
      </c>
      <c r="G108" s="3" t="s">
        <v>3653</v>
      </c>
      <c r="H108" s="21" t="s">
        <v>3654</v>
      </c>
      <c r="I108" s="3" t="s">
        <v>3123</v>
      </c>
    </row>
    <row r="109">
      <c r="A109" s="20" t="s">
        <v>3655</v>
      </c>
      <c r="B109" s="3" t="s">
        <v>3656</v>
      </c>
      <c r="C109" s="3" t="s">
        <v>3657</v>
      </c>
      <c r="D109" s="3" t="s">
        <v>3658</v>
      </c>
      <c r="E109" s="3" t="s">
        <v>3073</v>
      </c>
      <c r="F109" s="3" t="s">
        <v>3659</v>
      </c>
      <c r="G109" s="3" t="s">
        <v>3054</v>
      </c>
      <c r="H109" s="21" t="s">
        <v>3660</v>
      </c>
      <c r="I109" s="3" t="s">
        <v>3186</v>
      </c>
    </row>
    <row r="110">
      <c r="A110" s="20" t="s">
        <v>3661</v>
      </c>
      <c r="B110" s="3" t="s">
        <v>3662</v>
      </c>
      <c r="C110" s="3" t="s">
        <v>3663</v>
      </c>
      <c r="D110" s="3" t="s">
        <v>3664</v>
      </c>
      <c r="E110" s="3" t="s">
        <v>3052</v>
      </c>
      <c r="F110" s="3" t="s">
        <v>3665</v>
      </c>
      <c r="G110" s="3" t="s">
        <v>3666</v>
      </c>
      <c r="H110" s="3" t="s">
        <v>3054</v>
      </c>
      <c r="I110" s="3" t="s">
        <v>3099</v>
      </c>
    </row>
    <row r="111">
      <c r="A111" s="20" t="s">
        <v>3667</v>
      </c>
      <c r="B111" s="3" t="s">
        <v>3668</v>
      </c>
      <c r="C111" s="3" t="s">
        <v>3669</v>
      </c>
      <c r="D111" s="3" t="s">
        <v>3670</v>
      </c>
      <c r="E111" s="3" t="s">
        <v>3052</v>
      </c>
      <c r="F111" s="3" t="s">
        <v>3671</v>
      </c>
      <c r="G111" s="3" t="s">
        <v>3054</v>
      </c>
      <c r="H111" s="21" t="s">
        <v>3672</v>
      </c>
      <c r="I111" s="3" t="s">
        <v>3186</v>
      </c>
    </row>
    <row r="112">
      <c r="A112" s="20" t="s">
        <v>3673</v>
      </c>
      <c r="B112" s="3" t="s">
        <v>3674</v>
      </c>
      <c r="C112" s="3" t="s">
        <v>3675</v>
      </c>
      <c r="D112" s="3" t="s">
        <v>3676</v>
      </c>
      <c r="E112" s="3" t="s">
        <v>3052</v>
      </c>
      <c r="F112" s="3" t="s">
        <v>3677</v>
      </c>
      <c r="G112" s="3" t="s">
        <v>3054</v>
      </c>
      <c r="H112" s="3" t="s">
        <v>3054</v>
      </c>
      <c r="I112" s="3" t="s">
        <v>3230</v>
      </c>
    </row>
    <row r="113">
      <c r="A113" s="20" t="s">
        <v>3678</v>
      </c>
      <c r="B113" s="3" t="s">
        <v>3679</v>
      </c>
      <c r="C113" s="3" t="s">
        <v>3680</v>
      </c>
      <c r="D113" s="3" t="s">
        <v>3681</v>
      </c>
      <c r="E113" s="3" t="s">
        <v>3052</v>
      </c>
      <c r="F113" s="3" t="s">
        <v>3682</v>
      </c>
      <c r="G113" s="3" t="s">
        <v>3054</v>
      </c>
      <c r="H113" s="4"/>
      <c r="I113" s="3" t="s">
        <v>3076</v>
      </c>
    </row>
    <row r="114">
      <c r="A114" s="20" t="s">
        <v>3683</v>
      </c>
      <c r="B114" s="3" t="s">
        <v>3684</v>
      </c>
      <c r="C114" s="3" t="s">
        <v>3685</v>
      </c>
      <c r="D114" s="3" t="s">
        <v>3686</v>
      </c>
      <c r="E114" s="3" t="s">
        <v>3073</v>
      </c>
      <c r="F114" s="3" t="s">
        <v>3687</v>
      </c>
      <c r="G114" s="3" t="s">
        <v>3688</v>
      </c>
      <c r="H114" s="3" t="s">
        <v>3054</v>
      </c>
      <c r="I114" s="3" t="s">
        <v>3137</v>
      </c>
    </row>
    <row r="115">
      <c r="A115" s="20" t="s">
        <v>3689</v>
      </c>
      <c r="B115" s="3" t="s">
        <v>3690</v>
      </c>
      <c r="C115" s="3" t="s">
        <v>3691</v>
      </c>
      <c r="D115" s="3" t="s">
        <v>3692</v>
      </c>
      <c r="E115" s="3" t="s">
        <v>3089</v>
      </c>
      <c r="F115" s="3" t="s">
        <v>3693</v>
      </c>
      <c r="G115" s="3" t="s">
        <v>3694</v>
      </c>
      <c r="H115" s="3" t="s">
        <v>3054</v>
      </c>
      <c r="I115" s="3" t="s">
        <v>3061</v>
      </c>
    </row>
    <row r="116">
      <c r="A116" s="20" t="s">
        <v>3695</v>
      </c>
      <c r="B116" s="3" t="s">
        <v>3696</v>
      </c>
      <c r="C116" s="3" t="s">
        <v>3697</v>
      </c>
      <c r="D116" s="3" t="s">
        <v>3698</v>
      </c>
      <c r="E116" s="3" t="s">
        <v>3052</v>
      </c>
      <c r="F116" s="3" t="s">
        <v>3699</v>
      </c>
      <c r="G116" s="3" t="s">
        <v>3054</v>
      </c>
      <c r="H116" s="21" t="s">
        <v>3700</v>
      </c>
      <c r="I116" s="3" t="s">
        <v>3186</v>
      </c>
    </row>
    <row r="117">
      <c r="A117" s="20" t="s">
        <v>3701</v>
      </c>
      <c r="B117" s="3" t="s">
        <v>3702</v>
      </c>
      <c r="C117" s="3" t="s">
        <v>3703</v>
      </c>
      <c r="D117" s="3" t="s">
        <v>3704</v>
      </c>
      <c r="E117" s="3" t="s">
        <v>3403</v>
      </c>
      <c r="F117" s="3" t="s">
        <v>3705</v>
      </c>
      <c r="G117" s="3" t="s">
        <v>3706</v>
      </c>
      <c r="H117" s="3" t="s">
        <v>3054</v>
      </c>
      <c r="I117" s="3" t="s">
        <v>3230</v>
      </c>
    </row>
    <row r="118">
      <c r="A118" s="20" t="s">
        <v>3707</v>
      </c>
      <c r="B118" s="3" t="s">
        <v>3708</v>
      </c>
      <c r="C118" s="3" t="s">
        <v>3709</v>
      </c>
      <c r="D118" s="3" t="s">
        <v>3710</v>
      </c>
      <c r="E118" s="3" t="s">
        <v>3711</v>
      </c>
      <c r="F118" s="3" t="s">
        <v>3712</v>
      </c>
      <c r="G118" s="3" t="s">
        <v>3054</v>
      </c>
      <c r="H118" s="21" t="s">
        <v>3713</v>
      </c>
      <c r="I118" s="3" t="s">
        <v>3061</v>
      </c>
    </row>
    <row r="119">
      <c r="A119" s="20" t="s">
        <v>3714</v>
      </c>
      <c r="B119" s="3" t="s">
        <v>3715</v>
      </c>
      <c r="C119" s="3" t="s">
        <v>3716</v>
      </c>
      <c r="D119" s="3" t="s">
        <v>3717</v>
      </c>
      <c r="E119" s="3" t="s">
        <v>3718</v>
      </c>
      <c r="F119" s="3" t="s">
        <v>3719</v>
      </c>
      <c r="G119" s="3" t="s">
        <v>3054</v>
      </c>
      <c r="H119" s="21" t="s">
        <v>3720</v>
      </c>
      <c r="I119" s="3" t="s">
        <v>3099</v>
      </c>
    </row>
    <row r="120">
      <c r="A120" s="20" t="s">
        <v>3721</v>
      </c>
      <c r="B120" s="3" t="s">
        <v>2731</v>
      </c>
      <c r="C120" s="3" t="s">
        <v>3722</v>
      </c>
      <c r="D120" s="3" t="s">
        <v>3723</v>
      </c>
      <c r="E120" s="3" t="s">
        <v>3448</v>
      </c>
      <c r="F120" s="3" t="s">
        <v>3724</v>
      </c>
      <c r="G120" s="3" t="s">
        <v>3054</v>
      </c>
      <c r="H120" s="4"/>
      <c r="I120" s="3" t="s">
        <v>3137</v>
      </c>
    </row>
    <row r="121">
      <c r="A121" s="20" t="s">
        <v>3725</v>
      </c>
      <c r="B121" s="3" t="s">
        <v>2745</v>
      </c>
      <c r="C121" s="3" t="s">
        <v>3726</v>
      </c>
      <c r="D121" s="3" t="s">
        <v>3727</v>
      </c>
      <c r="E121" s="3" t="s">
        <v>3089</v>
      </c>
      <c r="F121" s="3" t="s">
        <v>3728</v>
      </c>
      <c r="G121" s="3" t="s">
        <v>3729</v>
      </c>
      <c r="H121" s="21" t="s">
        <v>3730</v>
      </c>
      <c r="I121" s="3" t="s">
        <v>3099</v>
      </c>
    </row>
    <row r="122">
      <c r="A122" s="20" t="s">
        <v>3731</v>
      </c>
      <c r="B122" s="3" t="s">
        <v>3732</v>
      </c>
      <c r="C122" s="3" t="s">
        <v>3733</v>
      </c>
      <c r="D122" s="3" t="s">
        <v>3734</v>
      </c>
      <c r="E122" s="3" t="s">
        <v>3235</v>
      </c>
      <c r="F122" s="3" t="s">
        <v>3735</v>
      </c>
      <c r="G122" s="3" t="s">
        <v>3736</v>
      </c>
      <c r="H122" s="21" t="s">
        <v>3737</v>
      </c>
      <c r="I122" s="3" t="s">
        <v>3186</v>
      </c>
    </row>
    <row r="123">
      <c r="A123" s="20" t="s">
        <v>3738</v>
      </c>
      <c r="B123" s="3" t="s">
        <v>3739</v>
      </c>
      <c r="C123" s="3" t="s">
        <v>3740</v>
      </c>
      <c r="D123" s="3" t="s">
        <v>3741</v>
      </c>
      <c r="E123" s="3" t="s">
        <v>3096</v>
      </c>
      <c r="F123" s="3" t="s">
        <v>3742</v>
      </c>
      <c r="G123" s="3" t="s">
        <v>3054</v>
      </c>
      <c r="H123" s="3" t="s">
        <v>3743</v>
      </c>
      <c r="I123" s="3" t="s">
        <v>3123</v>
      </c>
    </row>
    <row r="124">
      <c r="A124" s="20" t="s">
        <v>3744</v>
      </c>
      <c r="B124" s="3" t="s">
        <v>3745</v>
      </c>
      <c r="C124" s="3" t="s">
        <v>3746</v>
      </c>
      <c r="D124" s="3" t="s">
        <v>3747</v>
      </c>
      <c r="E124" s="3" t="s">
        <v>3177</v>
      </c>
      <c r="F124" s="3" t="s">
        <v>3748</v>
      </c>
      <c r="G124" s="3" t="s">
        <v>3054</v>
      </c>
      <c r="H124" s="3" t="s">
        <v>3749</v>
      </c>
      <c r="I124" s="3" t="s">
        <v>3061</v>
      </c>
    </row>
    <row r="125">
      <c r="A125" s="20" t="s">
        <v>3750</v>
      </c>
      <c r="B125" s="3" t="s">
        <v>3751</v>
      </c>
      <c r="C125" s="3" t="s">
        <v>3752</v>
      </c>
      <c r="D125" s="3" t="s">
        <v>3753</v>
      </c>
      <c r="E125" s="3" t="s">
        <v>3073</v>
      </c>
      <c r="F125" s="3" t="s">
        <v>3754</v>
      </c>
      <c r="G125" s="3" t="s">
        <v>3054</v>
      </c>
      <c r="H125" s="21" t="s">
        <v>3755</v>
      </c>
      <c r="I125" s="3" t="s">
        <v>3069</v>
      </c>
    </row>
    <row r="126">
      <c r="A126" s="20" t="s">
        <v>3756</v>
      </c>
      <c r="B126" s="3" t="s">
        <v>3757</v>
      </c>
      <c r="C126" s="4"/>
      <c r="D126" s="3" t="s">
        <v>3115</v>
      </c>
      <c r="E126" s="3" t="s">
        <v>3116</v>
      </c>
      <c r="F126" s="4"/>
      <c r="G126" s="3" t="s">
        <v>3054</v>
      </c>
      <c r="H126" s="3" t="s">
        <v>3054</v>
      </c>
      <c r="I126" s="3" t="s">
        <v>3054</v>
      </c>
    </row>
    <row r="127">
      <c r="A127" s="20" t="s">
        <v>3758</v>
      </c>
      <c r="B127" s="3" t="s">
        <v>843</v>
      </c>
      <c r="C127" s="3" t="s">
        <v>3759</v>
      </c>
      <c r="D127" s="3" t="s">
        <v>3760</v>
      </c>
      <c r="E127" s="3" t="s">
        <v>3096</v>
      </c>
      <c r="F127" s="3" t="s">
        <v>3761</v>
      </c>
      <c r="G127" s="3" t="s">
        <v>3054</v>
      </c>
      <c r="H127" s="21" t="s">
        <v>3762</v>
      </c>
      <c r="I127" s="3" t="s">
        <v>3099</v>
      </c>
    </row>
    <row r="128">
      <c r="A128" s="20" t="s">
        <v>3763</v>
      </c>
      <c r="B128" s="3" t="s">
        <v>3764</v>
      </c>
      <c r="C128" s="3" t="s">
        <v>3765</v>
      </c>
      <c r="D128" s="3" t="s">
        <v>3766</v>
      </c>
      <c r="E128" s="3" t="s">
        <v>3052</v>
      </c>
      <c r="F128" s="3" t="s">
        <v>3767</v>
      </c>
      <c r="G128" s="3" t="s">
        <v>3054</v>
      </c>
      <c r="H128" s="21" t="s">
        <v>3768</v>
      </c>
      <c r="I128" s="3" t="s">
        <v>3123</v>
      </c>
    </row>
    <row r="129">
      <c r="A129" s="20" t="s">
        <v>3769</v>
      </c>
      <c r="B129" s="3" t="s">
        <v>3770</v>
      </c>
      <c r="C129" s="3" t="s">
        <v>3771</v>
      </c>
      <c r="D129" s="3" t="s">
        <v>3772</v>
      </c>
      <c r="E129" s="3" t="s">
        <v>3073</v>
      </c>
      <c r="F129" s="3" t="s">
        <v>3773</v>
      </c>
      <c r="G129" s="3" t="s">
        <v>3054</v>
      </c>
      <c r="H129" s="3" t="s">
        <v>3054</v>
      </c>
      <c r="I129" s="3" t="s">
        <v>3099</v>
      </c>
    </row>
    <row r="130">
      <c r="A130" s="20" t="s">
        <v>3774</v>
      </c>
      <c r="B130" s="3" t="s">
        <v>3775</v>
      </c>
      <c r="C130" s="4"/>
      <c r="D130" s="3" t="s">
        <v>3115</v>
      </c>
      <c r="E130" s="3" t="s">
        <v>3116</v>
      </c>
      <c r="F130" s="4"/>
      <c r="G130" s="3" t="s">
        <v>3054</v>
      </c>
      <c r="H130" s="3" t="s">
        <v>3054</v>
      </c>
      <c r="I130" s="3" t="s">
        <v>3054</v>
      </c>
    </row>
    <row r="131">
      <c r="A131" s="20" t="s">
        <v>3776</v>
      </c>
      <c r="B131" s="3" t="s">
        <v>3777</v>
      </c>
      <c r="C131" s="4"/>
      <c r="D131" s="3" t="s">
        <v>3115</v>
      </c>
      <c r="E131" s="3" t="s">
        <v>3116</v>
      </c>
      <c r="F131" s="4"/>
      <c r="G131" s="3" t="s">
        <v>3054</v>
      </c>
      <c r="H131" s="3" t="s">
        <v>3054</v>
      </c>
      <c r="I131" s="3" t="s">
        <v>3054</v>
      </c>
    </row>
    <row r="132">
      <c r="A132" s="20" t="s">
        <v>3778</v>
      </c>
      <c r="B132" s="3" t="s">
        <v>3779</v>
      </c>
      <c r="C132" s="3" t="s">
        <v>3780</v>
      </c>
      <c r="D132" s="3" t="s">
        <v>3781</v>
      </c>
      <c r="E132" s="3" t="s">
        <v>3089</v>
      </c>
      <c r="F132" s="3" t="s">
        <v>3782</v>
      </c>
      <c r="G132" s="3" t="s">
        <v>3054</v>
      </c>
      <c r="H132" s="21" t="s">
        <v>3783</v>
      </c>
      <c r="I132" s="3" t="s">
        <v>3640</v>
      </c>
    </row>
    <row r="133">
      <c r="A133" s="20" t="s">
        <v>3784</v>
      </c>
      <c r="B133" s="3" t="s">
        <v>3785</v>
      </c>
      <c r="C133" s="3" t="s">
        <v>3786</v>
      </c>
      <c r="D133" s="3" t="s">
        <v>3787</v>
      </c>
      <c r="E133" s="3" t="s">
        <v>3403</v>
      </c>
      <c r="F133" s="3" t="s">
        <v>3788</v>
      </c>
      <c r="G133" s="3" t="s">
        <v>3054</v>
      </c>
      <c r="H133" s="3" t="s">
        <v>3054</v>
      </c>
      <c r="I133" s="3" t="s">
        <v>3123</v>
      </c>
    </row>
    <row r="134">
      <c r="A134" s="20" t="s">
        <v>3789</v>
      </c>
      <c r="B134" s="3" t="s">
        <v>3790</v>
      </c>
      <c r="C134" s="3" t="s">
        <v>3791</v>
      </c>
      <c r="D134" s="3" t="s">
        <v>3792</v>
      </c>
      <c r="E134" s="3" t="s">
        <v>3177</v>
      </c>
      <c r="F134" s="3" t="s">
        <v>3793</v>
      </c>
      <c r="G134" s="3" t="s">
        <v>3794</v>
      </c>
      <c r="H134" s="21" t="s">
        <v>3795</v>
      </c>
      <c r="I134" s="3" t="s">
        <v>3061</v>
      </c>
    </row>
    <row r="135">
      <c r="A135" s="20" t="s">
        <v>3796</v>
      </c>
      <c r="B135" s="3" t="s">
        <v>3797</v>
      </c>
      <c r="C135" s="3" t="s">
        <v>3798</v>
      </c>
      <c r="D135" s="3" t="s">
        <v>3799</v>
      </c>
      <c r="E135" s="3" t="s">
        <v>3800</v>
      </c>
      <c r="F135" s="3" t="s">
        <v>3801</v>
      </c>
      <c r="G135" s="3" t="s">
        <v>3054</v>
      </c>
      <c r="H135" s="3" t="s">
        <v>3054</v>
      </c>
      <c r="I135" s="3" t="s">
        <v>3186</v>
      </c>
    </row>
    <row r="136">
      <c r="A136" s="20" t="s">
        <v>3802</v>
      </c>
      <c r="B136" s="3" t="s">
        <v>3803</v>
      </c>
      <c r="C136" s="3" t="s">
        <v>3804</v>
      </c>
      <c r="D136" s="3" t="s">
        <v>3805</v>
      </c>
      <c r="E136" s="3" t="s">
        <v>3384</v>
      </c>
      <c r="F136" s="3" t="s">
        <v>3806</v>
      </c>
      <c r="G136" s="3" t="s">
        <v>3807</v>
      </c>
      <c r="H136" s="21" t="s">
        <v>3808</v>
      </c>
      <c r="I136" s="3" t="s">
        <v>3491</v>
      </c>
    </row>
    <row r="137">
      <c r="A137" s="20" t="s">
        <v>3809</v>
      </c>
      <c r="B137" s="3" t="s">
        <v>3810</v>
      </c>
      <c r="C137" s="3" t="s">
        <v>3811</v>
      </c>
      <c r="D137" s="3" t="s">
        <v>3812</v>
      </c>
      <c r="E137" s="3" t="s">
        <v>3403</v>
      </c>
      <c r="F137" s="3" t="s">
        <v>3813</v>
      </c>
      <c r="G137" s="3" t="s">
        <v>3814</v>
      </c>
      <c r="H137" s="21" t="s">
        <v>3815</v>
      </c>
      <c r="I137" s="3" t="s">
        <v>3099</v>
      </c>
    </row>
    <row r="138">
      <c r="A138" s="20" t="s">
        <v>3816</v>
      </c>
      <c r="B138" s="3" t="s">
        <v>3817</v>
      </c>
      <c r="C138" s="3" t="s">
        <v>3818</v>
      </c>
      <c r="D138" s="3" t="s">
        <v>3819</v>
      </c>
      <c r="E138" s="3" t="s">
        <v>3052</v>
      </c>
      <c r="F138" s="3" t="s">
        <v>3820</v>
      </c>
      <c r="G138" s="3" t="s">
        <v>3054</v>
      </c>
      <c r="H138" s="3" t="s">
        <v>3054</v>
      </c>
      <c r="I138" s="3" t="s">
        <v>3061</v>
      </c>
    </row>
    <row r="139">
      <c r="A139" s="20" t="s">
        <v>3821</v>
      </c>
      <c r="B139" s="3" t="s">
        <v>3822</v>
      </c>
      <c r="C139" s="3" t="s">
        <v>3823</v>
      </c>
      <c r="D139" s="3" t="s">
        <v>3824</v>
      </c>
      <c r="E139" s="3" t="s">
        <v>3052</v>
      </c>
      <c r="F139" s="3" t="s">
        <v>3825</v>
      </c>
      <c r="G139" s="3" t="s">
        <v>3826</v>
      </c>
      <c r="H139" s="21" t="s">
        <v>3827</v>
      </c>
      <c r="I139" s="3" t="s">
        <v>3123</v>
      </c>
    </row>
    <row r="140">
      <c r="A140" s="20" t="s">
        <v>3828</v>
      </c>
      <c r="B140" s="3" t="s">
        <v>3829</v>
      </c>
      <c r="C140" s="3" t="s">
        <v>3830</v>
      </c>
      <c r="D140" s="3" t="s">
        <v>3831</v>
      </c>
      <c r="E140" s="3" t="s">
        <v>3052</v>
      </c>
      <c r="F140" s="3" t="s">
        <v>3832</v>
      </c>
      <c r="G140" s="3" t="s">
        <v>3833</v>
      </c>
      <c r="H140" s="21" t="s">
        <v>3834</v>
      </c>
      <c r="I140" s="3" t="s">
        <v>3186</v>
      </c>
    </row>
    <row r="141">
      <c r="A141" s="20" t="s">
        <v>3835</v>
      </c>
      <c r="B141" s="3" t="s">
        <v>3836</v>
      </c>
      <c r="C141" s="3" t="s">
        <v>3837</v>
      </c>
      <c r="D141" s="3" t="s">
        <v>3838</v>
      </c>
      <c r="E141" s="3" t="s">
        <v>3052</v>
      </c>
      <c r="F141" s="3" t="s">
        <v>3839</v>
      </c>
      <c r="G141" s="3" t="s">
        <v>3054</v>
      </c>
      <c r="H141" s="21" t="s">
        <v>3840</v>
      </c>
      <c r="I141" s="3" t="s">
        <v>3491</v>
      </c>
    </row>
    <row r="142">
      <c r="A142" s="20" t="s">
        <v>3841</v>
      </c>
      <c r="B142" s="3" t="s">
        <v>1170</v>
      </c>
      <c r="C142" s="3" t="s">
        <v>3842</v>
      </c>
      <c r="D142" s="3" t="s">
        <v>3843</v>
      </c>
      <c r="E142" s="3" t="s">
        <v>3096</v>
      </c>
      <c r="F142" s="3" t="s">
        <v>3844</v>
      </c>
      <c r="G142" s="3" t="s">
        <v>3054</v>
      </c>
      <c r="H142" s="3" t="s">
        <v>3054</v>
      </c>
      <c r="I142" s="3" t="s">
        <v>3061</v>
      </c>
    </row>
    <row r="143">
      <c r="A143" s="20" t="s">
        <v>3845</v>
      </c>
      <c r="B143" s="3" t="s">
        <v>1871</v>
      </c>
      <c r="C143" s="3" t="s">
        <v>3846</v>
      </c>
      <c r="D143" s="3" t="s">
        <v>3847</v>
      </c>
      <c r="E143" s="3" t="s">
        <v>3052</v>
      </c>
      <c r="F143" s="3" t="s">
        <v>3848</v>
      </c>
      <c r="G143" s="3" t="s">
        <v>3054</v>
      </c>
      <c r="H143" s="21" t="s">
        <v>3849</v>
      </c>
      <c r="I143" s="3" t="s">
        <v>3230</v>
      </c>
    </row>
    <row r="144">
      <c r="A144" s="20" t="s">
        <v>3850</v>
      </c>
      <c r="B144" s="3" t="s">
        <v>3851</v>
      </c>
      <c r="C144" s="4"/>
      <c r="D144" s="3" t="s">
        <v>3115</v>
      </c>
      <c r="E144" s="3" t="s">
        <v>3116</v>
      </c>
      <c r="F144" s="4"/>
      <c r="G144" s="3" t="s">
        <v>3054</v>
      </c>
      <c r="H144" s="3" t="s">
        <v>3054</v>
      </c>
      <c r="I144" s="3" t="s">
        <v>3054</v>
      </c>
    </row>
    <row r="145">
      <c r="A145" s="20" t="s">
        <v>3852</v>
      </c>
      <c r="B145" s="3" t="s">
        <v>3853</v>
      </c>
      <c r="C145" s="3" t="s">
        <v>3854</v>
      </c>
      <c r="D145" s="3" t="s">
        <v>3855</v>
      </c>
      <c r="E145" s="3" t="s">
        <v>3856</v>
      </c>
      <c r="F145" s="3" t="s">
        <v>3857</v>
      </c>
      <c r="G145" s="3" t="s">
        <v>3858</v>
      </c>
      <c r="H145" s="21" t="s">
        <v>3859</v>
      </c>
      <c r="I145" s="3" t="s">
        <v>3076</v>
      </c>
    </row>
    <row r="146">
      <c r="A146" s="20" t="s">
        <v>3860</v>
      </c>
      <c r="B146" s="3" t="s">
        <v>3861</v>
      </c>
      <c r="C146" s="3" t="s">
        <v>3862</v>
      </c>
      <c r="D146" s="3" t="s">
        <v>3863</v>
      </c>
      <c r="E146" s="3" t="s">
        <v>3096</v>
      </c>
      <c r="F146" s="3" t="s">
        <v>3864</v>
      </c>
      <c r="G146" s="3" t="s">
        <v>3054</v>
      </c>
      <c r="H146" s="21" t="s">
        <v>3865</v>
      </c>
      <c r="I146" s="3" t="s">
        <v>3123</v>
      </c>
    </row>
    <row r="147">
      <c r="A147" s="20" t="s">
        <v>3866</v>
      </c>
      <c r="B147" s="3" t="s">
        <v>3867</v>
      </c>
      <c r="C147" s="3" t="s">
        <v>3868</v>
      </c>
      <c r="D147" s="3" t="s">
        <v>3869</v>
      </c>
      <c r="E147" s="3" t="s">
        <v>3235</v>
      </c>
      <c r="F147" s="3" t="s">
        <v>3870</v>
      </c>
      <c r="G147" s="3" t="s">
        <v>3054</v>
      </c>
      <c r="H147" s="21" t="s">
        <v>3871</v>
      </c>
      <c r="I147" s="3" t="s">
        <v>3076</v>
      </c>
    </row>
    <row r="148">
      <c r="A148" s="20" t="s">
        <v>3872</v>
      </c>
      <c r="B148" s="3" t="s">
        <v>3873</v>
      </c>
      <c r="C148" s="3" t="s">
        <v>3874</v>
      </c>
      <c r="D148" s="3" t="s">
        <v>3875</v>
      </c>
      <c r="E148" s="3" t="s">
        <v>3052</v>
      </c>
      <c r="F148" s="3" t="s">
        <v>3876</v>
      </c>
      <c r="G148" s="3" t="s">
        <v>3054</v>
      </c>
      <c r="H148" s="21" t="s">
        <v>3877</v>
      </c>
      <c r="I148" s="3" t="s">
        <v>3123</v>
      </c>
    </row>
    <row r="149">
      <c r="A149" s="20" t="s">
        <v>3878</v>
      </c>
      <c r="B149" s="3" t="s">
        <v>3879</v>
      </c>
      <c r="C149" s="3" t="s">
        <v>3880</v>
      </c>
      <c r="D149" s="3" t="s">
        <v>3881</v>
      </c>
      <c r="E149" s="3" t="s">
        <v>3052</v>
      </c>
      <c r="F149" s="3" t="s">
        <v>3882</v>
      </c>
      <c r="G149" s="3" t="s">
        <v>3054</v>
      </c>
      <c r="H149" s="3" t="s">
        <v>3054</v>
      </c>
      <c r="I149" s="3" t="s">
        <v>3099</v>
      </c>
    </row>
    <row r="150">
      <c r="A150" s="20" t="s">
        <v>3883</v>
      </c>
      <c r="B150" s="3" t="s">
        <v>3884</v>
      </c>
      <c r="C150" s="3" t="s">
        <v>3885</v>
      </c>
      <c r="D150" s="3" t="s">
        <v>3886</v>
      </c>
      <c r="E150" s="3" t="s">
        <v>3403</v>
      </c>
      <c r="F150" s="3" t="s">
        <v>3887</v>
      </c>
      <c r="G150" s="3" t="s">
        <v>3054</v>
      </c>
      <c r="H150" s="21" t="s">
        <v>3888</v>
      </c>
      <c r="I150" s="3" t="s">
        <v>3076</v>
      </c>
    </row>
    <row r="151">
      <c r="A151" s="20" t="s">
        <v>3889</v>
      </c>
      <c r="B151" s="3" t="s">
        <v>3890</v>
      </c>
      <c r="C151" s="3" t="s">
        <v>3891</v>
      </c>
      <c r="D151" s="3" t="s">
        <v>3892</v>
      </c>
      <c r="E151" s="3" t="s">
        <v>3177</v>
      </c>
      <c r="F151" s="3" t="s">
        <v>3893</v>
      </c>
      <c r="G151" s="3" t="s">
        <v>3894</v>
      </c>
      <c r="H151" s="21" t="s">
        <v>3895</v>
      </c>
      <c r="I151" s="3" t="s">
        <v>3076</v>
      </c>
    </row>
    <row r="152">
      <c r="A152" s="20" t="s">
        <v>3896</v>
      </c>
      <c r="B152" s="3" t="s">
        <v>3897</v>
      </c>
      <c r="C152" s="3" t="s">
        <v>3898</v>
      </c>
      <c r="D152" s="3" t="s">
        <v>3899</v>
      </c>
      <c r="E152" s="3" t="s">
        <v>3403</v>
      </c>
      <c r="F152" s="3" t="s">
        <v>3900</v>
      </c>
      <c r="G152" s="3" t="s">
        <v>3054</v>
      </c>
      <c r="H152" s="3" t="s">
        <v>3054</v>
      </c>
      <c r="I152" s="3" t="s">
        <v>3076</v>
      </c>
    </row>
    <row r="153">
      <c r="A153" s="20" t="s">
        <v>3901</v>
      </c>
      <c r="B153" s="3" t="s">
        <v>3902</v>
      </c>
      <c r="C153" s="3" t="s">
        <v>3903</v>
      </c>
      <c r="D153" s="3" t="s">
        <v>3904</v>
      </c>
      <c r="E153" s="3" t="s">
        <v>3905</v>
      </c>
      <c r="F153" s="3" t="s">
        <v>3906</v>
      </c>
      <c r="G153" s="3" t="s">
        <v>3054</v>
      </c>
      <c r="H153" s="3" t="s">
        <v>3054</v>
      </c>
      <c r="I153" s="3" t="s">
        <v>3054</v>
      </c>
    </row>
    <row r="154">
      <c r="A154" s="20" t="s">
        <v>3907</v>
      </c>
      <c r="B154" s="3" t="s">
        <v>3908</v>
      </c>
      <c r="C154" s="3" t="s">
        <v>3909</v>
      </c>
      <c r="D154" s="3" t="s">
        <v>3910</v>
      </c>
      <c r="E154" s="3" t="s">
        <v>3403</v>
      </c>
      <c r="F154" s="3" t="s">
        <v>3911</v>
      </c>
      <c r="G154" s="3" t="s">
        <v>3054</v>
      </c>
      <c r="H154" s="3" t="s">
        <v>3054</v>
      </c>
      <c r="I154" s="3" t="s">
        <v>3137</v>
      </c>
    </row>
    <row r="155">
      <c r="A155" s="20" t="s">
        <v>3912</v>
      </c>
      <c r="B155" s="3" t="s">
        <v>1721</v>
      </c>
      <c r="C155" s="4"/>
      <c r="D155" s="3" t="s">
        <v>3115</v>
      </c>
      <c r="E155" s="3" t="s">
        <v>3116</v>
      </c>
      <c r="F155" s="4"/>
      <c r="G155" s="3" t="s">
        <v>3054</v>
      </c>
      <c r="H155" s="3" t="s">
        <v>3054</v>
      </c>
      <c r="I155" s="3" t="s">
        <v>3054</v>
      </c>
    </row>
    <row r="156">
      <c r="A156" s="20" t="s">
        <v>3913</v>
      </c>
      <c r="B156" s="3" t="s">
        <v>3914</v>
      </c>
      <c r="C156" s="3" t="s">
        <v>3915</v>
      </c>
      <c r="D156" s="3" t="s">
        <v>3916</v>
      </c>
      <c r="E156" s="3" t="s">
        <v>3052</v>
      </c>
      <c r="F156" s="3" t="s">
        <v>3917</v>
      </c>
      <c r="G156" s="3" t="s">
        <v>3918</v>
      </c>
      <c r="H156" s="3" t="s">
        <v>3054</v>
      </c>
      <c r="I156" s="3" t="s">
        <v>3099</v>
      </c>
    </row>
    <row r="157">
      <c r="A157" s="20" t="s">
        <v>3919</v>
      </c>
      <c r="B157" s="3" t="s">
        <v>3920</v>
      </c>
      <c r="C157" s="3" t="s">
        <v>3921</v>
      </c>
      <c r="D157" s="3" t="s">
        <v>3922</v>
      </c>
      <c r="E157" s="3" t="s">
        <v>3052</v>
      </c>
      <c r="F157" s="3" t="s">
        <v>3682</v>
      </c>
      <c r="G157" s="3" t="s">
        <v>3054</v>
      </c>
      <c r="H157" s="21" t="s">
        <v>3923</v>
      </c>
      <c r="I157" s="3" t="s">
        <v>3061</v>
      </c>
    </row>
    <row r="158">
      <c r="A158" s="20" t="s">
        <v>3924</v>
      </c>
      <c r="B158" s="3" t="s">
        <v>3925</v>
      </c>
      <c r="C158" s="3" t="s">
        <v>3926</v>
      </c>
      <c r="D158" s="3" t="s">
        <v>3927</v>
      </c>
      <c r="E158" s="3" t="s">
        <v>3403</v>
      </c>
      <c r="F158" s="3" t="s">
        <v>3928</v>
      </c>
      <c r="G158" s="3" t="s">
        <v>3054</v>
      </c>
      <c r="H158" s="21" t="s">
        <v>3929</v>
      </c>
      <c r="I158" s="3" t="s">
        <v>3186</v>
      </c>
    </row>
    <row r="159">
      <c r="A159" s="20" t="s">
        <v>3930</v>
      </c>
      <c r="B159" s="3" t="s">
        <v>2915</v>
      </c>
      <c r="C159" s="3" t="s">
        <v>3931</v>
      </c>
      <c r="D159" s="3" t="s">
        <v>3932</v>
      </c>
      <c r="E159" s="3" t="s">
        <v>3933</v>
      </c>
      <c r="F159" s="3" t="s">
        <v>3934</v>
      </c>
      <c r="G159" s="3" t="s">
        <v>3935</v>
      </c>
      <c r="H159" s="21" t="s">
        <v>3936</v>
      </c>
      <c r="I159" s="3" t="s">
        <v>3061</v>
      </c>
    </row>
    <row r="160">
      <c r="A160" s="20" t="s">
        <v>3937</v>
      </c>
      <c r="B160" s="3" t="s">
        <v>3938</v>
      </c>
      <c r="C160" s="3" t="s">
        <v>3939</v>
      </c>
      <c r="D160" s="3" t="s">
        <v>3940</v>
      </c>
      <c r="E160" s="3" t="s">
        <v>3073</v>
      </c>
      <c r="F160" s="3" t="s">
        <v>3941</v>
      </c>
      <c r="G160" s="3" t="s">
        <v>3942</v>
      </c>
      <c r="H160" s="4"/>
      <c r="I160" s="3" t="s">
        <v>3099</v>
      </c>
    </row>
    <row r="161">
      <c r="A161" s="20" t="s">
        <v>3943</v>
      </c>
      <c r="B161" s="3" t="s">
        <v>3944</v>
      </c>
      <c r="C161" s="3" t="s">
        <v>3945</v>
      </c>
      <c r="D161" s="3" t="s">
        <v>3946</v>
      </c>
      <c r="E161" s="3" t="s">
        <v>3096</v>
      </c>
      <c r="F161" s="3" t="s">
        <v>3947</v>
      </c>
      <c r="G161" s="3" t="s">
        <v>3054</v>
      </c>
      <c r="H161" s="21" t="s">
        <v>3948</v>
      </c>
      <c r="I161" s="3" t="s">
        <v>3491</v>
      </c>
    </row>
    <row r="162">
      <c r="A162" s="20" t="s">
        <v>3949</v>
      </c>
      <c r="B162" s="3" t="s">
        <v>3950</v>
      </c>
      <c r="C162" s="4"/>
      <c r="D162" s="3" t="s">
        <v>3115</v>
      </c>
      <c r="E162" s="3" t="s">
        <v>3116</v>
      </c>
      <c r="F162" s="4"/>
      <c r="G162" s="3" t="s">
        <v>3054</v>
      </c>
      <c r="H162" s="3" t="s">
        <v>3054</v>
      </c>
      <c r="I162" s="3" t="s">
        <v>3054</v>
      </c>
    </row>
    <row r="163">
      <c r="A163" s="20" t="s">
        <v>3951</v>
      </c>
      <c r="B163" s="3" t="s">
        <v>3952</v>
      </c>
      <c r="C163" s="4"/>
      <c r="D163" s="3" t="s">
        <v>3115</v>
      </c>
      <c r="E163" s="3" t="s">
        <v>3116</v>
      </c>
      <c r="F163" s="4"/>
      <c r="G163" s="3" t="s">
        <v>3054</v>
      </c>
      <c r="H163" s="3" t="s">
        <v>3054</v>
      </c>
      <c r="I163" s="3" t="s">
        <v>3054</v>
      </c>
    </row>
    <row r="164">
      <c r="A164" s="20" t="s">
        <v>3953</v>
      </c>
      <c r="B164" s="3" t="s">
        <v>3954</v>
      </c>
      <c r="C164" s="3" t="s">
        <v>3955</v>
      </c>
      <c r="D164" s="3" t="s">
        <v>3956</v>
      </c>
      <c r="E164" s="3" t="s">
        <v>3403</v>
      </c>
      <c r="F164" s="3" t="s">
        <v>3957</v>
      </c>
      <c r="G164" s="3" t="s">
        <v>3958</v>
      </c>
      <c r="H164" s="21" t="s">
        <v>3959</v>
      </c>
      <c r="I164" s="3" t="s">
        <v>3137</v>
      </c>
    </row>
    <row r="165">
      <c r="A165" s="20" t="s">
        <v>3960</v>
      </c>
      <c r="B165" s="3" t="s">
        <v>3961</v>
      </c>
      <c r="C165" s="3" t="s">
        <v>3962</v>
      </c>
      <c r="D165" s="3" t="s">
        <v>3963</v>
      </c>
      <c r="E165" s="3" t="s">
        <v>3073</v>
      </c>
      <c r="F165" s="3" t="s">
        <v>3964</v>
      </c>
      <c r="G165" s="3" t="s">
        <v>3054</v>
      </c>
      <c r="H165" s="4"/>
      <c r="I165" s="3" t="s">
        <v>3099</v>
      </c>
    </row>
    <row r="166">
      <c r="A166" s="20" t="s">
        <v>3965</v>
      </c>
      <c r="B166" s="3" t="s">
        <v>3966</v>
      </c>
      <c r="C166" s="3" t="s">
        <v>3967</v>
      </c>
      <c r="D166" s="3" t="s">
        <v>3968</v>
      </c>
      <c r="E166" s="3" t="s">
        <v>3856</v>
      </c>
      <c r="F166" s="3" t="s">
        <v>3969</v>
      </c>
      <c r="G166" s="3" t="s">
        <v>3970</v>
      </c>
      <c r="H166" s="21" t="s">
        <v>3971</v>
      </c>
      <c r="I166" s="3" t="s">
        <v>3061</v>
      </c>
    </row>
    <row r="167">
      <c r="A167" s="20" t="s">
        <v>3972</v>
      </c>
      <c r="B167" s="3" t="s">
        <v>3973</v>
      </c>
      <c r="C167" s="3" t="s">
        <v>3974</v>
      </c>
      <c r="D167" s="3" t="s">
        <v>3975</v>
      </c>
      <c r="E167" s="3" t="s">
        <v>3235</v>
      </c>
      <c r="F167" s="3" t="s">
        <v>3976</v>
      </c>
      <c r="G167" s="3" t="s">
        <v>3054</v>
      </c>
      <c r="H167" s="3" t="s">
        <v>3054</v>
      </c>
      <c r="I167" s="3" t="s">
        <v>3123</v>
      </c>
    </row>
    <row r="168">
      <c r="A168" s="20" t="s">
        <v>3977</v>
      </c>
      <c r="B168" s="3" t="s">
        <v>2764</v>
      </c>
      <c r="C168" s="3" t="s">
        <v>3978</v>
      </c>
      <c r="D168" s="3" t="s">
        <v>3979</v>
      </c>
      <c r="E168" s="3" t="s">
        <v>3066</v>
      </c>
      <c r="F168" s="3" t="s">
        <v>3980</v>
      </c>
      <c r="G168" s="3" t="s">
        <v>3054</v>
      </c>
      <c r="H168" s="3" t="s">
        <v>3054</v>
      </c>
      <c r="I168" s="3" t="s">
        <v>3123</v>
      </c>
    </row>
    <row r="169">
      <c r="A169" s="20" t="s">
        <v>3981</v>
      </c>
      <c r="B169" s="3" t="s">
        <v>3982</v>
      </c>
      <c r="C169" s="4"/>
      <c r="D169" s="3" t="s">
        <v>3115</v>
      </c>
      <c r="E169" s="3" t="s">
        <v>3116</v>
      </c>
      <c r="F169" s="4"/>
      <c r="G169" s="3" t="s">
        <v>3054</v>
      </c>
      <c r="H169" s="3" t="s">
        <v>3054</v>
      </c>
      <c r="I169" s="3" t="s">
        <v>3054</v>
      </c>
    </row>
    <row r="170">
      <c r="A170" s="20" t="s">
        <v>3983</v>
      </c>
      <c r="B170" s="3" t="s">
        <v>3984</v>
      </c>
      <c r="C170" s="3" t="s">
        <v>3985</v>
      </c>
      <c r="D170" s="3" t="s">
        <v>3986</v>
      </c>
      <c r="E170" s="3" t="s">
        <v>3096</v>
      </c>
      <c r="F170" s="3" t="s">
        <v>3987</v>
      </c>
      <c r="G170" s="3" t="s">
        <v>3054</v>
      </c>
      <c r="H170" s="21" t="s">
        <v>3988</v>
      </c>
      <c r="I170" s="3" t="s">
        <v>3099</v>
      </c>
    </row>
    <row r="171">
      <c r="A171" s="20" t="s">
        <v>3989</v>
      </c>
      <c r="B171" s="3" t="s">
        <v>3990</v>
      </c>
      <c r="C171" s="3" t="s">
        <v>3991</v>
      </c>
      <c r="D171" s="3" t="s">
        <v>3992</v>
      </c>
      <c r="E171" s="3" t="s">
        <v>3089</v>
      </c>
      <c r="F171" s="3" t="s">
        <v>3993</v>
      </c>
      <c r="G171" s="3" t="s">
        <v>3054</v>
      </c>
      <c r="H171" s="3" t="s">
        <v>3054</v>
      </c>
      <c r="I171" s="3" t="s">
        <v>3061</v>
      </c>
    </row>
    <row r="172">
      <c r="A172" s="20" t="s">
        <v>3994</v>
      </c>
      <c r="B172" s="3" t="s">
        <v>3995</v>
      </c>
      <c r="C172" s="3" t="s">
        <v>3996</v>
      </c>
      <c r="D172" s="3" t="s">
        <v>3997</v>
      </c>
      <c r="E172" s="3" t="s">
        <v>3235</v>
      </c>
      <c r="F172" s="3" t="s">
        <v>3998</v>
      </c>
      <c r="G172" s="3" t="s">
        <v>3054</v>
      </c>
      <c r="H172" s="21" t="s">
        <v>3999</v>
      </c>
      <c r="I172" s="3" t="s">
        <v>3099</v>
      </c>
    </row>
    <row r="173">
      <c r="A173" s="20" t="s">
        <v>4000</v>
      </c>
      <c r="B173" s="3" t="s">
        <v>4001</v>
      </c>
      <c r="C173" s="4"/>
      <c r="D173" s="3" t="s">
        <v>3115</v>
      </c>
      <c r="E173" s="3" t="s">
        <v>3116</v>
      </c>
      <c r="F173" s="4"/>
      <c r="G173" s="3" t="s">
        <v>3054</v>
      </c>
      <c r="H173" s="3" t="s">
        <v>3054</v>
      </c>
      <c r="I173" s="3" t="s">
        <v>3054</v>
      </c>
    </row>
    <row r="174">
      <c r="A174" s="20" t="s">
        <v>4002</v>
      </c>
      <c r="B174" s="3" t="s">
        <v>4003</v>
      </c>
      <c r="C174" s="3" t="s">
        <v>4004</v>
      </c>
      <c r="D174" s="3" t="s">
        <v>4005</v>
      </c>
      <c r="E174" s="3" t="s">
        <v>3052</v>
      </c>
      <c r="F174" s="3" t="s">
        <v>4006</v>
      </c>
      <c r="G174" s="3" t="s">
        <v>3054</v>
      </c>
      <c r="H174" s="3" t="s">
        <v>3054</v>
      </c>
      <c r="I174" s="3" t="s">
        <v>3099</v>
      </c>
    </row>
    <row r="175">
      <c r="A175" s="20" t="s">
        <v>4007</v>
      </c>
      <c r="B175" s="3" t="s">
        <v>4008</v>
      </c>
      <c r="C175" s="3" t="s">
        <v>4009</v>
      </c>
      <c r="D175" s="3" t="s">
        <v>4010</v>
      </c>
      <c r="E175" s="3" t="s">
        <v>3096</v>
      </c>
      <c r="F175" s="3" t="s">
        <v>4011</v>
      </c>
      <c r="G175" s="3" t="s">
        <v>3054</v>
      </c>
      <c r="H175" s="21" t="s">
        <v>4012</v>
      </c>
      <c r="I175" s="3" t="s">
        <v>3491</v>
      </c>
    </row>
    <row r="176">
      <c r="A176" s="20" t="s">
        <v>4013</v>
      </c>
      <c r="B176" s="3" t="s">
        <v>4014</v>
      </c>
      <c r="C176" s="3" t="s">
        <v>4015</v>
      </c>
      <c r="D176" s="3" t="s">
        <v>4016</v>
      </c>
      <c r="E176" s="3" t="s">
        <v>3052</v>
      </c>
      <c r="F176" s="3" t="s">
        <v>4017</v>
      </c>
      <c r="G176" s="3" t="s">
        <v>3054</v>
      </c>
      <c r="H176" s="21" t="s">
        <v>4018</v>
      </c>
      <c r="I176" s="3" t="s">
        <v>3137</v>
      </c>
    </row>
    <row r="177">
      <c r="A177" s="20" t="s">
        <v>4019</v>
      </c>
      <c r="B177" s="3" t="s">
        <v>4020</v>
      </c>
      <c r="C177" s="3" t="s">
        <v>4021</v>
      </c>
      <c r="D177" s="3" t="s">
        <v>4022</v>
      </c>
      <c r="E177" s="3" t="s">
        <v>3856</v>
      </c>
      <c r="F177" s="3" t="s">
        <v>4023</v>
      </c>
      <c r="G177" s="3" t="s">
        <v>3054</v>
      </c>
      <c r="H177" s="21" t="s">
        <v>4024</v>
      </c>
      <c r="I177" s="3" t="s">
        <v>3054</v>
      </c>
    </row>
    <row r="178">
      <c r="A178" s="20" t="s">
        <v>4025</v>
      </c>
      <c r="B178" s="3" t="s">
        <v>4026</v>
      </c>
      <c r="C178" s="3" t="s">
        <v>4027</v>
      </c>
      <c r="D178" s="3" t="s">
        <v>4028</v>
      </c>
      <c r="E178" s="3" t="s">
        <v>3073</v>
      </c>
      <c r="F178" s="3" t="s">
        <v>4029</v>
      </c>
      <c r="G178" s="3" t="s">
        <v>3054</v>
      </c>
      <c r="H178" s="21" t="s">
        <v>4030</v>
      </c>
      <c r="I178" s="3" t="s">
        <v>3123</v>
      </c>
    </row>
    <row r="179">
      <c r="A179" s="20" t="s">
        <v>4031</v>
      </c>
      <c r="B179" s="3" t="s">
        <v>774</v>
      </c>
      <c r="C179" s="3" t="s">
        <v>4032</v>
      </c>
      <c r="D179" s="3" t="s">
        <v>4033</v>
      </c>
      <c r="E179" s="3" t="s">
        <v>3052</v>
      </c>
      <c r="F179" s="3" t="s">
        <v>4034</v>
      </c>
      <c r="G179" s="3" t="s">
        <v>4035</v>
      </c>
      <c r="H179" s="21" t="s">
        <v>4036</v>
      </c>
      <c r="I179" s="3" t="s">
        <v>3099</v>
      </c>
    </row>
    <row r="180">
      <c r="A180" s="20" t="s">
        <v>4037</v>
      </c>
      <c r="B180" s="3" t="s">
        <v>4038</v>
      </c>
      <c r="C180" s="3" t="s">
        <v>4039</v>
      </c>
      <c r="D180" s="3" t="s">
        <v>4040</v>
      </c>
      <c r="E180" s="3" t="s">
        <v>3403</v>
      </c>
      <c r="F180" s="3" t="s">
        <v>4041</v>
      </c>
      <c r="G180" s="3" t="s">
        <v>3054</v>
      </c>
      <c r="H180" s="3" t="s">
        <v>3054</v>
      </c>
      <c r="I180" s="3" t="s">
        <v>3061</v>
      </c>
    </row>
    <row r="181">
      <c r="A181" s="20" t="s">
        <v>4042</v>
      </c>
      <c r="B181" s="3" t="s">
        <v>4043</v>
      </c>
      <c r="C181" s="3" t="s">
        <v>4044</v>
      </c>
      <c r="D181" s="3" t="s">
        <v>4045</v>
      </c>
      <c r="E181" s="3" t="s">
        <v>3128</v>
      </c>
      <c r="F181" s="3" t="s">
        <v>4046</v>
      </c>
      <c r="G181" s="3" t="s">
        <v>4047</v>
      </c>
      <c r="H181" s="21" t="s">
        <v>4048</v>
      </c>
      <c r="I181" s="3" t="s">
        <v>3076</v>
      </c>
    </row>
    <row r="182">
      <c r="A182" s="20" t="s">
        <v>4049</v>
      </c>
      <c r="B182" s="3" t="s">
        <v>4050</v>
      </c>
      <c r="C182" s="3" t="s">
        <v>4051</v>
      </c>
      <c r="D182" s="3" t="s">
        <v>4052</v>
      </c>
      <c r="E182" s="3" t="s">
        <v>3052</v>
      </c>
      <c r="F182" s="3" t="s">
        <v>4053</v>
      </c>
      <c r="G182" s="3" t="s">
        <v>3054</v>
      </c>
      <c r="H182" s="21" t="s">
        <v>4054</v>
      </c>
      <c r="I182" s="3" t="s">
        <v>3099</v>
      </c>
    </row>
    <row r="183">
      <c r="A183" s="20" t="s">
        <v>4055</v>
      </c>
      <c r="B183" s="3" t="s">
        <v>4056</v>
      </c>
      <c r="C183" s="3" t="s">
        <v>4057</v>
      </c>
      <c r="D183" s="3" t="s">
        <v>4058</v>
      </c>
      <c r="E183" s="3" t="s">
        <v>3052</v>
      </c>
      <c r="F183" s="3" t="s">
        <v>4059</v>
      </c>
      <c r="G183" s="3" t="s">
        <v>3054</v>
      </c>
      <c r="H183" s="21" t="s">
        <v>4060</v>
      </c>
      <c r="I183" s="3" t="s">
        <v>3069</v>
      </c>
    </row>
    <row r="184">
      <c r="A184" s="20" t="s">
        <v>4061</v>
      </c>
      <c r="B184" s="3" t="s">
        <v>4062</v>
      </c>
      <c r="C184" s="3" t="s">
        <v>4063</v>
      </c>
      <c r="D184" s="3" t="s">
        <v>4064</v>
      </c>
      <c r="E184" s="3" t="s">
        <v>3052</v>
      </c>
      <c r="F184" s="3" t="s">
        <v>4065</v>
      </c>
      <c r="G184" s="3" t="s">
        <v>3054</v>
      </c>
      <c r="H184" s="21" t="s">
        <v>4066</v>
      </c>
      <c r="I184" s="3" t="s">
        <v>3186</v>
      </c>
    </row>
    <row r="185">
      <c r="A185" s="20" t="s">
        <v>4067</v>
      </c>
      <c r="B185" s="3" t="s">
        <v>4068</v>
      </c>
      <c r="C185" s="3" t="s">
        <v>4069</v>
      </c>
      <c r="D185" s="3" t="s">
        <v>4070</v>
      </c>
      <c r="E185" s="3" t="s">
        <v>3052</v>
      </c>
      <c r="F185" s="3" t="s">
        <v>4071</v>
      </c>
      <c r="G185" s="3" t="s">
        <v>3054</v>
      </c>
      <c r="H185" s="21" t="s">
        <v>4072</v>
      </c>
      <c r="I185" s="3" t="s">
        <v>3069</v>
      </c>
    </row>
    <row r="186">
      <c r="A186" s="20" t="s">
        <v>4073</v>
      </c>
      <c r="B186" s="3" t="s">
        <v>4074</v>
      </c>
      <c r="C186" s="3" t="s">
        <v>4075</v>
      </c>
      <c r="D186" s="3" t="s">
        <v>4076</v>
      </c>
      <c r="E186" s="3" t="s">
        <v>3073</v>
      </c>
      <c r="F186" s="3" t="s">
        <v>4077</v>
      </c>
      <c r="G186" s="3" t="s">
        <v>3054</v>
      </c>
      <c r="H186" s="3" t="s">
        <v>3054</v>
      </c>
      <c r="I186" s="3" t="s">
        <v>3054</v>
      </c>
    </row>
    <row r="187">
      <c r="A187" s="20" t="s">
        <v>4078</v>
      </c>
      <c r="B187" s="3" t="s">
        <v>4079</v>
      </c>
      <c r="C187" s="3" t="s">
        <v>4080</v>
      </c>
      <c r="D187" s="3" t="s">
        <v>4081</v>
      </c>
      <c r="E187" s="3" t="s">
        <v>4082</v>
      </c>
      <c r="F187" s="3" t="s">
        <v>4083</v>
      </c>
      <c r="G187" s="3" t="s">
        <v>4084</v>
      </c>
      <c r="H187" s="3" t="s">
        <v>3054</v>
      </c>
      <c r="I187" s="3" t="s">
        <v>3186</v>
      </c>
    </row>
    <row r="188">
      <c r="A188" s="20" t="s">
        <v>4085</v>
      </c>
      <c r="B188" s="3" t="s">
        <v>4086</v>
      </c>
      <c r="C188" s="3" t="s">
        <v>4087</v>
      </c>
      <c r="D188" s="3" t="s">
        <v>4088</v>
      </c>
      <c r="E188" s="3" t="s">
        <v>3052</v>
      </c>
      <c r="F188" s="3" t="s">
        <v>4089</v>
      </c>
      <c r="G188" s="3" t="s">
        <v>4090</v>
      </c>
      <c r="H188" s="21" t="s">
        <v>4091</v>
      </c>
      <c r="I188" s="3" t="s">
        <v>3069</v>
      </c>
    </row>
    <row r="189">
      <c r="A189" s="20" t="s">
        <v>4092</v>
      </c>
      <c r="B189" s="3" t="s">
        <v>4093</v>
      </c>
      <c r="C189" s="3" t="s">
        <v>4094</v>
      </c>
      <c r="D189" s="3" t="s">
        <v>4095</v>
      </c>
      <c r="E189" s="3" t="s">
        <v>3222</v>
      </c>
      <c r="F189" s="3" t="s">
        <v>4096</v>
      </c>
      <c r="G189" s="3" t="s">
        <v>3054</v>
      </c>
      <c r="H189" s="3" t="s">
        <v>3054</v>
      </c>
      <c r="I189" s="3" t="s">
        <v>3069</v>
      </c>
    </row>
    <row r="190">
      <c r="A190" s="20" t="s">
        <v>4097</v>
      </c>
      <c r="B190" s="3" t="s">
        <v>4098</v>
      </c>
      <c r="C190" s="3" t="s">
        <v>4099</v>
      </c>
      <c r="D190" s="3" t="s">
        <v>4100</v>
      </c>
      <c r="E190" s="3" t="s">
        <v>3052</v>
      </c>
      <c r="F190" s="3" t="s">
        <v>4101</v>
      </c>
      <c r="G190" s="3" t="s">
        <v>3054</v>
      </c>
      <c r="H190" s="3" t="s">
        <v>3054</v>
      </c>
      <c r="I190" s="3" t="s">
        <v>3061</v>
      </c>
    </row>
    <row r="191">
      <c r="A191" s="20" t="s">
        <v>4102</v>
      </c>
      <c r="B191" s="3" t="s">
        <v>4103</v>
      </c>
      <c r="C191" s="3" t="s">
        <v>4104</v>
      </c>
      <c r="D191" s="3" t="s">
        <v>4105</v>
      </c>
      <c r="E191" s="3" t="s">
        <v>3052</v>
      </c>
      <c r="F191" s="3" t="s">
        <v>4106</v>
      </c>
      <c r="G191" s="3" t="s">
        <v>4107</v>
      </c>
      <c r="H191" s="3" t="s">
        <v>3054</v>
      </c>
      <c r="I191" s="3" t="s">
        <v>3076</v>
      </c>
    </row>
    <row r="192">
      <c r="A192" s="20" t="s">
        <v>4108</v>
      </c>
      <c r="B192" s="3" t="s">
        <v>4109</v>
      </c>
      <c r="C192" s="4"/>
      <c r="D192" s="3" t="s">
        <v>3115</v>
      </c>
      <c r="E192" s="3" t="s">
        <v>3116</v>
      </c>
      <c r="F192" s="4"/>
      <c r="G192" s="3" t="s">
        <v>3054</v>
      </c>
      <c r="H192" s="3" t="s">
        <v>3054</v>
      </c>
      <c r="I192" s="3" t="s">
        <v>3054</v>
      </c>
    </row>
    <row r="193">
      <c r="A193" s="20" t="s">
        <v>4110</v>
      </c>
      <c r="B193" s="3" t="s">
        <v>4111</v>
      </c>
      <c r="C193" s="3" t="s">
        <v>4112</v>
      </c>
      <c r="D193" s="3" t="s">
        <v>4113</v>
      </c>
      <c r="E193" s="3" t="s">
        <v>3073</v>
      </c>
      <c r="F193" s="3" t="s">
        <v>4114</v>
      </c>
      <c r="G193" s="3" t="s">
        <v>3054</v>
      </c>
      <c r="H193" s="21" t="s">
        <v>4115</v>
      </c>
      <c r="I193" s="3" t="s">
        <v>3099</v>
      </c>
    </row>
    <row r="194">
      <c r="A194" s="20" t="s">
        <v>4116</v>
      </c>
      <c r="B194" s="3" t="s">
        <v>4117</v>
      </c>
      <c r="C194" s="3" t="s">
        <v>4118</v>
      </c>
      <c r="D194" s="3" t="s">
        <v>4119</v>
      </c>
      <c r="E194" s="3" t="s">
        <v>3096</v>
      </c>
      <c r="F194" s="3" t="s">
        <v>4120</v>
      </c>
      <c r="G194" s="3" t="s">
        <v>4121</v>
      </c>
      <c r="H194" s="3" t="s">
        <v>3054</v>
      </c>
      <c r="I194" s="3" t="s">
        <v>3123</v>
      </c>
    </row>
    <row r="195">
      <c r="A195" s="20" t="s">
        <v>4122</v>
      </c>
      <c r="B195" s="3" t="s">
        <v>4123</v>
      </c>
      <c r="C195" s="3" t="s">
        <v>4124</v>
      </c>
      <c r="D195" s="3" t="s">
        <v>4125</v>
      </c>
      <c r="E195" s="3" t="s">
        <v>3052</v>
      </c>
      <c r="F195" s="3" t="s">
        <v>4126</v>
      </c>
      <c r="G195" s="3" t="s">
        <v>4127</v>
      </c>
      <c r="H195" s="3" t="s">
        <v>3054</v>
      </c>
      <c r="I195" s="3" t="s">
        <v>3186</v>
      </c>
    </row>
    <row r="196">
      <c r="A196" s="20" t="s">
        <v>4128</v>
      </c>
      <c r="B196" s="3" t="s">
        <v>4129</v>
      </c>
      <c r="C196" s="3" t="s">
        <v>4130</v>
      </c>
      <c r="D196" s="3" t="s">
        <v>4131</v>
      </c>
      <c r="E196" s="3" t="s">
        <v>3052</v>
      </c>
      <c r="F196" s="3" t="s">
        <v>4132</v>
      </c>
      <c r="G196" s="3" t="s">
        <v>3054</v>
      </c>
      <c r="H196" s="3" t="s">
        <v>3054</v>
      </c>
      <c r="I196" s="3" t="s">
        <v>3230</v>
      </c>
    </row>
    <row r="197">
      <c r="A197" s="20" t="s">
        <v>4133</v>
      </c>
      <c r="B197" s="3" t="s">
        <v>2890</v>
      </c>
      <c r="C197" s="3" t="s">
        <v>4134</v>
      </c>
      <c r="D197" s="3" t="s">
        <v>4135</v>
      </c>
      <c r="E197" s="3" t="s">
        <v>4136</v>
      </c>
      <c r="F197" s="3" t="s">
        <v>4137</v>
      </c>
      <c r="G197" s="3" t="s">
        <v>3054</v>
      </c>
      <c r="H197" s="21" t="s">
        <v>4138</v>
      </c>
      <c r="I197" s="3" t="s">
        <v>3099</v>
      </c>
    </row>
    <row r="198">
      <c r="A198" s="20" t="s">
        <v>4139</v>
      </c>
      <c r="B198" s="3" t="s">
        <v>4140</v>
      </c>
      <c r="C198" s="3" t="s">
        <v>4141</v>
      </c>
      <c r="D198" s="3" t="s">
        <v>4142</v>
      </c>
      <c r="E198" s="3" t="s">
        <v>3066</v>
      </c>
      <c r="F198" s="3" t="s">
        <v>3682</v>
      </c>
      <c r="G198" s="3" t="s">
        <v>3054</v>
      </c>
      <c r="H198" s="3" t="s">
        <v>3054</v>
      </c>
      <c r="I198" s="3" t="s">
        <v>3123</v>
      </c>
    </row>
    <row r="199">
      <c r="A199" s="20" t="s">
        <v>4143</v>
      </c>
      <c r="B199" s="3" t="s">
        <v>4144</v>
      </c>
      <c r="C199" s="3" t="s">
        <v>4145</v>
      </c>
      <c r="D199" s="3" t="s">
        <v>4146</v>
      </c>
      <c r="E199" s="3" t="s">
        <v>3052</v>
      </c>
      <c r="F199" s="3" t="s">
        <v>4147</v>
      </c>
      <c r="G199" s="3" t="s">
        <v>4148</v>
      </c>
      <c r="H199" s="3" t="s">
        <v>3054</v>
      </c>
      <c r="I199" s="3" t="s">
        <v>3186</v>
      </c>
    </row>
    <row r="200">
      <c r="A200" s="20" t="s">
        <v>4149</v>
      </c>
      <c r="B200" s="3" t="s">
        <v>4150</v>
      </c>
      <c r="C200" s="3" t="s">
        <v>4151</v>
      </c>
      <c r="D200" s="3" t="s">
        <v>4152</v>
      </c>
      <c r="E200" s="3" t="s">
        <v>3052</v>
      </c>
      <c r="F200" s="3" t="s">
        <v>4153</v>
      </c>
      <c r="G200" s="3" t="s">
        <v>4154</v>
      </c>
      <c r="H200" s="21" t="s">
        <v>4155</v>
      </c>
      <c r="I200" s="3" t="s">
        <v>3099</v>
      </c>
    </row>
    <row r="201">
      <c r="A201" s="20" t="s">
        <v>4156</v>
      </c>
      <c r="B201" s="3" t="s">
        <v>4157</v>
      </c>
      <c r="C201" s="3" t="s">
        <v>4158</v>
      </c>
      <c r="D201" s="3" t="s">
        <v>4159</v>
      </c>
      <c r="E201" s="3" t="s">
        <v>3066</v>
      </c>
      <c r="F201" s="3" t="s">
        <v>4160</v>
      </c>
      <c r="G201" s="3" t="s">
        <v>3054</v>
      </c>
      <c r="H201" s="4"/>
      <c r="I201" s="3" t="s">
        <v>3099</v>
      </c>
    </row>
    <row r="202">
      <c r="A202" s="20" t="s">
        <v>4161</v>
      </c>
      <c r="B202" s="3" t="s">
        <v>4162</v>
      </c>
      <c r="C202" s="3" t="s">
        <v>4163</v>
      </c>
      <c r="D202" s="3" t="s">
        <v>4164</v>
      </c>
      <c r="E202" s="3" t="s">
        <v>3052</v>
      </c>
      <c r="F202" s="3" t="s">
        <v>4165</v>
      </c>
      <c r="G202" s="3" t="s">
        <v>3054</v>
      </c>
      <c r="H202" s="21" t="s">
        <v>4166</v>
      </c>
      <c r="I202" s="3" t="s">
        <v>3491</v>
      </c>
    </row>
    <row r="203">
      <c r="A203" s="20" t="s">
        <v>4167</v>
      </c>
      <c r="B203" s="3" t="s">
        <v>4168</v>
      </c>
      <c r="C203" s="3" t="s">
        <v>4169</v>
      </c>
      <c r="D203" s="3" t="s">
        <v>4170</v>
      </c>
      <c r="E203" s="3" t="s">
        <v>3052</v>
      </c>
      <c r="F203" s="3" t="s">
        <v>4171</v>
      </c>
      <c r="G203" s="3" t="s">
        <v>3054</v>
      </c>
      <c r="H203" s="3" t="s">
        <v>3054</v>
      </c>
      <c r="I203" s="3" t="s">
        <v>3186</v>
      </c>
    </row>
    <row r="204">
      <c r="A204" s="20" t="s">
        <v>4172</v>
      </c>
      <c r="B204" s="3" t="s">
        <v>4173</v>
      </c>
      <c r="C204" s="3" t="s">
        <v>4174</v>
      </c>
      <c r="D204" s="3" t="s">
        <v>4175</v>
      </c>
      <c r="E204" s="3" t="s">
        <v>3052</v>
      </c>
      <c r="F204" s="3" t="s">
        <v>4176</v>
      </c>
      <c r="G204" s="3" t="s">
        <v>3054</v>
      </c>
      <c r="H204" s="3" t="s">
        <v>3054</v>
      </c>
      <c r="I204" s="3" t="s">
        <v>3076</v>
      </c>
    </row>
    <row r="205">
      <c r="A205" s="20" t="s">
        <v>4177</v>
      </c>
      <c r="B205" s="3" t="s">
        <v>4178</v>
      </c>
      <c r="C205" s="3" t="s">
        <v>4179</v>
      </c>
      <c r="D205" s="3" t="s">
        <v>4180</v>
      </c>
      <c r="E205" s="3" t="s">
        <v>3052</v>
      </c>
      <c r="F205" s="3" t="s">
        <v>4181</v>
      </c>
      <c r="G205" s="3" t="s">
        <v>4182</v>
      </c>
      <c r="H205" s="4"/>
      <c r="I205" s="3" t="s">
        <v>3186</v>
      </c>
    </row>
    <row r="206">
      <c r="A206" s="20" t="s">
        <v>4183</v>
      </c>
      <c r="B206" s="3" t="s">
        <v>4184</v>
      </c>
      <c r="C206" s="3" t="s">
        <v>4185</v>
      </c>
      <c r="D206" s="3" t="s">
        <v>4186</v>
      </c>
      <c r="E206" s="3" t="s">
        <v>3096</v>
      </c>
      <c r="F206" s="3" t="s">
        <v>4187</v>
      </c>
      <c r="G206" s="3" t="s">
        <v>4121</v>
      </c>
      <c r="H206" s="3" t="s">
        <v>3054</v>
      </c>
      <c r="I206" s="3" t="s">
        <v>3186</v>
      </c>
    </row>
    <row r="207">
      <c r="A207" s="20" t="s">
        <v>4188</v>
      </c>
      <c r="B207" s="3" t="s">
        <v>4189</v>
      </c>
      <c r="C207" s="3" t="s">
        <v>4190</v>
      </c>
      <c r="D207" s="3" t="s">
        <v>4191</v>
      </c>
      <c r="E207" s="3" t="s">
        <v>3052</v>
      </c>
      <c r="F207" s="3" t="s">
        <v>4192</v>
      </c>
      <c r="G207" s="3" t="s">
        <v>4193</v>
      </c>
      <c r="H207" s="21" t="s">
        <v>4194</v>
      </c>
      <c r="I207" s="3" t="s">
        <v>3099</v>
      </c>
    </row>
    <row r="208">
      <c r="A208" s="20" t="s">
        <v>4195</v>
      </c>
      <c r="B208" s="3" t="s">
        <v>4196</v>
      </c>
      <c r="C208" s="3" t="s">
        <v>4197</v>
      </c>
      <c r="D208" s="3" t="s">
        <v>4198</v>
      </c>
      <c r="E208" s="3" t="s">
        <v>3052</v>
      </c>
      <c r="F208" s="3" t="s">
        <v>4199</v>
      </c>
      <c r="G208" s="3" t="s">
        <v>3054</v>
      </c>
      <c r="H208" s="3" t="s">
        <v>3054</v>
      </c>
      <c r="I208" s="3" t="s">
        <v>3099</v>
      </c>
    </row>
    <row r="209">
      <c r="A209" s="20" t="s">
        <v>4200</v>
      </c>
      <c r="B209" s="3" t="s">
        <v>1617</v>
      </c>
      <c r="C209" s="3" t="s">
        <v>4201</v>
      </c>
      <c r="D209" s="3" t="s">
        <v>4202</v>
      </c>
      <c r="E209" s="3" t="s">
        <v>3403</v>
      </c>
      <c r="F209" s="3" t="s">
        <v>4203</v>
      </c>
      <c r="G209" s="3" t="s">
        <v>3054</v>
      </c>
      <c r="H209" s="3" t="s">
        <v>3054</v>
      </c>
      <c r="I209" s="3" t="s">
        <v>3099</v>
      </c>
    </row>
    <row r="210">
      <c r="A210" s="20" t="s">
        <v>4204</v>
      </c>
      <c r="B210" s="3" t="s">
        <v>4205</v>
      </c>
      <c r="C210" s="3" t="s">
        <v>4206</v>
      </c>
      <c r="D210" s="3" t="s">
        <v>4207</v>
      </c>
      <c r="E210" s="3" t="s">
        <v>3073</v>
      </c>
      <c r="F210" s="3" t="s">
        <v>4208</v>
      </c>
      <c r="G210" s="3" t="s">
        <v>3054</v>
      </c>
      <c r="H210" s="21" t="s">
        <v>4209</v>
      </c>
      <c r="I210" s="3" t="s">
        <v>3099</v>
      </c>
    </row>
    <row r="211">
      <c r="A211" s="20" t="s">
        <v>4210</v>
      </c>
      <c r="B211" s="3" t="s">
        <v>4211</v>
      </c>
      <c r="C211" s="3" t="s">
        <v>4212</v>
      </c>
      <c r="D211" s="3" t="s">
        <v>4213</v>
      </c>
      <c r="E211" s="3" t="s">
        <v>3096</v>
      </c>
      <c r="F211" s="3" t="s">
        <v>4214</v>
      </c>
      <c r="G211" s="3" t="s">
        <v>3054</v>
      </c>
      <c r="H211" s="3" t="s">
        <v>3054</v>
      </c>
      <c r="I211" s="3" t="s">
        <v>3099</v>
      </c>
    </row>
    <row r="212">
      <c r="A212" s="20" t="s">
        <v>4215</v>
      </c>
      <c r="B212" s="3" t="s">
        <v>4216</v>
      </c>
      <c r="C212" s="3" t="s">
        <v>4217</v>
      </c>
      <c r="D212" s="3" t="s">
        <v>4218</v>
      </c>
      <c r="E212" s="3" t="s">
        <v>3052</v>
      </c>
      <c r="F212" s="3" t="s">
        <v>4219</v>
      </c>
      <c r="G212" s="3" t="s">
        <v>3054</v>
      </c>
      <c r="H212" s="21" t="s">
        <v>4220</v>
      </c>
      <c r="I212" s="3" t="s">
        <v>3099</v>
      </c>
    </row>
    <row r="213">
      <c r="A213" s="20" t="s">
        <v>4221</v>
      </c>
      <c r="B213" s="3" t="s">
        <v>4222</v>
      </c>
      <c r="C213" s="3" t="s">
        <v>4223</v>
      </c>
      <c r="D213" s="3" t="s">
        <v>4224</v>
      </c>
      <c r="E213" s="3" t="s">
        <v>3073</v>
      </c>
      <c r="F213" s="3" t="s">
        <v>4225</v>
      </c>
      <c r="G213" s="3" t="s">
        <v>3054</v>
      </c>
      <c r="H213" s="3" t="s">
        <v>3054</v>
      </c>
      <c r="I213" s="3" t="s">
        <v>3054</v>
      </c>
    </row>
    <row r="214">
      <c r="A214" s="20" t="s">
        <v>4226</v>
      </c>
      <c r="B214" s="3" t="s">
        <v>4227</v>
      </c>
      <c r="C214" s="3" t="s">
        <v>4228</v>
      </c>
      <c r="D214" s="3" t="s">
        <v>4229</v>
      </c>
      <c r="E214" s="3" t="s">
        <v>3052</v>
      </c>
      <c r="F214" s="3" t="s">
        <v>4230</v>
      </c>
      <c r="G214" s="3" t="s">
        <v>3054</v>
      </c>
      <c r="H214" s="21" t="s">
        <v>4231</v>
      </c>
      <c r="I214" s="3" t="s">
        <v>3361</v>
      </c>
    </row>
    <row r="215">
      <c r="A215" s="20" t="s">
        <v>4232</v>
      </c>
      <c r="B215" s="3" t="s">
        <v>4233</v>
      </c>
      <c r="C215" s="3" t="s">
        <v>4234</v>
      </c>
      <c r="D215" s="3" t="s">
        <v>4235</v>
      </c>
      <c r="E215" s="3" t="s">
        <v>3052</v>
      </c>
      <c r="F215" s="3" t="s">
        <v>4236</v>
      </c>
      <c r="G215" s="3" t="s">
        <v>4237</v>
      </c>
      <c r="H215" s="21" t="s">
        <v>4238</v>
      </c>
      <c r="I215" s="3" t="s">
        <v>3123</v>
      </c>
    </row>
    <row r="216">
      <c r="A216" s="20" t="s">
        <v>4239</v>
      </c>
      <c r="B216" s="3" t="s">
        <v>4240</v>
      </c>
      <c r="C216" s="3" t="s">
        <v>4241</v>
      </c>
      <c r="D216" s="3" t="s">
        <v>4242</v>
      </c>
      <c r="E216" s="3" t="s">
        <v>3235</v>
      </c>
      <c r="F216" s="3" t="s">
        <v>4243</v>
      </c>
      <c r="G216" s="3" t="s">
        <v>4244</v>
      </c>
      <c r="H216" s="3" t="s">
        <v>3054</v>
      </c>
      <c r="I216" s="3" t="s">
        <v>3137</v>
      </c>
    </row>
    <row r="217">
      <c r="A217" s="20" t="s">
        <v>4245</v>
      </c>
      <c r="B217" s="3" t="s">
        <v>4246</v>
      </c>
      <c r="C217" s="3" t="s">
        <v>4247</v>
      </c>
      <c r="D217" s="3" t="s">
        <v>4248</v>
      </c>
      <c r="E217" s="3" t="s">
        <v>3096</v>
      </c>
      <c r="F217" s="3" t="s">
        <v>4249</v>
      </c>
      <c r="G217" s="3" t="s">
        <v>3054</v>
      </c>
      <c r="H217" s="3" t="s">
        <v>3054</v>
      </c>
      <c r="I217" s="3" t="s">
        <v>3099</v>
      </c>
    </row>
    <row r="218">
      <c r="A218" s="20" t="s">
        <v>4250</v>
      </c>
      <c r="B218" s="3" t="s">
        <v>4251</v>
      </c>
      <c r="C218" s="3" t="s">
        <v>4252</v>
      </c>
      <c r="D218" s="3" t="s">
        <v>4253</v>
      </c>
      <c r="E218" s="3" t="s">
        <v>3052</v>
      </c>
      <c r="F218" s="3" t="s">
        <v>4254</v>
      </c>
      <c r="G218" s="3" t="s">
        <v>3054</v>
      </c>
      <c r="H218" s="3" t="s">
        <v>3054</v>
      </c>
      <c r="I218" s="3" t="s">
        <v>3099</v>
      </c>
    </row>
    <row r="219">
      <c r="A219" s="20" t="s">
        <v>4255</v>
      </c>
      <c r="B219" s="3" t="s">
        <v>4256</v>
      </c>
      <c r="C219" s="4"/>
      <c r="D219" s="3" t="s">
        <v>3115</v>
      </c>
      <c r="E219" s="3" t="s">
        <v>3116</v>
      </c>
      <c r="F219" s="4"/>
      <c r="G219" s="3" t="s">
        <v>3054</v>
      </c>
      <c r="H219" s="3" t="s">
        <v>3054</v>
      </c>
      <c r="I219" s="3" t="s">
        <v>3054</v>
      </c>
    </row>
    <row r="220">
      <c r="A220" s="20" t="s">
        <v>4257</v>
      </c>
      <c r="B220" s="3" t="s">
        <v>4258</v>
      </c>
      <c r="C220" s="3" t="s">
        <v>4259</v>
      </c>
      <c r="D220" s="3" t="s">
        <v>4260</v>
      </c>
      <c r="E220" s="3" t="s">
        <v>3800</v>
      </c>
      <c r="F220" s="3" t="s">
        <v>4261</v>
      </c>
      <c r="G220" s="3" t="s">
        <v>3054</v>
      </c>
      <c r="H220" s="21" t="s">
        <v>4262</v>
      </c>
      <c r="I220" s="3" t="s">
        <v>3099</v>
      </c>
    </row>
    <row r="221">
      <c r="A221" s="20" t="s">
        <v>4263</v>
      </c>
      <c r="B221" s="3" t="s">
        <v>4264</v>
      </c>
      <c r="C221" s="3" t="s">
        <v>4265</v>
      </c>
      <c r="D221" s="3" t="s">
        <v>4266</v>
      </c>
      <c r="E221" s="3" t="s">
        <v>3073</v>
      </c>
      <c r="F221" s="3" t="s">
        <v>4267</v>
      </c>
      <c r="G221" s="3" t="s">
        <v>3054</v>
      </c>
      <c r="H221" s="21" t="s">
        <v>4268</v>
      </c>
      <c r="I221" s="3" t="s">
        <v>3076</v>
      </c>
    </row>
    <row r="222">
      <c r="A222" s="20" t="s">
        <v>4269</v>
      </c>
      <c r="B222" s="3" t="s">
        <v>4270</v>
      </c>
      <c r="C222" s="3" t="s">
        <v>4271</v>
      </c>
      <c r="D222" s="3" t="s">
        <v>4272</v>
      </c>
      <c r="E222" s="3" t="s">
        <v>3073</v>
      </c>
      <c r="F222" s="3" t="s">
        <v>4273</v>
      </c>
      <c r="G222" s="3" t="s">
        <v>3054</v>
      </c>
      <c r="H222" s="3" t="s">
        <v>3054</v>
      </c>
      <c r="I222" s="3" t="s">
        <v>3099</v>
      </c>
    </row>
    <row r="223">
      <c r="A223" s="20" t="s">
        <v>4274</v>
      </c>
      <c r="B223" s="3" t="s">
        <v>4275</v>
      </c>
      <c r="C223" s="3" t="s">
        <v>4276</v>
      </c>
      <c r="D223" s="3" t="s">
        <v>4277</v>
      </c>
      <c r="E223" s="3" t="s">
        <v>3052</v>
      </c>
      <c r="F223" s="3" t="s">
        <v>4278</v>
      </c>
      <c r="G223" s="3" t="s">
        <v>4279</v>
      </c>
      <c r="H223" s="21" t="s">
        <v>4280</v>
      </c>
      <c r="I223" s="3" t="s">
        <v>3099</v>
      </c>
    </row>
    <row r="224">
      <c r="A224" s="20" t="s">
        <v>4281</v>
      </c>
      <c r="B224" s="3" t="s">
        <v>4282</v>
      </c>
      <c r="C224" s="3" t="s">
        <v>4283</v>
      </c>
      <c r="D224" s="3" t="s">
        <v>4284</v>
      </c>
      <c r="E224" s="3" t="s">
        <v>3052</v>
      </c>
      <c r="F224" s="3" t="s">
        <v>4285</v>
      </c>
      <c r="G224" s="3" t="s">
        <v>3054</v>
      </c>
      <c r="H224" s="3" t="s">
        <v>3054</v>
      </c>
      <c r="I224" s="3" t="s">
        <v>3186</v>
      </c>
    </row>
    <row r="225">
      <c r="A225" s="20" t="s">
        <v>4286</v>
      </c>
      <c r="B225" s="3" t="s">
        <v>4287</v>
      </c>
      <c r="C225" s="3" t="s">
        <v>4288</v>
      </c>
      <c r="D225" s="3" t="s">
        <v>4289</v>
      </c>
      <c r="E225" s="3" t="s">
        <v>3096</v>
      </c>
      <c r="F225" s="3" t="s">
        <v>4290</v>
      </c>
      <c r="G225" s="3" t="s">
        <v>3054</v>
      </c>
      <c r="H225" s="4"/>
      <c r="I225" s="3" t="s">
        <v>3186</v>
      </c>
    </row>
    <row r="226">
      <c r="A226" s="20" t="s">
        <v>4291</v>
      </c>
      <c r="B226" s="3" t="s">
        <v>4292</v>
      </c>
      <c r="C226" s="3" t="s">
        <v>4293</v>
      </c>
      <c r="D226" s="3" t="s">
        <v>4294</v>
      </c>
      <c r="E226" s="3" t="s">
        <v>3052</v>
      </c>
      <c r="F226" s="3" t="s">
        <v>4295</v>
      </c>
      <c r="G226" s="3" t="s">
        <v>3054</v>
      </c>
      <c r="H226" s="21" t="s">
        <v>4296</v>
      </c>
      <c r="I226" s="3" t="s">
        <v>3099</v>
      </c>
    </row>
    <row r="227">
      <c r="A227" s="20" t="s">
        <v>4297</v>
      </c>
      <c r="B227" s="3" t="s">
        <v>4298</v>
      </c>
      <c r="C227" s="3" t="s">
        <v>4299</v>
      </c>
      <c r="D227" s="3" t="s">
        <v>4300</v>
      </c>
      <c r="E227" s="3" t="s">
        <v>3073</v>
      </c>
      <c r="F227" s="3" t="s">
        <v>4301</v>
      </c>
      <c r="G227" s="3" t="s">
        <v>4302</v>
      </c>
      <c r="H227" s="3" t="s">
        <v>3054</v>
      </c>
      <c r="I227" s="3" t="s">
        <v>3137</v>
      </c>
    </row>
    <row r="228">
      <c r="A228" s="20" t="s">
        <v>4303</v>
      </c>
      <c r="B228" s="3" t="s">
        <v>4304</v>
      </c>
      <c r="C228" s="3" t="s">
        <v>4305</v>
      </c>
      <c r="D228" s="3" t="s">
        <v>4306</v>
      </c>
      <c r="E228" s="3" t="s">
        <v>3403</v>
      </c>
      <c r="F228" s="3" t="s">
        <v>4307</v>
      </c>
      <c r="G228" s="3" t="s">
        <v>3054</v>
      </c>
      <c r="H228" s="21" t="s">
        <v>4308</v>
      </c>
      <c r="I228" s="3" t="s">
        <v>3069</v>
      </c>
    </row>
    <row r="229">
      <c r="A229" s="20" t="s">
        <v>4309</v>
      </c>
      <c r="B229" s="3" t="s">
        <v>4310</v>
      </c>
      <c r="C229" s="3" t="s">
        <v>4311</v>
      </c>
      <c r="D229" s="3" t="s">
        <v>4312</v>
      </c>
      <c r="E229" s="3" t="s">
        <v>4313</v>
      </c>
      <c r="F229" s="3" t="s">
        <v>4314</v>
      </c>
      <c r="G229" s="3" t="s">
        <v>3054</v>
      </c>
      <c r="H229" s="3" t="s">
        <v>3054</v>
      </c>
      <c r="I229" s="3" t="s">
        <v>3123</v>
      </c>
    </row>
    <row r="230">
      <c r="A230" s="20" t="s">
        <v>4315</v>
      </c>
      <c r="B230" s="3" t="s">
        <v>4316</v>
      </c>
      <c r="C230" s="3" t="s">
        <v>4317</v>
      </c>
      <c r="D230" s="3" t="s">
        <v>4318</v>
      </c>
      <c r="E230" s="3" t="s">
        <v>3073</v>
      </c>
      <c r="F230" s="3" t="s">
        <v>4319</v>
      </c>
      <c r="G230" s="3" t="s">
        <v>3054</v>
      </c>
      <c r="H230" s="3" t="s">
        <v>3054</v>
      </c>
      <c r="I230" s="3" t="s">
        <v>3099</v>
      </c>
    </row>
    <row r="231">
      <c r="A231" s="20" t="s">
        <v>4320</v>
      </c>
      <c r="B231" s="3" t="s">
        <v>4321</v>
      </c>
      <c r="C231" s="3" t="s">
        <v>4322</v>
      </c>
      <c r="D231" s="3" t="s">
        <v>4323</v>
      </c>
      <c r="E231" s="3" t="s">
        <v>3403</v>
      </c>
      <c r="F231" s="3" t="s">
        <v>4324</v>
      </c>
      <c r="G231" s="3" t="s">
        <v>3054</v>
      </c>
      <c r="H231" s="4"/>
      <c r="I231" s="3" t="s">
        <v>3137</v>
      </c>
    </row>
    <row r="232">
      <c r="A232" s="20" t="s">
        <v>4325</v>
      </c>
      <c r="B232" s="3" t="s">
        <v>4326</v>
      </c>
      <c r="C232" s="3" t="s">
        <v>4327</v>
      </c>
      <c r="D232" s="3" t="s">
        <v>4328</v>
      </c>
      <c r="E232" s="3" t="s">
        <v>3260</v>
      </c>
      <c r="F232" s="3" t="s">
        <v>4329</v>
      </c>
      <c r="G232" s="3" t="s">
        <v>3054</v>
      </c>
      <c r="H232" s="21" t="s">
        <v>4330</v>
      </c>
      <c r="I232" s="3" t="s">
        <v>3061</v>
      </c>
    </row>
    <row r="233">
      <c r="A233" s="20" t="s">
        <v>4331</v>
      </c>
      <c r="B233" s="3" t="s">
        <v>4332</v>
      </c>
      <c r="C233" s="3" t="s">
        <v>4333</v>
      </c>
      <c r="D233" s="3" t="s">
        <v>4334</v>
      </c>
      <c r="E233" s="3" t="s">
        <v>3052</v>
      </c>
      <c r="F233" s="3" t="s">
        <v>4335</v>
      </c>
      <c r="G233" s="3" t="s">
        <v>3054</v>
      </c>
      <c r="H233" s="21" t="s">
        <v>4336</v>
      </c>
      <c r="I233" s="3" t="s">
        <v>3099</v>
      </c>
    </row>
    <row r="234">
      <c r="A234" s="20" t="s">
        <v>4337</v>
      </c>
      <c r="B234" s="3" t="s">
        <v>4338</v>
      </c>
      <c r="C234" s="3" t="s">
        <v>4339</v>
      </c>
      <c r="D234" s="3" t="s">
        <v>4340</v>
      </c>
      <c r="E234" s="3" t="s">
        <v>3052</v>
      </c>
      <c r="F234" s="3" t="s">
        <v>4341</v>
      </c>
      <c r="G234" s="3" t="s">
        <v>3054</v>
      </c>
      <c r="H234" s="4"/>
      <c r="I234" s="3" t="s">
        <v>3054</v>
      </c>
    </row>
    <row r="235">
      <c r="A235" s="20" t="s">
        <v>4342</v>
      </c>
      <c r="B235" s="3" t="s">
        <v>4343</v>
      </c>
      <c r="C235" s="3" t="s">
        <v>4344</v>
      </c>
      <c r="D235" s="3" t="s">
        <v>4345</v>
      </c>
      <c r="E235" s="3" t="s">
        <v>3052</v>
      </c>
      <c r="F235" s="3" t="s">
        <v>4346</v>
      </c>
      <c r="G235" s="3" t="s">
        <v>3054</v>
      </c>
      <c r="H235" s="3" t="s">
        <v>3054</v>
      </c>
      <c r="I235" s="3" t="s">
        <v>3099</v>
      </c>
    </row>
    <row r="236">
      <c r="A236" s="20" t="s">
        <v>4347</v>
      </c>
      <c r="B236" s="3" t="s">
        <v>4348</v>
      </c>
      <c r="C236" s="3" t="s">
        <v>4349</v>
      </c>
      <c r="D236" s="3" t="s">
        <v>4350</v>
      </c>
      <c r="E236" s="3" t="s">
        <v>3073</v>
      </c>
      <c r="F236" s="3" t="s">
        <v>4351</v>
      </c>
      <c r="G236" s="3" t="s">
        <v>3054</v>
      </c>
      <c r="H236" s="21" t="s">
        <v>4352</v>
      </c>
      <c r="I236" s="3" t="s">
        <v>3123</v>
      </c>
    </row>
    <row r="237">
      <c r="A237" s="20" t="s">
        <v>4353</v>
      </c>
      <c r="B237" s="3" t="s">
        <v>4354</v>
      </c>
      <c r="C237" s="3" t="s">
        <v>4355</v>
      </c>
      <c r="D237" s="3" t="s">
        <v>4356</v>
      </c>
      <c r="E237" s="3" t="s">
        <v>4357</v>
      </c>
      <c r="F237" s="3" t="s">
        <v>4358</v>
      </c>
      <c r="G237" s="3" t="s">
        <v>3054</v>
      </c>
      <c r="H237" s="21" t="s">
        <v>4359</v>
      </c>
      <c r="I237" s="3" t="s">
        <v>3099</v>
      </c>
    </row>
    <row r="238">
      <c r="A238" s="20" t="s">
        <v>4360</v>
      </c>
      <c r="B238" s="3" t="s">
        <v>4361</v>
      </c>
      <c r="C238" s="3" t="s">
        <v>4362</v>
      </c>
      <c r="D238" s="3" t="s">
        <v>4363</v>
      </c>
      <c r="E238" s="3" t="s">
        <v>3052</v>
      </c>
      <c r="F238" s="3" t="s">
        <v>4364</v>
      </c>
      <c r="G238" s="3" t="s">
        <v>3054</v>
      </c>
      <c r="H238" s="3" t="s">
        <v>3054</v>
      </c>
      <c r="I238" s="3" t="s">
        <v>3491</v>
      </c>
    </row>
    <row r="239">
      <c r="A239" s="20" t="s">
        <v>4365</v>
      </c>
      <c r="B239" s="3" t="s">
        <v>4366</v>
      </c>
      <c r="C239" s="3" t="s">
        <v>4367</v>
      </c>
      <c r="D239" s="3" t="s">
        <v>4368</v>
      </c>
      <c r="E239" s="3" t="s">
        <v>3052</v>
      </c>
      <c r="F239" s="3" t="s">
        <v>4369</v>
      </c>
      <c r="G239" s="3" t="s">
        <v>3054</v>
      </c>
      <c r="H239" s="3" t="s">
        <v>3054</v>
      </c>
      <c r="I239" s="3" t="s">
        <v>3491</v>
      </c>
    </row>
    <row r="240">
      <c r="A240" s="20" t="s">
        <v>4370</v>
      </c>
      <c r="B240" s="3" t="s">
        <v>4371</v>
      </c>
      <c r="C240" s="3" t="s">
        <v>4372</v>
      </c>
      <c r="D240" s="3" t="s">
        <v>4373</v>
      </c>
      <c r="E240" s="3" t="s">
        <v>3052</v>
      </c>
      <c r="F240" s="3" t="s">
        <v>4374</v>
      </c>
      <c r="G240" s="3" t="s">
        <v>4121</v>
      </c>
      <c r="H240" s="3" t="s">
        <v>3054</v>
      </c>
      <c r="I240" s="3" t="s">
        <v>3186</v>
      </c>
    </row>
    <row r="241">
      <c r="A241" s="20" t="s">
        <v>4375</v>
      </c>
      <c r="B241" s="3" t="s">
        <v>4376</v>
      </c>
      <c r="C241" s="3" t="s">
        <v>4377</v>
      </c>
      <c r="D241" s="3" t="s">
        <v>4378</v>
      </c>
      <c r="E241" s="3" t="s">
        <v>3052</v>
      </c>
      <c r="F241" s="3" t="s">
        <v>4379</v>
      </c>
      <c r="G241" s="3" t="s">
        <v>3054</v>
      </c>
      <c r="H241" s="21" t="s">
        <v>4380</v>
      </c>
      <c r="I241" s="3" t="s">
        <v>3099</v>
      </c>
    </row>
    <row r="242">
      <c r="A242" s="20" t="s">
        <v>4381</v>
      </c>
      <c r="B242" s="3" t="s">
        <v>4382</v>
      </c>
      <c r="C242" s="3" t="s">
        <v>4383</v>
      </c>
      <c r="D242" s="3" t="s">
        <v>4384</v>
      </c>
      <c r="E242" s="3" t="s">
        <v>3235</v>
      </c>
      <c r="F242" s="3" t="s">
        <v>4385</v>
      </c>
      <c r="G242" s="3" t="s">
        <v>4121</v>
      </c>
      <c r="H242" s="21" t="s">
        <v>4386</v>
      </c>
      <c r="I242" s="3" t="s">
        <v>3099</v>
      </c>
    </row>
    <row r="243">
      <c r="A243" s="20" t="s">
        <v>4387</v>
      </c>
      <c r="B243" s="3" t="s">
        <v>4388</v>
      </c>
      <c r="C243" s="3" t="s">
        <v>4389</v>
      </c>
      <c r="D243" s="3" t="s">
        <v>4390</v>
      </c>
      <c r="E243" s="3" t="s">
        <v>3096</v>
      </c>
      <c r="F243" s="3" t="s">
        <v>4391</v>
      </c>
      <c r="G243" s="3" t="s">
        <v>4392</v>
      </c>
      <c r="H243" s="3" t="s">
        <v>3054</v>
      </c>
      <c r="I243" s="3" t="s">
        <v>3099</v>
      </c>
    </row>
    <row r="244">
      <c r="A244" s="20" t="s">
        <v>4393</v>
      </c>
      <c r="B244" s="3" t="s">
        <v>4394</v>
      </c>
      <c r="C244" s="4"/>
      <c r="D244" s="3" t="s">
        <v>3115</v>
      </c>
      <c r="E244" s="3" t="s">
        <v>3116</v>
      </c>
      <c r="F244" s="4"/>
      <c r="G244" s="3" t="s">
        <v>3054</v>
      </c>
      <c r="H244" s="3" t="s">
        <v>3054</v>
      </c>
      <c r="I244" s="3" t="s">
        <v>3054</v>
      </c>
    </row>
    <row r="245">
      <c r="A245" s="20" t="s">
        <v>4395</v>
      </c>
      <c r="B245" s="3" t="s">
        <v>4396</v>
      </c>
      <c r="C245" s="3" t="s">
        <v>4397</v>
      </c>
      <c r="D245" s="3" t="s">
        <v>3115</v>
      </c>
      <c r="E245" s="3" t="s">
        <v>3116</v>
      </c>
      <c r="F245" s="4"/>
      <c r="G245" s="3" t="s">
        <v>3054</v>
      </c>
      <c r="H245" s="3" t="s">
        <v>3054</v>
      </c>
      <c r="I245" s="3" t="s">
        <v>3054</v>
      </c>
    </row>
    <row r="246">
      <c r="A246" s="20" t="s">
        <v>4398</v>
      </c>
      <c r="B246" s="3" t="s">
        <v>4399</v>
      </c>
      <c r="C246" s="3" t="s">
        <v>4400</v>
      </c>
      <c r="D246" s="3" t="s">
        <v>3734</v>
      </c>
      <c r="E246" s="3" t="s">
        <v>3235</v>
      </c>
      <c r="F246" s="3" t="s">
        <v>4401</v>
      </c>
      <c r="G246" s="3" t="s">
        <v>4402</v>
      </c>
      <c r="H246" s="21" t="s">
        <v>4403</v>
      </c>
      <c r="I246" s="3" t="s">
        <v>3186</v>
      </c>
    </row>
    <row r="247">
      <c r="A247" s="20" t="s">
        <v>4404</v>
      </c>
      <c r="B247" s="3" t="s">
        <v>4405</v>
      </c>
      <c r="C247" s="3" t="s">
        <v>4406</v>
      </c>
      <c r="D247" s="3" t="s">
        <v>4407</v>
      </c>
      <c r="E247" s="3" t="s">
        <v>3052</v>
      </c>
      <c r="F247" s="3" t="s">
        <v>4408</v>
      </c>
      <c r="G247" s="3" t="s">
        <v>3054</v>
      </c>
      <c r="H247" s="3" t="s">
        <v>3054</v>
      </c>
      <c r="I247" s="3" t="s">
        <v>3099</v>
      </c>
    </row>
    <row r="248">
      <c r="A248" s="20" t="s">
        <v>4409</v>
      </c>
      <c r="B248" s="3" t="s">
        <v>4410</v>
      </c>
      <c r="C248" s="3" t="s">
        <v>4411</v>
      </c>
      <c r="D248" s="3" t="s">
        <v>4412</v>
      </c>
      <c r="E248" s="3" t="s">
        <v>3403</v>
      </c>
      <c r="F248" s="3" t="s">
        <v>4413</v>
      </c>
      <c r="G248" s="3" t="s">
        <v>4414</v>
      </c>
      <c r="H248" s="3" t="s">
        <v>3054</v>
      </c>
      <c r="I248" s="3" t="s">
        <v>3186</v>
      </c>
    </row>
    <row r="249">
      <c r="A249" s="20" t="s">
        <v>4415</v>
      </c>
      <c r="B249" s="3" t="s">
        <v>4416</v>
      </c>
      <c r="C249" s="4"/>
      <c r="D249" s="3" t="s">
        <v>3115</v>
      </c>
      <c r="E249" s="3" t="s">
        <v>3116</v>
      </c>
      <c r="F249" s="4"/>
      <c r="G249" s="3" t="s">
        <v>3054</v>
      </c>
      <c r="H249" s="3" t="s">
        <v>3054</v>
      </c>
      <c r="I249" s="3" t="s">
        <v>3054</v>
      </c>
    </row>
    <row r="250">
      <c r="A250" s="20" t="s">
        <v>4417</v>
      </c>
      <c r="B250" s="3" t="s">
        <v>4418</v>
      </c>
      <c r="C250" s="3" t="s">
        <v>4419</v>
      </c>
      <c r="D250" s="3" t="s">
        <v>4420</v>
      </c>
      <c r="E250" s="3" t="s">
        <v>3089</v>
      </c>
      <c r="F250" s="3" t="s">
        <v>4421</v>
      </c>
      <c r="G250" s="3" t="s">
        <v>4422</v>
      </c>
      <c r="H250" s="3" t="s">
        <v>3054</v>
      </c>
      <c r="I250" s="3" t="s">
        <v>3099</v>
      </c>
    </row>
    <row r="251">
      <c r="A251" s="20" t="s">
        <v>4423</v>
      </c>
      <c r="B251" s="3" t="s">
        <v>4424</v>
      </c>
      <c r="C251" s="3" t="s">
        <v>4425</v>
      </c>
      <c r="D251" s="3" t="s">
        <v>4426</v>
      </c>
      <c r="E251" s="3" t="s">
        <v>3235</v>
      </c>
      <c r="F251" s="3" t="s">
        <v>4427</v>
      </c>
      <c r="G251" s="3" t="s">
        <v>4428</v>
      </c>
      <c r="H251" s="3" t="s">
        <v>3054</v>
      </c>
      <c r="I251" s="3" t="s">
        <v>3137</v>
      </c>
    </row>
    <row r="252">
      <c r="A252" s="20" t="s">
        <v>4429</v>
      </c>
      <c r="B252" s="3" t="s">
        <v>4430</v>
      </c>
      <c r="C252" s="4"/>
      <c r="D252" s="3" t="s">
        <v>3115</v>
      </c>
      <c r="E252" s="3" t="s">
        <v>3116</v>
      </c>
      <c r="F252" s="4"/>
      <c r="G252" s="3" t="s">
        <v>3054</v>
      </c>
      <c r="H252" s="3" t="s">
        <v>3054</v>
      </c>
      <c r="I252" s="3" t="s">
        <v>3054</v>
      </c>
    </row>
    <row r="253">
      <c r="A253" s="20" t="s">
        <v>4431</v>
      </c>
      <c r="B253" s="3" t="s">
        <v>4432</v>
      </c>
      <c r="C253" s="3" t="s">
        <v>4433</v>
      </c>
      <c r="D253" s="3" t="s">
        <v>4434</v>
      </c>
      <c r="E253" s="3" t="s">
        <v>3905</v>
      </c>
      <c r="F253" s="3" t="s">
        <v>4435</v>
      </c>
      <c r="G253" s="3" t="s">
        <v>4436</v>
      </c>
      <c r="H253" s="21" t="s">
        <v>4437</v>
      </c>
      <c r="I253" s="3" t="s">
        <v>3076</v>
      </c>
    </row>
    <row r="254">
      <c r="A254" s="20" t="s">
        <v>4438</v>
      </c>
      <c r="B254" s="3" t="s">
        <v>1737</v>
      </c>
      <c r="C254" s="3" t="s">
        <v>4439</v>
      </c>
      <c r="D254" s="3" t="s">
        <v>4440</v>
      </c>
      <c r="E254" s="3" t="s">
        <v>4441</v>
      </c>
      <c r="F254" s="3" t="s">
        <v>4442</v>
      </c>
      <c r="G254" s="3" t="s">
        <v>3054</v>
      </c>
      <c r="H254" s="3" t="s">
        <v>3054</v>
      </c>
      <c r="I254" s="3" t="s">
        <v>3099</v>
      </c>
    </row>
    <row r="255">
      <c r="A255" s="20" t="s">
        <v>4443</v>
      </c>
      <c r="B255" s="3" t="s">
        <v>4444</v>
      </c>
      <c r="C255" s="3" t="s">
        <v>4445</v>
      </c>
      <c r="D255" s="3" t="s">
        <v>4446</v>
      </c>
      <c r="E255" s="3" t="s">
        <v>3235</v>
      </c>
      <c r="F255" s="3" t="s">
        <v>4447</v>
      </c>
      <c r="G255" s="3" t="s">
        <v>3054</v>
      </c>
      <c r="H255" s="3" t="s">
        <v>3054</v>
      </c>
      <c r="I255" s="3" t="s">
        <v>3061</v>
      </c>
    </row>
    <row r="256">
      <c r="A256" s="20" t="s">
        <v>4448</v>
      </c>
      <c r="B256" s="3" t="s">
        <v>4449</v>
      </c>
      <c r="C256" s="4"/>
      <c r="D256" s="3" t="s">
        <v>3115</v>
      </c>
      <c r="E256" s="3" t="s">
        <v>3116</v>
      </c>
      <c r="F256" s="4"/>
      <c r="G256" s="3" t="s">
        <v>3054</v>
      </c>
      <c r="H256" s="3" t="s">
        <v>3054</v>
      </c>
      <c r="I256" s="3" t="s">
        <v>3054</v>
      </c>
    </row>
    <row r="257">
      <c r="A257" s="20" t="s">
        <v>4450</v>
      </c>
      <c r="B257" s="3" t="s">
        <v>2539</v>
      </c>
      <c r="C257" s="3" t="s">
        <v>4451</v>
      </c>
      <c r="D257" s="3" t="s">
        <v>4452</v>
      </c>
      <c r="E257" s="3" t="s">
        <v>3096</v>
      </c>
      <c r="F257" s="3" t="s">
        <v>4453</v>
      </c>
      <c r="G257" s="3" t="s">
        <v>3054</v>
      </c>
      <c r="H257" s="4"/>
      <c r="I257" s="3" t="s">
        <v>3137</v>
      </c>
    </row>
    <row r="258">
      <c r="A258" s="20" t="s">
        <v>4454</v>
      </c>
      <c r="B258" s="3" t="s">
        <v>4455</v>
      </c>
      <c r="C258" s="3" t="s">
        <v>4456</v>
      </c>
      <c r="D258" s="3" t="s">
        <v>4457</v>
      </c>
      <c r="E258" s="3" t="s">
        <v>3073</v>
      </c>
      <c r="F258" s="3" t="s">
        <v>4458</v>
      </c>
      <c r="G258" s="3" t="s">
        <v>3054</v>
      </c>
      <c r="H258" s="21" t="s">
        <v>4459</v>
      </c>
      <c r="I258" s="3" t="s">
        <v>3076</v>
      </c>
    </row>
    <row r="259">
      <c r="A259" s="20" t="s">
        <v>4460</v>
      </c>
      <c r="B259" s="3" t="s">
        <v>4461</v>
      </c>
      <c r="C259" s="4"/>
      <c r="D259" s="3" t="s">
        <v>3115</v>
      </c>
      <c r="E259" s="3" t="s">
        <v>3116</v>
      </c>
      <c r="F259" s="4"/>
      <c r="G259" s="3" t="s">
        <v>3054</v>
      </c>
      <c r="H259" s="3" t="s">
        <v>3054</v>
      </c>
      <c r="I259" s="3" t="s">
        <v>3054</v>
      </c>
    </row>
    <row r="260">
      <c r="A260" s="20" t="s">
        <v>4462</v>
      </c>
      <c r="B260" s="3" t="s">
        <v>4463</v>
      </c>
      <c r="C260" s="3" t="s">
        <v>4464</v>
      </c>
      <c r="D260" s="3" t="s">
        <v>4465</v>
      </c>
      <c r="E260" s="3" t="s">
        <v>3052</v>
      </c>
      <c r="F260" s="3" t="s">
        <v>4466</v>
      </c>
      <c r="G260" s="3" t="s">
        <v>3054</v>
      </c>
      <c r="H260" s="3" t="s">
        <v>3054</v>
      </c>
      <c r="I260" s="3" t="s">
        <v>3054</v>
      </c>
    </row>
    <row r="261">
      <c r="A261" s="20" t="s">
        <v>4467</v>
      </c>
      <c r="B261" s="3" t="s">
        <v>4468</v>
      </c>
      <c r="C261" s="4"/>
      <c r="D261" s="3" t="s">
        <v>3115</v>
      </c>
      <c r="E261" s="3" t="s">
        <v>3116</v>
      </c>
      <c r="F261" s="4"/>
      <c r="G261" s="3" t="s">
        <v>3054</v>
      </c>
      <c r="H261" s="3" t="s">
        <v>3054</v>
      </c>
      <c r="I261" s="3" t="s">
        <v>3054</v>
      </c>
    </row>
    <row r="262">
      <c r="A262" s="20" t="s">
        <v>4469</v>
      </c>
      <c r="B262" s="3" t="s">
        <v>1080</v>
      </c>
      <c r="C262" s="3" t="s">
        <v>4470</v>
      </c>
      <c r="D262" s="3" t="s">
        <v>4471</v>
      </c>
      <c r="E262" s="3" t="s">
        <v>3096</v>
      </c>
      <c r="F262" s="3" t="s">
        <v>4472</v>
      </c>
      <c r="G262" s="3" t="s">
        <v>3054</v>
      </c>
      <c r="H262" s="21" t="s">
        <v>4473</v>
      </c>
      <c r="I262" s="3" t="s">
        <v>3186</v>
      </c>
    </row>
    <row r="263">
      <c r="A263" s="20" t="s">
        <v>4474</v>
      </c>
      <c r="B263" s="3" t="s">
        <v>4475</v>
      </c>
      <c r="C263" s="3" t="s">
        <v>4476</v>
      </c>
      <c r="D263" s="3" t="s">
        <v>4477</v>
      </c>
      <c r="E263" s="3" t="s">
        <v>3096</v>
      </c>
      <c r="F263" s="3" t="s">
        <v>4478</v>
      </c>
      <c r="G263" s="3" t="s">
        <v>4479</v>
      </c>
      <c r="H263" s="21" t="s">
        <v>4480</v>
      </c>
      <c r="I263" s="3" t="s">
        <v>3099</v>
      </c>
    </row>
    <row r="264">
      <c r="A264" s="20" t="s">
        <v>4481</v>
      </c>
      <c r="B264" s="3" t="s">
        <v>4482</v>
      </c>
      <c r="C264" s="3" t="s">
        <v>4483</v>
      </c>
      <c r="D264" s="3" t="s">
        <v>4484</v>
      </c>
      <c r="E264" s="3" t="s">
        <v>3052</v>
      </c>
      <c r="F264" s="3" t="s">
        <v>4485</v>
      </c>
      <c r="G264" s="3" t="s">
        <v>3054</v>
      </c>
      <c r="H264" s="21" t="s">
        <v>4486</v>
      </c>
      <c r="I264" s="3" t="s">
        <v>3099</v>
      </c>
    </row>
    <row r="265">
      <c r="A265" s="20" t="s">
        <v>4487</v>
      </c>
      <c r="B265" s="3" t="s">
        <v>4488</v>
      </c>
      <c r="C265" s="3" t="s">
        <v>4489</v>
      </c>
      <c r="D265" s="3" t="s">
        <v>4490</v>
      </c>
      <c r="E265" s="3" t="s">
        <v>4491</v>
      </c>
      <c r="F265" s="3" t="s">
        <v>4492</v>
      </c>
      <c r="G265" s="3" t="s">
        <v>3054</v>
      </c>
      <c r="H265" s="3" t="s">
        <v>3054</v>
      </c>
      <c r="I265" s="3" t="s">
        <v>3061</v>
      </c>
    </row>
    <row r="266">
      <c r="A266" s="20" t="s">
        <v>4493</v>
      </c>
      <c r="B266" s="3" t="s">
        <v>4494</v>
      </c>
      <c r="C266" s="3" t="s">
        <v>4495</v>
      </c>
      <c r="D266" s="3" t="s">
        <v>4496</v>
      </c>
      <c r="E266" s="3" t="s">
        <v>3096</v>
      </c>
      <c r="F266" s="3" t="s">
        <v>4497</v>
      </c>
      <c r="G266" s="3" t="s">
        <v>4498</v>
      </c>
      <c r="H266" s="3" t="s">
        <v>3054</v>
      </c>
      <c r="I266" s="3" t="s">
        <v>3061</v>
      </c>
    </row>
    <row r="267">
      <c r="A267" s="20" t="s">
        <v>4499</v>
      </c>
      <c r="B267" s="3" t="s">
        <v>4500</v>
      </c>
      <c r="C267" s="3" t="s">
        <v>4501</v>
      </c>
      <c r="D267" s="3" t="s">
        <v>4502</v>
      </c>
      <c r="E267" s="3" t="s">
        <v>3177</v>
      </c>
      <c r="F267" s="3" t="s">
        <v>4503</v>
      </c>
      <c r="G267" s="3" t="s">
        <v>4504</v>
      </c>
      <c r="H267" s="3" t="s">
        <v>3054</v>
      </c>
      <c r="I267" s="3" t="s">
        <v>3076</v>
      </c>
    </row>
    <row r="268">
      <c r="A268" s="20" t="s">
        <v>4505</v>
      </c>
      <c r="B268" s="3" t="s">
        <v>4506</v>
      </c>
      <c r="C268" s="4"/>
      <c r="D268" s="3" t="s">
        <v>3115</v>
      </c>
      <c r="E268" s="3" t="s">
        <v>3116</v>
      </c>
      <c r="F268" s="4"/>
      <c r="G268" s="3" t="s">
        <v>3054</v>
      </c>
      <c r="H268" s="3" t="s">
        <v>3054</v>
      </c>
      <c r="I268" s="3" t="s">
        <v>3054</v>
      </c>
    </row>
    <row r="269">
      <c r="A269" s="20" t="s">
        <v>4507</v>
      </c>
      <c r="B269" s="3" t="s">
        <v>4508</v>
      </c>
      <c r="C269" s="3" t="s">
        <v>4509</v>
      </c>
      <c r="D269" s="3" t="s">
        <v>4510</v>
      </c>
      <c r="E269" s="3" t="s">
        <v>4511</v>
      </c>
      <c r="F269" s="3" t="s">
        <v>4512</v>
      </c>
      <c r="G269" s="3" t="s">
        <v>3054</v>
      </c>
      <c r="H269" s="3" t="s">
        <v>3054</v>
      </c>
      <c r="I269" s="3" t="s">
        <v>3076</v>
      </c>
    </row>
    <row r="270">
      <c r="A270" s="20" t="s">
        <v>4513</v>
      </c>
      <c r="B270" s="3" t="s">
        <v>4514</v>
      </c>
      <c r="C270" s="4"/>
      <c r="D270" s="3" t="s">
        <v>3115</v>
      </c>
      <c r="E270" s="3" t="s">
        <v>3116</v>
      </c>
      <c r="F270" s="4"/>
      <c r="G270" s="3" t="s">
        <v>3054</v>
      </c>
      <c r="H270" s="3" t="s">
        <v>3054</v>
      </c>
      <c r="I270" s="3" t="s">
        <v>3054</v>
      </c>
    </row>
    <row r="271">
      <c r="A271" s="20" t="s">
        <v>4515</v>
      </c>
      <c r="B271" s="3" t="s">
        <v>4516</v>
      </c>
      <c r="C271" s="3" t="s">
        <v>4517</v>
      </c>
      <c r="D271" s="3" t="s">
        <v>4518</v>
      </c>
      <c r="E271" s="3" t="s">
        <v>3177</v>
      </c>
      <c r="F271" s="3" t="s">
        <v>4519</v>
      </c>
      <c r="G271" s="3" t="s">
        <v>3054</v>
      </c>
      <c r="H271" s="21" t="s">
        <v>4520</v>
      </c>
      <c r="I271" s="3" t="s">
        <v>3123</v>
      </c>
    </row>
    <row r="272">
      <c r="A272" s="20" t="s">
        <v>4521</v>
      </c>
      <c r="B272" s="3" t="s">
        <v>4522</v>
      </c>
      <c r="C272" s="4"/>
      <c r="D272" s="3" t="s">
        <v>3115</v>
      </c>
      <c r="E272" s="3" t="s">
        <v>3116</v>
      </c>
      <c r="F272" s="4"/>
      <c r="G272" s="3" t="s">
        <v>3054</v>
      </c>
      <c r="H272" s="3" t="s">
        <v>3054</v>
      </c>
      <c r="I272" s="3" t="s">
        <v>3054</v>
      </c>
    </row>
    <row r="273">
      <c r="A273" s="20" t="s">
        <v>4523</v>
      </c>
      <c r="B273" s="3" t="s">
        <v>4524</v>
      </c>
      <c r="C273" s="3" t="s">
        <v>4525</v>
      </c>
      <c r="D273" s="3" t="s">
        <v>4526</v>
      </c>
      <c r="E273" s="3" t="s">
        <v>3403</v>
      </c>
      <c r="F273" s="3" t="s">
        <v>4527</v>
      </c>
      <c r="G273" s="3" t="s">
        <v>3054</v>
      </c>
      <c r="H273" s="21" t="s">
        <v>4528</v>
      </c>
      <c r="I273" s="3" t="s">
        <v>3123</v>
      </c>
    </row>
    <row r="274">
      <c r="A274" s="20" t="s">
        <v>4529</v>
      </c>
      <c r="B274" s="3" t="s">
        <v>4530</v>
      </c>
      <c r="C274" s="3" t="s">
        <v>4531</v>
      </c>
      <c r="D274" s="3" t="s">
        <v>4532</v>
      </c>
      <c r="E274" s="3" t="s">
        <v>3052</v>
      </c>
      <c r="F274" s="3" t="s">
        <v>4533</v>
      </c>
      <c r="G274" s="3" t="s">
        <v>3054</v>
      </c>
      <c r="H274" s="21" t="s">
        <v>4534</v>
      </c>
      <c r="I274" s="3" t="s">
        <v>3099</v>
      </c>
    </row>
    <row r="275">
      <c r="A275" s="20" t="s">
        <v>4535</v>
      </c>
      <c r="B275" s="3" t="s">
        <v>4536</v>
      </c>
      <c r="C275" s="3" t="s">
        <v>4537</v>
      </c>
      <c r="D275" s="3" t="s">
        <v>4538</v>
      </c>
      <c r="E275" s="3" t="s">
        <v>3052</v>
      </c>
      <c r="F275" s="3" t="s">
        <v>4539</v>
      </c>
      <c r="G275" s="3" t="s">
        <v>4540</v>
      </c>
      <c r="H275" s="21" t="s">
        <v>4541</v>
      </c>
      <c r="I275" s="3" t="s">
        <v>3069</v>
      </c>
    </row>
    <row r="276">
      <c r="A276" s="20" t="s">
        <v>4542</v>
      </c>
      <c r="B276" s="3" t="s">
        <v>4543</v>
      </c>
      <c r="C276" s="3" t="s">
        <v>4544</v>
      </c>
      <c r="D276" s="3" t="s">
        <v>4545</v>
      </c>
      <c r="E276" s="3" t="s">
        <v>3073</v>
      </c>
      <c r="F276" s="3" t="s">
        <v>4546</v>
      </c>
      <c r="G276" s="3" t="s">
        <v>3054</v>
      </c>
      <c r="H276" s="21" t="s">
        <v>4547</v>
      </c>
      <c r="I276" s="3" t="s">
        <v>3186</v>
      </c>
    </row>
    <row r="277">
      <c r="A277" s="20" t="s">
        <v>4548</v>
      </c>
      <c r="B277" s="3" t="s">
        <v>611</v>
      </c>
      <c r="C277" s="3" t="s">
        <v>4549</v>
      </c>
      <c r="D277" s="3" t="s">
        <v>4550</v>
      </c>
      <c r="E277" s="3" t="s">
        <v>3052</v>
      </c>
      <c r="F277" s="3" t="s">
        <v>4551</v>
      </c>
      <c r="G277" s="3" t="s">
        <v>3054</v>
      </c>
      <c r="H277" s="21" t="s">
        <v>4552</v>
      </c>
      <c r="I277" s="3" t="s">
        <v>3137</v>
      </c>
    </row>
    <row r="278">
      <c r="A278" s="20" t="s">
        <v>4553</v>
      </c>
      <c r="B278" s="3" t="s">
        <v>4554</v>
      </c>
      <c r="C278" s="3" t="s">
        <v>4555</v>
      </c>
      <c r="D278" s="3" t="s">
        <v>4556</v>
      </c>
      <c r="E278" s="3" t="s">
        <v>3052</v>
      </c>
      <c r="F278" s="3" t="s">
        <v>4557</v>
      </c>
      <c r="G278" s="3" t="s">
        <v>3054</v>
      </c>
      <c r="H278" s="21" t="s">
        <v>4558</v>
      </c>
      <c r="I278" s="3" t="s">
        <v>3230</v>
      </c>
    </row>
    <row r="279">
      <c r="A279" s="20" t="s">
        <v>4559</v>
      </c>
      <c r="B279" s="3" t="s">
        <v>4560</v>
      </c>
      <c r="C279" s="3" t="s">
        <v>4561</v>
      </c>
      <c r="D279" s="3" t="s">
        <v>4562</v>
      </c>
      <c r="E279" s="3" t="s">
        <v>3073</v>
      </c>
      <c r="F279" s="3" t="s">
        <v>4563</v>
      </c>
      <c r="G279" s="3" t="s">
        <v>3054</v>
      </c>
      <c r="H279" s="21" t="s">
        <v>4564</v>
      </c>
      <c r="I279" s="3" t="s">
        <v>3230</v>
      </c>
    </row>
    <row r="280">
      <c r="A280" s="20" t="s">
        <v>4565</v>
      </c>
      <c r="B280" s="3" t="s">
        <v>4566</v>
      </c>
      <c r="C280" s="3" t="s">
        <v>4567</v>
      </c>
      <c r="D280" s="3" t="s">
        <v>4568</v>
      </c>
      <c r="E280" s="3" t="s">
        <v>4569</v>
      </c>
      <c r="F280" s="3" t="s">
        <v>4570</v>
      </c>
      <c r="G280" s="3" t="s">
        <v>4571</v>
      </c>
      <c r="H280" s="3" t="s">
        <v>4572</v>
      </c>
      <c r="I280" s="3" t="s">
        <v>3061</v>
      </c>
    </row>
    <row r="281">
      <c r="A281" s="20" t="s">
        <v>4573</v>
      </c>
      <c r="B281" s="3" t="s">
        <v>4574</v>
      </c>
      <c r="C281" s="3" t="s">
        <v>4575</v>
      </c>
      <c r="D281" s="3" t="s">
        <v>4576</v>
      </c>
      <c r="E281" s="3" t="s">
        <v>3052</v>
      </c>
      <c r="F281" s="3" t="s">
        <v>4577</v>
      </c>
      <c r="G281" s="3" t="s">
        <v>3054</v>
      </c>
      <c r="H281" s="21" t="s">
        <v>4578</v>
      </c>
      <c r="I281" s="3" t="s">
        <v>3186</v>
      </c>
    </row>
    <row r="282">
      <c r="A282" s="20" t="s">
        <v>4579</v>
      </c>
      <c r="B282" s="3" t="s">
        <v>4580</v>
      </c>
      <c r="C282" s="3" t="s">
        <v>4581</v>
      </c>
      <c r="D282" s="3" t="s">
        <v>4582</v>
      </c>
      <c r="E282" s="3" t="s">
        <v>3096</v>
      </c>
      <c r="F282" s="3" t="s">
        <v>4583</v>
      </c>
      <c r="G282" s="3" t="s">
        <v>3054</v>
      </c>
      <c r="H282" s="3" t="s">
        <v>3054</v>
      </c>
      <c r="I282" s="3" t="s">
        <v>3061</v>
      </c>
    </row>
    <row r="283">
      <c r="A283" s="20" t="s">
        <v>4584</v>
      </c>
      <c r="B283" s="3" t="s">
        <v>4585</v>
      </c>
      <c r="C283" s="3" t="s">
        <v>4586</v>
      </c>
      <c r="D283" s="3" t="s">
        <v>4587</v>
      </c>
      <c r="E283" s="3" t="s">
        <v>3052</v>
      </c>
      <c r="F283" s="3" t="s">
        <v>4588</v>
      </c>
      <c r="G283" s="3" t="s">
        <v>4589</v>
      </c>
      <c r="H283" s="21" t="s">
        <v>4590</v>
      </c>
      <c r="I283" s="3" t="s">
        <v>3076</v>
      </c>
    </row>
    <row r="284">
      <c r="A284" s="20" t="s">
        <v>4591</v>
      </c>
      <c r="B284" s="3" t="s">
        <v>4592</v>
      </c>
      <c r="C284" s="3" t="s">
        <v>4593</v>
      </c>
      <c r="D284" s="3" t="s">
        <v>4594</v>
      </c>
      <c r="E284" s="3" t="s">
        <v>3096</v>
      </c>
      <c r="F284" s="3" t="s">
        <v>4595</v>
      </c>
      <c r="G284" s="3" t="s">
        <v>4596</v>
      </c>
      <c r="H284" s="21" t="s">
        <v>4597</v>
      </c>
      <c r="I284" s="3" t="s">
        <v>3061</v>
      </c>
    </row>
    <row r="285">
      <c r="A285" s="20" t="s">
        <v>4598</v>
      </c>
      <c r="B285" s="3" t="s">
        <v>4599</v>
      </c>
      <c r="C285" s="3" t="s">
        <v>4600</v>
      </c>
      <c r="D285" s="3" t="s">
        <v>4601</v>
      </c>
      <c r="E285" s="3" t="s">
        <v>3235</v>
      </c>
      <c r="F285" s="3" t="s">
        <v>4602</v>
      </c>
      <c r="G285" s="3" t="s">
        <v>4603</v>
      </c>
      <c r="H285" s="4"/>
      <c r="I285" s="3" t="s">
        <v>3099</v>
      </c>
    </row>
    <row r="286">
      <c r="A286" s="20" t="s">
        <v>4604</v>
      </c>
      <c r="B286" s="3" t="s">
        <v>4605</v>
      </c>
      <c r="C286" s="3" t="s">
        <v>4606</v>
      </c>
      <c r="D286" s="3" t="s">
        <v>4607</v>
      </c>
      <c r="E286" s="3" t="s">
        <v>3052</v>
      </c>
      <c r="F286" s="3" t="s">
        <v>4608</v>
      </c>
      <c r="G286" s="3" t="s">
        <v>3054</v>
      </c>
      <c r="H286" s="3" t="s">
        <v>3054</v>
      </c>
      <c r="I286" s="3" t="s">
        <v>3186</v>
      </c>
    </row>
    <row r="287">
      <c r="A287" s="20" t="s">
        <v>4609</v>
      </c>
      <c r="B287" s="3" t="s">
        <v>4610</v>
      </c>
      <c r="C287" s="3" t="s">
        <v>4611</v>
      </c>
      <c r="D287" s="3" t="s">
        <v>4612</v>
      </c>
      <c r="E287" s="3" t="s">
        <v>3052</v>
      </c>
      <c r="F287" s="3" t="s">
        <v>4613</v>
      </c>
      <c r="G287" s="3" t="s">
        <v>3054</v>
      </c>
      <c r="H287" s="21" t="s">
        <v>4614</v>
      </c>
      <c r="I287" s="3" t="s">
        <v>3099</v>
      </c>
    </row>
    <row r="288">
      <c r="A288" s="20" t="s">
        <v>4615</v>
      </c>
      <c r="B288" s="3" t="s">
        <v>4616</v>
      </c>
      <c r="C288" s="3" t="s">
        <v>4617</v>
      </c>
      <c r="D288" s="3" t="s">
        <v>4618</v>
      </c>
      <c r="E288" s="3" t="s">
        <v>3052</v>
      </c>
      <c r="F288" s="3" t="s">
        <v>4619</v>
      </c>
      <c r="G288" s="3" t="s">
        <v>3054</v>
      </c>
      <c r="H288" s="3" t="s">
        <v>3285</v>
      </c>
      <c r="I288" s="3" t="s">
        <v>3099</v>
      </c>
    </row>
    <row r="289">
      <c r="A289" s="20" t="s">
        <v>4620</v>
      </c>
      <c r="B289" s="3" t="s">
        <v>1082</v>
      </c>
      <c r="C289" s="3" t="s">
        <v>4621</v>
      </c>
      <c r="D289" s="3" t="s">
        <v>4622</v>
      </c>
      <c r="E289" s="3" t="s">
        <v>3073</v>
      </c>
      <c r="F289" s="3" t="s">
        <v>4623</v>
      </c>
      <c r="G289" s="3" t="s">
        <v>3054</v>
      </c>
      <c r="H289" s="3" t="s">
        <v>3054</v>
      </c>
      <c r="I289" s="3" t="s">
        <v>3123</v>
      </c>
    </row>
    <row r="290">
      <c r="A290" s="20" t="s">
        <v>4624</v>
      </c>
      <c r="B290" s="3" t="s">
        <v>4625</v>
      </c>
      <c r="C290" s="3" t="s">
        <v>4626</v>
      </c>
      <c r="D290" s="3" t="s">
        <v>4627</v>
      </c>
      <c r="E290" s="3" t="s">
        <v>3066</v>
      </c>
      <c r="F290" s="3" t="s">
        <v>4628</v>
      </c>
      <c r="G290" s="3" t="s">
        <v>4629</v>
      </c>
      <c r="H290" s="21" t="s">
        <v>4630</v>
      </c>
      <c r="I290" s="3" t="s">
        <v>3069</v>
      </c>
    </row>
    <row r="291">
      <c r="A291" s="20" t="s">
        <v>4631</v>
      </c>
      <c r="B291" s="3" t="s">
        <v>4632</v>
      </c>
      <c r="C291" s="3" t="s">
        <v>4633</v>
      </c>
      <c r="D291" s="3" t="s">
        <v>4634</v>
      </c>
      <c r="E291" s="3" t="s">
        <v>3052</v>
      </c>
      <c r="F291" s="3" t="s">
        <v>4635</v>
      </c>
      <c r="G291" s="3" t="s">
        <v>4636</v>
      </c>
      <c r="H291" s="3" t="s">
        <v>3054</v>
      </c>
      <c r="I291" s="3" t="s">
        <v>3054</v>
      </c>
    </row>
    <row r="292">
      <c r="A292" s="20" t="s">
        <v>4637</v>
      </c>
      <c r="B292" s="3" t="s">
        <v>4638</v>
      </c>
      <c r="C292" s="3" t="s">
        <v>4639</v>
      </c>
      <c r="D292" s="3" t="s">
        <v>4640</v>
      </c>
      <c r="E292" s="3" t="s">
        <v>3052</v>
      </c>
      <c r="F292" s="3" t="s">
        <v>4641</v>
      </c>
      <c r="G292" s="3" t="s">
        <v>3054</v>
      </c>
      <c r="H292" s="3" t="s">
        <v>3054</v>
      </c>
      <c r="I292" s="3" t="s">
        <v>3061</v>
      </c>
    </row>
    <row r="293">
      <c r="A293" s="20" t="s">
        <v>4642</v>
      </c>
      <c r="B293" s="3" t="s">
        <v>4643</v>
      </c>
      <c r="C293" s="3" t="s">
        <v>4644</v>
      </c>
      <c r="D293" s="3" t="s">
        <v>4645</v>
      </c>
      <c r="E293" s="3" t="s">
        <v>3052</v>
      </c>
      <c r="F293" s="3" t="s">
        <v>4646</v>
      </c>
      <c r="G293" s="3" t="s">
        <v>3054</v>
      </c>
      <c r="H293" s="3" t="s">
        <v>3054</v>
      </c>
      <c r="I293" s="3" t="s">
        <v>3076</v>
      </c>
    </row>
    <row r="294">
      <c r="A294" s="20" t="s">
        <v>4647</v>
      </c>
      <c r="B294" s="3" t="s">
        <v>1541</v>
      </c>
      <c r="C294" s="3" t="s">
        <v>4648</v>
      </c>
      <c r="D294" s="3" t="s">
        <v>4649</v>
      </c>
      <c r="E294" s="3" t="s">
        <v>3073</v>
      </c>
      <c r="F294" s="3" t="s">
        <v>4650</v>
      </c>
      <c r="G294" s="3" t="s">
        <v>3054</v>
      </c>
      <c r="H294" s="21" t="s">
        <v>4651</v>
      </c>
      <c r="I294" s="3" t="s">
        <v>3069</v>
      </c>
    </row>
    <row r="295">
      <c r="A295" s="20" t="s">
        <v>4652</v>
      </c>
      <c r="B295" s="3" t="s">
        <v>4653</v>
      </c>
      <c r="C295" s="4"/>
      <c r="D295" s="3" t="s">
        <v>3115</v>
      </c>
      <c r="E295" s="3" t="s">
        <v>3116</v>
      </c>
      <c r="F295" s="4"/>
      <c r="G295" s="3" t="s">
        <v>3054</v>
      </c>
      <c r="H295" s="3" t="s">
        <v>3054</v>
      </c>
      <c r="I295" s="3" t="s">
        <v>3054</v>
      </c>
    </row>
    <row r="296">
      <c r="A296" s="20" t="s">
        <v>4654</v>
      </c>
      <c r="B296" s="3" t="s">
        <v>4655</v>
      </c>
      <c r="C296" s="3" t="s">
        <v>4656</v>
      </c>
      <c r="D296" s="3" t="s">
        <v>4657</v>
      </c>
      <c r="E296" s="3" t="s">
        <v>3096</v>
      </c>
      <c r="F296" s="3" t="s">
        <v>4658</v>
      </c>
      <c r="G296" s="3" t="s">
        <v>3054</v>
      </c>
      <c r="H296" s="21" t="s">
        <v>4659</v>
      </c>
      <c r="I296" s="3" t="s">
        <v>3099</v>
      </c>
    </row>
    <row r="297">
      <c r="A297" s="20" t="s">
        <v>4660</v>
      </c>
      <c r="B297" s="3" t="s">
        <v>4661</v>
      </c>
      <c r="C297" s="3" t="s">
        <v>4662</v>
      </c>
      <c r="D297" s="3" t="s">
        <v>4663</v>
      </c>
      <c r="E297" s="3" t="s">
        <v>3052</v>
      </c>
      <c r="F297" s="3" t="s">
        <v>4664</v>
      </c>
      <c r="G297" s="3" t="s">
        <v>3054</v>
      </c>
      <c r="H297" s="21" t="s">
        <v>4665</v>
      </c>
      <c r="I297" s="3" t="s">
        <v>3076</v>
      </c>
    </row>
    <row r="298">
      <c r="A298" s="20" t="s">
        <v>4666</v>
      </c>
      <c r="B298" s="3" t="s">
        <v>4667</v>
      </c>
      <c r="C298" s="3" t="s">
        <v>4668</v>
      </c>
      <c r="D298" s="3" t="s">
        <v>4669</v>
      </c>
      <c r="E298" s="3" t="s">
        <v>3403</v>
      </c>
      <c r="F298" s="3" t="s">
        <v>4670</v>
      </c>
      <c r="G298" s="3" t="s">
        <v>4671</v>
      </c>
      <c r="H298" s="3" t="s">
        <v>3054</v>
      </c>
      <c r="I298" s="3" t="s">
        <v>3137</v>
      </c>
    </row>
    <row r="299">
      <c r="A299" s="20" t="s">
        <v>4672</v>
      </c>
      <c r="B299" s="3" t="s">
        <v>1167</v>
      </c>
      <c r="C299" s="3" t="s">
        <v>4673</v>
      </c>
      <c r="D299" s="3" t="s">
        <v>4674</v>
      </c>
      <c r="E299" s="3" t="s">
        <v>3905</v>
      </c>
      <c r="F299" s="3" t="s">
        <v>4675</v>
      </c>
      <c r="G299" s="3" t="s">
        <v>4676</v>
      </c>
      <c r="H299" s="3" t="s">
        <v>4677</v>
      </c>
      <c r="I299" s="3" t="s">
        <v>3076</v>
      </c>
    </row>
    <row r="300">
      <c r="A300" s="20" t="s">
        <v>4678</v>
      </c>
      <c r="B300" s="3" t="s">
        <v>4679</v>
      </c>
      <c r="C300" s="3" t="s">
        <v>4680</v>
      </c>
      <c r="D300" s="3" t="s">
        <v>4681</v>
      </c>
      <c r="E300" s="3" t="s">
        <v>3403</v>
      </c>
      <c r="F300" s="3" t="s">
        <v>4682</v>
      </c>
      <c r="G300" s="3" t="s">
        <v>4683</v>
      </c>
      <c r="H300" s="3" t="s">
        <v>3054</v>
      </c>
      <c r="I300" s="3" t="s">
        <v>3186</v>
      </c>
    </row>
    <row r="301">
      <c r="A301" s="20" t="s">
        <v>4684</v>
      </c>
      <c r="B301" s="3" t="s">
        <v>4685</v>
      </c>
      <c r="C301" s="3" t="s">
        <v>4686</v>
      </c>
      <c r="D301" s="3" t="s">
        <v>4687</v>
      </c>
      <c r="E301" s="3" t="s">
        <v>3222</v>
      </c>
      <c r="F301" s="3" t="s">
        <v>4688</v>
      </c>
      <c r="G301" s="3" t="s">
        <v>3054</v>
      </c>
      <c r="H301" s="21" t="s">
        <v>4689</v>
      </c>
      <c r="I301" s="3" t="s">
        <v>3099</v>
      </c>
    </row>
    <row r="302">
      <c r="A302" s="20" t="s">
        <v>4690</v>
      </c>
      <c r="B302" s="3" t="s">
        <v>4691</v>
      </c>
      <c r="C302" s="3" t="s">
        <v>4692</v>
      </c>
      <c r="D302" s="3" t="s">
        <v>4693</v>
      </c>
      <c r="E302" s="3" t="s">
        <v>3052</v>
      </c>
      <c r="F302" s="3" t="s">
        <v>4694</v>
      </c>
      <c r="G302" s="3" t="s">
        <v>4695</v>
      </c>
      <c r="H302" s="21" t="s">
        <v>4696</v>
      </c>
      <c r="I302" s="3" t="s">
        <v>3099</v>
      </c>
    </row>
    <row r="303">
      <c r="A303" s="20" t="s">
        <v>4697</v>
      </c>
      <c r="B303" s="3" t="s">
        <v>4698</v>
      </c>
      <c r="C303" s="3" t="s">
        <v>4699</v>
      </c>
      <c r="D303" s="3" t="s">
        <v>4700</v>
      </c>
      <c r="E303" s="3" t="s">
        <v>3052</v>
      </c>
      <c r="F303" s="3" t="s">
        <v>4701</v>
      </c>
      <c r="G303" s="3" t="s">
        <v>3054</v>
      </c>
      <c r="H303" s="21" t="s">
        <v>4702</v>
      </c>
      <c r="I303" s="3" t="s">
        <v>3123</v>
      </c>
    </row>
    <row r="304">
      <c r="A304" s="20" t="s">
        <v>4703</v>
      </c>
      <c r="B304" s="3" t="s">
        <v>4704</v>
      </c>
      <c r="C304" s="3" t="s">
        <v>4705</v>
      </c>
      <c r="D304" s="3" t="s">
        <v>4706</v>
      </c>
      <c r="E304" s="3" t="s">
        <v>3235</v>
      </c>
      <c r="F304" s="3" t="s">
        <v>4707</v>
      </c>
      <c r="G304" s="3" t="s">
        <v>3054</v>
      </c>
      <c r="H304" s="3" t="s">
        <v>3054</v>
      </c>
      <c r="I304" s="3" t="s">
        <v>3186</v>
      </c>
    </row>
    <row r="305">
      <c r="A305" s="20" t="s">
        <v>4708</v>
      </c>
      <c r="B305" s="3" t="s">
        <v>4709</v>
      </c>
      <c r="C305" s="3" t="s">
        <v>4710</v>
      </c>
      <c r="D305" s="3" t="s">
        <v>4711</v>
      </c>
      <c r="E305" s="3" t="s">
        <v>3096</v>
      </c>
      <c r="F305" s="3" t="s">
        <v>4712</v>
      </c>
      <c r="G305" s="3" t="s">
        <v>3054</v>
      </c>
      <c r="H305" s="21" t="s">
        <v>4713</v>
      </c>
      <c r="I305" s="3" t="s">
        <v>3069</v>
      </c>
    </row>
    <row r="306">
      <c r="A306" s="20" t="s">
        <v>4714</v>
      </c>
      <c r="B306" s="3" t="s">
        <v>4715</v>
      </c>
      <c r="C306" s="3" t="s">
        <v>4716</v>
      </c>
      <c r="D306" s="3" t="s">
        <v>4717</v>
      </c>
      <c r="E306" s="3" t="s">
        <v>3052</v>
      </c>
      <c r="F306" s="3" t="s">
        <v>4718</v>
      </c>
      <c r="G306" s="3" t="s">
        <v>3054</v>
      </c>
      <c r="H306" s="3" t="s">
        <v>3054</v>
      </c>
      <c r="I306" s="3" t="s">
        <v>3061</v>
      </c>
    </row>
    <row r="307">
      <c r="A307" s="20" t="s">
        <v>4719</v>
      </c>
      <c r="B307" s="3" t="s">
        <v>4720</v>
      </c>
      <c r="C307" s="3" t="s">
        <v>4721</v>
      </c>
      <c r="D307" s="3" t="s">
        <v>4722</v>
      </c>
      <c r="E307" s="3" t="s">
        <v>4136</v>
      </c>
      <c r="F307" s="3" t="s">
        <v>4723</v>
      </c>
      <c r="G307" s="3" t="s">
        <v>4724</v>
      </c>
      <c r="H307" s="3" t="s">
        <v>3054</v>
      </c>
      <c r="I307" s="3" t="s">
        <v>3061</v>
      </c>
    </row>
    <row r="308">
      <c r="A308" s="20" t="s">
        <v>4725</v>
      </c>
      <c r="B308" s="3" t="s">
        <v>4726</v>
      </c>
      <c r="C308" s="3" t="s">
        <v>4727</v>
      </c>
      <c r="D308" s="3" t="s">
        <v>4728</v>
      </c>
      <c r="E308" s="3" t="s">
        <v>3096</v>
      </c>
      <c r="F308" s="3" t="s">
        <v>4729</v>
      </c>
      <c r="G308" s="3" t="s">
        <v>3054</v>
      </c>
      <c r="H308" s="21" t="s">
        <v>4730</v>
      </c>
      <c r="I308" s="3" t="s">
        <v>3137</v>
      </c>
    </row>
    <row r="309">
      <c r="A309" s="20" t="s">
        <v>4731</v>
      </c>
      <c r="B309" s="3" t="s">
        <v>4732</v>
      </c>
      <c r="C309" s="3" t="s">
        <v>4733</v>
      </c>
      <c r="D309" s="3" t="s">
        <v>4734</v>
      </c>
      <c r="E309" s="3" t="s">
        <v>3128</v>
      </c>
      <c r="F309" s="3" t="s">
        <v>4735</v>
      </c>
      <c r="G309" s="3" t="s">
        <v>3054</v>
      </c>
      <c r="H309" s="3" t="s">
        <v>3054</v>
      </c>
      <c r="I309" s="3" t="s">
        <v>3076</v>
      </c>
    </row>
    <row r="310">
      <c r="A310" s="20" t="s">
        <v>4736</v>
      </c>
      <c r="B310" s="3" t="s">
        <v>4737</v>
      </c>
      <c r="C310" s="4"/>
      <c r="D310" s="3" t="s">
        <v>3115</v>
      </c>
      <c r="E310" s="3" t="s">
        <v>3116</v>
      </c>
      <c r="F310" s="4"/>
      <c r="G310" s="3" t="s">
        <v>3054</v>
      </c>
      <c r="H310" s="3" t="s">
        <v>3054</v>
      </c>
      <c r="I310" s="3" t="s">
        <v>3054</v>
      </c>
    </row>
    <row r="311">
      <c r="A311" s="20" t="s">
        <v>4738</v>
      </c>
      <c r="B311" s="3" t="s">
        <v>712</v>
      </c>
      <c r="C311" s="3" t="s">
        <v>4739</v>
      </c>
      <c r="D311" s="3" t="s">
        <v>4740</v>
      </c>
      <c r="E311" s="3" t="s">
        <v>3096</v>
      </c>
      <c r="F311" s="3" t="s">
        <v>4741</v>
      </c>
      <c r="G311" s="3" t="s">
        <v>4742</v>
      </c>
      <c r="H311" s="3" t="s">
        <v>4743</v>
      </c>
      <c r="I311" s="3" t="s">
        <v>3640</v>
      </c>
    </row>
    <row r="312">
      <c r="A312" s="20" t="s">
        <v>4744</v>
      </c>
      <c r="B312" s="3" t="s">
        <v>4745</v>
      </c>
      <c r="C312" s="3" t="s">
        <v>4746</v>
      </c>
      <c r="D312" s="3" t="s">
        <v>4747</v>
      </c>
      <c r="E312" s="3" t="s">
        <v>3403</v>
      </c>
      <c r="F312" s="3" t="s">
        <v>4748</v>
      </c>
      <c r="G312" s="3" t="s">
        <v>3054</v>
      </c>
      <c r="H312" s="21" t="s">
        <v>4749</v>
      </c>
      <c r="I312" s="3" t="s">
        <v>3069</v>
      </c>
    </row>
    <row r="313">
      <c r="A313" s="20" t="s">
        <v>4750</v>
      </c>
      <c r="B313" s="3" t="s">
        <v>4751</v>
      </c>
      <c r="C313" s="3" t="s">
        <v>4752</v>
      </c>
      <c r="D313" s="3" t="s">
        <v>4753</v>
      </c>
      <c r="E313" s="3" t="s">
        <v>3052</v>
      </c>
      <c r="F313" s="3" t="s">
        <v>4754</v>
      </c>
      <c r="G313" s="3" t="s">
        <v>3054</v>
      </c>
      <c r="H313" s="21" t="s">
        <v>4755</v>
      </c>
      <c r="I313" s="3" t="s">
        <v>3099</v>
      </c>
    </row>
    <row r="314">
      <c r="A314" s="20" t="s">
        <v>4756</v>
      </c>
      <c r="B314" s="3" t="s">
        <v>4757</v>
      </c>
      <c r="C314" s="3" t="s">
        <v>4758</v>
      </c>
      <c r="D314" s="3" t="s">
        <v>4759</v>
      </c>
      <c r="E314" s="3" t="s">
        <v>3052</v>
      </c>
      <c r="F314" s="3" t="s">
        <v>4760</v>
      </c>
      <c r="G314" s="3" t="s">
        <v>4761</v>
      </c>
      <c r="H314" s="21" t="s">
        <v>4762</v>
      </c>
      <c r="I314" s="3" t="s">
        <v>3361</v>
      </c>
    </row>
    <row r="315">
      <c r="A315" s="20" t="s">
        <v>4763</v>
      </c>
      <c r="B315" s="3" t="s">
        <v>4764</v>
      </c>
      <c r="C315" s="4"/>
      <c r="D315" s="3" t="s">
        <v>3115</v>
      </c>
      <c r="E315" s="3" t="s">
        <v>3116</v>
      </c>
      <c r="F315" s="4"/>
      <c r="G315" s="3" t="s">
        <v>3054</v>
      </c>
      <c r="H315" s="3" t="s">
        <v>3054</v>
      </c>
      <c r="I315" s="3" t="s">
        <v>3054</v>
      </c>
    </row>
    <row r="316">
      <c r="A316" s="20" t="s">
        <v>4765</v>
      </c>
      <c r="B316" s="3" t="s">
        <v>4766</v>
      </c>
      <c r="C316" s="3" t="s">
        <v>4767</v>
      </c>
      <c r="D316" s="3" t="s">
        <v>4768</v>
      </c>
      <c r="E316" s="3" t="s">
        <v>3052</v>
      </c>
      <c r="F316" s="3" t="s">
        <v>4769</v>
      </c>
      <c r="G316" s="3" t="s">
        <v>3054</v>
      </c>
      <c r="H316" s="3" t="s">
        <v>3054</v>
      </c>
      <c r="I316" s="3" t="s">
        <v>3186</v>
      </c>
    </row>
    <row r="317">
      <c r="A317" s="20" t="s">
        <v>4770</v>
      </c>
      <c r="B317" s="3" t="s">
        <v>4771</v>
      </c>
      <c r="C317" s="3" t="s">
        <v>4772</v>
      </c>
      <c r="D317" s="3" t="s">
        <v>4773</v>
      </c>
      <c r="E317" s="3" t="s">
        <v>3089</v>
      </c>
      <c r="F317" s="3" t="s">
        <v>4774</v>
      </c>
      <c r="G317" s="3" t="s">
        <v>4775</v>
      </c>
      <c r="H317" s="21" t="s">
        <v>4776</v>
      </c>
      <c r="I317" s="3" t="s">
        <v>3061</v>
      </c>
    </row>
    <row r="318">
      <c r="A318" s="20" t="s">
        <v>4777</v>
      </c>
      <c r="B318" s="3" t="s">
        <v>4778</v>
      </c>
      <c r="C318" s="4"/>
      <c r="D318" s="3" t="s">
        <v>3115</v>
      </c>
      <c r="E318" s="3" t="s">
        <v>3116</v>
      </c>
      <c r="F318" s="4"/>
      <c r="G318" s="3" t="s">
        <v>3054</v>
      </c>
      <c r="H318" s="3" t="s">
        <v>3054</v>
      </c>
      <c r="I318" s="3" t="s">
        <v>3054</v>
      </c>
    </row>
    <row r="319">
      <c r="A319" s="20" t="s">
        <v>4779</v>
      </c>
      <c r="B319" s="3" t="s">
        <v>4780</v>
      </c>
      <c r="C319" s="3" t="s">
        <v>4781</v>
      </c>
      <c r="D319" s="3" t="s">
        <v>4782</v>
      </c>
      <c r="E319" s="3" t="s">
        <v>3073</v>
      </c>
      <c r="F319" s="3" t="s">
        <v>4783</v>
      </c>
      <c r="G319" s="3" t="s">
        <v>3054</v>
      </c>
      <c r="H319" s="21" t="s">
        <v>4784</v>
      </c>
      <c r="I319" s="3" t="s">
        <v>3099</v>
      </c>
    </row>
    <row r="320">
      <c r="A320" s="20" t="s">
        <v>4785</v>
      </c>
      <c r="B320" s="3" t="s">
        <v>4786</v>
      </c>
      <c r="C320" s="4"/>
      <c r="D320" s="3" t="s">
        <v>3115</v>
      </c>
      <c r="E320" s="3" t="s">
        <v>3116</v>
      </c>
      <c r="F320" s="4"/>
      <c r="G320" s="3" t="s">
        <v>3054</v>
      </c>
      <c r="H320" s="3" t="s">
        <v>3054</v>
      </c>
      <c r="I320" s="3" t="s">
        <v>3054</v>
      </c>
    </row>
    <row r="321">
      <c r="A321" s="20" t="s">
        <v>4787</v>
      </c>
      <c r="B321" s="3" t="s">
        <v>4788</v>
      </c>
      <c r="C321" s="3" t="s">
        <v>4789</v>
      </c>
      <c r="D321" s="3" t="s">
        <v>4790</v>
      </c>
      <c r="E321" s="3" t="s">
        <v>3052</v>
      </c>
      <c r="F321" s="3" t="s">
        <v>4791</v>
      </c>
      <c r="G321" s="3" t="s">
        <v>3054</v>
      </c>
      <c r="H321" s="4"/>
      <c r="I321" s="3" t="s">
        <v>3069</v>
      </c>
    </row>
    <row r="322">
      <c r="A322" s="20" t="s">
        <v>4792</v>
      </c>
      <c r="B322" s="3" t="s">
        <v>4793</v>
      </c>
      <c r="C322" s="3" t="s">
        <v>4794</v>
      </c>
      <c r="D322" s="3" t="s">
        <v>4795</v>
      </c>
      <c r="E322" s="3" t="s">
        <v>3052</v>
      </c>
      <c r="F322" s="3" t="s">
        <v>4796</v>
      </c>
      <c r="G322" s="3" t="s">
        <v>3054</v>
      </c>
      <c r="H322" s="21" t="s">
        <v>4797</v>
      </c>
      <c r="I322" s="3" t="s">
        <v>3099</v>
      </c>
    </row>
    <row r="323">
      <c r="A323" s="20" t="s">
        <v>4798</v>
      </c>
      <c r="B323" s="3" t="s">
        <v>4799</v>
      </c>
      <c r="C323" s="3" t="s">
        <v>4800</v>
      </c>
      <c r="D323" s="3" t="s">
        <v>4801</v>
      </c>
      <c r="E323" s="3" t="s">
        <v>3052</v>
      </c>
      <c r="F323" s="3" t="s">
        <v>3832</v>
      </c>
      <c r="G323" s="3" t="s">
        <v>3833</v>
      </c>
      <c r="H323" s="3" t="s">
        <v>3054</v>
      </c>
      <c r="I323" s="3" t="s">
        <v>3099</v>
      </c>
    </row>
    <row r="324">
      <c r="A324" s="20" t="s">
        <v>4802</v>
      </c>
      <c r="B324" s="3" t="s">
        <v>4803</v>
      </c>
      <c r="C324" s="3" t="s">
        <v>4804</v>
      </c>
      <c r="D324" s="3" t="s">
        <v>4805</v>
      </c>
      <c r="E324" s="3" t="s">
        <v>4136</v>
      </c>
      <c r="F324" s="3" t="s">
        <v>4806</v>
      </c>
      <c r="G324" s="3" t="s">
        <v>3054</v>
      </c>
      <c r="H324" s="3" t="s">
        <v>3054</v>
      </c>
      <c r="I324" s="3" t="s">
        <v>3137</v>
      </c>
    </row>
    <row r="325">
      <c r="A325" s="20" t="s">
        <v>4807</v>
      </c>
      <c r="B325" s="3" t="s">
        <v>4808</v>
      </c>
      <c r="C325" s="3" t="s">
        <v>4809</v>
      </c>
      <c r="D325" s="3" t="s">
        <v>4810</v>
      </c>
      <c r="E325" s="3" t="s">
        <v>3235</v>
      </c>
      <c r="F325" s="3" t="s">
        <v>4811</v>
      </c>
      <c r="G325" s="3" t="s">
        <v>3054</v>
      </c>
      <c r="H325" s="21" t="s">
        <v>4812</v>
      </c>
      <c r="I325" s="3" t="s">
        <v>3137</v>
      </c>
    </row>
    <row r="326">
      <c r="A326" s="20" t="s">
        <v>4813</v>
      </c>
      <c r="B326" s="3" t="s">
        <v>4814</v>
      </c>
      <c r="C326" s="3" t="s">
        <v>4815</v>
      </c>
      <c r="D326" s="3" t="s">
        <v>4753</v>
      </c>
      <c r="E326" s="3" t="s">
        <v>3052</v>
      </c>
      <c r="F326" s="3" t="s">
        <v>4816</v>
      </c>
      <c r="G326" s="3" t="s">
        <v>3054</v>
      </c>
      <c r="H326" s="3" t="s">
        <v>3054</v>
      </c>
      <c r="I326" s="3" t="s">
        <v>3069</v>
      </c>
    </row>
    <row r="327">
      <c r="A327" s="20" t="s">
        <v>4817</v>
      </c>
      <c r="B327" s="3" t="s">
        <v>4818</v>
      </c>
      <c r="C327" s="3" t="s">
        <v>4819</v>
      </c>
      <c r="D327" s="3" t="s">
        <v>4820</v>
      </c>
      <c r="E327" s="3" t="s">
        <v>3403</v>
      </c>
      <c r="F327" s="3" t="s">
        <v>4821</v>
      </c>
      <c r="G327" s="3" t="s">
        <v>3054</v>
      </c>
      <c r="H327" s="21" t="s">
        <v>4822</v>
      </c>
      <c r="I327" s="3" t="s">
        <v>3137</v>
      </c>
    </row>
    <row r="328">
      <c r="A328" s="20" t="s">
        <v>4823</v>
      </c>
      <c r="B328" s="3" t="s">
        <v>4824</v>
      </c>
      <c r="C328" s="4"/>
      <c r="D328" s="3" t="s">
        <v>3115</v>
      </c>
      <c r="E328" s="3" t="s">
        <v>3116</v>
      </c>
      <c r="F328" s="4"/>
      <c r="G328" s="3" t="s">
        <v>3054</v>
      </c>
      <c r="H328" s="3" t="s">
        <v>3054</v>
      </c>
      <c r="I328" s="3" t="s">
        <v>3054</v>
      </c>
    </row>
    <row r="329">
      <c r="A329" s="20" t="s">
        <v>4825</v>
      </c>
      <c r="B329" s="3" t="s">
        <v>4826</v>
      </c>
      <c r="C329" s="3" t="s">
        <v>4827</v>
      </c>
      <c r="D329" s="3" t="s">
        <v>4828</v>
      </c>
      <c r="E329" s="3" t="s">
        <v>3052</v>
      </c>
      <c r="F329" s="3" t="s">
        <v>4829</v>
      </c>
      <c r="G329" s="3" t="s">
        <v>3054</v>
      </c>
      <c r="H329" s="4"/>
      <c r="I329" s="3" t="s">
        <v>3640</v>
      </c>
    </row>
    <row r="330">
      <c r="A330" s="20" t="s">
        <v>4830</v>
      </c>
      <c r="B330" s="3" t="s">
        <v>4831</v>
      </c>
      <c r="C330" s="3" t="s">
        <v>4832</v>
      </c>
      <c r="D330" s="3" t="s">
        <v>4833</v>
      </c>
      <c r="E330" s="3" t="s">
        <v>3403</v>
      </c>
      <c r="F330" s="3" t="s">
        <v>4834</v>
      </c>
      <c r="G330" s="3" t="s">
        <v>3054</v>
      </c>
      <c r="H330" s="3" t="s">
        <v>3054</v>
      </c>
      <c r="I330" s="3" t="s">
        <v>3137</v>
      </c>
    </row>
    <row r="331">
      <c r="A331" s="20" t="s">
        <v>4835</v>
      </c>
      <c r="B331" s="3" t="s">
        <v>4836</v>
      </c>
      <c r="C331" s="3" t="s">
        <v>4837</v>
      </c>
      <c r="D331" s="3" t="s">
        <v>4838</v>
      </c>
      <c r="E331" s="3" t="s">
        <v>3403</v>
      </c>
      <c r="F331" s="3" t="s">
        <v>4839</v>
      </c>
      <c r="G331" s="3" t="s">
        <v>3054</v>
      </c>
      <c r="H331" s="4"/>
      <c r="I331" s="3" t="s">
        <v>3123</v>
      </c>
    </row>
    <row r="332">
      <c r="A332" s="20" t="s">
        <v>4840</v>
      </c>
      <c r="B332" s="3" t="s">
        <v>4841</v>
      </c>
      <c r="C332" s="3" t="s">
        <v>4842</v>
      </c>
      <c r="D332" s="3" t="s">
        <v>4843</v>
      </c>
      <c r="E332" s="3" t="s">
        <v>3403</v>
      </c>
      <c r="F332" s="3" t="s">
        <v>4844</v>
      </c>
      <c r="G332" s="3" t="s">
        <v>4845</v>
      </c>
      <c r="H332" s="21" t="s">
        <v>4846</v>
      </c>
      <c r="I332" s="3" t="s">
        <v>3099</v>
      </c>
    </row>
    <row r="333">
      <c r="A333" s="20" t="s">
        <v>4847</v>
      </c>
      <c r="B333" s="3" t="s">
        <v>4848</v>
      </c>
      <c r="C333" s="3" t="s">
        <v>4849</v>
      </c>
      <c r="D333" s="3" t="s">
        <v>4850</v>
      </c>
      <c r="E333" s="3" t="s">
        <v>3403</v>
      </c>
      <c r="F333" s="3" t="s">
        <v>4851</v>
      </c>
      <c r="G333" s="3" t="s">
        <v>3054</v>
      </c>
      <c r="H333" s="3" t="s">
        <v>3054</v>
      </c>
      <c r="I333" s="3" t="s">
        <v>3137</v>
      </c>
    </row>
    <row r="334">
      <c r="A334" s="20" t="s">
        <v>4852</v>
      </c>
      <c r="B334" s="3" t="s">
        <v>4853</v>
      </c>
      <c r="C334" s="3" t="s">
        <v>4854</v>
      </c>
      <c r="D334" s="3" t="s">
        <v>4855</v>
      </c>
      <c r="E334" s="3" t="s">
        <v>3096</v>
      </c>
      <c r="F334" s="3" t="s">
        <v>4856</v>
      </c>
      <c r="G334" s="3" t="s">
        <v>3054</v>
      </c>
      <c r="H334" s="21" t="s">
        <v>4857</v>
      </c>
      <c r="I334" s="3" t="s">
        <v>3123</v>
      </c>
    </row>
    <row r="335">
      <c r="A335" s="20" t="s">
        <v>4858</v>
      </c>
      <c r="B335" s="3" t="s">
        <v>2695</v>
      </c>
      <c r="C335" s="3" t="s">
        <v>4859</v>
      </c>
      <c r="D335" s="3" t="s">
        <v>4860</v>
      </c>
      <c r="E335" s="3" t="s">
        <v>3052</v>
      </c>
      <c r="F335" s="3" t="s">
        <v>4861</v>
      </c>
      <c r="G335" s="3" t="s">
        <v>3054</v>
      </c>
      <c r="H335" s="3" t="s">
        <v>3054</v>
      </c>
      <c r="I335" s="3" t="s">
        <v>3099</v>
      </c>
    </row>
    <row r="336">
      <c r="A336" s="20" t="s">
        <v>4862</v>
      </c>
      <c r="B336" s="3" t="s">
        <v>4863</v>
      </c>
      <c r="C336" s="3" t="s">
        <v>4864</v>
      </c>
      <c r="D336" s="3" t="s">
        <v>4865</v>
      </c>
      <c r="E336" s="3" t="s">
        <v>3096</v>
      </c>
      <c r="F336" s="3" t="s">
        <v>4866</v>
      </c>
      <c r="G336" s="3" t="s">
        <v>4867</v>
      </c>
      <c r="H336" s="3" t="s">
        <v>3054</v>
      </c>
      <c r="I336" s="3" t="s">
        <v>3061</v>
      </c>
    </row>
    <row r="337">
      <c r="A337" s="20" t="s">
        <v>4868</v>
      </c>
      <c r="B337" s="3" t="s">
        <v>4869</v>
      </c>
      <c r="C337" s="3" t="s">
        <v>4870</v>
      </c>
      <c r="D337" s="3" t="s">
        <v>4871</v>
      </c>
      <c r="E337" s="3" t="s">
        <v>3052</v>
      </c>
      <c r="F337" s="3" t="s">
        <v>4872</v>
      </c>
      <c r="G337" s="3" t="s">
        <v>4873</v>
      </c>
      <c r="H337" s="21" t="s">
        <v>4874</v>
      </c>
      <c r="I337" s="3" t="s">
        <v>3076</v>
      </c>
    </row>
    <row r="338">
      <c r="A338" s="20" t="s">
        <v>4875</v>
      </c>
      <c r="B338" s="3" t="s">
        <v>1901</v>
      </c>
      <c r="C338" s="3" t="s">
        <v>4876</v>
      </c>
      <c r="D338" s="3" t="s">
        <v>4877</v>
      </c>
      <c r="E338" s="3" t="s">
        <v>3052</v>
      </c>
      <c r="F338" s="3" t="s">
        <v>4878</v>
      </c>
      <c r="G338" s="3" t="s">
        <v>3054</v>
      </c>
      <c r="H338" s="21" t="s">
        <v>4879</v>
      </c>
      <c r="I338" s="3" t="s">
        <v>3099</v>
      </c>
    </row>
    <row r="339">
      <c r="A339" s="20" t="s">
        <v>4880</v>
      </c>
      <c r="B339" s="3" t="s">
        <v>4881</v>
      </c>
      <c r="C339" s="3" t="s">
        <v>4882</v>
      </c>
      <c r="D339" s="3" t="s">
        <v>4883</v>
      </c>
      <c r="E339" s="3" t="s">
        <v>3096</v>
      </c>
      <c r="F339" s="3" t="s">
        <v>4884</v>
      </c>
      <c r="G339" s="3" t="s">
        <v>3054</v>
      </c>
      <c r="H339" s="3" t="s">
        <v>3285</v>
      </c>
      <c r="I339" s="3" t="s">
        <v>3076</v>
      </c>
    </row>
    <row r="340">
      <c r="A340" s="20" t="s">
        <v>4885</v>
      </c>
      <c r="B340" s="3" t="s">
        <v>4886</v>
      </c>
      <c r="C340" s="3" t="s">
        <v>4887</v>
      </c>
      <c r="D340" s="3" t="s">
        <v>4888</v>
      </c>
      <c r="E340" s="3" t="s">
        <v>3052</v>
      </c>
      <c r="F340" s="3" t="s">
        <v>4889</v>
      </c>
      <c r="G340" s="3" t="s">
        <v>3054</v>
      </c>
      <c r="H340" s="21" t="s">
        <v>4890</v>
      </c>
      <c r="I340" s="3" t="s">
        <v>3076</v>
      </c>
    </row>
    <row r="341">
      <c r="A341" s="20" t="s">
        <v>4891</v>
      </c>
      <c r="B341" s="3" t="s">
        <v>2736</v>
      </c>
      <c r="C341" s="3" t="s">
        <v>4892</v>
      </c>
      <c r="D341" s="3" t="s">
        <v>4893</v>
      </c>
      <c r="E341" s="3" t="s">
        <v>3052</v>
      </c>
      <c r="F341" s="3" t="s">
        <v>4894</v>
      </c>
      <c r="G341" s="3" t="s">
        <v>3054</v>
      </c>
      <c r="H341" s="21" t="s">
        <v>4895</v>
      </c>
      <c r="I341" s="3" t="s">
        <v>3123</v>
      </c>
    </row>
    <row r="342">
      <c r="A342" s="20" t="s">
        <v>4896</v>
      </c>
      <c r="B342" s="3" t="s">
        <v>4897</v>
      </c>
      <c r="C342" s="3" t="s">
        <v>4898</v>
      </c>
      <c r="D342" s="3" t="s">
        <v>4899</v>
      </c>
      <c r="E342" s="3" t="s">
        <v>3052</v>
      </c>
      <c r="F342" s="3" t="s">
        <v>4900</v>
      </c>
      <c r="G342" s="3" t="s">
        <v>3054</v>
      </c>
      <c r="H342" s="21" t="s">
        <v>4901</v>
      </c>
      <c r="I342" s="3" t="s">
        <v>3099</v>
      </c>
    </row>
    <row r="343">
      <c r="A343" s="20" t="s">
        <v>4902</v>
      </c>
      <c r="B343" s="3" t="s">
        <v>4903</v>
      </c>
      <c r="C343" s="3" t="s">
        <v>4904</v>
      </c>
      <c r="D343" s="3" t="s">
        <v>4905</v>
      </c>
      <c r="E343" s="3" t="s">
        <v>3052</v>
      </c>
      <c r="F343" s="3" t="s">
        <v>4906</v>
      </c>
      <c r="G343" s="3" t="s">
        <v>4907</v>
      </c>
      <c r="H343" s="21" t="s">
        <v>4908</v>
      </c>
      <c r="I343" s="3" t="s">
        <v>3099</v>
      </c>
    </row>
    <row r="344">
      <c r="A344" s="20" t="s">
        <v>4909</v>
      </c>
      <c r="B344" s="3" t="s">
        <v>4910</v>
      </c>
      <c r="C344" s="3" t="s">
        <v>4911</v>
      </c>
      <c r="D344" s="3" t="s">
        <v>4912</v>
      </c>
      <c r="E344" s="3" t="s">
        <v>3052</v>
      </c>
      <c r="F344" s="3" t="s">
        <v>4913</v>
      </c>
      <c r="G344" s="3" t="s">
        <v>3054</v>
      </c>
      <c r="H344" s="3" t="s">
        <v>3054</v>
      </c>
      <c r="I344" s="3" t="s">
        <v>3099</v>
      </c>
    </row>
    <row r="345">
      <c r="A345" s="20" t="s">
        <v>4914</v>
      </c>
      <c r="B345" s="3" t="s">
        <v>4915</v>
      </c>
      <c r="C345" s="3" t="s">
        <v>4916</v>
      </c>
      <c r="D345" s="3" t="s">
        <v>4917</v>
      </c>
      <c r="E345" s="3" t="s">
        <v>3052</v>
      </c>
      <c r="F345" s="3" t="s">
        <v>4918</v>
      </c>
      <c r="G345" s="3" t="s">
        <v>3054</v>
      </c>
      <c r="H345" s="3" t="s">
        <v>3054</v>
      </c>
      <c r="I345" s="3" t="s">
        <v>3061</v>
      </c>
    </row>
    <row r="346">
      <c r="A346" s="20" t="s">
        <v>4919</v>
      </c>
      <c r="B346" s="3" t="s">
        <v>4920</v>
      </c>
      <c r="C346" s="3" t="s">
        <v>4921</v>
      </c>
      <c r="D346" s="3" t="s">
        <v>4922</v>
      </c>
      <c r="E346" s="3" t="s">
        <v>4923</v>
      </c>
      <c r="F346" s="3" t="s">
        <v>4924</v>
      </c>
      <c r="G346" s="3" t="s">
        <v>3054</v>
      </c>
      <c r="H346" s="3" t="s">
        <v>3054</v>
      </c>
      <c r="I346" s="3" t="s">
        <v>3137</v>
      </c>
    </row>
    <row r="347">
      <c r="A347" s="20" t="s">
        <v>4925</v>
      </c>
      <c r="B347" s="3" t="s">
        <v>4926</v>
      </c>
      <c r="C347" s="3" t="s">
        <v>4927</v>
      </c>
      <c r="D347" s="3" t="s">
        <v>4928</v>
      </c>
      <c r="E347" s="3" t="s">
        <v>3052</v>
      </c>
      <c r="F347" s="3" t="s">
        <v>4929</v>
      </c>
      <c r="G347" s="3" t="s">
        <v>3054</v>
      </c>
      <c r="H347" s="3" t="s">
        <v>3054</v>
      </c>
      <c r="I347" s="3" t="s">
        <v>3123</v>
      </c>
    </row>
    <row r="348">
      <c r="A348" s="20" t="s">
        <v>4930</v>
      </c>
      <c r="B348" s="3" t="s">
        <v>4931</v>
      </c>
      <c r="C348" s="3" t="s">
        <v>4932</v>
      </c>
      <c r="D348" s="3" t="s">
        <v>4933</v>
      </c>
      <c r="E348" s="3" t="s">
        <v>3089</v>
      </c>
      <c r="F348" s="3" t="s">
        <v>4934</v>
      </c>
      <c r="G348" s="3" t="s">
        <v>4935</v>
      </c>
      <c r="H348" s="3" t="s">
        <v>3054</v>
      </c>
      <c r="I348" s="3" t="s">
        <v>3069</v>
      </c>
    </row>
    <row r="349">
      <c r="A349" s="20" t="s">
        <v>4936</v>
      </c>
      <c r="B349" s="3" t="s">
        <v>4937</v>
      </c>
      <c r="C349" s="3" t="s">
        <v>4938</v>
      </c>
      <c r="D349" s="3" t="s">
        <v>4939</v>
      </c>
      <c r="E349" s="3" t="s">
        <v>3096</v>
      </c>
      <c r="F349" s="3" t="s">
        <v>4940</v>
      </c>
      <c r="G349" s="3" t="s">
        <v>3054</v>
      </c>
      <c r="H349" s="21" t="s">
        <v>4941</v>
      </c>
      <c r="I349" s="3" t="s">
        <v>3069</v>
      </c>
    </row>
    <row r="350">
      <c r="A350" s="20" t="s">
        <v>4942</v>
      </c>
      <c r="B350" s="3" t="s">
        <v>4943</v>
      </c>
      <c r="C350" s="4"/>
      <c r="D350" s="3" t="s">
        <v>3115</v>
      </c>
      <c r="E350" s="3" t="s">
        <v>3116</v>
      </c>
      <c r="F350" s="4"/>
      <c r="G350" s="3" t="s">
        <v>3054</v>
      </c>
      <c r="H350" s="3" t="s">
        <v>3054</v>
      </c>
      <c r="I350" s="3" t="s">
        <v>3054</v>
      </c>
    </row>
    <row r="351">
      <c r="A351" s="20" t="s">
        <v>4944</v>
      </c>
      <c r="B351" s="3" t="s">
        <v>4945</v>
      </c>
      <c r="C351" s="3" t="s">
        <v>4946</v>
      </c>
      <c r="D351" s="3" t="s">
        <v>4947</v>
      </c>
      <c r="E351" s="3" t="s">
        <v>4948</v>
      </c>
      <c r="F351" s="3" t="s">
        <v>4949</v>
      </c>
      <c r="G351" s="3" t="s">
        <v>4950</v>
      </c>
      <c r="H351" s="21" t="s">
        <v>4951</v>
      </c>
      <c r="I351" s="3" t="s">
        <v>3137</v>
      </c>
    </row>
    <row r="352">
      <c r="A352" s="20" t="s">
        <v>4952</v>
      </c>
      <c r="B352" s="3" t="s">
        <v>4953</v>
      </c>
      <c r="C352" s="3" t="s">
        <v>4954</v>
      </c>
      <c r="D352" s="3" t="s">
        <v>4955</v>
      </c>
      <c r="E352" s="3" t="s">
        <v>3235</v>
      </c>
      <c r="F352" s="3" t="s">
        <v>4956</v>
      </c>
      <c r="G352" s="3" t="s">
        <v>3054</v>
      </c>
      <c r="H352" s="21" t="s">
        <v>4957</v>
      </c>
      <c r="I352" s="3" t="s">
        <v>3186</v>
      </c>
    </row>
    <row r="353">
      <c r="A353" s="20" t="s">
        <v>4958</v>
      </c>
      <c r="B353" s="3" t="s">
        <v>4959</v>
      </c>
      <c r="C353" s="3" t="s">
        <v>4960</v>
      </c>
      <c r="D353" s="3" t="s">
        <v>4961</v>
      </c>
      <c r="E353" s="3" t="s">
        <v>3403</v>
      </c>
      <c r="F353" s="3" t="s">
        <v>4962</v>
      </c>
      <c r="G353" s="3" t="s">
        <v>4963</v>
      </c>
      <c r="H353" s="21" t="s">
        <v>4964</v>
      </c>
      <c r="I353" s="3" t="s">
        <v>3099</v>
      </c>
    </row>
    <row r="354">
      <c r="A354" s="20" t="s">
        <v>4965</v>
      </c>
      <c r="B354" s="3" t="s">
        <v>1154</v>
      </c>
      <c r="C354" s="3" t="s">
        <v>4966</v>
      </c>
      <c r="D354" s="3" t="s">
        <v>4967</v>
      </c>
      <c r="E354" s="3" t="s">
        <v>3052</v>
      </c>
      <c r="F354" s="3" t="s">
        <v>4968</v>
      </c>
      <c r="G354" s="3" t="s">
        <v>3054</v>
      </c>
      <c r="H354" s="3" t="s">
        <v>3054</v>
      </c>
      <c r="I354" s="3" t="s">
        <v>3491</v>
      </c>
    </row>
    <row r="355">
      <c r="A355" s="20" t="s">
        <v>4969</v>
      </c>
      <c r="B355" s="3" t="s">
        <v>4970</v>
      </c>
      <c r="C355" s="3" t="s">
        <v>4971</v>
      </c>
      <c r="D355" s="3" t="s">
        <v>4972</v>
      </c>
      <c r="E355" s="3" t="s">
        <v>3052</v>
      </c>
      <c r="F355" s="3" t="s">
        <v>4973</v>
      </c>
      <c r="G355" s="3" t="s">
        <v>3054</v>
      </c>
      <c r="H355" s="3" t="s">
        <v>3054</v>
      </c>
      <c r="I355" s="3" t="s">
        <v>3137</v>
      </c>
    </row>
    <row r="356">
      <c r="A356" s="20" t="s">
        <v>4974</v>
      </c>
      <c r="B356" s="3" t="s">
        <v>4975</v>
      </c>
      <c r="C356" s="3" t="s">
        <v>4976</v>
      </c>
      <c r="D356" s="3" t="s">
        <v>4977</v>
      </c>
      <c r="E356" s="3" t="s">
        <v>3177</v>
      </c>
      <c r="F356" s="3" t="s">
        <v>4978</v>
      </c>
      <c r="G356" s="3" t="s">
        <v>4979</v>
      </c>
      <c r="H356" s="3" t="s">
        <v>3054</v>
      </c>
      <c r="I356" s="3" t="s">
        <v>3076</v>
      </c>
    </row>
    <row r="357">
      <c r="A357" s="20" t="s">
        <v>4980</v>
      </c>
      <c r="B357" s="3" t="s">
        <v>4981</v>
      </c>
      <c r="C357" s="3" t="s">
        <v>4982</v>
      </c>
      <c r="D357" s="3" t="s">
        <v>4983</v>
      </c>
      <c r="E357" s="3" t="s">
        <v>4984</v>
      </c>
      <c r="F357" s="3" t="s">
        <v>4985</v>
      </c>
      <c r="G357" s="3" t="s">
        <v>3054</v>
      </c>
      <c r="H357" s="21" t="s">
        <v>4986</v>
      </c>
      <c r="I357" s="3" t="s">
        <v>3099</v>
      </c>
    </row>
    <row r="358">
      <c r="A358" s="20" t="s">
        <v>4987</v>
      </c>
      <c r="B358" s="3" t="s">
        <v>4988</v>
      </c>
      <c r="C358" s="3" t="s">
        <v>4989</v>
      </c>
      <c r="D358" s="3" t="s">
        <v>4990</v>
      </c>
      <c r="E358" s="3" t="s">
        <v>3235</v>
      </c>
      <c r="F358" s="3" t="s">
        <v>4991</v>
      </c>
      <c r="G358" s="3" t="s">
        <v>3054</v>
      </c>
      <c r="H358" s="3" t="s">
        <v>3054</v>
      </c>
      <c r="I358" s="3" t="s">
        <v>3137</v>
      </c>
    </row>
    <row r="359">
      <c r="A359" s="20" t="s">
        <v>4992</v>
      </c>
      <c r="B359" s="3" t="s">
        <v>4993</v>
      </c>
      <c r="C359" s="3" t="s">
        <v>4994</v>
      </c>
      <c r="D359" s="3" t="s">
        <v>4995</v>
      </c>
      <c r="E359" s="3" t="s">
        <v>4136</v>
      </c>
      <c r="F359" s="3" t="s">
        <v>4996</v>
      </c>
      <c r="G359" s="3" t="s">
        <v>3054</v>
      </c>
      <c r="H359" s="21" t="s">
        <v>4997</v>
      </c>
      <c r="I359" s="3" t="s">
        <v>3123</v>
      </c>
    </row>
    <row r="360">
      <c r="A360" s="20" t="s">
        <v>4998</v>
      </c>
      <c r="B360" s="3" t="s">
        <v>4999</v>
      </c>
      <c r="C360" s="3" t="s">
        <v>5000</v>
      </c>
      <c r="D360" s="3" t="s">
        <v>5001</v>
      </c>
      <c r="E360" s="3" t="s">
        <v>3089</v>
      </c>
      <c r="F360" s="3" t="s">
        <v>5002</v>
      </c>
      <c r="G360" s="3" t="s">
        <v>5003</v>
      </c>
      <c r="H360" s="21" t="s">
        <v>5004</v>
      </c>
      <c r="I360" s="3" t="s">
        <v>3099</v>
      </c>
    </row>
    <row r="361">
      <c r="A361" s="20" t="s">
        <v>5005</v>
      </c>
      <c r="B361" s="3" t="s">
        <v>5006</v>
      </c>
      <c r="C361" s="3" t="s">
        <v>5007</v>
      </c>
      <c r="D361" s="3" t="s">
        <v>5008</v>
      </c>
      <c r="E361" s="3" t="s">
        <v>3052</v>
      </c>
      <c r="F361" s="3" t="s">
        <v>5009</v>
      </c>
      <c r="G361" s="3" t="s">
        <v>3054</v>
      </c>
      <c r="H361" s="21" t="s">
        <v>5010</v>
      </c>
      <c r="I361" s="3" t="s">
        <v>3076</v>
      </c>
    </row>
    <row r="362">
      <c r="A362" s="20" t="s">
        <v>5011</v>
      </c>
      <c r="B362" s="3" t="s">
        <v>5012</v>
      </c>
      <c r="C362" s="3" t="s">
        <v>5013</v>
      </c>
      <c r="D362" s="3" t="s">
        <v>5014</v>
      </c>
      <c r="E362" s="3" t="s">
        <v>3073</v>
      </c>
      <c r="F362" s="3" t="s">
        <v>5015</v>
      </c>
      <c r="G362" s="3" t="s">
        <v>3054</v>
      </c>
      <c r="H362" s="21" t="s">
        <v>5016</v>
      </c>
      <c r="I362" s="3" t="s">
        <v>3186</v>
      </c>
    </row>
    <row r="363">
      <c r="A363" s="20" t="s">
        <v>5017</v>
      </c>
      <c r="B363" s="3" t="s">
        <v>5018</v>
      </c>
      <c r="C363" s="4"/>
      <c r="D363" s="3" t="s">
        <v>3115</v>
      </c>
      <c r="E363" s="3" t="s">
        <v>3116</v>
      </c>
      <c r="F363" s="4"/>
      <c r="G363" s="3" t="s">
        <v>3054</v>
      </c>
      <c r="H363" s="3" t="s">
        <v>3054</v>
      </c>
      <c r="I363" s="3" t="s">
        <v>3054</v>
      </c>
    </row>
    <row r="364">
      <c r="A364" s="20" t="s">
        <v>5019</v>
      </c>
      <c r="B364" s="3" t="s">
        <v>5020</v>
      </c>
      <c r="C364" s="3" t="s">
        <v>5021</v>
      </c>
      <c r="D364" s="3" t="s">
        <v>5022</v>
      </c>
      <c r="E364" s="3" t="s">
        <v>3052</v>
      </c>
      <c r="F364" s="3" t="s">
        <v>5023</v>
      </c>
      <c r="G364" s="3" t="s">
        <v>3054</v>
      </c>
      <c r="H364" s="3" t="s">
        <v>3054</v>
      </c>
      <c r="I364" s="3" t="s">
        <v>3123</v>
      </c>
    </row>
    <row r="365">
      <c r="A365" s="20" t="s">
        <v>5024</v>
      </c>
      <c r="B365" s="3" t="s">
        <v>5025</v>
      </c>
      <c r="C365" s="3" t="s">
        <v>5026</v>
      </c>
      <c r="D365" s="3" t="s">
        <v>5027</v>
      </c>
      <c r="E365" s="3" t="s">
        <v>3073</v>
      </c>
      <c r="F365" s="3" t="s">
        <v>5028</v>
      </c>
      <c r="G365" s="3" t="s">
        <v>3054</v>
      </c>
      <c r="H365" s="21" t="s">
        <v>5029</v>
      </c>
      <c r="I365" s="3" t="s">
        <v>3137</v>
      </c>
    </row>
    <row r="366">
      <c r="A366" s="20" t="s">
        <v>5030</v>
      </c>
      <c r="B366" s="3" t="s">
        <v>5031</v>
      </c>
      <c r="C366" s="3" t="s">
        <v>5032</v>
      </c>
      <c r="D366" s="3" t="s">
        <v>5033</v>
      </c>
      <c r="E366" s="3" t="s">
        <v>3052</v>
      </c>
      <c r="F366" s="3" t="s">
        <v>5034</v>
      </c>
      <c r="G366" s="3" t="s">
        <v>5035</v>
      </c>
      <c r="H366" s="21" t="s">
        <v>5036</v>
      </c>
      <c r="I366" s="3" t="s">
        <v>3123</v>
      </c>
    </row>
    <row r="367">
      <c r="A367" s="20" t="s">
        <v>5037</v>
      </c>
      <c r="B367" s="3" t="s">
        <v>5038</v>
      </c>
      <c r="C367" s="3" t="s">
        <v>5039</v>
      </c>
      <c r="D367" s="3" t="s">
        <v>5040</v>
      </c>
      <c r="E367" s="3" t="s">
        <v>3235</v>
      </c>
      <c r="F367" s="3" t="s">
        <v>5041</v>
      </c>
      <c r="G367" s="3" t="s">
        <v>5042</v>
      </c>
      <c r="H367" s="21" t="s">
        <v>5043</v>
      </c>
      <c r="I367" s="3" t="s">
        <v>3099</v>
      </c>
    </row>
    <row r="368">
      <c r="A368" s="20" t="s">
        <v>5044</v>
      </c>
      <c r="B368" s="3" t="s">
        <v>5045</v>
      </c>
      <c r="C368" s="3" t="s">
        <v>5046</v>
      </c>
      <c r="D368" s="3" t="s">
        <v>5047</v>
      </c>
      <c r="E368" s="3" t="s">
        <v>3073</v>
      </c>
      <c r="F368" s="3" t="s">
        <v>5048</v>
      </c>
      <c r="G368" s="3" t="s">
        <v>3054</v>
      </c>
      <c r="H368" s="21" t="s">
        <v>5049</v>
      </c>
      <c r="I368" s="3" t="s">
        <v>3230</v>
      </c>
    </row>
    <row r="369">
      <c r="A369" s="20" t="s">
        <v>5050</v>
      </c>
      <c r="B369" s="3" t="s">
        <v>5051</v>
      </c>
      <c r="C369" s="3" t="s">
        <v>5052</v>
      </c>
      <c r="D369" s="3" t="s">
        <v>5053</v>
      </c>
      <c r="E369" s="3" t="s">
        <v>3073</v>
      </c>
      <c r="F369" s="3" t="s">
        <v>5054</v>
      </c>
      <c r="G369" s="3" t="s">
        <v>5055</v>
      </c>
      <c r="H369" s="21" t="s">
        <v>5056</v>
      </c>
      <c r="I369" s="3" t="s">
        <v>3061</v>
      </c>
    </row>
    <row r="370">
      <c r="A370" s="20" t="s">
        <v>5057</v>
      </c>
      <c r="B370" s="3" t="s">
        <v>1725</v>
      </c>
      <c r="C370" s="3" t="s">
        <v>5058</v>
      </c>
      <c r="D370" s="3" t="s">
        <v>5059</v>
      </c>
      <c r="E370" s="3" t="s">
        <v>3235</v>
      </c>
      <c r="F370" s="3" t="s">
        <v>5060</v>
      </c>
      <c r="G370" s="3" t="s">
        <v>3054</v>
      </c>
      <c r="H370" s="4"/>
      <c r="I370" s="3" t="s">
        <v>3099</v>
      </c>
    </row>
    <row r="371">
      <c r="A371" s="20" t="s">
        <v>5061</v>
      </c>
      <c r="B371" s="3" t="s">
        <v>2579</v>
      </c>
      <c r="C371" s="3" t="s">
        <v>5062</v>
      </c>
      <c r="D371" s="3" t="s">
        <v>5063</v>
      </c>
      <c r="E371" s="3" t="s">
        <v>3052</v>
      </c>
      <c r="F371" s="3" t="s">
        <v>5064</v>
      </c>
      <c r="G371" s="3" t="s">
        <v>5065</v>
      </c>
      <c r="H371" s="3" t="s">
        <v>3054</v>
      </c>
      <c r="I371" s="3" t="s">
        <v>3069</v>
      </c>
    </row>
    <row r="372">
      <c r="A372" s="20" t="s">
        <v>5066</v>
      </c>
      <c r="B372" s="3" t="s">
        <v>833</v>
      </c>
      <c r="C372" s="3" t="s">
        <v>5067</v>
      </c>
      <c r="D372" s="3" t="s">
        <v>5068</v>
      </c>
      <c r="E372" s="3" t="s">
        <v>3052</v>
      </c>
      <c r="F372" s="3" t="s">
        <v>5069</v>
      </c>
      <c r="G372" s="3" t="s">
        <v>3054</v>
      </c>
      <c r="H372" s="21" t="s">
        <v>5070</v>
      </c>
      <c r="I372" s="3" t="s">
        <v>3230</v>
      </c>
    </row>
    <row r="373">
      <c r="A373" s="20" t="s">
        <v>5071</v>
      </c>
      <c r="B373" s="3" t="s">
        <v>5072</v>
      </c>
      <c r="C373" s="3" t="s">
        <v>5073</v>
      </c>
      <c r="D373" s="3" t="s">
        <v>5074</v>
      </c>
      <c r="E373" s="3" t="s">
        <v>5075</v>
      </c>
      <c r="F373" s="3" t="s">
        <v>5076</v>
      </c>
      <c r="G373" s="3" t="s">
        <v>3054</v>
      </c>
      <c r="H373" s="3" t="s">
        <v>3054</v>
      </c>
      <c r="I373" s="3" t="s">
        <v>3186</v>
      </c>
    </row>
    <row r="374">
      <c r="A374" s="20" t="s">
        <v>5077</v>
      </c>
      <c r="B374" s="3" t="s">
        <v>5078</v>
      </c>
      <c r="C374" s="3" t="s">
        <v>5079</v>
      </c>
      <c r="D374" s="3" t="s">
        <v>5080</v>
      </c>
      <c r="E374" s="3" t="s">
        <v>3052</v>
      </c>
      <c r="F374" s="3" t="s">
        <v>5081</v>
      </c>
      <c r="G374" s="3" t="s">
        <v>5082</v>
      </c>
      <c r="H374" s="3" t="s">
        <v>3054</v>
      </c>
      <c r="I374" s="3" t="s">
        <v>3061</v>
      </c>
    </row>
    <row r="375">
      <c r="A375" s="20" t="s">
        <v>5083</v>
      </c>
      <c r="B375" s="3" t="s">
        <v>5084</v>
      </c>
      <c r="C375" s="3" t="s">
        <v>5085</v>
      </c>
      <c r="D375" s="3" t="s">
        <v>5086</v>
      </c>
      <c r="E375" s="3" t="s">
        <v>3073</v>
      </c>
      <c r="F375" s="3" t="s">
        <v>5087</v>
      </c>
      <c r="G375" s="3" t="s">
        <v>3054</v>
      </c>
      <c r="H375" s="21" t="s">
        <v>5088</v>
      </c>
      <c r="I375" s="3" t="s">
        <v>3361</v>
      </c>
    </row>
    <row r="376">
      <c r="A376" s="20" t="s">
        <v>5089</v>
      </c>
      <c r="B376" s="3" t="s">
        <v>1862</v>
      </c>
      <c r="C376" s="3" t="s">
        <v>5090</v>
      </c>
      <c r="D376" s="3" t="s">
        <v>5091</v>
      </c>
      <c r="E376" s="3" t="s">
        <v>3052</v>
      </c>
      <c r="F376" s="3" t="s">
        <v>5092</v>
      </c>
      <c r="G376" s="3" t="s">
        <v>3054</v>
      </c>
      <c r="H376" s="21" t="s">
        <v>5093</v>
      </c>
      <c r="I376" s="3" t="s">
        <v>3099</v>
      </c>
    </row>
    <row r="377">
      <c r="A377" s="20" t="s">
        <v>5094</v>
      </c>
      <c r="B377" s="3" t="s">
        <v>5095</v>
      </c>
      <c r="C377" s="3" t="s">
        <v>5096</v>
      </c>
      <c r="D377" s="3" t="s">
        <v>5097</v>
      </c>
      <c r="E377" s="3" t="s">
        <v>3073</v>
      </c>
      <c r="F377" s="3" t="s">
        <v>5098</v>
      </c>
      <c r="G377" s="3" t="s">
        <v>5099</v>
      </c>
      <c r="H377" s="3" t="s">
        <v>3054</v>
      </c>
      <c r="I377" s="3" t="s">
        <v>3099</v>
      </c>
    </row>
    <row r="378">
      <c r="A378" s="20" t="s">
        <v>5100</v>
      </c>
      <c r="B378" s="3" t="s">
        <v>5101</v>
      </c>
      <c r="C378" s="3" t="s">
        <v>5102</v>
      </c>
      <c r="D378" s="3" t="s">
        <v>5103</v>
      </c>
      <c r="E378" s="3" t="s">
        <v>3052</v>
      </c>
      <c r="F378" s="3" t="s">
        <v>5104</v>
      </c>
      <c r="G378" s="3" t="s">
        <v>3054</v>
      </c>
      <c r="H378" s="21" t="s">
        <v>5105</v>
      </c>
      <c r="I378" s="3" t="s">
        <v>3061</v>
      </c>
    </row>
    <row r="379">
      <c r="A379" s="20" t="s">
        <v>5106</v>
      </c>
      <c r="B379" s="3" t="s">
        <v>5107</v>
      </c>
      <c r="C379" s="3" t="s">
        <v>5108</v>
      </c>
      <c r="D379" s="3" t="s">
        <v>5109</v>
      </c>
      <c r="E379" s="3" t="s">
        <v>3052</v>
      </c>
      <c r="F379" s="3" t="s">
        <v>5110</v>
      </c>
      <c r="G379" s="3" t="s">
        <v>5111</v>
      </c>
      <c r="H379" s="21" t="s">
        <v>5112</v>
      </c>
      <c r="I379" s="3" t="s">
        <v>3061</v>
      </c>
    </row>
    <row r="380">
      <c r="A380" s="20" t="s">
        <v>5113</v>
      </c>
      <c r="B380" s="3" t="s">
        <v>5114</v>
      </c>
      <c r="C380" s="3" t="s">
        <v>5115</v>
      </c>
      <c r="D380" s="3" t="s">
        <v>5116</v>
      </c>
      <c r="E380" s="3" t="s">
        <v>3052</v>
      </c>
      <c r="F380" s="3" t="s">
        <v>5117</v>
      </c>
      <c r="G380" s="3" t="s">
        <v>3054</v>
      </c>
      <c r="H380" s="21" t="s">
        <v>5118</v>
      </c>
      <c r="I380" s="3" t="s">
        <v>3230</v>
      </c>
    </row>
    <row r="381">
      <c r="A381" s="20" t="s">
        <v>5119</v>
      </c>
      <c r="B381" s="3" t="s">
        <v>5120</v>
      </c>
      <c r="C381" s="4"/>
      <c r="D381" s="3" t="s">
        <v>3115</v>
      </c>
      <c r="E381" s="3" t="s">
        <v>3116</v>
      </c>
      <c r="F381" s="4"/>
      <c r="G381" s="3" t="s">
        <v>3054</v>
      </c>
      <c r="H381" s="3" t="s">
        <v>3054</v>
      </c>
      <c r="I381" s="3" t="s">
        <v>3054</v>
      </c>
    </row>
    <row r="382">
      <c r="A382" s="20" t="s">
        <v>5121</v>
      </c>
      <c r="B382" s="3" t="s">
        <v>5122</v>
      </c>
      <c r="C382" s="4"/>
      <c r="D382" s="3" t="s">
        <v>3115</v>
      </c>
      <c r="E382" s="3" t="s">
        <v>3116</v>
      </c>
      <c r="F382" s="4"/>
      <c r="G382" s="3" t="s">
        <v>3054</v>
      </c>
      <c r="H382" s="3" t="s">
        <v>3054</v>
      </c>
      <c r="I382" s="3" t="s">
        <v>3054</v>
      </c>
    </row>
    <row r="383">
      <c r="A383" s="20" t="s">
        <v>5123</v>
      </c>
      <c r="B383" s="3" t="s">
        <v>5124</v>
      </c>
      <c r="C383" s="4"/>
      <c r="D383" s="3" t="s">
        <v>3115</v>
      </c>
      <c r="E383" s="3" t="s">
        <v>3116</v>
      </c>
      <c r="F383" s="4"/>
      <c r="G383" s="3" t="s">
        <v>3054</v>
      </c>
      <c r="H383" s="3" t="s">
        <v>3054</v>
      </c>
      <c r="I383" s="3" t="s">
        <v>3054</v>
      </c>
    </row>
    <row r="384">
      <c r="A384" s="20" t="s">
        <v>5125</v>
      </c>
      <c r="B384" s="3" t="s">
        <v>5126</v>
      </c>
      <c r="C384" s="3" t="s">
        <v>5127</v>
      </c>
      <c r="D384" s="3" t="s">
        <v>5128</v>
      </c>
      <c r="E384" s="3" t="s">
        <v>5129</v>
      </c>
      <c r="F384" s="3" t="s">
        <v>5130</v>
      </c>
      <c r="G384" s="3" t="s">
        <v>3054</v>
      </c>
      <c r="H384" s="3" t="s">
        <v>3054</v>
      </c>
      <c r="I384" s="3" t="s">
        <v>3099</v>
      </c>
    </row>
    <row r="385">
      <c r="A385" s="20" t="s">
        <v>5131</v>
      </c>
      <c r="B385" s="3" t="s">
        <v>5132</v>
      </c>
      <c r="C385" s="4"/>
      <c r="D385" s="3" t="s">
        <v>3115</v>
      </c>
      <c r="E385" s="3" t="s">
        <v>3116</v>
      </c>
      <c r="F385" s="4"/>
      <c r="G385" s="3" t="s">
        <v>3054</v>
      </c>
      <c r="H385" s="3" t="s">
        <v>3054</v>
      </c>
      <c r="I385" s="3" t="s">
        <v>3054</v>
      </c>
    </row>
    <row r="386">
      <c r="A386" s="20" t="s">
        <v>5133</v>
      </c>
      <c r="B386" s="3" t="s">
        <v>5134</v>
      </c>
      <c r="C386" s="3" t="s">
        <v>5135</v>
      </c>
      <c r="D386" s="3" t="s">
        <v>3314</v>
      </c>
      <c r="E386" s="3" t="s">
        <v>3052</v>
      </c>
      <c r="F386" s="3" t="s">
        <v>5136</v>
      </c>
      <c r="G386" s="3" t="s">
        <v>5137</v>
      </c>
      <c r="H386" s="3" t="s">
        <v>3054</v>
      </c>
      <c r="I386" s="3" t="s">
        <v>3069</v>
      </c>
    </row>
    <row r="387">
      <c r="A387" s="20" t="s">
        <v>5138</v>
      </c>
      <c r="B387" s="3" t="s">
        <v>5139</v>
      </c>
      <c r="C387" s="4"/>
      <c r="D387" s="3" t="s">
        <v>3115</v>
      </c>
      <c r="E387" s="3" t="s">
        <v>3116</v>
      </c>
      <c r="F387" s="4"/>
      <c r="G387" s="3" t="s">
        <v>3054</v>
      </c>
      <c r="H387" s="3" t="s">
        <v>3054</v>
      </c>
      <c r="I387" s="3" t="s">
        <v>3054</v>
      </c>
    </row>
    <row r="388">
      <c r="A388" s="20" t="s">
        <v>5140</v>
      </c>
      <c r="B388" s="3" t="s">
        <v>5141</v>
      </c>
      <c r="C388" s="3" t="s">
        <v>5142</v>
      </c>
      <c r="D388" s="3" t="s">
        <v>5143</v>
      </c>
      <c r="E388" s="3" t="s">
        <v>3905</v>
      </c>
      <c r="F388" s="3" t="s">
        <v>5144</v>
      </c>
      <c r="G388" s="3" t="s">
        <v>3054</v>
      </c>
      <c r="H388" s="21" t="s">
        <v>5145</v>
      </c>
      <c r="I388" s="3" t="s">
        <v>3491</v>
      </c>
    </row>
    <row r="389">
      <c r="A389" s="20" t="s">
        <v>5146</v>
      </c>
      <c r="B389" s="3" t="s">
        <v>5147</v>
      </c>
      <c r="C389" s="3" t="s">
        <v>5148</v>
      </c>
      <c r="D389" s="3" t="s">
        <v>5149</v>
      </c>
      <c r="E389" s="3" t="s">
        <v>3052</v>
      </c>
      <c r="F389" s="3" t="s">
        <v>5150</v>
      </c>
      <c r="G389" s="3" t="s">
        <v>5151</v>
      </c>
      <c r="H389" s="21" t="s">
        <v>5152</v>
      </c>
      <c r="I389" s="3" t="s">
        <v>3099</v>
      </c>
    </row>
    <row r="390">
      <c r="A390" s="20" t="s">
        <v>5153</v>
      </c>
      <c r="B390" s="3" t="s">
        <v>5154</v>
      </c>
      <c r="C390" s="3" t="s">
        <v>5155</v>
      </c>
      <c r="D390" s="3" t="s">
        <v>3115</v>
      </c>
      <c r="E390" s="3" t="s">
        <v>3116</v>
      </c>
      <c r="F390" s="4"/>
      <c r="G390" s="3" t="s">
        <v>3054</v>
      </c>
      <c r="H390" s="3" t="s">
        <v>3054</v>
      </c>
      <c r="I390" s="3" t="s">
        <v>3054</v>
      </c>
    </row>
    <row r="391">
      <c r="A391" s="20" t="s">
        <v>5156</v>
      </c>
      <c r="B391" s="3" t="s">
        <v>5157</v>
      </c>
      <c r="C391" s="3" t="s">
        <v>5158</v>
      </c>
      <c r="D391" s="3" t="s">
        <v>5159</v>
      </c>
      <c r="E391" s="3" t="s">
        <v>3073</v>
      </c>
      <c r="F391" s="3" t="s">
        <v>5160</v>
      </c>
      <c r="G391" s="3" t="s">
        <v>3054</v>
      </c>
      <c r="H391" s="21" t="s">
        <v>5161</v>
      </c>
      <c r="I391" s="3" t="s">
        <v>3230</v>
      </c>
    </row>
    <row r="392">
      <c r="A392" s="20" t="s">
        <v>5162</v>
      </c>
      <c r="B392" s="3" t="s">
        <v>5163</v>
      </c>
      <c r="C392" s="3" t="s">
        <v>5164</v>
      </c>
      <c r="D392" s="3" t="s">
        <v>5165</v>
      </c>
      <c r="E392" s="3" t="s">
        <v>3343</v>
      </c>
      <c r="F392" s="3" t="s">
        <v>5166</v>
      </c>
      <c r="G392" s="3" t="s">
        <v>3054</v>
      </c>
      <c r="H392" s="21" t="s">
        <v>5167</v>
      </c>
      <c r="I392" s="3" t="s">
        <v>3099</v>
      </c>
    </row>
    <row r="393">
      <c r="A393" s="20" t="s">
        <v>5168</v>
      </c>
      <c r="B393" s="3" t="s">
        <v>1796</v>
      </c>
      <c r="C393" s="3" t="s">
        <v>5169</v>
      </c>
      <c r="D393" s="3" t="s">
        <v>5170</v>
      </c>
      <c r="E393" s="3" t="s">
        <v>3235</v>
      </c>
      <c r="F393" s="3" t="s">
        <v>5171</v>
      </c>
      <c r="G393" s="3" t="s">
        <v>5172</v>
      </c>
      <c r="H393" s="3" t="s">
        <v>3054</v>
      </c>
      <c r="I393" s="3" t="s">
        <v>3069</v>
      </c>
    </row>
    <row r="394">
      <c r="A394" s="20" t="s">
        <v>5173</v>
      </c>
      <c r="B394" s="3" t="s">
        <v>5174</v>
      </c>
      <c r="C394" s="3" t="s">
        <v>5175</v>
      </c>
      <c r="D394" s="3" t="s">
        <v>5176</v>
      </c>
      <c r="E394" s="3" t="s">
        <v>3052</v>
      </c>
      <c r="F394" s="3" t="s">
        <v>5177</v>
      </c>
      <c r="G394" s="3" t="s">
        <v>3054</v>
      </c>
      <c r="H394" s="3" t="s">
        <v>3054</v>
      </c>
      <c r="I394" s="3" t="s">
        <v>3137</v>
      </c>
    </row>
    <row r="395">
      <c r="A395" s="20" t="s">
        <v>5178</v>
      </c>
      <c r="B395" s="3" t="s">
        <v>5179</v>
      </c>
      <c r="C395" s="3" t="s">
        <v>5180</v>
      </c>
      <c r="D395" s="3" t="s">
        <v>5181</v>
      </c>
      <c r="E395" s="3" t="s">
        <v>3052</v>
      </c>
      <c r="F395" s="3" t="s">
        <v>5182</v>
      </c>
      <c r="G395" s="3" t="s">
        <v>5183</v>
      </c>
      <c r="H395" s="3" t="s">
        <v>3054</v>
      </c>
      <c r="I395" s="3" t="s">
        <v>3054</v>
      </c>
    </row>
    <row r="396">
      <c r="A396" s="20" t="s">
        <v>5184</v>
      </c>
      <c r="B396" s="3" t="s">
        <v>5185</v>
      </c>
      <c r="C396" s="3" t="s">
        <v>5186</v>
      </c>
      <c r="D396" s="3" t="s">
        <v>5187</v>
      </c>
      <c r="E396" s="3" t="s">
        <v>3073</v>
      </c>
      <c r="F396" s="3" t="s">
        <v>5188</v>
      </c>
      <c r="G396" s="3" t="s">
        <v>5189</v>
      </c>
      <c r="H396" s="3" t="s">
        <v>3054</v>
      </c>
      <c r="I396" s="3" t="s">
        <v>3099</v>
      </c>
    </row>
    <row r="397">
      <c r="A397" s="20" t="s">
        <v>5190</v>
      </c>
      <c r="B397" s="3" t="s">
        <v>5191</v>
      </c>
      <c r="C397" s="3" t="s">
        <v>5192</v>
      </c>
      <c r="D397" s="3" t="s">
        <v>5193</v>
      </c>
      <c r="E397" s="3" t="s">
        <v>3177</v>
      </c>
      <c r="F397" s="3" t="s">
        <v>5194</v>
      </c>
      <c r="G397" s="3" t="s">
        <v>3054</v>
      </c>
      <c r="H397" s="3" t="s">
        <v>3054</v>
      </c>
      <c r="I397" s="3" t="s">
        <v>3076</v>
      </c>
    </row>
    <row r="398">
      <c r="A398" s="20" t="s">
        <v>5195</v>
      </c>
      <c r="B398" s="3" t="s">
        <v>5196</v>
      </c>
      <c r="C398" s="3" t="s">
        <v>5197</v>
      </c>
      <c r="D398" s="3" t="s">
        <v>5198</v>
      </c>
      <c r="E398" s="3" t="s">
        <v>4984</v>
      </c>
      <c r="F398" s="3" t="s">
        <v>5199</v>
      </c>
      <c r="G398" s="3" t="s">
        <v>3054</v>
      </c>
      <c r="H398" s="21" t="s">
        <v>5200</v>
      </c>
      <c r="I398" s="3" t="s">
        <v>3099</v>
      </c>
    </row>
    <row r="399">
      <c r="A399" s="20" t="s">
        <v>5201</v>
      </c>
      <c r="B399" s="3" t="s">
        <v>5202</v>
      </c>
      <c r="C399" s="4"/>
      <c r="D399" s="3" t="s">
        <v>3115</v>
      </c>
      <c r="E399" s="3" t="s">
        <v>3116</v>
      </c>
      <c r="F399" s="4"/>
      <c r="G399" s="3" t="s">
        <v>3054</v>
      </c>
      <c r="H399" s="3" t="s">
        <v>3054</v>
      </c>
      <c r="I399" s="3" t="s">
        <v>3054</v>
      </c>
    </row>
    <row r="400">
      <c r="A400" s="20" t="s">
        <v>5203</v>
      </c>
      <c r="B400" s="3" t="s">
        <v>5204</v>
      </c>
      <c r="C400" s="3" t="s">
        <v>5205</v>
      </c>
      <c r="D400" s="3" t="s">
        <v>5206</v>
      </c>
      <c r="E400" s="3" t="s">
        <v>4136</v>
      </c>
      <c r="F400" s="3" t="s">
        <v>5207</v>
      </c>
      <c r="G400" s="3" t="s">
        <v>5208</v>
      </c>
      <c r="H400" s="21" t="s">
        <v>5209</v>
      </c>
      <c r="I400" s="3" t="s">
        <v>3099</v>
      </c>
    </row>
    <row r="401">
      <c r="A401" s="20" t="s">
        <v>5210</v>
      </c>
      <c r="B401" s="3" t="s">
        <v>5211</v>
      </c>
      <c r="C401" s="3" t="s">
        <v>5212</v>
      </c>
      <c r="D401" s="3" t="s">
        <v>5213</v>
      </c>
      <c r="E401" s="3" t="s">
        <v>3052</v>
      </c>
      <c r="F401" s="3" t="s">
        <v>3682</v>
      </c>
      <c r="G401" s="3" t="s">
        <v>5214</v>
      </c>
      <c r="H401" s="3" t="s">
        <v>3054</v>
      </c>
      <c r="I401" s="3" t="s">
        <v>3099</v>
      </c>
    </row>
    <row r="402">
      <c r="A402" s="20" t="s">
        <v>5215</v>
      </c>
      <c r="B402" s="3" t="s">
        <v>5216</v>
      </c>
      <c r="C402" s="3" t="s">
        <v>5217</v>
      </c>
      <c r="D402" s="3" t="s">
        <v>5218</v>
      </c>
      <c r="E402" s="3" t="s">
        <v>3052</v>
      </c>
      <c r="F402" s="3" t="s">
        <v>5219</v>
      </c>
      <c r="G402" s="3" t="s">
        <v>3054</v>
      </c>
      <c r="H402" s="4"/>
      <c r="I402" s="3" t="s">
        <v>3099</v>
      </c>
    </row>
    <row r="403">
      <c r="A403" s="20" t="s">
        <v>5220</v>
      </c>
      <c r="B403" s="3" t="s">
        <v>5221</v>
      </c>
      <c r="C403" s="3" t="s">
        <v>5222</v>
      </c>
      <c r="D403" s="3" t="s">
        <v>5223</v>
      </c>
      <c r="E403" s="3" t="s">
        <v>5129</v>
      </c>
      <c r="F403" s="3" t="s">
        <v>5224</v>
      </c>
      <c r="G403" s="3" t="s">
        <v>3054</v>
      </c>
      <c r="H403" s="3" t="s">
        <v>3054</v>
      </c>
      <c r="I403" s="3" t="s">
        <v>3054</v>
      </c>
    </row>
    <row r="404">
      <c r="A404" s="20" t="s">
        <v>5225</v>
      </c>
      <c r="B404" s="3" t="s">
        <v>5226</v>
      </c>
      <c r="C404" s="4"/>
      <c r="D404" s="3" t="s">
        <v>3115</v>
      </c>
      <c r="E404" s="3" t="s">
        <v>3116</v>
      </c>
      <c r="F404" s="4"/>
      <c r="G404" s="3" t="s">
        <v>3054</v>
      </c>
      <c r="H404" s="3" t="s">
        <v>3054</v>
      </c>
      <c r="I404" s="3" t="s">
        <v>3054</v>
      </c>
    </row>
    <row r="405">
      <c r="A405" s="20" t="s">
        <v>5227</v>
      </c>
      <c r="B405" s="3" t="s">
        <v>5228</v>
      </c>
      <c r="C405" s="3" t="s">
        <v>5229</v>
      </c>
      <c r="D405" s="3" t="s">
        <v>4576</v>
      </c>
      <c r="E405" s="3" t="s">
        <v>3052</v>
      </c>
      <c r="F405" s="3" t="s">
        <v>5230</v>
      </c>
      <c r="G405" s="3" t="s">
        <v>3054</v>
      </c>
      <c r="H405" s="4"/>
      <c r="I405" s="3" t="s">
        <v>3230</v>
      </c>
    </row>
    <row r="406">
      <c r="A406" s="20" t="s">
        <v>5231</v>
      </c>
      <c r="B406" s="3" t="s">
        <v>5232</v>
      </c>
      <c r="C406" s="3" t="s">
        <v>5233</v>
      </c>
      <c r="D406" s="3" t="s">
        <v>5234</v>
      </c>
      <c r="E406" s="3" t="s">
        <v>5235</v>
      </c>
      <c r="F406" s="3" t="s">
        <v>5236</v>
      </c>
      <c r="G406" s="3" t="s">
        <v>5237</v>
      </c>
      <c r="H406" s="21" t="s">
        <v>5238</v>
      </c>
      <c r="I406" s="3" t="s">
        <v>3099</v>
      </c>
    </row>
    <row r="407">
      <c r="A407" s="20" t="s">
        <v>5239</v>
      </c>
      <c r="B407" s="3" t="s">
        <v>5240</v>
      </c>
      <c r="C407" s="3" t="s">
        <v>5241</v>
      </c>
      <c r="D407" s="3" t="s">
        <v>5242</v>
      </c>
      <c r="E407" s="3" t="s">
        <v>3260</v>
      </c>
      <c r="F407" s="3" t="s">
        <v>5243</v>
      </c>
      <c r="G407" s="3" t="s">
        <v>3054</v>
      </c>
      <c r="H407" s="21" t="s">
        <v>5244</v>
      </c>
      <c r="I407" s="3" t="s">
        <v>3137</v>
      </c>
    </row>
    <row r="408">
      <c r="A408" s="20" t="s">
        <v>5245</v>
      </c>
      <c r="B408" s="3" t="s">
        <v>5246</v>
      </c>
      <c r="C408" s="3" t="s">
        <v>5247</v>
      </c>
      <c r="D408" s="3" t="s">
        <v>5248</v>
      </c>
      <c r="E408" s="3" t="s">
        <v>3052</v>
      </c>
      <c r="F408" s="3" t="s">
        <v>5249</v>
      </c>
      <c r="G408" s="3" t="s">
        <v>5250</v>
      </c>
      <c r="H408" s="21" t="s">
        <v>5251</v>
      </c>
      <c r="I408" s="3" t="s">
        <v>3123</v>
      </c>
    </row>
    <row r="409">
      <c r="A409" s="20" t="s">
        <v>5252</v>
      </c>
      <c r="B409" s="3" t="s">
        <v>5253</v>
      </c>
      <c r="C409" s="3" t="s">
        <v>5254</v>
      </c>
      <c r="D409" s="3" t="s">
        <v>5255</v>
      </c>
      <c r="E409" s="3" t="s">
        <v>3260</v>
      </c>
      <c r="F409" s="3" t="s">
        <v>5256</v>
      </c>
      <c r="G409" s="3" t="s">
        <v>5257</v>
      </c>
      <c r="H409" s="3" t="s">
        <v>3054</v>
      </c>
      <c r="I409" s="3" t="s">
        <v>3099</v>
      </c>
    </row>
    <row r="410">
      <c r="A410" s="20" t="s">
        <v>5258</v>
      </c>
      <c r="B410" s="3" t="s">
        <v>5259</v>
      </c>
      <c r="C410" s="3" t="s">
        <v>5260</v>
      </c>
      <c r="D410" s="3" t="s">
        <v>5261</v>
      </c>
      <c r="E410" s="3" t="s">
        <v>3235</v>
      </c>
      <c r="F410" s="3" t="s">
        <v>5262</v>
      </c>
      <c r="G410" s="3" t="s">
        <v>3054</v>
      </c>
      <c r="H410" s="21" t="s">
        <v>5263</v>
      </c>
      <c r="I410" s="3" t="s">
        <v>3186</v>
      </c>
    </row>
    <row r="411">
      <c r="A411" s="20" t="s">
        <v>5264</v>
      </c>
      <c r="B411" s="3" t="s">
        <v>5265</v>
      </c>
      <c r="C411" s="3" t="s">
        <v>5266</v>
      </c>
      <c r="D411" s="3" t="s">
        <v>5267</v>
      </c>
      <c r="E411" s="3" t="s">
        <v>3052</v>
      </c>
      <c r="F411" s="3" t="s">
        <v>5268</v>
      </c>
      <c r="G411" s="3" t="s">
        <v>5269</v>
      </c>
      <c r="H411" s="3" t="s">
        <v>3054</v>
      </c>
      <c r="I411" s="3" t="s">
        <v>3186</v>
      </c>
    </row>
    <row r="412">
      <c r="A412" s="20" t="s">
        <v>5270</v>
      </c>
      <c r="B412" s="3" t="s">
        <v>5271</v>
      </c>
      <c r="C412" s="3" t="s">
        <v>5272</v>
      </c>
      <c r="D412" s="3" t="s">
        <v>5273</v>
      </c>
      <c r="E412" s="3" t="s">
        <v>3052</v>
      </c>
      <c r="F412" s="3" t="s">
        <v>5274</v>
      </c>
      <c r="G412" s="3" t="s">
        <v>5275</v>
      </c>
      <c r="H412" s="21" t="s">
        <v>5276</v>
      </c>
      <c r="I412" s="3" t="s">
        <v>3099</v>
      </c>
    </row>
    <row r="413">
      <c r="A413" s="20" t="s">
        <v>5277</v>
      </c>
      <c r="B413" s="3" t="s">
        <v>5278</v>
      </c>
      <c r="C413" s="3" t="s">
        <v>5279</v>
      </c>
      <c r="D413" s="3" t="s">
        <v>5280</v>
      </c>
      <c r="E413" s="3" t="s">
        <v>3905</v>
      </c>
      <c r="F413" s="3" t="s">
        <v>5281</v>
      </c>
      <c r="G413" s="3" t="s">
        <v>3054</v>
      </c>
      <c r="H413" s="4"/>
      <c r="I413" s="3" t="s">
        <v>3137</v>
      </c>
    </row>
    <row r="414">
      <c r="A414" s="20" t="s">
        <v>5282</v>
      </c>
      <c r="B414" s="3" t="s">
        <v>5283</v>
      </c>
      <c r="C414" s="3" t="s">
        <v>5284</v>
      </c>
      <c r="D414" s="3" t="s">
        <v>5285</v>
      </c>
      <c r="E414" s="3" t="s">
        <v>3128</v>
      </c>
      <c r="F414" s="3" t="s">
        <v>5286</v>
      </c>
      <c r="G414" s="3" t="s">
        <v>3054</v>
      </c>
      <c r="H414" s="21" t="s">
        <v>5287</v>
      </c>
      <c r="I414" s="3" t="s">
        <v>3076</v>
      </c>
    </row>
    <row r="415">
      <c r="A415" s="20" t="s">
        <v>5288</v>
      </c>
      <c r="B415" s="3" t="s">
        <v>5289</v>
      </c>
      <c r="C415" s="3" t="s">
        <v>5290</v>
      </c>
      <c r="D415" s="3" t="s">
        <v>5291</v>
      </c>
      <c r="E415" s="3" t="s">
        <v>3052</v>
      </c>
      <c r="F415" s="3" t="s">
        <v>5292</v>
      </c>
      <c r="G415" s="3" t="s">
        <v>3054</v>
      </c>
      <c r="H415" s="21" t="s">
        <v>5293</v>
      </c>
      <c r="I415" s="3" t="s">
        <v>3061</v>
      </c>
    </row>
    <row r="416">
      <c r="A416" s="20" t="s">
        <v>5294</v>
      </c>
      <c r="B416" s="3" t="s">
        <v>5295</v>
      </c>
      <c r="C416" s="3" t="s">
        <v>5296</v>
      </c>
      <c r="D416" s="3" t="s">
        <v>5297</v>
      </c>
      <c r="E416" s="3" t="s">
        <v>3052</v>
      </c>
      <c r="F416" s="3" t="s">
        <v>5298</v>
      </c>
      <c r="G416" s="3" t="s">
        <v>4121</v>
      </c>
      <c r="H416" s="21" t="s">
        <v>4386</v>
      </c>
      <c r="I416" s="3" t="s">
        <v>3186</v>
      </c>
    </row>
    <row r="417">
      <c r="A417" s="20" t="s">
        <v>5299</v>
      </c>
      <c r="B417" s="3" t="s">
        <v>5300</v>
      </c>
      <c r="C417" s="3" t="s">
        <v>5301</v>
      </c>
      <c r="D417" s="3" t="s">
        <v>5302</v>
      </c>
      <c r="E417" s="3" t="s">
        <v>3096</v>
      </c>
      <c r="F417" s="3" t="s">
        <v>5303</v>
      </c>
      <c r="G417" s="3" t="s">
        <v>3054</v>
      </c>
      <c r="H417" s="21" t="s">
        <v>5304</v>
      </c>
      <c r="I417" s="3" t="s">
        <v>3137</v>
      </c>
    </row>
    <row r="418">
      <c r="A418" s="20" t="s">
        <v>5305</v>
      </c>
      <c r="B418" s="3" t="s">
        <v>5306</v>
      </c>
      <c r="C418" s="3" t="s">
        <v>5307</v>
      </c>
      <c r="D418" s="3" t="s">
        <v>5308</v>
      </c>
      <c r="E418" s="3" t="s">
        <v>3403</v>
      </c>
      <c r="F418" s="3" t="s">
        <v>5309</v>
      </c>
      <c r="G418" s="3" t="s">
        <v>3054</v>
      </c>
      <c r="H418" s="21" t="s">
        <v>5310</v>
      </c>
      <c r="I418" s="3" t="s">
        <v>3099</v>
      </c>
    </row>
    <row r="419">
      <c r="A419" s="20" t="s">
        <v>5311</v>
      </c>
      <c r="B419" s="3" t="s">
        <v>5312</v>
      </c>
      <c r="C419" s="3" t="s">
        <v>5313</v>
      </c>
      <c r="D419" s="3" t="s">
        <v>5314</v>
      </c>
      <c r="E419" s="3" t="s">
        <v>3096</v>
      </c>
      <c r="F419" s="3" t="s">
        <v>5315</v>
      </c>
      <c r="G419" s="3" t="s">
        <v>3054</v>
      </c>
      <c r="H419" s="3" t="s">
        <v>3054</v>
      </c>
      <c r="I419" s="3" t="s">
        <v>3099</v>
      </c>
    </row>
    <row r="420">
      <c r="A420" s="20" t="s">
        <v>5316</v>
      </c>
      <c r="B420" s="3" t="s">
        <v>5317</v>
      </c>
      <c r="C420" s="3" t="s">
        <v>5318</v>
      </c>
      <c r="D420" s="3" t="s">
        <v>5319</v>
      </c>
      <c r="E420" s="3" t="s">
        <v>3096</v>
      </c>
      <c r="F420" s="3" t="s">
        <v>5320</v>
      </c>
      <c r="G420" s="3" t="s">
        <v>3054</v>
      </c>
      <c r="H420" s="21" t="s">
        <v>5321</v>
      </c>
      <c r="I420" s="3" t="s">
        <v>3099</v>
      </c>
    </row>
    <row r="421">
      <c r="A421" s="20" t="s">
        <v>5322</v>
      </c>
      <c r="B421" s="3" t="s">
        <v>5323</v>
      </c>
      <c r="C421" s="4"/>
      <c r="D421" s="3" t="s">
        <v>3115</v>
      </c>
      <c r="E421" s="3" t="s">
        <v>3116</v>
      </c>
      <c r="F421" s="4"/>
      <c r="G421" s="3" t="s">
        <v>3054</v>
      </c>
      <c r="H421" s="3" t="s">
        <v>3054</v>
      </c>
      <c r="I421" s="3" t="s">
        <v>3054</v>
      </c>
    </row>
    <row r="422">
      <c r="A422" s="20" t="s">
        <v>5324</v>
      </c>
      <c r="B422" s="3" t="s">
        <v>5325</v>
      </c>
      <c r="C422" s="3" t="s">
        <v>5326</v>
      </c>
      <c r="D422" s="3" t="s">
        <v>5327</v>
      </c>
      <c r="E422" s="3" t="s">
        <v>3403</v>
      </c>
      <c r="F422" s="3" t="s">
        <v>5328</v>
      </c>
      <c r="G422" s="3" t="s">
        <v>5329</v>
      </c>
      <c r="H422" s="3" t="s">
        <v>3054</v>
      </c>
      <c r="I422" s="3" t="s">
        <v>3640</v>
      </c>
    </row>
    <row r="423">
      <c r="A423" s="20" t="s">
        <v>5330</v>
      </c>
      <c r="B423" s="3" t="s">
        <v>5331</v>
      </c>
      <c r="C423" s="3" t="s">
        <v>5332</v>
      </c>
      <c r="D423" s="3" t="s">
        <v>5333</v>
      </c>
      <c r="E423" s="3" t="s">
        <v>3052</v>
      </c>
      <c r="F423" s="3" t="s">
        <v>5334</v>
      </c>
      <c r="G423" s="3" t="s">
        <v>5335</v>
      </c>
      <c r="H423" s="21" t="s">
        <v>5336</v>
      </c>
      <c r="I423" s="3" t="s">
        <v>3099</v>
      </c>
    </row>
    <row r="424">
      <c r="A424" s="20" t="s">
        <v>5337</v>
      </c>
      <c r="B424" s="3" t="s">
        <v>5338</v>
      </c>
      <c r="C424" s="3" t="s">
        <v>5339</v>
      </c>
      <c r="D424" s="3" t="s">
        <v>5340</v>
      </c>
      <c r="E424" s="3" t="s">
        <v>3096</v>
      </c>
      <c r="F424" s="3" t="s">
        <v>5341</v>
      </c>
      <c r="G424" s="3" t="s">
        <v>3054</v>
      </c>
      <c r="H424" s="21" t="s">
        <v>5342</v>
      </c>
      <c r="I424" s="3" t="s">
        <v>3099</v>
      </c>
    </row>
    <row r="425">
      <c r="A425" s="20" t="s">
        <v>5343</v>
      </c>
      <c r="B425" s="3" t="s">
        <v>5344</v>
      </c>
      <c r="C425" s="3" t="s">
        <v>5345</v>
      </c>
      <c r="D425" s="3" t="s">
        <v>5346</v>
      </c>
      <c r="E425" s="3" t="s">
        <v>3403</v>
      </c>
      <c r="F425" s="3" t="s">
        <v>4519</v>
      </c>
      <c r="G425" s="3" t="s">
        <v>3054</v>
      </c>
      <c r="H425" s="21" t="s">
        <v>5347</v>
      </c>
      <c r="I425" s="3" t="s">
        <v>3230</v>
      </c>
    </row>
    <row r="426">
      <c r="A426" s="20" t="s">
        <v>5348</v>
      </c>
      <c r="B426" s="3" t="s">
        <v>5349</v>
      </c>
      <c r="C426" s="3" t="s">
        <v>5350</v>
      </c>
      <c r="D426" s="3" t="s">
        <v>5351</v>
      </c>
      <c r="E426" s="3" t="s">
        <v>3096</v>
      </c>
      <c r="F426" s="3" t="s">
        <v>5352</v>
      </c>
      <c r="G426" s="3" t="s">
        <v>3054</v>
      </c>
      <c r="H426" s="4"/>
      <c r="I426" s="3" t="s">
        <v>3186</v>
      </c>
    </row>
    <row r="427">
      <c r="A427" s="20" t="s">
        <v>5353</v>
      </c>
      <c r="B427" s="3" t="s">
        <v>5354</v>
      </c>
      <c r="C427" s="4"/>
      <c r="D427" s="3" t="s">
        <v>3115</v>
      </c>
      <c r="E427" s="3" t="s">
        <v>3116</v>
      </c>
      <c r="F427" s="4"/>
      <c r="G427" s="3" t="s">
        <v>3054</v>
      </c>
      <c r="H427" s="3" t="s">
        <v>3054</v>
      </c>
      <c r="I427" s="3" t="s">
        <v>3054</v>
      </c>
    </row>
    <row r="428">
      <c r="A428" s="20" t="s">
        <v>5355</v>
      </c>
      <c r="B428" s="3" t="s">
        <v>5356</v>
      </c>
      <c r="C428" s="3" t="s">
        <v>5357</v>
      </c>
      <c r="D428" s="3" t="s">
        <v>5358</v>
      </c>
      <c r="E428" s="3" t="s">
        <v>3052</v>
      </c>
      <c r="F428" s="3" t="s">
        <v>5359</v>
      </c>
      <c r="G428" s="3" t="s">
        <v>3054</v>
      </c>
      <c r="H428" s="21" t="s">
        <v>5360</v>
      </c>
      <c r="I428" s="3" t="s">
        <v>3099</v>
      </c>
    </row>
    <row r="429">
      <c r="A429" s="20" t="s">
        <v>5361</v>
      </c>
      <c r="B429" s="3" t="s">
        <v>5362</v>
      </c>
      <c r="C429" s="3" t="s">
        <v>5363</v>
      </c>
      <c r="D429" s="3" t="s">
        <v>5364</v>
      </c>
      <c r="E429" s="3" t="s">
        <v>3052</v>
      </c>
      <c r="F429" s="3" t="s">
        <v>5365</v>
      </c>
      <c r="G429" s="3" t="s">
        <v>5366</v>
      </c>
      <c r="H429" s="21" t="s">
        <v>5367</v>
      </c>
      <c r="I429" s="3" t="s">
        <v>3099</v>
      </c>
    </row>
    <row r="430">
      <c r="A430" s="20" t="s">
        <v>5368</v>
      </c>
      <c r="B430" s="3" t="s">
        <v>5369</v>
      </c>
      <c r="C430" s="3" t="s">
        <v>5370</v>
      </c>
      <c r="D430" s="3" t="s">
        <v>5371</v>
      </c>
      <c r="E430" s="3" t="s">
        <v>3096</v>
      </c>
      <c r="F430" s="3" t="s">
        <v>5372</v>
      </c>
      <c r="G430" s="3" t="s">
        <v>3054</v>
      </c>
      <c r="H430" s="21" t="s">
        <v>5373</v>
      </c>
      <c r="I430" s="3" t="s">
        <v>3076</v>
      </c>
    </row>
    <row r="431">
      <c r="A431" s="20" t="s">
        <v>5374</v>
      </c>
      <c r="B431" s="3" t="s">
        <v>1025</v>
      </c>
      <c r="C431" s="4"/>
      <c r="D431" s="3" t="s">
        <v>3115</v>
      </c>
      <c r="E431" s="3" t="s">
        <v>3116</v>
      </c>
      <c r="F431" s="4"/>
      <c r="G431" s="3" t="s">
        <v>3054</v>
      </c>
      <c r="H431" s="3" t="s">
        <v>3054</v>
      </c>
      <c r="I431" s="3" t="s">
        <v>3054</v>
      </c>
    </row>
    <row r="432">
      <c r="A432" s="20" t="s">
        <v>5375</v>
      </c>
      <c r="B432" s="3" t="s">
        <v>5376</v>
      </c>
      <c r="C432" s="3" t="s">
        <v>5377</v>
      </c>
      <c r="D432" s="3" t="s">
        <v>5378</v>
      </c>
      <c r="E432" s="3" t="s">
        <v>3052</v>
      </c>
      <c r="F432" s="3" t="s">
        <v>5379</v>
      </c>
      <c r="G432" s="3" t="s">
        <v>5380</v>
      </c>
      <c r="H432" s="3" t="s">
        <v>3054</v>
      </c>
      <c r="I432" s="3" t="s">
        <v>3186</v>
      </c>
    </row>
    <row r="433">
      <c r="A433" s="20" t="s">
        <v>5381</v>
      </c>
      <c r="B433" s="3" t="s">
        <v>1041</v>
      </c>
      <c r="C433" s="3" t="s">
        <v>5382</v>
      </c>
      <c r="D433" s="3" t="s">
        <v>5383</v>
      </c>
      <c r="E433" s="3" t="s">
        <v>3096</v>
      </c>
      <c r="F433" s="3" t="s">
        <v>5384</v>
      </c>
      <c r="G433" s="3" t="s">
        <v>3054</v>
      </c>
      <c r="H433" s="3" t="s">
        <v>3054</v>
      </c>
      <c r="I433" s="3" t="s">
        <v>3491</v>
      </c>
    </row>
    <row r="434">
      <c r="A434" s="20" t="s">
        <v>5385</v>
      </c>
      <c r="B434" s="3" t="s">
        <v>5386</v>
      </c>
      <c r="C434" s="3" t="s">
        <v>5387</v>
      </c>
      <c r="D434" s="3" t="s">
        <v>5388</v>
      </c>
      <c r="E434" s="3" t="s">
        <v>3052</v>
      </c>
      <c r="F434" s="3" t="s">
        <v>5389</v>
      </c>
      <c r="G434" s="3" t="s">
        <v>3054</v>
      </c>
      <c r="H434" s="21" t="s">
        <v>5390</v>
      </c>
      <c r="I434" s="3" t="s">
        <v>3061</v>
      </c>
    </row>
    <row r="435">
      <c r="A435" s="20" t="s">
        <v>5391</v>
      </c>
      <c r="B435" s="3" t="s">
        <v>5392</v>
      </c>
      <c r="C435" s="3" t="s">
        <v>5393</v>
      </c>
      <c r="D435" s="3" t="s">
        <v>5394</v>
      </c>
      <c r="E435" s="3" t="s">
        <v>3343</v>
      </c>
      <c r="F435" s="3" t="s">
        <v>5395</v>
      </c>
      <c r="G435" s="3" t="s">
        <v>5396</v>
      </c>
      <c r="H435" s="21" t="s">
        <v>5397</v>
      </c>
      <c r="I435" s="3" t="s">
        <v>3186</v>
      </c>
    </row>
    <row r="436">
      <c r="A436" s="20" t="s">
        <v>5398</v>
      </c>
      <c r="B436" s="3" t="s">
        <v>5399</v>
      </c>
      <c r="C436" s="3" t="s">
        <v>5400</v>
      </c>
      <c r="D436" s="3" t="s">
        <v>5401</v>
      </c>
      <c r="E436" s="3" t="s">
        <v>3096</v>
      </c>
      <c r="F436" s="3" t="s">
        <v>5402</v>
      </c>
      <c r="G436" s="3" t="s">
        <v>4121</v>
      </c>
      <c r="H436" s="3" t="s">
        <v>3054</v>
      </c>
      <c r="I436" s="3" t="s">
        <v>3186</v>
      </c>
    </row>
    <row r="437">
      <c r="A437" s="20" t="s">
        <v>5403</v>
      </c>
      <c r="B437" s="3" t="s">
        <v>5404</v>
      </c>
      <c r="C437" s="3" t="s">
        <v>5405</v>
      </c>
      <c r="D437" s="3" t="s">
        <v>5406</v>
      </c>
      <c r="E437" s="3" t="s">
        <v>3073</v>
      </c>
      <c r="F437" s="3" t="s">
        <v>5407</v>
      </c>
      <c r="G437" s="3" t="s">
        <v>3054</v>
      </c>
      <c r="H437" s="3" t="s">
        <v>3054</v>
      </c>
      <c r="I437" s="3" t="s">
        <v>3061</v>
      </c>
    </row>
    <row r="438">
      <c r="A438" s="20" t="s">
        <v>5408</v>
      </c>
      <c r="B438" s="3" t="s">
        <v>5409</v>
      </c>
      <c r="C438" s="4"/>
      <c r="D438" s="3" t="s">
        <v>3115</v>
      </c>
      <c r="E438" s="3" t="s">
        <v>3116</v>
      </c>
      <c r="F438" s="4"/>
      <c r="G438" s="3" t="s">
        <v>3054</v>
      </c>
      <c r="H438" s="3" t="s">
        <v>3054</v>
      </c>
      <c r="I438" s="3" t="s">
        <v>3054</v>
      </c>
    </row>
    <row r="439">
      <c r="A439" s="20" t="s">
        <v>5410</v>
      </c>
      <c r="B439" s="3" t="s">
        <v>5411</v>
      </c>
      <c r="C439" s="3" t="s">
        <v>5412</v>
      </c>
      <c r="D439" s="3" t="s">
        <v>5413</v>
      </c>
      <c r="E439" s="3" t="s">
        <v>3073</v>
      </c>
      <c r="F439" s="3" t="s">
        <v>5414</v>
      </c>
      <c r="G439" s="3" t="s">
        <v>5415</v>
      </c>
      <c r="H439" s="21" t="s">
        <v>5416</v>
      </c>
      <c r="I439" s="3" t="s">
        <v>3076</v>
      </c>
    </row>
    <row r="440">
      <c r="A440" s="20" t="s">
        <v>5417</v>
      </c>
      <c r="B440" s="3" t="s">
        <v>5418</v>
      </c>
      <c r="C440" s="3" t="s">
        <v>5419</v>
      </c>
      <c r="D440" s="3" t="s">
        <v>3351</v>
      </c>
      <c r="E440" s="3" t="s">
        <v>3222</v>
      </c>
      <c r="F440" s="3" t="s">
        <v>3352</v>
      </c>
      <c r="G440" s="3" t="s">
        <v>3054</v>
      </c>
      <c r="H440" s="21" t="s">
        <v>3353</v>
      </c>
      <c r="I440" s="3" t="s">
        <v>3099</v>
      </c>
    </row>
    <row r="441">
      <c r="A441" s="20" t="s">
        <v>5420</v>
      </c>
      <c r="B441" s="3" t="s">
        <v>5421</v>
      </c>
      <c r="C441" s="3" t="s">
        <v>5422</v>
      </c>
      <c r="D441" s="3" t="s">
        <v>5423</v>
      </c>
      <c r="E441" s="3" t="s">
        <v>3073</v>
      </c>
      <c r="F441" s="3" t="s">
        <v>5424</v>
      </c>
      <c r="G441" s="3" t="s">
        <v>3054</v>
      </c>
      <c r="H441" s="3" t="s">
        <v>3054</v>
      </c>
      <c r="I441" s="3" t="s">
        <v>3061</v>
      </c>
    </row>
    <row r="442">
      <c r="A442" s="20" t="s">
        <v>5425</v>
      </c>
      <c r="B442" s="3" t="s">
        <v>2791</v>
      </c>
      <c r="C442" s="3" t="s">
        <v>5426</v>
      </c>
      <c r="D442" s="3" t="s">
        <v>5427</v>
      </c>
      <c r="E442" s="3" t="s">
        <v>3052</v>
      </c>
      <c r="F442" s="3" t="s">
        <v>5428</v>
      </c>
      <c r="G442" s="3" t="s">
        <v>3054</v>
      </c>
      <c r="H442" s="21" t="s">
        <v>5429</v>
      </c>
      <c r="I442" s="3" t="s">
        <v>3076</v>
      </c>
    </row>
    <row r="443">
      <c r="A443" s="20" t="s">
        <v>5430</v>
      </c>
      <c r="B443" s="3" t="s">
        <v>5431</v>
      </c>
      <c r="C443" s="3" t="s">
        <v>5432</v>
      </c>
      <c r="D443" s="3" t="s">
        <v>5433</v>
      </c>
      <c r="E443" s="3" t="s">
        <v>3052</v>
      </c>
      <c r="F443" s="3" t="s">
        <v>5434</v>
      </c>
      <c r="G443" s="3" t="s">
        <v>3054</v>
      </c>
      <c r="H443" s="4"/>
      <c r="I443" s="3" t="s">
        <v>3099</v>
      </c>
    </row>
    <row r="444">
      <c r="A444" s="20" t="s">
        <v>5435</v>
      </c>
      <c r="B444" s="3" t="s">
        <v>5436</v>
      </c>
      <c r="C444" s="3" t="s">
        <v>5437</v>
      </c>
      <c r="D444" s="3" t="s">
        <v>5438</v>
      </c>
      <c r="E444" s="3" t="s">
        <v>3066</v>
      </c>
      <c r="F444" s="4"/>
      <c r="G444" s="3" t="s">
        <v>3054</v>
      </c>
      <c r="H444" s="3" t="s">
        <v>3054</v>
      </c>
      <c r="I444" s="3" t="s">
        <v>3054</v>
      </c>
    </row>
    <row r="445">
      <c r="A445" s="20" t="s">
        <v>5439</v>
      </c>
      <c r="B445" s="3" t="s">
        <v>5440</v>
      </c>
      <c r="C445" s="4"/>
      <c r="D445" s="3" t="s">
        <v>3115</v>
      </c>
      <c r="E445" s="3" t="s">
        <v>3116</v>
      </c>
      <c r="F445" s="4"/>
      <c r="G445" s="3" t="s">
        <v>3054</v>
      </c>
      <c r="H445" s="3" t="s">
        <v>3054</v>
      </c>
      <c r="I445" s="3" t="s">
        <v>3054</v>
      </c>
    </row>
    <row r="446">
      <c r="A446" s="20" t="s">
        <v>5441</v>
      </c>
      <c r="B446" s="3" t="s">
        <v>5442</v>
      </c>
      <c r="C446" s="3" t="s">
        <v>5443</v>
      </c>
      <c r="D446" s="3" t="s">
        <v>5444</v>
      </c>
      <c r="E446" s="3" t="s">
        <v>3222</v>
      </c>
      <c r="F446" s="3" t="s">
        <v>5445</v>
      </c>
      <c r="G446" s="3" t="s">
        <v>3054</v>
      </c>
      <c r="H446" s="21" t="s">
        <v>5446</v>
      </c>
      <c r="I446" s="3" t="s">
        <v>3061</v>
      </c>
    </row>
    <row r="447">
      <c r="A447" s="20" t="s">
        <v>5447</v>
      </c>
      <c r="B447" s="3" t="s">
        <v>5448</v>
      </c>
      <c r="C447" s="3" t="s">
        <v>5449</v>
      </c>
      <c r="D447" s="3" t="s">
        <v>5450</v>
      </c>
      <c r="E447" s="3" t="s">
        <v>3052</v>
      </c>
      <c r="F447" s="3" t="s">
        <v>5451</v>
      </c>
      <c r="G447" s="3" t="s">
        <v>3054</v>
      </c>
      <c r="H447" s="21" t="s">
        <v>5452</v>
      </c>
      <c r="I447" s="3" t="s">
        <v>3061</v>
      </c>
    </row>
    <row r="448">
      <c r="A448" s="20" t="s">
        <v>5453</v>
      </c>
      <c r="B448" s="3" t="s">
        <v>5454</v>
      </c>
      <c r="C448" s="3" t="s">
        <v>5455</v>
      </c>
      <c r="D448" s="3" t="s">
        <v>5456</v>
      </c>
      <c r="E448" s="3" t="s">
        <v>3052</v>
      </c>
      <c r="F448" s="3" t="s">
        <v>5457</v>
      </c>
      <c r="G448" s="3" t="s">
        <v>3054</v>
      </c>
      <c r="H448" s="3" t="s">
        <v>3054</v>
      </c>
      <c r="I448" s="3" t="s">
        <v>3123</v>
      </c>
    </row>
    <row r="449">
      <c r="A449" s="20" t="s">
        <v>5458</v>
      </c>
      <c r="B449" s="3" t="s">
        <v>5459</v>
      </c>
      <c r="C449" s="3" t="s">
        <v>5460</v>
      </c>
      <c r="D449" s="3" t="s">
        <v>5461</v>
      </c>
      <c r="E449" s="3" t="s">
        <v>3089</v>
      </c>
      <c r="F449" s="3" t="s">
        <v>5462</v>
      </c>
      <c r="G449" s="3" t="s">
        <v>5463</v>
      </c>
      <c r="H449" s="3" t="s">
        <v>3054</v>
      </c>
      <c r="I449" s="3" t="s">
        <v>3076</v>
      </c>
    </row>
    <row r="450">
      <c r="A450" s="20" t="s">
        <v>5464</v>
      </c>
      <c r="B450" s="3" t="s">
        <v>5465</v>
      </c>
      <c r="C450" s="3" t="s">
        <v>5466</v>
      </c>
      <c r="D450" s="3" t="s">
        <v>5467</v>
      </c>
      <c r="E450" s="3" t="s">
        <v>3905</v>
      </c>
      <c r="F450" s="3" t="s">
        <v>5468</v>
      </c>
      <c r="G450" s="3" t="s">
        <v>3054</v>
      </c>
      <c r="H450" s="21" t="s">
        <v>5469</v>
      </c>
      <c r="I450" s="3" t="s">
        <v>3099</v>
      </c>
    </row>
    <row r="451">
      <c r="A451" s="20" t="s">
        <v>5470</v>
      </c>
      <c r="B451" s="3" t="s">
        <v>5471</v>
      </c>
      <c r="C451" s="3" t="s">
        <v>5472</v>
      </c>
      <c r="D451" s="3" t="s">
        <v>5473</v>
      </c>
      <c r="E451" s="3" t="s">
        <v>3052</v>
      </c>
      <c r="F451" s="3" t="s">
        <v>5474</v>
      </c>
      <c r="G451" s="3" t="s">
        <v>3054</v>
      </c>
      <c r="H451" s="3" t="s">
        <v>3054</v>
      </c>
      <c r="I451" s="3" t="s">
        <v>3137</v>
      </c>
    </row>
    <row r="452">
      <c r="A452" s="20" t="s">
        <v>5475</v>
      </c>
      <c r="B452" s="3" t="s">
        <v>5476</v>
      </c>
      <c r="C452" s="3" t="s">
        <v>5477</v>
      </c>
      <c r="D452" s="3" t="s">
        <v>5478</v>
      </c>
      <c r="E452" s="3" t="s">
        <v>3073</v>
      </c>
      <c r="F452" s="3" t="s">
        <v>5479</v>
      </c>
      <c r="G452" s="3" t="s">
        <v>3054</v>
      </c>
      <c r="H452" s="21" t="s">
        <v>5480</v>
      </c>
      <c r="I452" s="3" t="s">
        <v>3099</v>
      </c>
    </row>
    <row r="453">
      <c r="A453" s="20" t="s">
        <v>5481</v>
      </c>
      <c r="B453" s="3" t="s">
        <v>2827</v>
      </c>
      <c r="C453" s="3" t="s">
        <v>5482</v>
      </c>
      <c r="D453" s="3" t="s">
        <v>5483</v>
      </c>
      <c r="E453" s="3" t="s">
        <v>3073</v>
      </c>
      <c r="F453" s="3" t="s">
        <v>5484</v>
      </c>
      <c r="G453" s="3" t="s">
        <v>3054</v>
      </c>
      <c r="H453" s="21" t="s">
        <v>5485</v>
      </c>
      <c r="I453" s="3" t="s">
        <v>3491</v>
      </c>
    </row>
    <row r="454">
      <c r="A454" s="20" t="s">
        <v>5486</v>
      </c>
      <c r="B454" s="3" t="s">
        <v>5487</v>
      </c>
      <c r="C454" s="3" t="s">
        <v>5488</v>
      </c>
      <c r="D454" s="3" t="s">
        <v>5489</v>
      </c>
      <c r="E454" s="3" t="s">
        <v>3052</v>
      </c>
      <c r="F454" s="3" t="s">
        <v>5490</v>
      </c>
      <c r="G454" s="3" t="s">
        <v>3054</v>
      </c>
      <c r="H454" s="3" t="s">
        <v>3054</v>
      </c>
      <c r="I454" s="3" t="s">
        <v>3076</v>
      </c>
    </row>
    <row r="455">
      <c r="A455" s="20" t="s">
        <v>5491</v>
      </c>
      <c r="B455" s="3" t="s">
        <v>5492</v>
      </c>
      <c r="C455" s="3" t="s">
        <v>5493</v>
      </c>
      <c r="D455" s="3" t="s">
        <v>5494</v>
      </c>
      <c r="E455" s="3" t="s">
        <v>3235</v>
      </c>
      <c r="F455" s="3" t="s">
        <v>5495</v>
      </c>
      <c r="G455" s="3" t="s">
        <v>3054</v>
      </c>
      <c r="H455" s="21" t="s">
        <v>5496</v>
      </c>
      <c r="I455" s="3" t="s">
        <v>3076</v>
      </c>
    </row>
    <row r="456">
      <c r="A456" s="20" t="s">
        <v>5497</v>
      </c>
      <c r="B456" s="3" t="s">
        <v>5498</v>
      </c>
      <c r="C456" s="3" t="s">
        <v>5499</v>
      </c>
      <c r="D456" s="3" t="s">
        <v>5500</v>
      </c>
      <c r="E456" s="3" t="s">
        <v>3066</v>
      </c>
      <c r="F456" s="3" t="s">
        <v>5501</v>
      </c>
      <c r="G456" s="3" t="s">
        <v>3054</v>
      </c>
      <c r="H456" s="21" t="s">
        <v>5502</v>
      </c>
      <c r="I456" s="3" t="s">
        <v>3099</v>
      </c>
    </row>
    <row r="457">
      <c r="A457" s="20" t="s">
        <v>5503</v>
      </c>
      <c r="B457" s="3" t="s">
        <v>5504</v>
      </c>
      <c r="C457" s="3" t="s">
        <v>5505</v>
      </c>
      <c r="D457" s="3" t="s">
        <v>5506</v>
      </c>
      <c r="E457" s="3" t="s">
        <v>5507</v>
      </c>
      <c r="F457" s="3" t="s">
        <v>5508</v>
      </c>
      <c r="G457" s="3" t="s">
        <v>3054</v>
      </c>
      <c r="H457" s="3" t="s">
        <v>3054</v>
      </c>
      <c r="I457" s="3" t="s">
        <v>3137</v>
      </c>
    </row>
    <row r="458">
      <c r="A458" s="20" t="s">
        <v>5509</v>
      </c>
      <c r="B458" s="3" t="s">
        <v>5510</v>
      </c>
      <c r="C458" s="3" t="s">
        <v>5511</v>
      </c>
      <c r="D458" s="3" t="s">
        <v>5512</v>
      </c>
      <c r="E458" s="3" t="s">
        <v>3052</v>
      </c>
      <c r="F458" s="3" t="s">
        <v>5513</v>
      </c>
      <c r="G458" s="3" t="s">
        <v>3054</v>
      </c>
      <c r="H458" s="4"/>
      <c r="I458" s="3" t="s">
        <v>3123</v>
      </c>
    </row>
    <row r="459">
      <c r="A459" s="20" t="s">
        <v>5514</v>
      </c>
      <c r="B459" s="3" t="s">
        <v>5515</v>
      </c>
      <c r="C459" s="3" t="s">
        <v>5516</v>
      </c>
      <c r="D459" s="3" t="s">
        <v>5517</v>
      </c>
      <c r="E459" s="3" t="s">
        <v>3403</v>
      </c>
      <c r="F459" s="3" t="s">
        <v>5518</v>
      </c>
      <c r="G459" s="3" t="s">
        <v>3054</v>
      </c>
      <c r="H459" s="3" t="s">
        <v>3054</v>
      </c>
      <c r="I459" s="3" t="s">
        <v>3123</v>
      </c>
    </row>
    <row r="460">
      <c r="A460" s="20" t="s">
        <v>5519</v>
      </c>
      <c r="B460" s="3" t="s">
        <v>5520</v>
      </c>
      <c r="C460" s="3" t="s">
        <v>5521</v>
      </c>
      <c r="D460" s="3" t="s">
        <v>5522</v>
      </c>
      <c r="E460" s="3" t="s">
        <v>5523</v>
      </c>
      <c r="F460" s="3" t="s">
        <v>5524</v>
      </c>
      <c r="G460" s="3" t="s">
        <v>3054</v>
      </c>
      <c r="H460" s="3" t="s">
        <v>3054</v>
      </c>
      <c r="I460" s="3" t="s">
        <v>3099</v>
      </c>
    </row>
    <row r="461">
      <c r="A461" s="20" t="s">
        <v>5525</v>
      </c>
      <c r="B461" s="3" t="s">
        <v>5526</v>
      </c>
      <c r="C461" s="3" t="s">
        <v>5527</v>
      </c>
      <c r="D461" s="3" t="s">
        <v>5528</v>
      </c>
      <c r="E461" s="3" t="s">
        <v>5529</v>
      </c>
      <c r="F461" s="3" t="s">
        <v>5530</v>
      </c>
      <c r="G461" s="3" t="s">
        <v>3054</v>
      </c>
      <c r="H461" s="21" t="s">
        <v>5531</v>
      </c>
      <c r="I461" s="3" t="s">
        <v>3361</v>
      </c>
    </row>
    <row r="462">
      <c r="A462" s="20" t="s">
        <v>5532</v>
      </c>
      <c r="B462" s="3" t="s">
        <v>1242</v>
      </c>
      <c r="C462" s="3" t="s">
        <v>5533</v>
      </c>
      <c r="D462" s="3" t="s">
        <v>5534</v>
      </c>
      <c r="E462" s="3" t="s">
        <v>3235</v>
      </c>
      <c r="F462" s="3" t="s">
        <v>5535</v>
      </c>
      <c r="G462" s="3" t="s">
        <v>3054</v>
      </c>
      <c r="H462" s="21" t="s">
        <v>5536</v>
      </c>
      <c r="I462" s="3" t="s">
        <v>3099</v>
      </c>
    </row>
    <row r="463">
      <c r="A463" s="20" t="s">
        <v>5537</v>
      </c>
      <c r="B463" s="3" t="s">
        <v>793</v>
      </c>
      <c r="C463" s="3" t="s">
        <v>5538</v>
      </c>
      <c r="D463" s="3" t="s">
        <v>5539</v>
      </c>
      <c r="E463" s="3" t="s">
        <v>3052</v>
      </c>
      <c r="F463" s="3" t="s">
        <v>5540</v>
      </c>
      <c r="G463" s="3" t="s">
        <v>3054</v>
      </c>
      <c r="H463" s="3" t="s">
        <v>3054</v>
      </c>
      <c r="I463" s="3" t="s">
        <v>3491</v>
      </c>
    </row>
    <row r="464">
      <c r="A464" s="20" t="s">
        <v>5541</v>
      </c>
      <c r="B464" s="3" t="s">
        <v>5542</v>
      </c>
      <c r="C464" s="3" t="s">
        <v>5543</v>
      </c>
      <c r="D464" s="3" t="s">
        <v>5544</v>
      </c>
      <c r="E464" s="3" t="s">
        <v>3052</v>
      </c>
      <c r="F464" s="3" t="s">
        <v>5545</v>
      </c>
      <c r="G464" s="3" t="s">
        <v>3054</v>
      </c>
      <c r="H464" s="21" t="s">
        <v>5546</v>
      </c>
      <c r="I464" s="3" t="s">
        <v>3491</v>
      </c>
    </row>
    <row r="465">
      <c r="A465" s="20" t="s">
        <v>5547</v>
      </c>
      <c r="B465" s="3" t="s">
        <v>5548</v>
      </c>
      <c r="C465" s="4"/>
      <c r="D465" s="3" t="s">
        <v>3115</v>
      </c>
      <c r="E465" s="3" t="s">
        <v>3116</v>
      </c>
      <c r="F465" s="4"/>
      <c r="G465" s="3" t="s">
        <v>3054</v>
      </c>
      <c r="H465" s="3" t="s">
        <v>3054</v>
      </c>
      <c r="I465" s="3" t="s">
        <v>3054</v>
      </c>
    </row>
    <row r="466">
      <c r="A466" s="20" t="s">
        <v>5549</v>
      </c>
      <c r="B466" s="3" t="s">
        <v>5550</v>
      </c>
      <c r="C466" s="3" t="s">
        <v>5551</v>
      </c>
      <c r="D466" s="3" t="s">
        <v>5552</v>
      </c>
      <c r="E466" s="3" t="s">
        <v>3052</v>
      </c>
      <c r="F466" s="3" t="s">
        <v>5553</v>
      </c>
      <c r="G466" s="3" t="s">
        <v>3054</v>
      </c>
      <c r="H466" s="4"/>
      <c r="I466" s="3" t="s">
        <v>3099</v>
      </c>
    </row>
    <row r="467">
      <c r="A467" s="20" t="s">
        <v>5554</v>
      </c>
      <c r="B467" s="3" t="s">
        <v>5555</v>
      </c>
      <c r="C467" s="3" t="s">
        <v>5556</v>
      </c>
      <c r="D467" s="3" t="s">
        <v>5557</v>
      </c>
      <c r="E467" s="3" t="s">
        <v>3052</v>
      </c>
      <c r="F467" s="3" t="s">
        <v>5558</v>
      </c>
      <c r="G467" s="3" t="s">
        <v>5559</v>
      </c>
      <c r="H467" s="21" t="s">
        <v>5560</v>
      </c>
      <c r="I467" s="3" t="s">
        <v>3076</v>
      </c>
    </row>
    <row r="468">
      <c r="A468" s="20" t="s">
        <v>5561</v>
      </c>
      <c r="B468" s="3" t="s">
        <v>5562</v>
      </c>
      <c r="C468" s="3" t="s">
        <v>5563</v>
      </c>
      <c r="D468" s="3" t="s">
        <v>5564</v>
      </c>
      <c r="E468" s="3" t="s">
        <v>3235</v>
      </c>
      <c r="F468" s="3" t="s">
        <v>5565</v>
      </c>
      <c r="G468" s="3" t="s">
        <v>3054</v>
      </c>
      <c r="H468" s="21" t="s">
        <v>5566</v>
      </c>
      <c r="I468" s="3" t="s">
        <v>3230</v>
      </c>
    </row>
    <row r="469">
      <c r="A469" s="20" t="s">
        <v>5567</v>
      </c>
      <c r="B469" s="3" t="s">
        <v>5568</v>
      </c>
      <c r="C469" s="3" t="s">
        <v>5569</v>
      </c>
      <c r="D469" s="3" t="s">
        <v>5570</v>
      </c>
      <c r="E469" s="3" t="s">
        <v>3096</v>
      </c>
      <c r="F469" s="3" t="s">
        <v>5571</v>
      </c>
      <c r="G469" s="3" t="s">
        <v>3054</v>
      </c>
      <c r="H469" s="21" t="s">
        <v>5572</v>
      </c>
      <c r="I469" s="3" t="s">
        <v>3137</v>
      </c>
    </row>
    <row r="470">
      <c r="A470" s="20" t="s">
        <v>5573</v>
      </c>
      <c r="B470" s="3" t="s">
        <v>5574</v>
      </c>
      <c r="C470" s="3" t="s">
        <v>5575</v>
      </c>
      <c r="D470" s="3" t="s">
        <v>5576</v>
      </c>
      <c r="E470" s="3" t="s">
        <v>3052</v>
      </c>
      <c r="F470" s="3" t="s">
        <v>5577</v>
      </c>
      <c r="G470" s="3" t="s">
        <v>3054</v>
      </c>
      <c r="H470" s="3" t="s">
        <v>3054</v>
      </c>
      <c r="I470" s="3" t="s">
        <v>3069</v>
      </c>
    </row>
    <row r="471">
      <c r="A471" s="20" t="s">
        <v>5578</v>
      </c>
      <c r="B471" s="3" t="s">
        <v>5579</v>
      </c>
      <c r="C471" s="3" t="s">
        <v>5580</v>
      </c>
      <c r="D471" s="3" t="s">
        <v>5581</v>
      </c>
      <c r="E471" s="3" t="s">
        <v>3096</v>
      </c>
      <c r="F471" s="3" t="s">
        <v>5582</v>
      </c>
      <c r="G471" s="3" t="s">
        <v>3054</v>
      </c>
      <c r="H471" s="21" t="s">
        <v>5583</v>
      </c>
      <c r="I471" s="3" t="s">
        <v>3061</v>
      </c>
    </row>
    <row r="472">
      <c r="A472" s="20" t="s">
        <v>5584</v>
      </c>
      <c r="B472" s="3" t="s">
        <v>5585</v>
      </c>
      <c r="C472" s="3" t="s">
        <v>5586</v>
      </c>
      <c r="D472" s="3" t="s">
        <v>5587</v>
      </c>
      <c r="E472" s="3" t="s">
        <v>3073</v>
      </c>
      <c r="F472" s="3" t="s">
        <v>5588</v>
      </c>
      <c r="G472" s="3" t="s">
        <v>3054</v>
      </c>
      <c r="H472" s="21" t="s">
        <v>5589</v>
      </c>
      <c r="I472" s="3" t="s">
        <v>3099</v>
      </c>
    </row>
    <row r="473">
      <c r="A473" s="20" t="s">
        <v>5590</v>
      </c>
      <c r="B473" s="3" t="s">
        <v>5591</v>
      </c>
      <c r="C473" s="3" t="s">
        <v>5592</v>
      </c>
      <c r="D473" s="3" t="s">
        <v>5593</v>
      </c>
      <c r="E473" s="3" t="s">
        <v>3073</v>
      </c>
      <c r="F473" s="3" t="s">
        <v>5594</v>
      </c>
      <c r="G473" s="3" t="s">
        <v>3054</v>
      </c>
      <c r="H473" s="21" t="s">
        <v>5595</v>
      </c>
      <c r="I473" s="3" t="s">
        <v>3076</v>
      </c>
    </row>
    <row r="474">
      <c r="A474" s="20" t="s">
        <v>5596</v>
      </c>
      <c r="B474" s="3" t="s">
        <v>5597</v>
      </c>
      <c r="C474" s="3" t="s">
        <v>5598</v>
      </c>
      <c r="D474" s="3" t="s">
        <v>5599</v>
      </c>
      <c r="E474" s="3" t="s">
        <v>3052</v>
      </c>
      <c r="F474" s="3" t="s">
        <v>5600</v>
      </c>
      <c r="G474" s="3" t="s">
        <v>5601</v>
      </c>
      <c r="H474" s="3" t="s">
        <v>3054</v>
      </c>
      <c r="I474" s="3" t="s">
        <v>3186</v>
      </c>
    </row>
    <row r="475">
      <c r="A475" s="20" t="s">
        <v>5602</v>
      </c>
      <c r="B475" s="3" t="s">
        <v>5603</v>
      </c>
      <c r="C475" s="3" t="s">
        <v>5604</v>
      </c>
      <c r="D475" s="3" t="s">
        <v>5605</v>
      </c>
      <c r="E475" s="3" t="s">
        <v>4984</v>
      </c>
      <c r="F475" s="3" t="s">
        <v>5606</v>
      </c>
      <c r="G475" s="3" t="s">
        <v>5607</v>
      </c>
      <c r="H475" s="3" t="s">
        <v>3054</v>
      </c>
      <c r="I475" s="3" t="s">
        <v>3076</v>
      </c>
    </row>
    <row r="476">
      <c r="A476" s="20" t="s">
        <v>5608</v>
      </c>
      <c r="B476" s="3" t="s">
        <v>5609</v>
      </c>
      <c r="C476" s="3" t="s">
        <v>5610</v>
      </c>
      <c r="D476" s="3" t="s">
        <v>5611</v>
      </c>
      <c r="E476" s="3" t="s">
        <v>3235</v>
      </c>
      <c r="F476" s="3" t="s">
        <v>5612</v>
      </c>
      <c r="G476" s="3" t="s">
        <v>4121</v>
      </c>
      <c r="H476" s="21" t="s">
        <v>4386</v>
      </c>
      <c r="I476" s="3" t="s">
        <v>3186</v>
      </c>
    </row>
    <row r="477">
      <c r="A477" s="20" t="s">
        <v>5613</v>
      </c>
      <c r="B477" s="3" t="s">
        <v>5614</v>
      </c>
      <c r="C477" s="3" t="s">
        <v>5615</v>
      </c>
      <c r="D477" s="3" t="s">
        <v>5616</v>
      </c>
      <c r="E477" s="3" t="s">
        <v>4984</v>
      </c>
      <c r="F477" s="3" t="s">
        <v>5617</v>
      </c>
      <c r="G477" s="3" t="s">
        <v>3054</v>
      </c>
      <c r="H477" s="21" t="s">
        <v>5618</v>
      </c>
      <c r="I477" s="3" t="s">
        <v>3099</v>
      </c>
    </row>
    <row r="478">
      <c r="A478" s="20" t="s">
        <v>5619</v>
      </c>
      <c r="B478" s="3" t="s">
        <v>5620</v>
      </c>
      <c r="C478" s="3" t="s">
        <v>5621</v>
      </c>
      <c r="D478" s="3" t="s">
        <v>5622</v>
      </c>
      <c r="E478" s="3" t="s">
        <v>3235</v>
      </c>
      <c r="F478" s="3" t="s">
        <v>5623</v>
      </c>
      <c r="G478" s="3" t="s">
        <v>3054</v>
      </c>
      <c r="H478" s="3" t="s">
        <v>3054</v>
      </c>
      <c r="I478" s="3" t="s">
        <v>3137</v>
      </c>
    </row>
    <row r="479">
      <c r="A479" s="20" t="s">
        <v>5624</v>
      </c>
      <c r="B479" s="3" t="s">
        <v>5625</v>
      </c>
      <c r="C479" s="3" t="s">
        <v>5626</v>
      </c>
      <c r="D479" s="3" t="s">
        <v>3214</v>
      </c>
      <c r="E479" s="3" t="s">
        <v>3052</v>
      </c>
      <c r="F479" s="3" t="s">
        <v>5627</v>
      </c>
      <c r="G479" s="3" t="s">
        <v>3054</v>
      </c>
      <c r="H479" s="21" t="s">
        <v>5628</v>
      </c>
      <c r="I479" s="3" t="s">
        <v>3099</v>
      </c>
    </row>
    <row r="480">
      <c r="A480" s="20" t="s">
        <v>5629</v>
      </c>
      <c r="B480" s="3" t="s">
        <v>5630</v>
      </c>
      <c r="C480" s="3" t="s">
        <v>5631</v>
      </c>
      <c r="D480" s="3" t="s">
        <v>5632</v>
      </c>
      <c r="E480" s="3" t="s">
        <v>3052</v>
      </c>
      <c r="F480" s="3" t="s">
        <v>5633</v>
      </c>
      <c r="G480" s="3" t="s">
        <v>3054</v>
      </c>
      <c r="H480" s="21" t="s">
        <v>5634</v>
      </c>
      <c r="I480" s="3" t="s">
        <v>3099</v>
      </c>
    </row>
    <row r="481">
      <c r="A481" s="20" t="s">
        <v>5635</v>
      </c>
      <c r="B481" s="3" t="s">
        <v>5636</v>
      </c>
      <c r="C481" s="3" t="s">
        <v>5637</v>
      </c>
      <c r="D481" s="3" t="s">
        <v>5638</v>
      </c>
      <c r="E481" s="3" t="s">
        <v>3096</v>
      </c>
      <c r="F481" s="3" t="s">
        <v>5639</v>
      </c>
      <c r="G481" s="3" t="s">
        <v>3054</v>
      </c>
      <c r="H481" s="21" t="s">
        <v>5640</v>
      </c>
      <c r="I481" s="3" t="s">
        <v>3099</v>
      </c>
    </row>
    <row r="482">
      <c r="A482" s="20" t="s">
        <v>5641</v>
      </c>
      <c r="B482" s="3" t="s">
        <v>5642</v>
      </c>
      <c r="C482" s="3" t="s">
        <v>5643</v>
      </c>
      <c r="D482" s="3" t="s">
        <v>5644</v>
      </c>
      <c r="E482" s="3" t="s">
        <v>3066</v>
      </c>
      <c r="F482" s="3" t="s">
        <v>5645</v>
      </c>
      <c r="G482" s="3" t="s">
        <v>3054</v>
      </c>
      <c r="H482" s="21" t="s">
        <v>5646</v>
      </c>
      <c r="I482" s="3" t="s">
        <v>3099</v>
      </c>
    </row>
    <row r="483">
      <c r="A483" s="20" t="s">
        <v>5647</v>
      </c>
      <c r="B483" s="3" t="s">
        <v>5648</v>
      </c>
      <c r="C483" s="3" t="s">
        <v>5649</v>
      </c>
      <c r="D483" s="3" t="s">
        <v>5650</v>
      </c>
      <c r="E483" s="3" t="s">
        <v>4136</v>
      </c>
      <c r="F483" s="3" t="s">
        <v>5651</v>
      </c>
      <c r="G483" s="3" t="s">
        <v>5652</v>
      </c>
      <c r="H483" s="4"/>
      <c r="I483" s="3" t="s">
        <v>3491</v>
      </c>
    </row>
    <row r="484">
      <c r="A484" s="20" t="s">
        <v>5653</v>
      </c>
      <c r="B484" s="3" t="s">
        <v>5654</v>
      </c>
      <c r="C484" s="4"/>
      <c r="D484" s="3" t="s">
        <v>3115</v>
      </c>
      <c r="E484" s="3" t="s">
        <v>3116</v>
      </c>
      <c r="F484" s="4"/>
      <c r="G484" s="3" t="s">
        <v>3054</v>
      </c>
      <c r="H484" s="3" t="s">
        <v>3054</v>
      </c>
      <c r="I484" s="3" t="s">
        <v>3054</v>
      </c>
    </row>
    <row r="485">
      <c r="A485" s="20" t="s">
        <v>5655</v>
      </c>
      <c r="B485" s="3" t="s">
        <v>5656</v>
      </c>
      <c r="C485" s="3" t="s">
        <v>5657</v>
      </c>
      <c r="D485" s="3" t="s">
        <v>5658</v>
      </c>
      <c r="E485" s="3" t="s">
        <v>3905</v>
      </c>
      <c r="F485" s="3" t="s">
        <v>5659</v>
      </c>
      <c r="G485" s="3" t="s">
        <v>3054</v>
      </c>
      <c r="H485" s="3" t="s">
        <v>3054</v>
      </c>
      <c r="I485" s="3" t="s">
        <v>3099</v>
      </c>
    </row>
    <row r="486">
      <c r="A486" s="20" t="s">
        <v>5660</v>
      </c>
      <c r="B486" s="3" t="s">
        <v>5661</v>
      </c>
      <c r="C486" s="4"/>
      <c r="D486" s="3" t="s">
        <v>3115</v>
      </c>
      <c r="E486" s="3" t="s">
        <v>3116</v>
      </c>
      <c r="F486" s="4"/>
      <c r="G486" s="3" t="s">
        <v>3054</v>
      </c>
      <c r="H486" s="3" t="s">
        <v>3054</v>
      </c>
      <c r="I486" s="3" t="s">
        <v>3054</v>
      </c>
    </row>
    <row r="487">
      <c r="A487" s="20" t="s">
        <v>5662</v>
      </c>
      <c r="B487" s="3" t="s">
        <v>5663</v>
      </c>
      <c r="C487" s="3" t="s">
        <v>5664</v>
      </c>
      <c r="D487" s="3" t="s">
        <v>5665</v>
      </c>
      <c r="E487" s="3" t="s">
        <v>3052</v>
      </c>
      <c r="F487" s="3" t="s">
        <v>5666</v>
      </c>
      <c r="G487" s="3" t="s">
        <v>5667</v>
      </c>
      <c r="H487" s="4"/>
      <c r="I487" s="3" t="s">
        <v>3061</v>
      </c>
    </row>
    <row r="488">
      <c r="A488" s="20" t="s">
        <v>5668</v>
      </c>
      <c r="B488" s="3" t="s">
        <v>5669</v>
      </c>
      <c r="C488" s="3" t="s">
        <v>5670</v>
      </c>
      <c r="D488" s="3" t="s">
        <v>5671</v>
      </c>
      <c r="E488" s="3" t="s">
        <v>3052</v>
      </c>
      <c r="F488" s="3" t="s">
        <v>5672</v>
      </c>
      <c r="G488" s="3" t="s">
        <v>3054</v>
      </c>
      <c r="H488" s="21" t="s">
        <v>5673</v>
      </c>
      <c r="I488" s="3" t="s">
        <v>3061</v>
      </c>
    </row>
    <row r="489">
      <c r="A489" s="20" t="s">
        <v>5674</v>
      </c>
      <c r="B489" s="3" t="s">
        <v>5675</v>
      </c>
      <c r="C489" s="3" t="s">
        <v>5676</v>
      </c>
      <c r="D489" s="3" t="s">
        <v>5677</v>
      </c>
      <c r="E489" s="3" t="s">
        <v>3052</v>
      </c>
      <c r="F489" s="3" t="s">
        <v>5678</v>
      </c>
      <c r="G489" s="3" t="s">
        <v>5679</v>
      </c>
      <c r="H489" s="3" t="s">
        <v>3054</v>
      </c>
      <c r="I489" s="3" t="s">
        <v>3123</v>
      </c>
    </row>
    <row r="490">
      <c r="A490" s="20" t="s">
        <v>5680</v>
      </c>
      <c r="B490" s="3" t="s">
        <v>5681</v>
      </c>
      <c r="C490" s="4"/>
      <c r="D490" s="3" t="s">
        <v>3115</v>
      </c>
      <c r="E490" s="3" t="s">
        <v>3116</v>
      </c>
      <c r="F490" s="4"/>
      <c r="G490" s="3" t="s">
        <v>3054</v>
      </c>
      <c r="H490" s="3" t="s">
        <v>3054</v>
      </c>
      <c r="I490" s="3" t="s">
        <v>3054</v>
      </c>
    </row>
    <row r="491">
      <c r="A491" s="20" t="s">
        <v>5682</v>
      </c>
      <c r="B491" s="3" t="s">
        <v>5683</v>
      </c>
      <c r="C491" s="3" t="s">
        <v>5684</v>
      </c>
      <c r="D491" s="3" t="s">
        <v>5685</v>
      </c>
      <c r="E491" s="3" t="s">
        <v>3052</v>
      </c>
      <c r="F491" s="3" t="s">
        <v>5686</v>
      </c>
      <c r="G491" s="3" t="s">
        <v>3054</v>
      </c>
      <c r="H491" s="21" t="s">
        <v>5687</v>
      </c>
      <c r="I491" s="3" t="s">
        <v>3061</v>
      </c>
    </row>
    <row r="492">
      <c r="A492" s="20" t="s">
        <v>5688</v>
      </c>
      <c r="B492" s="3" t="s">
        <v>2810</v>
      </c>
      <c r="C492" s="3" t="s">
        <v>5689</v>
      </c>
      <c r="D492" s="3" t="s">
        <v>5690</v>
      </c>
      <c r="E492" s="3" t="s">
        <v>3073</v>
      </c>
      <c r="F492" s="3" t="s">
        <v>5691</v>
      </c>
      <c r="G492" s="3" t="s">
        <v>3054</v>
      </c>
      <c r="H492" s="3" t="s">
        <v>3054</v>
      </c>
      <c r="I492" s="3" t="s">
        <v>3099</v>
      </c>
    </row>
    <row r="493">
      <c r="A493" s="20" t="s">
        <v>5692</v>
      </c>
      <c r="B493" s="3" t="s">
        <v>5693</v>
      </c>
      <c r="C493" s="3" t="s">
        <v>5694</v>
      </c>
      <c r="D493" s="3" t="s">
        <v>5695</v>
      </c>
      <c r="E493" s="3" t="s">
        <v>3066</v>
      </c>
      <c r="F493" s="3" t="s">
        <v>5696</v>
      </c>
      <c r="G493" s="3" t="s">
        <v>3054</v>
      </c>
      <c r="H493" s="4"/>
      <c r="I493" s="3" t="s">
        <v>3061</v>
      </c>
    </row>
    <row r="494">
      <c r="A494" s="20" t="s">
        <v>5697</v>
      </c>
      <c r="B494" s="3" t="s">
        <v>5698</v>
      </c>
      <c r="C494" s="3" t="s">
        <v>5699</v>
      </c>
      <c r="D494" s="3" t="s">
        <v>5700</v>
      </c>
      <c r="E494" s="3" t="s">
        <v>3052</v>
      </c>
      <c r="F494" s="3" t="s">
        <v>5701</v>
      </c>
      <c r="G494" s="3" t="s">
        <v>3054</v>
      </c>
      <c r="H494" s="21" t="s">
        <v>5702</v>
      </c>
      <c r="I494" s="3" t="s">
        <v>3099</v>
      </c>
    </row>
    <row r="495">
      <c r="A495" s="20" t="s">
        <v>5703</v>
      </c>
      <c r="B495" s="3" t="s">
        <v>5704</v>
      </c>
      <c r="C495" s="3" t="s">
        <v>5705</v>
      </c>
      <c r="D495" s="3" t="s">
        <v>5706</v>
      </c>
      <c r="E495" s="3" t="s">
        <v>3235</v>
      </c>
      <c r="F495" s="3" t="s">
        <v>5707</v>
      </c>
      <c r="G495" s="3" t="s">
        <v>3054</v>
      </c>
      <c r="H495" s="3" t="s">
        <v>3054</v>
      </c>
      <c r="I495" s="3" t="s">
        <v>3076</v>
      </c>
    </row>
    <row r="496">
      <c r="A496" s="20" t="s">
        <v>5708</v>
      </c>
      <c r="B496" s="3" t="s">
        <v>5709</v>
      </c>
      <c r="C496" s="3" t="s">
        <v>5710</v>
      </c>
      <c r="D496" s="3" t="s">
        <v>5711</v>
      </c>
      <c r="E496" s="3" t="s">
        <v>3177</v>
      </c>
      <c r="F496" s="3" t="s">
        <v>5712</v>
      </c>
      <c r="G496" s="3" t="s">
        <v>5713</v>
      </c>
      <c r="H496" s="21" t="s">
        <v>5714</v>
      </c>
      <c r="I496" s="3" t="s">
        <v>3076</v>
      </c>
    </row>
    <row r="497">
      <c r="A497" s="20" t="s">
        <v>5715</v>
      </c>
      <c r="B497" s="3" t="s">
        <v>5716</v>
      </c>
      <c r="C497" s="3" t="s">
        <v>5717</v>
      </c>
      <c r="D497" s="3" t="s">
        <v>3115</v>
      </c>
      <c r="E497" s="3" t="s">
        <v>3116</v>
      </c>
      <c r="F497" s="4"/>
      <c r="G497" s="3" t="s">
        <v>5718</v>
      </c>
      <c r="H497" s="3" t="s">
        <v>3054</v>
      </c>
      <c r="I497" s="3" t="s">
        <v>3054</v>
      </c>
    </row>
    <row r="498">
      <c r="A498" s="20" t="s">
        <v>5719</v>
      </c>
      <c r="B498" s="3" t="s">
        <v>5720</v>
      </c>
      <c r="C498" s="3" t="s">
        <v>5721</v>
      </c>
      <c r="D498" s="3" t="s">
        <v>5722</v>
      </c>
      <c r="E498" s="3" t="s">
        <v>4491</v>
      </c>
      <c r="F498" s="3" t="s">
        <v>5723</v>
      </c>
      <c r="G498" s="3" t="s">
        <v>5724</v>
      </c>
      <c r="H498" s="21" t="s">
        <v>5725</v>
      </c>
      <c r="I498" s="3" t="s">
        <v>3061</v>
      </c>
    </row>
    <row r="499">
      <c r="A499" s="20" t="s">
        <v>5726</v>
      </c>
      <c r="B499" s="3" t="s">
        <v>5727</v>
      </c>
      <c r="C499" s="3" t="s">
        <v>5728</v>
      </c>
      <c r="D499" s="3" t="s">
        <v>5729</v>
      </c>
      <c r="E499" s="3" t="s">
        <v>3052</v>
      </c>
      <c r="F499" s="3" t="s">
        <v>5730</v>
      </c>
      <c r="G499" s="3" t="s">
        <v>3054</v>
      </c>
      <c r="H499" s="21" t="s">
        <v>5731</v>
      </c>
      <c r="I499" s="3" t="s">
        <v>3099</v>
      </c>
    </row>
    <row r="500">
      <c r="A500" s="20" t="s">
        <v>5732</v>
      </c>
      <c r="B500" s="3" t="s">
        <v>5733</v>
      </c>
      <c r="C500" s="3" t="s">
        <v>5734</v>
      </c>
      <c r="D500" s="3" t="s">
        <v>5735</v>
      </c>
      <c r="E500" s="3" t="s">
        <v>3052</v>
      </c>
      <c r="F500" s="3" t="s">
        <v>5736</v>
      </c>
      <c r="G500" s="3" t="s">
        <v>3054</v>
      </c>
      <c r="H500" s="21" t="s">
        <v>5737</v>
      </c>
      <c r="I500" s="3" t="s">
        <v>3099</v>
      </c>
    </row>
    <row r="501">
      <c r="A501" s="20" t="s">
        <v>5738</v>
      </c>
      <c r="B501" s="3" t="s">
        <v>5739</v>
      </c>
      <c r="C501" s="4"/>
      <c r="D501" s="3" t="s">
        <v>3115</v>
      </c>
      <c r="E501" s="3" t="s">
        <v>3116</v>
      </c>
      <c r="F501" s="4"/>
      <c r="G501" s="3" t="s">
        <v>3054</v>
      </c>
      <c r="H501" s="3" t="s">
        <v>3054</v>
      </c>
      <c r="I501" s="3" t="s">
        <v>3054</v>
      </c>
    </row>
    <row r="502">
      <c r="A502" s="20" t="s">
        <v>5740</v>
      </c>
      <c r="B502" s="3" t="s">
        <v>5741</v>
      </c>
      <c r="C502" s="3" t="s">
        <v>5742</v>
      </c>
      <c r="D502" s="3" t="s">
        <v>5743</v>
      </c>
      <c r="E502" s="3" t="s">
        <v>5744</v>
      </c>
      <c r="F502" s="3" t="s">
        <v>5745</v>
      </c>
      <c r="G502" s="3" t="s">
        <v>3054</v>
      </c>
      <c r="H502" s="21" t="s">
        <v>5746</v>
      </c>
      <c r="I502" s="3" t="s">
        <v>3076</v>
      </c>
    </row>
    <row r="503">
      <c r="A503" s="20" t="s">
        <v>5747</v>
      </c>
      <c r="B503" s="3" t="s">
        <v>5748</v>
      </c>
      <c r="C503" s="3" t="s">
        <v>5749</v>
      </c>
      <c r="D503" s="3" t="s">
        <v>5750</v>
      </c>
      <c r="E503" s="3" t="s">
        <v>3177</v>
      </c>
      <c r="F503" s="3" t="s">
        <v>5751</v>
      </c>
      <c r="G503" s="3" t="s">
        <v>3054</v>
      </c>
      <c r="H503" s="3" t="s">
        <v>3054</v>
      </c>
      <c r="I503" s="3" t="s">
        <v>3076</v>
      </c>
    </row>
    <row r="504">
      <c r="A504" s="20" t="s">
        <v>5752</v>
      </c>
      <c r="B504" s="3" t="s">
        <v>5753</v>
      </c>
      <c r="C504" s="3" t="s">
        <v>5754</v>
      </c>
      <c r="D504" s="3" t="s">
        <v>5755</v>
      </c>
      <c r="E504" s="3" t="s">
        <v>3052</v>
      </c>
      <c r="F504" s="3" t="s">
        <v>5756</v>
      </c>
      <c r="G504" s="3" t="s">
        <v>3054</v>
      </c>
      <c r="H504" s="21" t="s">
        <v>5757</v>
      </c>
      <c r="I504" s="3" t="s">
        <v>3361</v>
      </c>
    </row>
    <row r="505">
      <c r="A505" s="20" t="s">
        <v>5758</v>
      </c>
      <c r="B505" s="3" t="s">
        <v>5759</v>
      </c>
      <c r="C505" s="3" t="s">
        <v>5760</v>
      </c>
      <c r="D505" s="3" t="s">
        <v>5761</v>
      </c>
      <c r="E505" s="3" t="s">
        <v>3052</v>
      </c>
      <c r="F505" s="3" t="s">
        <v>5762</v>
      </c>
      <c r="G505" s="3" t="s">
        <v>3054</v>
      </c>
      <c r="H505" s="21" t="s">
        <v>5763</v>
      </c>
      <c r="I505" s="3" t="s">
        <v>3099</v>
      </c>
    </row>
    <row r="506">
      <c r="A506" s="20" t="s">
        <v>5764</v>
      </c>
      <c r="B506" s="3" t="s">
        <v>5765</v>
      </c>
      <c r="C506" s="3" t="s">
        <v>5766</v>
      </c>
      <c r="D506" s="3" t="s">
        <v>5767</v>
      </c>
      <c r="E506" s="3" t="s">
        <v>3052</v>
      </c>
      <c r="F506" s="3" t="s">
        <v>5768</v>
      </c>
      <c r="G506" s="3" t="s">
        <v>5769</v>
      </c>
      <c r="H506" s="21" t="s">
        <v>5770</v>
      </c>
      <c r="I506" s="3" t="s">
        <v>3069</v>
      </c>
    </row>
    <row r="507">
      <c r="A507" s="20" t="s">
        <v>5771</v>
      </c>
      <c r="B507" s="3" t="s">
        <v>5772</v>
      </c>
      <c r="C507" s="4"/>
      <c r="D507" s="3" t="s">
        <v>3115</v>
      </c>
      <c r="E507" s="3" t="s">
        <v>3116</v>
      </c>
      <c r="F507" s="4"/>
      <c r="G507" s="3" t="s">
        <v>3054</v>
      </c>
      <c r="H507" s="3" t="s">
        <v>3054</v>
      </c>
      <c r="I507" s="3" t="s">
        <v>3054</v>
      </c>
    </row>
    <row r="508">
      <c r="A508" s="20" t="s">
        <v>5773</v>
      </c>
      <c r="B508" s="3" t="s">
        <v>5774</v>
      </c>
      <c r="C508" s="3" t="s">
        <v>5775</v>
      </c>
      <c r="D508" s="3" t="s">
        <v>5776</v>
      </c>
      <c r="E508" s="3" t="s">
        <v>3052</v>
      </c>
      <c r="F508" s="3" t="s">
        <v>5777</v>
      </c>
      <c r="G508" s="3" t="s">
        <v>5778</v>
      </c>
      <c r="H508" s="21" t="s">
        <v>5779</v>
      </c>
      <c r="I508" s="3" t="s">
        <v>3099</v>
      </c>
    </row>
    <row r="509">
      <c r="A509" s="20" t="s">
        <v>5780</v>
      </c>
      <c r="B509" s="3" t="s">
        <v>5781</v>
      </c>
      <c r="C509" s="3" t="s">
        <v>5782</v>
      </c>
      <c r="D509" s="3" t="s">
        <v>5783</v>
      </c>
      <c r="E509" s="3" t="s">
        <v>3905</v>
      </c>
      <c r="F509" s="3" t="s">
        <v>5784</v>
      </c>
      <c r="G509" s="3" t="s">
        <v>3054</v>
      </c>
      <c r="H509" s="21" t="s">
        <v>5785</v>
      </c>
      <c r="I509" s="3" t="s">
        <v>3099</v>
      </c>
    </row>
    <row r="510">
      <c r="A510" s="20" t="s">
        <v>5786</v>
      </c>
      <c r="B510" s="3" t="s">
        <v>5787</v>
      </c>
      <c r="C510" s="3" t="s">
        <v>5788</v>
      </c>
      <c r="D510" s="3" t="s">
        <v>5789</v>
      </c>
      <c r="E510" s="3" t="s">
        <v>3403</v>
      </c>
      <c r="F510" s="3" t="s">
        <v>5790</v>
      </c>
      <c r="G510" s="3" t="s">
        <v>3054</v>
      </c>
      <c r="H510" s="21" t="s">
        <v>5791</v>
      </c>
      <c r="I510" s="3" t="s">
        <v>3076</v>
      </c>
    </row>
    <row r="511">
      <c r="A511" s="20" t="s">
        <v>5792</v>
      </c>
      <c r="B511" s="3" t="s">
        <v>5793</v>
      </c>
      <c r="C511" s="3" t="s">
        <v>5794</v>
      </c>
      <c r="D511" s="3" t="s">
        <v>5795</v>
      </c>
      <c r="E511" s="3" t="s">
        <v>3052</v>
      </c>
      <c r="F511" s="3" t="s">
        <v>5796</v>
      </c>
      <c r="G511" s="3" t="s">
        <v>5797</v>
      </c>
      <c r="H511" s="21" t="s">
        <v>5798</v>
      </c>
      <c r="I511" s="3" t="s">
        <v>3137</v>
      </c>
    </row>
    <row r="512">
      <c r="A512" s="20" t="s">
        <v>5799</v>
      </c>
      <c r="B512" s="3" t="s">
        <v>5800</v>
      </c>
      <c r="C512" s="3" t="s">
        <v>5801</v>
      </c>
      <c r="D512" s="3" t="s">
        <v>5802</v>
      </c>
      <c r="E512" s="3" t="s">
        <v>3096</v>
      </c>
      <c r="F512" s="3" t="s">
        <v>5803</v>
      </c>
      <c r="G512" s="3" t="s">
        <v>3054</v>
      </c>
      <c r="H512" s="21" t="s">
        <v>5804</v>
      </c>
      <c r="I512" s="3" t="s">
        <v>3099</v>
      </c>
    </row>
    <row r="513">
      <c r="A513" s="20" t="s">
        <v>5805</v>
      </c>
      <c r="B513" s="3" t="s">
        <v>2978</v>
      </c>
      <c r="C513" s="3" t="s">
        <v>5806</v>
      </c>
      <c r="D513" s="3" t="s">
        <v>5807</v>
      </c>
      <c r="E513" s="3" t="s">
        <v>3052</v>
      </c>
      <c r="F513" s="3" t="s">
        <v>5808</v>
      </c>
      <c r="G513" s="3" t="s">
        <v>3054</v>
      </c>
      <c r="H513" s="21" t="s">
        <v>5809</v>
      </c>
      <c r="I513" s="3" t="s">
        <v>3099</v>
      </c>
    </row>
    <row r="514">
      <c r="A514" s="20" t="s">
        <v>5810</v>
      </c>
      <c r="B514" s="3" t="s">
        <v>5811</v>
      </c>
      <c r="C514" s="3" t="s">
        <v>5812</v>
      </c>
      <c r="D514" s="3" t="s">
        <v>5813</v>
      </c>
      <c r="E514" s="3" t="s">
        <v>3096</v>
      </c>
      <c r="F514" s="3" t="s">
        <v>5814</v>
      </c>
      <c r="G514" s="3" t="s">
        <v>5815</v>
      </c>
      <c r="H514" s="3" t="s">
        <v>3054</v>
      </c>
      <c r="I514" s="3" t="s">
        <v>3186</v>
      </c>
    </row>
    <row r="515">
      <c r="A515" s="20" t="s">
        <v>5816</v>
      </c>
      <c r="B515" s="3" t="s">
        <v>5817</v>
      </c>
      <c r="C515" s="3" t="s">
        <v>5818</v>
      </c>
      <c r="D515" s="3" t="s">
        <v>5819</v>
      </c>
      <c r="E515" s="3" t="s">
        <v>3222</v>
      </c>
      <c r="F515" s="3" t="s">
        <v>5820</v>
      </c>
      <c r="G515" s="3" t="s">
        <v>5821</v>
      </c>
      <c r="H515" s="21" t="s">
        <v>5822</v>
      </c>
      <c r="I515" s="3" t="s">
        <v>3123</v>
      </c>
    </row>
    <row r="516">
      <c r="A516" s="20" t="s">
        <v>5823</v>
      </c>
      <c r="B516" s="3" t="s">
        <v>5824</v>
      </c>
      <c r="C516" s="3" t="s">
        <v>5825</v>
      </c>
      <c r="D516" s="3" t="s">
        <v>5826</v>
      </c>
      <c r="E516" s="3" t="s">
        <v>3052</v>
      </c>
      <c r="F516" s="3" t="s">
        <v>5827</v>
      </c>
      <c r="G516" s="3" t="s">
        <v>5828</v>
      </c>
      <c r="H516" s="21" t="s">
        <v>5829</v>
      </c>
      <c r="I516" s="3" t="s">
        <v>3099</v>
      </c>
    </row>
    <row r="517">
      <c r="A517" s="20" t="s">
        <v>5830</v>
      </c>
      <c r="B517" s="3" t="s">
        <v>849</v>
      </c>
      <c r="C517" s="3" t="s">
        <v>5831</v>
      </c>
      <c r="D517" s="3" t="s">
        <v>5832</v>
      </c>
      <c r="E517" s="3" t="s">
        <v>3052</v>
      </c>
      <c r="F517" s="3" t="s">
        <v>5833</v>
      </c>
      <c r="G517" s="3" t="s">
        <v>3054</v>
      </c>
      <c r="H517" s="21" t="s">
        <v>5834</v>
      </c>
      <c r="I517" s="3" t="s">
        <v>3123</v>
      </c>
    </row>
    <row r="518">
      <c r="A518" s="20" t="s">
        <v>5835</v>
      </c>
      <c r="B518" s="3" t="s">
        <v>5836</v>
      </c>
      <c r="C518" s="3" t="s">
        <v>5837</v>
      </c>
      <c r="D518" s="3" t="s">
        <v>5838</v>
      </c>
      <c r="E518" s="3" t="s">
        <v>3052</v>
      </c>
      <c r="F518" s="3" t="s">
        <v>5839</v>
      </c>
      <c r="G518" s="3" t="s">
        <v>3054</v>
      </c>
      <c r="H518" s="21" t="s">
        <v>5840</v>
      </c>
      <c r="I518" s="3" t="s">
        <v>3099</v>
      </c>
    </row>
    <row r="519">
      <c r="A519" s="20" t="s">
        <v>5841</v>
      </c>
      <c r="B519" s="3" t="s">
        <v>5842</v>
      </c>
      <c r="C519" s="3" t="s">
        <v>5843</v>
      </c>
      <c r="D519" s="3" t="s">
        <v>5844</v>
      </c>
      <c r="E519" s="3" t="s">
        <v>3089</v>
      </c>
      <c r="F519" s="3" t="s">
        <v>5845</v>
      </c>
      <c r="G519" s="3" t="s">
        <v>3054</v>
      </c>
      <c r="H519" s="3" t="s">
        <v>3054</v>
      </c>
      <c r="I519" s="3" t="s">
        <v>3230</v>
      </c>
    </row>
    <row r="520">
      <c r="A520" s="20" t="s">
        <v>5846</v>
      </c>
      <c r="B520" s="3" t="s">
        <v>5847</v>
      </c>
      <c r="C520" s="3" t="s">
        <v>5848</v>
      </c>
      <c r="D520" s="3" t="s">
        <v>5849</v>
      </c>
      <c r="E520" s="3" t="s">
        <v>3052</v>
      </c>
      <c r="F520" s="3" t="s">
        <v>5850</v>
      </c>
      <c r="G520" s="3" t="s">
        <v>3054</v>
      </c>
      <c r="H520" s="21" t="s">
        <v>5851</v>
      </c>
      <c r="I520" s="3" t="s">
        <v>3061</v>
      </c>
    </row>
    <row r="521">
      <c r="A521" s="20" t="s">
        <v>5852</v>
      </c>
      <c r="B521" s="3" t="s">
        <v>5853</v>
      </c>
      <c r="C521" s="3" t="s">
        <v>5854</v>
      </c>
      <c r="D521" s="3" t="s">
        <v>5855</v>
      </c>
      <c r="E521" s="3" t="s">
        <v>3052</v>
      </c>
      <c r="F521" s="3" t="s">
        <v>5856</v>
      </c>
      <c r="G521" s="3" t="s">
        <v>3054</v>
      </c>
      <c r="H521" s="21" t="s">
        <v>5857</v>
      </c>
      <c r="I521" s="3" t="s">
        <v>3491</v>
      </c>
    </row>
    <row r="522">
      <c r="A522" s="20" t="s">
        <v>5858</v>
      </c>
      <c r="B522" s="3" t="s">
        <v>5859</v>
      </c>
      <c r="C522" s="3" t="s">
        <v>5860</v>
      </c>
      <c r="D522" s="3" t="s">
        <v>5861</v>
      </c>
      <c r="E522" s="3" t="s">
        <v>3096</v>
      </c>
      <c r="F522" s="3" t="s">
        <v>5862</v>
      </c>
      <c r="G522" s="3" t="s">
        <v>3054</v>
      </c>
      <c r="H522" s="4"/>
      <c r="I522" s="3" t="s">
        <v>3137</v>
      </c>
    </row>
    <row r="523">
      <c r="A523" s="20" t="s">
        <v>5863</v>
      </c>
      <c r="B523" s="3" t="s">
        <v>5864</v>
      </c>
      <c r="C523" s="3" t="s">
        <v>5865</v>
      </c>
      <c r="D523" s="3" t="s">
        <v>5866</v>
      </c>
      <c r="E523" s="3" t="s">
        <v>3073</v>
      </c>
      <c r="F523" s="3" t="s">
        <v>5867</v>
      </c>
      <c r="G523" s="3" t="s">
        <v>3054</v>
      </c>
      <c r="H523" s="3" t="s">
        <v>3054</v>
      </c>
      <c r="I523" s="3" t="s">
        <v>3099</v>
      </c>
    </row>
    <row r="524">
      <c r="A524" s="20" t="s">
        <v>5868</v>
      </c>
      <c r="B524" s="3" t="s">
        <v>5869</v>
      </c>
      <c r="C524" s="3" t="s">
        <v>5870</v>
      </c>
      <c r="D524" s="3" t="s">
        <v>5871</v>
      </c>
      <c r="E524" s="3" t="s">
        <v>3052</v>
      </c>
      <c r="F524" s="3" t="s">
        <v>5872</v>
      </c>
      <c r="G524" s="3" t="s">
        <v>3054</v>
      </c>
      <c r="H524" s="21" t="s">
        <v>5873</v>
      </c>
      <c r="I524" s="3" t="s">
        <v>3186</v>
      </c>
    </row>
    <row r="525">
      <c r="A525" s="20" t="s">
        <v>5874</v>
      </c>
      <c r="B525" s="3" t="s">
        <v>5875</v>
      </c>
      <c r="C525" s="3" t="s">
        <v>5876</v>
      </c>
      <c r="D525" s="3" t="s">
        <v>5877</v>
      </c>
      <c r="E525" s="3" t="s">
        <v>3260</v>
      </c>
      <c r="F525" s="3" t="s">
        <v>5878</v>
      </c>
      <c r="G525" s="3" t="s">
        <v>5879</v>
      </c>
      <c r="H525" s="3" t="s">
        <v>3054</v>
      </c>
      <c r="I525" s="3" t="s">
        <v>3054</v>
      </c>
    </row>
    <row r="526">
      <c r="A526" s="20" t="s">
        <v>5880</v>
      </c>
      <c r="B526" s="3" t="s">
        <v>5881</v>
      </c>
      <c r="C526" s="3" t="s">
        <v>5882</v>
      </c>
      <c r="D526" s="3" t="s">
        <v>5883</v>
      </c>
      <c r="E526" s="3" t="s">
        <v>3177</v>
      </c>
      <c r="F526" s="3" t="s">
        <v>5884</v>
      </c>
      <c r="G526" s="3" t="s">
        <v>3054</v>
      </c>
      <c r="H526" s="3" t="s">
        <v>3054</v>
      </c>
      <c r="I526" s="3" t="s">
        <v>3069</v>
      </c>
    </row>
    <row r="527">
      <c r="A527" s="20" t="s">
        <v>5885</v>
      </c>
      <c r="B527" s="3" t="s">
        <v>5886</v>
      </c>
      <c r="C527" s="3" t="s">
        <v>5887</v>
      </c>
      <c r="D527" s="3" t="s">
        <v>5888</v>
      </c>
      <c r="E527" s="3" t="s">
        <v>3052</v>
      </c>
      <c r="F527" s="3" t="s">
        <v>5889</v>
      </c>
      <c r="G527" s="3" t="s">
        <v>3054</v>
      </c>
      <c r="H527" s="21" t="s">
        <v>5890</v>
      </c>
      <c r="I527" s="3" t="s">
        <v>3230</v>
      </c>
    </row>
    <row r="528">
      <c r="A528" s="20" t="s">
        <v>5891</v>
      </c>
      <c r="B528" s="3" t="s">
        <v>1899</v>
      </c>
      <c r="C528" s="3" t="s">
        <v>5892</v>
      </c>
      <c r="D528" s="3" t="s">
        <v>5893</v>
      </c>
      <c r="E528" s="3" t="s">
        <v>3403</v>
      </c>
      <c r="F528" s="3" t="s">
        <v>5894</v>
      </c>
      <c r="G528" s="3" t="s">
        <v>3054</v>
      </c>
      <c r="H528" s="21" t="s">
        <v>5895</v>
      </c>
      <c r="I528" s="3" t="s">
        <v>3099</v>
      </c>
    </row>
    <row r="529">
      <c r="A529" s="20" t="s">
        <v>5896</v>
      </c>
      <c r="B529" s="3" t="s">
        <v>979</v>
      </c>
      <c r="C529" s="3" t="s">
        <v>5897</v>
      </c>
      <c r="D529" s="3" t="s">
        <v>5898</v>
      </c>
      <c r="E529" s="3" t="s">
        <v>3343</v>
      </c>
      <c r="F529" s="3" t="s">
        <v>5899</v>
      </c>
      <c r="G529" s="3" t="s">
        <v>3054</v>
      </c>
      <c r="H529" s="4"/>
      <c r="I529" s="3" t="s">
        <v>3099</v>
      </c>
    </row>
    <row r="530">
      <c r="A530" s="20" t="s">
        <v>5900</v>
      </c>
      <c r="B530" s="3" t="s">
        <v>5901</v>
      </c>
      <c r="C530" s="3" t="s">
        <v>5902</v>
      </c>
      <c r="D530" s="3" t="s">
        <v>5903</v>
      </c>
      <c r="E530" s="3" t="s">
        <v>3905</v>
      </c>
      <c r="F530" s="3" t="s">
        <v>5904</v>
      </c>
      <c r="G530" s="3" t="s">
        <v>3054</v>
      </c>
      <c r="H530" s="21" t="s">
        <v>5905</v>
      </c>
      <c r="I530" s="3" t="s">
        <v>3099</v>
      </c>
    </row>
    <row r="531">
      <c r="A531" s="20" t="s">
        <v>5906</v>
      </c>
      <c r="B531" s="3" t="s">
        <v>5907</v>
      </c>
      <c r="C531" s="3" t="s">
        <v>5908</v>
      </c>
      <c r="D531" s="3" t="s">
        <v>5909</v>
      </c>
      <c r="E531" s="3" t="s">
        <v>3096</v>
      </c>
      <c r="F531" s="3" t="s">
        <v>5910</v>
      </c>
      <c r="G531" s="3" t="s">
        <v>5911</v>
      </c>
      <c r="H531" s="4"/>
      <c r="I531" s="3" t="s">
        <v>3069</v>
      </c>
    </row>
    <row r="532">
      <c r="A532" s="20" t="s">
        <v>5912</v>
      </c>
      <c r="B532" s="3" t="s">
        <v>1782</v>
      </c>
      <c r="C532" s="3" t="s">
        <v>5913</v>
      </c>
      <c r="D532" s="3" t="s">
        <v>5914</v>
      </c>
      <c r="E532" s="3" t="s">
        <v>3052</v>
      </c>
      <c r="F532" s="3" t="s">
        <v>5915</v>
      </c>
      <c r="G532" s="3" t="s">
        <v>3054</v>
      </c>
      <c r="H532" s="21" t="s">
        <v>5916</v>
      </c>
      <c r="I532" s="3" t="s">
        <v>3186</v>
      </c>
    </row>
    <row r="533">
      <c r="A533" s="20" t="s">
        <v>5917</v>
      </c>
      <c r="B533" s="3" t="s">
        <v>5918</v>
      </c>
      <c r="C533" s="3" t="s">
        <v>5919</v>
      </c>
      <c r="D533" s="3" t="s">
        <v>5920</v>
      </c>
      <c r="E533" s="3" t="s">
        <v>5921</v>
      </c>
      <c r="F533" s="3" t="s">
        <v>5922</v>
      </c>
      <c r="G533" s="3" t="s">
        <v>3054</v>
      </c>
      <c r="H533" s="21" t="s">
        <v>5923</v>
      </c>
      <c r="I533" s="3" t="s">
        <v>3076</v>
      </c>
    </row>
    <row r="534">
      <c r="A534" s="20" t="s">
        <v>5924</v>
      </c>
      <c r="B534" s="3" t="s">
        <v>5925</v>
      </c>
      <c r="C534" s="3" t="s">
        <v>5926</v>
      </c>
      <c r="D534" s="3" t="s">
        <v>3115</v>
      </c>
      <c r="E534" s="3" t="s">
        <v>3116</v>
      </c>
      <c r="F534" s="4"/>
      <c r="G534" s="3" t="s">
        <v>5927</v>
      </c>
      <c r="H534" s="3" t="s">
        <v>3054</v>
      </c>
      <c r="I534" s="3" t="s">
        <v>3123</v>
      </c>
    </row>
    <row r="535">
      <c r="A535" s="20" t="s">
        <v>5928</v>
      </c>
      <c r="B535" s="3" t="s">
        <v>5929</v>
      </c>
      <c r="C535" s="3" t="s">
        <v>5930</v>
      </c>
      <c r="D535" s="3" t="s">
        <v>5931</v>
      </c>
      <c r="E535" s="3" t="s">
        <v>3052</v>
      </c>
      <c r="F535" s="3" t="s">
        <v>5932</v>
      </c>
      <c r="G535" s="3" t="s">
        <v>5933</v>
      </c>
      <c r="H535" s="21" t="s">
        <v>5934</v>
      </c>
      <c r="I535" s="3" t="s">
        <v>3099</v>
      </c>
    </row>
    <row r="536">
      <c r="A536" s="20" t="s">
        <v>5935</v>
      </c>
      <c r="B536" s="3" t="s">
        <v>1678</v>
      </c>
      <c r="C536" s="3" t="s">
        <v>5936</v>
      </c>
      <c r="D536" s="3" t="s">
        <v>4967</v>
      </c>
      <c r="E536" s="3" t="s">
        <v>3052</v>
      </c>
      <c r="F536" s="3" t="s">
        <v>5937</v>
      </c>
      <c r="G536" s="3" t="s">
        <v>3054</v>
      </c>
      <c r="H536" s="21" t="s">
        <v>5938</v>
      </c>
      <c r="I536" s="3" t="s">
        <v>3123</v>
      </c>
    </row>
    <row r="537">
      <c r="A537" s="20" t="s">
        <v>5939</v>
      </c>
      <c r="B537" s="3" t="s">
        <v>5940</v>
      </c>
      <c r="C537" s="3" t="s">
        <v>5941</v>
      </c>
      <c r="D537" s="3" t="s">
        <v>5942</v>
      </c>
      <c r="E537" s="3" t="s">
        <v>3177</v>
      </c>
      <c r="F537" s="3" t="s">
        <v>5943</v>
      </c>
      <c r="G537" s="3" t="s">
        <v>3054</v>
      </c>
      <c r="H537" s="4"/>
      <c r="I537" s="3" t="s">
        <v>3061</v>
      </c>
    </row>
    <row r="538">
      <c r="A538" s="20" t="s">
        <v>5944</v>
      </c>
      <c r="B538" s="3" t="s">
        <v>2951</v>
      </c>
      <c r="C538" s="3" t="s">
        <v>5945</v>
      </c>
      <c r="D538" s="3" t="s">
        <v>5946</v>
      </c>
      <c r="E538" s="3" t="s">
        <v>3052</v>
      </c>
      <c r="F538" s="3" t="s">
        <v>5947</v>
      </c>
      <c r="G538" s="3" t="s">
        <v>3054</v>
      </c>
      <c r="H538" s="21" t="s">
        <v>5948</v>
      </c>
      <c r="I538" s="3" t="s">
        <v>3076</v>
      </c>
    </row>
    <row r="539">
      <c r="A539" s="20" t="s">
        <v>5949</v>
      </c>
      <c r="B539" s="3" t="s">
        <v>5950</v>
      </c>
      <c r="C539" s="3" t="s">
        <v>5951</v>
      </c>
      <c r="D539" s="3" t="s">
        <v>5952</v>
      </c>
      <c r="E539" s="3" t="s">
        <v>3403</v>
      </c>
      <c r="F539" s="3" t="s">
        <v>5953</v>
      </c>
      <c r="G539" s="3" t="s">
        <v>3054</v>
      </c>
      <c r="H539" s="21" t="s">
        <v>5954</v>
      </c>
      <c r="I539" s="3" t="s">
        <v>3061</v>
      </c>
    </row>
    <row r="540">
      <c r="A540" s="20" t="s">
        <v>5955</v>
      </c>
      <c r="B540" s="3" t="s">
        <v>5956</v>
      </c>
      <c r="C540" s="4"/>
      <c r="D540" s="3" t="s">
        <v>3115</v>
      </c>
      <c r="E540" s="3" t="s">
        <v>3116</v>
      </c>
      <c r="F540" s="4"/>
      <c r="G540" s="3" t="s">
        <v>3054</v>
      </c>
      <c r="H540" s="3" t="s">
        <v>3054</v>
      </c>
      <c r="I540" s="3" t="s">
        <v>3054</v>
      </c>
    </row>
    <row r="541">
      <c r="A541" s="20" t="s">
        <v>5957</v>
      </c>
      <c r="B541" s="3" t="s">
        <v>5958</v>
      </c>
      <c r="C541" s="3" t="s">
        <v>5959</v>
      </c>
      <c r="D541" s="3" t="s">
        <v>5960</v>
      </c>
      <c r="E541" s="3" t="s">
        <v>3052</v>
      </c>
      <c r="F541" s="3" t="s">
        <v>5961</v>
      </c>
      <c r="G541" s="3" t="s">
        <v>5962</v>
      </c>
      <c r="H541" s="21" t="s">
        <v>5963</v>
      </c>
      <c r="I541" s="3" t="s">
        <v>3137</v>
      </c>
    </row>
    <row r="542">
      <c r="A542" s="20" t="s">
        <v>5964</v>
      </c>
      <c r="B542" s="3" t="s">
        <v>5965</v>
      </c>
      <c r="C542" s="3" t="s">
        <v>5966</v>
      </c>
      <c r="D542" s="3" t="s">
        <v>5967</v>
      </c>
      <c r="E542" s="3" t="s">
        <v>3052</v>
      </c>
      <c r="F542" s="3" t="s">
        <v>5968</v>
      </c>
      <c r="G542" s="3" t="s">
        <v>3054</v>
      </c>
      <c r="H542" s="21" t="s">
        <v>5969</v>
      </c>
      <c r="I542" s="3" t="s">
        <v>3491</v>
      </c>
    </row>
    <row r="543">
      <c r="A543" s="20" t="s">
        <v>5970</v>
      </c>
      <c r="B543" s="3" t="s">
        <v>5971</v>
      </c>
      <c r="C543" s="3" t="s">
        <v>5972</v>
      </c>
      <c r="D543" s="3" t="s">
        <v>5973</v>
      </c>
      <c r="E543" s="3" t="s">
        <v>3052</v>
      </c>
      <c r="F543" s="3" t="s">
        <v>5974</v>
      </c>
      <c r="G543" s="3" t="s">
        <v>5975</v>
      </c>
      <c r="H543" s="21" t="s">
        <v>5976</v>
      </c>
      <c r="I543" s="3" t="s">
        <v>3076</v>
      </c>
    </row>
    <row r="544">
      <c r="A544" s="20" t="s">
        <v>5977</v>
      </c>
      <c r="B544" s="3" t="s">
        <v>5978</v>
      </c>
      <c r="C544" s="3" t="s">
        <v>5979</v>
      </c>
      <c r="D544" s="3" t="s">
        <v>5980</v>
      </c>
      <c r="E544" s="3" t="s">
        <v>3403</v>
      </c>
      <c r="F544" s="3" t="s">
        <v>5981</v>
      </c>
      <c r="G544" s="3" t="s">
        <v>3054</v>
      </c>
      <c r="H544" s="3" t="s">
        <v>3054</v>
      </c>
      <c r="I544" s="3" t="s">
        <v>3137</v>
      </c>
    </row>
    <row r="545">
      <c r="A545" s="20" t="s">
        <v>5982</v>
      </c>
      <c r="B545" s="3" t="s">
        <v>5983</v>
      </c>
      <c r="C545" s="3" t="s">
        <v>5984</v>
      </c>
      <c r="D545" s="3" t="s">
        <v>5985</v>
      </c>
      <c r="E545" s="3" t="s">
        <v>3403</v>
      </c>
      <c r="F545" s="3" t="s">
        <v>5986</v>
      </c>
      <c r="G545" s="3" t="s">
        <v>3054</v>
      </c>
      <c r="H545" s="21" t="s">
        <v>5987</v>
      </c>
      <c r="I545" s="3" t="s">
        <v>3186</v>
      </c>
    </row>
    <row r="546">
      <c r="A546" s="20" t="s">
        <v>5988</v>
      </c>
      <c r="B546" s="3" t="s">
        <v>5989</v>
      </c>
      <c r="C546" s="3" t="s">
        <v>5990</v>
      </c>
      <c r="D546" s="3" t="s">
        <v>5991</v>
      </c>
      <c r="E546" s="3" t="s">
        <v>3052</v>
      </c>
      <c r="F546" s="3" t="s">
        <v>5992</v>
      </c>
      <c r="G546" s="3" t="s">
        <v>3054</v>
      </c>
      <c r="H546" s="21" t="s">
        <v>5993</v>
      </c>
      <c r="I546" s="3" t="s">
        <v>3123</v>
      </c>
    </row>
    <row r="547">
      <c r="A547" s="20" t="s">
        <v>5994</v>
      </c>
      <c r="B547" s="3" t="s">
        <v>981</v>
      </c>
      <c r="C547" s="3" t="s">
        <v>5995</v>
      </c>
      <c r="D547" s="3" t="s">
        <v>3115</v>
      </c>
      <c r="E547" s="3" t="s">
        <v>3116</v>
      </c>
      <c r="F547" s="4"/>
      <c r="G547" s="3" t="s">
        <v>3054</v>
      </c>
      <c r="H547" s="3" t="s">
        <v>3054</v>
      </c>
      <c r="I547" s="3" t="s">
        <v>3061</v>
      </c>
    </row>
    <row r="548">
      <c r="A548" s="20" t="s">
        <v>5996</v>
      </c>
      <c r="B548" s="3" t="s">
        <v>5997</v>
      </c>
      <c r="C548" s="4"/>
      <c r="D548" s="3" t="s">
        <v>3115</v>
      </c>
      <c r="E548" s="3" t="s">
        <v>3116</v>
      </c>
      <c r="F548" s="4"/>
      <c r="G548" s="3" t="s">
        <v>3054</v>
      </c>
      <c r="H548" s="3" t="s">
        <v>3054</v>
      </c>
      <c r="I548" s="3" t="s">
        <v>3054</v>
      </c>
    </row>
    <row r="549">
      <c r="A549" s="20" t="s">
        <v>5998</v>
      </c>
      <c r="B549" s="3" t="s">
        <v>5999</v>
      </c>
      <c r="C549" s="3" t="s">
        <v>6000</v>
      </c>
      <c r="D549" s="3" t="s">
        <v>6001</v>
      </c>
      <c r="E549" s="3" t="s">
        <v>3052</v>
      </c>
      <c r="F549" s="3" t="s">
        <v>6002</v>
      </c>
      <c r="G549" s="3" t="s">
        <v>6003</v>
      </c>
      <c r="H549" s="3" t="s">
        <v>3054</v>
      </c>
      <c r="I549" s="3" t="s">
        <v>3099</v>
      </c>
    </row>
    <row r="550">
      <c r="A550" s="20" t="s">
        <v>6004</v>
      </c>
      <c r="B550" s="3" t="s">
        <v>6005</v>
      </c>
      <c r="C550" s="3" t="s">
        <v>6006</v>
      </c>
      <c r="D550" s="3" t="s">
        <v>6007</v>
      </c>
      <c r="E550" s="3" t="s">
        <v>3073</v>
      </c>
      <c r="F550" s="3" t="s">
        <v>6008</v>
      </c>
      <c r="G550" s="3" t="s">
        <v>3054</v>
      </c>
      <c r="H550" s="21" t="s">
        <v>6009</v>
      </c>
      <c r="I550" s="3" t="s">
        <v>3099</v>
      </c>
    </row>
    <row r="551">
      <c r="A551" s="20" t="s">
        <v>6010</v>
      </c>
      <c r="B551" s="3" t="s">
        <v>6011</v>
      </c>
      <c r="C551" s="4"/>
      <c r="D551" s="3" t="s">
        <v>3115</v>
      </c>
      <c r="E551" s="3" t="s">
        <v>3116</v>
      </c>
      <c r="F551" s="4"/>
      <c r="G551" s="3" t="s">
        <v>3054</v>
      </c>
      <c r="H551" s="3" t="s">
        <v>3054</v>
      </c>
      <c r="I551" s="3" t="s">
        <v>3054</v>
      </c>
    </row>
    <row r="552">
      <c r="A552" s="20" t="s">
        <v>6012</v>
      </c>
      <c r="B552" s="3" t="s">
        <v>6013</v>
      </c>
      <c r="C552" s="3" t="s">
        <v>6014</v>
      </c>
      <c r="D552" s="3" t="s">
        <v>6015</v>
      </c>
      <c r="E552" s="3" t="s">
        <v>3403</v>
      </c>
      <c r="F552" s="3" t="s">
        <v>4006</v>
      </c>
      <c r="G552" s="3" t="s">
        <v>6016</v>
      </c>
      <c r="H552" s="21" t="s">
        <v>6017</v>
      </c>
      <c r="I552" s="3" t="s">
        <v>3076</v>
      </c>
    </row>
    <row r="553">
      <c r="A553" s="20" t="s">
        <v>6018</v>
      </c>
      <c r="B553" s="3" t="s">
        <v>6019</v>
      </c>
      <c r="C553" s="4"/>
      <c r="D553" s="3" t="s">
        <v>3115</v>
      </c>
      <c r="E553" s="3" t="s">
        <v>3116</v>
      </c>
      <c r="F553" s="4"/>
      <c r="G553" s="3" t="s">
        <v>3054</v>
      </c>
      <c r="H553" s="3" t="s">
        <v>3054</v>
      </c>
      <c r="I553" s="3" t="s">
        <v>3054</v>
      </c>
    </row>
    <row r="554">
      <c r="A554" s="20" t="s">
        <v>6020</v>
      </c>
      <c r="B554" s="3" t="s">
        <v>6021</v>
      </c>
      <c r="C554" s="3" t="s">
        <v>6022</v>
      </c>
      <c r="D554" s="3" t="s">
        <v>6023</v>
      </c>
      <c r="E554" s="3" t="s">
        <v>6024</v>
      </c>
      <c r="F554" s="3" t="s">
        <v>6025</v>
      </c>
      <c r="G554" s="3" t="s">
        <v>3054</v>
      </c>
      <c r="H554" s="3" t="s">
        <v>3054</v>
      </c>
      <c r="I554" s="3" t="s">
        <v>3099</v>
      </c>
    </row>
    <row r="555">
      <c r="A555" s="20" t="s">
        <v>6026</v>
      </c>
      <c r="B555" s="3" t="s">
        <v>6027</v>
      </c>
      <c r="C555" s="3" t="s">
        <v>6028</v>
      </c>
      <c r="D555" s="3" t="s">
        <v>6029</v>
      </c>
      <c r="E555" s="3" t="s">
        <v>3096</v>
      </c>
      <c r="F555" s="3" t="s">
        <v>6030</v>
      </c>
      <c r="G555" s="3" t="s">
        <v>3054</v>
      </c>
      <c r="H555" s="21" t="s">
        <v>6031</v>
      </c>
      <c r="I555" s="3" t="s">
        <v>3099</v>
      </c>
    </row>
    <row r="556">
      <c r="A556" s="20" t="s">
        <v>6032</v>
      </c>
      <c r="B556" s="3" t="s">
        <v>6033</v>
      </c>
      <c r="C556" s="3" t="s">
        <v>6034</v>
      </c>
      <c r="D556" s="3" t="s">
        <v>6035</v>
      </c>
      <c r="E556" s="3" t="s">
        <v>3235</v>
      </c>
      <c r="F556" s="3" t="s">
        <v>6036</v>
      </c>
      <c r="G556" s="3" t="s">
        <v>6037</v>
      </c>
      <c r="H556" s="21" t="s">
        <v>6038</v>
      </c>
      <c r="I556" s="3" t="s">
        <v>3137</v>
      </c>
    </row>
    <row r="557">
      <c r="A557" s="20" t="s">
        <v>6039</v>
      </c>
      <c r="B557" s="3" t="s">
        <v>177</v>
      </c>
      <c r="C557" s="3" t="s">
        <v>6040</v>
      </c>
      <c r="D557" s="3" t="s">
        <v>6041</v>
      </c>
      <c r="E557" s="3" t="s">
        <v>3052</v>
      </c>
      <c r="F557" s="3" t="s">
        <v>6042</v>
      </c>
      <c r="G557" s="3" t="s">
        <v>3054</v>
      </c>
      <c r="H557" s="4"/>
      <c r="I557" s="3" t="s">
        <v>3076</v>
      </c>
    </row>
    <row r="558">
      <c r="A558" s="20" t="s">
        <v>6043</v>
      </c>
      <c r="B558" s="3" t="s">
        <v>6044</v>
      </c>
      <c r="C558" s="3" t="s">
        <v>6045</v>
      </c>
      <c r="D558" s="3" t="s">
        <v>6046</v>
      </c>
      <c r="E558" s="3" t="s">
        <v>3403</v>
      </c>
      <c r="F558" s="3" t="s">
        <v>6047</v>
      </c>
      <c r="G558" s="3" t="s">
        <v>6048</v>
      </c>
      <c r="H558" s="21" t="s">
        <v>6049</v>
      </c>
      <c r="I558" s="3" t="s">
        <v>3491</v>
      </c>
    </row>
    <row r="559">
      <c r="A559" s="20" t="s">
        <v>6050</v>
      </c>
      <c r="B559" s="3" t="s">
        <v>2741</v>
      </c>
      <c r="C559" s="3" t="s">
        <v>6051</v>
      </c>
      <c r="D559" s="3" t="s">
        <v>6052</v>
      </c>
      <c r="E559" s="3" t="s">
        <v>3073</v>
      </c>
      <c r="F559" s="3" t="s">
        <v>6053</v>
      </c>
      <c r="G559" s="3" t="s">
        <v>3054</v>
      </c>
      <c r="H559" s="3" t="s">
        <v>3054</v>
      </c>
      <c r="I559" s="3" t="s">
        <v>3123</v>
      </c>
    </row>
    <row r="560">
      <c r="A560" s="20" t="s">
        <v>6054</v>
      </c>
      <c r="B560" s="3" t="s">
        <v>6055</v>
      </c>
      <c r="C560" s="3" t="s">
        <v>6056</v>
      </c>
      <c r="D560" s="3" t="s">
        <v>6057</v>
      </c>
      <c r="E560" s="3" t="s">
        <v>3073</v>
      </c>
      <c r="F560" s="3" t="s">
        <v>6058</v>
      </c>
      <c r="G560" s="3" t="s">
        <v>6059</v>
      </c>
      <c r="H560" s="3" t="s">
        <v>3054</v>
      </c>
      <c r="I560" s="3" t="s">
        <v>3099</v>
      </c>
    </row>
    <row r="561">
      <c r="A561" s="20" t="s">
        <v>6060</v>
      </c>
      <c r="B561" s="3" t="s">
        <v>988</v>
      </c>
      <c r="C561" s="3" t="s">
        <v>6061</v>
      </c>
      <c r="D561" s="3" t="s">
        <v>6062</v>
      </c>
      <c r="E561" s="3" t="s">
        <v>3235</v>
      </c>
      <c r="F561" s="3" t="s">
        <v>6063</v>
      </c>
      <c r="G561" s="3" t="s">
        <v>6064</v>
      </c>
      <c r="H561" s="21" t="s">
        <v>6065</v>
      </c>
      <c r="I561" s="3" t="s">
        <v>3099</v>
      </c>
    </row>
    <row r="562">
      <c r="A562" s="20" t="s">
        <v>6066</v>
      </c>
      <c r="B562" s="3" t="s">
        <v>1467</v>
      </c>
      <c r="C562" s="3" t="s">
        <v>6067</v>
      </c>
      <c r="D562" s="3" t="s">
        <v>6068</v>
      </c>
      <c r="E562" s="3" t="s">
        <v>3052</v>
      </c>
      <c r="F562" s="3" t="s">
        <v>6069</v>
      </c>
      <c r="G562" s="3" t="s">
        <v>3054</v>
      </c>
      <c r="H562" s="21" t="s">
        <v>6070</v>
      </c>
      <c r="I562" s="3" t="s">
        <v>3099</v>
      </c>
    </row>
    <row r="563">
      <c r="A563" s="20" t="s">
        <v>6071</v>
      </c>
      <c r="B563" s="3" t="s">
        <v>1497</v>
      </c>
      <c r="C563" s="3" t="s">
        <v>6072</v>
      </c>
      <c r="D563" s="3" t="s">
        <v>6073</v>
      </c>
      <c r="E563" s="3" t="s">
        <v>3073</v>
      </c>
      <c r="F563" s="3" t="s">
        <v>6074</v>
      </c>
      <c r="G563" s="3" t="s">
        <v>3054</v>
      </c>
      <c r="H563" s="21" t="s">
        <v>6075</v>
      </c>
      <c r="I563" s="3" t="s">
        <v>3099</v>
      </c>
    </row>
    <row r="564">
      <c r="A564" s="20" t="s">
        <v>6076</v>
      </c>
      <c r="B564" s="3" t="s">
        <v>6077</v>
      </c>
      <c r="C564" s="3" t="s">
        <v>6078</v>
      </c>
      <c r="D564" s="3" t="s">
        <v>6079</v>
      </c>
      <c r="E564" s="3" t="s">
        <v>3073</v>
      </c>
      <c r="F564" s="3" t="s">
        <v>6080</v>
      </c>
      <c r="G564" s="3" t="s">
        <v>3054</v>
      </c>
      <c r="H564" s="21" t="s">
        <v>6081</v>
      </c>
      <c r="I564" s="3" t="s">
        <v>3186</v>
      </c>
    </row>
    <row r="565">
      <c r="A565" s="20" t="s">
        <v>6082</v>
      </c>
      <c r="B565" s="3" t="s">
        <v>6083</v>
      </c>
      <c r="C565" s="4"/>
      <c r="D565" s="3" t="s">
        <v>3115</v>
      </c>
      <c r="E565" s="3" t="s">
        <v>3116</v>
      </c>
      <c r="F565" s="4"/>
      <c r="G565" s="3" t="s">
        <v>3054</v>
      </c>
      <c r="H565" s="3" t="s">
        <v>3054</v>
      </c>
      <c r="I565" s="3" t="s">
        <v>3054</v>
      </c>
    </row>
    <row r="566">
      <c r="A566" s="20" t="s">
        <v>6084</v>
      </c>
      <c r="B566" s="3" t="s">
        <v>6085</v>
      </c>
      <c r="C566" s="3" t="s">
        <v>6086</v>
      </c>
      <c r="D566" s="3" t="s">
        <v>6087</v>
      </c>
      <c r="E566" s="3" t="s">
        <v>3096</v>
      </c>
      <c r="F566" s="3" t="s">
        <v>6088</v>
      </c>
      <c r="G566" s="3" t="s">
        <v>3054</v>
      </c>
      <c r="H566" s="3" t="s">
        <v>3054</v>
      </c>
      <c r="I566" s="3" t="s">
        <v>3061</v>
      </c>
    </row>
    <row r="567">
      <c r="A567" s="20" t="s">
        <v>6089</v>
      </c>
      <c r="B567" s="3" t="s">
        <v>1322</v>
      </c>
      <c r="C567" s="3" t="s">
        <v>6090</v>
      </c>
      <c r="D567" s="3" t="s">
        <v>5053</v>
      </c>
      <c r="E567" s="3" t="s">
        <v>3073</v>
      </c>
      <c r="F567" s="3" t="s">
        <v>6091</v>
      </c>
      <c r="G567" s="3" t="s">
        <v>6092</v>
      </c>
      <c r="H567" s="21" t="s">
        <v>6093</v>
      </c>
      <c r="I567" s="3" t="s">
        <v>3061</v>
      </c>
    </row>
    <row r="568">
      <c r="A568" s="20" t="s">
        <v>6094</v>
      </c>
      <c r="B568" s="3" t="s">
        <v>6095</v>
      </c>
      <c r="C568" s="3" t="s">
        <v>6096</v>
      </c>
      <c r="D568" s="3" t="s">
        <v>6097</v>
      </c>
      <c r="E568" s="3" t="s">
        <v>3235</v>
      </c>
      <c r="F568" s="3" t="s">
        <v>6098</v>
      </c>
      <c r="G568" s="3" t="s">
        <v>3054</v>
      </c>
      <c r="H568" s="3" t="s">
        <v>6099</v>
      </c>
      <c r="I568" s="3" t="s">
        <v>3123</v>
      </c>
    </row>
    <row r="569">
      <c r="A569" s="20" t="s">
        <v>6100</v>
      </c>
      <c r="B569" s="3" t="s">
        <v>6101</v>
      </c>
      <c r="C569" s="3" t="s">
        <v>6102</v>
      </c>
      <c r="D569" s="3" t="s">
        <v>6103</v>
      </c>
      <c r="E569" s="3" t="s">
        <v>3052</v>
      </c>
      <c r="F569" s="3" t="s">
        <v>6104</v>
      </c>
      <c r="G569" s="3" t="s">
        <v>3054</v>
      </c>
      <c r="H569" s="21" t="s">
        <v>6105</v>
      </c>
      <c r="I569" s="3" t="s">
        <v>3186</v>
      </c>
    </row>
    <row r="570">
      <c r="A570" s="20" t="s">
        <v>6106</v>
      </c>
      <c r="B570" s="3" t="s">
        <v>6107</v>
      </c>
      <c r="C570" s="3" t="s">
        <v>6108</v>
      </c>
      <c r="D570" s="3" t="s">
        <v>6109</v>
      </c>
      <c r="E570" s="3" t="s">
        <v>3403</v>
      </c>
      <c r="F570" s="3" t="s">
        <v>6110</v>
      </c>
      <c r="G570" s="3" t="s">
        <v>6111</v>
      </c>
      <c r="H570" s="21" t="s">
        <v>6112</v>
      </c>
      <c r="I570" s="3" t="s">
        <v>3137</v>
      </c>
    </row>
    <row r="571">
      <c r="A571" s="20" t="s">
        <v>6113</v>
      </c>
      <c r="B571" s="3" t="s">
        <v>6114</v>
      </c>
      <c r="C571" s="3" t="s">
        <v>6115</v>
      </c>
      <c r="D571" s="3" t="s">
        <v>6116</v>
      </c>
      <c r="E571" s="3" t="s">
        <v>3052</v>
      </c>
      <c r="F571" s="3" t="s">
        <v>6117</v>
      </c>
      <c r="G571" s="3" t="s">
        <v>3054</v>
      </c>
      <c r="H571" s="21" t="s">
        <v>6118</v>
      </c>
      <c r="I571" s="3" t="s">
        <v>3230</v>
      </c>
    </row>
    <row r="572">
      <c r="A572" s="20" t="s">
        <v>6119</v>
      </c>
      <c r="B572" s="3" t="s">
        <v>6120</v>
      </c>
      <c r="C572" s="3" t="s">
        <v>6121</v>
      </c>
      <c r="D572" s="3" t="s">
        <v>6122</v>
      </c>
      <c r="E572" s="3" t="s">
        <v>3096</v>
      </c>
      <c r="F572" s="3" t="s">
        <v>6123</v>
      </c>
      <c r="G572" s="3" t="s">
        <v>3054</v>
      </c>
      <c r="H572" s="21" t="s">
        <v>6124</v>
      </c>
      <c r="I572" s="3" t="s">
        <v>3230</v>
      </c>
    </row>
    <row r="573">
      <c r="A573" s="20" t="s">
        <v>6125</v>
      </c>
      <c r="B573" s="3" t="s">
        <v>6126</v>
      </c>
      <c r="C573" s="3" t="s">
        <v>6127</v>
      </c>
      <c r="D573" s="3" t="s">
        <v>6128</v>
      </c>
      <c r="E573" s="3" t="s">
        <v>3403</v>
      </c>
      <c r="F573" s="3" t="s">
        <v>6129</v>
      </c>
      <c r="G573" s="3" t="s">
        <v>3054</v>
      </c>
      <c r="H573" s="21" t="s">
        <v>6130</v>
      </c>
      <c r="I573" s="3" t="s">
        <v>3061</v>
      </c>
    </row>
    <row r="574">
      <c r="A574" s="20" t="s">
        <v>6131</v>
      </c>
      <c r="B574" s="3" t="s">
        <v>6132</v>
      </c>
      <c r="C574" s="3" t="s">
        <v>6133</v>
      </c>
      <c r="D574" s="3" t="s">
        <v>6134</v>
      </c>
      <c r="E574" s="3" t="s">
        <v>3403</v>
      </c>
      <c r="F574" s="3" t="s">
        <v>6135</v>
      </c>
      <c r="G574" s="3" t="s">
        <v>3054</v>
      </c>
      <c r="H574" s="3" t="s">
        <v>3054</v>
      </c>
      <c r="I574" s="3" t="s">
        <v>3137</v>
      </c>
    </row>
    <row r="575">
      <c r="A575" s="20" t="s">
        <v>6136</v>
      </c>
      <c r="B575" s="3" t="s">
        <v>6137</v>
      </c>
      <c r="C575" s="3" t="s">
        <v>6138</v>
      </c>
      <c r="D575" s="3" t="s">
        <v>6139</v>
      </c>
      <c r="E575" s="3" t="s">
        <v>3856</v>
      </c>
      <c r="F575" s="3" t="s">
        <v>6140</v>
      </c>
      <c r="G575" s="3" t="s">
        <v>3054</v>
      </c>
      <c r="H575" s="21" t="s">
        <v>6141</v>
      </c>
      <c r="I575" s="3" t="s">
        <v>3137</v>
      </c>
    </row>
    <row r="576">
      <c r="A576" s="20" t="s">
        <v>6142</v>
      </c>
      <c r="B576" s="3" t="s">
        <v>6143</v>
      </c>
      <c r="C576" s="3" t="s">
        <v>6144</v>
      </c>
      <c r="D576" s="3" t="s">
        <v>6145</v>
      </c>
      <c r="E576" s="3" t="s">
        <v>3096</v>
      </c>
      <c r="F576" s="3" t="s">
        <v>6146</v>
      </c>
      <c r="G576" s="3" t="s">
        <v>6147</v>
      </c>
      <c r="H576" s="3" t="s">
        <v>3054</v>
      </c>
      <c r="I576" s="3" t="s">
        <v>3230</v>
      </c>
    </row>
    <row r="577">
      <c r="A577" s="20" t="s">
        <v>6148</v>
      </c>
      <c r="B577" s="3" t="s">
        <v>6149</v>
      </c>
      <c r="C577" s="3" t="s">
        <v>6150</v>
      </c>
      <c r="D577" s="3" t="s">
        <v>6151</v>
      </c>
      <c r="E577" s="3" t="s">
        <v>3096</v>
      </c>
      <c r="F577" s="3" t="s">
        <v>6152</v>
      </c>
      <c r="G577" s="3" t="s">
        <v>3054</v>
      </c>
      <c r="H577" s="3" t="s">
        <v>3054</v>
      </c>
      <c r="I577" s="3" t="s">
        <v>3076</v>
      </c>
    </row>
    <row r="578">
      <c r="A578" s="20" t="s">
        <v>6153</v>
      </c>
      <c r="B578" s="21" t="s">
        <v>6154</v>
      </c>
      <c r="C578" s="4"/>
      <c r="D578" s="3" t="s">
        <v>3115</v>
      </c>
      <c r="E578" s="3" t="s">
        <v>3116</v>
      </c>
      <c r="F578" s="4"/>
      <c r="G578" s="3" t="s">
        <v>3054</v>
      </c>
      <c r="H578" s="3" t="s">
        <v>3054</v>
      </c>
      <c r="I578" s="3" t="s">
        <v>3054</v>
      </c>
    </row>
    <row r="579">
      <c r="A579" s="20" t="s">
        <v>6155</v>
      </c>
      <c r="B579" s="3" t="s">
        <v>6156</v>
      </c>
      <c r="C579" s="3" t="s">
        <v>6157</v>
      </c>
      <c r="D579" s="3" t="s">
        <v>6158</v>
      </c>
      <c r="E579" s="3" t="s">
        <v>3096</v>
      </c>
      <c r="F579" s="3" t="s">
        <v>6159</v>
      </c>
      <c r="G579" s="3" t="s">
        <v>3054</v>
      </c>
      <c r="H579" s="4"/>
      <c r="I579" s="3" t="s">
        <v>3099</v>
      </c>
    </row>
    <row r="580">
      <c r="A580" s="20" t="s">
        <v>6160</v>
      </c>
      <c r="B580" s="3" t="s">
        <v>6161</v>
      </c>
      <c r="C580" s="3" t="s">
        <v>6162</v>
      </c>
      <c r="D580" s="3" t="s">
        <v>6163</v>
      </c>
      <c r="E580" s="3" t="s">
        <v>3052</v>
      </c>
      <c r="F580" s="3" t="s">
        <v>6164</v>
      </c>
      <c r="G580" s="3" t="s">
        <v>3054</v>
      </c>
      <c r="H580" s="21" t="s">
        <v>6165</v>
      </c>
      <c r="I580" s="3" t="s">
        <v>3123</v>
      </c>
    </row>
    <row r="581">
      <c r="A581" s="20" t="s">
        <v>6166</v>
      </c>
      <c r="B581" s="3" t="s">
        <v>6167</v>
      </c>
      <c r="C581" s="4"/>
      <c r="D581" s="3" t="s">
        <v>3115</v>
      </c>
      <c r="E581" s="3" t="s">
        <v>3116</v>
      </c>
      <c r="F581" s="4"/>
      <c r="G581" s="3" t="s">
        <v>3054</v>
      </c>
      <c r="H581" s="3" t="s">
        <v>3054</v>
      </c>
      <c r="I581" s="3" t="s">
        <v>3054</v>
      </c>
    </row>
    <row r="582">
      <c r="A582" s="20" t="s">
        <v>6168</v>
      </c>
      <c r="B582" s="3" t="s">
        <v>6169</v>
      </c>
      <c r="C582" s="3" t="s">
        <v>6170</v>
      </c>
      <c r="D582" s="3" t="s">
        <v>6171</v>
      </c>
      <c r="E582" s="3" t="s">
        <v>3403</v>
      </c>
      <c r="F582" s="3" t="s">
        <v>6172</v>
      </c>
      <c r="G582" s="3" t="s">
        <v>6173</v>
      </c>
      <c r="H582" s="3" t="s">
        <v>3054</v>
      </c>
      <c r="I582" s="3" t="s">
        <v>3137</v>
      </c>
    </row>
    <row r="583">
      <c r="A583" s="20" t="s">
        <v>6174</v>
      </c>
      <c r="B583" s="3" t="s">
        <v>6175</v>
      </c>
      <c r="C583" s="3" t="s">
        <v>6176</v>
      </c>
      <c r="D583" s="3" t="s">
        <v>6177</v>
      </c>
      <c r="E583" s="3" t="s">
        <v>3096</v>
      </c>
      <c r="F583" s="3" t="s">
        <v>6178</v>
      </c>
      <c r="G583" s="3" t="s">
        <v>6179</v>
      </c>
      <c r="H583" s="21" t="s">
        <v>6180</v>
      </c>
      <c r="I583" s="3" t="s">
        <v>3061</v>
      </c>
    </row>
    <row r="584">
      <c r="A584" s="20" t="s">
        <v>6181</v>
      </c>
      <c r="B584" s="3" t="s">
        <v>6182</v>
      </c>
      <c r="C584" s="3" t="s">
        <v>6183</v>
      </c>
      <c r="D584" s="3" t="s">
        <v>6184</v>
      </c>
      <c r="E584" s="3" t="s">
        <v>3073</v>
      </c>
      <c r="F584" s="3" t="s">
        <v>6185</v>
      </c>
      <c r="G584" s="3" t="s">
        <v>3054</v>
      </c>
      <c r="H584" s="21" t="s">
        <v>6186</v>
      </c>
      <c r="I584" s="3" t="s">
        <v>3230</v>
      </c>
    </row>
    <row r="585">
      <c r="A585" s="20" t="s">
        <v>6187</v>
      </c>
      <c r="B585" s="3" t="s">
        <v>6188</v>
      </c>
      <c r="C585" s="3" t="s">
        <v>6189</v>
      </c>
      <c r="D585" s="3" t="s">
        <v>6190</v>
      </c>
      <c r="E585" s="3" t="s">
        <v>3096</v>
      </c>
      <c r="F585" s="3" t="s">
        <v>6191</v>
      </c>
      <c r="G585" s="3" t="s">
        <v>3054</v>
      </c>
      <c r="H585" s="21" t="s">
        <v>6192</v>
      </c>
      <c r="I585" s="3" t="s">
        <v>3640</v>
      </c>
    </row>
    <row r="586">
      <c r="A586" s="20" t="s">
        <v>6193</v>
      </c>
      <c r="B586" s="3" t="s">
        <v>1092</v>
      </c>
      <c r="C586" s="3" t="s">
        <v>6194</v>
      </c>
      <c r="D586" s="3" t="s">
        <v>6195</v>
      </c>
      <c r="E586" s="3" t="s">
        <v>3235</v>
      </c>
      <c r="F586" s="3" t="s">
        <v>6196</v>
      </c>
      <c r="G586" s="3" t="s">
        <v>3054</v>
      </c>
      <c r="H586" s="21" t="s">
        <v>6197</v>
      </c>
      <c r="I586" s="3" t="s">
        <v>3099</v>
      </c>
    </row>
    <row r="587">
      <c r="A587" s="20" t="s">
        <v>6198</v>
      </c>
      <c r="B587" s="3" t="s">
        <v>6199</v>
      </c>
      <c r="C587" s="3" t="s">
        <v>6200</v>
      </c>
      <c r="D587" s="3" t="s">
        <v>6201</v>
      </c>
      <c r="E587" s="3" t="s">
        <v>3403</v>
      </c>
      <c r="F587" s="3" t="s">
        <v>6202</v>
      </c>
      <c r="G587" s="3" t="s">
        <v>6203</v>
      </c>
      <c r="H587" s="3" t="s">
        <v>3054</v>
      </c>
      <c r="I587" s="3" t="s">
        <v>3123</v>
      </c>
    </row>
    <row r="588">
      <c r="A588" s="20" t="s">
        <v>6204</v>
      </c>
      <c r="B588" s="3" t="s">
        <v>6205</v>
      </c>
      <c r="C588" s="3" t="s">
        <v>6206</v>
      </c>
      <c r="D588" s="3" t="s">
        <v>6207</v>
      </c>
      <c r="E588" s="3" t="s">
        <v>3052</v>
      </c>
      <c r="F588" s="3" t="s">
        <v>6208</v>
      </c>
      <c r="G588" s="3" t="s">
        <v>3054</v>
      </c>
      <c r="H588" s="3" t="s">
        <v>3054</v>
      </c>
      <c r="I588" s="3" t="s">
        <v>3099</v>
      </c>
    </row>
    <row r="589">
      <c r="A589" s="20" t="s">
        <v>6209</v>
      </c>
      <c r="B589" s="3" t="s">
        <v>6210</v>
      </c>
      <c r="C589" s="3" t="s">
        <v>6211</v>
      </c>
      <c r="D589" s="3" t="s">
        <v>6212</v>
      </c>
      <c r="E589" s="3" t="s">
        <v>3052</v>
      </c>
      <c r="F589" s="3" t="s">
        <v>6213</v>
      </c>
      <c r="G589" s="3" t="s">
        <v>3054</v>
      </c>
      <c r="H589" s="3" t="s">
        <v>3054</v>
      </c>
      <c r="I589" s="3" t="s">
        <v>3491</v>
      </c>
    </row>
    <row r="590">
      <c r="A590" s="20" t="s">
        <v>6214</v>
      </c>
      <c r="B590" s="3" t="s">
        <v>6215</v>
      </c>
      <c r="C590" s="3" t="s">
        <v>6216</v>
      </c>
      <c r="D590" s="3" t="s">
        <v>6217</v>
      </c>
      <c r="E590" s="3" t="s">
        <v>6218</v>
      </c>
      <c r="F590" s="3" t="s">
        <v>6219</v>
      </c>
      <c r="G590" s="3" t="s">
        <v>3054</v>
      </c>
      <c r="H590" s="21" t="s">
        <v>6220</v>
      </c>
      <c r="I590" s="3" t="s">
        <v>3186</v>
      </c>
    </row>
    <row r="591">
      <c r="A591" s="20" t="s">
        <v>6221</v>
      </c>
      <c r="B591" s="3" t="s">
        <v>6222</v>
      </c>
      <c r="C591" s="3" t="s">
        <v>6223</v>
      </c>
      <c r="D591" s="3" t="s">
        <v>6224</v>
      </c>
      <c r="E591" s="3" t="s">
        <v>3073</v>
      </c>
      <c r="F591" s="3" t="s">
        <v>6225</v>
      </c>
      <c r="G591" s="3" t="s">
        <v>3054</v>
      </c>
      <c r="H591" s="21" t="s">
        <v>6226</v>
      </c>
      <c r="I591" s="3" t="s">
        <v>3054</v>
      </c>
    </row>
    <row r="592">
      <c r="A592" s="20" t="s">
        <v>6227</v>
      </c>
      <c r="B592" s="3" t="s">
        <v>6228</v>
      </c>
      <c r="C592" s="3" t="s">
        <v>6229</v>
      </c>
      <c r="D592" s="3" t="s">
        <v>6230</v>
      </c>
      <c r="E592" s="3" t="s">
        <v>3073</v>
      </c>
      <c r="F592" s="3" t="s">
        <v>6231</v>
      </c>
      <c r="G592" s="3" t="s">
        <v>6232</v>
      </c>
      <c r="H592" s="21" t="s">
        <v>6233</v>
      </c>
      <c r="I592" s="3" t="s">
        <v>3061</v>
      </c>
    </row>
    <row r="593">
      <c r="A593" s="20" t="s">
        <v>6234</v>
      </c>
      <c r="B593" s="3" t="s">
        <v>6235</v>
      </c>
      <c r="C593" s="3" t="s">
        <v>6236</v>
      </c>
      <c r="D593" s="3" t="s">
        <v>6237</v>
      </c>
      <c r="E593" s="3" t="s">
        <v>3073</v>
      </c>
      <c r="F593" s="3" t="s">
        <v>6238</v>
      </c>
      <c r="G593" s="3" t="s">
        <v>3054</v>
      </c>
      <c r="H593" s="3" t="s">
        <v>3054</v>
      </c>
      <c r="I593" s="3" t="s">
        <v>3123</v>
      </c>
    </row>
    <row r="594">
      <c r="A594" s="20" t="s">
        <v>6239</v>
      </c>
      <c r="B594" s="3" t="s">
        <v>6240</v>
      </c>
      <c r="C594" s="3" t="s">
        <v>6241</v>
      </c>
      <c r="D594" s="3" t="s">
        <v>6242</v>
      </c>
      <c r="E594" s="3" t="s">
        <v>3073</v>
      </c>
      <c r="F594" s="3" t="s">
        <v>6243</v>
      </c>
      <c r="G594" s="3" t="s">
        <v>6244</v>
      </c>
      <c r="H594" s="3" t="s">
        <v>3054</v>
      </c>
      <c r="I594" s="3" t="s">
        <v>3061</v>
      </c>
    </row>
    <row r="595">
      <c r="A595" s="20" t="s">
        <v>6245</v>
      </c>
      <c r="B595" s="3" t="s">
        <v>6246</v>
      </c>
      <c r="C595" s="3" t="s">
        <v>6247</v>
      </c>
      <c r="D595" s="3" t="s">
        <v>6248</v>
      </c>
      <c r="E595" s="3" t="s">
        <v>3052</v>
      </c>
      <c r="F595" s="3" t="s">
        <v>6249</v>
      </c>
      <c r="G595" s="3" t="s">
        <v>3054</v>
      </c>
      <c r="H595" s="21" t="s">
        <v>6250</v>
      </c>
      <c r="I595" s="3" t="s">
        <v>3099</v>
      </c>
    </row>
    <row r="596">
      <c r="A596" s="20" t="s">
        <v>6251</v>
      </c>
      <c r="B596" s="3" t="s">
        <v>1389</v>
      </c>
      <c r="C596" s="3" t="s">
        <v>6252</v>
      </c>
      <c r="D596" s="3" t="s">
        <v>6253</v>
      </c>
      <c r="E596" s="3" t="s">
        <v>3052</v>
      </c>
      <c r="F596" s="3" t="s">
        <v>6254</v>
      </c>
      <c r="G596" s="3" t="s">
        <v>3054</v>
      </c>
      <c r="H596" s="21" t="s">
        <v>6255</v>
      </c>
      <c r="I596" s="3" t="s">
        <v>3361</v>
      </c>
    </row>
    <row r="597">
      <c r="A597" s="20" t="s">
        <v>6256</v>
      </c>
      <c r="B597" s="3" t="s">
        <v>6257</v>
      </c>
      <c r="C597" s="3" t="s">
        <v>6258</v>
      </c>
      <c r="D597" s="3" t="s">
        <v>6259</v>
      </c>
      <c r="E597" s="3" t="s">
        <v>3052</v>
      </c>
      <c r="F597" s="3" t="s">
        <v>6260</v>
      </c>
      <c r="G597" s="3" t="s">
        <v>3054</v>
      </c>
      <c r="H597" s="21" t="s">
        <v>6261</v>
      </c>
      <c r="I597" s="3" t="s">
        <v>3099</v>
      </c>
    </row>
    <row r="598">
      <c r="A598" s="20" t="s">
        <v>6262</v>
      </c>
      <c r="B598" s="3" t="s">
        <v>6263</v>
      </c>
      <c r="C598" s="3" t="s">
        <v>6264</v>
      </c>
      <c r="D598" s="3" t="s">
        <v>6265</v>
      </c>
      <c r="E598" s="3" t="s">
        <v>3403</v>
      </c>
      <c r="F598" s="3" t="s">
        <v>6266</v>
      </c>
      <c r="G598" s="3" t="s">
        <v>3054</v>
      </c>
      <c r="H598" s="3" t="s">
        <v>3054</v>
      </c>
      <c r="I598" s="3" t="s">
        <v>3099</v>
      </c>
    </row>
    <row r="599">
      <c r="A599" s="20" t="s">
        <v>6267</v>
      </c>
      <c r="B599" s="3" t="s">
        <v>6268</v>
      </c>
      <c r="C599" s="4"/>
      <c r="D599" s="3" t="s">
        <v>3115</v>
      </c>
      <c r="E599" s="3" t="s">
        <v>3116</v>
      </c>
      <c r="F599" s="4"/>
      <c r="G599" s="3" t="s">
        <v>3054</v>
      </c>
      <c r="H599" s="3" t="s">
        <v>3054</v>
      </c>
      <c r="I599" s="3" t="s">
        <v>3054</v>
      </c>
    </row>
    <row r="600">
      <c r="A600" s="20" t="s">
        <v>6269</v>
      </c>
      <c r="B600" s="3" t="s">
        <v>6270</v>
      </c>
      <c r="C600" s="3" t="s">
        <v>6271</v>
      </c>
      <c r="D600" s="3" t="s">
        <v>6272</v>
      </c>
      <c r="E600" s="3" t="s">
        <v>3096</v>
      </c>
      <c r="F600" s="3" t="s">
        <v>6273</v>
      </c>
      <c r="G600" s="3" t="s">
        <v>6274</v>
      </c>
      <c r="H600" s="21" t="s">
        <v>6275</v>
      </c>
      <c r="I600" s="3" t="s">
        <v>3491</v>
      </c>
    </row>
    <row r="601">
      <c r="A601" s="20" t="s">
        <v>6276</v>
      </c>
      <c r="B601" s="3" t="s">
        <v>6277</v>
      </c>
      <c r="C601" s="3" t="s">
        <v>6278</v>
      </c>
      <c r="D601" s="3" t="s">
        <v>6279</v>
      </c>
      <c r="E601" s="3" t="s">
        <v>3052</v>
      </c>
      <c r="F601" s="3" t="s">
        <v>6280</v>
      </c>
      <c r="G601" s="3" t="s">
        <v>6281</v>
      </c>
      <c r="H601" s="21" t="s">
        <v>6282</v>
      </c>
      <c r="I601" s="3" t="s">
        <v>3491</v>
      </c>
    </row>
    <row r="602">
      <c r="A602" s="20" t="s">
        <v>6283</v>
      </c>
      <c r="B602" s="3" t="s">
        <v>6284</v>
      </c>
      <c r="C602" s="3" t="s">
        <v>6285</v>
      </c>
      <c r="D602" s="3" t="s">
        <v>6286</v>
      </c>
      <c r="E602" s="3" t="s">
        <v>3222</v>
      </c>
      <c r="F602" s="3" t="s">
        <v>6287</v>
      </c>
      <c r="G602" s="3" t="s">
        <v>3054</v>
      </c>
      <c r="H602" s="21" t="s">
        <v>6288</v>
      </c>
      <c r="I602" s="3" t="s">
        <v>3061</v>
      </c>
    </row>
    <row r="603">
      <c r="A603" s="20" t="s">
        <v>6289</v>
      </c>
      <c r="B603" s="3" t="s">
        <v>6290</v>
      </c>
      <c r="C603" s="3" t="s">
        <v>6291</v>
      </c>
      <c r="D603" s="3" t="s">
        <v>6292</v>
      </c>
      <c r="E603" s="3" t="s">
        <v>3089</v>
      </c>
      <c r="F603" s="3" t="s">
        <v>6293</v>
      </c>
      <c r="G603" s="3" t="s">
        <v>3054</v>
      </c>
      <c r="H603" s="3" t="s">
        <v>3054</v>
      </c>
      <c r="I603" s="3" t="s">
        <v>3099</v>
      </c>
    </row>
    <row r="604">
      <c r="A604" s="20" t="s">
        <v>6294</v>
      </c>
      <c r="B604" s="3" t="s">
        <v>6295</v>
      </c>
      <c r="C604" s="3" t="s">
        <v>6296</v>
      </c>
      <c r="D604" s="3" t="s">
        <v>6297</v>
      </c>
      <c r="E604" s="3" t="s">
        <v>3096</v>
      </c>
      <c r="F604" s="3" t="s">
        <v>6298</v>
      </c>
      <c r="G604" s="3" t="s">
        <v>3054</v>
      </c>
      <c r="H604" s="3" t="s">
        <v>3054</v>
      </c>
      <c r="I604" s="3" t="s">
        <v>3099</v>
      </c>
    </row>
    <row r="605">
      <c r="A605" s="20" t="s">
        <v>6299</v>
      </c>
      <c r="B605" s="3" t="s">
        <v>6300</v>
      </c>
      <c r="C605" s="3" t="s">
        <v>6301</v>
      </c>
      <c r="D605" s="3" t="s">
        <v>6302</v>
      </c>
      <c r="E605" s="3" t="s">
        <v>3052</v>
      </c>
      <c r="F605" s="3" t="s">
        <v>6303</v>
      </c>
      <c r="G605" s="3" t="s">
        <v>3054</v>
      </c>
      <c r="H605" s="3" t="s">
        <v>3054</v>
      </c>
      <c r="I605" s="3" t="s">
        <v>3076</v>
      </c>
    </row>
    <row r="606">
      <c r="A606" s="20" t="s">
        <v>6304</v>
      </c>
      <c r="B606" s="3" t="s">
        <v>2596</v>
      </c>
      <c r="C606" s="3" t="s">
        <v>6305</v>
      </c>
      <c r="D606" s="3" t="s">
        <v>6306</v>
      </c>
      <c r="E606" s="3" t="s">
        <v>3052</v>
      </c>
      <c r="F606" s="3" t="s">
        <v>6307</v>
      </c>
      <c r="G606" s="3" t="s">
        <v>3054</v>
      </c>
      <c r="H606" s="21" t="s">
        <v>6308</v>
      </c>
      <c r="I606" s="3" t="s">
        <v>3099</v>
      </c>
    </row>
    <row r="607">
      <c r="A607" s="20" t="s">
        <v>6309</v>
      </c>
      <c r="B607" s="3" t="s">
        <v>6310</v>
      </c>
      <c r="C607" s="4"/>
      <c r="D607" s="3" t="s">
        <v>3115</v>
      </c>
      <c r="E607" s="3" t="s">
        <v>3116</v>
      </c>
      <c r="F607" s="4"/>
      <c r="G607" s="3" t="s">
        <v>3054</v>
      </c>
      <c r="H607" s="3" t="s">
        <v>3054</v>
      </c>
      <c r="I607" s="3" t="s">
        <v>3054</v>
      </c>
    </row>
    <row r="608">
      <c r="A608" s="20" t="s">
        <v>6311</v>
      </c>
      <c r="B608" s="3" t="s">
        <v>6312</v>
      </c>
      <c r="C608" s="3" t="s">
        <v>6313</v>
      </c>
      <c r="D608" s="3" t="s">
        <v>6314</v>
      </c>
      <c r="E608" s="3" t="s">
        <v>6315</v>
      </c>
      <c r="F608" s="3" t="s">
        <v>6316</v>
      </c>
      <c r="G608" s="3" t="s">
        <v>3054</v>
      </c>
      <c r="H608" s="21" t="s">
        <v>6317</v>
      </c>
      <c r="I608" s="3" t="s">
        <v>3123</v>
      </c>
    </row>
    <row r="609">
      <c r="A609" s="20" t="s">
        <v>6318</v>
      </c>
      <c r="B609" s="3" t="s">
        <v>6319</v>
      </c>
      <c r="C609" s="3" t="s">
        <v>6320</v>
      </c>
      <c r="D609" s="3" t="s">
        <v>6321</v>
      </c>
      <c r="E609" s="3" t="s">
        <v>3052</v>
      </c>
      <c r="F609" s="3" t="s">
        <v>6322</v>
      </c>
      <c r="G609" s="3" t="s">
        <v>6323</v>
      </c>
      <c r="H609" s="3" t="s">
        <v>3054</v>
      </c>
      <c r="I609" s="3" t="s">
        <v>3186</v>
      </c>
    </row>
    <row r="610">
      <c r="A610" s="20" t="s">
        <v>6324</v>
      </c>
      <c r="B610" s="3" t="s">
        <v>1766</v>
      </c>
      <c r="C610" s="3" t="s">
        <v>6325</v>
      </c>
      <c r="D610" s="3" t="s">
        <v>6326</v>
      </c>
      <c r="E610" s="3" t="s">
        <v>3073</v>
      </c>
      <c r="F610" s="3" t="s">
        <v>6327</v>
      </c>
      <c r="G610" s="3" t="s">
        <v>3054</v>
      </c>
      <c r="H610" s="21" t="s">
        <v>6328</v>
      </c>
      <c r="I610" s="3" t="s">
        <v>3099</v>
      </c>
    </row>
    <row r="611">
      <c r="A611" s="20" t="s">
        <v>6329</v>
      </c>
      <c r="B611" s="3" t="s">
        <v>6330</v>
      </c>
      <c r="C611" s="4"/>
      <c r="D611" s="3" t="s">
        <v>3115</v>
      </c>
      <c r="E611" s="3" t="s">
        <v>3116</v>
      </c>
      <c r="F611" s="4"/>
      <c r="G611" s="3" t="s">
        <v>3054</v>
      </c>
      <c r="H611" s="3" t="s">
        <v>3054</v>
      </c>
      <c r="I611" s="3" t="s">
        <v>3054</v>
      </c>
    </row>
    <row r="612">
      <c r="A612" s="20" t="s">
        <v>6331</v>
      </c>
      <c r="B612" s="3" t="s">
        <v>6332</v>
      </c>
      <c r="C612" s="3" t="s">
        <v>6333</v>
      </c>
      <c r="D612" s="3" t="s">
        <v>6334</v>
      </c>
      <c r="E612" s="3" t="s">
        <v>3096</v>
      </c>
      <c r="F612" s="3" t="s">
        <v>6335</v>
      </c>
      <c r="G612" s="3" t="s">
        <v>6336</v>
      </c>
      <c r="H612" s="4"/>
      <c r="I612" s="3" t="s">
        <v>3230</v>
      </c>
    </row>
    <row r="613">
      <c r="A613" s="20" t="s">
        <v>6337</v>
      </c>
      <c r="B613" s="3" t="s">
        <v>6338</v>
      </c>
      <c r="C613" s="3" t="s">
        <v>6339</v>
      </c>
      <c r="D613" s="3" t="s">
        <v>6340</v>
      </c>
      <c r="E613" s="3" t="s">
        <v>3235</v>
      </c>
      <c r="F613" s="3" t="s">
        <v>6341</v>
      </c>
      <c r="G613" s="3" t="s">
        <v>3054</v>
      </c>
      <c r="H613" s="21" t="s">
        <v>6342</v>
      </c>
      <c r="I613" s="3" t="s">
        <v>3123</v>
      </c>
    </row>
    <row r="614">
      <c r="A614" s="20" t="s">
        <v>6343</v>
      </c>
      <c r="B614" s="3" t="s">
        <v>6344</v>
      </c>
      <c r="C614" s="3" t="s">
        <v>6345</v>
      </c>
      <c r="D614" s="3" t="s">
        <v>6346</v>
      </c>
      <c r="E614" s="3" t="s">
        <v>6347</v>
      </c>
      <c r="F614" s="3" t="s">
        <v>6348</v>
      </c>
      <c r="G614" s="3" t="s">
        <v>3054</v>
      </c>
      <c r="H614" s="4"/>
      <c r="I614" s="3" t="s">
        <v>3099</v>
      </c>
    </row>
    <row r="615">
      <c r="A615" s="20" t="s">
        <v>6349</v>
      </c>
      <c r="B615" s="3" t="s">
        <v>6350</v>
      </c>
      <c r="C615" s="3" t="s">
        <v>6351</v>
      </c>
      <c r="D615" s="3" t="s">
        <v>6352</v>
      </c>
      <c r="E615" s="3" t="s">
        <v>6353</v>
      </c>
      <c r="F615" s="3" t="s">
        <v>6354</v>
      </c>
      <c r="G615" s="3" t="s">
        <v>3054</v>
      </c>
      <c r="H615" s="21" t="s">
        <v>6355</v>
      </c>
      <c r="I615" s="3" t="s">
        <v>3186</v>
      </c>
    </row>
    <row r="616">
      <c r="A616" s="20" t="s">
        <v>6356</v>
      </c>
      <c r="B616" s="3" t="s">
        <v>6357</v>
      </c>
      <c r="C616" s="3" t="s">
        <v>6358</v>
      </c>
      <c r="D616" s="3" t="s">
        <v>6359</v>
      </c>
      <c r="E616" s="3" t="s">
        <v>3052</v>
      </c>
      <c r="F616" s="3" t="s">
        <v>6360</v>
      </c>
      <c r="G616" s="3" t="s">
        <v>6361</v>
      </c>
      <c r="H616" s="21" t="s">
        <v>6362</v>
      </c>
      <c r="I616" s="3" t="s">
        <v>3186</v>
      </c>
    </row>
    <row r="617">
      <c r="A617" s="20" t="s">
        <v>6363</v>
      </c>
      <c r="B617" s="3" t="s">
        <v>6364</v>
      </c>
      <c r="C617" s="3" t="s">
        <v>6365</v>
      </c>
      <c r="D617" s="3" t="s">
        <v>6366</v>
      </c>
      <c r="E617" s="3" t="s">
        <v>3052</v>
      </c>
      <c r="F617" s="3" t="s">
        <v>6367</v>
      </c>
      <c r="G617" s="3" t="s">
        <v>6368</v>
      </c>
      <c r="H617" s="21" t="s">
        <v>6369</v>
      </c>
      <c r="I617" s="3" t="s">
        <v>3099</v>
      </c>
    </row>
    <row r="618">
      <c r="A618" s="20" t="s">
        <v>6370</v>
      </c>
      <c r="B618" s="3" t="s">
        <v>6371</v>
      </c>
      <c r="C618" s="3" t="s">
        <v>6372</v>
      </c>
      <c r="D618" s="3" t="s">
        <v>6373</v>
      </c>
      <c r="E618" s="3" t="s">
        <v>6024</v>
      </c>
      <c r="F618" s="3" t="s">
        <v>6374</v>
      </c>
      <c r="G618" s="3" t="s">
        <v>6375</v>
      </c>
      <c r="H618" s="3" t="s">
        <v>3054</v>
      </c>
      <c r="I618" s="3" t="s">
        <v>3061</v>
      </c>
    </row>
    <row r="619">
      <c r="A619" s="20" t="s">
        <v>6376</v>
      </c>
      <c r="B619" s="3" t="s">
        <v>6377</v>
      </c>
      <c r="C619" s="3" t="s">
        <v>6378</v>
      </c>
      <c r="D619" s="3" t="s">
        <v>6379</v>
      </c>
      <c r="E619" s="3" t="s">
        <v>3052</v>
      </c>
      <c r="F619" s="3" t="s">
        <v>6380</v>
      </c>
      <c r="G619" s="3" t="s">
        <v>6381</v>
      </c>
      <c r="H619" s="3" t="s">
        <v>3054</v>
      </c>
      <c r="I619" s="3" t="s">
        <v>3230</v>
      </c>
    </row>
    <row r="620">
      <c r="A620" s="20" t="s">
        <v>6382</v>
      </c>
      <c r="B620" s="3" t="s">
        <v>6383</v>
      </c>
      <c r="C620" s="3" t="s">
        <v>6384</v>
      </c>
      <c r="D620" s="3" t="s">
        <v>6385</v>
      </c>
      <c r="E620" s="3" t="s">
        <v>3235</v>
      </c>
      <c r="F620" s="3" t="s">
        <v>6386</v>
      </c>
      <c r="G620" s="3" t="s">
        <v>6387</v>
      </c>
      <c r="H620" s="3" t="s">
        <v>3054</v>
      </c>
      <c r="I620" s="3" t="s">
        <v>3099</v>
      </c>
    </row>
    <row r="621">
      <c r="A621" s="20" t="s">
        <v>6388</v>
      </c>
      <c r="B621" s="3" t="s">
        <v>2959</v>
      </c>
      <c r="C621" s="3" t="s">
        <v>6389</v>
      </c>
      <c r="D621" s="3" t="s">
        <v>6390</v>
      </c>
      <c r="E621" s="3" t="s">
        <v>3052</v>
      </c>
      <c r="F621" s="3" t="s">
        <v>6391</v>
      </c>
      <c r="G621" s="3" t="s">
        <v>3054</v>
      </c>
      <c r="H621" s="21" t="s">
        <v>6392</v>
      </c>
      <c r="I621" s="3" t="s">
        <v>3491</v>
      </c>
    </row>
    <row r="622">
      <c r="A622" s="20" t="s">
        <v>6393</v>
      </c>
      <c r="B622" s="3" t="s">
        <v>6394</v>
      </c>
      <c r="C622" s="3" t="s">
        <v>6395</v>
      </c>
      <c r="D622" s="3" t="s">
        <v>6396</v>
      </c>
      <c r="E622" s="3" t="s">
        <v>3052</v>
      </c>
      <c r="F622" s="3" t="s">
        <v>6397</v>
      </c>
      <c r="G622" s="3" t="s">
        <v>6398</v>
      </c>
      <c r="H622" s="21" t="s">
        <v>6399</v>
      </c>
      <c r="I622" s="3" t="s">
        <v>3491</v>
      </c>
    </row>
    <row r="623">
      <c r="A623" s="20" t="s">
        <v>6400</v>
      </c>
      <c r="B623" s="3" t="s">
        <v>6401</v>
      </c>
      <c r="C623" s="3" t="s">
        <v>6402</v>
      </c>
      <c r="D623" s="3" t="s">
        <v>6403</v>
      </c>
      <c r="E623" s="3" t="s">
        <v>4948</v>
      </c>
      <c r="F623" s="3" t="s">
        <v>6404</v>
      </c>
      <c r="G623" s="3" t="s">
        <v>3054</v>
      </c>
      <c r="H623" s="21" t="s">
        <v>6405</v>
      </c>
      <c r="I623" s="3" t="s">
        <v>3123</v>
      </c>
    </row>
    <row r="624">
      <c r="A624" s="20" t="s">
        <v>6406</v>
      </c>
      <c r="B624" s="3" t="s">
        <v>1637</v>
      </c>
      <c r="C624" s="4"/>
      <c r="D624" s="3" t="s">
        <v>3115</v>
      </c>
      <c r="E624" s="3" t="s">
        <v>3116</v>
      </c>
      <c r="F624" s="4"/>
      <c r="G624" s="3" t="s">
        <v>3054</v>
      </c>
      <c r="H624" s="3" t="s">
        <v>3054</v>
      </c>
      <c r="I624" s="3" t="s">
        <v>3054</v>
      </c>
    </row>
    <row r="625">
      <c r="A625" s="20" t="s">
        <v>6407</v>
      </c>
      <c r="B625" s="3" t="s">
        <v>6408</v>
      </c>
      <c r="C625" s="3" t="s">
        <v>6409</v>
      </c>
      <c r="D625" s="3" t="s">
        <v>6410</v>
      </c>
      <c r="E625" s="3" t="s">
        <v>3052</v>
      </c>
      <c r="F625" s="3" t="s">
        <v>6411</v>
      </c>
      <c r="G625" s="3" t="s">
        <v>6412</v>
      </c>
      <c r="H625" s="21" t="s">
        <v>6413</v>
      </c>
      <c r="I625" s="3" t="s">
        <v>3099</v>
      </c>
    </row>
    <row r="626">
      <c r="A626" s="20" t="s">
        <v>6414</v>
      </c>
      <c r="B626" s="3" t="s">
        <v>6415</v>
      </c>
      <c r="C626" s="3" t="s">
        <v>6416</v>
      </c>
      <c r="D626" s="3" t="s">
        <v>5022</v>
      </c>
      <c r="E626" s="3" t="s">
        <v>3403</v>
      </c>
      <c r="F626" s="3" t="s">
        <v>6417</v>
      </c>
      <c r="G626" s="3" t="s">
        <v>3054</v>
      </c>
      <c r="H626" s="21" t="s">
        <v>6418</v>
      </c>
      <c r="I626" s="3" t="s">
        <v>3061</v>
      </c>
    </row>
    <row r="627">
      <c r="A627" s="20" t="s">
        <v>6419</v>
      </c>
      <c r="B627" s="3" t="s">
        <v>1002</v>
      </c>
      <c r="C627" s="3" t="s">
        <v>6420</v>
      </c>
      <c r="D627" s="3" t="s">
        <v>6421</v>
      </c>
      <c r="E627" s="3" t="s">
        <v>3052</v>
      </c>
      <c r="F627" s="3" t="s">
        <v>4519</v>
      </c>
      <c r="G627" s="3" t="s">
        <v>3054</v>
      </c>
      <c r="H627" s="3" t="s">
        <v>3054</v>
      </c>
      <c r="I627" s="3" t="s">
        <v>3099</v>
      </c>
    </row>
    <row r="628">
      <c r="A628" s="20" t="s">
        <v>6422</v>
      </c>
      <c r="B628" s="3" t="s">
        <v>6423</v>
      </c>
      <c r="C628" s="3" t="s">
        <v>6424</v>
      </c>
      <c r="D628" s="3" t="s">
        <v>6425</v>
      </c>
      <c r="E628" s="3" t="s">
        <v>3052</v>
      </c>
      <c r="F628" s="3" t="s">
        <v>6426</v>
      </c>
      <c r="G628" s="3" t="s">
        <v>6427</v>
      </c>
      <c r="H628" s="21" t="s">
        <v>6428</v>
      </c>
      <c r="I628" s="3" t="s">
        <v>3076</v>
      </c>
    </row>
    <row r="629">
      <c r="A629" s="20" t="s">
        <v>6429</v>
      </c>
      <c r="B629" s="3" t="s">
        <v>6430</v>
      </c>
      <c r="C629" s="3" t="s">
        <v>6431</v>
      </c>
      <c r="D629" s="3" t="s">
        <v>4576</v>
      </c>
      <c r="E629" s="3" t="s">
        <v>3052</v>
      </c>
      <c r="F629" s="3" t="s">
        <v>6432</v>
      </c>
      <c r="G629" s="3" t="s">
        <v>3054</v>
      </c>
      <c r="H629" s="21" t="s">
        <v>6433</v>
      </c>
      <c r="I629" s="3" t="s">
        <v>3186</v>
      </c>
    </row>
    <row r="630">
      <c r="A630" s="20" t="s">
        <v>6434</v>
      </c>
      <c r="B630" s="3" t="s">
        <v>6435</v>
      </c>
      <c r="C630" s="3" t="s">
        <v>6436</v>
      </c>
      <c r="D630" s="3" t="s">
        <v>6437</v>
      </c>
      <c r="E630" s="3" t="s">
        <v>4491</v>
      </c>
      <c r="F630" s="3" t="s">
        <v>6438</v>
      </c>
      <c r="G630" s="3" t="s">
        <v>6439</v>
      </c>
      <c r="H630" s="3" t="s">
        <v>3054</v>
      </c>
      <c r="I630" s="3" t="s">
        <v>3061</v>
      </c>
    </row>
    <row r="631">
      <c r="A631" s="20" t="s">
        <v>6440</v>
      </c>
      <c r="B631" s="3" t="s">
        <v>6441</v>
      </c>
      <c r="C631" s="3" t="s">
        <v>6442</v>
      </c>
      <c r="D631" s="3" t="s">
        <v>6443</v>
      </c>
      <c r="E631" s="3" t="s">
        <v>3052</v>
      </c>
      <c r="F631" s="3" t="s">
        <v>6444</v>
      </c>
      <c r="G631" s="3" t="s">
        <v>3054</v>
      </c>
      <c r="H631" s="3" t="s">
        <v>3054</v>
      </c>
      <c r="I631" s="3" t="s">
        <v>3061</v>
      </c>
    </row>
    <row r="632">
      <c r="A632" s="20" t="s">
        <v>6445</v>
      </c>
      <c r="B632" s="3" t="s">
        <v>6446</v>
      </c>
      <c r="C632" s="3" t="s">
        <v>6447</v>
      </c>
      <c r="D632" s="3" t="s">
        <v>6448</v>
      </c>
      <c r="E632" s="3" t="s">
        <v>3073</v>
      </c>
      <c r="F632" s="3" t="s">
        <v>6449</v>
      </c>
      <c r="G632" s="3" t="s">
        <v>6450</v>
      </c>
      <c r="H632" s="21" t="s">
        <v>6451</v>
      </c>
      <c r="I632" s="3" t="s">
        <v>3099</v>
      </c>
    </row>
    <row r="633">
      <c r="A633" s="20" t="s">
        <v>6452</v>
      </c>
      <c r="B633" s="3" t="s">
        <v>6453</v>
      </c>
      <c r="C633" s="3" t="s">
        <v>6454</v>
      </c>
      <c r="D633" s="3" t="s">
        <v>6455</v>
      </c>
      <c r="E633" s="3" t="s">
        <v>3856</v>
      </c>
      <c r="F633" s="3" t="s">
        <v>6456</v>
      </c>
      <c r="G633" s="3" t="s">
        <v>6457</v>
      </c>
      <c r="H633" s="21" t="s">
        <v>6458</v>
      </c>
      <c r="I633" s="3" t="s">
        <v>3061</v>
      </c>
    </row>
    <row r="634">
      <c r="A634" s="20" t="s">
        <v>6459</v>
      </c>
      <c r="B634" s="3" t="s">
        <v>6460</v>
      </c>
      <c r="C634" s="3" t="s">
        <v>6461</v>
      </c>
      <c r="D634" s="3" t="s">
        <v>6462</v>
      </c>
      <c r="E634" s="3" t="s">
        <v>4984</v>
      </c>
      <c r="F634" s="3" t="s">
        <v>6463</v>
      </c>
      <c r="G634" s="3" t="s">
        <v>6464</v>
      </c>
      <c r="H634" s="21" t="s">
        <v>6465</v>
      </c>
      <c r="I634" s="3" t="s">
        <v>3099</v>
      </c>
    </row>
    <row r="635">
      <c r="A635" s="20" t="s">
        <v>6466</v>
      </c>
      <c r="B635" s="3" t="s">
        <v>6467</v>
      </c>
      <c r="C635" s="4"/>
      <c r="D635" s="3" t="s">
        <v>3115</v>
      </c>
      <c r="E635" s="3" t="s">
        <v>3116</v>
      </c>
      <c r="F635" s="4"/>
      <c r="G635" s="3" t="s">
        <v>3054</v>
      </c>
      <c r="H635" s="3" t="s">
        <v>3054</v>
      </c>
      <c r="I635" s="3" t="s">
        <v>3054</v>
      </c>
    </row>
    <row r="636">
      <c r="A636" s="20" t="s">
        <v>6468</v>
      </c>
      <c r="B636" s="3" t="s">
        <v>6469</v>
      </c>
      <c r="C636" s="3" t="s">
        <v>6470</v>
      </c>
      <c r="D636" s="3" t="s">
        <v>6471</v>
      </c>
      <c r="E636" s="3" t="s">
        <v>3096</v>
      </c>
      <c r="F636" s="3" t="s">
        <v>6472</v>
      </c>
      <c r="G636" s="3" t="s">
        <v>3054</v>
      </c>
      <c r="H636" s="21" t="s">
        <v>6473</v>
      </c>
      <c r="I636" s="3" t="s">
        <v>3054</v>
      </c>
    </row>
    <row r="637">
      <c r="A637" s="20" t="s">
        <v>6474</v>
      </c>
      <c r="B637" s="3" t="s">
        <v>6475</v>
      </c>
      <c r="C637" s="3" t="s">
        <v>6476</v>
      </c>
      <c r="D637" s="3" t="s">
        <v>6477</v>
      </c>
      <c r="E637" s="3" t="s">
        <v>3052</v>
      </c>
      <c r="F637" s="3" t="s">
        <v>6478</v>
      </c>
      <c r="G637" s="3" t="s">
        <v>3054</v>
      </c>
      <c r="H637" s="21" t="s">
        <v>6479</v>
      </c>
      <c r="I637" s="3" t="s">
        <v>3054</v>
      </c>
    </row>
    <row r="638">
      <c r="A638" s="20" t="s">
        <v>6480</v>
      </c>
      <c r="B638" s="3" t="s">
        <v>6481</v>
      </c>
      <c r="C638" s="3" t="s">
        <v>6482</v>
      </c>
      <c r="D638" s="3" t="s">
        <v>6483</v>
      </c>
      <c r="E638" s="3" t="s">
        <v>3052</v>
      </c>
      <c r="F638" s="3" t="s">
        <v>6484</v>
      </c>
      <c r="G638" s="3" t="s">
        <v>3054</v>
      </c>
      <c r="H638" s="3" t="s">
        <v>3054</v>
      </c>
      <c r="I638" s="3" t="s">
        <v>3099</v>
      </c>
    </row>
    <row r="639">
      <c r="A639" s="20" t="s">
        <v>6485</v>
      </c>
      <c r="B639" s="3" t="s">
        <v>1067</v>
      </c>
      <c r="C639" s="3" t="s">
        <v>6486</v>
      </c>
      <c r="D639" s="3" t="s">
        <v>5014</v>
      </c>
      <c r="E639" s="3" t="s">
        <v>3073</v>
      </c>
      <c r="F639" s="3" t="s">
        <v>6487</v>
      </c>
      <c r="G639" s="3" t="s">
        <v>3054</v>
      </c>
      <c r="H639" s="21" t="s">
        <v>6488</v>
      </c>
      <c r="I639" s="3" t="s">
        <v>3137</v>
      </c>
    </row>
    <row r="640">
      <c r="A640" s="20" t="s">
        <v>6489</v>
      </c>
      <c r="B640" s="3" t="s">
        <v>6490</v>
      </c>
      <c r="C640" s="3" t="s">
        <v>6491</v>
      </c>
      <c r="D640" s="3" t="s">
        <v>6492</v>
      </c>
      <c r="E640" s="3" t="s">
        <v>3073</v>
      </c>
      <c r="F640" s="3" t="s">
        <v>6493</v>
      </c>
      <c r="G640" s="3" t="s">
        <v>3054</v>
      </c>
      <c r="H640" s="21" t="s">
        <v>6494</v>
      </c>
      <c r="I640" s="3" t="s">
        <v>3137</v>
      </c>
    </row>
    <row r="641">
      <c r="A641" s="20" t="s">
        <v>6495</v>
      </c>
      <c r="B641" s="3" t="s">
        <v>6496</v>
      </c>
      <c r="C641" s="3" t="s">
        <v>6497</v>
      </c>
      <c r="D641" s="3" t="s">
        <v>6498</v>
      </c>
      <c r="E641" s="3" t="s">
        <v>6499</v>
      </c>
      <c r="F641" s="3" t="s">
        <v>6500</v>
      </c>
      <c r="G641" s="3" t="s">
        <v>3054</v>
      </c>
      <c r="H641" s="21" t="s">
        <v>6501</v>
      </c>
      <c r="I641" s="3" t="s">
        <v>3491</v>
      </c>
    </row>
    <row r="642">
      <c r="A642" s="20" t="s">
        <v>6502</v>
      </c>
      <c r="B642" s="3" t="s">
        <v>6503</v>
      </c>
      <c r="C642" s="3" t="s">
        <v>6504</v>
      </c>
      <c r="D642" s="3" t="s">
        <v>6505</v>
      </c>
      <c r="E642" s="3" t="s">
        <v>3052</v>
      </c>
      <c r="F642" s="3" t="s">
        <v>6506</v>
      </c>
      <c r="G642" s="3" t="s">
        <v>3054</v>
      </c>
      <c r="H642" s="4"/>
      <c r="I642" s="3" t="s">
        <v>3137</v>
      </c>
    </row>
    <row r="643">
      <c r="A643" s="20" t="s">
        <v>6507</v>
      </c>
      <c r="B643" s="3" t="s">
        <v>6508</v>
      </c>
      <c r="C643" s="3" t="s">
        <v>6509</v>
      </c>
      <c r="D643" s="3" t="s">
        <v>6510</v>
      </c>
      <c r="E643" s="3" t="s">
        <v>3096</v>
      </c>
      <c r="F643" s="3" t="s">
        <v>6511</v>
      </c>
      <c r="G643" s="3" t="s">
        <v>6512</v>
      </c>
      <c r="H643" s="3" t="s">
        <v>3054</v>
      </c>
      <c r="I643" s="3" t="s">
        <v>3186</v>
      </c>
    </row>
    <row r="644">
      <c r="A644" s="20" t="s">
        <v>6513</v>
      </c>
      <c r="B644" s="3" t="s">
        <v>6514</v>
      </c>
      <c r="C644" s="3" t="s">
        <v>6515</v>
      </c>
      <c r="D644" s="3" t="s">
        <v>6516</v>
      </c>
      <c r="E644" s="3" t="s">
        <v>3052</v>
      </c>
      <c r="F644" s="3" t="s">
        <v>6517</v>
      </c>
      <c r="G644" s="3" t="s">
        <v>3054</v>
      </c>
      <c r="H644" s="3" t="s">
        <v>3054</v>
      </c>
      <c r="I644" s="3" t="s">
        <v>3099</v>
      </c>
    </row>
    <row r="645">
      <c r="A645" s="20" t="s">
        <v>6518</v>
      </c>
      <c r="B645" s="3" t="s">
        <v>6519</v>
      </c>
      <c r="C645" s="4"/>
      <c r="D645" s="3" t="s">
        <v>3115</v>
      </c>
      <c r="E645" s="3" t="s">
        <v>3116</v>
      </c>
      <c r="F645" s="4"/>
      <c r="G645" s="3" t="s">
        <v>3054</v>
      </c>
      <c r="H645" s="3" t="s">
        <v>3054</v>
      </c>
      <c r="I645" s="3" t="s">
        <v>3054</v>
      </c>
    </row>
    <row r="646">
      <c r="A646" s="20" t="s">
        <v>6520</v>
      </c>
      <c r="B646" s="3" t="s">
        <v>6521</v>
      </c>
      <c r="C646" s="3" t="s">
        <v>6522</v>
      </c>
      <c r="D646" s="3" t="s">
        <v>6523</v>
      </c>
      <c r="E646" s="3" t="s">
        <v>3177</v>
      </c>
      <c r="F646" s="3" t="s">
        <v>6524</v>
      </c>
      <c r="G646" s="3" t="s">
        <v>3054</v>
      </c>
      <c r="H646" s="21" t="s">
        <v>6525</v>
      </c>
      <c r="I646" s="3" t="s">
        <v>3061</v>
      </c>
    </row>
    <row r="647">
      <c r="A647" s="20" t="s">
        <v>6526</v>
      </c>
      <c r="B647" s="3" t="s">
        <v>6527</v>
      </c>
      <c r="C647" s="4"/>
      <c r="D647" s="3" t="s">
        <v>3115</v>
      </c>
      <c r="E647" s="3" t="s">
        <v>3116</v>
      </c>
      <c r="F647" s="4"/>
      <c r="G647" s="3" t="s">
        <v>3054</v>
      </c>
      <c r="H647" s="3" t="s">
        <v>3054</v>
      </c>
      <c r="I647" s="3" t="s">
        <v>3054</v>
      </c>
    </row>
    <row r="648">
      <c r="A648" s="20" t="s">
        <v>6528</v>
      </c>
      <c r="B648" s="3" t="s">
        <v>6529</v>
      </c>
      <c r="C648" s="3" t="s">
        <v>6530</v>
      </c>
      <c r="D648" s="3" t="s">
        <v>6531</v>
      </c>
      <c r="E648" s="3" t="s">
        <v>3403</v>
      </c>
      <c r="F648" s="3" t="s">
        <v>6532</v>
      </c>
      <c r="G648" s="3" t="s">
        <v>3054</v>
      </c>
      <c r="H648" s="21" t="s">
        <v>6533</v>
      </c>
      <c r="I648" s="3" t="s">
        <v>3137</v>
      </c>
    </row>
    <row r="649">
      <c r="A649" s="20" t="s">
        <v>6534</v>
      </c>
      <c r="B649" s="3" t="s">
        <v>6535</v>
      </c>
      <c r="C649" s="3" t="s">
        <v>6536</v>
      </c>
      <c r="D649" s="3" t="s">
        <v>6537</v>
      </c>
      <c r="E649" s="3" t="s">
        <v>3052</v>
      </c>
      <c r="F649" s="3" t="s">
        <v>6538</v>
      </c>
      <c r="G649" s="3" t="s">
        <v>6539</v>
      </c>
      <c r="H649" s="3" t="s">
        <v>3054</v>
      </c>
      <c r="I649" s="3" t="s">
        <v>3099</v>
      </c>
    </row>
    <row r="650">
      <c r="A650" s="20" t="s">
        <v>6540</v>
      </c>
      <c r="B650" s="3" t="s">
        <v>6541</v>
      </c>
      <c r="C650" s="4"/>
      <c r="D650" s="3" t="s">
        <v>3115</v>
      </c>
      <c r="E650" s="3" t="s">
        <v>3116</v>
      </c>
      <c r="F650" s="4"/>
      <c r="G650" s="3" t="s">
        <v>3054</v>
      </c>
      <c r="H650" s="3" t="s">
        <v>3054</v>
      </c>
      <c r="I650" s="3" t="s">
        <v>3054</v>
      </c>
    </row>
    <row r="651">
      <c r="A651" s="20" t="s">
        <v>6542</v>
      </c>
      <c r="B651" s="3" t="s">
        <v>6543</v>
      </c>
      <c r="C651" s="3" t="s">
        <v>6544</v>
      </c>
      <c r="D651" s="3" t="s">
        <v>6545</v>
      </c>
      <c r="E651" s="3" t="s">
        <v>3073</v>
      </c>
      <c r="F651" s="3" t="s">
        <v>6546</v>
      </c>
      <c r="G651" s="3" t="s">
        <v>6547</v>
      </c>
      <c r="H651" s="21" t="s">
        <v>6548</v>
      </c>
      <c r="I651" s="3" t="s">
        <v>3230</v>
      </c>
    </row>
    <row r="652">
      <c r="A652" s="20" t="s">
        <v>6549</v>
      </c>
      <c r="B652" s="3" t="s">
        <v>6550</v>
      </c>
      <c r="C652" s="3" t="s">
        <v>6551</v>
      </c>
      <c r="D652" s="3" t="s">
        <v>6552</v>
      </c>
      <c r="E652" s="3" t="s">
        <v>3235</v>
      </c>
      <c r="F652" s="3" t="s">
        <v>6553</v>
      </c>
      <c r="G652" s="3" t="s">
        <v>6554</v>
      </c>
      <c r="H652" s="4"/>
      <c r="I652" s="3" t="s">
        <v>3099</v>
      </c>
    </row>
    <row r="653">
      <c r="A653" s="20" t="s">
        <v>6555</v>
      </c>
      <c r="B653" s="3" t="s">
        <v>6556</v>
      </c>
      <c r="C653" s="3" t="s">
        <v>6557</v>
      </c>
      <c r="D653" s="3" t="s">
        <v>6558</v>
      </c>
      <c r="E653" s="3" t="s">
        <v>3052</v>
      </c>
      <c r="F653" s="3" t="s">
        <v>6559</v>
      </c>
      <c r="G653" s="3" t="s">
        <v>3054</v>
      </c>
      <c r="H653" s="21" t="s">
        <v>6560</v>
      </c>
      <c r="I653" s="3" t="s">
        <v>3069</v>
      </c>
    </row>
    <row r="654">
      <c r="A654" s="20" t="s">
        <v>6561</v>
      </c>
      <c r="B654" s="3" t="s">
        <v>6562</v>
      </c>
      <c r="C654" s="4"/>
      <c r="D654" s="3" t="s">
        <v>3115</v>
      </c>
      <c r="E654" s="3" t="s">
        <v>3116</v>
      </c>
      <c r="F654" s="4"/>
      <c r="G654" s="3" t="s">
        <v>3054</v>
      </c>
      <c r="H654" s="3" t="s">
        <v>3054</v>
      </c>
      <c r="I654" s="3" t="s">
        <v>3054</v>
      </c>
    </row>
    <row r="655">
      <c r="A655" s="20" t="s">
        <v>6563</v>
      </c>
      <c r="B655" s="3" t="s">
        <v>6564</v>
      </c>
      <c r="C655" s="3" t="s">
        <v>6565</v>
      </c>
      <c r="D655" s="3" t="s">
        <v>4576</v>
      </c>
      <c r="E655" s="3" t="s">
        <v>3052</v>
      </c>
      <c r="F655" s="3" t="s">
        <v>6566</v>
      </c>
      <c r="G655" s="3" t="s">
        <v>3054</v>
      </c>
      <c r="H655" s="3" t="s">
        <v>3054</v>
      </c>
      <c r="I655" s="3" t="s">
        <v>3137</v>
      </c>
    </row>
    <row r="656">
      <c r="A656" s="20" t="s">
        <v>6567</v>
      </c>
      <c r="B656" s="3" t="s">
        <v>6568</v>
      </c>
      <c r="C656" s="3" t="s">
        <v>6569</v>
      </c>
      <c r="D656" s="3" t="s">
        <v>6570</v>
      </c>
      <c r="E656" s="3" t="s">
        <v>3096</v>
      </c>
      <c r="F656" s="3" t="s">
        <v>6571</v>
      </c>
      <c r="G656" s="3" t="s">
        <v>3054</v>
      </c>
      <c r="H656" s="21" t="s">
        <v>6572</v>
      </c>
      <c r="I656" s="3" t="s">
        <v>3230</v>
      </c>
    </row>
    <row r="657">
      <c r="A657" s="20" t="s">
        <v>6573</v>
      </c>
      <c r="B657" s="3" t="s">
        <v>2555</v>
      </c>
      <c r="C657" s="3" t="s">
        <v>6574</v>
      </c>
      <c r="D657" s="3" t="s">
        <v>6575</v>
      </c>
      <c r="E657" s="3" t="s">
        <v>4136</v>
      </c>
      <c r="F657" s="3" t="s">
        <v>6576</v>
      </c>
      <c r="G657" s="3" t="s">
        <v>6577</v>
      </c>
      <c r="H657" s="3" t="s">
        <v>3054</v>
      </c>
      <c r="I657" s="3" t="s">
        <v>3099</v>
      </c>
    </row>
    <row r="658">
      <c r="A658" s="20" t="s">
        <v>6578</v>
      </c>
      <c r="B658" s="3" t="s">
        <v>6579</v>
      </c>
      <c r="C658" s="3" t="s">
        <v>6580</v>
      </c>
      <c r="D658" s="3" t="s">
        <v>6581</v>
      </c>
      <c r="E658" s="3" t="s">
        <v>3052</v>
      </c>
      <c r="F658" s="3" t="s">
        <v>6582</v>
      </c>
      <c r="G658" s="3" t="s">
        <v>6583</v>
      </c>
      <c r="H658" s="3" t="s">
        <v>3054</v>
      </c>
      <c r="I658" s="3" t="s">
        <v>3099</v>
      </c>
    </row>
    <row r="659">
      <c r="A659" s="20" t="s">
        <v>6584</v>
      </c>
      <c r="B659" s="3" t="s">
        <v>6585</v>
      </c>
      <c r="C659" s="3" t="s">
        <v>6586</v>
      </c>
      <c r="D659" s="3" t="s">
        <v>6390</v>
      </c>
      <c r="E659" s="3" t="s">
        <v>3235</v>
      </c>
      <c r="F659" s="3" t="s">
        <v>6587</v>
      </c>
      <c r="G659" s="3" t="s">
        <v>3054</v>
      </c>
      <c r="H659" s="21" t="s">
        <v>6588</v>
      </c>
      <c r="I659" s="3" t="s">
        <v>3137</v>
      </c>
    </row>
    <row r="660">
      <c r="A660" s="20" t="s">
        <v>6589</v>
      </c>
      <c r="B660" s="3" t="s">
        <v>6590</v>
      </c>
      <c r="C660" s="3" t="s">
        <v>6591</v>
      </c>
      <c r="D660" s="3" t="s">
        <v>6592</v>
      </c>
      <c r="E660" s="3" t="s">
        <v>3052</v>
      </c>
      <c r="F660" s="3" t="s">
        <v>6593</v>
      </c>
      <c r="G660" s="3" t="s">
        <v>4121</v>
      </c>
      <c r="H660" s="3" t="s">
        <v>3054</v>
      </c>
      <c r="I660" s="3" t="s">
        <v>3186</v>
      </c>
    </row>
    <row r="661">
      <c r="A661" s="20" t="s">
        <v>6594</v>
      </c>
      <c r="B661" s="3" t="s">
        <v>6595</v>
      </c>
      <c r="C661" s="4"/>
      <c r="D661" s="3" t="s">
        <v>3115</v>
      </c>
      <c r="E661" s="3" t="s">
        <v>3116</v>
      </c>
      <c r="F661" s="4"/>
      <c r="G661" s="3" t="s">
        <v>3054</v>
      </c>
      <c r="H661" s="3" t="s">
        <v>3054</v>
      </c>
      <c r="I661" s="3" t="s">
        <v>3054</v>
      </c>
    </row>
    <row r="662">
      <c r="A662" s="20" t="s">
        <v>6596</v>
      </c>
      <c r="B662" s="3" t="s">
        <v>6597</v>
      </c>
      <c r="C662" s="3" t="s">
        <v>6598</v>
      </c>
      <c r="D662" s="3" t="s">
        <v>6599</v>
      </c>
      <c r="E662" s="3" t="s">
        <v>3052</v>
      </c>
      <c r="F662" s="3" t="s">
        <v>6600</v>
      </c>
      <c r="G662" s="3" t="s">
        <v>3054</v>
      </c>
      <c r="H662" s="21" t="s">
        <v>6601</v>
      </c>
      <c r="I662" s="3" t="s">
        <v>3099</v>
      </c>
    </row>
    <row r="663">
      <c r="A663" s="20" t="s">
        <v>6602</v>
      </c>
      <c r="B663" s="3" t="s">
        <v>6603</v>
      </c>
      <c r="C663" s="3" t="s">
        <v>6604</v>
      </c>
      <c r="D663" s="3" t="s">
        <v>6605</v>
      </c>
      <c r="E663" s="3" t="s">
        <v>3089</v>
      </c>
      <c r="F663" s="3" t="s">
        <v>6606</v>
      </c>
      <c r="G663" s="3" t="s">
        <v>6607</v>
      </c>
      <c r="H663" s="21" t="s">
        <v>6608</v>
      </c>
      <c r="I663" s="3" t="s">
        <v>3123</v>
      </c>
    </row>
    <row r="664">
      <c r="A664" s="20" t="s">
        <v>6609</v>
      </c>
      <c r="B664" s="3" t="s">
        <v>6610</v>
      </c>
      <c r="C664" s="3" t="s">
        <v>6611</v>
      </c>
      <c r="D664" s="3" t="s">
        <v>6612</v>
      </c>
      <c r="E664" s="3" t="s">
        <v>6613</v>
      </c>
      <c r="F664" s="3" t="s">
        <v>6614</v>
      </c>
      <c r="G664" s="3" t="s">
        <v>6615</v>
      </c>
      <c r="H664" s="21" t="s">
        <v>6616</v>
      </c>
      <c r="I664" s="3" t="s">
        <v>3123</v>
      </c>
    </row>
    <row r="665">
      <c r="A665" s="20" t="s">
        <v>6617</v>
      </c>
      <c r="B665" s="3" t="s">
        <v>6618</v>
      </c>
      <c r="C665" s="3" t="s">
        <v>6619</v>
      </c>
      <c r="D665" s="3" t="s">
        <v>6620</v>
      </c>
      <c r="E665" s="3" t="s">
        <v>3052</v>
      </c>
      <c r="F665" s="3" t="s">
        <v>6621</v>
      </c>
      <c r="G665" s="3" t="s">
        <v>3054</v>
      </c>
      <c r="H665" s="21" t="s">
        <v>6622</v>
      </c>
      <c r="I665" s="3" t="s">
        <v>3076</v>
      </c>
    </row>
    <row r="666">
      <c r="A666" s="20" t="s">
        <v>6623</v>
      </c>
      <c r="B666" s="3" t="s">
        <v>6624</v>
      </c>
      <c r="C666" s="3" t="s">
        <v>6625</v>
      </c>
      <c r="D666" s="3" t="s">
        <v>6626</v>
      </c>
      <c r="E666" s="3" t="s">
        <v>4441</v>
      </c>
      <c r="F666" s="3" t="s">
        <v>6627</v>
      </c>
      <c r="G666" s="3" t="s">
        <v>6628</v>
      </c>
      <c r="H666" s="21" t="s">
        <v>6629</v>
      </c>
      <c r="I666" s="3" t="s">
        <v>3076</v>
      </c>
    </row>
    <row r="667">
      <c r="A667" s="20" t="s">
        <v>6630</v>
      </c>
      <c r="B667" s="3" t="s">
        <v>6631</v>
      </c>
      <c r="C667" s="3" t="s">
        <v>6632</v>
      </c>
      <c r="D667" s="3" t="s">
        <v>6633</v>
      </c>
      <c r="E667" s="3" t="s">
        <v>3403</v>
      </c>
      <c r="F667" s="3" t="s">
        <v>6634</v>
      </c>
      <c r="G667" s="3" t="s">
        <v>6635</v>
      </c>
      <c r="H667" s="21" t="s">
        <v>6636</v>
      </c>
      <c r="I667" s="3" t="s">
        <v>3076</v>
      </c>
    </row>
    <row r="668">
      <c r="A668" s="20" t="s">
        <v>6637</v>
      </c>
      <c r="B668" s="3" t="s">
        <v>6638</v>
      </c>
      <c r="C668" s="3" t="s">
        <v>6639</v>
      </c>
      <c r="D668" s="3" t="s">
        <v>6640</v>
      </c>
      <c r="E668" s="3" t="s">
        <v>3052</v>
      </c>
      <c r="F668" s="3" t="s">
        <v>6641</v>
      </c>
      <c r="G668" s="3" t="s">
        <v>3054</v>
      </c>
      <c r="H668" s="3" t="s">
        <v>3054</v>
      </c>
      <c r="I668" s="3" t="s">
        <v>3123</v>
      </c>
    </row>
    <row r="669">
      <c r="A669" s="20" t="s">
        <v>6642</v>
      </c>
      <c r="B669" s="3" t="s">
        <v>999</v>
      </c>
      <c r="C669" s="3" t="s">
        <v>6643</v>
      </c>
      <c r="D669" s="3" t="s">
        <v>6644</v>
      </c>
      <c r="E669" s="3" t="s">
        <v>3403</v>
      </c>
      <c r="F669" s="3" t="s">
        <v>6645</v>
      </c>
      <c r="G669" s="3" t="s">
        <v>3054</v>
      </c>
      <c r="H669" s="21" t="s">
        <v>6646</v>
      </c>
      <c r="I669" s="3" t="s">
        <v>3186</v>
      </c>
    </row>
    <row r="670">
      <c r="A670" s="20" t="s">
        <v>6647</v>
      </c>
      <c r="B670" s="3" t="s">
        <v>6648</v>
      </c>
      <c r="C670" s="4"/>
      <c r="D670" s="3" t="s">
        <v>3115</v>
      </c>
      <c r="E670" s="3" t="s">
        <v>3116</v>
      </c>
      <c r="F670" s="4"/>
      <c r="G670" s="3" t="s">
        <v>3054</v>
      </c>
      <c r="H670" s="3" t="s">
        <v>3054</v>
      </c>
      <c r="I670" s="3" t="s">
        <v>3054</v>
      </c>
    </row>
    <row r="671">
      <c r="A671" s="20" t="s">
        <v>6649</v>
      </c>
      <c r="B671" s="3" t="s">
        <v>6650</v>
      </c>
      <c r="C671" s="3" t="s">
        <v>6651</v>
      </c>
      <c r="D671" s="3" t="s">
        <v>6652</v>
      </c>
      <c r="E671" s="3" t="s">
        <v>3052</v>
      </c>
      <c r="F671" s="3" t="s">
        <v>6653</v>
      </c>
      <c r="G671" s="3" t="s">
        <v>3054</v>
      </c>
      <c r="H671" s="21" t="s">
        <v>6654</v>
      </c>
      <c r="I671" s="3" t="s">
        <v>3137</v>
      </c>
    </row>
    <row r="672">
      <c r="A672" s="20" t="s">
        <v>6655</v>
      </c>
      <c r="B672" s="3" t="s">
        <v>6656</v>
      </c>
      <c r="C672" s="3" t="s">
        <v>6657</v>
      </c>
      <c r="D672" s="3" t="s">
        <v>6658</v>
      </c>
      <c r="E672" s="3" t="s">
        <v>3096</v>
      </c>
      <c r="F672" s="3" t="s">
        <v>6659</v>
      </c>
      <c r="G672" s="3" t="s">
        <v>3054</v>
      </c>
      <c r="H672" s="4"/>
      <c r="I672" s="3" t="s">
        <v>3123</v>
      </c>
    </row>
    <row r="673">
      <c r="A673" s="20" t="s">
        <v>6660</v>
      </c>
      <c r="B673" s="3" t="s">
        <v>6661</v>
      </c>
      <c r="C673" s="3" t="s">
        <v>6662</v>
      </c>
      <c r="D673" s="3" t="s">
        <v>6663</v>
      </c>
      <c r="E673" s="3" t="s">
        <v>3052</v>
      </c>
      <c r="F673" s="3" t="s">
        <v>6664</v>
      </c>
      <c r="G673" s="3" t="s">
        <v>3054</v>
      </c>
      <c r="H673" s="3" t="s">
        <v>3054</v>
      </c>
      <c r="I673" s="3" t="s">
        <v>3186</v>
      </c>
    </row>
    <row r="674">
      <c r="A674" s="20" t="s">
        <v>6665</v>
      </c>
      <c r="B674" s="3" t="s">
        <v>6666</v>
      </c>
      <c r="C674" s="3" t="s">
        <v>6667</v>
      </c>
      <c r="D674" s="3" t="s">
        <v>6668</v>
      </c>
      <c r="E674" s="3" t="s">
        <v>3073</v>
      </c>
      <c r="F674" s="3" t="s">
        <v>6669</v>
      </c>
      <c r="G674" s="3" t="s">
        <v>6670</v>
      </c>
      <c r="H674" s="21" t="s">
        <v>6671</v>
      </c>
      <c r="I674" s="3" t="s">
        <v>3076</v>
      </c>
    </row>
    <row r="675">
      <c r="A675" s="20" t="s">
        <v>6672</v>
      </c>
      <c r="B675" s="3" t="s">
        <v>6673</v>
      </c>
      <c r="C675" s="3" t="s">
        <v>6674</v>
      </c>
      <c r="D675" s="3" t="s">
        <v>6675</v>
      </c>
      <c r="E675" s="3" t="s">
        <v>3052</v>
      </c>
      <c r="F675" s="3" t="s">
        <v>6676</v>
      </c>
      <c r="G675" s="3" t="s">
        <v>6677</v>
      </c>
      <c r="H675" s="21" t="s">
        <v>6678</v>
      </c>
      <c r="I675" s="3" t="s">
        <v>3361</v>
      </c>
    </row>
    <row r="676">
      <c r="A676" s="20" t="s">
        <v>6679</v>
      </c>
      <c r="B676" s="3" t="s">
        <v>1510</v>
      </c>
      <c r="C676" s="3" t="s">
        <v>6680</v>
      </c>
      <c r="D676" s="3" t="s">
        <v>6681</v>
      </c>
      <c r="E676" s="3" t="s">
        <v>3403</v>
      </c>
      <c r="F676" s="3" t="s">
        <v>6682</v>
      </c>
      <c r="G676" s="3" t="s">
        <v>6683</v>
      </c>
      <c r="H676" s="3" t="s">
        <v>3054</v>
      </c>
      <c r="I676" s="3" t="s">
        <v>3099</v>
      </c>
    </row>
    <row r="677">
      <c r="A677" s="20" t="s">
        <v>6684</v>
      </c>
      <c r="B677" s="3" t="s">
        <v>6685</v>
      </c>
      <c r="C677" s="4"/>
      <c r="D677" s="3" t="s">
        <v>3115</v>
      </c>
      <c r="E677" s="3" t="s">
        <v>3116</v>
      </c>
      <c r="F677" s="4"/>
      <c r="G677" s="3" t="s">
        <v>3054</v>
      </c>
      <c r="H677" s="3" t="s">
        <v>3054</v>
      </c>
      <c r="I677" s="3" t="s">
        <v>3054</v>
      </c>
    </row>
    <row r="678">
      <c r="A678" s="20" t="s">
        <v>6686</v>
      </c>
      <c r="B678" s="3" t="s">
        <v>6687</v>
      </c>
      <c r="C678" s="3" t="s">
        <v>6688</v>
      </c>
      <c r="D678" s="3" t="s">
        <v>6689</v>
      </c>
      <c r="E678" s="3" t="s">
        <v>3933</v>
      </c>
      <c r="F678" s="3" t="s">
        <v>6690</v>
      </c>
      <c r="G678" s="3" t="s">
        <v>6691</v>
      </c>
      <c r="H678" s="21" t="s">
        <v>6692</v>
      </c>
      <c r="I678" s="3" t="s">
        <v>3061</v>
      </c>
    </row>
    <row r="679">
      <c r="A679" s="20" t="s">
        <v>6693</v>
      </c>
      <c r="B679" s="3" t="s">
        <v>6694</v>
      </c>
      <c r="C679" s="3" t="s">
        <v>6695</v>
      </c>
      <c r="D679" s="3" t="s">
        <v>6696</v>
      </c>
      <c r="E679" s="3" t="s">
        <v>3052</v>
      </c>
      <c r="F679" s="3" t="s">
        <v>6697</v>
      </c>
      <c r="G679" s="3" t="s">
        <v>3054</v>
      </c>
      <c r="H679" s="4"/>
      <c r="I679" s="3" t="s">
        <v>3099</v>
      </c>
    </row>
    <row r="680">
      <c r="A680" s="20" t="s">
        <v>6698</v>
      </c>
      <c r="B680" s="3" t="s">
        <v>6699</v>
      </c>
      <c r="C680" s="3" t="s">
        <v>6700</v>
      </c>
      <c r="D680" s="3" t="s">
        <v>6701</v>
      </c>
      <c r="E680" s="3" t="s">
        <v>3096</v>
      </c>
      <c r="F680" s="3" t="s">
        <v>6702</v>
      </c>
      <c r="G680" s="3" t="s">
        <v>6703</v>
      </c>
      <c r="H680" s="21" t="s">
        <v>6704</v>
      </c>
      <c r="I680" s="3" t="s">
        <v>3137</v>
      </c>
    </row>
    <row r="681">
      <c r="A681" s="20" t="s">
        <v>6705</v>
      </c>
      <c r="B681" s="3" t="s">
        <v>1740</v>
      </c>
      <c r="C681" s="3" t="s">
        <v>6706</v>
      </c>
      <c r="D681" s="3" t="s">
        <v>6707</v>
      </c>
      <c r="E681" s="3" t="s">
        <v>4491</v>
      </c>
      <c r="F681" s="3" t="s">
        <v>6708</v>
      </c>
      <c r="G681" s="3" t="s">
        <v>6709</v>
      </c>
      <c r="H681" s="21" t="s">
        <v>6710</v>
      </c>
      <c r="I681" s="3" t="s">
        <v>3099</v>
      </c>
    </row>
    <row r="682">
      <c r="A682" s="20" t="s">
        <v>6711</v>
      </c>
      <c r="B682" s="3" t="s">
        <v>1223</v>
      </c>
      <c r="C682" s="3" t="s">
        <v>6712</v>
      </c>
      <c r="D682" s="3" t="s">
        <v>6713</v>
      </c>
      <c r="E682" s="3" t="s">
        <v>3096</v>
      </c>
      <c r="F682" s="3" t="s">
        <v>6714</v>
      </c>
      <c r="G682" s="3" t="s">
        <v>3054</v>
      </c>
      <c r="H682" s="3" t="s">
        <v>3054</v>
      </c>
      <c r="I682" s="3" t="s">
        <v>3061</v>
      </c>
    </row>
    <row r="683">
      <c r="A683" s="20" t="s">
        <v>6715</v>
      </c>
      <c r="B683" s="3" t="s">
        <v>6716</v>
      </c>
      <c r="C683" s="3" t="s">
        <v>6717</v>
      </c>
      <c r="D683" s="3" t="s">
        <v>6718</v>
      </c>
      <c r="E683" s="3" t="s">
        <v>3096</v>
      </c>
      <c r="F683" s="3" t="s">
        <v>6719</v>
      </c>
      <c r="G683" s="3" t="s">
        <v>3054</v>
      </c>
      <c r="H683" s="21" t="s">
        <v>6720</v>
      </c>
      <c r="I683" s="3" t="s">
        <v>3137</v>
      </c>
    </row>
    <row r="684">
      <c r="A684" s="20" t="s">
        <v>6721</v>
      </c>
      <c r="B684" s="3" t="s">
        <v>6722</v>
      </c>
      <c r="C684" s="3" t="s">
        <v>6723</v>
      </c>
      <c r="D684" s="3" t="s">
        <v>6724</v>
      </c>
      <c r="E684" s="3" t="s">
        <v>3052</v>
      </c>
      <c r="F684" s="3" t="s">
        <v>6725</v>
      </c>
      <c r="G684" s="3" t="s">
        <v>3054</v>
      </c>
      <c r="H684" s="21" t="s">
        <v>6726</v>
      </c>
      <c r="I684" s="3" t="s">
        <v>3186</v>
      </c>
    </row>
    <row r="685">
      <c r="A685" s="20" t="s">
        <v>6727</v>
      </c>
      <c r="B685" s="3" t="s">
        <v>6728</v>
      </c>
      <c r="C685" s="3" t="s">
        <v>6729</v>
      </c>
      <c r="D685" s="3" t="s">
        <v>6730</v>
      </c>
      <c r="E685" s="3" t="s">
        <v>3096</v>
      </c>
      <c r="F685" s="3" t="s">
        <v>6731</v>
      </c>
      <c r="G685" s="3" t="s">
        <v>6732</v>
      </c>
      <c r="H685" s="21" t="s">
        <v>6733</v>
      </c>
      <c r="I685" s="3" t="s">
        <v>3361</v>
      </c>
    </row>
    <row r="686">
      <c r="A686" s="20" t="s">
        <v>6734</v>
      </c>
      <c r="B686" s="3" t="s">
        <v>6735</v>
      </c>
      <c r="C686" s="3" t="s">
        <v>6736</v>
      </c>
      <c r="D686" s="3" t="s">
        <v>6737</v>
      </c>
      <c r="E686" s="3" t="s">
        <v>3052</v>
      </c>
      <c r="F686" s="3" t="s">
        <v>6738</v>
      </c>
      <c r="G686" s="3" t="s">
        <v>3054</v>
      </c>
      <c r="H686" s="21" t="s">
        <v>6739</v>
      </c>
      <c r="I686" s="3" t="s">
        <v>3186</v>
      </c>
    </row>
    <row r="687">
      <c r="A687" s="20" t="s">
        <v>6740</v>
      </c>
      <c r="B687" s="3" t="s">
        <v>954</v>
      </c>
      <c r="C687" s="3" t="s">
        <v>6741</v>
      </c>
      <c r="D687" s="3" t="s">
        <v>6742</v>
      </c>
      <c r="E687" s="3" t="s">
        <v>3052</v>
      </c>
      <c r="F687" s="3" t="s">
        <v>6743</v>
      </c>
      <c r="G687" s="3" t="s">
        <v>3054</v>
      </c>
      <c r="H687" s="21" t="s">
        <v>6744</v>
      </c>
      <c r="I687" s="3" t="s">
        <v>3186</v>
      </c>
    </row>
    <row r="688">
      <c r="A688" s="20" t="s">
        <v>6745</v>
      </c>
      <c r="B688" s="3" t="s">
        <v>6746</v>
      </c>
      <c r="C688" s="3" t="s">
        <v>6747</v>
      </c>
      <c r="D688" s="3" t="s">
        <v>6748</v>
      </c>
      <c r="E688" s="3" t="s">
        <v>3096</v>
      </c>
      <c r="F688" s="3" t="s">
        <v>6749</v>
      </c>
      <c r="G688" s="3" t="s">
        <v>3054</v>
      </c>
      <c r="H688" s="3" t="s">
        <v>3054</v>
      </c>
      <c r="I688" s="3" t="s">
        <v>3099</v>
      </c>
    </row>
    <row r="689">
      <c r="A689" s="20" t="s">
        <v>6750</v>
      </c>
      <c r="B689" s="3" t="s">
        <v>6751</v>
      </c>
      <c r="C689" s="3" t="s">
        <v>6752</v>
      </c>
      <c r="D689" s="3" t="s">
        <v>6753</v>
      </c>
      <c r="E689" s="3" t="s">
        <v>3052</v>
      </c>
      <c r="F689" s="3" t="s">
        <v>6754</v>
      </c>
      <c r="G689" s="3" t="s">
        <v>3054</v>
      </c>
      <c r="H689" s="21" t="s">
        <v>6755</v>
      </c>
      <c r="I689" s="3" t="s">
        <v>3099</v>
      </c>
    </row>
    <row r="690">
      <c r="A690" s="20" t="s">
        <v>6756</v>
      </c>
      <c r="B690" s="3" t="s">
        <v>6757</v>
      </c>
      <c r="C690" s="3" t="s">
        <v>6758</v>
      </c>
      <c r="D690" s="3" t="s">
        <v>6759</v>
      </c>
      <c r="E690" s="3" t="s">
        <v>3096</v>
      </c>
      <c r="F690" s="3" t="s">
        <v>6760</v>
      </c>
      <c r="G690" s="3" t="s">
        <v>3054</v>
      </c>
      <c r="H690" s="21" t="s">
        <v>6761</v>
      </c>
      <c r="I690" s="3" t="s">
        <v>3054</v>
      </c>
    </row>
    <row r="691">
      <c r="A691" s="20" t="s">
        <v>6762</v>
      </c>
      <c r="B691" s="3" t="s">
        <v>6763</v>
      </c>
      <c r="C691" s="3" t="s">
        <v>6764</v>
      </c>
      <c r="D691" s="3" t="s">
        <v>6765</v>
      </c>
      <c r="E691" s="3" t="s">
        <v>3073</v>
      </c>
      <c r="F691" s="3" t="s">
        <v>6766</v>
      </c>
      <c r="G691" s="3" t="s">
        <v>6767</v>
      </c>
      <c r="H691" s="3" t="s">
        <v>3054</v>
      </c>
      <c r="I691" s="3" t="s">
        <v>3054</v>
      </c>
    </row>
    <row r="692">
      <c r="A692" s="20" t="s">
        <v>6768</v>
      </c>
      <c r="B692" s="3" t="s">
        <v>1606</v>
      </c>
      <c r="C692" s="3" t="s">
        <v>6769</v>
      </c>
      <c r="D692" s="3" t="s">
        <v>5593</v>
      </c>
      <c r="E692" s="3" t="s">
        <v>3073</v>
      </c>
      <c r="F692" s="3" t="s">
        <v>6770</v>
      </c>
      <c r="G692" s="3" t="s">
        <v>3054</v>
      </c>
      <c r="H692" s="21" t="s">
        <v>6771</v>
      </c>
      <c r="I692" s="3" t="s">
        <v>3099</v>
      </c>
    </row>
    <row r="693">
      <c r="A693" s="20" t="s">
        <v>6772</v>
      </c>
      <c r="B693" s="3" t="s">
        <v>6773</v>
      </c>
      <c r="C693" s="3" t="s">
        <v>6774</v>
      </c>
      <c r="D693" s="3" t="s">
        <v>6775</v>
      </c>
      <c r="E693" s="3" t="s">
        <v>3052</v>
      </c>
      <c r="F693" s="3" t="s">
        <v>6776</v>
      </c>
      <c r="G693" s="3" t="s">
        <v>3054</v>
      </c>
      <c r="H693" s="4"/>
      <c r="I693" s="3" t="s">
        <v>3186</v>
      </c>
    </row>
    <row r="694">
      <c r="A694" s="20" t="s">
        <v>6777</v>
      </c>
      <c r="B694" s="3" t="s">
        <v>6778</v>
      </c>
      <c r="C694" s="3" t="s">
        <v>6779</v>
      </c>
      <c r="D694" s="3" t="s">
        <v>6780</v>
      </c>
      <c r="E694" s="3" t="s">
        <v>6781</v>
      </c>
      <c r="F694" s="3" t="s">
        <v>6782</v>
      </c>
      <c r="G694" s="3" t="s">
        <v>3054</v>
      </c>
      <c r="H694" s="21" t="s">
        <v>6783</v>
      </c>
      <c r="I694" s="3" t="s">
        <v>3186</v>
      </c>
    </row>
    <row r="695">
      <c r="A695" s="20" t="s">
        <v>6784</v>
      </c>
      <c r="B695" s="3" t="s">
        <v>6785</v>
      </c>
      <c r="C695" s="3" t="s">
        <v>6786</v>
      </c>
      <c r="D695" s="3" t="s">
        <v>6787</v>
      </c>
      <c r="E695" s="3" t="s">
        <v>3052</v>
      </c>
      <c r="F695" s="3" t="s">
        <v>6788</v>
      </c>
      <c r="G695" s="3" t="s">
        <v>6789</v>
      </c>
      <c r="H695" s="3" t="s">
        <v>3054</v>
      </c>
      <c r="I695" s="3" t="s">
        <v>3099</v>
      </c>
    </row>
    <row r="696">
      <c r="A696" s="20" t="s">
        <v>6790</v>
      </c>
      <c r="B696" s="3" t="s">
        <v>6791</v>
      </c>
      <c r="C696" s="3" t="s">
        <v>6792</v>
      </c>
      <c r="D696" s="3" t="s">
        <v>6793</v>
      </c>
      <c r="E696" s="3" t="s">
        <v>3052</v>
      </c>
      <c r="F696" s="3" t="s">
        <v>6794</v>
      </c>
      <c r="G696" s="3" t="s">
        <v>3054</v>
      </c>
      <c r="H696" s="3" t="s">
        <v>3054</v>
      </c>
      <c r="I696" s="3" t="s">
        <v>3123</v>
      </c>
    </row>
    <row r="697">
      <c r="A697" s="20" t="s">
        <v>6795</v>
      </c>
      <c r="B697" s="3" t="s">
        <v>6796</v>
      </c>
      <c r="C697" s="3" t="s">
        <v>6797</v>
      </c>
      <c r="D697" s="3" t="s">
        <v>6798</v>
      </c>
      <c r="E697" s="3" t="s">
        <v>3096</v>
      </c>
      <c r="F697" s="3" t="s">
        <v>6799</v>
      </c>
      <c r="G697" s="3" t="s">
        <v>3054</v>
      </c>
      <c r="H697" s="21" t="s">
        <v>6800</v>
      </c>
      <c r="I697" s="3" t="s">
        <v>3099</v>
      </c>
    </row>
    <row r="698">
      <c r="A698" s="20" t="s">
        <v>6801</v>
      </c>
      <c r="B698" s="3" t="s">
        <v>6802</v>
      </c>
      <c r="C698" s="3" t="s">
        <v>6803</v>
      </c>
      <c r="D698" s="3" t="s">
        <v>6804</v>
      </c>
      <c r="E698" s="3" t="s">
        <v>3052</v>
      </c>
      <c r="F698" s="3" t="s">
        <v>6805</v>
      </c>
      <c r="G698" s="3" t="s">
        <v>3054</v>
      </c>
      <c r="H698" s="3" t="s">
        <v>3054</v>
      </c>
      <c r="I698" s="3" t="s">
        <v>3123</v>
      </c>
    </row>
    <row r="699">
      <c r="A699" s="20" t="s">
        <v>6806</v>
      </c>
      <c r="B699" s="3" t="s">
        <v>1499</v>
      </c>
      <c r="C699" s="3" t="s">
        <v>6807</v>
      </c>
      <c r="D699" s="3" t="s">
        <v>3471</v>
      </c>
      <c r="E699" s="3" t="s">
        <v>3073</v>
      </c>
      <c r="F699" s="3" t="s">
        <v>6808</v>
      </c>
      <c r="G699" s="3" t="s">
        <v>3054</v>
      </c>
      <c r="H699" s="21" t="s">
        <v>6809</v>
      </c>
      <c r="I699" s="3" t="s">
        <v>3099</v>
      </c>
    </row>
    <row r="700">
      <c r="A700" s="20" t="s">
        <v>6810</v>
      </c>
      <c r="B700" s="3" t="s">
        <v>6811</v>
      </c>
      <c r="C700" s="3" t="s">
        <v>6812</v>
      </c>
      <c r="D700" s="3" t="s">
        <v>6813</v>
      </c>
      <c r="E700" s="3" t="s">
        <v>3073</v>
      </c>
      <c r="F700" s="3" t="s">
        <v>6814</v>
      </c>
      <c r="G700" s="3" t="s">
        <v>6815</v>
      </c>
      <c r="H700" s="3" t="s">
        <v>3054</v>
      </c>
      <c r="I700" s="3" t="s">
        <v>3186</v>
      </c>
    </row>
    <row r="701">
      <c r="A701" s="20" t="s">
        <v>6816</v>
      </c>
      <c r="B701" s="3" t="s">
        <v>6817</v>
      </c>
      <c r="C701" s="3" t="s">
        <v>6818</v>
      </c>
      <c r="D701" s="3" t="s">
        <v>6819</v>
      </c>
      <c r="E701" s="3" t="s">
        <v>3235</v>
      </c>
      <c r="F701" s="3" t="s">
        <v>6820</v>
      </c>
      <c r="G701" s="3" t="s">
        <v>6821</v>
      </c>
      <c r="H701" s="3" t="s">
        <v>3054</v>
      </c>
      <c r="I701" s="3" t="s">
        <v>3099</v>
      </c>
    </row>
    <row r="702">
      <c r="A702" s="20" t="s">
        <v>6822</v>
      </c>
      <c r="B702" s="3" t="s">
        <v>6823</v>
      </c>
      <c r="C702" s="3" t="s">
        <v>6824</v>
      </c>
      <c r="D702" s="3" t="s">
        <v>6825</v>
      </c>
      <c r="E702" s="3" t="s">
        <v>3073</v>
      </c>
      <c r="F702" s="3" t="s">
        <v>6826</v>
      </c>
      <c r="G702" s="3" t="s">
        <v>6827</v>
      </c>
      <c r="H702" s="3" t="s">
        <v>3054</v>
      </c>
      <c r="I702" s="3" t="s">
        <v>3230</v>
      </c>
    </row>
    <row r="703">
      <c r="A703" s="20" t="s">
        <v>6828</v>
      </c>
      <c r="B703" s="3" t="s">
        <v>6829</v>
      </c>
      <c r="C703" s="3" t="s">
        <v>6830</v>
      </c>
      <c r="D703" s="3" t="s">
        <v>6831</v>
      </c>
      <c r="E703" s="3" t="s">
        <v>3403</v>
      </c>
      <c r="F703" s="3" t="s">
        <v>6832</v>
      </c>
      <c r="G703" s="3" t="s">
        <v>6833</v>
      </c>
      <c r="H703" s="3" t="s">
        <v>6834</v>
      </c>
      <c r="I703" s="3" t="s">
        <v>3361</v>
      </c>
    </row>
    <row r="704">
      <c r="A704" s="20" t="s">
        <v>6835</v>
      </c>
      <c r="B704" s="3" t="s">
        <v>1063</v>
      </c>
      <c r="C704" s="4"/>
      <c r="D704" s="3" t="s">
        <v>3115</v>
      </c>
      <c r="E704" s="3" t="s">
        <v>3116</v>
      </c>
      <c r="F704" s="4"/>
      <c r="G704" s="3" t="s">
        <v>3054</v>
      </c>
      <c r="H704" s="3" t="s">
        <v>3054</v>
      </c>
      <c r="I704" s="3" t="s">
        <v>3054</v>
      </c>
    </row>
    <row r="705">
      <c r="A705" s="20" t="s">
        <v>6836</v>
      </c>
      <c r="B705" s="3" t="s">
        <v>6837</v>
      </c>
      <c r="C705" s="3" t="s">
        <v>6838</v>
      </c>
      <c r="D705" s="3" t="s">
        <v>6839</v>
      </c>
      <c r="E705" s="3" t="s">
        <v>3073</v>
      </c>
      <c r="F705" s="3" t="s">
        <v>6840</v>
      </c>
      <c r="G705" s="3" t="s">
        <v>4121</v>
      </c>
      <c r="H705" s="21" t="s">
        <v>4386</v>
      </c>
      <c r="I705" s="3" t="s">
        <v>3186</v>
      </c>
    </row>
    <row r="706">
      <c r="A706" s="20" t="s">
        <v>6841</v>
      </c>
      <c r="B706" s="3" t="s">
        <v>6842</v>
      </c>
      <c r="C706" s="3" t="s">
        <v>6843</v>
      </c>
      <c r="D706" s="3" t="s">
        <v>6844</v>
      </c>
      <c r="E706" s="3" t="s">
        <v>4136</v>
      </c>
      <c r="F706" s="3" t="s">
        <v>6845</v>
      </c>
      <c r="G706" s="3" t="s">
        <v>6846</v>
      </c>
      <c r="H706" s="3" t="s">
        <v>3054</v>
      </c>
      <c r="I706" s="3" t="s">
        <v>3137</v>
      </c>
    </row>
    <row r="707">
      <c r="A707" s="20" t="s">
        <v>6847</v>
      </c>
      <c r="B707" s="3" t="s">
        <v>6848</v>
      </c>
      <c r="C707" s="3" t="s">
        <v>6849</v>
      </c>
      <c r="D707" s="3" t="s">
        <v>6850</v>
      </c>
      <c r="E707" s="3" t="s">
        <v>3073</v>
      </c>
      <c r="F707" s="3" t="s">
        <v>6851</v>
      </c>
      <c r="G707" s="3" t="s">
        <v>3054</v>
      </c>
      <c r="H707" s="21" t="s">
        <v>6852</v>
      </c>
      <c r="I707" s="3" t="s">
        <v>3230</v>
      </c>
    </row>
    <row r="708">
      <c r="A708" s="20" t="s">
        <v>6853</v>
      </c>
      <c r="B708" s="3" t="s">
        <v>6854</v>
      </c>
      <c r="C708" s="3" t="s">
        <v>6855</v>
      </c>
      <c r="D708" s="3" t="s">
        <v>6856</v>
      </c>
      <c r="E708" s="3" t="s">
        <v>3066</v>
      </c>
      <c r="F708" s="3" t="s">
        <v>6857</v>
      </c>
      <c r="G708" s="3" t="s">
        <v>6858</v>
      </c>
      <c r="H708" s="3" t="s">
        <v>3054</v>
      </c>
      <c r="I708" s="3" t="s">
        <v>3076</v>
      </c>
    </row>
    <row r="709">
      <c r="A709" s="20" t="s">
        <v>6859</v>
      </c>
      <c r="B709" s="3" t="s">
        <v>6860</v>
      </c>
      <c r="C709" s="3" t="s">
        <v>6861</v>
      </c>
      <c r="D709" s="3" t="s">
        <v>6862</v>
      </c>
      <c r="E709" s="3" t="s">
        <v>6863</v>
      </c>
      <c r="F709" s="3" t="s">
        <v>6864</v>
      </c>
      <c r="G709" s="3" t="s">
        <v>6865</v>
      </c>
      <c r="H709" s="21" t="s">
        <v>6866</v>
      </c>
      <c r="I709" s="3" t="s">
        <v>3061</v>
      </c>
    </row>
    <row r="710">
      <c r="A710" s="20" t="s">
        <v>6867</v>
      </c>
      <c r="B710" s="3" t="s">
        <v>6868</v>
      </c>
      <c r="C710" s="4"/>
      <c r="D710" s="3" t="s">
        <v>3115</v>
      </c>
      <c r="E710" s="3" t="s">
        <v>3116</v>
      </c>
      <c r="F710" s="4"/>
      <c r="G710" s="3" t="s">
        <v>3054</v>
      </c>
      <c r="H710" s="3" t="s">
        <v>3054</v>
      </c>
      <c r="I710" s="3" t="s">
        <v>3054</v>
      </c>
    </row>
    <row r="711">
      <c r="A711" s="20" t="s">
        <v>6869</v>
      </c>
      <c r="B711" s="3" t="s">
        <v>6870</v>
      </c>
      <c r="C711" s="4"/>
      <c r="D711" s="3" t="s">
        <v>3115</v>
      </c>
      <c r="E711" s="3" t="s">
        <v>3116</v>
      </c>
      <c r="F711" s="4"/>
      <c r="G711" s="3" t="s">
        <v>3054</v>
      </c>
      <c r="H711" s="3" t="s">
        <v>3054</v>
      </c>
      <c r="I711" s="3" t="s">
        <v>3054</v>
      </c>
    </row>
    <row r="712">
      <c r="A712" s="20" t="s">
        <v>6871</v>
      </c>
      <c r="B712" s="3" t="s">
        <v>6872</v>
      </c>
      <c r="C712" s="3" t="s">
        <v>6873</v>
      </c>
      <c r="D712" s="3" t="s">
        <v>6874</v>
      </c>
      <c r="E712" s="3" t="s">
        <v>3096</v>
      </c>
      <c r="F712" s="3" t="s">
        <v>6875</v>
      </c>
      <c r="G712" s="3" t="s">
        <v>3054</v>
      </c>
      <c r="H712" s="4"/>
      <c r="I712" s="3" t="s">
        <v>3099</v>
      </c>
    </row>
    <row r="713">
      <c r="A713" s="20" t="s">
        <v>6876</v>
      </c>
      <c r="B713" s="3" t="s">
        <v>6877</v>
      </c>
      <c r="C713" s="3" t="s">
        <v>6878</v>
      </c>
      <c r="D713" s="3" t="s">
        <v>6879</v>
      </c>
      <c r="E713" s="3" t="s">
        <v>3052</v>
      </c>
      <c r="F713" s="3" t="s">
        <v>6880</v>
      </c>
      <c r="G713" s="3" t="s">
        <v>3054</v>
      </c>
      <c r="H713" s="21" t="s">
        <v>6881</v>
      </c>
      <c r="I713" s="3" t="s">
        <v>3099</v>
      </c>
    </row>
    <row r="714">
      <c r="A714" s="20" t="s">
        <v>6882</v>
      </c>
      <c r="B714" s="3" t="s">
        <v>6883</v>
      </c>
      <c r="C714" s="3" t="s">
        <v>6884</v>
      </c>
      <c r="D714" s="3" t="s">
        <v>6885</v>
      </c>
      <c r="E714" s="3" t="s">
        <v>3403</v>
      </c>
      <c r="F714" s="3" t="s">
        <v>6886</v>
      </c>
      <c r="G714" s="3" t="s">
        <v>3054</v>
      </c>
      <c r="H714" s="3" t="s">
        <v>3054</v>
      </c>
      <c r="I714" s="3" t="s">
        <v>3076</v>
      </c>
    </row>
    <row r="715">
      <c r="A715" s="20" t="s">
        <v>6887</v>
      </c>
      <c r="B715" s="3" t="s">
        <v>6888</v>
      </c>
      <c r="C715" s="3" t="s">
        <v>6889</v>
      </c>
      <c r="D715" s="3" t="s">
        <v>6890</v>
      </c>
      <c r="E715" s="3" t="s">
        <v>3073</v>
      </c>
      <c r="F715" s="3" t="s">
        <v>6891</v>
      </c>
      <c r="G715" s="3" t="s">
        <v>3054</v>
      </c>
      <c r="H715" s="3" t="s">
        <v>3054</v>
      </c>
      <c r="I715" s="3" t="s">
        <v>3061</v>
      </c>
    </row>
    <row r="716">
      <c r="A716" s="20" t="s">
        <v>6892</v>
      </c>
      <c r="B716" s="3" t="s">
        <v>6893</v>
      </c>
      <c r="C716" s="3" t="s">
        <v>6894</v>
      </c>
      <c r="D716" s="3" t="s">
        <v>6895</v>
      </c>
      <c r="E716" s="3" t="s">
        <v>4357</v>
      </c>
      <c r="F716" s="3" t="s">
        <v>6896</v>
      </c>
      <c r="G716" s="3" t="s">
        <v>6897</v>
      </c>
      <c r="H716" s="3" t="s">
        <v>3054</v>
      </c>
      <c r="I716" s="3" t="s">
        <v>3099</v>
      </c>
    </row>
    <row r="717">
      <c r="A717" s="20" t="s">
        <v>6898</v>
      </c>
      <c r="B717" s="3" t="s">
        <v>6899</v>
      </c>
      <c r="C717" s="3" t="s">
        <v>6900</v>
      </c>
      <c r="D717" s="3" t="s">
        <v>5364</v>
      </c>
      <c r="E717" s="3" t="s">
        <v>3096</v>
      </c>
      <c r="F717" s="3" t="s">
        <v>6901</v>
      </c>
      <c r="G717" s="3" t="s">
        <v>3054</v>
      </c>
      <c r="H717" s="21" t="s">
        <v>6902</v>
      </c>
      <c r="I717" s="3" t="s">
        <v>3099</v>
      </c>
    </row>
    <row r="718">
      <c r="A718" s="20" t="s">
        <v>6903</v>
      </c>
      <c r="B718" s="3" t="s">
        <v>2748</v>
      </c>
      <c r="C718" s="3" t="s">
        <v>6904</v>
      </c>
      <c r="D718" s="3" t="s">
        <v>6905</v>
      </c>
      <c r="E718" s="3" t="s">
        <v>3052</v>
      </c>
      <c r="F718" s="3" t="s">
        <v>6906</v>
      </c>
      <c r="G718" s="3" t="s">
        <v>3054</v>
      </c>
      <c r="H718" s="3" t="s">
        <v>3054</v>
      </c>
      <c r="I718" s="3" t="s">
        <v>3099</v>
      </c>
    </row>
    <row r="719">
      <c r="A719" s="20" t="s">
        <v>6907</v>
      </c>
      <c r="B719" s="3" t="s">
        <v>6908</v>
      </c>
      <c r="C719" s="3" t="s">
        <v>6909</v>
      </c>
      <c r="D719" s="3" t="s">
        <v>5729</v>
      </c>
      <c r="E719" s="3" t="s">
        <v>3052</v>
      </c>
      <c r="F719" s="3" t="s">
        <v>5730</v>
      </c>
      <c r="G719" s="3" t="s">
        <v>3054</v>
      </c>
      <c r="H719" s="3" t="s">
        <v>3054</v>
      </c>
      <c r="I719" s="3" t="s">
        <v>3186</v>
      </c>
    </row>
    <row r="720">
      <c r="A720" s="20" t="s">
        <v>6910</v>
      </c>
      <c r="B720" s="3" t="s">
        <v>6911</v>
      </c>
      <c r="C720" s="3" t="s">
        <v>6912</v>
      </c>
      <c r="D720" s="3" t="s">
        <v>6913</v>
      </c>
      <c r="E720" s="3" t="s">
        <v>3096</v>
      </c>
      <c r="F720" s="3" t="s">
        <v>4884</v>
      </c>
      <c r="G720" s="3" t="s">
        <v>3054</v>
      </c>
      <c r="H720" s="4"/>
      <c r="I720" s="3" t="s">
        <v>3061</v>
      </c>
    </row>
    <row r="721">
      <c r="A721" s="20" t="s">
        <v>6914</v>
      </c>
      <c r="B721" s="3" t="s">
        <v>6915</v>
      </c>
      <c r="C721" s="3" t="s">
        <v>6916</v>
      </c>
      <c r="D721" s="3" t="s">
        <v>6917</v>
      </c>
      <c r="E721" s="3" t="s">
        <v>3052</v>
      </c>
      <c r="F721" s="3" t="s">
        <v>6918</v>
      </c>
      <c r="G721" s="3" t="s">
        <v>6919</v>
      </c>
      <c r="H721" s="4"/>
      <c r="I721" s="3" t="s">
        <v>3099</v>
      </c>
    </row>
    <row r="722">
      <c r="A722" s="20" t="s">
        <v>6920</v>
      </c>
      <c r="B722" s="3" t="s">
        <v>134</v>
      </c>
      <c r="C722" s="3" t="s">
        <v>6921</v>
      </c>
      <c r="D722" s="3" t="s">
        <v>6922</v>
      </c>
      <c r="E722" s="3" t="s">
        <v>3177</v>
      </c>
      <c r="F722" s="3" t="s">
        <v>6923</v>
      </c>
      <c r="G722" s="3" t="s">
        <v>6924</v>
      </c>
      <c r="H722" s="3" t="s">
        <v>3054</v>
      </c>
      <c r="I722" s="3" t="s">
        <v>3186</v>
      </c>
    </row>
    <row r="723">
      <c r="A723" s="20" t="s">
        <v>6925</v>
      </c>
      <c r="B723" s="3" t="s">
        <v>6926</v>
      </c>
      <c r="C723" s="3" t="s">
        <v>6927</v>
      </c>
      <c r="D723" s="3" t="s">
        <v>6928</v>
      </c>
      <c r="E723" s="3" t="s">
        <v>6929</v>
      </c>
      <c r="F723" s="3" t="s">
        <v>6930</v>
      </c>
      <c r="G723" s="3" t="s">
        <v>3054</v>
      </c>
      <c r="H723" s="21" t="s">
        <v>6931</v>
      </c>
      <c r="I723" s="3" t="s">
        <v>3099</v>
      </c>
    </row>
    <row r="724">
      <c r="A724" s="20" t="s">
        <v>6932</v>
      </c>
      <c r="B724" s="3" t="s">
        <v>6933</v>
      </c>
      <c r="C724" s="3" t="s">
        <v>6934</v>
      </c>
      <c r="D724" s="3" t="s">
        <v>6935</v>
      </c>
      <c r="E724" s="3" t="s">
        <v>3052</v>
      </c>
      <c r="F724" s="3" t="s">
        <v>6936</v>
      </c>
      <c r="G724" s="3" t="s">
        <v>3054</v>
      </c>
      <c r="H724" s="21" t="s">
        <v>6937</v>
      </c>
      <c r="I724" s="3" t="s">
        <v>3099</v>
      </c>
    </row>
    <row r="725">
      <c r="A725" s="20" t="s">
        <v>6938</v>
      </c>
      <c r="B725" s="3" t="s">
        <v>6939</v>
      </c>
      <c r="C725" s="3" t="s">
        <v>6940</v>
      </c>
      <c r="D725" s="3" t="s">
        <v>6379</v>
      </c>
      <c r="E725" s="3" t="s">
        <v>3052</v>
      </c>
      <c r="F725" s="3" t="s">
        <v>6941</v>
      </c>
      <c r="G725" s="3" t="s">
        <v>3054</v>
      </c>
      <c r="H725" s="3" t="s">
        <v>3054</v>
      </c>
      <c r="I725" s="3" t="s">
        <v>3061</v>
      </c>
    </row>
    <row r="726">
      <c r="A726" s="20" t="s">
        <v>6942</v>
      </c>
      <c r="B726" s="3" t="s">
        <v>6943</v>
      </c>
      <c r="C726" s="3" t="s">
        <v>6944</v>
      </c>
      <c r="D726" s="3" t="s">
        <v>6945</v>
      </c>
      <c r="E726" s="3" t="s">
        <v>3800</v>
      </c>
      <c r="F726" s="3" t="s">
        <v>6946</v>
      </c>
      <c r="G726" s="3" t="s">
        <v>6947</v>
      </c>
      <c r="H726" s="21" t="s">
        <v>6948</v>
      </c>
      <c r="I726" s="3" t="s">
        <v>3099</v>
      </c>
    </row>
    <row r="727">
      <c r="A727" s="20" t="s">
        <v>6949</v>
      </c>
      <c r="B727" s="3" t="s">
        <v>6950</v>
      </c>
      <c r="C727" s="3" t="s">
        <v>6951</v>
      </c>
      <c r="D727" s="3" t="s">
        <v>6952</v>
      </c>
      <c r="E727" s="3" t="s">
        <v>3052</v>
      </c>
      <c r="F727" s="3" t="s">
        <v>6953</v>
      </c>
      <c r="G727" s="3" t="s">
        <v>3054</v>
      </c>
      <c r="H727" s="21" t="s">
        <v>6954</v>
      </c>
      <c r="I727" s="3" t="s">
        <v>3230</v>
      </c>
    </row>
    <row r="728">
      <c r="A728" s="20" t="s">
        <v>6955</v>
      </c>
      <c r="B728" s="3" t="s">
        <v>6956</v>
      </c>
      <c r="C728" s="3" t="s">
        <v>6957</v>
      </c>
      <c r="D728" s="3" t="s">
        <v>6958</v>
      </c>
      <c r="E728" s="3" t="s">
        <v>3096</v>
      </c>
      <c r="F728" s="3" t="s">
        <v>6959</v>
      </c>
      <c r="G728" s="3" t="s">
        <v>3054</v>
      </c>
      <c r="H728" s="21" t="s">
        <v>6960</v>
      </c>
      <c r="I728" s="3" t="s">
        <v>3099</v>
      </c>
    </row>
    <row r="729">
      <c r="A729" s="20" t="s">
        <v>6961</v>
      </c>
      <c r="B729" s="3" t="s">
        <v>6962</v>
      </c>
      <c r="C729" s="3" t="s">
        <v>6963</v>
      </c>
      <c r="D729" s="3" t="s">
        <v>6964</v>
      </c>
      <c r="E729" s="3" t="s">
        <v>3052</v>
      </c>
      <c r="F729" s="3" t="s">
        <v>6965</v>
      </c>
      <c r="G729" s="3" t="s">
        <v>6966</v>
      </c>
      <c r="H729" s="3" t="s">
        <v>3054</v>
      </c>
      <c r="I729" s="3" t="s">
        <v>3099</v>
      </c>
    </row>
    <row r="730">
      <c r="A730" s="20" t="s">
        <v>6967</v>
      </c>
      <c r="B730" s="3" t="s">
        <v>6968</v>
      </c>
      <c r="C730" s="3" t="s">
        <v>6969</v>
      </c>
      <c r="D730" s="3" t="s">
        <v>6970</v>
      </c>
      <c r="E730" s="3" t="s">
        <v>3066</v>
      </c>
      <c r="F730" s="3" t="s">
        <v>6971</v>
      </c>
      <c r="G730" s="3" t="s">
        <v>3054</v>
      </c>
      <c r="H730" s="3" t="s">
        <v>3054</v>
      </c>
      <c r="I730" s="3" t="s">
        <v>3069</v>
      </c>
    </row>
    <row r="731">
      <c r="A731" s="20" t="s">
        <v>6972</v>
      </c>
      <c r="B731" s="3" t="s">
        <v>6973</v>
      </c>
      <c r="C731" s="3" t="s">
        <v>6974</v>
      </c>
      <c r="D731" s="3" t="s">
        <v>6975</v>
      </c>
      <c r="E731" s="3" t="s">
        <v>3052</v>
      </c>
      <c r="F731" s="3" t="s">
        <v>6976</v>
      </c>
      <c r="G731" s="3" t="s">
        <v>3054</v>
      </c>
      <c r="H731" s="21" t="s">
        <v>6977</v>
      </c>
      <c r="I731" s="3" t="s">
        <v>3099</v>
      </c>
    </row>
    <row r="732">
      <c r="A732" s="20" t="s">
        <v>6978</v>
      </c>
      <c r="B732" s="3" t="s">
        <v>6979</v>
      </c>
      <c r="C732" s="3" t="s">
        <v>6980</v>
      </c>
      <c r="D732" s="3" t="s">
        <v>6981</v>
      </c>
      <c r="E732" s="3" t="s">
        <v>3073</v>
      </c>
      <c r="F732" s="3" t="s">
        <v>6982</v>
      </c>
      <c r="G732" s="3" t="s">
        <v>3054</v>
      </c>
      <c r="H732" s="3" t="s">
        <v>3054</v>
      </c>
      <c r="I732" s="3" t="s">
        <v>3186</v>
      </c>
    </row>
    <row r="733">
      <c r="A733" s="20" t="s">
        <v>6983</v>
      </c>
      <c r="B733" s="3" t="s">
        <v>2849</v>
      </c>
      <c r="C733" s="3" t="s">
        <v>6984</v>
      </c>
      <c r="D733" s="3" t="s">
        <v>6985</v>
      </c>
      <c r="E733" s="3" t="s">
        <v>3096</v>
      </c>
      <c r="F733" s="3" t="s">
        <v>6986</v>
      </c>
      <c r="G733" s="3" t="s">
        <v>3054</v>
      </c>
      <c r="H733" s="3" t="s">
        <v>3054</v>
      </c>
      <c r="I733" s="3" t="s">
        <v>3061</v>
      </c>
    </row>
    <row r="734">
      <c r="A734" s="20" t="s">
        <v>6987</v>
      </c>
      <c r="B734" s="3" t="s">
        <v>6988</v>
      </c>
      <c r="C734" s="4"/>
      <c r="D734" s="3" t="s">
        <v>3115</v>
      </c>
      <c r="E734" s="3" t="s">
        <v>3116</v>
      </c>
      <c r="F734" s="4"/>
      <c r="G734" s="3" t="s">
        <v>3054</v>
      </c>
      <c r="H734" s="3" t="s">
        <v>3054</v>
      </c>
      <c r="I734" s="3" t="s">
        <v>3054</v>
      </c>
    </row>
    <row r="735">
      <c r="A735" s="20" t="s">
        <v>6989</v>
      </c>
      <c r="B735" s="3" t="s">
        <v>6990</v>
      </c>
      <c r="C735" s="4"/>
      <c r="D735" s="3" t="s">
        <v>3115</v>
      </c>
      <c r="E735" s="3" t="s">
        <v>3116</v>
      </c>
      <c r="F735" s="4"/>
      <c r="G735" s="3" t="s">
        <v>3054</v>
      </c>
      <c r="H735" s="3" t="s">
        <v>3054</v>
      </c>
      <c r="I735" s="3" t="s">
        <v>3054</v>
      </c>
    </row>
    <row r="736">
      <c r="A736" s="20" t="s">
        <v>6991</v>
      </c>
      <c r="B736" s="3" t="s">
        <v>6992</v>
      </c>
      <c r="C736" s="3" t="s">
        <v>6993</v>
      </c>
      <c r="D736" s="3" t="s">
        <v>6994</v>
      </c>
      <c r="E736" s="3" t="s">
        <v>3052</v>
      </c>
      <c r="F736" s="3" t="s">
        <v>6995</v>
      </c>
      <c r="G736" s="3" t="s">
        <v>6996</v>
      </c>
      <c r="H736" s="3" t="s">
        <v>3054</v>
      </c>
      <c r="I736" s="3" t="s">
        <v>3137</v>
      </c>
    </row>
    <row r="737">
      <c r="A737" s="20" t="s">
        <v>6997</v>
      </c>
      <c r="B737" s="3" t="s">
        <v>6998</v>
      </c>
      <c r="C737" s="3" t="s">
        <v>6999</v>
      </c>
      <c r="D737" s="3" t="s">
        <v>7000</v>
      </c>
      <c r="E737" s="3" t="s">
        <v>3073</v>
      </c>
      <c r="F737" s="3" t="s">
        <v>7001</v>
      </c>
      <c r="G737" s="3" t="s">
        <v>7002</v>
      </c>
      <c r="H737" s="3" t="s">
        <v>3054</v>
      </c>
      <c r="I737" s="3" t="s">
        <v>3137</v>
      </c>
    </row>
    <row r="738">
      <c r="A738" s="20" t="s">
        <v>7003</v>
      </c>
      <c r="B738" s="3" t="s">
        <v>1155</v>
      </c>
      <c r="C738" s="3" t="s">
        <v>7004</v>
      </c>
      <c r="D738" s="3" t="s">
        <v>7005</v>
      </c>
      <c r="E738" s="3" t="s">
        <v>3096</v>
      </c>
      <c r="F738" s="3" t="s">
        <v>7006</v>
      </c>
      <c r="G738" s="3" t="s">
        <v>7007</v>
      </c>
      <c r="H738" s="21" t="s">
        <v>7008</v>
      </c>
      <c r="I738" s="3" t="s">
        <v>3099</v>
      </c>
    </row>
    <row r="739">
      <c r="A739" s="20" t="s">
        <v>7009</v>
      </c>
      <c r="B739" s="3" t="s">
        <v>7010</v>
      </c>
      <c r="C739" s="3" t="s">
        <v>7011</v>
      </c>
      <c r="D739" s="3" t="s">
        <v>7012</v>
      </c>
      <c r="E739" s="3" t="s">
        <v>3403</v>
      </c>
      <c r="F739" s="3" t="s">
        <v>3705</v>
      </c>
      <c r="G739" s="3" t="s">
        <v>3706</v>
      </c>
      <c r="H739" s="3" t="s">
        <v>3054</v>
      </c>
      <c r="I739" s="3" t="s">
        <v>3186</v>
      </c>
    </row>
    <row r="740">
      <c r="A740" s="20" t="s">
        <v>7013</v>
      </c>
      <c r="B740" s="3" t="s">
        <v>7014</v>
      </c>
      <c r="C740" s="3" t="s">
        <v>7015</v>
      </c>
      <c r="D740" s="3" t="s">
        <v>7016</v>
      </c>
      <c r="E740" s="3" t="s">
        <v>3096</v>
      </c>
      <c r="F740" s="3" t="s">
        <v>7017</v>
      </c>
      <c r="G740" s="3" t="s">
        <v>7018</v>
      </c>
      <c r="H740" s="21" t="s">
        <v>7019</v>
      </c>
      <c r="I740" s="3" t="s">
        <v>3061</v>
      </c>
    </row>
    <row r="741">
      <c r="A741" s="20" t="s">
        <v>7020</v>
      </c>
      <c r="B741" s="3" t="s">
        <v>7021</v>
      </c>
      <c r="C741" s="3" t="s">
        <v>7022</v>
      </c>
      <c r="D741" s="3" t="s">
        <v>7023</v>
      </c>
      <c r="E741" s="3" t="s">
        <v>3073</v>
      </c>
      <c r="F741" s="3" t="s">
        <v>7024</v>
      </c>
      <c r="G741" s="3" t="s">
        <v>3054</v>
      </c>
      <c r="H741" s="4"/>
      <c r="I741" s="3" t="s">
        <v>3099</v>
      </c>
    </row>
    <row r="742">
      <c r="A742" s="20" t="s">
        <v>7025</v>
      </c>
      <c r="B742" s="3" t="s">
        <v>7026</v>
      </c>
      <c r="C742" s="3" t="s">
        <v>7027</v>
      </c>
      <c r="D742" s="3" t="s">
        <v>7028</v>
      </c>
      <c r="E742" s="3" t="s">
        <v>3089</v>
      </c>
      <c r="F742" s="3" t="s">
        <v>7029</v>
      </c>
      <c r="G742" s="3" t="s">
        <v>7030</v>
      </c>
      <c r="H742" s="21" t="s">
        <v>7031</v>
      </c>
      <c r="I742" s="3" t="s">
        <v>3076</v>
      </c>
    </row>
    <row r="743">
      <c r="A743" s="20" t="s">
        <v>7032</v>
      </c>
      <c r="B743" s="3" t="s">
        <v>1604</v>
      </c>
      <c r="C743" s="3" t="s">
        <v>7033</v>
      </c>
      <c r="D743" s="3" t="s">
        <v>3115</v>
      </c>
      <c r="E743" s="3" t="s">
        <v>3116</v>
      </c>
      <c r="F743" s="4"/>
      <c r="G743" s="3" t="s">
        <v>3054</v>
      </c>
      <c r="H743" s="3" t="s">
        <v>3054</v>
      </c>
      <c r="I743" s="3" t="s">
        <v>3054</v>
      </c>
    </row>
    <row r="744">
      <c r="A744" s="20" t="s">
        <v>7034</v>
      </c>
      <c r="B744" s="3" t="s">
        <v>7035</v>
      </c>
      <c r="C744" s="3" t="s">
        <v>7036</v>
      </c>
      <c r="D744" s="3" t="s">
        <v>7037</v>
      </c>
      <c r="E744" s="3" t="s">
        <v>3073</v>
      </c>
      <c r="F744" s="3" t="s">
        <v>7038</v>
      </c>
      <c r="G744" s="3" t="s">
        <v>3054</v>
      </c>
      <c r="H744" s="21" t="s">
        <v>7039</v>
      </c>
      <c r="I744" s="3" t="s">
        <v>3076</v>
      </c>
    </row>
    <row r="745">
      <c r="A745" s="20" t="s">
        <v>7040</v>
      </c>
      <c r="B745" s="3" t="s">
        <v>7041</v>
      </c>
      <c r="C745" s="3" t="s">
        <v>7042</v>
      </c>
      <c r="D745" s="3" t="s">
        <v>7043</v>
      </c>
      <c r="E745" s="3" t="s">
        <v>3856</v>
      </c>
      <c r="F745" s="3" t="s">
        <v>7044</v>
      </c>
      <c r="G745" s="3" t="s">
        <v>7045</v>
      </c>
      <c r="H745" s="21" t="s">
        <v>7046</v>
      </c>
      <c r="I745" s="3" t="s">
        <v>3061</v>
      </c>
    </row>
    <row r="746">
      <c r="A746" s="20" t="s">
        <v>7047</v>
      </c>
      <c r="B746" s="3" t="s">
        <v>7048</v>
      </c>
      <c r="C746" s="3" t="s">
        <v>7049</v>
      </c>
      <c r="D746" s="3" t="s">
        <v>7050</v>
      </c>
      <c r="E746" s="3" t="s">
        <v>3073</v>
      </c>
      <c r="F746" s="3" t="s">
        <v>7051</v>
      </c>
      <c r="G746" s="3" t="s">
        <v>3054</v>
      </c>
      <c r="H746" s="21" t="s">
        <v>7052</v>
      </c>
      <c r="I746" s="3" t="s">
        <v>3186</v>
      </c>
    </row>
    <row r="747">
      <c r="A747" s="20" t="s">
        <v>7053</v>
      </c>
      <c r="B747" s="3" t="s">
        <v>7054</v>
      </c>
      <c r="C747" s="3" t="s">
        <v>7055</v>
      </c>
      <c r="D747" s="3" t="s">
        <v>7056</v>
      </c>
      <c r="E747" s="3" t="s">
        <v>3073</v>
      </c>
      <c r="F747" s="3" t="s">
        <v>7057</v>
      </c>
      <c r="G747" s="3" t="s">
        <v>3054</v>
      </c>
      <c r="H747" s="21" t="s">
        <v>7058</v>
      </c>
      <c r="I747" s="3" t="s">
        <v>3099</v>
      </c>
    </row>
    <row r="748">
      <c r="A748" s="20" t="s">
        <v>7059</v>
      </c>
      <c r="B748" s="3" t="s">
        <v>7060</v>
      </c>
      <c r="C748" s="3" t="s">
        <v>7061</v>
      </c>
      <c r="D748" s="3" t="s">
        <v>7062</v>
      </c>
      <c r="E748" s="3" t="s">
        <v>3052</v>
      </c>
      <c r="F748" s="3" t="s">
        <v>7063</v>
      </c>
      <c r="G748" s="3" t="s">
        <v>3054</v>
      </c>
      <c r="H748" s="21" t="s">
        <v>7064</v>
      </c>
      <c r="I748" s="3" t="s">
        <v>3099</v>
      </c>
    </row>
    <row r="749">
      <c r="A749" s="20" t="s">
        <v>7065</v>
      </c>
      <c r="B749" s="3" t="s">
        <v>7066</v>
      </c>
      <c r="C749" s="4"/>
      <c r="D749" s="3" t="s">
        <v>3115</v>
      </c>
      <c r="E749" s="3" t="s">
        <v>3116</v>
      </c>
      <c r="F749" s="4"/>
      <c r="G749" s="3" t="s">
        <v>3054</v>
      </c>
      <c r="H749" s="3" t="s">
        <v>3054</v>
      </c>
      <c r="I749" s="3" t="s">
        <v>3054</v>
      </c>
    </row>
    <row r="750">
      <c r="A750" s="20" t="s">
        <v>7067</v>
      </c>
      <c r="B750" s="3" t="s">
        <v>1079</v>
      </c>
      <c r="C750" s="3" t="s">
        <v>7068</v>
      </c>
      <c r="D750" s="3" t="s">
        <v>7069</v>
      </c>
      <c r="E750" s="3" t="s">
        <v>4984</v>
      </c>
      <c r="F750" s="3" t="s">
        <v>7070</v>
      </c>
      <c r="G750" s="3" t="s">
        <v>3054</v>
      </c>
      <c r="H750" s="3" t="s">
        <v>7071</v>
      </c>
      <c r="I750" s="3" t="s">
        <v>3076</v>
      </c>
    </row>
    <row r="751">
      <c r="A751" s="20" t="s">
        <v>7072</v>
      </c>
      <c r="B751" s="3" t="s">
        <v>7073</v>
      </c>
      <c r="C751" s="3" t="s">
        <v>7074</v>
      </c>
      <c r="D751" s="3" t="s">
        <v>5149</v>
      </c>
      <c r="E751" s="3" t="s">
        <v>3052</v>
      </c>
      <c r="F751" s="3" t="s">
        <v>7075</v>
      </c>
      <c r="G751" s="3" t="s">
        <v>3054</v>
      </c>
      <c r="H751" s="21" t="s">
        <v>7076</v>
      </c>
      <c r="I751" s="3" t="s">
        <v>3099</v>
      </c>
    </row>
    <row r="752">
      <c r="A752" s="20" t="s">
        <v>7077</v>
      </c>
      <c r="B752" s="3" t="s">
        <v>7078</v>
      </c>
      <c r="C752" s="3" t="s">
        <v>7079</v>
      </c>
      <c r="D752" s="3" t="s">
        <v>7080</v>
      </c>
      <c r="E752" s="3" t="s">
        <v>3052</v>
      </c>
      <c r="F752" s="3" t="s">
        <v>7081</v>
      </c>
      <c r="G752" s="3" t="s">
        <v>7082</v>
      </c>
      <c r="H752" s="3" t="s">
        <v>3054</v>
      </c>
      <c r="I752" s="3" t="s">
        <v>3099</v>
      </c>
    </row>
    <row r="753">
      <c r="A753" s="20" t="s">
        <v>7083</v>
      </c>
      <c r="B753" s="3" t="s">
        <v>696</v>
      </c>
      <c r="C753" s="3" t="s">
        <v>7084</v>
      </c>
      <c r="D753" s="3" t="s">
        <v>7085</v>
      </c>
      <c r="E753" s="3" t="s">
        <v>3403</v>
      </c>
      <c r="F753" s="3" t="s">
        <v>7086</v>
      </c>
      <c r="G753" s="3" t="s">
        <v>3054</v>
      </c>
      <c r="H753" s="21" t="s">
        <v>7087</v>
      </c>
      <c r="I753" s="3" t="s">
        <v>3099</v>
      </c>
    </row>
    <row r="754">
      <c r="A754" s="20" t="s">
        <v>7088</v>
      </c>
      <c r="B754" s="3" t="s">
        <v>7089</v>
      </c>
      <c r="C754" s="3" t="s">
        <v>7090</v>
      </c>
      <c r="D754" s="3" t="s">
        <v>7091</v>
      </c>
      <c r="E754" s="3" t="s">
        <v>3235</v>
      </c>
      <c r="F754" s="3" t="s">
        <v>7092</v>
      </c>
      <c r="G754" s="3" t="s">
        <v>7093</v>
      </c>
      <c r="H754" s="21" t="s">
        <v>7094</v>
      </c>
      <c r="I754" s="3" t="s">
        <v>3099</v>
      </c>
    </row>
    <row r="755">
      <c r="A755" s="20" t="s">
        <v>7095</v>
      </c>
      <c r="B755" s="3" t="s">
        <v>7096</v>
      </c>
      <c r="C755" s="3" t="s">
        <v>7097</v>
      </c>
      <c r="D755" s="3" t="s">
        <v>7098</v>
      </c>
      <c r="E755" s="3" t="s">
        <v>3403</v>
      </c>
      <c r="F755" s="3" t="s">
        <v>7099</v>
      </c>
      <c r="G755" s="3" t="s">
        <v>7100</v>
      </c>
      <c r="H755" s="3" t="s">
        <v>3054</v>
      </c>
      <c r="I755" s="3" t="s">
        <v>3069</v>
      </c>
    </row>
    <row r="756">
      <c r="A756" s="20" t="s">
        <v>7101</v>
      </c>
      <c r="B756" s="3" t="s">
        <v>7102</v>
      </c>
      <c r="C756" s="3" t="s">
        <v>7103</v>
      </c>
      <c r="D756" s="3" t="s">
        <v>7104</v>
      </c>
      <c r="E756" s="3" t="s">
        <v>3052</v>
      </c>
      <c r="F756" s="3" t="s">
        <v>7105</v>
      </c>
      <c r="G756" s="3" t="s">
        <v>7106</v>
      </c>
      <c r="H756" s="3" t="s">
        <v>3054</v>
      </c>
      <c r="I756" s="3" t="s">
        <v>3061</v>
      </c>
    </row>
    <row r="757">
      <c r="A757" s="20" t="s">
        <v>7107</v>
      </c>
      <c r="B757" s="3" t="s">
        <v>7108</v>
      </c>
      <c r="C757" s="3" t="s">
        <v>7109</v>
      </c>
      <c r="D757" s="3" t="s">
        <v>7110</v>
      </c>
      <c r="E757" s="3" t="s">
        <v>3052</v>
      </c>
      <c r="F757" s="3" t="s">
        <v>7111</v>
      </c>
      <c r="G757" s="3" t="s">
        <v>7112</v>
      </c>
      <c r="H757" s="21" t="s">
        <v>7113</v>
      </c>
      <c r="I757" s="3" t="s">
        <v>3186</v>
      </c>
    </row>
    <row r="758">
      <c r="A758" s="20" t="s">
        <v>7114</v>
      </c>
      <c r="B758" s="3" t="s">
        <v>7115</v>
      </c>
      <c r="C758" s="3" t="s">
        <v>7116</v>
      </c>
      <c r="D758" s="3" t="s">
        <v>7117</v>
      </c>
      <c r="E758" s="3" t="s">
        <v>3096</v>
      </c>
      <c r="F758" s="3" t="s">
        <v>7118</v>
      </c>
      <c r="G758" s="3" t="s">
        <v>7119</v>
      </c>
      <c r="H758" s="21" t="s">
        <v>7120</v>
      </c>
      <c r="I758" s="3" t="s">
        <v>3137</v>
      </c>
    </row>
    <row r="759">
      <c r="A759" s="20" t="s">
        <v>7121</v>
      </c>
      <c r="B759" s="3" t="s">
        <v>7122</v>
      </c>
      <c r="C759" s="3" t="s">
        <v>7123</v>
      </c>
      <c r="D759" s="3" t="s">
        <v>7124</v>
      </c>
      <c r="E759" s="3" t="s">
        <v>3052</v>
      </c>
      <c r="F759" s="3" t="s">
        <v>7125</v>
      </c>
      <c r="G759" s="3" t="s">
        <v>3054</v>
      </c>
      <c r="H759" s="21" t="s">
        <v>7126</v>
      </c>
      <c r="I759" s="3" t="s">
        <v>3076</v>
      </c>
    </row>
    <row r="760">
      <c r="A760" s="20" t="s">
        <v>7127</v>
      </c>
      <c r="B760" s="3" t="s">
        <v>7128</v>
      </c>
      <c r="C760" s="3" t="s">
        <v>7129</v>
      </c>
      <c r="D760" s="3" t="s">
        <v>3471</v>
      </c>
      <c r="E760" s="3" t="s">
        <v>3073</v>
      </c>
      <c r="F760" s="3" t="s">
        <v>7130</v>
      </c>
      <c r="G760" s="3" t="s">
        <v>3054</v>
      </c>
      <c r="H760" s="21" t="s">
        <v>7131</v>
      </c>
      <c r="I760" s="3" t="s">
        <v>3123</v>
      </c>
    </row>
    <row r="761">
      <c r="A761" s="20" t="s">
        <v>7132</v>
      </c>
      <c r="B761" s="3" t="s">
        <v>7133</v>
      </c>
      <c r="C761" s="3" t="s">
        <v>7134</v>
      </c>
      <c r="D761" s="3" t="s">
        <v>7135</v>
      </c>
      <c r="E761" s="3" t="s">
        <v>3403</v>
      </c>
      <c r="F761" s="3" t="s">
        <v>7136</v>
      </c>
      <c r="G761" s="3" t="s">
        <v>7137</v>
      </c>
      <c r="H761" s="3" t="s">
        <v>3054</v>
      </c>
      <c r="I761" s="3" t="s">
        <v>3361</v>
      </c>
    </row>
    <row r="762">
      <c r="A762" s="20" t="s">
        <v>7138</v>
      </c>
      <c r="B762" s="3" t="s">
        <v>7139</v>
      </c>
      <c r="C762" s="3" t="s">
        <v>7140</v>
      </c>
      <c r="D762" s="3" t="s">
        <v>7141</v>
      </c>
      <c r="E762" s="3" t="s">
        <v>3403</v>
      </c>
      <c r="F762" s="3" t="s">
        <v>7142</v>
      </c>
      <c r="G762" s="3" t="s">
        <v>3054</v>
      </c>
      <c r="H762" s="3" t="s">
        <v>3054</v>
      </c>
      <c r="I762" s="3" t="s">
        <v>3491</v>
      </c>
    </row>
    <row r="763">
      <c r="A763" s="20" t="s">
        <v>7143</v>
      </c>
      <c r="B763" s="3" t="s">
        <v>7144</v>
      </c>
      <c r="C763" s="3" t="s">
        <v>7145</v>
      </c>
      <c r="D763" s="3" t="s">
        <v>7146</v>
      </c>
      <c r="E763" s="3" t="s">
        <v>3128</v>
      </c>
      <c r="F763" s="3" t="s">
        <v>7147</v>
      </c>
      <c r="G763" s="3" t="s">
        <v>3054</v>
      </c>
      <c r="H763" s="21" t="s">
        <v>7148</v>
      </c>
      <c r="I763" s="3" t="s">
        <v>3099</v>
      </c>
    </row>
    <row r="764">
      <c r="A764" s="20" t="s">
        <v>7149</v>
      </c>
      <c r="B764" s="3" t="s">
        <v>7150</v>
      </c>
      <c r="C764" s="3" t="s">
        <v>7151</v>
      </c>
      <c r="D764" s="3" t="s">
        <v>7152</v>
      </c>
      <c r="E764" s="3" t="s">
        <v>3052</v>
      </c>
      <c r="F764" s="3" t="s">
        <v>7153</v>
      </c>
      <c r="G764" s="3" t="s">
        <v>7154</v>
      </c>
      <c r="H764" s="3" t="s">
        <v>3054</v>
      </c>
      <c r="I764" s="3" t="s">
        <v>3076</v>
      </c>
    </row>
    <row r="765">
      <c r="A765" s="20" t="s">
        <v>7155</v>
      </c>
      <c r="B765" s="3" t="s">
        <v>7156</v>
      </c>
      <c r="C765" s="3" t="s">
        <v>7157</v>
      </c>
      <c r="D765" s="3" t="s">
        <v>7158</v>
      </c>
      <c r="E765" s="3" t="s">
        <v>3052</v>
      </c>
      <c r="F765" s="3" t="s">
        <v>7159</v>
      </c>
      <c r="G765" s="3" t="s">
        <v>3054</v>
      </c>
      <c r="H765" s="3" t="s">
        <v>3054</v>
      </c>
      <c r="I765" s="3" t="s">
        <v>3054</v>
      </c>
    </row>
    <row r="766">
      <c r="A766" s="20" t="s">
        <v>7160</v>
      </c>
      <c r="B766" s="3" t="s">
        <v>1928</v>
      </c>
      <c r="C766" s="3" t="s">
        <v>7161</v>
      </c>
      <c r="D766" s="3" t="s">
        <v>7162</v>
      </c>
      <c r="E766" s="3" t="s">
        <v>3052</v>
      </c>
      <c r="F766" s="3" t="s">
        <v>7163</v>
      </c>
      <c r="G766" s="3" t="s">
        <v>3054</v>
      </c>
      <c r="H766" s="21" t="s">
        <v>7164</v>
      </c>
      <c r="I766" s="3" t="s">
        <v>3061</v>
      </c>
    </row>
    <row r="767">
      <c r="A767" s="20" t="s">
        <v>7165</v>
      </c>
      <c r="B767" s="3" t="s">
        <v>7166</v>
      </c>
      <c r="C767" s="4"/>
      <c r="D767" s="3" t="s">
        <v>3115</v>
      </c>
      <c r="E767" s="3" t="s">
        <v>3116</v>
      </c>
      <c r="F767" s="4"/>
      <c r="G767" s="3" t="s">
        <v>3054</v>
      </c>
      <c r="H767" s="3" t="s">
        <v>3054</v>
      </c>
      <c r="I767" s="3" t="s">
        <v>3054</v>
      </c>
    </row>
    <row r="768">
      <c r="A768" s="20" t="s">
        <v>7167</v>
      </c>
      <c r="B768" s="3" t="s">
        <v>7168</v>
      </c>
      <c r="C768" s="3" t="s">
        <v>7169</v>
      </c>
      <c r="D768" s="3" t="s">
        <v>7170</v>
      </c>
      <c r="E768" s="3" t="s">
        <v>3073</v>
      </c>
      <c r="F768" s="3" t="s">
        <v>7171</v>
      </c>
      <c r="G768" s="3" t="s">
        <v>3054</v>
      </c>
      <c r="H768" s="4"/>
      <c r="I768" s="3" t="s">
        <v>3076</v>
      </c>
    </row>
    <row r="769">
      <c r="A769" s="20" t="s">
        <v>7172</v>
      </c>
      <c r="B769" s="3" t="s">
        <v>2733</v>
      </c>
      <c r="C769" s="3" t="s">
        <v>7173</v>
      </c>
      <c r="D769" s="3" t="s">
        <v>7174</v>
      </c>
      <c r="E769" s="3" t="s">
        <v>3052</v>
      </c>
      <c r="F769" s="3" t="s">
        <v>7175</v>
      </c>
      <c r="G769" s="3" t="s">
        <v>7176</v>
      </c>
      <c r="H769" s="4"/>
      <c r="I769" s="3" t="s">
        <v>3099</v>
      </c>
    </row>
    <row r="770">
      <c r="A770" s="20" t="s">
        <v>7177</v>
      </c>
      <c r="B770" s="3" t="s">
        <v>7178</v>
      </c>
      <c r="C770" s="3" t="s">
        <v>7179</v>
      </c>
      <c r="D770" s="3" t="s">
        <v>7180</v>
      </c>
      <c r="E770" s="3" t="s">
        <v>3052</v>
      </c>
      <c r="F770" s="3" t="s">
        <v>7181</v>
      </c>
      <c r="G770" s="3" t="s">
        <v>3054</v>
      </c>
      <c r="H770" s="21" t="s">
        <v>7182</v>
      </c>
      <c r="I770" s="3" t="s">
        <v>3099</v>
      </c>
    </row>
    <row r="771">
      <c r="A771" s="20" t="s">
        <v>7183</v>
      </c>
      <c r="B771" s="3" t="s">
        <v>7184</v>
      </c>
      <c r="C771" s="3" t="s">
        <v>7185</v>
      </c>
      <c r="D771" s="3" t="s">
        <v>7186</v>
      </c>
      <c r="E771" s="3" t="s">
        <v>3052</v>
      </c>
      <c r="F771" s="3" t="s">
        <v>7187</v>
      </c>
      <c r="G771" s="3" t="s">
        <v>3054</v>
      </c>
      <c r="H771" s="4"/>
      <c r="I771" s="3" t="s">
        <v>3099</v>
      </c>
    </row>
    <row r="772">
      <c r="A772" s="20" t="s">
        <v>7188</v>
      </c>
      <c r="B772" s="3" t="s">
        <v>7189</v>
      </c>
      <c r="C772" s="3" t="s">
        <v>7190</v>
      </c>
      <c r="D772" s="3" t="s">
        <v>7191</v>
      </c>
      <c r="E772" s="3" t="s">
        <v>3073</v>
      </c>
      <c r="F772" s="3" t="s">
        <v>7192</v>
      </c>
      <c r="G772" s="3" t="s">
        <v>3054</v>
      </c>
      <c r="H772" s="21" t="s">
        <v>7193</v>
      </c>
      <c r="I772" s="3" t="s">
        <v>3230</v>
      </c>
    </row>
    <row r="773">
      <c r="A773" s="20" t="s">
        <v>7194</v>
      </c>
      <c r="B773" s="3" t="s">
        <v>7195</v>
      </c>
      <c r="C773" s="3" t="s">
        <v>7196</v>
      </c>
      <c r="D773" s="3" t="s">
        <v>7197</v>
      </c>
      <c r="E773" s="3" t="s">
        <v>3052</v>
      </c>
      <c r="F773" s="3" t="s">
        <v>7198</v>
      </c>
      <c r="G773" s="3" t="s">
        <v>7199</v>
      </c>
      <c r="H773" s="3" t="s">
        <v>3054</v>
      </c>
      <c r="I773" s="3" t="s">
        <v>3491</v>
      </c>
    </row>
    <row r="774">
      <c r="A774" s="20" t="s">
        <v>7200</v>
      </c>
      <c r="B774" s="3" t="s">
        <v>7201</v>
      </c>
      <c r="C774" s="3" t="s">
        <v>7202</v>
      </c>
      <c r="D774" s="3" t="s">
        <v>7203</v>
      </c>
      <c r="E774" s="3" t="s">
        <v>3096</v>
      </c>
      <c r="F774" s="3" t="s">
        <v>7204</v>
      </c>
      <c r="G774" s="3" t="s">
        <v>3054</v>
      </c>
      <c r="H774" s="3" t="s">
        <v>3054</v>
      </c>
      <c r="I774" s="3" t="s">
        <v>3137</v>
      </c>
    </row>
    <row r="775">
      <c r="A775" s="20" t="s">
        <v>7205</v>
      </c>
      <c r="B775" s="3" t="s">
        <v>7206</v>
      </c>
      <c r="C775" s="3" t="s">
        <v>7207</v>
      </c>
      <c r="D775" s="3" t="s">
        <v>7208</v>
      </c>
      <c r="E775" s="3" t="s">
        <v>3052</v>
      </c>
      <c r="F775" s="3" t="s">
        <v>7209</v>
      </c>
      <c r="G775" s="3" t="s">
        <v>7210</v>
      </c>
      <c r="H775" s="21" t="s">
        <v>7211</v>
      </c>
      <c r="I775" s="3" t="s">
        <v>3076</v>
      </c>
    </row>
    <row r="776">
      <c r="A776" s="20" t="s">
        <v>7212</v>
      </c>
      <c r="B776" s="3" t="s">
        <v>621</v>
      </c>
      <c r="C776" s="3" t="s">
        <v>7213</v>
      </c>
      <c r="D776" s="3" t="s">
        <v>7214</v>
      </c>
      <c r="E776" s="3" t="s">
        <v>3052</v>
      </c>
      <c r="F776" s="3" t="s">
        <v>7215</v>
      </c>
      <c r="G776" s="3" t="s">
        <v>3054</v>
      </c>
      <c r="H776" s="4"/>
      <c r="I776" s="3" t="s">
        <v>3186</v>
      </c>
    </row>
    <row r="777">
      <c r="A777" s="20" t="s">
        <v>7216</v>
      </c>
      <c r="B777" s="3" t="s">
        <v>7217</v>
      </c>
      <c r="C777" s="3" t="s">
        <v>7218</v>
      </c>
      <c r="D777" s="3" t="s">
        <v>6230</v>
      </c>
      <c r="E777" s="3" t="s">
        <v>3073</v>
      </c>
      <c r="F777" s="3" t="s">
        <v>4563</v>
      </c>
      <c r="G777" s="3" t="s">
        <v>3054</v>
      </c>
      <c r="H777" s="21" t="s">
        <v>7219</v>
      </c>
      <c r="I777" s="3" t="s">
        <v>3230</v>
      </c>
    </row>
    <row r="778">
      <c r="A778" s="20" t="s">
        <v>7220</v>
      </c>
      <c r="B778" s="3" t="s">
        <v>7221</v>
      </c>
      <c r="C778" s="3" t="s">
        <v>7222</v>
      </c>
      <c r="D778" s="3" t="s">
        <v>7223</v>
      </c>
      <c r="E778" s="3" t="s">
        <v>3052</v>
      </c>
      <c r="F778" s="3" t="s">
        <v>7224</v>
      </c>
      <c r="G778" s="3" t="s">
        <v>3054</v>
      </c>
      <c r="H778" s="21" t="s">
        <v>7225</v>
      </c>
      <c r="I778" s="3" t="s">
        <v>3076</v>
      </c>
    </row>
    <row r="779">
      <c r="A779" s="20" t="s">
        <v>7226</v>
      </c>
      <c r="B779" s="3" t="s">
        <v>7227</v>
      </c>
      <c r="C779" s="3" t="s">
        <v>7228</v>
      </c>
      <c r="D779" s="3" t="s">
        <v>7229</v>
      </c>
      <c r="E779" s="3" t="s">
        <v>3052</v>
      </c>
      <c r="F779" s="3" t="s">
        <v>7230</v>
      </c>
      <c r="G779" s="3" t="s">
        <v>3054</v>
      </c>
      <c r="H779" s="21" t="s">
        <v>7231</v>
      </c>
      <c r="I779" s="3" t="s">
        <v>3186</v>
      </c>
    </row>
    <row r="780">
      <c r="A780" s="20" t="s">
        <v>7232</v>
      </c>
      <c r="B780" s="3" t="s">
        <v>7233</v>
      </c>
      <c r="C780" s="3" t="s">
        <v>7234</v>
      </c>
      <c r="D780" s="3" t="s">
        <v>7235</v>
      </c>
      <c r="E780" s="3" t="s">
        <v>3073</v>
      </c>
      <c r="F780" s="3" t="s">
        <v>7236</v>
      </c>
      <c r="G780" s="3" t="s">
        <v>7237</v>
      </c>
      <c r="H780" s="21" t="s">
        <v>7238</v>
      </c>
      <c r="I780" s="3" t="s">
        <v>3230</v>
      </c>
    </row>
    <row r="781">
      <c r="A781" s="20" t="s">
        <v>7239</v>
      </c>
      <c r="B781" s="3" t="s">
        <v>7240</v>
      </c>
      <c r="C781" s="3" t="s">
        <v>7241</v>
      </c>
      <c r="D781" s="3" t="s">
        <v>7242</v>
      </c>
      <c r="E781" s="3" t="s">
        <v>3096</v>
      </c>
      <c r="F781" s="3" t="s">
        <v>7243</v>
      </c>
      <c r="G781" s="3" t="s">
        <v>7244</v>
      </c>
      <c r="H781" s="21" t="s">
        <v>7245</v>
      </c>
      <c r="I781" s="3" t="s">
        <v>3186</v>
      </c>
    </row>
    <row r="782">
      <c r="A782" s="20" t="s">
        <v>7246</v>
      </c>
      <c r="B782" s="3" t="s">
        <v>7247</v>
      </c>
      <c r="C782" s="4"/>
      <c r="D782" s="3" t="s">
        <v>3115</v>
      </c>
      <c r="E782" s="3" t="s">
        <v>3116</v>
      </c>
      <c r="F782" s="4"/>
      <c r="G782" s="3" t="s">
        <v>3054</v>
      </c>
      <c r="H782" s="3" t="s">
        <v>3054</v>
      </c>
      <c r="I782" s="3" t="s">
        <v>3054</v>
      </c>
    </row>
    <row r="783">
      <c r="A783" s="20" t="s">
        <v>7248</v>
      </c>
      <c r="B783" s="3" t="s">
        <v>7249</v>
      </c>
      <c r="C783" s="3" t="s">
        <v>7250</v>
      </c>
      <c r="D783" s="3" t="s">
        <v>7251</v>
      </c>
      <c r="E783" s="3" t="s">
        <v>3052</v>
      </c>
      <c r="F783" s="3" t="s">
        <v>7252</v>
      </c>
      <c r="G783" s="3" t="s">
        <v>3054</v>
      </c>
      <c r="H783" s="3" t="s">
        <v>3054</v>
      </c>
      <c r="I783" s="3" t="s">
        <v>3186</v>
      </c>
    </row>
    <row r="784">
      <c r="A784" s="20" t="s">
        <v>7253</v>
      </c>
      <c r="B784" s="3" t="s">
        <v>7254</v>
      </c>
      <c r="C784" s="3" t="s">
        <v>7255</v>
      </c>
      <c r="D784" s="3" t="s">
        <v>7256</v>
      </c>
      <c r="E784" s="3" t="s">
        <v>3052</v>
      </c>
      <c r="F784" s="3" t="s">
        <v>7257</v>
      </c>
      <c r="G784" s="3" t="s">
        <v>7258</v>
      </c>
      <c r="H784" s="21" t="s">
        <v>7259</v>
      </c>
      <c r="I784" s="3" t="s">
        <v>3186</v>
      </c>
    </row>
    <row r="785">
      <c r="A785" s="20" t="s">
        <v>7260</v>
      </c>
      <c r="B785" s="3" t="s">
        <v>2973</v>
      </c>
      <c r="C785" s="3" t="s">
        <v>7261</v>
      </c>
      <c r="D785" s="3" t="s">
        <v>7262</v>
      </c>
      <c r="E785" s="3" t="s">
        <v>3052</v>
      </c>
      <c r="F785" s="3" t="s">
        <v>7263</v>
      </c>
      <c r="G785" s="3" t="s">
        <v>3054</v>
      </c>
      <c r="H785" s="21" t="s">
        <v>7264</v>
      </c>
      <c r="I785" s="3" t="s">
        <v>3099</v>
      </c>
    </row>
    <row r="786">
      <c r="A786" s="20" t="s">
        <v>7265</v>
      </c>
      <c r="B786" s="3" t="s">
        <v>7266</v>
      </c>
      <c r="C786" s="3" t="s">
        <v>7267</v>
      </c>
      <c r="D786" s="3" t="s">
        <v>7268</v>
      </c>
      <c r="E786" s="3" t="s">
        <v>3073</v>
      </c>
      <c r="F786" s="3" t="s">
        <v>7269</v>
      </c>
      <c r="G786" s="3" t="s">
        <v>7270</v>
      </c>
      <c r="H786" s="21" t="s">
        <v>7271</v>
      </c>
      <c r="I786" s="3" t="s">
        <v>3061</v>
      </c>
    </row>
    <row r="787">
      <c r="A787" s="20" t="s">
        <v>7272</v>
      </c>
      <c r="B787" s="3" t="s">
        <v>7273</v>
      </c>
      <c r="C787" s="3" t="s">
        <v>7274</v>
      </c>
      <c r="D787" s="3" t="s">
        <v>7275</v>
      </c>
      <c r="E787" s="3" t="s">
        <v>3052</v>
      </c>
      <c r="F787" s="3" t="s">
        <v>7276</v>
      </c>
      <c r="G787" s="3" t="s">
        <v>7277</v>
      </c>
      <c r="H787" s="21" t="s">
        <v>7278</v>
      </c>
      <c r="I787" s="3" t="s">
        <v>3186</v>
      </c>
    </row>
    <row r="788">
      <c r="A788" s="20" t="s">
        <v>7279</v>
      </c>
      <c r="B788" s="3" t="s">
        <v>7280</v>
      </c>
      <c r="C788" s="3" t="s">
        <v>7281</v>
      </c>
      <c r="D788" s="3" t="s">
        <v>7282</v>
      </c>
      <c r="E788" s="3" t="s">
        <v>3052</v>
      </c>
      <c r="F788" s="3" t="s">
        <v>7283</v>
      </c>
      <c r="G788" s="3" t="s">
        <v>3054</v>
      </c>
      <c r="H788" s="4"/>
      <c r="I788" s="3" t="s">
        <v>3061</v>
      </c>
    </row>
    <row r="789">
      <c r="A789" s="20" t="s">
        <v>7284</v>
      </c>
      <c r="B789" s="3" t="s">
        <v>7285</v>
      </c>
      <c r="C789" s="3" t="s">
        <v>7286</v>
      </c>
      <c r="D789" s="3" t="s">
        <v>7287</v>
      </c>
      <c r="E789" s="3" t="s">
        <v>6024</v>
      </c>
      <c r="F789" s="3" t="s">
        <v>7288</v>
      </c>
      <c r="G789" s="3" t="s">
        <v>7289</v>
      </c>
      <c r="H789" s="3" t="s">
        <v>3054</v>
      </c>
      <c r="I789" s="3" t="s">
        <v>3076</v>
      </c>
    </row>
    <row r="790">
      <c r="A790" s="20" t="s">
        <v>7290</v>
      </c>
      <c r="B790" s="3" t="s">
        <v>7291</v>
      </c>
      <c r="C790" s="3" t="s">
        <v>7292</v>
      </c>
      <c r="D790" s="3" t="s">
        <v>7293</v>
      </c>
      <c r="E790" s="3" t="s">
        <v>3073</v>
      </c>
      <c r="F790" s="3" t="s">
        <v>7294</v>
      </c>
      <c r="G790" s="3" t="s">
        <v>7295</v>
      </c>
      <c r="H790" s="3" t="s">
        <v>3054</v>
      </c>
      <c r="I790" s="3" t="s">
        <v>3099</v>
      </c>
    </row>
    <row r="791">
      <c r="A791" s="20" t="s">
        <v>7296</v>
      </c>
      <c r="B791" s="3" t="s">
        <v>7297</v>
      </c>
      <c r="C791" s="3" t="s">
        <v>7298</v>
      </c>
      <c r="D791" s="3" t="s">
        <v>7299</v>
      </c>
      <c r="E791" s="3" t="s">
        <v>3073</v>
      </c>
      <c r="F791" s="3" t="s">
        <v>7300</v>
      </c>
      <c r="G791" s="3" t="s">
        <v>7301</v>
      </c>
      <c r="H791" s="21" t="s">
        <v>7302</v>
      </c>
      <c r="I791" s="3" t="s">
        <v>3061</v>
      </c>
    </row>
    <row r="792">
      <c r="A792" s="20" t="s">
        <v>7303</v>
      </c>
      <c r="B792" s="3" t="s">
        <v>7304</v>
      </c>
      <c r="C792" s="3" t="s">
        <v>7305</v>
      </c>
      <c r="D792" s="3" t="s">
        <v>7306</v>
      </c>
      <c r="E792" s="3" t="s">
        <v>3052</v>
      </c>
      <c r="F792" s="3" t="s">
        <v>7307</v>
      </c>
      <c r="G792" s="3" t="s">
        <v>7308</v>
      </c>
      <c r="H792" s="3" t="s">
        <v>3054</v>
      </c>
      <c r="I792" s="3" t="s">
        <v>3186</v>
      </c>
    </row>
    <row r="793">
      <c r="A793" s="20" t="s">
        <v>7309</v>
      </c>
      <c r="B793" s="3" t="s">
        <v>7310</v>
      </c>
      <c r="C793" s="3" t="s">
        <v>7311</v>
      </c>
      <c r="D793" s="3" t="s">
        <v>7312</v>
      </c>
      <c r="E793" s="3" t="s">
        <v>3052</v>
      </c>
      <c r="F793" s="3" t="s">
        <v>7313</v>
      </c>
      <c r="G793" s="3" t="s">
        <v>3054</v>
      </c>
      <c r="H793" s="21" t="s">
        <v>7314</v>
      </c>
      <c r="I793" s="3" t="s">
        <v>3491</v>
      </c>
    </row>
    <row r="794">
      <c r="A794" s="20" t="s">
        <v>7315</v>
      </c>
      <c r="B794" s="3" t="s">
        <v>7316</v>
      </c>
      <c r="C794" s="3" t="s">
        <v>7317</v>
      </c>
      <c r="D794" s="3" t="s">
        <v>7318</v>
      </c>
      <c r="E794" s="3" t="s">
        <v>3052</v>
      </c>
      <c r="F794" s="3" t="s">
        <v>7319</v>
      </c>
      <c r="G794" s="3" t="s">
        <v>7320</v>
      </c>
      <c r="H794" s="3" t="s">
        <v>3054</v>
      </c>
      <c r="I794" s="3" t="s">
        <v>3061</v>
      </c>
    </row>
    <row r="795">
      <c r="A795" s="20" t="s">
        <v>7321</v>
      </c>
      <c r="B795" s="3" t="s">
        <v>7322</v>
      </c>
      <c r="C795" s="3" t="s">
        <v>7323</v>
      </c>
      <c r="D795" s="3" t="s">
        <v>7324</v>
      </c>
      <c r="E795" s="3" t="s">
        <v>3052</v>
      </c>
      <c r="F795" s="3" t="s">
        <v>7325</v>
      </c>
      <c r="G795" s="3" t="s">
        <v>3054</v>
      </c>
      <c r="H795" s="21" t="s">
        <v>7326</v>
      </c>
      <c r="I795" s="3" t="s">
        <v>3123</v>
      </c>
    </row>
    <row r="796">
      <c r="A796" s="20" t="s">
        <v>7327</v>
      </c>
      <c r="B796" s="3" t="s">
        <v>7328</v>
      </c>
      <c r="C796" s="3" t="s">
        <v>7329</v>
      </c>
      <c r="D796" s="3" t="s">
        <v>7330</v>
      </c>
      <c r="E796" s="3" t="s">
        <v>3066</v>
      </c>
      <c r="F796" s="3" t="s">
        <v>7331</v>
      </c>
      <c r="G796" s="3" t="s">
        <v>7332</v>
      </c>
      <c r="H796" s="3" t="s">
        <v>3054</v>
      </c>
      <c r="I796" s="3" t="s">
        <v>3640</v>
      </c>
    </row>
    <row r="797">
      <c r="A797" s="20" t="s">
        <v>7333</v>
      </c>
      <c r="B797" s="3" t="s">
        <v>7334</v>
      </c>
      <c r="C797" s="4"/>
      <c r="D797" s="3" t="s">
        <v>3115</v>
      </c>
      <c r="E797" s="3" t="s">
        <v>3116</v>
      </c>
      <c r="F797" s="4"/>
      <c r="G797" s="3" t="s">
        <v>3054</v>
      </c>
      <c r="H797" s="3" t="s">
        <v>3054</v>
      </c>
      <c r="I797" s="3" t="s">
        <v>3054</v>
      </c>
    </row>
    <row r="798">
      <c r="A798" s="20" t="s">
        <v>7335</v>
      </c>
      <c r="B798" s="3" t="s">
        <v>7336</v>
      </c>
      <c r="C798" s="3" t="s">
        <v>7337</v>
      </c>
      <c r="D798" s="3" t="s">
        <v>7338</v>
      </c>
      <c r="E798" s="3" t="s">
        <v>3096</v>
      </c>
      <c r="F798" s="3" t="s">
        <v>7339</v>
      </c>
      <c r="G798" s="3" t="s">
        <v>3054</v>
      </c>
      <c r="H798" s="21" t="s">
        <v>7340</v>
      </c>
      <c r="I798" s="3" t="s">
        <v>3054</v>
      </c>
    </row>
    <row r="799">
      <c r="A799" s="20" t="s">
        <v>7341</v>
      </c>
      <c r="B799" s="3" t="s">
        <v>7342</v>
      </c>
      <c r="C799" s="3" t="s">
        <v>7343</v>
      </c>
      <c r="D799" s="3" t="s">
        <v>7344</v>
      </c>
      <c r="E799" s="3" t="s">
        <v>3052</v>
      </c>
      <c r="F799" s="3" t="s">
        <v>7345</v>
      </c>
      <c r="G799" s="3" t="s">
        <v>3054</v>
      </c>
      <c r="H799" s="21" t="s">
        <v>7346</v>
      </c>
      <c r="I799" s="3" t="s">
        <v>3123</v>
      </c>
    </row>
    <row r="800">
      <c r="A800" s="20" t="s">
        <v>7347</v>
      </c>
      <c r="B800" s="3" t="s">
        <v>7348</v>
      </c>
      <c r="C800" s="3" t="s">
        <v>7349</v>
      </c>
      <c r="D800" s="3" t="s">
        <v>7350</v>
      </c>
      <c r="E800" s="3" t="s">
        <v>3403</v>
      </c>
      <c r="F800" s="3" t="s">
        <v>7351</v>
      </c>
      <c r="G800" s="3" t="s">
        <v>3054</v>
      </c>
      <c r="H800" s="21" t="s">
        <v>7352</v>
      </c>
      <c r="I800" s="3" t="s">
        <v>3491</v>
      </c>
    </row>
    <row r="801">
      <c r="A801" s="20" t="s">
        <v>7353</v>
      </c>
      <c r="B801" s="3" t="s">
        <v>7354</v>
      </c>
      <c r="C801" s="3" t="s">
        <v>7355</v>
      </c>
      <c r="D801" s="3" t="s">
        <v>7356</v>
      </c>
      <c r="E801" s="3" t="s">
        <v>3052</v>
      </c>
      <c r="F801" s="3" t="s">
        <v>7357</v>
      </c>
      <c r="G801" s="3" t="s">
        <v>7358</v>
      </c>
      <c r="H801" s="21" t="s">
        <v>7359</v>
      </c>
      <c r="I801" s="3" t="s">
        <v>3491</v>
      </c>
    </row>
    <row r="802">
      <c r="A802" s="20" t="s">
        <v>7360</v>
      </c>
      <c r="B802" s="3" t="s">
        <v>7361</v>
      </c>
      <c r="C802" s="3" t="s">
        <v>7362</v>
      </c>
      <c r="D802" s="3" t="s">
        <v>7363</v>
      </c>
      <c r="E802" s="3" t="s">
        <v>3403</v>
      </c>
      <c r="F802" s="3" t="s">
        <v>7364</v>
      </c>
      <c r="G802" s="3" t="s">
        <v>7365</v>
      </c>
      <c r="H802" s="3" t="s">
        <v>3285</v>
      </c>
      <c r="I802" s="3" t="s">
        <v>3076</v>
      </c>
    </row>
    <row r="803">
      <c r="A803" s="20" t="s">
        <v>7366</v>
      </c>
      <c r="B803" s="3" t="s">
        <v>7367</v>
      </c>
      <c r="C803" s="3" t="s">
        <v>7368</v>
      </c>
      <c r="D803" s="3" t="s">
        <v>7369</v>
      </c>
      <c r="E803" s="3" t="s">
        <v>3052</v>
      </c>
      <c r="F803" s="3" t="s">
        <v>7370</v>
      </c>
      <c r="G803" s="3" t="s">
        <v>3054</v>
      </c>
      <c r="H803" s="21" t="s">
        <v>7371</v>
      </c>
      <c r="I803" s="3" t="s">
        <v>3076</v>
      </c>
    </row>
    <row r="804">
      <c r="A804" s="20" t="s">
        <v>7372</v>
      </c>
      <c r="B804" s="3" t="s">
        <v>7373</v>
      </c>
      <c r="C804" s="3" t="s">
        <v>7374</v>
      </c>
      <c r="D804" s="3" t="s">
        <v>7375</v>
      </c>
      <c r="E804" s="3" t="s">
        <v>3073</v>
      </c>
      <c r="F804" s="3" t="s">
        <v>7376</v>
      </c>
      <c r="G804" s="3" t="s">
        <v>3054</v>
      </c>
      <c r="H804" s="3" t="s">
        <v>3054</v>
      </c>
      <c r="I804" s="3" t="s">
        <v>3099</v>
      </c>
    </row>
    <row r="805">
      <c r="A805" s="20" t="s">
        <v>7377</v>
      </c>
      <c r="B805" s="3" t="s">
        <v>7378</v>
      </c>
      <c r="C805" s="3" t="s">
        <v>7379</v>
      </c>
      <c r="D805" s="3" t="s">
        <v>7380</v>
      </c>
      <c r="E805" s="3" t="s">
        <v>3052</v>
      </c>
      <c r="F805" s="3" t="s">
        <v>7381</v>
      </c>
      <c r="G805" s="3" t="s">
        <v>3054</v>
      </c>
      <c r="H805" s="21" t="s">
        <v>7382</v>
      </c>
      <c r="I805" s="3" t="s">
        <v>3123</v>
      </c>
    </row>
    <row r="806">
      <c r="A806" s="20" t="s">
        <v>7383</v>
      </c>
      <c r="B806" s="3" t="s">
        <v>7384</v>
      </c>
      <c r="C806" s="3" t="s">
        <v>7385</v>
      </c>
      <c r="D806" s="3" t="s">
        <v>7386</v>
      </c>
      <c r="E806" s="3" t="s">
        <v>3096</v>
      </c>
      <c r="F806" s="3" t="s">
        <v>7387</v>
      </c>
      <c r="G806" s="3" t="s">
        <v>4121</v>
      </c>
      <c r="H806" s="3" t="s">
        <v>3054</v>
      </c>
      <c r="I806" s="3" t="s">
        <v>3186</v>
      </c>
    </row>
    <row r="807">
      <c r="A807" s="20" t="s">
        <v>7388</v>
      </c>
      <c r="B807" s="3" t="s">
        <v>7389</v>
      </c>
      <c r="C807" s="3" t="s">
        <v>7390</v>
      </c>
      <c r="D807" s="3" t="s">
        <v>7391</v>
      </c>
      <c r="E807" s="3" t="s">
        <v>3052</v>
      </c>
      <c r="F807" s="3" t="s">
        <v>7392</v>
      </c>
      <c r="G807" s="3" t="s">
        <v>3054</v>
      </c>
      <c r="H807" s="3" t="s">
        <v>3054</v>
      </c>
      <c r="I807" s="3" t="s">
        <v>3099</v>
      </c>
    </row>
    <row r="808">
      <c r="A808" s="20" t="s">
        <v>7393</v>
      </c>
      <c r="B808" s="3" t="s">
        <v>7394</v>
      </c>
      <c r="C808" s="3" t="s">
        <v>7395</v>
      </c>
      <c r="D808" s="3" t="s">
        <v>7396</v>
      </c>
      <c r="E808" s="3" t="s">
        <v>3052</v>
      </c>
      <c r="F808" s="3" t="s">
        <v>7397</v>
      </c>
      <c r="G808" s="3" t="s">
        <v>7398</v>
      </c>
      <c r="H808" s="21" t="s">
        <v>7399</v>
      </c>
      <c r="I808" s="3" t="s">
        <v>3361</v>
      </c>
    </row>
    <row r="809">
      <c r="A809" s="20" t="s">
        <v>7400</v>
      </c>
      <c r="B809" s="3" t="s">
        <v>7401</v>
      </c>
      <c r="C809" s="3" t="s">
        <v>7402</v>
      </c>
      <c r="D809" s="3" t="s">
        <v>7403</v>
      </c>
      <c r="E809" s="3" t="s">
        <v>7404</v>
      </c>
      <c r="F809" s="3" t="s">
        <v>7405</v>
      </c>
      <c r="G809" s="3" t="s">
        <v>3054</v>
      </c>
      <c r="H809" s="3" t="s">
        <v>3054</v>
      </c>
      <c r="I809" s="3" t="s">
        <v>3076</v>
      </c>
    </row>
    <row r="810">
      <c r="A810" s="20" t="s">
        <v>7406</v>
      </c>
      <c r="B810" s="3" t="s">
        <v>7407</v>
      </c>
      <c r="C810" s="3" t="s">
        <v>7408</v>
      </c>
      <c r="D810" s="3" t="s">
        <v>7409</v>
      </c>
      <c r="E810" s="3" t="s">
        <v>3052</v>
      </c>
      <c r="F810" s="3" t="s">
        <v>7410</v>
      </c>
      <c r="G810" s="3" t="s">
        <v>3054</v>
      </c>
      <c r="H810" s="3" t="s">
        <v>7411</v>
      </c>
      <c r="I810" s="3" t="s">
        <v>3099</v>
      </c>
    </row>
    <row r="811">
      <c r="A811" s="20" t="s">
        <v>7412</v>
      </c>
      <c r="B811" s="3" t="s">
        <v>7413</v>
      </c>
      <c r="C811" s="3" t="s">
        <v>7414</v>
      </c>
      <c r="D811" s="3" t="s">
        <v>7415</v>
      </c>
      <c r="E811" s="3" t="s">
        <v>3096</v>
      </c>
      <c r="F811" s="3" t="s">
        <v>7416</v>
      </c>
      <c r="G811" s="3" t="s">
        <v>7417</v>
      </c>
      <c r="H811" s="3" t="s">
        <v>3054</v>
      </c>
      <c r="I811" s="3" t="s">
        <v>3061</v>
      </c>
    </row>
    <row r="812">
      <c r="A812" s="20" t="s">
        <v>7418</v>
      </c>
      <c r="B812" s="3" t="s">
        <v>7419</v>
      </c>
      <c r="C812" s="3" t="s">
        <v>7420</v>
      </c>
      <c r="D812" s="3" t="s">
        <v>7421</v>
      </c>
      <c r="E812" s="3" t="s">
        <v>3073</v>
      </c>
      <c r="F812" s="3" t="s">
        <v>7422</v>
      </c>
      <c r="G812" s="3" t="s">
        <v>7423</v>
      </c>
      <c r="H812" s="3" t="s">
        <v>3054</v>
      </c>
      <c r="I812" s="3" t="s">
        <v>3123</v>
      </c>
    </row>
    <row r="813">
      <c r="A813" s="20" t="s">
        <v>7424</v>
      </c>
      <c r="B813" s="3" t="s">
        <v>7425</v>
      </c>
      <c r="C813" s="3" t="s">
        <v>7426</v>
      </c>
      <c r="D813" s="3" t="s">
        <v>7427</v>
      </c>
      <c r="E813" s="3" t="s">
        <v>3073</v>
      </c>
      <c r="F813" s="3" t="s">
        <v>7428</v>
      </c>
      <c r="G813" s="3" t="s">
        <v>3054</v>
      </c>
      <c r="H813" s="3" t="s">
        <v>3054</v>
      </c>
      <c r="I813" s="3" t="s">
        <v>3054</v>
      </c>
    </row>
    <row r="814">
      <c r="A814" s="20" t="s">
        <v>7429</v>
      </c>
      <c r="B814" s="3" t="s">
        <v>7430</v>
      </c>
      <c r="C814" s="3" t="s">
        <v>7431</v>
      </c>
      <c r="D814" s="3" t="s">
        <v>6230</v>
      </c>
      <c r="E814" s="3" t="s">
        <v>3073</v>
      </c>
      <c r="F814" s="3" t="s">
        <v>7432</v>
      </c>
      <c r="G814" s="3" t="s">
        <v>3054</v>
      </c>
      <c r="H814" s="21" t="s">
        <v>7433</v>
      </c>
      <c r="I814" s="3" t="s">
        <v>3230</v>
      </c>
    </row>
    <row r="815">
      <c r="A815" s="20" t="s">
        <v>7434</v>
      </c>
      <c r="B815" s="3" t="s">
        <v>7435</v>
      </c>
      <c r="C815" s="3" t="s">
        <v>7436</v>
      </c>
      <c r="D815" s="3" t="s">
        <v>7437</v>
      </c>
      <c r="E815" s="3" t="s">
        <v>4136</v>
      </c>
      <c r="F815" s="3" t="s">
        <v>7438</v>
      </c>
      <c r="G815" s="3" t="s">
        <v>3054</v>
      </c>
      <c r="H815" s="4"/>
      <c r="I815" s="3" t="s">
        <v>3137</v>
      </c>
    </row>
    <row r="816">
      <c r="A816" s="20" t="s">
        <v>7439</v>
      </c>
      <c r="B816" s="3" t="s">
        <v>7440</v>
      </c>
      <c r="C816" s="3" t="s">
        <v>7441</v>
      </c>
      <c r="D816" s="3" t="s">
        <v>7442</v>
      </c>
      <c r="E816" s="3" t="s">
        <v>7443</v>
      </c>
      <c r="F816" s="3" t="s">
        <v>7444</v>
      </c>
      <c r="G816" s="3" t="s">
        <v>7445</v>
      </c>
      <c r="H816" s="21" t="s">
        <v>7446</v>
      </c>
      <c r="I816" s="3" t="s">
        <v>3061</v>
      </c>
    </row>
    <row r="817">
      <c r="A817" s="20" t="s">
        <v>7447</v>
      </c>
      <c r="B817" s="3" t="s">
        <v>7448</v>
      </c>
      <c r="C817" s="3" t="s">
        <v>7449</v>
      </c>
      <c r="D817" s="3" t="s">
        <v>7450</v>
      </c>
      <c r="E817" s="3" t="s">
        <v>3073</v>
      </c>
      <c r="F817" s="3" t="s">
        <v>7451</v>
      </c>
      <c r="G817" s="3" t="s">
        <v>3054</v>
      </c>
      <c r="H817" s="21" t="s">
        <v>7452</v>
      </c>
      <c r="I817" s="3" t="s">
        <v>3230</v>
      </c>
    </row>
    <row r="818">
      <c r="A818" s="20" t="s">
        <v>7453</v>
      </c>
      <c r="B818" s="3" t="s">
        <v>7454</v>
      </c>
      <c r="C818" s="3" t="s">
        <v>7455</v>
      </c>
      <c r="D818" s="3" t="s">
        <v>7456</v>
      </c>
      <c r="E818" s="3" t="s">
        <v>3800</v>
      </c>
      <c r="F818" s="3" t="s">
        <v>7457</v>
      </c>
      <c r="G818" s="3" t="s">
        <v>3054</v>
      </c>
      <c r="H818" s="21" t="s">
        <v>7458</v>
      </c>
      <c r="I818" s="3" t="s">
        <v>3186</v>
      </c>
    </row>
    <row r="819">
      <c r="A819" s="20" t="s">
        <v>7459</v>
      </c>
      <c r="B819" s="3" t="s">
        <v>7460</v>
      </c>
      <c r="C819" s="3" t="s">
        <v>7461</v>
      </c>
      <c r="D819" s="3" t="s">
        <v>7462</v>
      </c>
      <c r="E819" s="3" t="s">
        <v>3073</v>
      </c>
      <c r="F819" s="3" t="s">
        <v>7463</v>
      </c>
      <c r="G819" s="3" t="s">
        <v>3054</v>
      </c>
      <c r="H819" s="3" t="s">
        <v>3054</v>
      </c>
      <c r="I819" s="3" t="s">
        <v>3123</v>
      </c>
    </row>
    <row r="820">
      <c r="A820" s="20" t="s">
        <v>7464</v>
      </c>
      <c r="B820" s="3" t="s">
        <v>7465</v>
      </c>
      <c r="C820" s="4"/>
      <c r="D820" s="3" t="s">
        <v>3115</v>
      </c>
      <c r="E820" s="3" t="s">
        <v>3116</v>
      </c>
      <c r="F820" s="4"/>
      <c r="G820" s="3" t="s">
        <v>3054</v>
      </c>
      <c r="H820" s="3" t="s">
        <v>3054</v>
      </c>
      <c r="I820" s="3" t="s">
        <v>3054</v>
      </c>
    </row>
    <row r="821">
      <c r="A821" s="20" t="s">
        <v>7466</v>
      </c>
      <c r="B821" s="3" t="s">
        <v>7467</v>
      </c>
      <c r="C821" s="3" t="s">
        <v>7468</v>
      </c>
      <c r="D821" s="3" t="s">
        <v>7469</v>
      </c>
      <c r="E821" s="3" t="s">
        <v>3052</v>
      </c>
      <c r="F821" s="3" t="s">
        <v>7470</v>
      </c>
      <c r="G821" s="3" t="s">
        <v>7471</v>
      </c>
      <c r="H821" s="21" t="s">
        <v>7472</v>
      </c>
      <c r="I821" s="3" t="s">
        <v>3061</v>
      </c>
    </row>
    <row r="822">
      <c r="A822" s="20" t="s">
        <v>7473</v>
      </c>
      <c r="B822" s="3" t="s">
        <v>7474</v>
      </c>
      <c r="C822" s="3" t="s">
        <v>7475</v>
      </c>
      <c r="D822" s="3" t="s">
        <v>7476</v>
      </c>
      <c r="E822" s="3" t="s">
        <v>3052</v>
      </c>
      <c r="F822" s="3" t="s">
        <v>7477</v>
      </c>
      <c r="G822" s="3" t="s">
        <v>3054</v>
      </c>
      <c r="H822" s="21" t="s">
        <v>7478</v>
      </c>
      <c r="I822" s="3" t="s">
        <v>3099</v>
      </c>
    </row>
    <row r="823">
      <c r="A823" s="20" t="s">
        <v>7479</v>
      </c>
      <c r="B823" s="3" t="s">
        <v>7480</v>
      </c>
      <c r="C823" s="3" t="s">
        <v>7481</v>
      </c>
      <c r="D823" s="3" t="s">
        <v>7482</v>
      </c>
      <c r="E823" s="3" t="s">
        <v>3128</v>
      </c>
      <c r="F823" s="3" t="s">
        <v>7483</v>
      </c>
      <c r="G823" s="3" t="s">
        <v>3054</v>
      </c>
      <c r="H823" s="21" t="s">
        <v>7484</v>
      </c>
      <c r="I823" s="3" t="s">
        <v>3099</v>
      </c>
    </row>
    <row r="824">
      <c r="A824" s="20" t="s">
        <v>7485</v>
      </c>
      <c r="B824" s="3" t="s">
        <v>7486</v>
      </c>
      <c r="C824" s="3" t="s">
        <v>7487</v>
      </c>
      <c r="D824" s="3" t="s">
        <v>7488</v>
      </c>
      <c r="E824" s="3" t="s">
        <v>3052</v>
      </c>
      <c r="F824" s="3" t="s">
        <v>7489</v>
      </c>
      <c r="G824" s="3" t="s">
        <v>7490</v>
      </c>
      <c r="H824" s="21" t="s">
        <v>7491</v>
      </c>
      <c r="I824" s="3" t="s">
        <v>3061</v>
      </c>
    </row>
    <row r="825">
      <c r="A825" s="20" t="s">
        <v>7492</v>
      </c>
      <c r="B825" s="3" t="s">
        <v>7493</v>
      </c>
      <c r="C825" s="3" t="s">
        <v>7494</v>
      </c>
      <c r="D825" s="3" t="s">
        <v>7495</v>
      </c>
      <c r="E825" s="3" t="s">
        <v>3052</v>
      </c>
      <c r="F825" s="3" t="s">
        <v>7496</v>
      </c>
      <c r="G825" s="3" t="s">
        <v>3054</v>
      </c>
      <c r="H825" s="21" t="s">
        <v>7497</v>
      </c>
      <c r="I825" s="3" t="s">
        <v>3137</v>
      </c>
    </row>
    <row r="826">
      <c r="A826" s="20" t="s">
        <v>7498</v>
      </c>
      <c r="B826" s="3" t="s">
        <v>7499</v>
      </c>
      <c r="C826" s="3" t="s">
        <v>7500</v>
      </c>
      <c r="D826" s="3" t="s">
        <v>7501</v>
      </c>
      <c r="E826" s="3" t="s">
        <v>3073</v>
      </c>
      <c r="F826" s="3" t="s">
        <v>7502</v>
      </c>
      <c r="G826" s="3" t="s">
        <v>3054</v>
      </c>
      <c r="H826" s="3" t="s">
        <v>3054</v>
      </c>
      <c r="I826" s="3" t="s">
        <v>3076</v>
      </c>
    </row>
    <row r="827">
      <c r="A827" s="20" t="s">
        <v>7503</v>
      </c>
      <c r="B827" s="3" t="s">
        <v>7504</v>
      </c>
      <c r="C827" s="4"/>
      <c r="D827" s="3" t="s">
        <v>3115</v>
      </c>
      <c r="E827" s="3" t="s">
        <v>3116</v>
      </c>
      <c r="F827" s="4"/>
      <c r="G827" s="3" t="s">
        <v>3054</v>
      </c>
      <c r="H827" s="3" t="s">
        <v>3054</v>
      </c>
      <c r="I827" s="3" t="s">
        <v>3054</v>
      </c>
    </row>
    <row r="828">
      <c r="A828" s="20" t="s">
        <v>7505</v>
      </c>
      <c r="B828" s="3" t="s">
        <v>7506</v>
      </c>
      <c r="C828" s="3" t="s">
        <v>7507</v>
      </c>
      <c r="D828" s="3" t="s">
        <v>7508</v>
      </c>
      <c r="E828" s="3" t="s">
        <v>3052</v>
      </c>
      <c r="F828" s="3" t="s">
        <v>7509</v>
      </c>
      <c r="G828" s="3" t="s">
        <v>3054</v>
      </c>
      <c r="H828" s="21" t="s">
        <v>7510</v>
      </c>
      <c r="I828" s="3" t="s">
        <v>3054</v>
      </c>
    </row>
    <row r="829">
      <c r="A829" s="20" t="s">
        <v>7511</v>
      </c>
      <c r="B829" s="3" t="s">
        <v>7512</v>
      </c>
      <c r="C829" s="3" t="s">
        <v>7513</v>
      </c>
      <c r="D829" s="3" t="s">
        <v>7514</v>
      </c>
      <c r="E829" s="3" t="s">
        <v>3096</v>
      </c>
      <c r="F829" s="3" t="s">
        <v>7515</v>
      </c>
      <c r="G829" s="3" t="s">
        <v>3054</v>
      </c>
      <c r="H829" s="4"/>
      <c r="I829" s="3" t="s">
        <v>3186</v>
      </c>
    </row>
    <row r="830">
      <c r="A830" s="20" t="s">
        <v>7516</v>
      </c>
      <c r="B830" s="3" t="s">
        <v>7517</v>
      </c>
      <c r="C830" s="4"/>
      <c r="D830" s="3" t="s">
        <v>3115</v>
      </c>
      <c r="E830" s="3" t="s">
        <v>3116</v>
      </c>
      <c r="F830" s="4"/>
      <c r="G830" s="3" t="s">
        <v>3054</v>
      </c>
      <c r="H830" s="3" t="s">
        <v>3054</v>
      </c>
      <c r="I830" s="3" t="s">
        <v>3054</v>
      </c>
    </row>
    <row r="831">
      <c r="A831" s="20" t="s">
        <v>7518</v>
      </c>
      <c r="B831" s="3" t="s">
        <v>92</v>
      </c>
      <c r="C831" s="3" t="s">
        <v>7519</v>
      </c>
      <c r="D831" s="3" t="s">
        <v>7520</v>
      </c>
      <c r="E831" s="3" t="s">
        <v>3073</v>
      </c>
      <c r="F831" s="3" t="s">
        <v>7521</v>
      </c>
      <c r="G831" s="3" t="s">
        <v>7522</v>
      </c>
      <c r="H831" s="21" t="s">
        <v>7523</v>
      </c>
      <c r="I831" s="3" t="s">
        <v>3230</v>
      </c>
    </row>
    <row r="832">
      <c r="A832" s="20" t="s">
        <v>7524</v>
      </c>
      <c r="B832" s="3" t="s">
        <v>7525</v>
      </c>
      <c r="C832" s="3" t="s">
        <v>7526</v>
      </c>
      <c r="D832" s="3" t="s">
        <v>7527</v>
      </c>
      <c r="E832" s="3" t="s">
        <v>3096</v>
      </c>
      <c r="F832" s="3" t="s">
        <v>7528</v>
      </c>
      <c r="G832" s="3" t="s">
        <v>3054</v>
      </c>
      <c r="H832" s="21" t="s">
        <v>7529</v>
      </c>
      <c r="I832" s="3" t="s">
        <v>3099</v>
      </c>
    </row>
    <row r="833">
      <c r="A833" s="20" t="s">
        <v>7530</v>
      </c>
      <c r="B833" s="3" t="s">
        <v>7531</v>
      </c>
      <c r="C833" s="3" t="s">
        <v>7532</v>
      </c>
      <c r="D833" s="3" t="s">
        <v>7533</v>
      </c>
      <c r="E833" s="3" t="s">
        <v>4491</v>
      </c>
      <c r="F833" s="3" t="s">
        <v>7534</v>
      </c>
      <c r="G833" s="3" t="s">
        <v>3054</v>
      </c>
      <c r="H833" s="21" t="s">
        <v>7535</v>
      </c>
      <c r="I833" s="3" t="s">
        <v>3061</v>
      </c>
    </row>
    <row r="834">
      <c r="A834" s="20" t="s">
        <v>7536</v>
      </c>
      <c r="B834" s="3" t="s">
        <v>7537</v>
      </c>
      <c r="C834" s="3" t="s">
        <v>7538</v>
      </c>
      <c r="D834" s="3" t="s">
        <v>7539</v>
      </c>
      <c r="E834" s="3" t="s">
        <v>3052</v>
      </c>
      <c r="F834" s="3" t="s">
        <v>7540</v>
      </c>
      <c r="G834" s="3" t="s">
        <v>3054</v>
      </c>
      <c r="H834" s="3" t="s">
        <v>3054</v>
      </c>
      <c r="I834" s="3" t="s">
        <v>3137</v>
      </c>
    </row>
    <row r="835">
      <c r="A835" s="20" t="s">
        <v>7541</v>
      </c>
      <c r="B835" s="3" t="s">
        <v>7542</v>
      </c>
      <c r="C835" s="3" t="s">
        <v>7543</v>
      </c>
      <c r="D835" s="3" t="s">
        <v>7544</v>
      </c>
      <c r="E835" s="3" t="s">
        <v>3052</v>
      </c>
      <c r="F835" s="3" t="s">
        <v>7545</v>
      </c>
      <c r="G835" s="3" t="s">
        <v>7546</v>
      </c>
      <c r="H835" s="3" t="s">
        <v>3054</v>
      </c>
      <c r="I835" s="3" t="s">
        <v>3186</v>
      </c>
    </row>
    <row r="836">
      <c r="A836" s="20" t="s">
        <v>7547</v>
      </c>
      <c r="B836" s="3" t="s">
        <v>7548</v>
      </c>
      <c r="C836" s="3" t="s">
        <v>7549</v>
      </c>
      <c r="D836" s="3" t="s">
        <v>7550</v>
      </c>
      <c r="E836" s="3" t="s">
        <v>3052</v>
      </c>
      <c r="F836" s="3" t="s">
        <v>7551</v>
      </c>
      <c r="G836" s="3" t="s">
        <v>7552</v>
      </c>
      <c r="H836" s="21" t="s">
        <v>7553</v>
      </c>
      <c r="I836" s="3" t="s">
        <v>3099</v>
      </c>
    </row>
    <row r="837">
      <c r="A837" s="20" t="s">
        <v>7554</v>
      </c>
      <c r="B837" s="3" t="s">
        <v>7555</v>
      </c>
      <c r="C837" s="3" t="s">
        <v>7556</v>
      </c>
      <c r="D837" s="3" t="s">
        <v>7557</v>
      </c>
      <c r="E837" s="3" t="s">
        <v>3073</v>
      </c>
      <c r="F837" s="3" t="s">
        <v>7558</v>
      </c>
      <c r="G837" s="3" t="s">
        <v>3054</v>
      </c>
      <c r="H837" s="21" t="s">
        <v>7559</v>
      </c>
      <c r="I837" s="3" t="s">
        <v>3061</v>
      </c>
    </row>
    <row r="838">
      <c r="A838" s="20" t="s">
        <v>7560</v>
      </c>
      <c r="B838" s="3" t="s">
        <v>1352</v>
      </c>
      <c r="C838" s="3" t="s">
        <v>7561</v>
      </c>
      <c r="D838" s="3" t="s">
        <v>7562</v>
      </c>
      <c r="E838" s="3" t="s">
        <v>3096</v>
      </c>
      <c r="F838" s="3" t="s">
        <v>7563</v>
      </c>
      <c r="G838" s="3" t="s">
        <v>7564</v>
      </c>
      <c r="H838" s="21" t="s">
        <v>7565</v>
      </c>
      <c r="I838" s="3" t="s">
        <v>3099</v>
      </c>
    </row>
    <row r="839">
      <c r="A839" s="20" t="s">
        <v>7566</v>
      </c>
      <c r="B839" s="3" t="s">
        <v>7567</v>
      </c>
      <c r="C839" s="3" t="s">
        <v>7568</v>
      </c>
      <c r="D839" s="3" t="s">
        <v>7569</v>
      </c>
      <c r="E839" s="3" t="s">
        <v>3052</v>
      </c>
      <c r="F839" s="3" t="s">
        <v>7570</v>
      </c>
      <c r="G839" s="3" t="s">
        <v>3054</v>
      </c>
      <c r="H839" s="4"/>
      <c r="I839" s="3" t="s">
        <v>3099</v>
      </c>
    </row>
    <row r="840">
      <c r="A840" s="20" t="s">
        <v>7571</v>
      </c>
      <c r="B840" s="3" t="s">
        <v>7572</v>
      </c>
      <c r="C840" s="3" t="s">
        <v>7573</v>
      </c>
      <c r="D840" s="3" t="s">
        <v>7574</v>
      </c>
      <c r="E840" s="3" t="s">
        <v>3096</v>
      </c>
      <c r="F840" s="3" t="s">
        <v>7575</v>
      </c>
      <c r="G840" s="3" t="s">
        <v>7576</v>
      </c>
      <c r="H840" s="3" t="s">
        <v>3054</v>
      </c>
      <c r="I840" s="3" t="s">
        <v>3186</v>
      </c>
    </row>
    <row r="841">
      <c r="A841" s="20" t="s">
        <v>7577</v>
      </c>
      <c r="B841" s="3" t="s">
        <v>7578</v>
      </c>
      <c r="C841" s="3" t="s">
        <v>7579</v>
      </c>
      <c r="D841" s="3" t="s">
        <v>7580</v>
      </c>
      <c r="E841" s="3" t="s">
        <v>3403</v>
      </c>
      <c r="F841" s="3" t="s">
        <v>7581</v>
      </c>
      <c r="G841" s="3" t="s">
        <v>7582</v>
      </c>
      <c r="H841" s="21" t="s">
        <v>7583</v>
      </c>
      <c r="I841" s="3" t="s">
        <v>3076</v>
      </c>
    </row>
    <row r="842">
      <c r="A842" s="20" t="s">
        <v>7584</v>
      </c>
      <c r="B842" s="3" t="s">
        <v>7585</v>
      </c>
      <c r="C842" s="3" t="s">
        <v>7586</v>
      </c>
      <c r="D842" s="3" t="s">
        <v>7587</v>
      </c>
      <c r="E842" s="3" t="s">
        <v>3052</v>
      </c>
      <c r="F842" s="3" t="s">
        <v>7588</v>
      </c>
      <c r="G842" s="3" t="s">
        <v>3054</v>
      </c>
      <c r="H842" s="21" t="s">
        <v>7589</v>
      </c>
      <c r="I842" s="3" t="s">
        <v>3099</v>
      </c>
    </row>
    <row r="843">
      <c r="A843" s="20" t="s">
        <v>7590</v>
      </c>
      <c r="B843" s="3" t="s">
        <v>7591</v>
      </c>
      <c r="C843" s="3" t="s">
        <v>7592</v>
      </c>
      <c r="D843" s="3" t="s">
        <v>7593</v>
      </c>
      <c r="E843" s="3" t="s">
        <v>3096</v>
      </c>
      <c r="F843" s="3" t="s">
        <v>7594</v>
      </c>
      <c r="G843" s="3" t="s">
        <v>3054</v>
      </c>
      <c r="H843" s="4"/>
      <c r="I843" s="3" t="s">
        <v>3099</v>
      </c>
    </row>
    <row r="844">
      <c r="A844" s="20" t="s">
        <v>7595</v>
      </c>
      <c r="B844" s="3" t="s">
        <v>7596</v>
      </c>
      <c r="C844" s="3" t="s">
        <v>7597</v>
      </c>
      <c r="D844" s="3" t="s">
        <v>7598</v>
      </c>
      <c r="E844" s="3" t="s">
        <v>7599</v>
      </c>
      <c r="F844" s="3" t="s">
        <v>7600</v>
      </c>
      <c r="G844" s="3" t="s">
        <v>7601</v>
      </c>
      <c r="H844" s="21" t="s">
        <v>7602</v>
      </c>
      <c r="I844" s="3" t="s">
        <v>3230</v>
      </c>
    </row>
    <row r="845">
      <c r="A845" s="20" t="s">
        <v>7603</v>
      </c>
      <c r="B845" s="3" t="s">
        <v>7604</v>
      </c>
      <c r="C845" s="3" t="s">
        <v>7605</v>
      </c>
      <c r="D845" s="3" t="s">
        <v>7606</v>
      </c>
      <c r="E845" s="3" t="s">
        <v>3073</v>
      </c>
      <c r="F845" s="3" t="s">
        <v>7607</v>
      </c>
      <c r="G845" s="3" t="s">
        <v>3054</v>
      </c>
      <c r="H845" s="3" t="s">
        <v>3054</v>
      </c>
      <c r="I845" s="3" t="s">
        <v>3061</v>
      </c>
    </row>
    <row r="846">
      <c r="A846" s="20" t="s">
        <v>7608</v>
      </c>
      <c r="B846" s="3" t="s">
        <v>7609</v>
      </c>
      <c r="C846" s="3" t="s">
        <v>7610</v>
      </c>
      <c r="D846" s="3" t="s">
        <v>7611</v>
      </c>
      <c r="E846" s="3" t="s">
        <v>3096</v>
      </c>
      <c r="F846" s="3" t="s">
        <v>7612</v>
      </c>
      <c r="G846" s="3" t="s">
        <v>7613</v>
      </c>
      <c r="H846" s="21" t="s">
        <v>7614</v>
      </c>
      <c r="I846" s="3" t="s">
        <v>3491</v>
      </c>
    </row>
    <row r="847">
      <c r="A847" s="20" t="s">
        <v>7615</v>
      </c>
      <c r="B847" s="3" t="s">
        <v>7616</v>
      </c>
      <c r="C847" s="4"/>
      <c r="D847" s="3" t="s">
        <v>3115</v>
      </c>
      <c r="E847" s="3" t="s">
        <v>3116</v>
      </c>
      <c r="F847" s="4"/>
      <c r="G847" s="3" t="s">
        <v>3054</v>
      </c>
      <c r="H847" s="3" t="s">
        <v>3054</v>
      </c>
      <c r="I847" s="3" t="s">
        <v>3054</v>
      </c>
    </row>
    <row r="848">
      <c r="A848" s="20" t="s">
        <v>7617</v>
      </c>
      <c r="B848" s="3" t="s">
        <v>7618</v>
      </c>
      <c r="C848" s="3" t="s">
        <v>7619</v>
      </c>
      <c r="D848" s="3" t="s">
        <v>7620</v>
      </c>
      <c r="E848" s="3" t="s">
        <v>3089</v>
      </c>
      <c r="F848" s="3" t="s">
        <v>7621</v>
      </c>
      <c r="G848" s="3" t="s">
        <v>3054</v>
      </c>
      <c r="H848" s="3" t="s">
        <v>3054</v>
      </c>
      <c r="I848" s="3" t="s">
        <v>3186</v>
      </c>
    </row>
    <row r="849">
      <c r="A849" s="20" t="s">
        <v>7622</v>
      </c>
      <c r="B849" s="3" t="s">
        <v>7623</v>
      </c>
      <c r="C849" s="3" t="s">
        <v>7624</v>
      </c>
      <c r="D849" s="3" t="s">
        <v>7625</v>
      </c>
      <c r="E849" s="3" t="s">
        <v>3073</v>
      </c>
      <c r="F849" s="3" t="s">
        <v>7626</v>
      </c>
      <c r="G849" s="3" t="s">
        <v>3054</v>
      </c>
      <c r="H849" s="3" t="s">
        <v>3054</v>
      </c>
      <c r="I849" s="3" t="s">
        <v>3137</v>
      </c>
    </row>
    <row r="850">
      <c r="A850" s="20" t="s">
        <v>7627</v>
      </c>
      <c r="B850" s="3" t="s">
        <v>2803</v>
      </c>
      <c r="C850" s="3" t="s">
        <v>7628</v>
      </c>
      <c r="D850" s="3" t="s">
        <v>7629</v>
      </c>
      <c r="E850" s="3" t="s">
        <v>3073</v>
      </c>
      <c r="F850" s="3" t="s">
        <v>7630</v>
      </c>
      <c r="G850" s="3" t="s">
        <v>3054</v>
      </c>
      <c r="H850" s="21" t="s">
        <v>7631</v>
      </c>
      <c r="I850" s="3" t="s">
        <v>3099</v>
      </c>
    </row>
    <row r="851">
      <c r="A851" s="20" t="s">
        <v>7632</v>
      </c>
      <c r="B851" s="3" t="s">
        <v>7633</v>
      </c>
      <c r="C851" s="3" t="s">
        <v>7634</v>
      </c>
      <c r="D851" s="3" t="s">
        <v>7635</v>
      </c>
      <c r="E851" s="3" t="s">
        <v>3052</v>
      </c>
      <c r="F851" s="3" t="s">
        <v>7636</v>
      </c>
      <c r="G851" s="3" t="s">
        <v>3054</v>
      </c>
      <c r="H851" s="3" t="s">
        <v>3054</v>
      </c>
      <c r="I851" s="3" t="s">
        <v>3186</v>
      </c>
    </row>
    <row r="852">
      <c r="A852" s="20" t="s">
        <v>7637</v>
      </c>
      <c r="B852" s="3" t="s">
        <v>1703</v>
      </c>
      <c r="C852" s="3" t="s">
        <v>7638</v>
      </c>
      <c r="D852" s="3" t="s">
        <v>7639</v>
      </c>
      <c r="E852" s="3" t="s">
        <v>3403</v>
      </c>
      <c r="F852" s="3" t="s">
        <v>7640</v>
      </c>
      <c r="G852" s="3" t="s">
        <v>7641</v>
      </c>
      <c r="H852" s="21" t="s">
        <v>7642</v>
      </c>
      <c r="I852" s="3" t="s">
        <v>3099</v>
      </c>
    </row>
    <row r="853">
      <c r="A853" s="20" t="s">
        <v>7643</v>
      </c>
      <c r="B853" s="3" t="s">
        <v>7644</v>
      </c>
      <c r="C853" s="3" t="s">
        <v>7645</v>
      </c>
      <c r="D853" s="3" t="s">
        <v>7646</v>
      </c>
      <c r="E853" s="3" t="s">
        <v>3052</v>
      </c>
      <c r="F853" s="3" t="s">
        <v>7647</v>
      </c>
      <c r="G853" s="3" t="s">
        <v>7648</v>
      </c>
      <c r="H853" s="3" t="s">
        <v>3054</v>
      </c>
      <c r="I853" s="3" t="s">
        <v>3061</v>
      </c>
    </row>
    <row r="854">
      <c r="A854" s="20" t="s">
        <v>7649</v>
      </c>
      <c r="B854" s="3" t="s">
        <v>7650</v>
      </c>
      <c r="C854" s="3" t="s">
        <v>7651</v>
      </c>
      <c r="D854" s="3" t="s">
        <v>5149</v>
      </c>
      <c r="E854" s="3" t="s">
        <v>3052</v>
      </c>
      <c r="F854" s="3" t="s">
        <v>7652</v>
      </c>
      <c r="G854" s="3" t="s">
        <v>7653</v>
      </c>
      <c r="H854" s="4"/>
      <c r="I854" s="3" t="s">
        <v>3099</v>
      </c>
    </row>
    <row r="855">
      <c r="A855" s="20" t="s">
        <v>7654</v>
      </c>
      <c r="B855" s="3" t="s">
        <v>7655</v>
      </c>
      <c r="C855" s="3" t="s">
        <v>7656</v>
      </c>
      <c r="D855" s="3" t="s">
        <v>3115</v>
      </c>
      <c r="E855" s="3" t="s">
        <v>3116</v>
      </c>
      <c r="F855" s="4"/>
      <c r="G855" s="3" t="s">
        <v>7657</v>
      </c>
      <c r="H855" s="3" t="s">
        <v>3054</v>
      </c>
      <c r="I855" s="3" t="s">
        <v>3054</v>
      </c>
    </row>
    <row r="856">
      <c r="A856" s="20" t="s">
        <v>7658</v>
      </c>
      <c r="B856" s="3" t="s">
        <v>7659</v>
      </c>
      <c r="C856" s="3" t="s">
        <v>7660</v>
      </c>
      <c r="D856" s="3" t="s">
        <v>7661</v>
      </c>
      <c r="E856" s="3" t="s">
        <v>3073</v>
      </c>
      <c r="F856" s="3" t="s">
        <v>7662</v>
      </c>
      <c r="G856" s="3" t="s">
        <v>3054</v>
      </c>
      <c r="H856" s="3" t="s">
        <v>3054</v>
      </c>
      <c r="I856" s="3" t="s">
        <v>3076</v>
      </c>
    </row>
    <row r="857">
      <c r="A857" s="20" t="s">
        <v>7663</v>
      </c>
      <c r="B857" s="3" t="s">
        <v>7664</v>
      </c>
      <c r="C857" s="3" t="s">
        <v>7665</v>
      </c>
      <c r="D857" s="3" t="s">
        <v>7666</v>
      </c>
      <c r="E857" s="3" t="s">
        <v>3052</v>
      </c>
      <c r="F857" s="3" t="s">
        <v>7667</v>
      </c>
      <c r="G857" s="3" t="s">
        <v>3054</v>
      </c>
      <c r="H857" s="21" t="s">
        <v>7668</v>
      </c>
      <c r="I857" s="3" t="s">
        <v>3186</v>
      </c>
    </row>
    <row r="858">
      <c r="A858" s="20" t="s">
        <v>7669</v>
      </c>
      <c r="B858" s="3" t="s">
        <v>7670</v>
      </c>
      <c r="C858" s="3" t="s">
        <v>7671</v>
      </c>
      <c r="D858" s="3" t="s">
        <v>7672</v>
      </c>
      <c r="E858" s="3" t="s">
        <v>3052</v>
      </c>
      <c r="F858" s="3" t="s">
        <v>7673</v>
      </c>
      <c r="G858" s="3" t="s">
        <v>3054</v>
      </c>
      <c r="H858" s="4"/>
      <c r="I858" s="3" t="s">
        <v>3186</v>
      </c>
    </row>
    <row r="859">
      <c r="A859" s="20" t="s">
        <v>7674</v>
      </c>
      <c r="B859" s="3" t="s">
        <v>7675</v>
      </c>
      <c r="C859" s="3" t="s">
        <v>7676</v>
      </c>
      <c r="D859" s="3" t="s">
        <v>7677</v>
      </c>
      <c r="E859" s="3" t="s">
        <v>3096</v>
      </c>
      <c r="F859" s="3" t="s">
        <v>7678</v>
      </c>
      <c r="G859" s="3" t="s">
        <v>7679</v>
      </c>
      <c r="H859" s="21" t="s">
        <v>7680</v>
      </c>
      <c r="I859" s="3" t="s">
        <v>3069</v>
      </c>
    </row>
    <row r="860">
      <c r="A860" s="20" t="s">
        <v>7681</v>
      </c>
      <c r="B860" s="3" t="s">
        <v>7682</v>
      </c>
      <c r="C860" s="3" t="s">
        <v>7683</v>
      </c>
      <c r="D860" s="3" t="s">
        <v>7684</v>
      </c>
      <c r="E860" s="3" t="s">
        <v>3073</v>
      </c>
      <c r="F860" s="3" t="s">
        <v>7685</v>
      </c>
      <c r="G860" s="3" t="s">
        <v>3054</v>
      </c>
      <c r="H860" s="21" t="s">
        <v>7686</v>
      </c>
      <c r="I860" s="3" t="s">
        <v>3361</v>
      </c>
    </row>
    <row r="861">
      <c r="A861" s="20" t="s">
        <v>7687</v>
      </c>
      <c r="B861" s="3" t="s">
        <v>7688</v>
      </c>
      <c r="C861" s="3" t="s">
        <v>7689</v>
      </c>
      <c r="D861" s="3" t="s">
        <v>7690</v>
      </c>
      <c r="E861" s="3" t="s">
        <v>3403</v>
      </c>
      <c r="F861" s="3" t="s">
        <v>7691</v>
      </c>
      <c r="G861" s="3" t="s">
        <v>3054</v>
      </c>
      <c r="H861" s="21" t="s">
        <v>7692</v>
      </c>
      <c r="I861" s="3" t="s">
        <v>3137</v>
      </c>
    </row>
    <row r="862">
      <c r="A862" s="20" t="s">
        <v>7693</v>
      </c>
      <c r="B862" s="3" t="s">
        <v>7694</v>
      </c>
      <c r="C862" s="4"/>
      <c r="D862" s="3" t="s">
        <v>3115</v>
      </c>
      <c r="E862" s="3" t="s">
        <v>3116</v>
      </c>
      <c r="F862" s="4"/>
      <c r="G862" s="3" t="s">
        <v>3054</v>
      </c>
      <c r="H862" s="3" t="s">
        <v>3054</v>
      </c>
      <c r="I862" s="3" t="s">
        <v>3054</v>
      </c>
    </row>
    <row r="863">
      <c r="A863" s="20" t="s">
        <v>7695</v>
      </c>
      <c r="B863" s="3" t="s">
        <v>7696</v>
      </c>
      <c r="C863" s="3" t="s">
        <v>7697</v>
      </c>
      <c r="D863" s="3" t="s">
        <v>7698</v>
      </c>
      <c r="E863" s="3" t="s">
        <v>7699</v>
      </c>
      <c r="F863" s="3" t="s">
        <v>7700</v>
      </c>
      <c r="G863" s="3" t="s">
        <v>7701</v>
      </c>
      <c r="H863" s="3" t="s">
        <v>3054</v>
      </c>
      <c r="I863" s="3" t="s">
        <v>3123</v>
      </c>
    </row>
    <row r="864">
      <c r="A864" s="20" t="s">
        <v>7702</v>
      </c>
      <c r="B864" s="3" t="s">
        <v>7703</v>
      </c>
      <c r="C864" s="4"/>
      <c r="D864" s="3" t="s">
        <v>3115</v>
      </c>
      <c r="E864" s="3" t="s">
        <v>3116</v>
      </c>
      <c r="F864" s="4"/>
      <c r="G864" s="3" t="s">
        <v>3054</v>
      </c>
      <c r="H864" s="3" t="s">
        <v>3054</v>
      </c>
      <c r="I864" s="3" t="s">
        <v>3054</v>
      </c>
    </row>
    <row r="865">
      <c r="A865" s="20" t="s">
        <v>7704</v>
      </c>
      <c r="B865" s="3" t="s">
        <v>7705</v>
      </c>
      <c r="C865" s="3" t="s">
        <v>7706</v>
      </c>
      <c r="D865" s="3" t="s">
        <v>7707</v>
      </c>
      <c r="E865" s="3" t="s">
        <v>3052</v>
      </c>
      <c r="F865" s="3" t="s">
        <v>7708</v>
      </c>
      <c r="G865" s="3" t="s">
        <v>3054</v>
      </c>
      <c r="H865" s="21" t="s">
        <v>7709</v>
      </c>
      <c r="I865" s="3" t="s">
        <v>3186</v>
      </c>
    </row>
    <row r="866">
      <c r="A866" s="20" t="s">
        <v>7710</v>
      </c>
      <c r="B866" s="3" t="s">
        <v>1515</v>
      </c>
      <c r="C866" s="3" t="s">
        <v>7711</v>
      </c>
      <c r="D866" s="3" t="s">
        <v>7712</v>
      </c>
      <c r="E866" s="3" t="s">
        <v>3235</v>
      </c>
      <c r="F866" s="3" t="s">
        <v>7713</v>
      </c>
      <c r="G866" s="3" t="s">
        <v>3054</v>
      </c>
      <c r="H866" s="21" t="s">
        <v>7714</v>
      </c>
      <c r="I866" s="3" t="s">
        <v>3099</v>
      </c>
    </row>
    <row r="867">
      <c r="A867" s="20" t="s">
        <v>7715</v>
      </c>
      <c r="B867" s="3" t="s">
        <v>7716</v>
      </c>
      <c r="C867" s="3" t="s">
        <v>7717</v>
      </c>
      <c r="D867" s="3" t="s">
        <v>7718</v>
      </c>
      <c r="E867" s="3" t="s">
        <v>3052</v>
      </c>
      <c r="F867" s="3" t="s">
        <v>7719</v>
      </c>
      <c r="G867" s="3" t="s">
        <v>7720</v>
      </c>
      <c r="H867" s="21" t="s">
        <v>7721</v>
      </c>
      <c r="I867" s="3" t="s">
        <v>3123</v>
      </c>
    </row>
    <row r="868">
      <c r="A868" s="20" t="s">
        <v>7722</v>
      </c>
      <c r="B868" s="3" t="s">
        <v>2792</v>
      </c>
      <c r="C868" s="3" t="s">
        <v>7723</v>
      </c>
      <c r="D868" s="3" t="s">
        <v>7724</v>
      </c>
      <c r="E868" s="3" t="s">
        <v>3235</v>
      </c>
      <c r="F868" s="3" t="s">
        <v>7725</v>
      </c>
      <c r="G868" s="3" t="s">
        <v>3054</v>
      </c>
      <c r="H868" s="21" t="s">
        <v>7726</v>
      </c>
      <c r="I868" s="3" t="s">
        <v>3186</v>
      </c>
    </row>
    <row r="869">
      <c r="A869" s="20" t="s">
        <v>7727</v>
      </c>
      <c r="B869" s="3" t="s">
        <v>7728</v>
      </c>
      <c r="C869" s="3" t="s">
        <v>7729</v>
      </c>
      <c r="D869" s="3" t="s">
        <v>7730</v>
      </c>
      <c r="E869" s="3" t="s">
        <v>3052</v>
      </c>
      <c r="F869" s="3" t="s">
        <v>7731</v>
      </c>
      <c r="G869" s="3" t="s">
        <v>3054</v>
      </c>
      <c r="H869" s="3" t="s">
        <v>3054</v>
      </c>
      <c r="I869" s="3" t="s">
        <v>3061</v>
      </c>
    </row>
    <row r="870">
      <c r="A870" s="20" t="s">
        <v>7732</v>
      </c>
      <c r="B870" s="3" t="s">
        <v>7733</v>
      </c>
      <c r="C870" s="3" t="s">
        <v>7734</v>
      </c>
      <c r="D870" s="3" t="s">
        <v>7735</v>
      </c>
      <c r="E870" s="3" t="s">
        <v>3052</v>
      </c>
      <c r="F870" s="3" t="s">
        <v>7736</v>
      </c>
      <c r="G870" s="3" t="s">
        <v>3054</v>
      </c>
      <c r="H870" s="4"/>
      <c r="I870" s="3" t="s">
        <v>3061</v>
      </c>
    </row>
    <row r="871">
      <c r="A871" s="20" t="s">
        <v>7737</v>
      </c>
      <c r="B871" s="3" t="s">
        <v>7738</v>
      </c>
      <c r="C871" s="3" t="s">
        <v>7739</v>
      </c>
      <c r="D871" s="3" t="s">
        <v>7740</v>
      </c>
      <c r="E871" s="3" t="s">
        <v>3096</v>
      </c>
      <c r="F871" s="3" t="s">
        <v>7741</v>
      </c>
      <c r="G871" s="3" t="s">
        <v>3054</v>
      </c>
      <c r="H871" s="3" t="s">
        <v>3054</v>
      </c>
      <c r="I871" s="3" t="s">
        <v>3099</v>
      </c>
    </row>
    <row r="872">
      <c r="A872" s="20" t="s">
        <v>7742</v>
      </c>
      <c r="B872" s="3" t="s">
        <v>7743</v>
      </c>
      <c r="C872" s="3" t="s">
        <v>7744</v>
      </c>
      <c r="D872" s="3" t="s">
        <v>7745</v>
      </c>
      <c r="E872" s="3" t="s">
        <v>3052</v>
      </c>
      <c r="F872" s="3" t="s">
        <v>7746</v>
      </c>
      <c r="G872" s="3" t="s">
        <v>7747</v>
      </c>
      <c r="H872" s="21" t="s">
        <v>7748</v>
      </c>
      <c r="I872" s="3" t="s">
        <v>3137</v>
      </c>
    </row>
    <row r="873">
      <c r="A873" s="20" t="s">
        <v>7749</v>
      </c>
      <c r="B873" s="3" t="s">
        <v>7750</v>
      </c>
      <c r="C873" s="3" t="s">
        <v>7751</v>
      </c>
      <c r="D873" s="3" t="s">
        <v>7752</v>
      </c>
      <c r="E873" s="3" t="s">
        <v>3177</v>
      </c>
      <c r="F873" s="3" t="s">
        <v>7753</v>
      </c>
      <c r="G873" s="3" t="s">
        <v>3054</v>
      </c>
      <c r="H873" s="3" t="s">
        <v>3054</v>
      </c>
      <c r="I873" s="3" t="s">
        <v>3186</v>
      </c>
    </row>
    <row r="874">
      <c r="A874" s="20" t="s">
        <v>7754</v>
      </c>
      <c r="B874" s="3" t="s">
        <v>7755</v>
      </c>
      <c r="C874" s="3" t="s">
        <v>7756</v>
      </c>
      <c r="D874" s="3" t="s">
        <v>7757</v>
      </c>
      <c r="E874" s="3" t="s">
        <v>3052</v>
      </c>
      <c r="F874" s="3" t="s">
        <v>7758</v>
      </c>
      <c r="G874" s="3" t="s">
        <v>3054</v>
      </c>
      <c r="H874" s="3" t="s">
        <v>3054</v>
      </c>
      <c r="I874" s="3" t="s">
        <v>3069</v>
      </c>
    </row>
    <row r="875">
      <c r="A875" s="20" t="s">
        <v>7759</v>
      </c>
      <c r="B875" s="3" t="s">
        <v>7760</v>
      </c>
      <c r="C875" s="3" t="s">
        <v>7761</v>
      </c>
      <c r="D875" s="3" t="s">
        <v>7762</v>
      </c>
      <c r="E875" s="3" t="s">
        <v>3096</v>
      </c>
      <c r="F875" s="3" t="s">
        <v>7763</v>
      </c>
      <c r="G875" s="3" t="s">
        <v>3054</v>
      </c>
      <c r="H875" s="3" t="s">
        <v>3054</v>
      </c>
      <c r="I875" s="3" t="s">
        <v>3069</v>
      </c>
    </row>
    <row r="876">
      <c r="A876" s="20" t="s">
        <v>7764</v>
      </c>
      <c r="B876" s="3" t="s">
        <v>7765</v>
      </c>
      <c r="C876" s="3" t="s">
        <v>7766</v>
      </c>
      <c r="D876" s="3" t="s">
        <v>7767</v>
      </c>
      <c r="E876" s="3" t="s">
        <v>3052</v>
      </c>
      <c r="F876" s="3" t="s">
        <v>7768</v>
      </c>
      <c r="G876" s="3" t="s">
        <v>3054</v>
      </c>
      <c r="H876" s="21" t="s">
        <v>7769</v>
      </c>
      <c r="I876" s="3" t="s">
        <v>3061</v>
      </c>
    </row>
    <row r="877">
      <c r="A877" s="20" t="s">
        <v>7770</v>
      </c>
      <c r="B877" s="3" t="s">
        <v>7771</v>
      </c>
      <c r="C877" s="3" t="s">
        <v>7772</v>
      </c>
      <c r="D877" s="3" t="s">
        <v>7773</v>
      </c>
      <c r="E877" s="3" t="s">
        <v>3403</v>
      </c>
      <c r="F877" s="3" t="s">
        <v>7774</v>
      </c>
      <c r="G877" s="3" t="s">
        <v>3054</v>
      </c>
      <c r="H877" s="21" t="s">
        <v>7775</v>
      </c>
      <c r="I877" s="3" t="s">
        <v>3099</v>
      </c>
    </row>
    <row r="878">
      <c r="A878" s="20" t="s">
        <v>7776</v>
      </c>
      <c r="B878" s="3" t="s">
        <v>7777</v>
      </c>
      <c r="C878" s="3" t="s">
        <v>7778</v>
      </c>
      <c r="D878" s="3" t="s">
        <v>7779</v>
      </c>
      <c r="E878" s="3" t="s">
        <v>3235</v>
      </c>
      <c r="F878" s="3" t="s">
        <v>4519</v>
      </c>
      <c r="G878" s="3" t="s">
        <v>3054</v>
      </c>
      <c r="H878" s="21" t="s">
        <v>7780</v>
      </c>
      <c r="I878" s="3" t="s">
        <v>3230</v>
      </c>
    </row>
    <row r="879">
      <c r="A879" s="20" t="s">
        <v>7781</v>
      </c>
      <c r="B879" s="3" t="s">
        <v>7782</v>
      </c>
      <c r="C879" s="3" t="s">
        <v>7783</v>
      </c>
      <c r="D879" s="3" t="s">
        <v>7784</v>
      </c>
      <c r="E879" s="3" t="s">
        <v>3066</v>
      </c>
      <c r="F879" s="3" t="s">
        <v>3682</v>
      </c>
      <c r="G879" s="3" t="s">
        <v>3054</v>
      </c>
      <c r="H879" s="3" t="s">
        <v>3054</v>
      </c>
      <c r="I879" s="3" t="s">
        <v>3069</v>
      </c>
    </row>
    <row r="880">
      <c r="A880" s="20" t="s">
        <v>7785</v>
      </c>
      <c r="B880" s="3" t="s">
        <v>7786</v>
      </c>
      <c r="C880" s="3" t="s">
        <v>7787</v>
      </c>
      <c r="D880" s="3" t="s">
        <v>7788</v>
      </c>
      <c r="E880" s="3" t="s">
        <v>3403</v>
      </c>
      <c r="F880" s="3" t="s">
        <v>7789</v>
      </c>
      <c r="G880" s="3" t="s">
        <v>3054</v>
      </c>
      <c r="H880" s="21" t="s">
        <v>7790</v>
      </c>
      <c r="I880" s="3" t="s">
        <v>3137</v>
      </c>
    </row>
    <row r="881">
      <c r="A881" s="20" t="s">
        <v>7791</v>
      </c>
      <c r="B881" s="3" t="s">
        <v>7792</v>
      </c>
      <c r="C881" s="3" t="s">
        <v>7793</v>
      </c>
      <c r="D881" s="3" t="s">
        <v>7794</v>
      </c>
      <c r="E881" s="3" t="s">
        <v>3235</v>
      </c>
      <c r="F881" s="3" t="s">
        <v>7795</v>
      </c>
      <c r="G881" s="3" t="s">
        <v>3054</v>
      </c>
      <c r="H881" s="21" t="s">
        <v>7796</v>
      </c>
      <c r="I881" s="3" t="s">
        <v>3137</v>
      </c>
    </row>
    <row r="882">
      <c r="A882" s="20" t="s">
        <v>7797</v>
      </c>
      <c r="B882" s="3" t="s">
        <v>7798</v>
      </c>
      <c r="C882" s="3" t="s">
        <v>7799</v>
      </c>
      <c r="D882" s="3" t="s">
        <v>7800</v>
      </c>
      <c r="E882" s="3" t="s">
        <v>3052</v>
      </c>
      <c r="F882" s="3" t="s">
        <v>7801</v>
      </c>
      <c r="G882" s="3" t="s">
        <v>3054</v>
      </c>
      <c r="H882" s="3" t="s">
        <v>3054</v>
      </c>
      <c r="I882" s="3" t="s">
        <v>3076</v>
      </c>
    </row>
    <row r="883">
      <c r="A883" s="20" t="s">
        <v>7802</v>
      </c>
      <c r="B883" s="3" t="s">
        <v>1375</v>
      </c>
      <c r="C883" s="3" t="s">
        <v>7803</v>
      </c>
      <c r="D883" s="3" t="s">
        <v>7804</v>
      </c>
      <c r="E883" s="3" t="s">
        <v>3052</v>
      </c>
      <c r="F883" s="3" t="s">
        <v>7805</v>
      </c>
      <c r="G883" s="3" t="s">
        <v>3054</v>
      </c>
      <c r="H883" s="21" t="s">
        <v>7806</v>
      </c>
      <c r="I883" s="3" t="s">
        <v>3099</v>
      </c>
    </row>
    <row r="884">
      <c r="A884" s="20" t="s">
        <v>7807</v>
      </c>
      <c r="B884" s="3" t="s">
        <v>7808</v>
      </c>
      <c r="C884" s="3" t="s">
        <v>7809</v>
      </c>
      <c r="D884" s="3" t="s">
        <v>7810</v>
      </c>
      <c r="E884" s="3" t="s">
        <v>3052</v>
      </c>
      <c r="F884" s="3" t="s">
        <v>7811</v>
      </c>
      <c r="G884" s="3" t="s">
        <v>7812</v>
      </c>
      <c r="H884" s="21" t="s">
        <v>7813</v>
      </c>
      <c r="I884" s="3" t="s">
        <v>3491</v>
      </c>
    </row>
    <row r="885">
      <c r="A885" s="20" t="s">
        <v>7814</v>
      </c>
      <c r="B885" s="3" t="s">
        <v>7815</v>
      </c>
      <c r="C885" s="3" t="s">
        <v>7816</v>
      </c>
      <c r="D885" s="3" t="s">
        <v>7817</v>
      </c>
      <c r="E885" s="3" t="s">
        <v>3052</v>
      </c>
      <c r="F885" s="3" t="s">
        <v>7818</v>
      </c>
      <c r="G885" s="3" t="s">
        <v>7819</v>
      </c>
      <c r="H885" s="21" t="s">
        <v>7820</v>
      </c>
      <c r="I885" s="3" t="s">
        <v>3186</v>
      </c>
    </row>
    <row r="886">
      <c r="A886" s="20" t="s">
        <v>7821</v>
      </c>
      <c r="B886" s="3" t="s">
        <v>7822</v>
      </c>
      <c r="C886" s="3" t="s">
        <v>7823</v>
      </c>
      <c r="D886" s="3" t="s">
        <v>7824</v>
      </c>
      <c r="E886" s="3" t="s">
        <v>3052</v>
      </c>
      <c r="F886" s="3" t="s">
        <v>7825</v>
      </c>
      <c r="G886" s="3" t="s">
        <v>3054</v>
      </c>
      <c r="H886" s="21" t="s">
        <v>7826</v>
      </c>
      <c r="I886" s="3" t="s">
        <v>3099</v>
      </c>
    </row>
    <row r="887">
      <c r="A887" s="20" t="s">
        <v>7827</v>
      </c>
      <c r="B887" s="3" t="s">
        <v>725</v>
      </c>
      <c r="C887" s="3" t="s">
        <v>7828</v>
      </c>
      <c r="D887" s="3" t="s">
        <v>7829</v>
      </c>
      <c r="E887" s="3" t="s">
        <v>7830</v>
      </c>
      <c r="F887" s="3" t="s">
        <v>7831</v>
      </c>
      <c r="G887" s="3" t="s">
        <v>3054</v>
      </c>
      <c r="H887" s="3" t="s">
        <v>3054</v>
      </c>
      <c r="I887" s="3" t="s">
        <v>3061</v>
      </c>
    </row>
    <row r="888">
      <c r="A888" s="20" t="s">
        <v>7832</v>
      </c>
      <c r="B888" s="3" t="s">
        <v>7833</v>
      </c>
      <c r="C888" s="3" t="s">
        <v>7834</v>
      </c>
      <c r="D888" s="3" t="s">
        <v>7835</v>
      </c>
      <c r="E888" s="3" t="s">
        <v>4948</v>
      </c>
      <c r="F888" s="3" t="s">
        <v>7836</v>
      </c>
      <c r="G888" s="3" t="s">
        <v>7837</v>
      </c>
      <c r="H888" s="21" t="s">
        <v>7838</v>
      </c>
      <c r="I888" s="3" t="s">
        <v>3099</v>
      </c>
    </row>
    <row r="889">
      <c r="A889" s="20" t="s">
        <v>7839</v>
      </c>
      <c r="B889" s="3" t="s">
        <v>7840</v>
      </c>
      <c r="C889" s="3" t="s">
        <v>7841</v>
      </c>
      <c r="D889" s="3" t="s">
        <v>7842</v>
      </c>
      <c r="E889" s="3" t="s">
        <v>3073</v>
      </c>
      <c r="F889" s="3" t="s">
        <v>7843</v>
      </c>
      <c r="G889" s="3" t="s">
        <v>3054</v>
      </c>
      <c r="H889" s="3" t="s">
        <v>3054</v>
      </c>
      <c r="I889" s="3" t="s">
        <v>3061</v>
      </c>
    </row>
    <row r="890">
      <c r="A890" s="20" t="s">
        <v>7844</v>
      </c>
      <c r="B890" s="3" t="s">
        <v>7845</v>
      </c>
      <c r="C890" s="3" t="s">
        <v>7846</v>
      </c>
      <c r="D890" s="3" t="s">
        <v>7847</v>
      </c>
      <c r="E890" s="3" t="s">
        <v>3089</v>
      </c>
      <c r="F890" s="3" t="s">
        <v>7848</v>
      </c>
      <c r="G890" s="3" t="s">
        <v>3054</v>
      </c>
      <c r="H890" s="4"/>
      <c r="I890" s="3" t="s">
        <v>3099</v>
      </c>
    </row>
    <row r="891">
      <c r="A891" s="20" t="s">
        <v>7849</v>
      </c>
      <c r="B891" s="3" t="s">
        <v>639</v>
      </c>
      <c r="C891" s="3" t="s">
        <v>7850</v>
      </c>
      <c r="D891" s="3" t="s">
        <v>7851</v>
      </c>
      <c r="E891" s="3" t="s">
        <v>3235</v>
      </c>
      <c r="F891" s="3" t="s">
        <v>4519</v>
      </c>
      <c r="G891" s="3" t="s">
        <v>7852</v>
      </c>
      <c r="H891" s="21" t="s">
        <v>7853</v>
      </c>
      <c r="I891" s="3" t="s">
        <v>3491</v>
      </c>
    </row>
    <row r="892">
      <c r="A892" s="20" t="s">
        <v>7854</v>
      </c>
      <c r="B892" s="3" t="s">
        <v>7855</v>
      </c>
      <c r="C892" s="3" t="s">
        <v>7856</v>
      </c>
      <c r="D892" s="3" t="s">
        <v>7857</v>
      </c>
      <c r="E892" s="3" t="s">
        <v>3052</v>
      </c>
      <c r="F892" s="3" t="s">
        <v>7858</v>
      </c>
      <c r="G892" s="3" t="s">
        <v>3054</v>
      </c>
      <c r="H892" s="21" t="s">
        <v>7859</v>
      </c>
      <c r="I892" s="3" t="s">
        <v>3361</v>
      </c>
    </row>
    <row r="893">
      <c r="A893" s="20" t="s">
        <v>7860</v>
      </c>
      <c r="B893" s="3" t="s">
        <v>2633</v>
      </c>
      <c r="C893" s="3" t="s">
        <v>7861</v>
      </c>
      <c r="D893" s="3" t="s">
        <v>7862</v>
      </c>
      <c r="E893" s="3" t="s">
        <v>3096</v>
      </c>
      <c r="F893" s="3" t="s">
        <v>7863</v>
      </c>
      <c r="G893" s="3" t="s">
        <v>3054</v>
      </c>
      <c r="H893" s="21" t="s">
        <v>7864</v>
      </c>
      <c r="I893" s="3" t="s">
        <v>3099</v>
      </c>
    </row>
    <row r="894">
      <c r="A894" s="20" t="s">
        <v>7865</v>
      </c>
      <c r="B894" s="3" t="s">
        <v>7866</v>
      </c>
      <c r="C894" s="3" t="s">
        <v>7867</v>
      </c>
      <c r="D894" s="3" t="s">
        <v>7868</v>
      </c>
      <c r="E894" s="3" t="s">
        <v>3403</v>
      </c>
      <c r="F894" s="3" t="s">
        <v>7869</v>
      </c>
      <c r="G894" s="3" t="s">
        <v>4121</v>
      </c>
      <c r="H894" s="3" t="s">
        <v>3054</v>
      </c>
      <c r="I894" s="3" t="s">
        <v>3186</v>
      </c>
    </row>
    <row r="895">
      <c r="A895" s="20" t="s">
        <v>7870</v>
      </c>
      <c r="B895" s="3" t="s">
        <v>7871</v>
      </c>
      <c r="C895" s="4"/>
      <c r="D895" s="3" t="s">
        <v>3115</v>
      </c>
      <c r="E895" s="3" t="s">
        <v>3116</v>
      </c>
      <c r="F895" s="4"/>
      <c r="G895" s="3" t="s">
        <v>3054</v>
      </c>
      <c r="H895" s="3" t="s">
        <v>3054</v>
      </c>
      <c r="I895" s="3" t="s">
        <v>3054</v>
      </c>
    </row>
    <row r="896">
      <c r="A896" s="20" t="s">
        <v>7872</v>
      </c>
      <c r="B896" s="3" t="s">
        <v>7873</v>
      </c>
      <c r="C896" s="3" t="s">
        <v>7874</v>
      </c>
      <c r="D896" s="3" t="s">
        <v>7875</v>
      </c>
      <c r="E896" s="3" t="s">
        <v>3235</v>
      </c>
      <c r="F896" s="3" t="s">
        <v>7876</v>
      </c>
      <c r="G896" s="3" t="s">
        <v>7877</v>
      </c>
      <c r="H896" s="21" t="s">
        <v>7878</v>
      </c>
      <c r="I896" s="3" t="s">
        <v>3061</v>
      </c>
    </row>
    <row r="897">
      <c r="A897" s="20" t="s">
        <v>7879</v>
      </c>
      <c r="B897" s="3" t="s">
        <v>7880</v>
      </c>
      <c r="C897" s="3" t="s">
        <v>7881</v>
      </c>
      <c r="D897" s="3" t="s">
        <v>7882</v>
      </c>
      <c r="E897" s="3" t="s">
        <v>3052</v>
      </c>
      <c r="F897" s="3" t="s">
        <v>7883</v>
      </c>
      <c r="G897" s="3" t="s">
        <v>3054</v>
      </c>
      <c r="H897" s="4"/>
      <c r="I897" s="3" t="s">
        <v>3061</v>
      </c>
    </row>
    <row r="898">
      <c r="A898" s="20" t="s">
        <v>7884</v>
      </c>
      <c r="B898" s="3" t="s">
        <v>7885</v>
      </c>
      <c r="C898" s="3" t="s">
        <v>7886</v>
      </c>
      <c r="D898" s="3" t="s">
        <v>7887</v>
      </c>
      <c r="E898" s="3" t="s">
        <v>3052</v>
      </c>
      <c r="F898" s="3" t="s">
        <v>7888</v>
      </c>
      <c r="G898" s="3" t="s">
        <v>7889</v>
      </c>
      <c r="H898" s="4"/>
      <c r="I898" s="3" t="s">
        <v>3076</v>
      </c>
    </row>
    <row r="899">
      <c r="A899" s="20" t="s">
        <v>7890</v>
      </c>
      <c r="B899" s="3" t="s">
        <v>7891</v>
      </c>
      <c r="C899" s="3" t="s">
        <v>7892</v>
      </c>
      <c r="D899" s="3" t="s">
        <v>7893</v>
      </c>
      <c r="E899" s="3" t="s">
        <v>7894</v>
      </c>
      <c r="F899" s="3" t="s">
        <v>7895</v>
      </c>
      <c r="G899" s="3" t="s">
        <v>3054</v>
      </c>
      <c r="H899" s="3" t="s">
        <v>3054</v>
      </c>
      <c r="I899" s="3" t="s">
        <v>3061</v>
      </c>
    </row>
    <row r="900">
      <c r="A900" s="20" t="s">
        <v>7896</v>
      </c>
      <c r="B900" s="3" t="s">
        <v>2807</v>
      </c>
      <c r="C900" s="3" t="s">
        <v>7897</v>
      </c>
      <c r="D900" s="3" t="s">
        <v>7898</v>
      </c>
      <c r="E900" s="3" t="s">
        <v>3052</v>
      </c>
      <c r="F900" s="3" t="s">
        <v>7899</v>
      </c>
      <c r="G900" s="3" t="s">
        <v>3054</v>
      </c>
      <c r="H900" s="21" t="s">
        <v>7900</v>
      </c>
      <c r="I900" s="3" t="s">
        <v>3076</v>
      </c>
    </row>
    <row r="901">
      <c r="A901" s="20" t="s">
        <v>7901</v>
      </c>
      <c r="B901" s="3" t="s">
        <v>7902</v>
      </c>
      <c r="C901" s="3" t="s">
        <v>7903</v>
      </c>
      <c r="D901" s="3" t="s">
        <v>7904</v>
      </c>
      <c r="E901" s="3" t="s">
        <v>3073</v>
      </c>
      <c r="F901" s="3" t="s">
        <v>7905</v>
      </c>
      <c r="G901" s="3" t="s">
        <v>3054</v>
      </c>
      <c r="H901" s="3" t="s">
        <v>3054</v>
      </c>
      <c r="I901" s="3" t="s">
        <v>3099</v>
      </c>
    </row>
    <row r="902">
      <c r="A902" s="20" t="s">
        <v>7906</v>
      </c>
      <c r="B902" s="3" t="s">
        <v>1312</v>
      </c>
      <c r="C902" s="3" t="s">
        <v>7907</v>
      </c>
      <c r="D902" s="3" t="s">
        <v>7908</v>
      </c>
      <c r="E902" s="3" t="s">
        <v>3052</v>
      </c>
      <c r="F902" s="3" t="s">
        <v>7909</v>
      </c>
      <c r="G902" s="3" t="s">
        <v>3054</v>
      </c>
      <c r="H902" s="21" t="s">
        <v>7910</v>
      </c>
      <c r="I902" s="3" t="s">
        <v>3061</v>
      </c>
    </row>
    <row r="903">
      <c r="A903" s="20" t="s">
        <v>7911</v>
      </c>
      <c r="B903" s="3" t="s">
        <v>7912</v>
      </c>
      <c r="C903" s="3" t="s">
        <v>7913</v>
      </c>
      <c r="D903" s="3" t="s">
        <v>7914</v>
      </c>
      <c r="E903" s="3" t="s">
        <v>3235</v>
      </c>
      <c r="F903" s="3" t="s">
        <v>7915</v>
      </c>
      <c r="G903" s="3" t="s">
        <v>3054</v>
      </c>
      <c r="H903" s="3" t="s">
        <v>3054</v>
      </c>
      <c r="I903" s="3" t="s">
        <v>3099</v>
      </c>
    </row>
    <row r="904">
      <c r="A904" s="20" t="s">
        <v>7916</v>
      </c>
      <c r="B904" s="3" t="s">
        <v>778</v>
      </c>
      <c r="C904" s="3" t="s">
        <v>7917</v>
      </c>
      <c r="D904" s="3" t="s">
        <v>7918</v>
      </c>
      <c r="E904" s="3" t="s">
        <v>3235</v>
      </c>
      <c r="F904" s="3" t="s">
        <v>7919</v>
      </c>
      <c r="G904" s="3" t="s">
        <v>3054</v>
      </c>
      <c r="H904" s="21" t="s">
        <v>7920</v>
      </c>
      <c r="I904" s="3" t="s">
        <v>3099</v>
      </c>
    </row>
  </sheetData>
  <autoFilter ref="$A$1:$I$904"/>
  <hyperlinks>
    <hyperlink r:id="rId1" ref="A2"/>
    <hyperlink r:id="rId2" ref="A3"/>
    <hyperlink r:id="rId3" ref="H3"/>
    <hyperlink r:id="rId4" ref="A4"/>
    <hyperlink r:id="rId5" ref="A5"/>
    <hyperlink r:id="rId6" ref="A6"/>
    <hyperlink r:id="rId7" ref="H6"/>
    <hyperlink r:id="rId8" ref="A7"/>
    <hyperlink r:id="rId9" ref="A8"/>
    <hyperlink r:id="rId10" ref="A9"/>
    <hyperlink r:id="rId11" ref="H9"/>
    <hyperlink r:id="rId12" ref="A10"/>
    <hyperlink r:id="rId13" ref="A11"/>
    <hyperlink r:id="rId14" ref="A12"/>
    <hyperlink r:id="rId15" ref="A13"/>
    <hyperlink r:id="rId16" ref="H13"/>
    <hyperlink r:id="rId17" ref="A14"/>
    <hyperlink r:id="rId18" ref="H14"/>
    <hyperlink r:id="rId19" ref="A15"/>
    <hyperlink r:id="rId20" ref="H15"/>
    <hyperlink r:id="rId21" ref="A16"/>
    <hyperlink r:id="rId22" ref="H16"/>
    <hyperlink r:id="rId23" ref="A17"/>
    <hyperlink r:id="rId24" ref="H17"/>
    <hyperlink r:id="rId25" ref="A18"/>
    <hyperlink r:id="rId26" ref="H18"/>
    <hyperlink r:id="rId27" ref="A19"/>
    <hyperlink r:id="rId28" ref="H19"/>
    <hyperlink r:id="rId29" ref="A20"/>
    <hyperlink r:id="rId30" ref="A21"/>
    <hyperlink r:id="rId31" ref="A22"/>
    <hyperlink r:id="rId32" ref="H22"/>
    <hyperlink r:id="rId33" ref="A23"/>
    <hyperlink r:id="rId34" ref="H23"/>
    <hyperlink r:id="rId35" ref="A24"/>
    <hyperlink r:id="rId36" ref="A25"/>
    <hyperlink r:id="rId37" ref="H25"/>
    <hyperlink r:id="rId38" ref="A26"/>
    <hyperlink r:id="rId39" ref="A27"/>
    <hyperlink r:id="rId40" ref="H27"/>
    <hyperlink r:id="rId41" ref="A28"/>
    <hyperlink r:id="rId42" ref="H28"/>
    <hyperlink r:id="rId43" ref="A29"/>
    <hyperlink r:id="rId44" ref="H29"/>
    <hyperlink r:id="rId45" ref="A30"/>
    <hyperlink r:id="rId46" ref="A31"/>
    <hyperlink r:id="rId47" ref="H31"/>
    <hyperlink r:id="rId48" ref="A32"/>
    <hyperlink r:id="rId49" ref="A33"/>
    <hyperlink r:id="rId50" ref="A34"/>
    <hyperlink r:id="rId51" ref="A35"/>
    <hyperlink r:id="rId52" ref="H35"/>
    <hyperlink r:id="rId53" ref="A36"/>
    <hyperlink r:id="rId54" ref="A37"/>
    <hyperlink r:id="rId55" ref="A38"/>
    <hyperlink r:id="rId56" ref="H38"/>
    <hyperlink r:id="rId57" ref="A39"/>
    <hyperlink r:id="rId58" ref="A40"/>
    <hyperlink r:id="rId59" ref="H40"/>
    <hyperlink r:id="rId60" ref="A41"/>
    <hyperlink r:id="rId61" ref="A42"/>
    <hyperlink r:id="rId62" ref="H42"/>
    <hyperlink r:id="rId63" ref="A43"/>
    <hyperlink r:id="rId64" ref="H43"/>
    <hyperlink r:id="rId65" ref="A44"/>
    <hyperlink r:id="rId66" ref="A45"/>
    <hyperlink r:id="rId67" ref="A46"/>
    <hyperlink r:id="rId68" ref="A47"/>
    <hyperlink r:id="rId69" ref="H47"/>
    <hyperlink r:id="rId70" ref="A48"/>
    <hyperlink r:id="rId71" ref="H48"/>
    <hyperlink r:id="rId72" ref="A49"/>
    <hyperlink r:id="rId73" ref="A50"/>
    <hyperlink r:id="rId74" ref="H50"/>
    <hyperlink r:id="rId75" ref="A51"/>
    <hyperlink r:id="rId76" ref="A52"/>
    <hyperlink r:id="rId77" ref="H52"/>
    <hyperlink r:id="rId78" ref="A53"/>
    <hyperlink r:id="rId79" ref="H53"/>
    <hyperlink r:id="rId80" ref="A54"/>
    <hyperlink r:id="rId81" ref="A55"/>
    <hyperlink r:id="rId82" ref="H55"/>
    <hyperlink r:id="rId83" ref="A56"/>
    <hyperlink r:id="rId84" ref="A57"/>
    <hyperlink r:id="rId85" ref="H57"/>
    <hyperlink r:id="rId86" ref="A58"/>
    <hyperlink r:id="rId87" ref="H58"/>
    <hyperlink r:id="rId88" ref="A59"/>
    <hyperlink r:id="rId89" ref="A60"/>
    <hyperlink r:id="rId90" ref="A61"/>
    <hyperlink r:id="rId91" ref="H61"/>
    <hyperlink r:id="rId92" ref="A62"/>
    <hyperlink r:id="rId93" ref="H62"/>
    <hyperlink r:id="rId94" ref="A63"/>
    <hyperlink r:id="rId95" ref="A64"/>
    <hyperlink r:id="rId96" ref="H64"/>
    <hyperlink r:id="rId97" ref="A65"/>
    <hyperlink r:id="rId98" ref="A66"/>
    <hyperlink r:id="rId99" ref="H66"/>
    <hyperlink r:id="rId100" ref="A67"/>
    <hyperlink r:id="rId101" ref="A68"/>
    <hyperlink r:id="rId102" ref="A69"/>
    <hyperlink r:id="rId103" ref="H69"/>
    <hyperlink r:id="rId104" ref="A70"/>
    <hyperlink r:id="rId105" ref="H70"/>
    <hyperlink r:id="rId106" ref="A71"/>
    <hyperlink r:id="rId107" ref="A72"/>
    <hyperlink r:id="rId108" ref="A73"/>
    <hyperlink r:id="rId109" ref="A74"/>
    <hyperlink r:id="rId110" ref="A75"/>
    <hyperlink r:id="rId111" ref="A76"/>
    <hyperlink r:id="rId112" ref="A77"/>
    <hyperlink r:id="rId113" ref="H77"/>
    <hyperlink r:id="rId114" ref="A78"/>
    <hyperlink r:id="rId115" ref="A79"/>
    <hyperlink r:id="rId116" ref="H79"/>
    <hyperlink r:id="rId117" ref="A80"/>
    <hyperlink r:id="rId118" ref="H80"/>
    <hyperlink r:id="rId119" ref="A81"/>
    <hyperlink r:id="rId120" ref="A82"/>
    <hyperlink r:id="rId121" ref="A83"/>
    <hyperlink r:id="rId122" ref="A84"/>
    <hyperlink r:id="rId123" ref="A85"/>
    <hyperlink r:id="rId124" ref="H85"/>
    <hyperlink r:id="rId125" ref="A86"/>
    <hyperlink r:id="rId126" ref="A87"/>
    <hyperlink r:id="rId127" ref="H87"/>
    <hyperlink r:id="rId128" ref="A88"/>
    <hyperlink r:id="rId129" ref="A89"/>
    <hyperlink r:id="rId130" ref="H89"/>
    <hyperlink r:id="rId131" ref="A90"/>
    <hyperlink r:id="rId132" ref="A91"/>
    <hyperlink r:id="rId133" ref="H91"/>
    <hyperlink r:id="rId134" ref="A92"/>
    <hyperlink r:id="rId135" ref="H92"/>
    <hyperlink r:id="rId136" ref="A93"/>
    <hyperlink r:id="rId137" ref="H93"/>
    <hyperlink r:id="rId138" ref="A94"/>
    <hyperlink r:id="rId139" ref="H94"/>
    <hyperlink r:id="rId140" ref="A95"/>
    <hyperlink r:id="rId141" ref="H95"/>
    <hyperlink r:id="rId142" ref="A96"/>
    <hyperlink r:id="rId143" ref="A97"/>
    <hyperlink r:id="rId144" ref="A98"/>
    <hyperlink r:id="rId145" ref="H98"/>
    <hyperlink r:id="rId146" ref="A99"/>
    <hyperlink r:id="rId147" ref="A100"/>
    <hyperlink r:id="rId148" ref="H100"/>
    <hyperlink r:id="rId149" ref="A101"/>
    <hyperlink r:id="rId150" ref="A102"/>
    <hyperlink r:id="rId151" ref="A103"/>
    <hyperlink r:id="rId152" ref="A104"/>
    <hyperlink r:id="rId153" ref="A105"/>
    <hyperlink r:id="rId154" ref="H105"/>
    <hyperlink r:id="rId155" ref="A106"/>
    <hyperlink r:id="rId156" ref="H106"/>
    <hyperlink r:id="rId157" ref="A107"/>
    <hyperlink r:id="rId158" ref="H107"/>
    <hyperlink r:id="rId159" ref="A108"/>
    <hyperlink r:id="rId160" ref="H108"/>
    <hyperlink r:id="rId161" ref="A109"/>
    <hyperlink r:id="rId162" ref="H109"/>
    <hyperlink r:id="rId163" ref="A110"/>
    <hyperlink r:id="rId164" ref="A111"/>
    <hyperlink r:id="rId165" ref="H111"/>
    <hyperlink r:id="rId166" ref="A112"/>
    <hyperlink r:id="rId167" ref="A113"/>
    <hyperlink r:id="rId168" ref="A114"/>
    <hyperlink r:id="rId169" ref="A115"/>
    <hyperlink r:id="rId170" ref="A116"/>
    <hyperlink r:id="rId171" ref="H116"/>
    <hyperlink r:id="rId172" ref="A117"/>
    <hyperlink r:id="rId173" ref="A118"/>
    <hyperlink r:id="rId174" ref="H118"/>
    <hyperlink r:id="rId175" ref="A119"/>
    <hyperlink r:id="rId176" ref="H119"/>
    <hyperlink r:id="rId177" ref="A120"/>
    <hyperlink r:id="rId178" ref="A121"/>
    <hyperlink r:id="rId179" ref="H121"/>
    <hyperlink r:id="rId180" ref="A122"/>
    <hyperlink r:id="rId181" ref="H122"/>
    <hyperlink r:id="rId182" ref="A123"/>
    <hyperlink r:id="rId183" ref="A124"/>
    <hyperlink r:id="rId184" ref="A125"/>
    <hyperlink r:id="rId185" ref="H125"/>
    <hyperlink r:id="rId186" ref="A126"/>
    <hyperlink r:id="rId187" ref="A127"/>
    <hyperlink r:id="rId188" ref="H127"/>
    <hyperlink r:id="rId189" ref="A128"/>
    <hyperlink r:id="rId190" ref="H128"/>
    <hyperlink r:id="rId191" ref="A129"/>
    <hyperlink r:id="rId192" ref="A130"/>
    <hyperlink r:id="rId193" ref="A131"/>
    <hyperlink r:id="rId194" ref="A132"/>
    <hyperlink r:id="rId195" ref="H132"/>
    <hyperlink r:id="rId196" ref="A133"/>
    <hyperlink r:id="rId197" ref="A134"/>
    <hyperlink r:id="rId198" ref="H134"/>
    <hyperlink r:id="rId199" ref="A135"/>
    <hyperlink r:id="rId200" ref="A136"/>
    <hyperlink r:id="rId201" ref="H136"/>
    <hyperlink r:id="rId202" ref="A137"/>
    <hyperlink r:id="rId203" ref="H137"/>
    <hyperlink r:id="rId204" ref="A138"/>
    <hyperlink r:id="rId205" ref="A139"/>
    <hyperlink r:id="rId206" ref="H139"/>
    <hyperlink r:id="rId207" ref="A140"/>
    <hyperlink r:id="rId208" ref="H140"/>
    <hyperlink r:id="rId209" ref="A141"/>
    <hyperlink r:id="rId210" ref="H141"/>
    <hyperlink r:id="rId211" ref="A142"/>
    <hyperlink r:id="rId212" ref="A143"/>
    <hyperlink r:id="rId213" ref="H143"/>
    <hyperlink r:id="rId214" ref="A144"/>
    <hyperlink r:id="rId215" ref="A145"/>
    <hyperlink r:id="rId216" ref="H145"/>
    <hyperlink r:id="rId217" ref="A146"/>
    <hyperlink r:id="rId218" ref="H146"/>
    <hyperlink r:id="rId219" ref="A147"/>
    <hyperlink r:id="rId220" ref="H147"/>
    <hyperlink r:id="rId221" ref="A148"/>
    <hyperlink r:id="rId222" ref="H148"/>
    <hyperlink r:id="rId223" ref="A149"/>
    <hyperlink r:id="rId224" ref="A150"/>
    <hyperlink r:id="rId225" ref="H150"/>
    <hyperlink r:id="rId226" ref="A151"/>
    <hyperlink r:id="rId227" ref="H151"/>
    <hyperlink r:id="rId228" ref="A152"/>
    <hyperlink r:id="rId229" ref="A153"/>
    <hyperlink r:id="rId230" ref="A154"/>
    <hyperlink r:id="rId231" ref="A155"/>
    <hyperlink r:id="rId232" ref="A156"/>
    <hyperlink r:id="rId233" ref="A157"/>
    <hyperlink r:id="rId234" ref="H157"/>
    <hyperlink r:id="rId235" ref="A158"/>
    <hyperlink r:id="rId236" ref="H158"/>
    <hyperlink r:id="rId237" ref="A159"/>
    <hyperlink r:id="rId238" ref="H159"/>
    <hyperlink r:id="rId239" ref="A160"/>
    <hyperlink r:id="rId240" ref="A161"/>
    <hyperlink r:id="rId241" ref="H161"/>
    <hyperlink r:id="rId242" ref="A162"/>
    <hyperlink r:id="rId243" ref="A163"/>
    <hyperlink r:id="rId244" ref="A164"/>
    <hyperlink r:id="rId245" ref="H164"/>
    <hyperlink r:id="rId246" ref="A165"/>
    <hyperlink r:id="rId247" ref="A166"/>
    <hyperlink r:id="rId248" ref="H166"/>
    <hyperlink r:id="rId249" ref="A167"/>
    <hyperlink r:id="rId250" ref="A168"/>
    <hyperlink r:id="rId251" ref="A169"/>
    <hyperlink r:id="rId252" ref="A170"/>
    <hyperlink r:id="rId253" ref="H170"/>
    <hyperlink r:id="rId254" ref="A171"/>
    <hyperlink r:id="rId255" ref="A172"/>
    <hyperlink r:id="rId256" ref="H172"/>
    <hyperlink r:id="rId257" ref="A173"/>
    <hyperlink r:id="rId258" ref="A174"/>
    <hyperlink r:id="rId259" ref="A175"/>
    <hyperlink r:id="rId260" ref="H175"/>
    <hyperlink r:id="rId261" ref="A176"/>
    <hyperlink r:id="rId262" ref="H176"/>
    <hyperlink r:id="rId263" ref="A177"/>
    <hyperlink r:id="rId264" ref="H177"/>
    <hyperlink r:id="rId265" ref="A178"/>
    <hyperlink r:id="rId266" ref="H178"/>
    <hyperlink r:id="rId267" ref="A179"/>
    <hyperlink r:id="rId268" ref="H179"/>
    <hyperlink r:id="rId269" ref="A180"/>
    <hyperlink r:id="rId270" ref="A181"/>
    <hyperlink r:id="rId271" ref="H181"/>
    <hyperlink r:id="rId272" ref="A182"/>
    <hyperlink r:id="rId273" ref="H182"/>
    <hyperlink r:id="rId274" ref="A183"/>
    <hyperlink r:id="rId275" ref="H183"/>
    <hyperlink r:id="rId276" ref="A184"/>
    <hyperlink r:id="rId277" ref="H184"/>
    <hyperlink r:id="rId278" ref="A185"/>
    <hyperlink r:id="rId279" ref="H185"/>
    <hyperlink r:id="rId280" ref="A186"/>
    <hyperlink r:id="rId281" ref="A187"/>
    <hyperlink r:id="rId282" ref="A188"/>
    <hyperlink r:id="rId283" ref="H188"/>
    <hyperlink r:id="rId284" ref="A189"/>
    <hyperlink r:id="rId285" ref="A190"/>
    <hyperlink r:id="rId286" ref="A191"/>
    <hyperlink r:id="rId287" ref="A192"/>
    <hyperlink r:id="rId288" ref="A193"/>
    <hyperlink r:id="rId289" ref="H193"/>
    <hyperlink r:id="rId290" ref="A194"/>
    <hyperlink r:id="rId291" ref="A195"/>
    <hyperlink r:id="rId292" ref="A196"/>
    <hyperlink r:id="rId293" ref="A197"/>
    <hyperlink r:id="rId294" ref="H197"/>
    <hyperlink r:id="rId295" ref="A198"/>
    <hyperlink r:id="rId296" ref="A199"/>
    <hyperlink r:id="rId297" ref="A200"/>
    <hyperlink r:id="rId298" ref="H200"/>
    <hyperlink r:id="rId299" ref="A201"/>
    <hyperlink r:id="rId300" ref="A202"/>
    <hyperlink r:id="rId301" ref="H202"/>
    <hyperlink r:id="rId302" ref="A203"/>
    <hyperlink r:id="rId303" ref="A204"/>
    <hyperlink r:id="rId304" ref="A205"/>
    <hyperlink r:id="rId305" ref="A206"/>
    <hyperlink r:id="rId306" ref="A207"/>
    <hyperlink r:id="rId307" ref="H207"/>
    <hyperlink r:id="rId308" ref="A208"/>
    <hyperlink r:id="rId309" ref="A209"/>
    <hyperlink r:id="rId310" ref="A210"/>
    <hyperlink r:id="rId311" ref="H210"/>
    <hyperlink r:id="rId312" ref="A211"/>
    <hyperlink r:id="rId313" ref="A212"/>
    <hyperlink r:id="rId314" ref="H212"/>
    <hyperlink r:id="rId315" ref="A213"/>
    <hyperlink r:id="rId316" ref="A214"/>
    <hyperlink r:id="rId317" ref="H214"/>
    <hyperlink r:id="rId318" ref="A215"/>
    <hyperlink r:id="rId319" ref="H215"/>
    <hyperlink r:id="rId320" ref="A216"/>
    <hyperlink r:id="rId321" ref="A217"/>
    <hyperlink r:id="rId322" ref="A218"/>
    <hyperlink r:id="rId323" ref="A219"/>
    <hyperlink r:id="rId324" ref="A220"/>
    <hyperlink r:id="rId325" ref="H220"/>
    <hyperlink r:id="rId326" ref="A221"/>
    <hyperlink r:id="rId327" ref="H221"/>
    <hyperlink r:id="rId328" ref="A222"/>
    <hyperlink r:id="rId329" ref="A223"/>
    <hyperlink r:id="rId330" ref="H223"/>
    <hyperlink r:id="rId331" ref="A224"/>
    <hyperlink r:id="rId332" ref="A225"/>
    <hyperlink r:id="rId333" ref="A226"/>
    <hyperlink r:id="rId334" ref="H226"/>
    <hyperlink r:id="rId335" ref="A227"/>
    <hyperlink r:id="rId336" ref="A228"/>
    <hyperlink r:id="rId337" ref="H228"/>
    <hyperlink r:id="rId338" ref="A229"/>
    <hyperlink r:id="rId339" ref="A230"/>
    <hyperlink r:id="rId340" ref="A231"/>
    <hyperlink r:id="rId341" ref="A232"/>
    <hyperlink r:id="rId342" ref="H232"/>
    <hyperlink r:id="rId343" ref="A233"/>
    <hyperlink r:id="rId344" ref="H233"/>
    <hyperlink r:id="rId345" ref="A234"/>
    <hyperlink r:id="rId346" ref="A235"/>
    <hyperlink r:id="rId347" ref="A236"/>
    <hyperlink r:id="rId348" ref="H236"/>
    <hyperlink r:id="rId349" ref="A237"/>
    <hyperlink r:id="rId350" ref="H237"/>
    <hyperlink r:id="rId351" ref="A238"/>
    <hyperlink r:id="rId352" ref="A239"/>
    <hyperlink r:id="rId353" ref="A240"/>
    <hyperlink r:id="rId354" ref="A241"/>
    <hyperlink r:id="rId355" ref="H241"/>
    <hyperlink r:id="rId356" ref="A242"/>
    <hyperlink r:id="rId357" ref="H242"/>
    <hyperlink r:id="rId358" ref="A243"/>
    <hyperlink r:id="rId359" ref="A244"/>
    <hyperlink r:id="rId360" ref="A245"/>
    <hyperlink r:id="rId361" ref="A246"/>
    <hyperlink r:id="rId362" ref="H246"/>
    <hyperlink r:id="rId363" ref="A247"/>
    <hyperlink r:id="rId364" ref="A248"/>
    <hyperlink r:id="rId365" ref="A249"/>
    <hyperlink r:id="rId366" ref="A250"/>
    <hyperlink r:id="rId367" ref="A251"/>
    <hyperlink r:id="rId368" ref="A252"/>
    <hyperlink r:id="rId369" ref="A253"/>
    <hyperlink r:id="rId370" ref="H253"/>
    <hyperlink r:id="rId371" ref="A254"/>
    <hyperlink r:id="rId372" ref="A255"/>
    <hyperlink r:id="rId373" ref="A256"/>
    <hyperlink r:id="rId374" ref="A257"/>
    <hyperlink r:id="rId375" ref="A258"/>
    <hyperlink r:id="rId376" ref="H258"/>
    <hyperlink r:id="rId377" ref="A259"/>
    <hyperlink r:id="rId378" ref="A260"/>
    <hyperlink r:id="rId379" ref="A261"/>
    <hyperlink r:id="rId380" ref="A262"/>
    <hyperlink r:id="rId381" ref="H262"/>
    <hyperlink r:id="rId382" ref="A263"/>
    <hyperlink r:id="rId383" ref="H263"/>
    <hyperlink r:id="rId384" ref="A264"/>
    <hyperlink r:id="rId385" ref="H264"/>
    <hyperlink r:id="rId386" ref="A265"/>
    <hyperlink r:id="rId387" ref="A266"/>
    <hyperlink r:id="rId388" ref="A267"/>
    <hyperlink r:id="rId389" ref="A268"/>
    <hyperlink r:id="rId390" ref="A269"/>
    <hyperlink r:id="rId391" ref="A270"/>
    <hyperlink r:id="rId392" ref="A271"/>
    <hyperlink r:id="rId393" ref="H271"/>
    <hyperlink r:id="rId394" ref="A272"/>
    <hyperlink r:id="rId395" ref="A273"/>
    <hyperlink r:id="rId396" ref="H273"/>
    <hyperlink r:id="rId397" ref="A274"/>
    <hyperlink r:id="rId398" ref="H274"/>
    <hyperlink r:id="rId399" ref="A275"/>
    <hyperlink r:id="rId400" ref="H275"/>
    <hyperlink r:id="rId401" ref="A276"/>
    <hyperlink r:id="rId402" ref="H276"/>
    <hyperlink r:id="rId403" ref="A277"/>
    <hyperlink r:id="rId404" ref="H277"/>
    <hyperlink r:id="rId405" ref="A278"/>
    <hyperlink r:id="rId406" ref="H278"/>
    <hyperlink r:id="rId407" ref="A279"/>
    <hyperlink r:id="rId408" ref="H279"/>
    <hyperlink r:id="rId409" ref="A280"/>
    <hyperlink r:id="rId410" ref="A281"/>
    <hyperlink r:id="rId411" ref="H281"/>
    <hyperlink r:id="rId412" ref="A282"/>
    <hyperlink r:id="rId413" ref="A283"/>
    <hyperlink r:id="rId414" ref="H283"/>
    <hyperlink r:id="rId415" ref="A284"/>
    <hyperlink r:id="rId416" ref="H284"/>
    <hyperlink r:id="rId417" ref="A285"/>
    <hyperlink r:id="rId418" ref="A286"/>
    <hyperlink r:id="rId419" ref="A287"/>
    <hyperlink r:id="rId420" ref="H287"/>
    <hyperlink r:id="rId421" ref="A288"/>
    <hyperlink r:id="rId422" ref="A289"/>
    <hyperlink r:id="rId423" ref="A290"/>
    <hyperlink r:id="rId424" ref="H290"/>
    <hyperlink r:id="rId425" ref="A291"/>
    <hyperlink r:id="rId426" ref="A292"/>
    <hyperlink r:id="rId427" ref="A293"/>
    <hyperlink r:id="rId428" ref="A294"/>
    <hyperlink r:id="rId429" ref="H294"/>
    <hyperlink r:id="rId430" ref="A295"/>
    <hyperlink r:id="rId431" ref="A296"/>
    <hyperlink r:id="rId432" ref="H296"/>
    <hyperlink r:id="rId433" ref="A297"/>
    <hyperlink r:id="rId434" ref="H297"/>
    <hyperlink r:id="rId435" ref="A298"/>
    <hyperlink r:id="rId436" ref="A299"/>
    <hyperlink r:id="rId437" ref="A300"/>
    <hyperlink r:id="rId438" ref="A301"/>
    <hyperlink r:id="rId439" ref="H301"/>
    <hyperlink r:id="rId440" ref="A302"/>
    <hyperlink r:id="rId441" ref="H302"/>
    <hyperlink r:id="rId442" ref="A303"/>
    <hyperlink r:id="rId443" ref="H303"/>
    <hyperlink r:id="rId444" ref="A304"/>
    <hyperlink r:id="rId445" ref="A305"/>
    <hyperlink r:id="rId446" ref="H305"/>
    <hyperlink r:id="rId447" ref="A306"/>
    <hyperlink r:id="rId448" ref="A307"/>
    <hyperlink r:id="rId449" ref="A308"/>
    <hyperlink r:id="rId450" ref="H308"/>
    <hyperlink r:id="rId451" ref="A309"/>
    <hyperlink r:id="rId452" ref="A310"/>
    <hyperlink r:id="rId453" ref="A311"/>
    <hyperlink r:id="rId454" ref="A312"/>
    <hyperlink r:id="rId455" ref="H312"/>
    <hyperlink r:id="rId456" ref="A313"/>
    <hyperlink r:id="rId457" ref="H313"/>
    <hyperlink r:id="rId458" ref="A314"/>
    <hyperlink r:id="rId459" ref="H314"/>
    <hyperlink r:id="rId460" ref="A315"/>
    <hyperlink r:id="rId461" ref="A316"/>
    <hyperlink r:id="rId462" ref="A317"/>
    <hyperlink r:id="rId463" ref="H317"/>
    <hyperlink r:id="rId464" ref="A318"/>
    <hyperlink r:id="rId465" ref="A319"/>
    <hyperlink r:id="rId466" ref="H319"/>
    <hyperlink r:id="rId467" ref="A320"/>
    <hyperlink r:id="rId468" ref="A321"/>
    <hyperlink r:id="rId469" ref="A322"/>
    <hyperlink r:id="rId470" ref="H322"/>
    <hyperlink r:id="rId471" ref="A323"/>
    <hyperlink r:id="rId472" ref="A324"/>
    <hyperlink r:id="rId473" ref="A325"/>
    <hyperlink r:id="rId474" ref="H325"/>
    <hyperlink r:id="rId475" ref="A326"/>
    <hyperlink r:id="rId476" ref="A327"/>
    <hyperlink r:id="rId477" ref="H327"/>
    <hyperlink r:id="rId478" ref="A328"/>
    <hyperlink r:id="rId479" ref="A329"/>
    <hyperlink r:id="rId480" ref="A330"/>
    <hyperlink r:id="rId481" ref="A331"/>
    <hyperlink r:id="rId482" ref="A332"/>
    <hyperlink r:id="rId483" ref="H332"/>
    <hyperlink r:id="rId484" ref="A333"/>
    <hyperlink r:id="rId485" ref="A334"/>
    <hyperlink r:id="rId486" ref="H334"/>
    <hyperlink r:id="rId487" ref="A335"/>
    <hyperlink r:id="rId488" ref="A336"/>
    <hyperlink r:id="rId489" ref="A337"/>
    <hyperlink r:id="rId490" ref="H337"/>
    <hyperlink r:id="rId491" ref="A338"/>
    <hyperlink r:id="rId492" ref="H338"/>
    <hyperlink r:id="rId493" ref="A339"/>
    <hyperlink r:id="rId494" ref="A340"/>
    <hyperlink r:id="rId495" ref="H340"/>
    <hyperlink r:id="rId496" ref="A341"/>
    <hyperlink r:id="rId497" ref="H341"/>
    <hyperlink r:id="rId498" ref="A342"/>
    <hyperlink r:id="rId499" ref="H342"/>
    <hyperlink r:id="rId500" ref="A343"/>
    <hyperlink r:id="rId501" ref="H343"/>
    <hyperlink r:id="rId502" ref="A344"/>
    <hyperlink r:id="rId503" ref="A345"/>
    <hyperlink r:id="rId504" ref="A346"/>
    <hyperlink r:id="rId505" ref="A347"/>
    <hyperlink r:id="rId506" ref="A348"/>
    <hyperlink r:id="rId507" ref="A349"/>
    <hyperlink r:id="rId508" ref="H349"/>
    <hyperlink r:id="rId509" ref="A350"/>
    <hyperlink r:id="rId510" ref="A351"/>
    <hyperlink r:id="rId511" ref="H351"/>
    <hyperlink r:id="rId512" ref="A352"/>
    <hyperlink r:id="rId513" ref="H352"/>
    <hyperlink r:id="rId514" ref="A353"/>
    <hyperlink r:id="rId515" ref="H353"/>
    <hyperlink r:id="rId516" ref="A354"/>
    <hyperlink r:id="rId517" ref="A355"/>
    <hyperlink r:id="rId518" ref="A356"/>
    <hyperlink r:id="rId519" ref="A357"/>
    <hyperlink r:id="rId520" ref="H357"/>
    <hyperlink r:id="rId521" ref="A358"/>
    <hyperlink r:id="rId522" ref="A359"/>
    <hyperlink r:id="rId523" ref="H359"/>
    <hyperlink r:id="rId524" ref="A360"/>
    <hyperlink r:id="rId525" ref="H360"/>
    <hyperlink r:id="rId526" ref="A361"/>
    <hyperlink r:id="rId527" ref="H361"/>
    <hyperlink r:id="rId528" ref="A362"/>
    <hyperlink r:id="rId529" ref="H362"/>
    <hyperlink r:id="rId530" ref="A363"/>
    <hyperlink r:id="rId531" ref="A364"/>
    <hyperlink r:id="rId532" ref="A365"/>
    <hyperlink r:id="rId533" ref="H365"/>
    <hyperlink r:id="rId534" ref="A366"/>
    <hyperlink r:id="rId535" ref="H366"/>
    <hyperlink r:id="rId536" ref="A367"/>
    <hyperlink r:id="rId537" ref="H367"/>
    <hyperlink r:id="rId538" ref="A368"/>
    <hyperlink r:id="rId539" ref="H368"/>
    <hyperlink r:id="rId540" ref="A369"/>
    <hyperlink r:id="rId541" ref="H369"/>
    <hyperlink r:id="rId542" ref="A370"/>
    <hyperlink r:id="rId543" ref="A371"/>
    <hyperlink r:id="rId544" ref="A372"/>
    <hyperlink r:id="rId545" ref="H372"/>
    <hyperlink r:id="rId546" ref="A373"/>
    <hyperlink r:id="rId547" ref="A374"/>
    <hyperlink r:id="rId548" ref="A375"/>
    <hyperlink r:id="rId549" ref="H375"/>
    <hyperlink r:id="rId550" ref="A376"/>
    <hyperlink r:id="rId551" ref="H376"/>
    <hyperlink r:id="rId552" ref="A377"/>
    <hyperlink r:id="rId553" ref="A378"/>
    <hyperlink r:id="rId554" ref="H378"/>
    <hyperlink r:id="rId555" ref="A379"/>
    <hyperlink r:id="rId556" ref="H379"/>
    <hyperlink r:id="rId557" ref="A380"/>
    <hyperlink r:id="rId558" ref="H380"/>
    <hyperlink r:id="rId559" ref="A381"/>
    <hyperlink r:id="rId560" ref="A382"/>
    <hyperlink r:id="rId561" ref="A383"/>
    <hyperlink r:id="rId562" ref="A384"/>
    <hyperlink r:id="rId563" ref="A385"/>
    <hyperlink r:id="rId564" ref="A386"/>
    <hyperlink r:id="rId565" ref="A387"/>
    <hyperlink r:id="rId566" ref="A388"/>
    <hyperlink r:id="rId567" ref="H388"/>
    <hyperlink r:id="rId568" ref="A389"/>
    <hyperlink r:id="rId569" ref="H389"/>
    <hyperlink r:id="rId570" ref="A390"/>
    <hyperlink r:id="rId571" ref="A391"/>
    <hyperlink r:id="rId572" ref="H391"/>
    <hyperlink r:id="rId573" ref="A392"/>
    <hyperlink r:id="rId574" ref="H392"/>
    <hyperlink r:id="rId575" ref="A393"/>
    <hyperlink r:id="rId576" ref="A394"/>
    <hyperlink r:id="rId577" ref="A395"/>
    <hyperlink r:id="rId578" ref="A396"/>
    <hyperlink r:id="rId579" ref="A397"/>
    <hyperlink r:id="rId580" ref="A398"/>
    <hyperlink r:id="rId581" ref="H398"/>
    <hyperlink r:id="rId582" ref="A399"/>
    <hyperlink r:id="rId583" ref="A400"/>
    <hyperlink r:id="rId584" ref="H400"/>
    <hyperlink r:id="rId585" ref="A401"/>
    <hyperlink r:id="rId586" ref="A402"/>
    <hyperlink r:id="rId587" ref="A403"/>
    <hyperlink r:id="rId588" ref="A404"/>
    <hyperlink r:id="rId589" ref="A405"/>
    <hyperlink r:id="rId590" ref="A406"/>
    <hyperlink r:id="rId591" ref="H406"/>
    <hyperlink r:id="rId592" ref="A407"/>
    <hyperlink r:id="rId593" ref="H407"/>
    <hyperlink r:id="rId594" ref="A408"/>
    <hyperlink r:id="rId595" ref="H408"/>
    <hyperlink r:id="rId596" ref="A409"/>
    <hyperlink r:id="rId597" ref="A410"/>
    <hyperlink r:id="rId598" ref="H410"/>
    <hyperlink r:id="rId599" ref="A411"/>
    <hyperlink r:id="rId600" ref="A412"/>
    <hyperlink r:id="rId601" ref="H412"/>
    <hyperlink r:id="rId602" ref="A413"/>
    <hyperlink r:id="rId603" ref="A414"/>
    <hyperlink r:id="rId604" ref="H414"/>
    <hyperlink r:id="rId605" ref="A415"/>
    <hyperlink r:id="rId606" ref="H415"/>
    <hyperlink r:id="rId607" ref="A416"/>
    <hyperlink r:id="rId608" ref="H416"/>
    <hyperlink r:id="rId609" ref="A417"/>
    <hyperlink r:id="rId610" ref="H417"/>
    <hyperlink r:id="rId611" ref="A418"/>
    <hyperlink r:id="rId612" ref="H418"/>
    <hyperlink r:id="rId613" ref="A419"/>
    <hyperlink r:id="rId614" ref="A420"/>
    <hyperlink r:id="rId615" ref="H420"/>
    <hyperlink r:id="rId616" ref="A421"/>
    <hyperlink r:id="rId617" ref="A422"/>
    <hyperlink r:id="rId618" ref="A423"/>
    <hyperlink r:id="rId619" ref="H423"/>
    <hyperlink r:id="rId620" ref="A424"/>
    <hyperlink r:id="rId621" ref="H424"/>
    <hyperlink r:id="rId622" ref="A425"/>
    <hyperlink r:id="rId623" ref="H425"/>
    <hyperlink r:id="rId624" ref="A426"/>
    <hyperlink r:id="rId625" ref="A427"/>
    <hyperlink r:id="rId626" ref="A428"/>
    <hyperlink r:id="rId627" ref="H428"/>
    <hyperlink r:id="rId628" ref="A429"/>
    <hyperlink r:id="rId629" ref="H429"/>
    <hyperlink r:id="rId630" ref="A430"/>
    <hyperlink r:id="rId631" ref="H430"/>
    <hyperlink r:id="rId632" ref="A431"/>
    <hyperlink r:id="rId633" ref="A432"/>
    <hyperlink r:id="rId634" ref="A433"/>
    <hyperlink r:id="rId635" ref="A434"/>
    <hyperlink r:id="rId636" ref="H434"/>
    <hyperlink r:id="rId637" ref="A435"/>
    <hyperlink r:id="rId638" ref="H435"/>
    <hyperlink r:id="rId639" ref="A436"/>
    <hyperlink r:id="rId640" ref="A437"/>
    <hyperlink r:id="rId641" ref="A438"/>
    <hyperlink r:id="rId642" ref="A439"/>
    <hyperlink r:id="rId643" ref="H439"/>
    <hyperlink r:id="rId644" ref="A440"/>
    <hyperlink r:id="rId645" ref="H440"/>
    <hyperlink r:id="rId646" ref="A441"/>
    <hyperlink r:id="rId647" ref="A442"/>
    <hyperlink r:id="rId648" ref="H442"/>
    <hyperlink r:id="rId649" ref="A443"/>
    <hyperlink r:id="rId650" ref="A444"/>
    <hyperlink r:id="rId651" ref="A445"/>
    <hyperlink r:id="rId652" ref="A446"/>
    <hyperlink r:id="rId653" ref="H446"/>
    <hyperlink r:id="rId654" ref="A447"/>
    <hyperlink r:id="rId655" ref="H447"/>
    <hyperlink r:id="rId656" ref="A448"/>
    <hyperlink r:id="rId657" ref="A449"/>
    <hyperlink r:id="rId658" ref="A450"/>
    <hyperlink r:id="rId659" ref="H450"/>
    <hyperlink r:id="rId660" ref="A451"/>
    <hyperlink r:id="rId661" ref="A452"/>
    <hyperlink r:id="rId662" ref="H452"/>
    <hyperlink r:id="rId663" ref="A453"/>
    <hyperlink r:id="rId664" ref="H453"/>
    <hyperlink r:id="rId665" ref="A454"/>
    <hyperlink r:id="rId666" ref="A455"/>
    <hyperlink r:id="rId667" ref="H455"/>
    <hyperlink r:id="rId668" ref="A456"/>
    <hyperlink r:id="rId669" ref="H456"/>
    <hyperlink r:id="rId670" ref="A457"/>
    <hyperlink r:id="rId671" ref="A458"/>
    <hyperlink r:id="rId672" ref="A459"/>
    <hyperlink r:id="rId673" ref="A460"/>
    <hyperlink r:id="rId674" ref="A461"/>
    <hyperlink r:id="rId675" ref="H461"/>
    <hyperlink r:id="rId676" ref="A462"/>
    <hyperlink r:id="rId677" ref="H462"/>
    <hyperlink r:id="rId678" ref="A463"/>
    <hyperlink r:id="rId679" ref="A464"/>
    <hyperlink r:id="rId680" ref="H464"/>
    <hyperlink r:id="rId681" ref="A465"/>
    <hyperlink r:id="rId682" ref="A466"/>
    <hyperlink r:id="rId683" ref="A467"/>
    <hyperlink r:id="rId684" ref="H467"/>
    <hyperlink r:id="rId685" ref="A468"/>
    <hyperlink r:id="rId686" ref="H468"/>
    <hyperlink r:id="rId687" ref="A469"/>
    <hyperlink r:id="rId688" ref="H469"/>
    <hyperlink r:id="rId689" ref="A470"/>
    <hyperlink r:id="rId690" ref="A471"/>
    <hyperlink r:id="rId691" ref="H471"/>
    <hyperlink r:id="rId692" ref="A472"/>
    <hyperlink r:id="rId693" ref="H472"/>
    <hyperlink r:id="rId694" ref="A473"/>
    <hyperlink r:id="rId695" ref="H473"/>
    <hyperlink r:id="rId696" ref="A474"/>
    <hyperlink r:id="rId697" ref="A475"/>
    <hyperlink r:id="rId698" ref="A476"/>
    <hyperlink r:id="rId699" ref="H476"/>
    <hyperlink r:id="rId700" ref="A477"/>
    <hyperlink r:id="rId701" ref="H477"/>
    <hyperlink r:id="rId702" ref="A478"/>
    <hyperlink r:id="rId703" ref="A479"/>
    <hyperlink r:id="rId704" ref="H479"/>
    <hyperlink r:id="rId705" ref="A480"/>
    <hyperlink r:id="rId706" ref="H480"/>
    <hyperlink r:id="rId707" ref="A481"/>
    <hyperlink r:id="rId708" ref="H481"/>
    <hyperlink r:id="rId709" ref="A482"/>
    <hyperlink r:id="rId710" ref="H482"/>
    <hyperlink r:id="rId711" ref="A483"/>
    <hyperlink r:id="rId712" ref="A484"/>
    <hyperlink r:id="rId713" ref="A485"/>
    <hyperlink r:id="rId714" ref="A486"/>
    <hyperlink r:id="rId715" ref="A487"/>
    <hyperlink r:id="rId716" ref="A488"/>
    <hyperlink r:id="rId717" ref="H488"/>
    <hyperlink r:id="rId718" ref="A489"/>
    <hyperlink r:id="rId719" ref="A490"/>
    <hyperlink r:id="rId720" ref="A491"/>
    <hyperlink r:id="rId721" ref="H491"/>
    <hyperlink r:id="rId722" ref="A492"/>
    <hyperlink r:id="rId723" ref="A493"/>
    <hyperlink r:id="rId724" ref="A494"/>
    <hyperlink r:id="rId725" ref="H494"/>
    <hyperlink r:id="rId726" ref="A495"/>
    <hyperlink r:id="rId727" ref="A496"/>
    <hyperlink r:id="rId728" ref="H496"/>
    <hyperlink r:id="rId729" ref="A497"/>
    <hyperlink r:id="rId730" ref="A498"/>
    <hyperlink r:id="rId731" ref="H498"/>
    <hyperlink r:id="rId732" ref="A499"/>
    <hyperlink r:id="rId733" ref="H499"/>
    <hyperlink r:id="rId734" ref="A500"/>
    <hyperlink r:id="rId735" ref="H500"/>
    <hyperlink r:id="rId736" ref="A501"/>
    <hyperlink r:id="rId737" ref="A502"/>
    <hyperlink r:id="rId738" ref="H502"/>
    <hyperlink r:id="rId739" ref="A503"/>
    <hyperlink r:id="rId740" ref="A504"/>
    <hyperlink r:id="rId741" ref="H504"/>
    <hyperlink r:id="rId742" ref="A505"/>
    <hyperlink r:id="rId743" ref="H505"/>
    <hyperlink r:id="rId744" ref="A506"/>
    <hyperlink r:id="rId745" ref="H506"/>
    <hyperlink r:id="rId746" ref="A507"/>
    <hyperlink r:id="rId747" ref="A508"/>
    <hyperlink r:id="rId748" ref="H508"/>
    <hyperlink r:id="rId749" ref="A509"/>
    <hyperlink r:id="rId750" ref="H509"/>
    <hyperlink r:id="rId751" ref="A510"/>
    <hyperlink r:id="rId752" ref="H510"/>
    <hyperlink r:id="rId753" ref="A511"/>
    <hyperlink r:id="rId754" ref="H511"/>
    <hyperlink r:id="rId755" ref="A512"/>
    <hyperlink r:id="rId756" ref="H512"/>
    <hyperlink r:id="rId757" ref="A513"/>
    <hyperlink r:id="rId758" ref="H513"/>
    <hyperlink r:id="rId759" ref="A514"/>
    <hyperlink r:id="rId760" ref="A515"/>
    <hyperlink r:id="rId761" ref="H515"/>
    <hyperlink r:id="rId762" ref="A516"/>
    <hyperlink r:id="rId763" ref="H516"/>
    <hyperlink r:id="rId764" ref="A517"/>
    <hyperlink r:id="rId765" ref="H517"/>
    <hyperlink r:id="rId766" ref="A518"/>
    <hyperlink r:id="rId767" ref="H518"/>
    <hyperlink r:id="rId768" ref="A519"/>
    <hyperlink r:id="rId769" ref="A520"/>
    <hyperlink r:id="rId770" ref="H520"/>
    <hyperlink r:id="rId771" ref="A521"/>
    <hyperlink r:id="rId772" ref="H521"/>
    <hyperlink r:id="rId773" ref="A522"/>
    <hyperlink r:id="rId774" ref="A523"/>
    <hyperlink r:id="rId775" ref="A524"/>
    <hyperlink r:id="rId776" ref="H524"/>
    <hyperlink r:id="rId777" ref="A525"/>
    <hyperlink r:id="rId778" ref="A526"/>
    <hyperlink r:id="rId779" ref="A527"/>
    <hyperlink r:id="rId780" ref="H527"/>
    <hyperlink r:id="rId781" ref="A528"/>
    <hyperlink r:id="rId782" ref="H528"/>
    <hyperlink r:id="rId783" ref="A529"/>
    <hyperlink r:id="rId784" ref="A530"/>
    <hyperlink r:id="rId785" ref="H530"/>
    <hyperlink r:id="rId786" ref="A531"/>
    <hyperlink r:id="rId787" ref="A532"/>
    <hyperlink r:id="rId788" ref="H532"/>
    <hyperlink r:id="rId789" ref="A533"/>
    <hyperlink r:id="rId790" ref="H533"/>
    <hyperlink r:id="rId791" ref="A534"/>
    <hyperlink r:id="rId792" ref="A535"/>
    <hyperlink r:id="rId793" ref="H535"/>
    <hyperlink r:id="rId794" ref="A536"/>
    <hyperlink r:id="rId795" ref="H536"/>
    <hyperlink r:id="rId796" ref="A537"/>
    <hyperlink r:id="rId797" ref="A538"/>
    <hyperlink r:id="rId798" ref="H538"/>
    <hyperlink r:id="rId799" ref="A539"/>
    <hyperlink r:id="rId800" ref="H539"/>
    <hyperlink r:id="rId801" ref="A540"/>
    <hyperlink r:id="rId802" ref="A541"/>
    <hyperlink r:id="rId803" ref="H541"/>
    <hyperlink r:id="rId804" ref="A542"/>
    <hyperlink r:id="rId805" ref="H542"/>
    <hyperlink r:id="rId806" ref="A543"/>
    <hyperlink r:id="rId807" ref="H543"/>
    <hyperlink r:id="rId808" ref="A544"/>
    <hyperlink r:id="rId809" ref="A545"/>
    <hyperlink r:id="rId810" ref="H545"/>
    <hyperlink r:id="rId811" ref="A546"/>
    <hyperlink r:id="rId812" ref="H546"/>
    <hyperlink r:id="rId813" ref="A547"/>
    <hyperlink r:id="rId814" ref="A548"/>
    <hyperlink r:id="rId815" ref="A549"/>
    <hyperlink r:id="rId816" ref="A550"/>
    <hyperlink r:id="rId817" ref="H550"/>
    <hyperlink r:id="rId818" ref="A551"/>
    <hyperlink r:id="rId819" ref="A552"/>
    <hyperlink r:id="rId820" ref="H552"/>
    <hyperlink r:id="rId821" ref="A553"/>
    <hyperlink r:id="rId822" ref="A554"/>
    <hyperlink r:id="rId823" ref="A555"/>
    <hyperlink r:id="rId824" ref="H555"/>
    <hyperlink r:id="rId825" ref="A556"/>
    <hyperlink r:id="rId826" ref="H556"/>
    <hyperlink r:id="rId827" ref="A557"/>
    <hyperlink r:id="rId828" ref="A558"/>
    <hyperlink r:id="rId829" ref="H558"/>
    <hyperlink r:id="rId830" ref="A559"/>
    <hyperlink r:id="rId831" ref="A560"/>
    <hyperlink r:id="rId832" ref="A561"/>
    <hyperlink r:id="rId833" ref="H561"/>
    <hyperlink r:id="rId834" ref="A562"/>
    <hyperlink r:id="rId835" ref="H562"/>
    <hyperlink r:id="rId836" ref="A563"/>
    <hyperlink r:id="rId837" ref="H563"/>
    <hyperlink r:id="rId838" ref="A564"/>
    <hyperlink r:id="rId839" ref="H564"/>
    <hyperlink r:id="rId840" ref="A565"/>
    <hyperlink r:id="rId841" ref="A566"/>
    <hyperlink r:id="rId842" ref="A567"/>
    <hyperlink r:id="rId843" ref="H567"/>
    <hyperlink r:id="rId844" ref="A568"/>
    <hyperlink r:id="rId845" ref="A569"/>
    <hyperlink r:id="rId846" ref="H569"/>
    <hyperlink r:id="rId847" ref="A570"/>
    <hyperlink r:id="rId848" ref="H570"/>
    <hyperlink r:id="rId849" ref="A571"/>
    <hyperlink r:id="rId850" ref="H571"/>
    <hyperlink r:id="rId851" ref="A572"/>
    <hyperlink r:id="rId852" ref="H572"/>
    <hyperlink r:id="rId853" ref="A573"/>
    <hyperlink r:id="rId854" ref="H573"/>
    <hyperlink r:id="rId855" ref="A574"/>
    <hyperlink r:id="rId856" ref="A575"/>
    <hyperlink r:id="rId857" ref="H575"/>
    <hyperlink r:id="rId858" ref="A576"/>
    <hyperlink r:id="rId859" ref="A577"/>
    <hyperlink r:id="rId860" ref="A578"/>
    <hyperlink r:id="rId861" ref="B578"/>
    <hyperlink r:id="rId862" ref="A579"/>
    <hyperlink r:id="rId863" ref="A580"/>
    <hyperlink r:id="rId864" ref="H580"/>
    <hyperlink r:id="rId865" ref="A581"/>
    <hyperlink r:id="rId866" ref="A582"/>
    <hyperlink r:id="rId867" ref="A583"/>
    <hyperlink r:id="rId868" ref="H583"/>
    <hyperlink r:id="rId869" ref="A584"/>
    <hyperlink r:id="rId870" ref="H584"/>
    <hyperlink r:id="rId871" ref="A585"/>
    <hyperlink r:id="rId872" ref="H585"/>
    <hyperlink r:id="rId873" ref="A586"/>
    <hyperlink r:id="rId874" ref="H586"/>
    <hyperlink r:id="rId875" ref="A587"/>
    <hyperlink r:id="rId876" ref="A588"/>
    <hyperlink r:id="rId877" ref="A589"/>
    <hyperlink r:id="rId878" ref="A590"/>
    <hyperlink r:id="rId879" ref="H590"/>
    <hyperlink r:id="rId880" ref="A591"/>
    <hyperlink r:id="rId881" ref="H591"/>
    <hyperlink r:id="rId882" ref="A592"/>
    <hyperlink r:id="rId883" ref="H592"/>
    <hyperlink r:id="rId884" ref="A593"/>
    <hyperlink r:id="rId885" ref="A594"/>
    <hyperlink r:id="rId886" ref="A595"/>
    <hyperlink r:id="rId887" ref="H595"/>
    <hyperlink r:id="rId888" ref="A596"/>
    <hyperlink r:id="rId889" ref="H596"/>
    <hyperlink r:id="rId890" ref="A597"/>
    <hyperlink r:id="rId891" ref="H597"/>
    <hyperlink r:id="rId892" ref="A598"/>
    <hyperlink r:id="rId893" ref="A599"/>
    <hyperlink r:id="rId894" ref="A600"/>
    <hyperlink r:id="rId895" location="c1095" ref="H600"/>
    <hyperlink r:id="rId896" ref="A601"/>
    <hyperlink r:id="rId897" ref="H601"/>
    <hyperlink r:id="rId898" ref="A602"/>
    <hyperlink r:id="rId899" ref="H602"/>
    <hyperlink r:id="rId900" ref="A603"/>
    <hyperlink r:id="rId901" ref="A604"/>
    <hyperlink r:id="rId902" ref="A605"/>
    <hyperlink r:id="rId903" ref="A606"/>
    <hyperlink r:id="rId904" ref="H606"/>
    <hyperlink r:id="rId905" ref="A607"/>
    <hyperlink r:id="rId906" ref="A608"/>
    <hyperlink r:id="rId907" ref="H608"/>
    <hyperlink r:id="rId908" ref="A609"/>
    <hyperlink r:id="rId909" ref="A610"/>
    <hyperlink r:id="rId910" ref="H610"/>
    <hyperlink r:id="rId911" ref="A611"/>
    <hyperlink r:id="rId912" ref="A612"/>
    <hyperlink r:id="rId913" ref="A613"/>
    <hyperlink r:id="rId914" ref="H613"/>
    <hyperlink r:id="rId915" ref="A614"/>
    <hyperlink r:id="rId916" ref="A615"/>
    <hyperlink r:id="rId917" ref="H615"/>
    <hyperlink r:id="rId918" ref="A616"/>
    <hyperlink r:id="rId919" ref="H616"/>
    <hyperlink r:id="rId920" ref="A617"/>
    <hyperlink r:id="rId921" ref="H617"/>
    <hyperlink r:id="rId922" ref="A618"/>
    <hyperlink r:id="rId923" ref="A619"/>
    <hyperlink r:id="rId924" ref="A620"/>
    <hyperlink r:id="rId925" ref="A621"/>
    <hyperlink r:id="rId926" ref="H621"/>
    <hyperlink r:id="rId927" ref="A622"/>
    <hyperlink r:id="rId928" ref="H622"/>
    <hyperlink r:id="rId929" ref="A623"/>
    <hyperlink r:id="rId930" ref="H623"/>
    <hyperlink r:id="rId931" ref="A624"/>
    <hyperlink r:id="rId932" ref="A625"/>
    <hyperlink r:id="rId933" ref="H625"/>
    <hyperlink r:id="rId934" ref="A626"/>
    <hyperlink r:id="rId935" ref="H626"/>
    <hyperlink r:id="rId936" ref="A627"/>
    <hyperlink r:id="rId937" ref="A628"/>
    <hyperlink r:id="rId938" ref="H628"/>
    <hyperlink r:id="rId939" ref="A629"/>
    <hyperlink r:id="rId940" ref="H629"/>
    <hyperlink r:id="rId941" ref="A630"/>
    <hyperlink r:id="rId942" ref="A631"/>
    <hyperlink r:id="rId943" ref="A632"/>
    <hyperlink r:id="rId944" ref="H632"/>
    <hyperlink r:id="rId945" ref="A633"/>
    <hyperlink r:id="rId946" ref="H633"/>
    <hyperlink r:id="rId947" ref="A634"/>
    <hyperlink r:id="rId948" ref="H634"/>
    <hyperlink r:id="rId949" ref="A635"/>
    <hyperlink r:id="rId950" ref="A636"/>
    <hyperlink r:id="rId951" ref="H636"/>
    <hyperlink r:id="rId952" ref="A637"/>
    <hyperlink r:id="rId953" ref="H637"/>
    <hyperlink r:id="rId954" ref="A638"/>
    <hyperlink r:id="rId955" ref="A639"/>
    <hyperlink r:id="rId956" ref="H639"/>
    <hyperlink r:id="rId957" ref="A640"/>
    <hyperlink r:id="rId958" ref="H640"/>
    <hyperlink r:id="rId959" ref="A641"/>
    <hyperlink r:id="rId960" ref="H641"/>
    <hyperlink r:id="rId961" ref="A642"/>
    <hyperlink r:id="rId962" ref="A643"/>
    <hyperlink r:id="rId963" ref="A644"/>
    <hyperlink r:id="rId964" ref="A645"/>
    <hyperlink r:id="rId965" ref="A646"/>
    <hyperlink r:id="rId966" ref="H646"/>
    <hyperlink r:id="rId967" ref="A647"/>
    <hyperlink r:id="rId968" ref="A648"/>
    <hyperlink r:id="rId969" ref="H648"/>
    <hyperlink r:id="rId970" ref="A649"/>
    <hyperlink r:id="rId971" ref="A650"/>
    <hyperlink r:id="rId972" ref="A651"/>
    <hyperlink r:id="rId973" ref="H651"/>
    <hyperlink r:id="rId974" ref="A652"/>
    <hyperlink r:id="rId975" ref="A653"/>
    <hyperlink r:id="rId976" ref="H653"/>
    <hyperlink r:id="rId977" ref="A654"/>
    <hyperlink r:id="rId978" ref="A655"/>
    <hyperlink r:id="rId979" ref="A656"/>
    <hyperlink r:id="rId980" ref="H656"/>
    <hyperlink r:id="rId981" ref="A657"/>
    <hyperlink r:id="rId982" ref="A658"/>
    <hyperlink r:id="rId983" ref="A659"/>
    <hyperlink r:id="rId984" ref="H659"/>
    <hyperlink r:id="rId985" ref="A660"/>
    <hyperlink r:id="rId986" ref="A661"/>
    <hyperlink r:id="rId987" ref="A662"/>
    <hyperlink r:id="rId988" ref="H662"/>
    <hyperlink r:id="rId989" ref="A663"/>
    <hyperlink r:id="rId990" ref="H663"/>
    <hyperlink r:id="rId991" ref="A664"/>
    <hyperlink r:id="rId992" ref="H664"/>
    <hyperlink r:id="rId993" ref="A665"/>
    <hyperlink r:id="rId994" ref="H665"/>
    <hyperlink r:id="rId995" ref="A666"/>
    <hyperlink r:id="rId996" ref="H666"/>
    <hyperlink r:id="rId997" ref="A667"/>
    <hyperlink r:id="rId998" ref="H667"/>
    <hyperlink r:id="rId999" ref="A668"/>
    <hyperlink r:id="rId1000" ref="A669"/>
    <hyperlink r:id="rId1001" ref="H669"/>
    <hyperlink r:id="rId1002" ref="A670"/>
    <hyperlink r:id="rId1003" ref="A671"/>
    <hyperlink r:id="rId1004" ref="H671"/>
    <hyperlink r:id="rId1005" ref="A672"/>
    <hyperlink r:id="rId1006" ref="A673"/>
    <hyperlink r:id="rId1007" ref="A674"/>
    <hyperlink r:id="rId1008" ref="H674"/>
    <hyperlink r:id="rId1009" ref="A675"/>
    <hyperlink r:id="rId1010" ref="H675"/>
    <hyperlink r:id="rId1011" ref="A676"/>
    <hyperlink r:id="rId1012" ref="A677"/>
    <hyperlink r:id="rId1013" ref="A678"/>
    <hyperlink r:id="rId1014" ref="H678"/>
    <hyperlink r:id="rId1015" ref="A679"/>
    <hyperlink r:id="rId1016" ref="A680"/>
    <hyperlink r:id="rId1017" ref="H680"/>
    <hyperlink r:id="rId1018" ref="A681"/>
    <hyperlink r:id="rId1019" ref="H681"/>
    <hyperlink r:id="rId1020" ref="A682"/>
    <hyperlink r:id="rId1021" ref="A683"/>
    <hyperlink r:id="rId1022" ref="H683"/>
    <hyperlink r:id="rId1023" ref="A684"/>
    <hyperlink r:id="rId1024" ref="H684"/>
    <hyperlink r:id="rId1025" ref="A685"/>
    <hyperlink r:id="rId1026" ref="H685"/>
    <hyperlink r:id="rId1027" ref="A686"/>
    <hyperlink r:id="rId1028" ref="H686"/>
    <hyperlink r:id="rId1029" ref="A687"/>
    <hyperlink r:id="rId1030" ref="H687"/>
    <hyperlink r:id="rId1031" ref="A688"/>
    <hyperlink r:id="rId1032" ref="A689"/>
    <hyperlink r:id="rId1033" ref="H689"/>
    <hyperlink r:id="rId1034" ref="A690"/>
    <hyperlink r:id="rId1035" ref="H690"/>
    <hyperlink r:id="rId1036" ref="A691"/>
    <hyperlink r:id="rId1037" ref="A692"/>
    <hyperlink r:id="rId1038" ref="H692"/>
    <hyperlink r:id="rId1039" ref="A693"/>
    <hyperlink r:id="rId1040" ref="A694"/>
    <hyperlink r:id="rId1041" ref="H694"/>
    <hyperlink r:id="rId1042" ref="A695"/>
    <hyperlink r:id="rId1043" ref="A696"/>
    <hyperlink r:id="rId1044" ref="A697"/>
    <hyperlink r:id="rId1045" ref="H697"/>
    <hyperlink r:id="rId1046" ref="A698"/>
    <hyperlink r:id="rId1047" ref="A699"/>
    <hyperlink r:id="rId1048" ref="H699"/>
    <hyperlink r:id="rId1049" ref="A700"/>
    <hyperlink r:id="rId1050" ref="A701"/>
    <hyperlink r:id="rId1051" ref="A702"/>
    <hyperlink r:id="rId1052" ref="A703"/>
    <hyperlink r:id="rId1053" ref="A704"/>
    <hyperlink r:id="rId1054" ref="A705"/>
    <hyperlink r:id="rId1055" ref="H705"/>
    <hyperlink r:id="rId1056" ref="A706"/>
    <hyperlink r:id="rId1057" ref="A707"/>
    <hyperlink r:id="rId1058" ref="H707"/>
    <hyperlink r:id="rId1059" ref="A708"/>
    <hyperlink r:id="rId1060" ref="A709"/>
    <hyperlink r:id="rId1061" ref="H709"/>
    <hyperlink r:id="rId1062" ref="A710"/>
    <hyperlink r:id="rId1063" ref="A711"/>
    <hyperlink r:id="rId1064" ref="A712"/>
    <hyperlink r:id="rId1065" ref="A713"/>
    <hyperlink r:id="rId1066" ref="H713"/>
    <hyperlink r:id="rId1067" ref="A714"/>
    <hyperlink r:id="rId1068" ref="A715"/>
    <hyperlink r:id="rId1069" ref="A716"/>
    <hyperlink r:id="rId1070" ref="A717"/>
    <hyperlink r:id="rId1071" ref="H717"/>
    <hyperlink r:id="rId1072" ref="A718"/>
    <hyperlink r:id="rId1073" ref="A719"/>
    <hyperlink r:id="rId1074" ref="A720"/>
    <hyperlink r:id="rId1075" ref="A721"/>
    <hyperlink r:id="rId1076" ref="A722"/>
    <hyperlink r:id="rId1077" ref="A723"/>
    <hyperlink r:id="rId1078" ref="H723"/>
    <hyperlink r:id="rId1079" ref="A724"/>
    <hyperlink r:id="rId1080" ref="H724"/>
    <hyperlink r:id="rId1081" ref="A725"/>
    <hyperlink r:id="rId1082" ref="A726"/>
    <hyperlink r:id="rId1083" ref="H726"/>
    <hyperlink r:id="rId1084" ref="A727"/>
    <hyperlink r:id="rId1085" ref="H727"/>
    <hyperlink r:id="rId1086" ref="A728"/>
    <hyperlink r:id="rId1087" ref="H728"/>
    <hyperlink r:id="rId1088" ref="A729"/>
    <hyperlink r:id="rId1089" ref="A730"/>
    <hyperlink r:id="rId1090" ref="A731"/>
    <hyperlink r:id="rId1091" ref="H731"/>
    <hyperlink r:id="rId1092" ref="A732"/>
    <hyperlink r:id="rId1093" ref="A733"/>
    <hyperlink r:id="rId1094" ref="A734"/>
    <hyperlink r:id="rId1095" ref="A735"/>
    <hyperlink r:id="rId1096" ref="A736"/>
    <hyperlink r:id="rId1097" ref="A737"/>
    <hyperlink r:id="rId1098" ref="A738"/>
    <hyperlink r:id="rId1099" ref="H738"/>
    <hyperlink r:id="rId1100" ref="A739"/>
    <hyperlink r:id="rId1101" ref="A740"/>
    <hyperlink r:id="rId1102" ref="H740"/>
    <hyperlink r:id="rId1103" ref="A741"/>
    <hyperlink r:id="rId1104" ref="A742"/>
    <hyperlink r:id="rId1105" ref="H742"/>
    <hyperlink r:id="rId1106" ref="A743"/>
    <hyperlink r:id="rId1107" ref="A744"/>
    <hyperlink r:id="rId1108" ref="H744"/>
    <hyperlink r:id="rId1109" ref="A745"/>
    <hyperlink r:id="rId1110" ref="H745"/>
    <hyperlink r:id="rId1111" ref="A746"/>
    <hyperlink r:id="rId1112" ref="H746"/>
    <hyperlink r:id="rId1113" ref="A747"/>
    <hyperlink r:id="rId1114" ref="H747"/>
    <hyperlink r:id="rId1115" ref="A748"/>
    <hyperlink r:id="rId1116" ref="H748"/>
    <hyperlink r:id="rId1117" ref="A749"/>
    <hyperlink r:id="rId1118" ref="A750"/>
    <hyperlink r:id="rId1119" ref="A751"/>
    <hyperlink r:id="rId1120" ref="H751"/>
    <hyperlink r:id="rId1121" ref="A752"/>
    <hyperlink r:id="rId1122" ref="A753"/>
    <hyperlink r:id="rId1123" ref="H753"/>
    <hyperlink r:id="rId1124" ref="A754"/>
    <hyperlink r:id="rId1125" ref="H754"/>
    <hyperlink r:id="rId1126" ref="A755"/>
    <hyperlink r:id="rId1127" ref="A756"/>
    <hyperlink r:id="rId1128" ref="A757"/>
    <hyperlink r:id="rId1129" ref="H757"/>
    <hyperlink r:id="rId1130" ref="A758"/>
    <hyperlink r:id="rId1131" ref="H758"/>
    <hyperlink r:id="rId1132" ref="A759"/>
    <hyperlink r:id="rId1133" ref="H759"/>
    <hyperlink r:id="rId1134" ref="A760"/>
    <hyperlink r:id="rId1135" ref="H760"/>
    <hyperlink r:id="rId1136" ref="A761"/>
    <hyperlink r:id="rId1137" ref="A762"/>
    <hyperlink r:id="rId1138" ref="A763"/>
    <hyperlink r:id="rId1139" ref="H763"/>
    <hyperlink r:id="rId1140" ref="A764"/>
    <hyperlink r:id="rId1141" ref="A765"/>
    <hyperlink r:id="rId1142" ref="A766"/>
    <hyperlink r:id="rId1143" ref="H766"/>
    <hyperlink r:id="rId1144" ref="A767"/>
    <hyperlink r:id="rId1145" ref="A768"/>
    <hyperlink r:id="rId1146" ref="A769"/>
    <hyperlink r:id="rId1147" ref="A770"/>
    <hyperlink r:id="rId1148" ref="H770"/>
    <hyperlink r:id="rId1149" ref="A771"/>
    <hyperlink r:id="rId1150" ref="A772"/>
    <hyperlink r:id="rId1151" ref="H772"/>
    <hyperlink r:id="rId1152" ref="A773"/>
    <hyperlink r:id="rId1153" ref="A774"/>
    <hyperlink r:id="rId1154" ref="A775"/>
    <hyperlink r:id="rId1155" ref="H775"/>
    <hyperlink r:id="rId1156" ref="A776"/>
    <hyperlink r:id="rId1157" ref="A777"/>
    <hyperlink r:id="rId1158" ref="H777"/>
    <hyperlink r:id="rId1159" ref="A778"/>
    <hyperlink r:id="rId1160" ref="H778"/>
    <hyperlink r:id="rId1161" ref="A779"/>
    <hyperlink r:id="rId1162" ref="H779"/>
    <hyperlink r:id="rId1163" ref="A780"/>
    <hyperlink r:id="rId1164" ref="H780"/>
    <hyperlink r:id="rId1165" ref="A781"/>
    <hyperlink r:id="rId1166" ref="H781"/>
    <hyperlink r:id="rId1167" ref="A782"/>
    <hyperlink r:id="rId1168" ref="A783"/>
    <hyperlink r:id="rId1169" ref="A784"/>
    <hyperlink r:id="rId1170" ref="H784"/>
    <hyperlink r:id="rId1171" ref="A785"/>
    <hyperlink r:id="rId1172" ref="H785"/>
    <hyperlink r:id="rId1173" ref="A786"/>
    <hyperlink r:id="rId1174" ref="H786"/>
    <hyperlink r:id="rId1175" ref="A787"/>
    <hyperlink r:id="rId1176" ref="H787"/>
    <hyperlink r:id="rId1177" ref="A788"/>
    <hyperlink r:id="rId1178" ref="A789"/>
    <hyperlink r:id="rId1179" ref="A790"/>
    <hyperlink r:id="rId1180" ref="A791"/>
    <hyperlink r:id="rId1181" ref="H791"/>
    <hyperlink r:id="rId1182" ref="A792"/>
    <hyperlink r:id="rId1183" ref="A793"/>
    <hyperlink r:id="rId1184" ref="H793"/>
    <hyperlink r:id="rId1185" ref="A794"/>
    <hyperlink r:id="rId1186" ref="A795"/>
    <hyperlink r:id="rId1187" ref="H795"/>
    <hyperlink r:id="rId1188" ref="A796"/>
    <hyperlink r:id="rId1189" ref="A797"/>
    <hyperlink r:id="rId1190" ref="A798"/>
    <hyperlink r:id="rId1191" ref="H798"/>
    <hyperlink r:id="rId1192" ref="A799"/>
    <hyperlink r:id="rId1193" ref="H799"/>
    <hyperlink r:id="rId1194" ref="A800"/>
    <hyperlink r:id="rId1195" ref="H800"/>
    <hyperlink r:id="rId1196" ref="A801"/>
    <hyperlink r:id="rId1197" ref="H801"/>
    <hyperlink r:id="rId1198" ref="A802"/>
    <hyperlink r:id="rId1199" ref="A803"/>
    <hyperlink r:id="rId1200" ref="H803"/>
    <hyperlink r:id="rId1201" ref="A804"/>
    <hyperlink r:id="rId1202" ref="A805"/>
    <hyperlink r:id="rId1203" ref="H805"/>
    <hyperlink r:id="rId1204" ref="A806"/>
    <hyperlink r:id="rId1205" ref="A807"/>
    <hyperlink r:id="rId1206" ref="A808"/>
    <hyperlink r:id="rId1207" ref="H808"/>
    <hyperlink r:id="rId1208" ref="A809"/>
    <hyperlink r:id="rId1209" ref="A810"/>
    <hyperlink r:id="rId1210" ref="A811"/>
    <hyperlink r:id="rId1211" ref="A812"/>
    <hyperlink r:id="rId1212" ref="A813"/>
    <hyperlink r:id="rId1213" ref="A814"/>
    <hyperlink r:id="rId1214" ref="H814"/>
    <hyperlink r:id="rId1215" ref="A815"/>
    <hyperlink r:id="rId1216" ref="A816"/>
    <hyperlink r:id="rId1217" ref="H816"/>
    <hyperlink r:id="rId1218" ref="A817"/>
    <hyperlink r:id="rId1219" ref="H817"/>
    <hyperlink r:id="rId1220" ref="A818"/>
    <hyperlink r:id="rId1221" ref="H818"/>
    <hyperlink r:id="rId1222" ref="A819"/>
    <hyperlink r:id="rId1223" ref="A820"/>
    <hyperlink r:id="rId1224" ref="A821"/>
    <hyperlink r:id="rId1225" ref="H821"/>
    <hyperlink r:id="rId1226" ref="A822"/>
    <hyperlink r:id="rId1227" ref="H822"/>
    <hyperlink r:id="rId1228" ref="A823"/>
    <hyperlink r:id="rId1229" ref="H823"/>
    <hyperlink r:id="rId1230" ref="A824"/>
    <hyperlink r:id="rId1231" ref="H824"/>
    <hyperlink r:id="rId1232" ref="A825"/>
    <hyperlink r:id="rId1233" ref="H825"/>
    <hyperlink r:id="rId1234" ref="A826"/>
    <hyperlink r:id="rId1235" ref="A827"/>
    <hyperlink r:id="rId1236" ref="A828"/>
    <hyperlink r:id="rId1237" ref="H828"/>
    <hyperlink r:id="rId1238" ref="A829"/>
    <hyperlink r:id="rId1239" ref="A830"/>
    <hyperlink r:id="rId1240" ref="A831"/>
    <hyperlink r:id="rId1241" ref="H831"/>
    <hyperlink r:id="rId1242" ref="A832"/>
    <hyperlink r:id="rId1243" ref="H832"/>
    <hyperlink r:id="rId1244" ref="A833"/>
    <hyperlink r:id="rId1245" ref="H833"/>
    <hyperlink r:id="rId1246" ref="A834"/>
    <hyperlink r:id="rId1247" ref="A835"/>
    <hyperlink r:id="rId1248" ref="A836"/>
    <hyperlink r:id="rId1249" ref="H836"/>
    <hyperlink r:id="rId1250" ref="A837"/>
    <hyperlink r:id="rId1251" ref="H837"/>
    <hyperlink r:id="rId1252" ref="A838"/>
    <hyperlink r:id="rId1253" ref="H838"/>
    <hyperlink r:id="rId1254" ref="A839"/>
    <hyperlink r:id="rId1255" ref="A840"/>
    <hyperlink r:id="rId1256" ref="A841"/>
    <hyperlink r:id="rId1257" ref="H841"/>
    <hyperlink r:id="rId1258" ref="A842"/>
    <hyperlink r:id="rId1259" ref="H842"/>
    <hyperlink r:id="rId1260" ref="A843"/>
    <hyperlink r:id="rId1261" ref="A844"/>
    <hyperlink r:id="rId1262" ref="H844"/>
    <hyperlink r:id="rId1263" ref="A845"/>
    <hyperlink r:id="rId1264" ref="A846"/>
    <hyperlink r:id="rId1265" ref="H846"/>
    <hyperlink r:id="rId1266" ref="A847"/>
    <hyperlink r:id="rId1267" ref="A848"/>
    <hyperlink r:id="rId1268" ref="A849"/>
    <hyperlink r:id="rId1269" ref="A850"/>
    <hyperlink r:id="rId1270" ref="H850"/>
    <hyperlink r:id="rId1271" ref="A851"/>
    <hyperlink r:id="rId1272" ref="A852"/>
    <hyperlink r:id="rId1273" ref="H852"/>
    <hyperlink r:id="rId1274" ref="A853"/>
    <hyperlink r:id="rId1275" ref="A854"/>
    <hyperlink r:id="rId1276" ref="A855"/>
    <hyperlink r:id="rId1277" ref="A856"/>
    <hyperlink r:id="rId1278" ref="A857"/>
    <hyperlink r:id="rId1279" ref="H857"/>
    <hyperlink r:id="rId1280" ref="A858"/>
    <hyperlink r:id="rId1281" ref="A859"/>
    <hyperlink r:id="rId1282" ref="H859"/>
    <hyperlink r:id="rId1283" ref="A860"/>
    <hyperlink r:id="rId1284" ref="H860"/>
    <hyperlink r:id="rId1285" ref="A861"/>
    <hyperlink r:id="rId1286" ref="H861"/>
    <hyperlink r:id="rId1287" ref="A862"/>
    <hyperlink r:id="rId1288" ref="A863"/>
    <hyperlink r:id="rId1289" ref="A864"/>
    <hyperlink r:id="rId1290" ref="A865"/>
    <hyperlink r:id="rId1291" ref="H865"/>
    <hyperlink r:id="rId1292" ref="A866"/>
    <hyperlink r:id="rId1293" ref="H866"/>
    <hyperlink r:id="rId1294" ref="A867"/>
    <hyperlink r:id="rId1295" ref="H867"/>
    <hyperlink r:id="rId1296" ref="A868"/>
    <hyperlink r:id="rId1297" ref="H868"/>
    <hyperlink r:id="rId1298" ref="A869"/>
    <hyperlink r:id="rId1299" ref="A870"/>
    <hyperlink r:id="rId1300" ref="A871"/>
    <hyperlink r:id="rId1301" ref="A872"/>
    <hyperlink r:id="rId1302" ref="H872"/>
    <hyperlink r:id="rId1303" ref="A873"/>
    <hyperlink r:id="rId1304" ref="A874"/>
    <hyperlink r:id="rId1305" ref="A875"/>
    <hyperlink r:id="rId1306" ref="A876"/>
    <hyperlink r:id="rId1307" ref="H876"/>
    <hyperlink r:id="rId1308" ref="A877"/>
    <hyperlink r:id="rId1309" ref="H877"/>
    <hyperlink r:id="rId1310" ref="A878"/>
    <hyperlink r:id="rId1311" ref="H878"/>
    <hyperlink r:id="rId1312" ref="A879"/>
    <hyperlink r:id="rId1313" ref="A880"/>
    <hyperlink r:id="rId1314" ref="H880"/>
    <hyperlink r:id="rId1315" ref="A881"/>
    <hyperlink r:id="rId1316" ref="H881"/>
    <hyperlink r:id="rId1317" ref="A882"/>
    <hyperlink r:id="rId1318" ref="A883"/>
    <hyperlink r:id="rId1319" ref="H883"/>
    <hyperlink r:id="rId1320" ref="A884"/>
    <hyperlink r:id="rId1321" ref="H884"/>
    <hyperlink r:id="rId1322" ref="A885"/>
    <hyperlink r:id="rId1323" ref="H885"/>
    <hyperlink r:id="rId1324" ref="A886"/>
    <hyperlink r:id="rId1325" ref="H886"/>
    <hyperlink r:id="rId1326" ref="A887"/>
    <hyperlink r:id="rId1327" ref="A888"/>
    <hyperlink r:id="rId1328" ref="H888"/>
    <hyperlink r:id="rId1329" ref="A889"/>
    <hyperlink r:id="rId1330" ref="A890"/>
    <hyperlink r:id="rId1331" ref="A891"/>
    <hyperlink r:id="rId1332" ref="H891"/>
    <hyperlink r:id="rId1333" ref="A892"/>
    <hyperlink r:id="rId1334" ref="H892"/>
    <hyperlink r:id="rId1335" ref="A893"/>
    <hyperlink r:id="rId1336" ref="H893"/>
    <hyperlink r:id="rId1337" ref="A894"/>
    <hyperlink r:id="rId1338" ref="A895"/>
    <hyperlink r:id="rId1339" ref="A896"/>
    <hyperlink r:id="rId1340" ref="H896"/>
    <hyperlink r:id="rId1341" ref="A897"/>
    <hyperlink r:id="rId1342" ref="A898"/>
    <hyperlink r:id="rId1343" ref="A899"/>
    <hyperlink r:id="rId1344" ref="A900"/>
    <hyperlink r:id="rId1345" ref="H900"/>
    <hyperlink r:id="rId1346" ref="A901"/>
    <hyperlink r:id="rId1347" ref="A902"/>
    <hyperlink r:id="rId1348" ref="H902"/>
    <hyperlink r:id="rId1349" ref="A903"/>
    <hyperlink r:id="rId1350" ref="A904"/>
    <hyperlink r:id="rId1351" ref="H904"/>
  </hyperlinks>
  <drawing r:id="rId135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25"/>
    <col customWidth="1" min="2" max="2" width="18.88"/>
    <col customWidth="1" min="3" max="6" width="24.88"/>
  </cols>
  <sheetData>
    <row r="1">
      <c r="A1" s="6" t="s">
        <v>2068</v>
      </c>
      <c r="B1" s="5" t="s">
        <v>2065</v>
      </c>
      <c r="C1" s="5" t="s">
        <v>2066</v>
      </c>
      <c r="D1" s="10" t="s">
        <v>2353</v>
      </c>
      <c r="E1" s="10" t="s">
        <v>3047</v>
      </c>
      <c r="F1" s="10" t="s">
        <v>3045</v>
      </c>
    </row>
    <row r="2">
      <c r="A2" s="4" t="s">
        <v>2053</v>
      </c>
      <c r="B2" s="3">
        <v>1.616767E7</v>
      </c>
      <c r="C2" s="4"/>
      <c r="D2" s="4" t="str">
        <f t="shared" ref="D2:D1534" si="1">IF(B2=0,"SANS","AVEC")</f>
        <v>AVEC</v>
      </c>
      <c r="E2" s="4" t="str">
        <f t="array" ref="E2">INDEX(consolid1!$I$2:$I$904,MATCH(A2,consolid1!$B$2:$B$904,0))</f>
        <v>#N/A</v>
      </c>
      <c r="F2" s="4" t="str">
        <f t="array" ref="F2">INDEX(consolid1!$G$2:$G1534,MATCH(A2,consolid1!$B$2:$B1534,0))</f>
        <v>#N/A</v>
      </c>
    </row>
    <row r="3">
      <c r="A3" s="4" t="s">
        <v>2117</v>
      </c>
      <c r="B3" s="3">
        <v>8060927.5</v>
      </c>
      <c r="C3" s="3" t="s">
        <v>303</v>
      </c>
      <c r="D3" s="4" t="str">
        <f t="shared" si="1"/>
        <v>AVEC</v>
      </c>
      <c r="E3" s="4" t="str">
        <f t="array" ref="E3">INDEX(consolid1!$I$2:$I$904,MATCH(A3,consolid1!$B$2:$B$904,0))</f>
        <v>#N/A</v>
      </c>
      <c r="F3" s="4" t="str">
        <f t="array" ref="F3">INDEX(consolid1!$G$2:$G1534,MATCH(A3,consolid1!$B$2:$B1534,0))</f>
        <v>#N/A</v>
      </c>
    </row>
    <row r="4">
      <c r="A4" s="4" t="s">
        <v>2057</v>
      </c>
      <c r="B4" s="3">
        <v>7912204.0</v>
      </c>
      <c r="C4" s="4"/>
      <c r="D4" s="4" t="str">
        <f t="shared" si="1"/>
        <v>AVEC</v>
      </c>
      <c r="E4" s="4" t="str">
        <f t="array" ref="E4">INDEX(consolid1!$I$2:$I$904,MATCH(A4,consolid1!$B$2:$B$904,0))</f>
        <v>#N/A</v>
      </c>
      <c r="F4" s="4" t="str">
        <f t="array" ref="F4">INDEX(consolid1!$G$2:$G1534,MATCH(A4,consolid1!$B$2:$B1534,0))</f>
        <v>#N/A</v>
      </c>
    </row>
    <row r="5">
      <c r="A5" s="4" t="s">
        <v>2043</v>
      </c>
      <c r="B5" s="3">
        <v>3120000.0</v>
      </c>
      <c r="C5" s="4"/>
      <c r="D5" s="4" t="str">
        <f t="shared" si="1"/>
        <v>AVEC</v>
      </c>
      <c r="E5" s="4" t="str">
        <f t="array" ref="E5">INDEX(consolid1!$I$2:$I$904,MATCH(A5,consolid1!$B$2:$B$904,0))</f>
        <v>#N/A</v>
      </c>
      <c r="F5" s="4" t="str">
        <f t="array" ref="F5">INDEX(consolid1!$G$2:$G1534,MATCH(A5,consolid1!$B$2:$B1534,0))</f>
        <v>#N/A</v>
      </c>
    </row>
    <row r="6">
      <c r="A6" s="4" t="s">
        <v>481</v>
      </c>
      <c r="B6" s="3">
        <v>1735000.0</v>
      </c>
      <c r="C6" s="3" t="s">
        <v>3</v>
      </c>
      <c r="D6" s="4" t="str">
        <f t="shared" si="1"/>
        <v>AVEC</v>
      </c>
      <c r="E6" s="4" t="str">
        <f t="array" ref="E6">INDEX(consolid1!$I$2:$I$904,MATCH(A6,consolid1!$B$2:$B$904,0))</f>
        <v>#N/A</v>
      </c>
      <c r="F6" s="4" t="str">
        <f t="array" ref="F6">INDEX(consolid1!$G$2:$G1534,MATCH(A6,consolid1!$B$2:$B1534,0))</f>
        <v>#N/A</v>
      </c>
    </row>
    <row r="7">
      <c r="A7" s="4" t="s">
        <v>1888</v>
      </c>
      <c r="B7" s="3">
        <v>1646816.0</v>
      </c>
      <c r="C7" s="3" t="s">
        <v>16</v>
      </c>
      <c r="D7" s="4" t="str">
        <f t="shared" si="1"/>
        <v>AVEC</v>
      </c>
      <c r="E7" s="4" t="str">
        <f t="array" ref="E7">INDEX(consolid1!$I$2:$I$904,MATCH(A7,consolid1!$B$2:$B$904,0))</f>
        <v>#N/A</v>
      </c>
      <c r="F7" s="4" t="str">
        <f t="array" ref="F7">INDEX(consolid1!$G$2:$G1534,MATCH(A7,consolid1!$B$2:$B1534,0))</f>
        <v>#N/A</v>
      </c>
    </row>
    <row r="8">
      <c r="A8" s="4" t="s">
        <v>476</v>
      </c>
      <c r="B8" s="3">
        <v>1578403.0</v>
      </c>
      <c r="C8" s="3" t="s">
        <v>32</v>
      </c>
      <c r="D8" s="4" t="str">
        <f t="shared" si="1"/>
        <v>AVEC</v>
      </c>
      <c r="E8" s="4" t="str">
        <f t="array" ref="E8">INDEX(consolid1!$I$2:$I$904,MATCH(A8,consolid1!$B$2:$B$904,0))</f>
        <v>#N/A</v>
      </c>
      <c r="F8" s="4" t="str">
        <f t="array" ref="F8">INDEX(consolid1!$G$2:$G1534,MATCH(A8,consolid1!$B$2:$B1534,0))</f>
        <v>#N/A</v>
      </c>
    </row>
    <row r="9">
      <c r="A9" s="4" t="s">
        <v>2327</v>
      </c>
      <c r="B9" s="3">
        <v>1537650.0</v>
      </c>
      <c r="C9" s="3" t="s">
        <v>37</v>
      </c>
      <c r="D9" s="4" t="str">
        <f t="shared" si="1"/>
        <v>AVEC</v>
      </c>
      <c r="E9" s="4" t="str">
        <f t="array" ref="E9">INDEX(consolid1!$I$2:$I$904,MATCH(A9,consolid1!$B$2:$B$904,0))</f>
        <v>#N/A</v>
      </c>
      <c r="F9" s="4" t="str">
        <f t="array" ref="F9">INDEX(consolid1!$G$2:$G1534,MATCH(A9,consolid1!$B$2:$B1534,0))</f>
        <v>#N/A</v>
      </c>
    </row>
    <row r="10">
      <c r="A10" s="4" t="s">
        <v>2308</v>
      </c>
      <c r="B10" s="3">
        <v>1128560.0</v>
      </c>
      <c r="C10" s="3" t="s">
        <v>37</v>
      </c>
      <c r="D10" s="4" t="str">
        <f t="shared" si="1"/>
        <v>AVEC</v>
      </c>
      <c r="E10" s="4" t="str">
        <f t="array" ref="E10">INDEX(consolid1!$I$2:$I$904,MATCH(A10,consolid1!$B$2:$B$904,0))</f>
        <v>#N/A</v>
      </c>
      <c r="F10" s="4" t="str">
        <f t="array" ref="F10">INDEX(consolid1!$G$2:$G1534,MATCH(A10,consolid1!$B$2:$B1534,0))</f>
        <v>#N/A</v>
      </c>
    </row>
    <row r="11">
      <c r="A11" s="4" t="s">
        <v>2189</v>
      </c>
      <c r="B11" s="3">
        <v>1089439.0</v>
      </c>
      <c r="C11" s="3" t="s">
        <v>37</v>
      </c>
      <c r="D11" s="4" t="str">
        <f t="shared" si="1"/>
        <v>AVEC</v>
      </c>
      <c r="E11" s="4" t="str">
        <f t="array" ref="E11">INDEX(consolid1!$I$2:$I$904,MATCH(A11,consolid1!$B$2:$B$904,0))</f>
        <v>#N/A</v>
      </c>
      <c r="F11" s="4" t="str">
        <f t="array" ref="F11">INDEX(consolid1!$G$2:$G1534,MATCH(A11,consolid1!$B$2:$B1534,0))</f>
        <v>#N/A</v>
      </c>
    </row>
    <row r="12">
      <c r="A12" s="4" t="s">
        <v>2329</v>
      </c>
      <c r="B12" s="3">
        <v>896350.0</v>
      </c>
      <c r="C12" s="3" t="s">
        <v>37</v>
      </c>
      <c r="D12" s="4" t="str">
        <f t="shared" si="1"/>
        <v>AVEC</v>
      </c>
      <c r="E12" s="4" t="str">
        <f t="array" ref="E12">INDEX(consolid1!$I$2:$I$904,MATCH(A12,consolid1!$B$2:$B$904,0))</f>
        <v>#N/A</v>
      </c>
      <c r="F12" s="4" t="str">
        <f t="array" ref="F12">INDEX(consolid1!$G$2:$G1534,MATCH(A12,consolid1!$B$2:$B1534,0))</f>
        <v>#N/A</v>
      </c>
    </row>
    <row r="13">
      <c r="A13" s="4" t="s">
        <v>2278</v>
      </c>
      <c r="B13" s="3">
        <v>892663.0</v>
      </c>
      <c r="C13" s="3" t="s">
        <v>37</v>
      </c>
      <c r="D13" s="4" t="str">
        <f t="shared" si="1"/>
        <v>AVEC</v>
      </c>
      <c r="E13" s="4" t="str">
        <f t="array" ref="E13">INDEX(consolid1!$I$2:$I$904,MATCH(A13,consolid1!$B$2:$B$904,0))</f>
        <v>#N/A</v>
      </c>
      <c r="F13" s="4" t="str">
        <f t="array" ref="F13">INDEX(consolid1!$G$2:$G1534,MATCH(A13,consolid1!$B$2:$B1534,0))</f>
        <v>#N/A</v>
      </c>
    </row>
    <row r="14">
      <c r="A14" s="4" t="s">
        <v>2326</v>
      </c>
      <c r="B14" s="3">
        <v>879983.0</v>
      </c>
      <c r="C14" s="3" t="s">
        <v>37</v>
      </c>
      <c r="D14" s="4" t="str">
        <f t="shared" si="1"/>
        <v>AVEC</v>
      </c>
      <c r="E14" s="4" t="str">
        <f t="array" ref="E14">INDEX(consolid1!$I$2:$I$904,MATCH(A14,consolid1!$B$2:$B$904,0))</f>
        <v>#N/A</v>
      </c>
      <c r="F14" s="4" t="str">
        <f t="array" ref="F14">INDEX(consolid1!$G$2:$G1534,MATCH(A14,consolid1!$B$2:$B1534,0))</f>
        <v>#N/A</v>
      </c>
    </row>
    <row r="15">
      <c r="A15" s="4" t="s">
        <v>2309</v>
      </c>
      <c r="B15" s="3">
        <v>819458.0</v>
      </c>
      <c r="C15" s="3" t="s">
        <v>37</v>
      </c>
      <c r="D15" s="4" t="str">
        <f t="shared" si="1"/>
        <v>AVEC</v>
      </c>
      <c r="E15" s="4" t="str">
        <f t="array" ref="E15">INDEX(consolid1!$I$2:$I$904,MATCH(A15,consolid1!$B$2:$B$904,0))</f>
        <v>#N/A</v>
      </c>
      <c r="F15" s="4" t="str">
        <f t="array" ref="F15">INDEX(consolid1!$G$2:$G1534,MATCH(A15,consolid1!$B$2:$B1534,0))</f>
        <v>#N/A</v>
      </c>
    </row>
    <row r="16">
      <c r="A16" s="4" t="s">
        <v>174</v>
      </c>
      <c r="B16" s="3">
        <v>752250.0</v>
      </c>
      <c r="C16" s="3" t="s">
        <v>176</v>
      </c>
      <c r="D16" s="4" t="str">
        <f t="shared" si="1"/>
        <v>AVEC</v>
      </c>
      <c r="E16" s="4" t="str">
        <f t="array" ref="E16">INDEX(consolid1!$I$2:$I$904,MATCH(A16,consolid1!$B$2:$B$904,0))</f>
        <v>#N/A</v>
      </c>
      <c r="F16" s="4" t="str">
        <f t="array" ref="F16">INDEX(consolid1!$G$2:$G1534,MATCH(A16,consolid1!$B$2:$B1534,0))</f>
        <v>#N/A</v>
      </c>
    </row>
    <row r="17">
      <c r="A17" s="4" t="s">
        <v>2282</v>
      </c>
      <c r="B17" s="3">
        <v>678000.0</v>
      </c>
      <c r="C17" s="4"/>
      <c r="D17" s="4" t="str">
        <f t="shared" si="1"/>
        <v>AVEC</v>
      </c>
      <c r="E17" s="4" t="str">
        <f t="array" ref="E17">INDEX(consolid1!$I$2:$I$904,MATCH(A17,consolid1!$B$2:$B$904,0))</f>
        <v>#N/A</v>
      </c>
      <c r="F17" s="4" t="str">
        <f t="array" ref="F17">INDEX(consolid1!$G$2:$G1534,MATCH(A17,consolid1!$B$2:$B1534,0))</f>
        <v>#N/A</v>
      </c>
    </row>
    <row r="18">
      <c r="A18" s="4" t="s">
        <v>2207</v>
      </c>
      <c r="B18" s="3">
        <v>634600.0</v>
      </c>
      <c r="C18" s="3" t="s">
        <v>37</v>
      </c>
      <c r="D18" s="4" t="str">
        <f t="shared" si="1"/>
        <v>AVEC</v>
      </c>
      <c r="E18" s="4" t="str">
        <f t="array" ref="E18">INDEX(consolid1!$I$2:$I$904,MATCH(A18,consolid1!$B$2:$B$904,0))</f>
        <v>#N/A</v>
      </c>
      <c r="F18" s="4" t="str">
        <f t="array" ref="F18">INDEX(consolid1!$G$2:$G1534,MATCH(A18,consolid1!$B$2:$B1534,0))</f>
        <v>#N/A</v>
      </c>
    </row>
    <row r="19">
      <c r="A19" s="4" t="s">
        <v>1673</v>
      </c>
      <c r="B19" s="3">
        <v>567000.0</v>
      </c>
      <c r="C19" s="3" t="s">
        <v>6</v>
      </c>
      <c r="D19" s="4" t="str">
        <f t="shared" si="1"/>
        <v>AVEC</v>
      </c>
      <c r="E19" s="4" t="str">
        <f t="array" ref="E19">INDEX(consolid1!$I$2:$I$904,MATCH(A19,consolid1!$B$2:$B$904,0))</f>
        <v>#N/A</v>
      </c>
      <c r="F19" s="4" t="str">
        <f t="array" ref="F19">INDEX(consolid1!$G$2:$G1534,MATCH(A19,consolid1!$B$2:$B1534,0))</f>
        <v>#N/A</v>
      </c>
    </row>
    <row r="20">
      <c r="A20" s="4" t="s">
        <v>223</v>
      </c>
      <c r="B20" s="3">
        <v>532800.0</v>
      </c>
      <c r="C20" s="4"/>
      <c r="D20" s="4" t="str">
        <f t="shared" si="1"/>
        <v>AVEC</v>
      </c>
      <c r="E20" s="4" t="str">
        <f t="array" ref="E20">INDEX(consolid1!$I$2:$I$904,MATCH(A20,consolid1!$B$2:$B$904,0))</f>
        <v>#N/A</v>
      </c>
      <c r="F20" s="4" t="str">
        <f t="array" ref="F20">INDEX(consolid1!$G$2:$G1534,MATCH(A20,consolid1!$B$2:$B1534,0))</f>
        <v>#N/A</v>
      </c>
    </row>
    <row r="21">
      <c r="A21" s="4" t="s">
        <v>2103</v>
      </c>
      <c r="B21" s="3">
        <v>512833.33</v>
      </c>
      <c r="C21" s="4"/>
      <c r="D21" s="4" t="str">
        <f t="shared" si="1"/>
        <v>AVEC</v>
      </c>
      <c r="E21" s="4" t="str">
        <f t="array" ref="E21">INDEX(consolid1!$I$2:$I$904,MATCH(A21,consolid1!$B$2:$B$904,0))</f>
        <v>#N/A</v>
      </c>
      <c r="F21" s="4" t="str">
        <f t="array" ref="F21">INDEX(consolid1!$G$2:$G1534,MATCH(A21,consolid1!$B$2:$B1534,0))</f>
        <v>#N/A</v>
      </c>
    </row>
    <row r="22">
      <c r="A22" s="4" t="s">
        <v>1600</v>
      </c>
      <c r="B22" s="3">
        <v>494000.0</v>
      </c>
      <c r="C22" s="3" t="s">
        <v>32</v>
      </c>
      <c r="D22" s="4" t="str">
        <f t="shared" si="1"/>
        <v>AVEC</v>
      </c>
      <c r="E22" s="4" t="str">
        <f t="array" ref="E22">INDEX(consolid1!$I$2:$I$904,MATCH(A22,consolid1!$B$2:$B$904,0))</f>
        <v>#N/A</v>
      </c>
      <c r="F22" s="4" t="str">
        <f t="array" ref="F22">INDEX(consolid1!$G$2:$G1534,MATCH(A22,consolid1!$B$2:$B1534,0))</f>
        <v>#N/A</v>
      </c>
    </row>
    <row r="23">
      <c r="A23" s="4" t="s">
        <v>1188</v>
      </c>
      <c r="B23" s="3">
        <v>492222.0</v>
      </c>
      <c r="C23" s="3" t="s">
        <v>32</v>
      </c>
      <c r="D23" s="4" t="str">
        <f t="shared" si="1"/>
        <v>AVEC</v>
      </c>
      <c r="E23" s="4" t="str">
        <f t="array" ref="E23">INDEX(consolid1!$I$2:$I$904,MATCH(A23,consolid1!$B$2:$B$904,0))</f>
        <v>#N/A</v>
      </c>
      <c r="F23" s="4" t="str">
        <f t="array" ref="F23">INDEX(consolid1!$G$2:$G1534,MATCH(A23,consolid1!$B$2:$B1534,0))</f>
        <v>#N/A</v>
      </c>
    </row>
    <row r="24">
      <c r="A24" s="4" t="s">
        <v>1270</v>
      </c>
      <c r="B24" s="3">
        <v>478850.0</v>
      </c>
      <c r="C24" s="3" t="s">
        <v>32</v>
      </c>
      <c r="D24" s="4" t="str">
        <f t="shared" si="1"/>
        <v>AVEC</v>
      </c>
      <c r="E24" s="4" t="str">
        <f t="array" ref="E24">INDEX(consolid1!$I$2:$I$904,MATCH(A24,consolid1!$B$2:$B$904,0))</f>
        <v>#N/A</v>
      </c>
      <c r="F24" s="4" t="str">
        <f t="array" ref="F24">INDEX(consolid1!$G$2:$G1534,MATCH(A24,consolid1!$B$2:$B1534,0))</f>
        <v>#N/A</v>
      </c>
    </row>
    <row r="25">
      <c r="A25" s="4" t="s">
        <v>2204</v>
      </c>
      <c r="B25" s="3">
        <v>461165.0</v>
      </c>
      <c r="C25" s="3" t="s">
        <v>37</v>
      </c>
      <c r="D25" s="4" t="str">
        <f t="shared" si="1"/>
        <v>AVEC</v>
      </c>
      <c r="E25" s="4" t="str">
        <f t="array" ref="E25">INDEX(consolid1!$I$2:$I$904,MATCH(A25,consolid1!$B$2:$B$904,0))</f>
        <v>#N/A</v>
      </c>
      <c r="F25" s="4" t="str">
        <f t="array" ref="F25">INDEX(consolid1!$G$2:$G1534,MATCH(A25,consolid1!$B$2:$B1534,0))</f>
        <v>#N/A</v>
      </c>
    </row>
    <row r="26">
      <c r="A26" s="4" t="s">
        <v>2086</v>
      </c>
      <c r="B26" s="3">
        <v>450195.0</v>
      </c>
      <c r="C26" s="3" t="s">
        <v>29</v>
      </c>
      <c r="D26" s="4" t="str">
        <f t="shared" si="1"/>
        <v>AVEC</v>
      </c>
      <c r="E26" s="4" t="str">
        <f t="array" ref="E26">INDEX(consolid1!$I$2:$I$904,MATCH(A26,consolid1!$B$2:$B$904,0))</f>
        <v>#N/A</v>
      </c>
      <c r="F26" s="4" t="str">
        <f t="array" ref="F26">INDEX(consolid1!$G$2:$G1534,MATCH(A26,consolid1!$B$2:$B1534,0))</f>
        <v>#N/A</v>
      </c>
    </row>
    <row r="27">
      <c r="A27" s="4" t="s">
        <v>1789</v>
      </c>
      <c r="B27" s="3">
        <v>450000.0</v>
      </c>
      <c r="C27" s="3" t="s">
        <v>6</v>
      </c>
      <c r="D27" s="4" t="str">
        <f t="shared" si="1"/>
        <v>AVEC</v>
      </c>
      <c r="E27" s="4" t="str">
        <f t="array" ref="E27">INDEX(consolid1!$I$2:$I$904,MATCH(A27,consolid1!$B$2:$B$904,0))</f>
        <v>#N/A</v>
      </c>
      <c r="F27" s="4" t="str">
        <f t="array" ref="F27">INDEX(consolid1!$G$2:$G1534,MATCH(A27,consolid1!$B$2:$B1534,0))</f>
        <v>#N/A</v>
      </c>
    </row>
    <row r="28">
      <c r="A28" s="4" t="s">
        <v>1159</v>
      </c>
      <c r="B28" s="3">
        <v>426565.0</v>
      </c>
      <c r="C28" s="3" t="s">
        <v>32</v>
      </c>
      <c r="D28" s="4" t="str">
        <f t="shared" si="1"/>
        <v>AVEC</v>
      </c>
      <c r="E28" s="4" t="str">
        <f t="array" ref="E28">INDEX(consolid1!$I$2:$I$904,MATCH(A28,consolid1!$B$2:$B$904,0))</f>
        <v>#N/A</v>
      </c>
      <c r="F28" s="4" t="str">
        <f t="array" ref="F28">INDEX(consolid1!$G$2:$G1534,MATCH(A28,consolid1!$B$2:$B1534,0))</f>
        <v>#N/A</v>
      </c>
    </row>
    <row r="29">
      <c r="A29" s="4" t="s">
        <v>1136</v>
      </c>
      <c r="B29" s="3">
        <v>402000.0</v>
      </c>
      <c r="C29" s="3" t="s">
        <v>16</v>
      </c>
      <c r="D29" s="4" t="str">
        <f t="shared" si="1"/>
        <v>AVEC</v>
      </c>
      <c r="E29" s="4" t="str">
        <f t="array" ref="E29">INDEX(consolid1!$I$2:$I$904,MATCH(A29,consolid1!$B$2:$B$904,0))</f>
        <v>#N/A</v>
      </c>
      <c r="F29" s="4" t="str">
        <f t="array" ref="F29">INDEX(consolid1!$G$2:$G1534,MATCH(A29,consolid1!$B$2:$B1534,0))</f>
        <v>#N/A</v>
      </c>
    </row>
    <row r="30">
      <c r="A30" s="4" t="s">
        <v>2142</v>
      </c>
      <c r="B30" s="3">
        <v>380000.0</v>
      </c>
      <c r="C30" s="3" t="s">
        <v>6</v>
      </c>
      <c r="D30" s="4" t="str">
        <f t="shared" si="1"/>
        <v>AVEC</v>
      </c>
      <c r="E30" s="4" t="str">
        <f t="array" ref="E30">INDEX(consolid1!$I$2:$I$904,MATCH(A30,consolid1!$B$2:$B$904,0))</f>
        <v>#N/A</v>
      </c>
      <c r="F30" s="4" t="str">
        <f t="array" ref="F30">INDEX(consolid1!$G$2:$G1534,MATCH(A30,consolid1!$B$2:$B1534,0))</f>
        <v>#N/A</v>
      </c>
    </row>
    <row r="31">
      <c r="A31" s="4" t="s">
        <v>2292</v>
      </c>
      <c r="B31" s="3">
        <v>357672.0</v>
      </c>
      <c r="C31" s="3" t="s">
        <v>3</v>
      </c>
      <c r="D31" s="4" t="str">
        <f t="shared" si="1"/>
        <v>AVEC</v>
      </c>
      <c r="E31" s="4" t="str">
        <f t="array" ref="E31">INDEX(consolid1!$I$2:$I$904,MATCH(A31,consolid1!$B$2:$B$904,0))</f>
        <v>#N/A</v>
      </c>
      <c r="F31" s="4" t="str">
        <f t="array" ref="F31">INDEX(consolid1!$G$2:$G1534,MATCH(A31,consolid1!$B$2:$B1534,0))</f>
        <v>#N/A</v>
      </c>
    </row>
    <row r="32">
      <c r="A32" s="4" t="s">
        <v>599</v>
      </c>
      <c r="B32" s="3">
        <v>347000.0</v>
      </c>
      <c r="C32" s="4"/>
      <c r="D32" s="4" t="str">
        <f t="shared" si="1"/>
        <v>AVEC</v>
      </c>
      <c r="E32" s="4" t="str">
        <f t="array" ref="E32">INDEX(consolid1!$I$2:$I$904,MATCH(A32,consolid1!$B$2:$B$904,0))</f>
        <v>#N/A</v>
      </c>
      <c r="F32" s="4" t="str">
        <f t="array" ref="F32">INDEX(consolid1!$G$2:$G1534,MATCH(A32,consolid1!$B$2:$B1534,0))</f>
        <v>#N/A</v>
      </c>
    </row>
    <row r="33">
      <c r="A33" s="4" t="s">
        <v>1463</v>
      </c>
      <c r="B33" s="3">
        <v>343924.0</v>
      </c>
      <c r="C33" s="3" t="s">
        <v>484</v>
      </c>
      <c r="D33" s="4" t="str">
        <f t="shared" si="1"/>
        <v>AVEC</v>
      </c>
      <c r="E33" s="4" t="str">
        <f t="array" ref="E33">INDEX(consolid1!$I$2:$I$904,MATCH(A33,consolid1!$B$2:$B$904,0))</f>
        <v>#N/A</v>
      </c>
      <c r="F33" s="4" t="str">
        <f t="array" ref="F33">INDEX(consolid1!$G$2:$G1534,MATCH(A33,consolid1!$B$2:$B1534,0))</f>
        <v>#N/A</v>
      </c>
    </row>
    <row r="34">
      <c r="A34" s="4" t="s">
        <v>648</v>
      </c>
      <c r="B34" s="3">
        <v>339500.0</v>
      </c>
      <c r="C34" s="3" t="s">
        <v>16</v>
      </c>
      <c r="D34" s="4" t="str">
        <f t="shared" si="1"/>
        <v>AVEC</v>
      </c>
      <c r="E34" s="4" t="str">
        <f t="array" ref="E34">INDEX(consolid1!$I$2:$I$904,MATCH(A34,consolid1!$B$2:$B$904,0))</f>
        <v>#N/A</v>
      </c>
      <c r="F34" s="4" t="str">
        <f t="array" ref="F34">INDEX(consolid1!$G$2:$G1534,MATCH(A34,consolid1!$B$2:$B1534,0))</f>
        <v>#N/A</v>
      </c>
    </row>
    <row r="35">
      <c r="A35" s="4" t="s">
        <v>1179</v>
      </c>
      <c r="B35" s="3">
        <v>334000.0</v>
      </c>
      <c r="C35" s="4"/>
      <c r="D35" s="4" t="str">
        <f t="shared" si="1"/>
        <v>AVEC</v>
      </c>
      <c r="E35" s="4" t="str">
        <f t="array" ref="E35">INDEX(consolid1!$I$2:$I$904,MATCH(A35,consolid1!$B$2:$B$904,0))</f>
        <v>#N/A</v>
      </c>
      <c r="F35" s="4" t="str">
        <f t="array" ref="F35">INDEX(consolid1!$G$2:$G1534,MATCH(A35,consolid1!$B$2:$B1534,0))</f>
        <v>#N/A</v>
      </c>
    </row>
    <row r="36">
      <c r="A36" s="4" t="s">
        <v>478</v>
      </c>
      <c r="B36" s="3">
        <v>311500.0</v>
      </c>
      <c r="C36" s="4"/>
      <c r="D36" s="4" t="str">
        <f t="shared" si="1"/>
        <v>AVEC</v>
      </c>
      <c r="E36" s="4" t="str">
        <f t="array" ref="E36">INDEX(consolid1!$I$2:$I$904,MATCH(A36,consolid1!$B$2:$B$904,0))</f>
        <v>#N/A</v>
      </c>
      <c r="F36" s="4" t="str">
        <f t="array" ref="F36">INDEX(consolid1!$G$2:$G1534,MATCH(A36,consolid1!$B$2:$B1534,0))</f>
        <v>#N/A</v>
      </c>
    </row>
    <row r="37">
      <c r="A37" s="4" t="s">
        <v>491</v>
      </c>
      <c r="B37" s="3">
        <v>300000.0</v>
      </c>
      <c r="C37" s="4"/>
      <c r="D37" s="4" t="str">
        <f t="shared" si="1"/>
        <v>AVEC</v>
      </c>
      <c r="E37" s="4" t="str">
        <f t="array" ref="E37">INDEX(consolid1!$I$2:$I$904,MATCH(A37,consolid1!$B$2:$B$904,0))</f>
        <v>#N/A</v>
      </c>
      <c r="F37" s="4" t="str">
        <f t="array" ref="F37">INDEX(consolid1!$G$2:$G1534,MATCH(A37,consolid1!$B$2:$B1534,0))</f>
        <v>#N/A</v>
      </c>
    </row>
    <row r="38">
      <c r="A38" s="4" t="s">
        <v>679</v>
      </c>
      <c r="B38" s="3">
        <v>283000.0</v>
      </c>
      <c r="C38" s="4"/>
      <c r="D38" s="4" t="str">
        <f t="shared" si="1"/>
        <v>AVEC</v>
      </c>
      <c r="E38" s="4" t="str">
        <f t="array" ref="E38">INDEX(consolid1!$I$2:$I$904,MATCH(A38,consolid1!$B$2:$B$904,0))</f>
        <v>#N/A</v>
      </c>
      <c r="F38" s="4" t="str">
        <f t="array" ref="F38">INDEX(consolid1!$G$2:$G1534,MATCH(A38,consolid1!$B$2:$B1534,0))</f>
        <v>#N/A</v>
      </c>
    </row>
    <row r="39">
      <c r="A39" s="4" t="s">
        <v>1787</v>
      </c>
      <c r="B39" s="3">
        <v>280000.0</v>
      </c>
      <c r="C39" s="3" t="s">
        <v>6</v>
      </c>
      <c r="D39" s="4" t="str">
        <f t="shared" si="1"/>
        <v>AVEC</v>
      </c>
      <c r="E39" s="4" t="str">
        <f t="array" ref="E39">INDEX(consolid1!$I$2:$I$904,MATCH(A39,consolid1!$B$2:$B$904,0))</f>
        <v>#N/A</v>
      </c>
      <c r="F39" s="4" t="str">
        <f t="array" ref="F39">INDEX(consolid1!$G$2:$G1534,MATCH(A39,consolid1!$B$2:$B1534,0))</f>
        <v>#N/A</v>
      </c>
    </row>
    <row r="40">
      <c r="A40" s="4" t="s">
        <v>2206</v>
      </c>
      <c r="B40" s="3">
        <v>243834.0</v>
      </c>
      <c r="C40" s="3" t="s">
        <v>37</v>
      </c>
      <c r="D40" s="4" t="str">
        <f t="shared" si="1"/>
        <v>AVEC</v>
      </c>
      <c r="E40" s="4" t="str">
        <f t="array" ref="E40">INDEX(consolid1!$I$2:$I$904,MATCH(A40,consolid1!$B$2:$B$904,0))</f>
        <v>#N/A</v>
      </c>
      <c r="F40" s="4" t="str">
        <f t="array" ref="F40">INDEX(consolid1!$G$2:$G1534,MATCH(A40,consolid1!$B$2:$B1534,0))</f>
        <v>#N/A</v>
      </c>
    </row>
    <row r="41">
      <c r="A41" s="4" t="s">
        <v>1472</v>
      </c>
      <c r="B41" s="3">
        <v>240000.0</v>
      </c>
      <c r="C41" s="4"/>
      <c r="D41" s="4" t="str">
        <f t="shared" si="1"/>
        <v>AVEC</v>
      </c>
      <c r="E41" s="4" t="str">
        <f t="array" ref="E41">INDEX(consolid1!$I$2:$I$904,MATCH(A41,consolid1!$B$2:$B$904,0))</f>
        <v>#N/A</v>
      </c>
      <c r="F41" s="4" t="str">
        <f t="array" ref="F41">INDEX(consolid1!$G$2:$G1534,MATCH(A41,consolid1!$B$2:$B1534,0))</f>
        <v>#N/A</v>
      </c>
    </row>
    <row r="42">
      <c r="A42" s="4" t="s">
        <v>2289</v>
      </c>
      <c r="B42" s="3">
        <v>237000.0</v>
      </c>
      <c r="C42" s="3" t="s">
        <v>580</v>
      </c>
      <c r="D42" s="4" t="str">
        <f t="shared" si="1"/>
        <v>AVEC</v>
      </c>
      <c r="E42" s="4" t="str">
        <f t="array" ref="E42">INDEX(consolid1!$I$2:$I$904,MATCH(A42,consolid1!$B$2:$B$904,0))</f>
        <v>#N/A</v>
      </c>
      <c r="F42" s="4" t="str">
        <f t="array" ref="F42">INDEX(consolid1!$G$2:$G1534,MATCH(A42,consolid1!$B$2:$B1534,0))</f>
        <v>#N/A</v>
      </c>
    </row>
    <row r="43">
      <c r="A43" s="4" t="s">
        <v>2192</v>
      </c>
      <c r="B43" s="3">
        <v>223734.0</v>
      </c>
      <c r="C43" s="3" t="s">
        <v>37</v>
      </c>
      <c r="D43" s="4" t="str">
        <f t="shared" si="1"/>
        <v>AVEC</v>
      </c>
      <c r="E43" s="4" t="str">
        <f t="array" ref="E43">INDEX(consolid1!$I$2:$I$904,MATCH(A43,consolid1!$B$2:$B$904,0))</f>
        <v>#N/A</v>
      </c>
      <c r="F43" s="4" t="str">
        <f t="array" ref="F43">INDEX(consolid1!$G$2:$G1534,MATCH(A43,consolid1!$B$2:$B1534,0))</f>
        <v>#N/A</v>
      </c>
    </row>
    <row r="44">
      <c r="A44" s="4" t="s">
        <v>1089</v>
      </c>
      <c r="B44" s="3">
        <v>210000.0</v>
      </c>
      <c r="C44" s="4"/>
      <c r="D44" s="4" t="str">
        <f t="shared" si="1"/>
        <v>AVEC</v>
      </c>
      <c r="E44" s="4" t="str">
        <f t="array" ref="E44">INDEX(consolid1!$I$2:$I$904,MATCH(A44,consolid1!$B$2:$B$904,0))</f>
        <v>#N/A</v>
      </c>
      <c r="F44" s="4" t="str">
        <f t="array" ref="F44">INDEX(consolid1!$G$2:$G1534,MATCH(A44,consolid1!$B$2:$B1534,0))</f>
        <v>#N/A</v>
      </c>
    </row>
    <row r="45">
      <c r="A45" s="4" t="s">
        <v>1500</v>
      </c>
      <c r="B45" s="3">
        <v>205000.0</v>
      </c>
      <c r="C45" s="4"/>
      <c r="D45" s="4" t="str">
        <f t="shared" si="1"/>
        <v>AVEC</v>
      </c>
      <c r="E45" s="4" t="str">
        <f t="array" ref="E45">INDEX(consolid1!$I$2:$I$904,MATCH(A45,consolid1!$B$2:$B$904,0))</f>
        <v>#N/A</v>
      </c>
      <c r="F45" s="4" t="str">
        <f t="array" ref="F45">INDEX(consolid1!$G$2:$G1534,MATCH(A45,consolid1!$B$2:$B1534,0))</f>
        <v>#N/A</v>
      </c>
    </row>
    <row r="46">
      <c r="A46" s="4" t="s">
        <v>1539</v>
      </c>
      <c r="B46" s="3">
        <v>200000.0</v>
      </c>
      <c r="C46" s="4"/>
      <c r="D46" s="4" t="str">
        <f t="shared" si="1"/>
        <v>AVEC</v>
      </c>
      <c r="E46" s="4" t="str">
        <f t="array" ref="E46">INDEX(consolid1!$I$2:$I$904,MATCH(A46,consolid1!$B$2:$B$904,0))</f>
        <v>#N/A</v>
      </c>
      <c r="F46" s="4" t="str">
        <f t="array" ref="F46">INDEX(consolid1!$G$2:$G1534,MATCH(A46,consolid1!$B$2:$B1534,0))</f>
        <v>#N/A</v>
      </c>
    </row>
    <row r="47">
      <c r="A47" s="4" t="s">
        <v>646</v>
      </c>
      <c r="B47" s="3">
        <v>198775.0</v>
      </c>
      <c r="C47" s="3" t="s">
        <v>6</v>
      </c>
      <c r="D47" s="4" t="str">
        <f t="shared" si="1"/>
        <v>AVEC</v>
      </c>
      <c r="E47" s="4" t="str">
        <f t="array" ref="E47">INDEX(consolid1!$I$2:$I$904,MATCH(A47,consolid1!$B$2:$B$904,0))</f>
        <v>#N/A</v>
      </c>
      <c r="F47" s="4" t="str">
        <f t="array" ref="F47">INDEX(consolid1!$G$2:$G1534,MATCH(A47,consolid1!$B$2:$B1534,0))</f>
        <v>#N/A</v>
      </c>
    </row>
    <row r="48">
      <c r="A48" s="4" t="s">
        <v>2271</v>
      </c>
      <c r="B48" s="3">
        <v>198000.0</v>
      </c>
      <c r="C48" s="3" t="s">
        <v>1373</v>
      </c>
      <c r="D48" s="4" t="str">
        <f t="shared" si="1"/>
        <v>AVEC</v>
      </c>
      <c r="E48" s="4" t="str">
        <f t="array" ref="E48">INDEX(consolid1!$I$2:$I$904,MATCH(A48,consolid1!$B$2:$B$904,0))</f>
        <v>#N/A</v>
      </c>
      <c r="F48" s="4" t="str">
        <f t="array" ref="F48">INDEX(consolid1!$G$2:$G1534,MATCH(A48,consolid1!$B$2:$B1534,0))</f>
        <v>#N/A</v>
      </c>
    </row>
    <row r="49">
      <c r="A49" s="4" t="s">
        <v>1203</v>
      </c>
      <c r="B49" s="3">
        <v>190000.0</v>
      </c>
      <c r="C49" s="4"/>
      <c r="D49" s="4" t="str">
        <f t="shared" si="1"/>
        <v>AVEC</v>
      </c>
      <c r="E49" s="4" t="str">
        <f t="array" ref="E49">INDEX(consolid1!$I$2:$I$904,MATCH(A49,consolid1!$B$2:$B$904,0))</f>
        <v>#N/A</v>
      </c>
      <c r="F49" s="4" t="str">
        <f t="array" ref="F49">INDEX(consolid1!$G$2:$G1534,MATCH(A49,consolid1!$B$2:$B1534,0))</f>
        <v>#N/A</v>
      </c>
    </row>
    <row r="50">
      <c r="A50" s="4" t="s">
        <v>1070</v>
      </c>
      <c r="B50" s="3">
        <v>185000.0</v>
      </c>
      <c r="C50" s="3" t="s">
        <v>280</v>
      </c>
      <c r="D50" s="4" t="str">
        <f t="shared" si="1"/>
        <v>AVEC</v>
      </c>
      <c r="E50" s="4" t="str">
        <f t="array" ref="E50">INDEX(consolid1!$I$2:$I$904,MATCH(A50,consolid1!$B$2:$B$904,0))</f>
        <v>#N/A</v>
      </c>
      <c r="F50" s="4" t="str">
        <f t="array" ref="F50">INDEX(consolid1!$G$2:$G1534,MATCH(A50,consolid1!$B$2:$B1534,0))</f>
        <v>#N/A</v>
      </c>
    </row>
    <row r="51">
      <c r="A51" s="4" t="s">
        <v>445</v>
      </c>
      <c r="B51" s="3">
        <v>180000.0</v>
      </c>
      <c r="C51" s="4"/>
      <c r="D51" s="4" t="str">
        <f t="shared" si="1"/>
        <v>AVEC</v>
      </c>
      <c r="E51" s="4" t="str">
        <f t="array" ref="E51">INDEX(consolid1!$I$2:$I$904,MATCH(A51,consolid1!$B$2:$B$904,0))</f>
        <v>#N/A</v>
      </c>
      <c r="F51" s="4" t="str">
        <f t="array" ref="F51">INDEX(consolid1!$G$2:$G1534,MATCH(A51,consolid1!$B$2:$B1534,0))</f>
        <v>#N/A</v>
      </c>
    </row>
    <row r="52">
      <c r="A52" s="4" t="s">
        <v>1639</v>
      </c>
      <c r="B52" s="3">
        <v>170592.0</v>
      </c>
      <c r="C52" s="4"/>
      <c r="D52" s="4" t="str">
        <f t="shared" si="1"/>
        <v>AVEC</v>
      </c>
      <c r="E52" s="4" t="str">
        <f t="array" ref="E52">INDEX(consolid1!$I$2:$I$904,MATCH(A52,consolid1!$B$2:$B$904,0))</f>
        <v>#N/A</v>
      </c>
      <c r="F52" s="4" t="str">
        <f t="array" ref="F52">INDEX(consolid1!$G$2:$G1534,MATCH(A52,consolid1!$B$2:$B1534,0))</f>
        <v>#N/A</v>
      </c>
    </row>
    <row r="53">
      <c r="A53" s="4" t="s">
        <v>582</v>
      </c>
      <c r="B53" s="3">
        <v>153407.0</v>
      </c>
      <c r="C53" s="3" t="s">
        <v>32</v>
      </c>
      <c r="D53" s="4" t="str">
        <f t="shared" si="1"/>
        <v>AVEC</v>
      </c>
      <c r="E53" s="4" t="str">
        <f t="array" ref="E53">INDEX(consolid1!$I$2:$I$904,MATCH(A53,consolid1!$B$2:$B$904,0))</f>
        <v>Education - Enfance - Jeunesse - Vie étudiante</v>
      </c>
      <c r="F53" s="4" t="str">
        <f t="array" ref="F53">INDEX(consolid1!$G$2:$G1534,MATCH(A53,consolid1!$B$2:$B1534,0))</f>
        <v>Joël DUCOS</v>
      </c>
    </row>
    <row r="54">
      <c r="A54" s="4" t="s">
        <v>2259</v>
      </c>
      <c r="B54" s="3">
        <v>141174.0</v>
      </c>
      <c r="C54" s="3" t="s">
        <v>37</v>
      </c>
      <c r="D54" s="4" t="str">
        <f t="shared" si="1"/>
        <v>AVEC</v>
      </c>
      <c r="E54" s="4" t="str">
        <f t="array" ref="E54">INDEX(consolid1!$I$2:$I$904,MATCH(A54,consolid1!$B$2:$B$904,0))</f>
        <v>#N/A</v>
      </c>
      <c r="F54" s="4" t="str">
        <f t="array" ref="F54">INDEX(consolid1!$G$2:$G1534,MATCH(A54,consolid1!$B$2:$B1534,0))</f>
        <v>#N/A</v>
      </c>
    </row>
    <row r="55">
      <c r="A55" s="4" t="s">
        <v>2276</v>
      </c>
      <c r="B55" s="3">
        <v>132000.0</v>
      </c>
      <c r="C55" s="3" t="s">
        <v>37</v>
      </c>
      <c r="D55" s="4" t="str">
        <f t="shared" si="1"/>
        <v>AVEC</v>
      </c>
      <c r="E55" s="4" t="str">
        <f t="array" ref="E55">INDEX(consolid1!$I$2:$I$904,MATCH(A55,consolid1!$B$2:$B$904,0))</f>
        <v>#N/A</v>
      </c>
      <c r="F55" s="4" t="str">
        <f t="array" ref="F55">INDEX(consolid1!$G$2:$G1534,MATCH(A55,consolid1!$B$2:$B1534,0))</f>
        <v>#N/A</v>
      </c>
    </row>
    <row r="56">
      <c r="A56" s="4" t="s">
        <v>1635</v>
      </c>
      <c r="B56" s="3">
        <v>130000.0</v>
      </c>
      <c r="C56" s="3" t="s">
        <v>3</v>
      </c>
      <c r="D56" s="4" t="str">
        <f t="shared" si="1"/>
        <v>AVEC</v>
      </c>
      <c r="E56" s="4" t="str">
        <f t="array" ref="E56">INDEX(consolid1!$I$2:$I$904,MATCH(A56,consolid1!$B$2:$B$904,0))</f>
        <v>#N/A</v>
      </c>
      <c r="F56" s="4" t="str">
        <f t="array" ref="F56">INDEX(consolid1!$G$2:$G1534,MATCH(A56,consolid1!$B$2:$B1534,0))</f>
        <v>#N/A</v>
      </c>
    </row>
    <row r="57">
      <c r="A57" s="4" t="s">
        <v>1654</v>
      </c>
      <c r="B57" s="3">
        <v>120000.0</v>
      </c>
      <c r="C57" s="4"/>
      <c r="D57" s="4" t="str">
        <f t="shared" si="1"/>
        <v>AVEC</v>
      </c>
      <c r="E57" s="4" t="str">
        <f t="array" ref="E57">INDEX(consolid1!$I$2:$I$904,MATCH(A57,consolid1!$B$2:$B$904,0))</f>
        <v>#N/A</v>
      </c>
      <c r="F57" s="4" t="str">
        <f t="array" ref="F57">INDEX(consolid1!$G$2:$G1534,MATCH(A57,consolid1!$B$2:$B1534,0))</f>
        <v>#N/A</v>
      </c>
    </row>
    <row r="58">
      <c r="A58" s="4" t="s">
        <v>1389</v>
      </c>
      <c r="B58" s="3">
        <v>119100.0</v>
      </c>
      <c r="C58" s="3" t="s">
        <v>280</v>
      </c>
      <c r="D58" s="4" t="str">
        <f t="shared" si="1"/>
        <v>AVEC</v>
      </c>
      <c r="E58" s="4" t="str">
        <f t="array" ref="E58">INDEX(consolid1!$I$2:$I$904,MATCH(A58,consolid1!$B$2:$B$904,0))</f>
        <v>Economie</v>
      </c>
      <c r="F58" s="4" t="str">
        <f t="array" ref="F58">INDEX(consolid1!$G$2:$G1534,MATCH(A58,consolid1!$B$2:$B1534,0))</f>
        <v>null</v>
      </c>
    </row>
    <row r="59">
      <c r="A59" s="4" t="s">
        <v>2331</v>
      </c>
      <c r="B59" s="3">
        <v>119000.0</v>
      </c>
      <c r="C59" s="3" t="s">
        <v>2000</v>
      </c>
      <c r="D59" s="4" t="str">
        <f t="shared" si="1"/>
        <v>AVEC</v>
      </c>
      <c r="E59" s="4" t="str">
        <f t="array" ref="E59">INDEX(consolid1!$I$2:$I$904,MATCH(A59,consolid1!$B$2:$B$904,0))</f>
        <v>#N/A</v>
      </c>
      <c r="F59" s="4" t="str">
        <f t="array" ref="F59">INDEX(consolid1!$G$2:$G1534,MATCH(A59,consolid1!$B$2:$B1534,0))</f>
        <v>#N/A</v>
      </c>
    </row>
    <row r="60">
      <c r="A60" s="4" t="s">
        <v>2238</v>
      </c>
      <c r="B60" s="3">
        <v>118603.0</v>
      </c>
      <c r="C60" s="3" t="s">
        <v>37</v>
      </c>
      <c r="D60" s="4" t="str">
        <f t="shared" si="1"/>
        <v>AVEC</v>
      </c>
      <c r="E60" s="4" t="str">
        <f t="array" ref="E60">INDEX(consolid1!$I$2:$I$904,MATCH(A60,consolid1!$B$2:$B$904,0))</f>
        <v>#N/A</v>
      </c>
      <c r="F60" s="4" t="str">
        <f t="array" ref="F60">INDEX(consolid1!$G$2:$G1534,MATCH(A60,consolid1!$B$2:$B1534,0))</f>
        <v>#N/A</v>
      </c>
    </row>
    <row r="61">
      <c r="A61" s="4" t="s">
        <v>697</v>
      </c>
      <c r="B61" s="3">
        <v>115000.0</v>
      </c>
      <c r="C61" s="4"/>
      <c r="D61" s="4" t="str">
        <f t="shared" si="1"/>
        <v>AVEC</v>
      </c>
      <c r="E61" s="4" t="str">
        <f t="array" ref="E61">INDEX(consolid1!$I$2:$I$904,MATCH(A61,consolid1!$B$2:$B$904,0))</f>
        <v>#N/A</v>
      </c>
      <c r="F61" s="4" t="str">
        <f t="array" ref="F61">INDEX(consolid1!$G$2:$G1534,MATCH(A61,consolid1!$B$2:$B1534,0))</f>
        <v>#N/A</v>
      </c>
    </row>
    <row r="62">
      <c r="A62" s="4" t="s">
        <v>963</v>
      </c>
      <c r="B62" s="3">
        <v>115000.0</v>
      </c>
      <c r="C62" s="3" t="s">
        <v>6</v>
      </c>
      <c r="D62" s="4" t="str">
        <f t="shared" si="1"/>
        <v>AVEC</v>
      </c>
      <c r="E62" s="4" t="str">
        <f t="array" ref="E62">INDEX(consolid1!$I$2:$I$904,MATCH(A62,consolid1!$B$2:$B$904,0))</f>
        <v>#N/A</v>
      </c>
      <c r="F62" s="4" t="str">
        <f t="array" ref="F62">INDEX(consolid1!$G$2:$G1534,MATCH(A62,consolid1!$B$2:$B1534,0))</f>
        <v>#N/A</v>
      </c>
    </row>
    <row r="63">
      <c r="A63" s="4" t="s">
        <v>1187</v>
      </c>
      <c r="B63" s="3">
        <v>115000.0</v>
      </c>
      <c r="C63" s="3" t="s">
        <v>32</v>
      </c>
      <c r="D63" s="4" t="str">
        <f t="shared" si="1"/>
        <v>AVEC</v>
      </c>
      <c r="E63" s="4" t="str">
        <f t="array" ref="E63">INDEX(consolid1!$I$2:$I$904,MATCH(A63,consolid1!$B$2:$B$904,0))</f>
        <v>#N/A</v>
      </c>
      <c r="F63" s="4" t="str">
        <f t="array" ref="F63">INDEX(consolid1!$G$2:$G1534,MATCH(A63,consolid1!$B$2:$B1534,0))</f>
        <v>#N/A</v>
      </c>
    </row>
    <row r="64">
      <c r="A64" s="4" t="s">
        <v>2283</v>
      </c>
      <c r="B64" s="3">
        <v>110350.0</v>
      </c>
      <c r="C64" s="3" t="s">
        <v>6</v>
      </c>
      <c r="D64" s="4" t="str">
        <f t="shared" si="1"/>
        <v>AVEC</v>
      </c>
      <c r="E64" s="4" t="str">
        <f t="array" ref="E64">INDEX(consolid1!$I$2:$I$904,MATCH(A64,consolid1!$B$2:$B$904,0))</f>
        <v>#N/A</v>
      </c>
      <c r="F64" s="4" t="str">
        <f t="array" ref="F64">INDEX(consolid1!$G$2:$G1534,MATCH(A64,consolid1!$B$2:$B1534,0))</f>
        <v>#N/A</v>
      </c>
    </row>
    <row r="65">
      <c r="A65" s="4" t="s">
        <v>1033</v>
      </c>
      <c r="B65" s="3">
        <v>109834.0</v>
      </c>
      <c r="C65" s="4"/>
      <c r="D65" s="4" t="str">
        <f t="shared" si="1"/>
        <v>AVEC</v>
      </c>
      <c r="E65" s="4" t="str">
        <f t="array" ref="E65">INDEX(consolid1!$I$2:$I$904,MATCH(A65,consolid1!$B$2:$B$904,0))</f>
        <v>#N/A</v>
      </c>
      <c r="F65" s="4" t="str">
        <f t="array" ref="F65">INDEX(consolid1!$G$2:$G1534,MATCH(A65,consolid1!$B$2:$B1534,0))</f>
        <v>#N/A</v>
      </c>
    </row>
    <row r="66">
      <c r="A66" s="4" t="s">
        <v>1967</v>
      </c>
      <c r="B66" s="3">
        <v>105000.0</v>
      </c>
      <c r="C66" s="3" t="s">
        <v>32</v>
      </c>
      <c r="D66" s="4" t="str">
        <f t="shared" si="1"/>
        <v>AVEC</v>
      </c>
      <c r="E66" s="4" t="str">
        <f t="array" ref="E66">INDEX(consolid1!$I$2:$I$904,MATCH(A66,consolid1!$B$2:$B$904,0))</f>
        <v>#N/A</v>
      </c>
      <c r="F66" s="4" t="str">
        <f t="array" ref="F66">INDEX(consolid1!$G$2:$G1534,MATCH(A66,consolid1!$B$2:$B1534,0))</f>
        <v>#N/A</v>
      </c>
    </row>
    <row r="67">
      <c r="A67" s="4" t="s">
        <v>1150</v>
      </c>
      <c r="B67" s="3">
        <v>100000.0</v>
      </c>
      <c r="C67" s="3" t="s">
        <v>29</v>
      </c>
      <c r="D67" s="4" t="str">
        <f t="shared" si="1"/>
        <v>AVEC</v>
      </c>
      <c r="E67" s="4" t="str">
        <f t="array" ref="E67">INDEX(consolid1!$I$2:$I$904,MATCH(A67,consolid1!$B$2:$B$904,0))</f>
        <v>#N/A</v>
      </c>
      <c r="F67" s="4" t="str">
        <f t="array" ref="F67">INDEX(consolid1!$G$2:$G1534,MATCH(A67,consolid1!$B$2:$B1534,0))</f>
        <v>#N/A</v>
      </c>
    </row>
    <row r="68">
      <c r="A68" s="4" t="s">
        <v>1918</v>
      </c>
      <c r="B68" s="3">
        <v>83680.0</v>
      </c>
      <c r="C68" s="3" t="s">
        <v>26</v>
      </c>
      <c r="D68" s="4" t="str">
        <f t="shared" si="1"/>
        <v>AVEC</v>
      </c>
      <c r="E68" s="4" t="str">
        <f t="array" ref="E68">INDEX(consolid1!$I$2:$I$904,MATCH(A68,consolid1!$B$2:$B$904,0))</f>
        <v>#N/A</v>
      </c>
      <c r="F68" s="4" t="str">
        <f t="array" ref="F68">INDEX(consolid1!$G$2:$G1534,MATCH(A68,consolid1!$B$2:$B1534,0))</f>
        <v>#N/A</v>
      </c>
    </row>
    <row r="69">
      <c r="A69" s="4" t="s">
        <v>2083</v>
      </c>
      <c r="B69" s="3">
        <v>82238.0</v>
      </c>
      <c r="C69" s="3" t="s">
        <v>37</v>
      </c>
      <c r="D69" s="4" t="str">
        <f t="shared" si="1"/>
        <v>AVEC</v>
      </c>
      <c r="E69" s="4" t="str">
        <f t="array" ref="E69">INDEX(consolid1!$I$2:$I$904,MATCH(A69,consolid1!$B$2:$B$904,0))</f>
        <v>#N/A</v>
      </c>
      <c r="F69" s="4" t="str">
        <f t="array" ref="F69">INDEX(consolid1!$G$2:$G1534,MATCH(A69,consolid1!$B$2:$B1534,0))</f>
        <v>#N/A</v>
      </c>
    </row>
    <row r="70">
      <c r="A70" s="4" t="s">
        <v>712</v>
      </c>
      <c r="B70" s="3">
        <v>81568.0</v>
      </c>
      <c r="C70" s="4"/>
      <c r="D70" s="4" t="str">
        <f t="shared" si="1"/>
        <v>AVEC</v>
      </c>
      <c r="E70" s="4" t="str">
        <f t="array" ref="E70">INDEX(consolid1!$I$2:$I$904,MATCH(A70,consolid1!$B$2:$B$904,0))</f>
        <v>Sciences</v>
      </c>
      <c r="F70" s="4" t="str">
        <f t="array" ref="F70">INDEX(consolid1!$G$2:$G1534,MATCH(A70,consolid1!$B$2:$B1534,0))</f>
        <v>Didier POURQUERY</v>
      </c>
    </row>
    <row r="71">
      <c r="A71" s="4" t="s">
        <v>655</v>
      </c>
      <c r="B71" s="3">
        <v>80000.0</v>
      </c>
      <c r="C71" s="3" t="s">
        <v>29</v>
      </c>
      <c r="D71" s="4" t="str">
        <f t="shared" si="1"/>
        <v>AVEC</v>
      </c>
      <c r="E71" s="4" t="str">
        <f t="array" ref="E71">INDEX(consolid1!$I$2:$I$904,MATCH(A71,consolid1!$B$2:$B$904,0))</f>
        <v>#N/A</v>
      </c>
      <c r="F71" s="4" t="str">
        <f t="array" ref="F71">INDEX(consolid1!$G$2:$G1534,MATCH(A71,consolid1!$B$2:$B1534,0))</f>
        <v>#N/A</v>
      </c>
    </row>
    <row r="72">
      <c r="A72" s="4" t="s">
        <v>1363</v>
      </c>
      <c r="B72" s="3">
        <v>80000.0</v>
      </c>
      <c r="C72" s="3" t="s">
        <v>3</v>
      </c>
      <c r="D72" s="4" t="str">
        <f t="shared" si="1"/>
        <v>AVEC</v>
      </c>
      <c r="E72" s="4" t="str">
        <f t="array" ref="E72">INDEX(consolid1!$I$2:$I$904,MATCH(A72,consolid1!$B$2:$B$904,0))</f>
        <v>#N/A</v>
      </c>
      <c r="F72" s="4" t="str">
        <f t="array" ref="F72">INDEX(consolid1!$G$2:$G1534,MATCH(A72,consolid1!$B$2:$B1534,0))</f>
        <v>#N/A</v>
      </c>
    </row>
    <row r="73">
      <c r="A73" s="4" t="s">
        <v>1838</v>
      </c>
      <c r="B73" s="3">
        <v>73900.0</v>
      </c>
      <c r="C73" s="3" t="s">
        <v>3</v>
      </c>
      <c r="D73" s="4" t="str">
        <f t="shared" si="1"/>
        <v>AVEC</v>
      </c>
      <c r="E73" s="4" t="str">
        <f t="array" ref="E73">INDEX(consolid1!$I$2:$I$904,MATCH(A73,consolid1!$B$2:$B$904,0))</f>
        <v>#N/A</v>
      </c>
      <c r="F73" s="4" t="str">
        <f t="array" ref="F73">INDEX(consolid1!$G$2:$G1534,MATCH(A73,consolid1!$B$2:$B1534,0))</f>
        <v>#N/A</v>
      </c>
    </row>
    <row r="74">
      <c r="A74" s="4" t="s">
        <v>2298</v>
      </c>
      <c r="B74" s="3">
        <v>73250.0</v>
      </c>
      <c r="C74" s="3" t="s">
        <v>1373</v>
      </c>
      <c r="D74" s="4" t="str">
        <f t="shared" si="1"/>
        <v>AVEC</v>
      </c>
      <c r="E74" s="4" t="str">
        <f t="array" ref="E74">INDEX(consolid1!$I$2:$I$904,MATCH(A74,consolid1!$B$2:$B$904,0))</f>
        <v>#N/A</v>
      </c>
      <c r="F74" s="4" t="str">
        <f t="array" ref="F74">INDEX(consolid1!$G$2:$G1534,MATCH(A74,consolid1!$B$2:$B1534,0))</f>
        <v>#N/A</v>
      </c>
    </row>
    <row r="75">
      <c r="A75" s="4" t="s">
        <v>1227</v>
      </c>
      <c r="B75" s="3">
        <v>66000.0</v>
      </c>
      <c r="C75" s="4"/>
      <c r="D75" s="4" t="str">
        <f t="shared" si="1"/>
        <v>AVEC</v>
      </c>
      <c r="E75" s="4" t="str">
        <f t="array" ref="E75">INDEX(consolid1!$I$2:$I$904,MATCH(A75,consolid1!$B$2:$B$904,0))</f>
        <v>#N/A</v>
      </c>
      <c r="F75" s="4" t="str">
        <f t="array" ref="F75">INDEX(consolid1!$G$2:$G1534,MATCH(A75,consolid1!$B$2:$B1534,0))</f>
        <v>#N/A</v>
      </c>
    </row>
    <row r="76">
      <c r="A76" s="4" t="s">
        <v>1761</v>
      </c>
      <c r="B76" s="3">
        <v>64000.0</v>
      </c>
      <c r="C76" s="4"/>
      <c r="D76" s="4" t="str">
        <f t="shared" si="1"/>
        <v>AVEC</v>
      </c>
      <c r="E76" s="4" t="str">
        <f t="array" ref="E76">INDEX(consolid1!$I$2:$I$904,MATCH(A76,consolid1!$B$2:$B$904,0))</f>
        <v>#N/A</v>
      </c>
      <c r="F76" s="4" t="str">
        <f t="array" ref="F76">INDEX(consolid1!$G$2:$G1534,MATCH(A76,consolid1!$B$2:$B1534,0))</f>
        <v>#N/A</v>
      </c>
    </row>
    <row r="77">
      <c r="A77" s="4" t="s">
        <v>2076</v>
      </c>
      <c r="B77" s="3">
        <v>60000.0</v>
      </c>
      <c r="C77" s="4"/>
      <c r="D77" s="4" t="str">
        <f t="shared" si="1"/>
        <v>AVEC</v>
      </c>
      <c r="E77" s="4" t="str">
        <f t="array" ref="E77">INDEX(consolid1!$I$2:$I$904,MATCH(A77,consolid1!$B$2:$B$904,0))</f>
        <v>#N/A</v>
      </c>
      <c r="F77" s="4" t="str">
        <f t="array" ref="F77">INDEX(consolid1!$G$2:$G1534,MATCH(A77,consolid1!$B$2:$B1534,0))</f>
        <v>#N/A</v>
      </c>
    </row>
    <row r="78">
      <c r="A78" s="4" t="s">
        <v>774</v>
      </c>
      <c r="B78" s="3">
        <v>57500.0</v>
      </c>
      <c r="C78" s="3" t="s">
        <v>280</v>
      </c>
      <c r="D78" s="4" t="str">
        <f t="shared" si="1"/>
        <v>AVEC</v>
      </c>
      <c r="E78" s="4" t="str">
        <f t="array" ref="E78">INDEX(consolid1!$I$2:$I$904,MATCH(A78,consolid1!$B$2:$B$904,0))</f>
        <v>Culture</v>
      </c>
      <c r="F78" s="4" t="str">
        <f t="array" ref="F78">INDEX(consolid1!$G$2:$G1534,MATCH(A78,consolid1!$B$2:$B1534,0))</f>
        <v>François Pouthier</v>
      </c>
    </row>
    <row r="79">
      <c r="A79" s="4" t="s">
        <v>1339</v>
      </c>
      <c r="B79" s="3">
        <v>57005.0</v>
      </c>
      <c r="C79" s="4"/>
      <c r="D79" s="4" t="str">
        <f t="shared" si="1"/>
        <v>AVEC</v>
      </c>
      <c r="E79" s="4" t="str">
        <f t="array" ref="E79">INDEX(consolid1!$I$2:$I$904,MATCH(A79,consolid1!$B$2:$B$904,0))</f>
        <v>#N/A</v>
      </c>
      <c r="F79" s="4" t="str">
        <f t="array" ref="F79">INDEX(consolid1!$G$2:$G1534,MATCH(A79,consolid1!$B$2:$B1534,0))</f>
        <v>#N/A</v>
      </c>
    </row>
    <row r="80">
      <c r="A80" s="4" t="s">
        <v>1377</v>
      </c>
      <c r="B80" s="3">
        <v>56105.0</v>
      </c>
      <c r="C80" s="3" t="s">
        <v>1379</v>
      </c>
      <c r="D80" s="4" t="str">
        <f t="shared" si="1"/>
        <v>AVEC</v>
      </c>
      <c r="E80" s="4" t="str">
        <f t="array" ref="E80">INDEX(consolid1!$I$2:$I$904,MATCH(A80,consolid1!$B$2:$B$904,0))</f>
        <v>#N/A</v>
      </c>
      <c r="F80" s="4" t="str">
        <f t="array" ref="F80">INDEX(consolid1!$G$2:$G1534,MATCH(A80,consolid1!$B$2:$B1534,0))</f>
        <v>#N/A</v>
      </c>
    </row>
    <row r="81">
      <c r="A81" s="4" t="s">
        <v>1559</v>
      </c>
      <c r="B81" s="3">
        <v>56000.0</v>
      </c>
      <c r="C81" s="3" t="s">
        <v>3</v>
      </c>
      <c r="D81" s="4" t="str">
        <f t="shared" si="1"/>
        <v>AVEC</v>
      </c>
      <c r="E81" s="4" t="str">
        <f t="array" ref="E81">INDEX(consolid1!$I$2:$I$904,MATCH(A81,consolid1!$B$2:$B$904,0))</f>
        <v>#N/A</v>
      </c>
      <c r="F81" s="4" t="str">
        <f t="array" ref="F81">INDEX(consolid1!$G$2:$G1534,MATCH(A81,consolid1!$B$2:$B1534,0))</f>
        <v>#N/A</v>
      </c>
    </row>
    <row r="82">
      <c r="A82" s="4" t="s">
        <v>447</v>
      </c>
      <c r="B82" s="3">
        <v>55000.0</v>
      </c>
      <c r="C82" s="4"/>
      <c r="D82" s="4" t="str">
        <f t="shared" si="1"/>
        <v>AVEC</v>
      </c>
      <c r="E82" s="4" t="str">
        <f t="array" ref="E82">INDEX(consolid1!$I$2:$I$904,MATCH(A82,consolid1!$B$2:$B$904,0))</f>
        <v>#N/A</v>
      </c>
      <c r="F82" s="4" t="str">
        <f t="array" ref="F82">INDEX(consolid1!$G$2:$G1534,MATCH(A82,consolid1!$B$2:$B1534,0))</f>
        <v>#N/A</v>
      </c>
    </row>
    <row r="83">
      <c r="A83" s="4" t="s">
        <v>1502</v>
      </c>
      <c r="B83" s="3">
        <v>54201.0</v>
      </c>
      <c r="C83" s="3" t="s">
        <v>6</v>
      </c>
      <c r="D83" s="4" t="str">
        <f t="shared" si="1"/>
        <v>AVEC</v>
      </c>
      <c r="E83" s="4" t="str">
        <f t="array" ref="E83">INDEX(consolid1!$I$2:$I$904,MATCH(A83,consolid1!$B$2:$B$904,0))</f>
        <v>#N/A</v>
      </c>
      <c r="F83" s="4" t="str">
        <f t="array" ref="F83">INDEX(consolid1!$G$2:$G1534,MATCH(A83,consolid1!$B$2:$B1534,0))</f>
        <v>#N/A</v>
      </c>
    </row>
    <row r="84">
      <c r="A84" s="4" t="s">
        <v>2045</v>
      </c>
      <c r="B84" s="3">
        <v>52500.0</v>
      </c>
      <c r="C84" s="3" t="s">
        <v>3</v>
      </c>
      <c r="D84" s="4" t="str">
        <f t="shared" si="1"/>
        <v>AVEC</v>
      </c>
      <c r="E84" s="4" t="str">
        <f t="array" ref="E84">INDEX(consolid1!$I$2:$I$904,MATCH(A84,consolid1!$B$2:$B$904,0))</f>
        <v>#N/A</v>
      </c>
      <c r="F84" s="4" t="str">
        <f t="array" ref="F84">INDEX(consolid1!$G$2:$G1534,MATCH(A84,consolid1!$B$2:$B1534,0))</f>
        <v>#N/A</v>
      </c>
    </row>
    <row r="85">
      <c r="A85" s="4" t="s">
        <v>1884</v>
      </c>
      <c r="B85" s="3">
        <v>52250.0</v>
      </c>
      <c r="C85" s="4"/>
      <c r="D85" s="4" t="str">
        <f t="shared" si="1"/>
        <v>AVEC</v>
      </c>
      <c r="E85" s="4" t="str">
        <f t="array" ref="E85">INDEX(consolid1!$I$2:$I$904,MATCH(A85,consolid1!$B$2:$B$904,0))</f>
        <v>#N/A</v>
      </c>
      <c r="F85" s="4" t="str">
        <f t="array" ref="F85">INDEX(consolid1!$G$2:$G1534,MATCH(A85,consolid1!$B$2:$B1534,0))</f>
        <v>#N/A</v>
      </c>
    </row>
    <row r="86">
      <c r="A86" s="4" t="s">
        <v>1751</v>
      </c>
      <c r="B86" s="3">
        <v>51000.0</v>
      </c>
      <c r="C86" s="3" t="s">
        <v>3</v>
      </c>
      <c r="D86" s="4" t="str">
        <f t="shared" si="1"/>
        <v>AVEC</v>
      </c>
      <c r="E86" s="4" t="str">
        <f t="array" ref="E86">INDEX(consolid1!$I$2:$I$904,MATCH(A86,consolid1!$B$2:$B$904,0))</f>
        <v>#N/A</v>
      </c>
      <c r="F86" s="4" t="str">
        <f t="array" ref="F86">INDEX(consolid1!$G$2:$G1534,MATCH(A86,consolid1!$B$2:$B1534,0))</f>
        <v>#N/A</v>
      </c>
    </row>
    <row r="87">
      <c r="A87" s="4" t="s">
        <v>2099</v>
      </c>
      <c r="B87" s="3">
        <v>50580.0</v>
      </c>
      <c r="C87" s="3" t="s">
        <v>216</v>
      </c>
      <c r="D87" s="4" t="str">
        <f t="shared" si="1"/>
        <v>AVEC</v>
      </c>
      <c r="E87" s="4" t="str">
        <f t="array" ref="E87">INDEX(consolid1!$I$2:$I$904,MATCH(A87,consolid1!$B$2:$B$904,0))</f>
        <v>#N/A</v>
      </c>
      <c r="F87" s="4" t="str">
        <f t="array" ref="F87">INDEX(consolid1!$G$2:$G1534,MATCH(A87,consolid1!$B$2:$B1534,0))</f>
        <v>#N/A</v>
      </c>
    </row>
    <row r="88">
      <c r="A88" s="4" t="s">
        <v>569</v>
      </c>
      <c r="B88" s="3">
        <v>50000.0</v>
      </c>
      <c r="C88" s="3" t="s">
        <v>6</v>
      </c>
      <c r="D88" s="4" t="str">
        <f t="shared" si="1"/>
        <v>AVEC</v>
      </c>
      <c r="E88" s="4" t="str">
        <f t="array" ref="E88">INDEX(consolid1!$I$2:$I$904,MATCH(A88,consolid1!$B$2:$B$904,0))</f>
        <v>#N/A</v>
      </c>
      <c r="F88" s="4" t="str">
        <f t="array" ref="F88">INDEX(consolid1!$G$2:$G1534,MATCH(A88,consolid1!$B$2:$B1534,0))</f>
        <v>#N/A</v>
      </c>
    </row>
    <row r="89">
      <c r="A89" s="4" t="s">
        <v>1346</v>
      </c>
      <c r="B89" s="3">
        <v>50000.0</v>
      </c>
      <c r="C89" s="4"/>
      <c r="D89" s="4" t="str">
        <f t="shared" si="1"/>
        <v>AVEC</v>
      </c>
      <c r="E89" s="4" t="str">
        <f t="array" ref="E89">INDEX(consolid1!$I$2:$I$904,MATCH(A89,consolid1!$B$2:$B$904,0))</f>
        <v>#N/A</v>
      </c>
      <c r="F89" s="4" t="str">
        <f t="array" ref="F89">INDEX(consolid1!$G$2:$G1534,MATCH(A89,consolid1!$B$2:$B1534,0))</f>
        <v>#N/A</v>
      </c>
    </row>
    <row r="90">
      <c r="A90" s="4" t="s">
        <v>1438</v>
      </c>
      <c r="B90" s="3">
        <v>50000.0</v>
      </c>
      <c r="C90" s="4"/>
      <c r="D90" s="4" t="str">
        <f t="shared" si="1"/>
        <v>AVEC</v>
      </c>
      <c r="E90" s="4" t="str">
        <f t="array" ref="E90">INDEX(consolid1!$I$2:$I$904,MATCH(A90,consolid1!$B$2:$B$904,0))</f>
        <v>#N/A</v>
      </c>
      <c r="F90" s="4" t="str">
        <f t="array" ref="F90">INDEX(consolid1!$G$2:$G1534,MATCH(A90,consolid1!$B$2:$B1534,0))</f>
        <v>#N/A</v>
      </c>
    </row>
    <row r="91">
      <c r="A91" s="4" t="s">
        <v>1552</v>
      </c>
      <c r="B91" s="3">
        <v>50000.0</v>
      </c>
      <c r="C91" s="4"/>
      <c r="D91" s="4" t="str">
        <f t="shared" si="1"/>
        <v>AVEC</v>
      </c>
      <c r="E91" s="4" t="str">
        <f t="array" ref="E91">INDEX(consolid1!$I$2:$I$904,MATCH(A91,consolid1!$B$2:$B$904,0))</f>
        <v>#N/A</v>
      </c>
      <c r="F91" s="4" t="str">
        <f t="array" ref="F91">INDEX(consolid1!$G$2:$G1534,MATCH(A91,consolid1!$B$2:$B1534,0))</f>
        <v>#N/A</v>
      </c>
    </row>
    <row r="92">
      <c r="A92" s="4" t="s">
        <v>729</v>
      </c>
      <c r="B92" s="3">
        <v>49000.0</v>
      </c>
      <c r="C92" s="3" t="s">
        <v>32</v>
      </c>
      <c r="D92" s="4" t="str">
        <f t="shared" si="1"/>
        <v>AVEC</v>
      </c>
      <c r="E92" s="4" t="str">
        <f t="array" ref="E92">INDEX(consolid1!$I$2:$I$904,MATCH(A92,consolid1!$B$2:$B$904,0))</f>
        <v>#N/A</v>
      </c>
      <c r="F92" s="4" t="str">
        <f t="array" ref="F92">INDEX(consolid1!$G$2:$G1534,MATCH(A92,consolid1!$B$2:$B1534,0))</f>
        <v>#N/A</v>
      </c>
    </row>
    <row r="93">
      <c r="A93" s="4" t="s">
        <v>2236</v>
      </c>
      <c r="B93" s="3">
        <v>46500.0</v>
      </c>
      <c r="C93" s="3" t="s">
        <v>3</v>
      </c>
      <c r="D93" s="4" t="str">
        <f t="shared" si="1"/>
        <v>AVEC</v>
      </c>
      <c r="E93" s="4" t="str">
        <f t="array" ref="E93">INDEX(consolid1!$I$2:$I$904,MATCH(A93,consolid1!$B$2:$B$904,0))</f>
        <v>#N/A</v>
      </c>
      <c r="F93" s="4" t="str">
        <f t="array" ref="F93">INDEX(consolid1!$G$2:$G1534,MATCH(A93,consolid1!$B$2:$B1534,0))</f>
        <v>#N/A</v>
      </c>
    </row>
    <row r="94">
      <c r="A94" s="4" t="s">
        <v>1563</v>
      </c>
      <c r="B94" s="3">
        <v>46000.0</v>
      </c>
      <c r="C94" s="4"/>
      <c r="D94" s="4" t="str">
        <f t="shared" si="1"/>
        <v>AVEC</v>
      </c>
      <c r="E94" s="4" t="str">
        <f t="array" ref="E94">INDEX(consolid1!$I$2:$I$904,MATCH(A94,consolid1!$B$2:$B$904,0))</f>
        <v>#N/A</v>
      </c>
      <c r="F94" s="4" t="str">
        <f t="array" ref="F94">INDEX(consolid1!$G$2:$G1534,MATCH(A94,consolid1!$B$2:$B1534,0))</f>
        <v>#N/A</v>
      </c>
    </row>
    <row r="95">
      <c r="A95" s="4" t="s">
        <v>2150</v>
      </c>
      <c r="B95" s="3">
        <v>45400.0</v>
      </c>
      <c r="C95" s="3" t="s">
        <v>3</v>
      </c>
      <c r="D95" s="4" t="str">
        <f t="shared" si="1"/>
        <v>AVEC</v>
      </c>
      <c r="E95" s="4" t="str">
        <f t="array" ref="E95">INDEX(consolid1!$I$2:$I$904,MATCH(A95,consolid1!$B$2:$B$904,0))</f>
        <v>#N/A</v>
      </c>
      <c r="F95" s="4" t="str">
        <f t="array" ref="F95">INDEX(consolid1!$G$2:$G1534,MATCH(A95,consolid1!$B$2:$B1534,0))</f>
        <v>#N/A</v>
      </c>
    </row>
    <row r="96">
      <c r="A96" s="4" t="s">
        <v>589</v>
      </c>
      <c r="B96" s="3">
        <v>44200.0</v>
      </c>
      <c r="C96" s="3" t="s">
        <v>3</v>
      </c>
      <c r="D96" s="4" t="str">
        <f t="shared" si="1"/>
        <v>AVEC</v>
      </c>
      <c r="E96" s="4" t="str">
        <f t="array" ref="E96">INDEX(consolid1!$I$2:$I$904,MATCH(A96,consolid1!$B$2:$B$904,0))</f>
        <v>#N/A</v>
      </c>
      <c r="F96" s="4" t="str">
        <f t="array" ref="F96">INDEX(consolid1!$G$2:$G1534,MATCH(A96,consolid1!$B$2:$B1534,0))</f>
        <v>#N/A</v>
      </c>
    </row>
    <row r="97">
      <c r="A97" s="4" t="s">
        <v>916</v>
      </c>
      <c r="B97" s="3">
        <v>41500.0</v>
      </c>
      <c r="C97" s="3" t="s">
        <v>280</v>
      </c>
      <c r="D97" s="4" t="str">
        <f t="shared" si="1"/>
        <v>AVEC</v>
      </c>
      <c r="E97" s="4" t="str">
        <f t="array" ref="E97">INDEX(consolid1!$I$2:$I$904,MATCH(A97,consolid1!$B$2:$B$904,0))</f>
        <v>#N/A</v>
      </c>
      <c r="F97" s="4" t="str">
        <f t="array" ref="F97">INDEX(consolid1!$G$2:$G1534,MATCH(A97,consolid1!$B$2:$B1534,0))</f>
        <v>#N/A</v>
      </c>
    </row>
    <row r="98">
      <c r="A98" s="4" t="s">
        <v>1620</v>
      </c>
      <c r="B98" s="3">
        <v>40700.0</v>
      </c>
      <c r="C98" s="3" t="s">
        <v>216</v>
      </c>
      <c r="D98" s="4" t="str">
        <f t="shared" si="1"/>
        <v>AVEC</v>
      </c>
      <c r="E98" s="4" t="str">
        <f t="array" ref="E98">INDEX(consolid1!$I$2:$I$904,MATCH(A98,consolid1!$B$2:$B$904,0))</f>
        <v>#N/A</v>
      </c>
      <c r="F98" s="4" t="str">
        <f t="array" ref="F98">INDEX(consolid1!$G$2:$G1534,MATCH(A98,consolid1!$B$2:$B1534,0))</f>
        <v>#N/A</v>
      </c>
    </row>
    <row r="99">
      <c r="A99" s="4" t="s">
        <v>945</v>
      </c>
      <c r="B99" s="3">
        <v>40000.0</v>
      </c>
      <c r="C99" s="3" t="s">
        <v>216</v>
      </c>
      <c r="D99" s="4" t="str">
        <f t="shared" si="1"/>
        <v>AVEC</v>
      </c>
      <c r="E99" s="4" t="str">
        <f t="array" ref="E99">INDEX(consolid1!$I$2:$I$904,MATCH(A99,consolid1!$B$2:$B$904,0))</f>
        <v>#N/A</v>
      </c>
      <c r="F99" s="4" t="str">
        <f t="array" ref="F99">INDEX(consolid1!$G$2:$G1534,MATCH(A99,consolid1!$B$2:$B1534,0))</f>
        <v>#N/A</v>
      </c>
    </row>
    <row r="100">
      <c r="A100" s="4" t="s">
        <v>522</v>
      </c>
      <c r="B100" s="3">
        <v>37754.0</v>
      </c>
      <c r="C100" s="3" t="s">
        <v>484</v>
      </c>
      <c r="D100" s="4" t="str">
        <f t="shared" si="1"/>
        <v>AVEC</v>
      </c>
      <c r="E100" s="4" t="str">
        <f t="array" ref="E100">INDEX(consolid1!$I$2:$I$904,MATCH(A100,consolid1!$B$2:$B$904,0))</f>
        <v>#N/A</v>
      </c>
      <c r="F100" s="4" t="str">
        <f t="array" ref="F100">INDEX(consolid1!$G$2:$G1534,MATCH(A100,consolid1!$B$2:$B1534,0))</f>
        <v>#N/A</v>
      </c>
    </row>
    <row r="101">
      <c r="A101" s="4" t="s">
        <v>2284</v>
      </c>
      <c r="B101" s="3">
        <v>37500.0</v>
      </c>
      <c r="C101" s="3" t="s">
        <v>580</v>
      </c>
      <c r="D101" s="4" t="str">
        <f t="shared" si="1"/>
        <v>AVEC</v>
      </c>
      <c r="E101" s="4" t="str">
        <f t="array" ref="E101">INDEX(consolid1!$I$2:$I$904,MATCH(A101,consolid1!$B$2:$B$904,0))</f>
        <v>#N/A</v>
      </c>
      <c r="F101" s="4" t="str">
        <f t="array" ref="F101">INDEX(consolid1!$G$2:$G1534,MATCH(A101,consolid1!$B$2:$B1534,0))</f>
        <v>#N/A</v>
      </c>
    </row>
    <row r="102">
      <c r="A102" s="4" t="s">
        <v>395</v>
      </c>
      <c r="B102" s="3">
        <v>37000.0</v>
      </c>
      <c r="C102" s="3" t="s">
        <v>32</v>
      </c>
      <c r="D102" s="4" t="str">
        <f t="shared" si="1"/>
        <v>AVEC</v>
      </c>
      <c r="E102" s="4" t="str">
        <f t="array" ref="E102">INDEX(consolid1!$I$2:$I$904,MATCH(A102,consolid1!$B$2:$B$904,0))</f>
        <v>#N/A</v>
      </c>
      <c r="F102" s="4" t="str">
        <f t="array" ref="F102">INDEX(consolid1!$G$2:$G1534,MATCH(A102,consolid1!$B$2:$B1534,0))</f>
        <v>#N/A</v>
      </c>
    </row>
    <row r="103">
      <c r="A103" s="4" t="s">
        <v>628</v>
      </c>
      <c r="B103" s="3">
        <v>35895.0</v>
      </c>
      <c r="C103" s="3" t="s">
        <v>484</v>
      </c>
      <c r="D103" s="4" t="str">
        <f t="shared" si="1"/>
        <v>AVEC</v>
      </c>
      <c r="E103" s="4" t="str">
        <f t="array" ref="E103">INDEX(consolid1!$I$2:$I$904,MATCH(A103,consolid1!$B$2:$B$904,0))</f>
        <v>Sport</v>
      </c>
      <c r="F103" s="4" t="str">
        <f t="array" ref="F103">INDEX(consolid1!$G$2:$G1534,MATCH(A103,consolid1!$B$2:$B1534,0))</f>
        <v>null</v>
      </c>
    </row>
    <row r="104">
      <c r="A104" s="4" t="s">
        <v>1579</v>
      </c>
      <c r="B104" s="3">
        <v>35500.0</v>
      </c>
      <c r="C104" s="3" t="s">
        <v>32</v>
      </c>
      <c r="D104" s="4" t="str">
        <f t="shared" si="1"/>
        <v>AVEC</v>
      </c>
      <c r="E104" s="4" t="str">
        <f t="array" ref="E104">INDEX(consolid1!$I$2:$I$904,MATCH(A104,consolid1!$B$2:$B$904,0))</f>
        <v>#N/A</v>
      </c>
      <c r="F104" s="4" t="str">
        <f t="array" ref="F104">INDEX(consolid1!$G$2:$G1534,MATCH(A104,consolid1!$B$2:$B1534,0))</f>
        <v>#N/A</v>
      </c>
    </row>
    <row r="105">
      <c r="A105" s="4" t="s">
        <v>2262</v>
      </c>
      <c r="B105" s="3">
        <v>35000.0</v>
      </c>
      <c r="C105" s="4"/>
      <c r="D105" s="4" t="str">
        <f t="shared" si="1"/>
        <v>AVEC</v>
      </c>
      <c r="E105" s="4" t="str">
        <f t="array" ref="E105">INDEX(consolid1!$I$2:$I$904,MATCH(A105,consolid1!$B$2:$B$904,0))</f>
        <v>#N/A</v>
      </c>
      <c r="F105" s="4" t="str">
        <f t="array" ref="F105">INDEX(consolid1!$G$2:$G1534,MATCH(A105,consolid1!$B$2:$B1534,0))</f>
        <v>#N/A</v>
      </c>
    </row>
    <row r="106">
      <c r="A106" s="4" t="s">
        <v>1736</v>
      </c>
      <c r="B106" s="3">
        <v>35000.0</v>
      </c>
      <c r="C106" s="3" t="s">
        <v>280</v>
      </c>
      <c r="D106" s="4" t="str">
        <f t="shared" si="1"/>
        <v>AVEC</v>
      </c>
      <c r="E106" s="4" t="str">
        <f t="array" ref="E106">INDEX(consolid1!$I$2:$I$904,MATCH(A106,consolid1!$B$2:$B$904,0))</f>
        <v>#N/A</v>
      </c>
      <c r="F106" s="4" t="str">
        <f t="array" ref="F106">INDEX(consolid1!$G$2:$G1534,MATCH(A106,consolid1!$B$2:$B1534,0))</f>
        <v>#N/A</v>
      </c>
    </row>
    <row r="107">
      <c r="A107" s="4" t="s">
        <v>1156</v>
      </c>
      <c r="B107" s="3">
        <v>33251.0</v>
      </c>
      <c r="C107" s="4"/>
      <c r="D107" s="4" t="str">
        <f t="shared" si="1"/>
        <v>AVEC</v>
      </c>
      <c r="E107" s="4" t="str">
        <f t="array" ref="E107">INDEX(consolid1!$I$2:$I$904,MATCH(A107,consolid1!$B$2:$B$904,0))</f>
        <v>#N/A</v>
      </c>
      <c r="F107" s="4" t="str">
        <f t="array" ref="F107">INDEX(consolid1!$G$2:$G1534,MATCH(A107,consolid1!$B$2:$B1534,0))</f>
        <v>#N/A</v>
      </c>
    </row>
    <row r="108">
      <c r="A108" s="4" t="s">
        <v>1903</v>
      </c>
      <c r="B108" s="3">
        <v>32987.75</v>
      </c>
      <c r="C108" s="3" t="s">
        <v>280</v>
      </c>
      <c r="D108" s="4" t="str">
        <f t="shared" si="1"/>
        <v>AVEC</v>
      </c>
      <c r="E108" s="4" t="str">
        <f t="array" ref="E108">INDEX(consolid1!$I$2:$I$904,MATCH(A108,consolid1!$B$2:$B$904,0))</f>
        <v>#N/A</v>
      </c>
      <c r="F108" s="4" t="str">
        <f t="array" ref="F108">INDEX(consolid1!$G$2:$G1534,MATCH(A108,consolid1!$B$2:$B1534,0))</f>
        <v>#N/A</v>
      </c>
    </row>
    <row r="109">
      <c r="A109" s="4" t="s">
        <v>786</v>
      </c>
      <c r="B109" s="3">
        <v>32500.0</v>
      </c>
      <c r="C109" s="4"/>
      <c r="D109" s="4" t="str">
        <f t="shared" si="1"/>
        <v>AVEC</v>
      </c>
      <c r="E109" s="4" t="str">
        <f t="array" ref="E109">INDEX(consolid1!$I$2:$I$904,MATCH(A109,consolid1!$B$2:$B$904,0))</f>
        <v>#N/A</v>
      </c>
      <c r="F109" s="4" t="str">
        <f t="array" ref="F109">INDEX(consolid1!$G$2:$G1534,MATCH(A109,consolid1!$B$2:$B1534,0))</f>
        <v>#N/A</v>
      </c>
    </row>
    <row r="110">
      <c r="A110" s="4" t="s">
        <v>1733</v>
      </c>
      <c r="B110" s="3">
        <v>31500.0</v>
      </c>
      <c r="C110" s="3" t="s">
        <v>3</v>
      </c>
      <c r="D110" s="4" t="str">
        <f t="shared" si="1"/>
        <v>AVEC</v>
      </c>
      <c r="E110" s="4" t="str">
        <f t="array" ref="E110">INDEX(consolid1!$I$2:$I$904,MATCH(A110,consolid1!$B$2:$B$904,0))</f>
        <v>#N/A</v>
      </c>
      <c r="F110" s="4" t="str">
        <f t="array" ref="F110">INDEX(consolid1!$G$2:$G1534,MATCH(A110,consolid1!$B$2:$B1534,0))</f>
        <v>#N/A</v>
      </c>
    </row>
    <row r="111">
      <c r="A111" s="4" t="s">
        <v>1055</v>
      </c>
      <c r="B111" s="3">
        <v>31000.0</v>
      </c>
      <c r="C111" s="4"/>
      <c r="D111" s="4" t="str">
        <f t="shared" si="1"/>
        <v>AVEC</v>
      </c>
      <c r="E111" s="4" t="str">
        <f t="array" ref="E111">INDEX(consolid1!$I$2:$I$904,MATCH(A111,consolid1!$B$2:$B$904,0))</f>
        <v>#N/A</v>
      </c>
      <c r="F111" s="4" t="str">
        <f t="array" ref="F111">INDEX(consolid1!$G$2:$G1534,MATCH(A111,consolid1!$B$2:$B1534,0))</f>
        <v>#N/A</v>
      </c>
    </row>
    <row r="112">
      <c r="A112" s="4" t="s">
        <v>607</v>
      </c>
      <c r="B112" s="3">
        <v>30500.0</v>
      </c>
      <c r="C112" s="3" t="s">
        <v>32</v>
      </c>
      <c r="D112" s="4" t="str">
        <f t="shared" si="1"/>
        <v>AVEC</v>
      </c>
      <c r="E112" s="4" t="str">
        <f t="array" ref="E112">INDEX(consolid1!$I$2:$I$904,MATCH(A112,consolid1!$B$2:$B$904,0))</f>
        <v>#N/A</v>
      </c>
      <c r="F112" s="4" t="str">
        <f t="array" ref="F112">INDEX(consolid1!$G$2:$G1534,MATCH(A112,consolid1!$B$2:$B1534,0))</f>
        <v>#N/A</v>
      </c>
    </row>
    <row r="113">
      <c r="A113" s="4" t="s">
        <v>2088</v>
      </c>
      <c r="B113" s="3">
        <v>30000.0</v>
      </c>
      <c r="C113" s="3" t="s">
        <v>3</v>
      </c>
      <c r="D113" s="4" t="str">
        <f t="shared" si="1"/>
        <v>AVEC</v>
      </c>
      <c r="E113" s="4" t="str">
        <f t="array" ref="E113">INDEX(consolid1!$I$2:$I$904,MATCH(A113,consolid1!$B$2:$B$904,0))</f>
        <v>#N/A</v>
      </c>
      <c r="F113" s="4" t="str">
        <f t="array" ref="F113">INDEX(consolid1!$G$2:$G1534,MATCH(A113,consolid1!$B$2:$B1534,0))</f>
        <v>#N/A</v>
      </c>
    </row>
    <row r="114">
      <c r="A114" s="4" t="s">
        <v>645</v>
      </c>
      <c r="B114" s="3">
        <v>30000.0</v>
      </c>
      <c r="C114" s="4"/>
      <c r="D114" s="4" t="str">
        <f t="shared" si="1"/>
        <v>AVEC</v>
      </c>
      <c r="E114" s="4" t="str">
        <f t="array" ref="E114">INDEX(consolid1!$I$2:$I$904,MATCH(A114,consolid1!$B$2:$B$904,0))</f>
        <v>#N/A</v>
      </c>
      <c r="F114" s="4" t="str">
        <f t="array" ref="F114">INDEX(consolid1!$G$2:$G1534,MATCH(A114,consolid1!$B$2:$B1534,0))</f>
        <v>#N/A</v>
      </c>
    </row>
    <row r="115">
      <c r="A115" s="4" t="s">
        <v>725</v>
      </c>
      <c r="B115" s="3">
        <v>30000.0</v>
      </c>
      <c r="C115" s="3" t="s">
        <v>6</v>
      </c>
      <c r="D115" s="4" t="str">
        <f t="shared" si="1"/>
        <v>AVEC</v>
      </c>
      <c r="E115" s="4" t="str">
        <f t="array" ref="E115">INDEX(consolid1!$I$2:$I$904,MATCH(A115,consolid1!$B$2:$B$904,0))</f>
        <v>Entraide, solidarité, humanitaire</v>
      </c>
      <c r="F115" s="4" t="str">
        <f t="array" ref="F115">INDEX(consolid1!$G$2:$G1534,MATCH(A115,consolid1!$B$2:$B1534,0))</f>
        <v>null</v>
      </c>
    </row>
    <row r="116">
      <c r="A116" s="4" t="s">
        <v>1000</v>
      </c>
      <c r="B116" s="3">
        <v>30000.0</v>
      </c>
      <c r="C116" s="3" t="s">
        <v>3</v>
      </c>
      <c r="D116" s="4" t="str">
        <f t="shared" si="1"/>
        <v>AVEC</v>
      </c>
      <c r="E116" s="4" t="str">
        <f t="array" ref="E116">INDEX(consolid1!$I$2:$I$904,MATCH(A116,consolid1!$B$2:$B$904,0))</f>
        <v>#N/A</v>
      </c>
      <c r="F116" s="4" t="str">
        <f t="array" ref="F116">INDEX(consolid1!$G$2:$G1534,MATCH(A116,consolid1!$B$2:$B1534,0))</f>
        <v>#N/A</v>
      </c>
    </row>
    <row r="117">
      <c r="A117" s="4" t="s">
        <v>1756</v>
      </c>
      <c r="B117" s="3">
        <v>29985.0</v>
      </c>
      <c r="C117" s="4"/>
      <c r="D117" s="4" t="str">
        <f t="shared" si="1"/>
        <v>AVEC</v>
      </c>
      <c r="E117" s="4" t="str">
        <f t="array" ref="E117">INDEX(consolid1!$I$2:$I$904,MATCH(A117,consolid1!$B$2:$B$904,0))</f>
        <v>#N/A</v>
      </c>
      <c r="F117" s="4" t="str">
        <f t="array" ref="F117">INDEX(consolid1!$G$2:$G1534,MATCH(A117,consolid1!$B$2:$B1534,0))</f>
        <v>#N/A</v>
      </c>
    </row>
    <row r="118">
      <c r="A118" s="4" t="s">
        <v>1489</v>
      </c>
      <c r="B118" s="3">
        <v>29750.0</v>
      </c>
      <c r="C118" s="3" t="s">
        <v>32</v>
      </c>
      <c r="D118" s="4" t="str">
        <f t="shared" si="1"/>
        <v>AVEC</v>
      </c>
      <c r="E118" s="4" t="str">
        <f t="array" ref="E118">INDEX(consolid1!$I$2:$I$904,MATCH(A118,consolid1!$B$2:$B$904,0))</f>
        <v>#N/A</v>
      </c>
      <c r="F118" s="4" t="str">
        <f t="array" ref="F118">INDEX(consolid1!$G$2:$G1534,MATCH(A118,consolid1!$B$2:$B1534,0))</f>
        <v>#N/A</v>
      </c>
    </row>
    <row r="119">
      <c r="A119" s="4" t="s">
        <v>1585</v>
      </c>
      <c r="B119" s="3">
        <v>29000.0</v>
      </c>
      <c r="C119" s="3" t="s">
        <v>32</v>
      </c>
      <c r="D119" s="4" t="str">
        <f t="shared" si="1"/>
        <v>AVEC</v>
      </c>
      <c r="E119" s="4" t="str">
        <f t="array" ref="E119">INDEX(consolid1!$I$2:$I$904,MATCH(A119,consolid1!$B$2:$B$904,0))</f>
        <v>#N/A</v>
      </c>
      <c r="F119" s="4" t="str">
        <f t="array" ref="F119">INDEX(consolid1!$G$2:$G1534,MATCH(A119,consolid1!$B$2:$B1534,0))</f>
        <v>#N/A</v>
      </c>
    </row>
    <row r="120">
      <c r="A120" s="4" t="s">
        <v>1976</v>
      </c>
      <c r="B120" s="3">
        <v>28500.0</v>
      </c>
      <c r="C120" s="3" t="s">
        <v>32</v>
      </c>
      <c r="D120" s="4" t="str">
        <f t="shared" si="1"/>
        <v>AVEC</v>
      </c>
      <c r="E120" s="4" t="str">
        <f t="array" ref="E120">INDEX(consolid1!$I$2:$I$904,MATCH(A120,consolid1!$B$2:$B$904,0))</f>
        <v>#N/A</v>
      </c>
      <c r="F120" s="4" t="str">
        <f t="array" ref="F120">INDEX(consolid1!$G$2:$G1534,MATCH(A120,consolid1!$B$2:$B1534,0))</f>
        <v>#N/A</v>
      </c>
    </row>
    <row r="121">
      <c r="A121" s="4" t="s">
        <v>669</v>
      </c>
      <c r="B121" s="3">
        <v>28000.0</v>
      </c>
      <c r="C121" s="3" t="s">
        <v>3</v>
      </c>
      <c r="D121" s="4" t="str">
        <f t="shared" si="1"/>
        <v>AVEC</v>
      </c>
      <c r="E121" s="4" t="str">
        <f t="array" ref="E121">INDEX(consolid1!$I$2:$I$904,MATCH(A121,consolid1!$B$2:$B$904,0))</f>
        <v>#N/A</v>
      </c>
      <c r="F121" s="4" t="str">
        <f t="array" ref="F121">INDEX(consolid1!$G$2:$G1534,MATCH(A121,consolid1!$B$2:$B1534,0))</f>
        <v>#N/A</v>
      </c>
    </row>
    <row r="122">
      <c r="A122" s="4" t="s">
        <v>834</v>
      </c>
      <c r="B122" s="3">
        <v>28000.0</v>
      </c>
      <c r="C122" s="3" t="s">
        <v>6</v>
      </c>
      <c r="D122" s="4" t="str">
        <f t="shared" si="1"/>
        <v>AVEC</v>
      </c>
      <c r="E122" s="4" t="str">
        <f t="array" ref="E122">INDEX(consolid1!$I$2:$I$904,MATCH(A122,consolid1!$B$2:$B$904,0))</f>
        <v>#N/A</v>
      </c>
      <c r="F122" s="4" t="str">
        <f t="array" ref="F122">INDEX(consolid1!$G$2:$G1534,MATCH(A122,consolid1!$B$2:$B1534,0))</f>
        <v>#N/A</v>
      </c>
    </row>
    <row r="123">
      <c r="A123" s="4" t="s">
        <v>549</v>
      </c>
      <c r="B123" s="3">
        <v>27778.0</v>
      </c>
      <c r="C123" s="4"/>
      <c r="D123" s="4" t="str">
        <f t="shared" si="1"/>
        <v>AVEC</v>
      </c>
      <c r="E123" s="4" t="str">
        <f t="array" ref="E123">INDEX(consolid1!$I$2:$I$904,MATCH(A123,consolid1!$B$2:$B$904,0))</f>
        <v>#N/A</v>
      </c>
      <c r="F123" s="4" t="str">
        <f t="array" ref="F123">INDEX(consolid1!$G$2:$G1534,MATCH(A123,consolid1!$B$2:$B1534,0))</f>
        <v>#N/A</v>
      </c>
    </row>
    <row r="124">
      <c r="A124" s="4" t="s">
        <v>413</v>
      </c>
      <c r="B124" s="3">
        <v>27500.0</v>
      </c>
      <c r="C124" s="3" t="s">
        <v>32</v>
      </c>
      <c r="D124" s="4" t="str">
        <f t="shared" si="1"/>
        <v>AVEC</v>
      </c>
      <c r="E124" s="4" t="str">
        <f t="array" ref="E124">INDEX(consolid1!$I$2:$I$904,MATCH(A124,consolid1!$B$2:$B$904,0))</f>
        <v>#N/A</v>
      </c>
      <c r="F124" s="4" t="str">
        <f t="array" ref="F124">INDEX(consolid1!$G$2:$G1534,MATCH(A124,consolid1!$B$2:$B1534,0))</f>
        <v>#N/A</v>
      </c>
    </row>
    <row r="125">
      <c r="A125" s="4" t="s">
        <v>1023</v>
      </c>
      <c r="B125" s="3">
        <v>27000.0</v>
      </c>
      <c r="C125" s="3" t="s">
        <v>3</v>
      </c>
      <c r="D125" s="4" t="str">
        <f t="shared" si="1"/>
        <v>AVEC</v>
      </c>
      <c r="E125" s="4" t="str">
        <f t="array" ref="E125">INDEX(consolid1!$I$2:$I$904,MATCH(A125,consolid1!$B$2:$B$904,0))</f>
        <v>#N/A</v>
      </c>
      <c r="F125" s="4" t="str">
        <f t="array" ref="F125">INDEX(consolid1!$G$2:$G1534,MATCH(A125,consolid1!$B$2:$B1534,0))</f>
        <v>#N/A</v>
      </c>
    </row>
    <row r="126">
      <c r="A126" s="4" t="s">
        <v>2288</v>
      </c>
      <c r="B126" s="3">
        <v>27000.0</v>
      </c>
      <c r="C126" s="3" t="s">
        <v>580</v>
      </c>
      <c r="D126" s="4" t="str">
        <f t="shared" si="1"/>
        <v>AVEC</v>
      </c>
      <c r="E126" s="4" t="str">
        <f t="array" ref="E126">INDEX(consolid1!$I$2:$I$904,MATCH(A126,consolid1!$B$2:$B$904,0))</f>
        <v>#N/A</v>
      </c>
      <c r="F126" s="4" t="str">
        <f t="array" ref="F126">INDEX(consolid1!$G$2:$G1534,MATCH(A126,consolid1!$B$2:$B1534,0))</f>
        <v>#N/A</v>
      </c>
    </row>
    <row r="127">
      <c r="A127" s="4" t="s">
        <v>518</v>
      </c>
      <c r="B127" s="3">
        <v>25062.0</v>
      </c>
      <c r="C127" s="4"/>
      <c r="D127" s="4" t="str">
        <f t="shared" si="1"/>
        <v>AVEC</v>
      </c>
      <c r="E127" s="4" t="str">
        <f t="array" ref="E127">INDEX(consolid1!$I$2:$I$904,MATCH(A127,consolid1!$B$2:$B$904,0))</f>
        <v>#N/A</v>
      </c>
      <c r="F127" s="4" t="str">
        <f t="array" ref="F127">INDEX(consolid1!$G$2:$G1534,MATCH(A127,consolid1!$B$2:$B1534,0))</f>
        <v>#N/A</v>
      </c>
    </row>
    <row r="128">
      <c r="A128" s="4" t="s">
        <v>1262</v>
      </c>
      <c r="B128" s="3">
        <v>25000.0</v>
      </c>
      <c r="C128" s="4"/>
      <c r="D128" s="4" t="str">
        <f t="shared" si="1"/>
        <v>AVEC</v>
      </c>
      <c r="E128" s="4" t="str">
        <f t="array" ref="E128">INDEX(consolid1!$I$2:$I$904,MATCH(A128,consolid1!$B$2:$B$904,0))</f>
        <v>#N/A</v>
      </c>
      <c r="F128" s="4" t="str">
        <f t="array" ref="F128">INDEX(consolid1!$G$2:$G1534,MATCH(A128,consolid1!$B$2:$B1534,0))</f>
        <v>#N/A</v>
      </c>
    </row>
    <row r="129">
      <c r="A129" s="4" t="s">
        <v>1902</v>
      </c>
      <c r="B129" s="3">
        <v>25000.0</v>
      </c>
      <c r="C129" s="4"/>
      <c r="D129" s="4" t="str">
        <f t="shared" si="1"/>
        <v>AVEC</v>
      </c>
      <c r="E129" s="4" t="str">
        <f t="array" ref="E129">INDEX(consolid1!$I$2:$I$904,MATCH(A129,consolid1!$B$2:$B$904,0))</f>
        <v>#N/A</v>
      </c>
      <c r="F129" s="4" t="str">
        <f t="array" ref="F129">INDEX(consolid1!$G$2:$G1534,MATCH(A129,consolid1!$B$2:$B1534,0))</f>
        <v>#N/A</v>
      </c>
    </row>
    <row r="130">
      <c r="A130" s="4" t="s">
        <v>1273</v>
      </c>
      <c r="B130" s="3">
        <v>24500.0</v>
      </c>
      <c r="C130" s="3" t="s">
        <v>3</v>
      </c>
      <c r="D130" s="4" t="str">
        <f t="shared" si="1"/>
        <v>AVEC</v>
      </c>
      <c r="E130" s="4" t="str">
        <f t="array" ref="E130">INDEX(consolid1!$I$2:$I$904,MATCH(A130,consolid1!$B$2:$B$904,0))</f>
        <v>#N/A</v>
      </c>
      <c r="F130" s="4" t="str">
        <f t="array" ref="F130">INDEX(consolid1!$G$2:$G1534,MATCH(A130,consolid1!$B$2:$B1534,0))</f>
        <v>#N/A</v>
      </c>
    </row>
    <row r="131">
      <c r="A131" s="4" t="s">
        <v>935</v>
      </c>
      <c r="B131" s="3">
        <v>23000.0</v>
      </c>
      <c r="C131" s="4"/>
      <c r="D131" s="4" t="str">
        <f t="shared" si="1"/>
        <v>AVEC</v>
      </c>
      <c r="E131" s="4" t="str">
        <f t="array" ref="E131">INDEX(consolid1!$I$2:$I$904,MATCH(A131,consolid1!$B$2:$B$904,0))</f>
        <v>#N/A</v>
      </c>
      <c r="F131" s="4" t="str">
        <f t="array" ref="F131">INDEX(consolid1!$G$2:$G1534,MATCH(A131,consolid1!$B$2:$B1534,0))</f>
        <v>#N/A</v>
      </c>
    </row>
    <row r="132">
      <c r="A132" s="4" t="s">
        <v>1322</v>
      </c>
      <c r="B132" s="3">
        <v>23000.0</v>
      </c>
      <c r="C132" s="3" t="s">
        <v>3</v>
      </c>
      <c r="D132" s="4" t="str">
        <f t="shared" si="1"/>
        <v>AVEC</v>
      </c>
      <c r="E132" s="4" t="str">
        <f t="array" ref="E132">INDEX(consolid1!$I$2:$I$904,MATCH(A132,consolid1!$B$2:$B$904,0))</f>
        <v>Entraide, solidarité, humanitaire</v>
      </c>
      <c r="F132" s="4" t="str">
        <f t="array" ref="F132">INDEX(consolid1!$G$2:$G1534,MATCH(A132,consolid1!$B$2:$B1534,0))</f>
        <v>françoise bouvet</v>
      </c>
    </row>
    <row r="133">
      <c r="A133" s="4" t="s">
        <v>2274</v>
      </c>
      <c r="B133" s="3">
        <v>23000.0</v>
      </c>
      <c r="C133" s="3" t="s">
        <v>37</v>
      </c>
      <c r="D133" s="4" t="str">
        <f t="shared" si="1"/>
        <v>AVEC</v>
      </c>
      <c r="E133" s="4" t="str">
        <f t="array" ref="E133">INDEX(consolid1!$I$2:$I$904,MATCH(A133,consolid1!$B$2:$B$904,0))</f>
        <v>#N/A</v>
      </c>
      <c r="F133" s="4" t="str">
        <f t="array" ref="F133">INDEX(consolid1!$G$2:$G1534,MATCH(A133,consolid1!$B$2:$B1534,0))</f>
        <v>#N/A</v>
      </c>
    </row>
    <row r="134">
      <c r="A134" s="4" t="s">
        <v>2030</v>
      </c>
      <c r="B134" s="3">
        <v>23000.0</v>
      </c>
      <c r="C134" s="3" t="s">
        <v>3</v>
      </c>
      <c r="D134" s="4" t="str">
        <f t="shared" si="1"/>
        <v>AVEC</v>
      </c>
      <c r="E134" s="4" t="str">
        <f t="array" ref="E134">INDEX(consolid1!$I$2:$I$904,MATCH(A134,consolid1!$B$2:$B$904,0))</f>
        <v>#N/A</v>
      </c>
      <c r="F134" s="4" t="str">
        <f t="array" ref="F134">INDEX(consolid1!$G$2:$G1534,MATCH(A134,consolid1!$B$2:$B1534,0))</f>
        <v>#N/A</v>
      </c>
    </row>
    <row r="135">
      <c r="A135" s="4" t="s">
        <v>1423</v>
      </c>
      <c r="B135" s="3">
        <v>22500.0</v>
      </c>
      <c r="C135" s="3" t="s">
        <v>3</v>
      </c>
      <c r="D135" s="4" t="str">
        <f t="shared" si="1"/>
        <v>AVEC</v>
      </c>
      <c r="E135" s="4" t="str">
        <f t="array" ref="E135">INDEX(consolid1!$I$2:$I$904,MATCH(A135,consolid1!$B$2:$B$904,0))</f>
        <v>#N/A</v>
      </c>
      <c r="F135" s="4" t="str">
        <f t="array" ref="F135">INDEX(consolid1!$G$2:$G1534,MATCH(A135,consolid1!$B$2:$B1534,0))</f>
        <v>#N/A</v>
      </c>
    </row>
    <row r="136">
      <c r="A136" s="4" t="s">
        <v>1671</v>
      </c>
      <c r="B136" s="3">
        <v>22500.0</v>
      </c>
      <c r="C136" s="4"/>
      <c r="D136" s="4" t="str">
        <f t="shared" si="1"/>
        <v>AVEC</v>
      </c>
      <c r="E136" s="4" t="str">
        <f t="array" ref="E136">INDEX(consolid1!$I$2:$I$904,MATCH(A136,consolid1!$B$2:$B$904,0))</f>
        <v>#N/A</v>
      </c>
      <c r="F136" s="4" t="str">
        <f t="array" ref="F136">INDEX(consolid1!$G$2:$G1534,MATCH(A136,consolid1!$B$2:$B1534,0))</f>
        <v>#N/A</v>
      </c>
    </row>
    <row r="137">
      <c r="A137" s="4" t="s">
        <v>2071</v>
      </c>
      <c r="B137" s="3">
        <v>22000.0</v>
      </c>
      <c r="C137" s="3" t="s">
        <v>37</v>
      </c>
      <c r="D137" s="4" t="str">
        <f t="shared" si="1"/>
        <v>AVEC</v>
      </c>
      <c r="E137" s="4" t="str">
        <f t="array" ref="E137">INDEX(consolid1!$I$2:$I$904,MATCH(A137,consolid1!$B$2:$B$904,0))</f>
        <v>#N/A</v>
      </c>
      <c r="F137" s="4" t="str">
        <f t="array" ref="F137">INDEX(consolid1!$G$2:$G1534,MATCH(A137,consolid1!$B$2:$B1534,0))</f>
        <v>#N/A</v>
      </c>
    </row>
    <row r="138">
      <c r="A138" s="4" t="s">
        <v>53</v>
      </c>
      <c r="B138" s="3">
        <v>22000.0</v>
      </c>
      <c r="C138" s="4"/>
      <c r="D138" s="4" t="str">
        <f t="shared" si="1"/>
        <v>AVEC</v>
      </c>
      <c r="E138" s="4" t="str">
        <f t="array" ref="E138">INDEX(consolid1!$I$2:$I$904,MATCH(A138,consolid1!$B$2:$B$904,0))</f>
        <v>#N/A</v>
      </c>
      <c r="F138" s="4" t="str">
        <f t="array" ref="F138">INDEX(consolid1!$G$2:$G1534,MATCH(A138,consolid1!$B$2:$B1534,0))</f>
        <v>#N/A</v>
      </c>
    </row>
    <row r="139">
      <c r="A139" s="4" t="s">
        <v>1336</v>
      </c>
      <c r="B139" s="3">
        <v>22000.0</v>
      </c>
      <c r="C139" s="4"/>
      <c r="D139" s="4" t="str">
        <f t="shared" si="1"/>
        <v>AVEC</v>
      </c>
      <c r="E139" s="4" t="str">
        <f t="array" ref="E139">INDEX(consolid1!$I$2:$I$904,MATCH(A139,consolid1!$B$2:$B$904,0))</f>
        <v>#N/A</v>
      </c>
      <c r="F139" s="4" t="str">
        <f t="array" ref="F139">INDEX(consolid1!$G$2:$G1534,MATCH(A139,consolid1!$B$2:$B1534,0))</f>
        <v>#N/A</v>
      </c>
    </row>
    <row r="140">
      <c r="A140" s="4" t="s">
        <v>1739</v>
      </c>
      <c r="B140" s="3">
        <v>22000.0</v>
      </c>
      <c r="C140" s="3" t="s">
        <v>484</v>
      </c>
      <c r="D140" s="4" t="str">
        <f t="shared" si="1"/>
        <v>AVEC</v>
      </c>
      <c r="E140" s="4" t="str">
        <f t="array" ref="E140">INDEX(consolid1!$I$2:$I$904,MATCH(A140,consolid1!$B$2:$B$904,0))</f>
        <v>#N/A</v>
      </c>
      <c r="F140" s="4" t="str">
        <f t="array" ref="F140">INDEX(consolid1!$G$2:$G1534,MATCH(A140,consolid1!$B$2:$B1534,0))</f>
        <v>#N/A</v>
      </c>
    </row>
    <row r="141">
      <c r="A141" s="4" t="s">
        <v>639</v>
      </c>
      <c r="B141" s="3">
        <v>21600.0</v>
      </c>
      <c r="C141" s="3" t="s">
        <v>3</v>
      </c>
      <c r="D141" s="4" t="str">
        <f t="shared" si="1"/>
        <v>AVEC</v>
      </c>
      <c r="E141" s="4" t="str">
        <f t="array" ref="E141">INDEX(consolid1!$I$2:$I$904,MATCH(A141,consolid1!$B$2:$B$904,0))</f>
        <v>Emploi, insertion professionnelle, formation</v>
      </c>
      <c r="F141" s="4" t="str">
        <f t="array" ref="F141">INDEX(consolid1!$G$2:$G1534,MATCH(A141,consolid1!$B$2:$B1534,0))</f>
        <v>Alexandre de Roumefort</v>
      </c>
    </row>
    <row r="142">
      <c r="A142" s="4" t="s">
        <v>1992</v>
      </c>
      <c r="B142" s="3">
        <v>21500.0</v>
      </c>
      <c r="C142" s="4"/>
      <c r="D142" s="4" t="str">
        <f t="shared" si="1"/>
        <v>AVEC</v>
      </c>
      <c r="E142" s="4" t="str">
        <f t="array" ref="E142">INDEX(consolid1!$I$2:$I$904,MATCH(A142,consolid1!$B$2:$B$904,0))</f>
        <v>#N/A</v>
      </c>
      <c r="F142" s="4" t="str">
        <f t="array" ref="F142">INDEX(consolid1!$G$2:$G1534,MATCH(A142,consolid1!$B$2:$B1534,0))</f>
        <v>#N/A</v>
      </c>
    </row>
    <row r="143">
      <c r="A143" s="4" t="s">
        <v>1718</v>
      </c>
      <c r="B143" s="3">
        <v>21350.0</v>
      </c>
      <c r="C143" s="3" t="s">
        <v>32</v>
      </c>
      <c r="D143" s="4" t="str">
        <f t="shared" si="1"/>
        <v>AVEC</v>
      </c>
      <c r="E143" s="4" t="str">
        <f t="array" ref="E143">INDEX(consolid1!$I$2:$I$904,MATCH(A143,consolid1!$B$2:$B$904,0))</f>
        <v>#N/A</v>
      </c>
      <c r="F143" s="4" t="str">
        <f t="array" ref="F143">INDEX(consolid1!$G$2:$G1534,MATCH(A143,consolid1!$B$2:$B1534,0))</f>
        <v>#N/A</v>
      </c>
    </row>
    <row r="144">
      <c r="A144" s="4" t="s">
        <v>2089</v>
      </c>
      <c r="B144" s="3">
        <v>21000.0</v>
      </c>
      <c r="C144" s="3" t="s">
        <v>32</v>
      </c>
      <c r="D144" s="4" t="str">
        <f t="shared" si="1"/>
        <v>AVEC</v>
      </c>
      <c r="E144" s="4" t="str">
        <f t="array" ref="E144">INDEX(consolid1!$I$2:$I$904,MATCH(A144,consolid1!$B$2:$B$904,0))</f>
        <v>#N/A</v>
      </c>
      <c r="F144" s="4" t="str">
        <f t="array" ref="F144">INDEX(consolid1!$G$2:$G1534,MATCH(A144,consolid1!$B$2:$B1534,0))</f>
        <v>#N/A</v>
      </c>
    </row>
    <row r="145">
      <c r="A145" s="4" t="s">
        <v>666</v>
      </c>
      <c r="B145" s="3">
        <v>21000.0</v>
      </c>
      <c r="C145" s="4"/>
      <c r="D145" s="4" t="str">
        <f t="shared" si="1"/>
        <v>AVEC</v>
      </c>
      <c r="E145" s="4" t="str">
        <f t="array" ref="E145">INDEX(consolid1!$I$2:$I$904,MATCH(A145,consolid1!$B$2:$B$904,0))</f>
        <v>#N/A</v>
      </c>
      <c r="F145" s="4" t="str">
        <f t="array" ref="F145">INDEX(consolid1!$G$2:$G1534,MATCH(A145,consolid1!$B$2:$B1534,0))</f>
        <v>#N/A</v>
      </c>
    </row>
    <row r="146">
      <c r="A146" s="4" t="s">
        <v>1246</v>
      </c>
      <c r="B146" s="3">
        <v>21000.0</v>
      </c>
      <c r="C146" s="4"/>
      <c r="D146" s="4" t="str">
        <f t="shared" si="1"/>
        <v>AVEC</v>
      </c>
      <c r="E146" s="4" t="str">
        <f t="array" ref="E146">INDEX(consolid1!$I$2:$I$904,MATCH(A146,consolid1!$B$2:$B$904,0))</f>
        <v>#N/A</v>
      </c>
      <c r="F146" s="4" t="str">
        <f t="array" ref="F146">INDEX(consolid1!$G$2:$G1534,MATCH(A146,consolid1!$B$2:$B1534,0))</f>
        <v>#N/A</v>
      </c>
    </row>
    <row r="147">
      <c r="A147" s="4" t="s">
        <v>1637</v>
      </c>
      <c r="B147" s="3">
        <v>20686.0</v>
      </c>
      <c r="C147" s="4"/>
      <c r="D147" s="4" t="str">
        <f t="shared" si="1"/>
        <v>AVEC</v>
      </c>
      <c r="E147" s="4" t="str">
        <f t="array" ref="E147">INDEX(consolid1!$I$2:$I$904,MATCH(A147,consolid1!$B$2:$B$904,0))</f>
        <v>null</v>
      </c>
      <c r="F147" s="4" t="str">
        <f t="array" ref="F147">INDEX(consolid1!$G$2:$G1534,MATCH(A147,consolid1!$B$2:$B1534,0))</f>
        <v>null</v>
      </c>
    </row>
    <row r="148">
      <c r="A148" s="4" t="s">
        <v>751</v>
      </c>
      <c r="B148" s="3">
        <v>20500.0</v>
      </c>
      <c r="C148" s="3" t="s">
        <v>280</v>
      </c>
      <c r="D148" s="4" t="str">
        <f t="shared" si="1"/>
        <v>AVEC</v>
      </c>
      <c r="E148" s="4" t="str">
        <f t="array" ref="E148">INDEX(consolid1!$I$2:$I$904,MATCH(A148,consolid1!$B$2:$B$904,0))</f>
        <v>#N/A</v>
      </c>
      <c r="F148" s="4" t="str">
        <f t="array" ref="F148">INDEX(consolid1!$G$2:$G1534,MATCH(A148,consolid1!$B$2:$B1534,0))</f>
        <v>#N/A</v>
      </c>
    </row>
    <row r="149">
      <c r="A149" s="4" t="s">
        <v>2215</v>
      </c>
      <c r="B149" s="3">
        <v>20500.0</v>
      </c>
      <c r="C149" s="3" t="s">
        <v>37</v>
      </c>
      <c r="D149" s="4" t="str">
        <f t="shared" si="1"/>
        <v>AVEC</v>
      </c>
      <c r="E149" s="4" t="str">
        <f t="array" ref="E149">INDEX(consolid1!$I$2:$I$904,MATCH(A149,consolid1!$B$2:$B$904,0))</f>
        <v>#N/A</v>
      </c>
      <c r="F149" s="4" t="str">
        <f t="array" ref="F149">INDEX(consolid1!$G$2:$G1534,MATCH(A149,consolid1!$B$2:$B1534,0))</f>
        <v>#N/A</v>
      </c>
    </row>
    <row r="150">
      <c r="A150" s="4" t="s">
        <v>82</v>
      </c>
      <c r="B150" s="3">
        <v>20060.0</v>
      </c>
      <c r="C150" s="4"/>
      <c r="D150" s="4" t="str">
        <f t="shared" si="1"/>
        <v>AVEC</v>
      </c>
      <c r="E150" s="4" t="str">
        <f t="array" ref="E150">INDEX(consolid1!$I$2:$I$904,MATCH(A150,consolid1!$B$2:$B$904,0))</f>
        <v>#N/A</v>
      </c>
      <c r="F150" s="4" t="str">
        <f t="array" ref="F150">INDEX(consolid1!$G$2:$G1534,MATCH(A150,consolid1!$B$2:$B1534,0))</f>
        <v>#N/A</v>
      </c>
    </row>
    <row r="151">
      <c r="A151" s="4" t="s">
        <v>2328</v>
      </c>
      <c r="B151" s="3">
        <v>19500.0</v>
      </c>
      <c r="C151" s="3" t="s">
        <v>6</v>
      </c>
      <c r="D151" s="4" t="str">
        <f t="shared" si="1"/>
        <v>AVEC</v>
      </c>
      <c r="E151" s="4" t="str">
        <f t="array" ref="E151">INDEX(consolid1!$I$2:$I$904,MATCH(A151,consolid1!$B$2:$B$904,0))</f>
        <v>#N/A</v>
      </c>
      <c r="F151" s="4" t="str">
        <f t="array" ref="F151">INDEX(consolid1!$G$2:$G1534,MATCH(A151,consolid1!$B$2:$B1534,0))</f>
        <v>#N/A</v>
      </c>
    </row>
    <row r="152">
      <c r="A152" s="4" t="s">
        <v>14</v>
      </c>
      <c r="B152" s="3">
        <v>19000.0</v>
      </c>
      <c r="C152" s="3" t="s">
        <v>16</v>
      </c>
      <c r="D152" s="4" t="str">
        <f t="shared" si="1"/>
        <v>AVEC</v>
      </c>
      <c r="E152" s="4" t="str">
        <f t="array" ref="E152">INDEX(consolid1!$I$2:$I$904,MATCH(A152,consolid1!$B$2:$B$904,0))</f>
        <v>#N/A</v>
      </c>
      <c r="F152" s="4" t="str">
        <f t="array" ref="F152">INDEX(consolid1!$G$2:$G1534,MATCH(A152,consolid1!$B$2:$B1534,0))</f>
        <v>#N/A</v>
      </c>
    </row>
    <row r="153">
      <c r="A153" s="4" t="s">
        <v>790</v>
      </c>
      <c r="B153" s="3">
        <v>19000.0</v>
      </c>
      <c r="C153" s="4"/>
      <c r="D153" s="4" t="str">
        <f t="shared" si="1"/>
        <v>AVEC</v>
      </c>
      <c r="E153" s="4" t="str">
        <f t="array" ref="E153">INDEX(consolid1!$I$2:$I$904,MATCH(A153,consolid1!$B$2:$B$904,0))</f>
        <v>#N/A</v>
      </c>
      <c r="F153" s="4" t="str">
        <f t="array" ref="F153">INDEX(consolid1!$G$2:$G1534,MATCH(A153,consolid1!$B$2:$B1534,0))</f>
        <v>#N/A</v>
      </c>
    </row>
    <row r="154">
      <c r="A154" s="4" t="s">
        <v>1859</v>
      </c>
      <c r="B154" s="3">
        <v>19000.0</v>
      </c>
      <c r="C154" s="4"/>
      <c r="D154" s="4" t="str">
        <f t="shared" si="1"/>
        <v>AVEC</v>
      </c>
      <c r="E154" s="4" t="str">
        <f t="array" ref="E154">INDEX(consolid1!$I$2:$I$904,MATCH(A154,consolid1!$B$2:$B$904,0))</f>
        <v>#N/A</v>
      </c>
      <c r="F154" s="4" t="str">
        <f t="array" ref="F154">INDEX(consolid1!$G$2:$G1534,MATCH(A154,consolid1!$B$2:$B1534,0))</f>
        <v>#N/A</v>
      </c>
    </row>
    <row r="155">
      <c r="A155" s="4" t="s">
        <v>1421</v>
      </c>
      <c r="B155" s="3">
        <v>18800.0</v>
      </c>
      <c r="C155" s="3" t="s">
        <v>6</v>
      </c>
      <c r="D155" s="4" t="str">
        <f t="shared" si="1"/>
        <v>AVEC</v>
      </c>
      <c r="E155" s="4" t="str">
        <f t="array" ref="E155">INDEX(consolid1!$I$2:$I$904,MATCH(A155,consolid1!$B$2:$B$904,0))</f>
        <v>#N/A</v>
      </c>
      <c r="F155" s="4" t="str">
        <f t="array" ref="F155">INDEX(consolid1!$G$2:$G1534,MATCH(A155,consolid1!$B$2:$B1534,0))</f>
        <v>#N/A</v>
      </c>
    </row>
    <row r="156">
      <c r="A156" s="4" t="s">
        <v>1604</v>
      </c>
      <c r="B156" s="3">
        <v>17528.0</v>
      </c>
      <c r="C156" s="4"/>
      <c r="D156" s="4" t="str">
        <f t="shared" si="1"/>
        <v>AVEC</v>
      </c>
      <c r="E156" s="4" t="str">
        <f t="array" ref="E156">INDEX(consolid1!$I$2:$I$904,MATCH(A156,consolid1!$B$2:$B$904,0))</f>
        <v>null</v>
      </c>
      <c r="F156" s="4" t="str">
        <f t="array" ref="F156">INDEX(consolid1!$G$2:$G1534,MATCH(A156,consolid1!$B$2:$B1534,0))</f>
        <v>null</v>
      </c>
    </row>
    <row r="157">
      <c r="A157" s="4" t="s">
        <v>929</v>
      </c>
      <c r="B157" s="3">
        <v>17500.0</v>
      </c>
      <c r="C157" s="4"/>
      <c r="D157" s="4" t="str">
        <f t="shared" si="1"/>
        <v>AVEC</v>
      </c>
      <c r="E157" s="4" t="str">
        <f t="array" ref="E157">INDEX(consolid1!$I$2:$I$904,MATCH(A157,consolid1!$B$2:$B$904,0))</f>
        <v>#N/A</v>
      </c>
      <c r="F157" s="4" t="str">
        <f t="array" ref="F157">INDEX(consolid1!$G$2:$G1534,MATCH(A157,consolid1!$B$2:$B1534,0))</f>
        <v>#N/A</v>
      </c>
    </row>
    <row r="158">
      <c r="A158" s="4" t="s">
        <v>937</v>
      </c>
      <c r="B158" s="3">
        <v>17000.0</v>
      </c>
      <c r="C158" s="4"/>
      <c r="D158" s="4" t="str">
        <f t="shared" si="1"/>
        <v>AVEC</v>
      </c>
      <c r="E158" s="4" t="str">
        <f t="array" ref="E158">INDEX(consolid1!$I$2:$I$904,MATCH(A158,consolid1!$B$2:$B$904,0))</f>
        <v>#N/A</v>
      </c>
      <c r="F158" s="4" t="str">
        <f t="array" ref="F158">INDEX(consolid1!$G$2:$G1534,MATCH(A158,consolid1!$B$2:$B1534,0))</f>
        <v>#N/A</v>
      </c>
    </row>
    <row r="159">
      <c r="A159" s="4" t="s">
        <v>1624</v>
      </c>
      <c r="B159" s="3">
        <v>17000.0</v>
      </c>
      <c r="C159" s="4"/>
      <c r="D159" s="4" t="str">
        <f t="shared" si="1"/>
        <v>AVEC</v>
      </c>
      <c r="E159" s="4" t="str">
        <f t="array" ref="E159">INDEX(consolid1!$I$2:$I$904,MATCH(A159,consolid1!$B$2:$B$904,0))</f>
        <v>#N/A</v>
      </c>
      <c r="F159" s="4" t="str">
        <f t="array" ref="F159">INDEX(consolid1!$G$2:$G1534,MATCH(A159,consolid1!$B$2:$B1534,0))</f>
        <v>#N/A</v>
      </c>
    </row>
    <row r="160">
      <c r="A160" s="4" t="s">
        <v>2022</v>
      </c>
      <c r="B160" s="3">
        <v>17000.0</v>
      </c>
      <c r="C160" s="3" t="s">
        <v>32</v>
      </c>
      <c r="D160" s="4" t="str">
        <f t="shared" si="1"/>
        <v>AVEC</v>
      </c>
      <c r="E160" s="4" t="str">
        <f t="array" ref="E160">INDEX(consolid1!$I$2:$I$904,MATCH(A160,consolid1!$B$2:$B$904,0))</f>
        <v>#N/A</v>
      </c>
      <c r="F160" s="4" t="str">
        <f t="array" ref="F160">INDEX(consolid1!$G$2:$G1534,MATCH(A160,consolid1!$B$2:$B1534,0))</f>
        <v>#N/A</v>
      </c>
    </row>
    <row r="161">
      <c r="A161" s="4" t="s">
        <v>1811</v>
      </c>
      <c r="B161" s="3">
        <v>16770.0</v>
      </c>
      <c r="C161" s="3" t="s">
        <v>3</v>
      </c>
      <c r="D161" s="4" t="str">
        <f t="shared" si="1"/>
        <v>AVEC</v>
      </c>
      <c r="E161" s="4" t="str">
        <f t="array" ref="E161">INDEX(consolid1!$I$2:$I$904,MATCH(A161,consolid1!$B$2:$B$904,0))</f>
        <v>#N/A</v>
      </c>
      <c r="F161" s="4" t="str">
        <f t="array" ref="F161">INDEX(consolid1!$G$2:$G1534,MATCH(A161,consolid1!$B$2:$B1534,0))</f>
        <v>#N/A</v>
      </c>
    </row>
    <row r="162">
      <c r="A162" s="4" t="s">
        <v>2049</v>
      </c>
      <c r="B162" s="3">
        <v>16628.76</v>
      </c>
      <c r="C162" s="4"/>
      <c r="D162" s="4" t="str">
        <f t="shared" si="1"/>
        <v>AVEC</v>
      </c>
      <c r="E162" s="4" t="str">
        <f t="array" ref="E162">INDEX(consolid1!$I$2:$I$904,MATCH(A162,consolid1!$B$2:$B$904,0))</f>
        <v>#N/A</v>
      </c>
      <c r="F162" s="4" t="str">
        <f t="array" ref="F162">INDEX(consolid1!$G$2:$G1534,MATCH(A162,consolid1!$B$2:$B1534,0))</f>
        <v>#N/A</v>
      </c>
    </row>
    <row r="163">
      <c r="A163" s="4" t="s">
        <v>939</v>
      </c>
      <c r="B163" s="3">
        <v>16000.0</v>
      </c>
      <c r="C163" s="4"/>
      <c r="D163" s="4" t="str">
        <f t="shared" si="1"/>
        <v>AVEC</v>
      </c>
      <c r="E163" s="4" t="str">
        <f t="array" ref="E163">INDEX(consolid1!$I$2:$I$904,MATCH(A163,consolid1!$B$2:$B$904,0))</f>
        <v>#N/A</v>
      </c>
      <c r="F163" s="4" t="str">
        <f t="array" ref="F163">INDEX(consolid1!$G$2:$G1534,MATCH(A163,consolid1!$B$2:$B1534,0))</f>
        <v>#N/A</v>
      </c>
    </row>
    <row r="164">
      <c r="A164" s="4" t="s">
        <v>2250</v>
      </c>
      <c r="B164" s="3">
        <v>16000.0</v>
      </c>
      <c r="C164" s="3" t="s">
        <v>6</v>
      </c>
      <c r="D164" s="4" t="str">
        <f t="shared" si="1"/>
        <v>AVEC</v>
      </c>
      <c r="E164" s="4" t="str">
        <f t="array" ref="E164">INDEX(consolid1!$I$2:$I$904,MATCH(A164,consolid1!$B$2:$B$904,0))</f>
        <v>#N/A</v>
      </c>
      <c r="F164" s="4" t="str">
        <f t="array" ref="F164">INDEX(consolid1!$G$2:$G1534,MATCH(A164,consolid1!$B$2:$B1534,0))</f>
        <v>#N/A</v>
      </c>
    </row>
    <row r="165">
      <c r="A165" s="4" t="s">
        <v>1194</v>
      </c>
      <c r="B165" s="3">
        <v>16000.0</v>
      </c>
      <c r="C165" s="4"/>
      <c r="D165" s="4" t="str">
        <f t="shared" si="1"/>
        <v>AVEC</v>
      </c>
      <c r="E165" s="4" t="str">
        <f t="array" ref="E165">INDEX(consolid1!$I$2:$I$904,MATCH(A165,consolid1!$B$2:$B$904,0))</f>
        <v>#N/A</v>
      </c>
      <c r="F165" s="4" t="str">
        <f t="array" ref="F165">INDEX(consolid1!$G$2:$G1534,MATCH(A165,consolid1!$B$2:$B1534,0))</f>
        <v>#N/A</v>
      </c>
    </row>
    <row r="166">
      <c r="A166" s="4" t="s">
        <v>1315</v>
      </c>
      <c r="B166" s="3">
        <v>16000.0</v>
      </c>
      <c r="C166" s="3" t="s">
        <v>3</v>
      </c>
      <c r="D166" s="4" t="str">
        <f t="shared" si="1"/>
        <v>AVEC</v>
      </c>
      <c r="E166" s="4" t="str">
        <f t="array" ref="E166">INDEX(consolid1!$I$2:$I$904,MATCH(A166,consolid1!$B$2:$B$904,0))</f>
        <v>#N/A</v>
      </c>
      <c r="F166" s="4" t="str">
        <f t="array" ref="F166">INDEX(consolid1!$G$2:$G1534,MATCH(A166,consolid1!$B$2:$B1534,0))</f>
        <v>#N/A</v>
      </c>
    </row>
    <row r="167">
      <c r="A167" s="4" t="s">
        <v>2051</v>
      </c>
      <c r="B167" s="3">
        <v>15920.46</v>
      </c>
      <c r="C167" s="4"/>
      <c r="D167" s="4" t="str">
        <f t="shared" si="1"/>
        <v>AVEC</v>
      </c>
      <c r="E167" s="4" t="str">
        <f t="array" ref="E167">INDEX(consolid1!$I$2:$I$904,MATCH(A167,consolid1!$B$2:$B$904,0))</f>
        <v>#N/A</v>
      </c>
      <c r="F167" s="4" t="str">
        <f t="array" ref="F167">INDEX(consolid1!$G$2:$G1534,MATCH(A167,consolid1!$B$2:$B1534,0))</f>
        <v>#N/A</v>
      </c>
    </row>
    <row r="168">
      <c r="A168" s="4" t="s">
        <v>811</v>
      </c>
      <c r="B168" s="3">
        <v>15800.0</v>
      </c>
      <c r="C168" s="3" t="s">
        <v>6</v>
      </c>
      <c r="D168" s="4" t="str">
        <f t="shared" si="1"/>
        <v>AVEC</v>
      </c>
      <c r="E168" s="4" t="str">
        <f t="array" ref="E168">INDEX(consolid1!$I$2:$I$904,MATCH(A168,consolid1!$B$2:$B$904,0))</f>
        <v>#N/A</v>
      </c>
      <c r="F168" s="4" t="str">
        <f t="array" ref="F168">INDEX(consolid1!$G$2:$G1534,MATCH(A168,consolid1!$B$2:$B1534,0))</f>
        <v>#N/A</v>
      </c>
    </row>
    <row r="169">
      <c r="A169" s="4" t="s">
        <v>278</v>
      </c>
      <c r="B169" s="3">
        <v>15500.0</v>
      </c>
      <c r="C169" s="3" t="s">
        <v>280</v>
      </c>
      <c r="D169" s="4" t="str">
        <f t="shared" si="1"/>
        <v>AVEC</v>
      </c>
      <c r="E169" s="4" t="str">
        <f t="array" ref="E169">INDEX(consolid1!$I$2:$I$904,MATCH(A169,consolid1!$B$2:$B$904,0))</f>
        <v>#N/A</v>
      </c>
      <c r="F169" s="4" t="str">
        <f t="array" ref="F169">INDEX(consolid1!$G$2:$G1534,MATCH(A169,consolid1!$B$2:$B1534,0))</f>
        <v>#N/A</v>
      </c>
    </row>
    <row r="170">
      <c r="A170" s="4" t="s">
        <v>1096</v>
      </c>
      <c r="B170" s="3">
        <v>15500.0</v>
      </c>
      <c r="C170" s="3" t="s">
        <v>3</v>
      </c>
      <c r="D170" s="4" t="str">
        <f t="shared" si="1"/>
        <v>AVEC</v>
      </c>
      <c r="E170" s="4" t="str">
        <f t="array" ref="E170">INDEX(consolid1!$I$2:$I$904,MATCH(A170,consolid1!$B$2:$B$904,0))</f>
        <v>#N/A</v>
      </c>
      <c r="F170" s="4" t="str">
        <f t="array" ref="F170">INDEX(consolid1!$G$2:$G1534,MATCH(A170,consolid1!$B$2:$B1534,0))</f>
        <v>#N/A</v>
      </c>
    </row>
    <row r="171">
      <c r="A171" s="4" t="s">
        <v>203</v>
      </c>
      <c r="B171" s="3">
        <v>15280.0</v>
      </c>
      <c r="C171" s="4"/>
      <c r="D171" s="4" t="str">
        <f t="shared" si="1"/>
        <v>AVEC</v>
      </c>
      <c r="E171" s="4" t="str">
        <f t="array" ref="E171">INDEX(consolid1!$I$2:$I$904,MATCH(A171,consolid1!$B$2:$B$904,0))</f>
        <v>#N/A</v>
      </c>
      <c r="F171" s="4" t="str">
        <f t="array" ref="F171">INDEX(consolid1!$G$2:$G1534,MATCH(A171,consolid1!$B$2:$B1534,0))</f>
        <v>#N/A</v>
      </c>
    </row>
    <row r="172">
      <c r="A172" s="4" t="s">
        <v>145</v>
      </c>
      <c r="B172" s="3">
        <v>15000.0</v>
      </c>
      <c r="C172" s="4"/>
      <c r="D172" s="4" t="str">
        <f t="shared" si="1"/>
        <v>AVEC</v>
      </c>
      <c r="E172" s="4" t="str">
        <f t="array" ref="E172">INDEX(consolid1!$I$2:$I$904,MATCH(A172,consolid1!$B$2:$B$904,0))</f>
        <v>#N/A</v>
      </c>
      <c r="F172" s="4" t="str">
        <f t="array" ref="F172">INDEX(consolid1!$G$2:$G1534,MATCH(A172,consolid1!$B$2:$B1534,0))</f>
        <v>#N/A</v>
      </c>
    </row>
    <row r="173">
      <c r="A173" s="4" t="s">
        <v>687</v>
      </c>
      <c r="B173" s="3">
        <v>15000.0</v>
      </c>
      <c r="C173" s="3" t="s">
        <v>6</v>
      </c>
      <c r="D173" s="4" t="str">
        <f t="shared" si="1"/>
        <v>AVEC</v>
      </c>
      <c r="E173" s="4" t="str">
        <f t="array" ref="E173">INDEX(consolid1!$I$2:$I$904,MATCH(A173,consolid1!$B$2:$B$904,0))</f>
        <v>#N/A</v>
      </c>
      <c r="F173" s="4" t="str">
        <f t="array" ref="F173">INDEX(consolid1!$G$2:$G1534,MATCH(A173,consolid1!$B$2:$B1534,0))</f>
        <v>#N/A</v>
      </c>
    </row>
    <row r="174">
      <c r="A174" s="4" t="s">
        <v>715</v>
      </c>
      <c r="B174" s="3">
        <v>15000.0</v>
      </c>
      <c r="C174" s="4"/>
      <c r="D174" s="4" t="str">
        <f t="shared" si="1"/>
        <v>AVEC</v>
      </c>
      <c r="E174" s="4" t="str">
        <f t="array" ref="E174">INDEX(consolid1!$I$2:$I$904,MATCH(A174,consolid1!$B$2:$B$904,0))</f>
        <v>#N/A</v>
      </c>
      <c r="F174" s="4" t="str">
        <f t="array" ref="F174">INDEX(consolid1!$G$2:$G1534,MATCH(A174,consolid1!$B$2:$B1534,0))</f>
        <v>#N/A</v>
      </c>
    </row>
    <row r="175">
      <c r="A175" s="4" t="s">
        <v>2231</v>
      </c>
      <c r="B175" s="3">
        <v>15000.0</v>
      </c>
      <c r="C175" s="3" t="s">
        <v>3</v>
      </c>
      <c r="D175" s="4" t="str">
        <f t="shared" si="1"/>
        <v>AVEC</v>
      </c>
      <c r="E175" s="4" t="str">
        <f t="array" ref="E175">INDEX(consolid1!$I$2:$I$904,MATCH(A175,consolid1!$B$2:$B$904,0))</f>
        <v>#N/A</v>
      </c>
      <c r="F175" s="4" t="str">
        <f t="array" ref="F175">INDEX(consolid1!$G$2:$G1534,MATCH(A175,consolid1!$B$2:$B1534,0))</f>
        <v>#N/A</v>
      </c>
    </row>
    <row r="176">
      <c r="A176" s="4" t="s">
        <v>2241</v>
      </c>
      <c r="B176" s="3">
        <v>15000.0</v>
      </c>
      <c r="C176" s="3" t="s">
        <v>3</v>
      </c>
      <c r="D176" s="4" t="str">
        <f t="shared" si="1"/>
        <v>AVEC</v>
      </c>
      <c r="E176" s="4" t="str">
        <f t="array" ref="E176">INDEX(consolid1!$I$2:$I$904,MATCH(A176,consolid1!$B$2:$B$904,0))</f>
        <v>#N/A</v>
      </c>
      <c r="F176" s="4" t="str">
        <f t="array" ref="F176">INDEX(consolid1!$G$2:$G1534,MATCH(A176,consolid1!$B$2:$B1534,0))</f>
        <v>#N/A</v>
      </c>
    </row>
    <row r="177">
      <c r="A177" s="4" t="s">
        <v>1145</v>
      </c>
      <c r="B177" s="3">
        <v>15000.0</v>
      </c>
      <c r="C177" s="3" t="s">
        <v>668</v>
      </c>
      <c r="D177" s="4" t="str">
        <f t="shared" si="1"/>
        <v>AVEC</v>
      </c>
      <c r="E177" s="4" t="str">
        <f t="array" ref="E177">INDEX(consolid1!$I$2:$I$904,MATCH(A177,consolid1!$B$2:$B$904,0))</f>
        <v>#N/A</v>
      </c>
      <c r="F177" s="4" t="str">
        <f t="array" ref="F177">INDEX(consolid1!$G$2:$G1534,MATCH(A177,consolid1!$B$2:$B1534,0))</f>
        <v>#N/A</v>
      </c>
    </row>
    <row r="178">
      <c r="A178" s="4" t="s">
        <v>1358</v>
      </c>
      <c r="B178" s="3">
        <v>15000.0</v>
      </c>
      <c r="C178" s="3" t="s">
        <v>32</v>
      </c>
      <c r="D178" s="4" t="str">
        <f t="shared" si="1"/>
        <v>AVEC</v>
      </c>
      <c r="E178" s="4" t="str">
        <f t="array" ref="E178">INDEX(consolid1!$I$2:$I$904,MATCH(A178,consolid1!$B$2:$B$904,0))</f>
        <v>#N/A</v>
      </c>
      <c r="F178" s="4" t="str">
        <f t="array" ref="F178">INDEX(consolid1!$G$2:$G1534,MATCH(A178,consolid1!$B$2:$B1534,0))</f>
        <v>#N/A</v>
      </c>
    </row>
    <row r="179">
      <c r="A179" s="4" t="s">
        <v>1932</v>
      </c>
      <c r="B179" s="3">
        <v>15000.0</v>
      </c>
      <c r="C179" s="4"/>
      <c r="D179" s="4" t="str">
        <f t="shared" si="1"/>
        <v>AVEC</v>
      </c>
      <c r="E179" s="4" t="str">
        <f t="array" ref="E179">INDEX(consolid1!$I$2:$I$904,MATCH(A179,consolid1!$B$2:$B$904,0))</f>
        <v>#N/A</v>
      </c>
      <c r="F179" s="4" t="str">
        <f t="array" ref="F179">INDEX(consolid1!$G$2:$G1534,MATCH(A179,consolid1!$B$2:$B1534,0))</f>
        <v>#N/A</v>
      </c>
    </row>
    <row r="180">
      <c r="A180" s="4" t="s">
        <v>757</v>
      </c>
      <c r="B180" s="3">
        <v>14800.0</v>
      </c>
      <c r="C180" s="4"/>
      <c r="D180" s="4" t="str">
        <f t="shared" si="1"/>
        <v>AVEC</v>
      </c>
      <c r="E180" s="4" t="str">
        <f t="array" ref="E180">INDEX(consolid1!$I$2:$I$904,MATCH(A180,consolid1!$B$2:$B$904,0))</f>
        <v>#N/A</v>
      </c>
      <c r="F180" s="4" t="str">
        <f t="array" ref="F180">INDEX(consolid1!$G$2:$G1534,MATCH(A180,consolid1!$B$2:$B1534,0))</f>
        <v>#N/A</v>
      </c>
    </row>
    <row r="181">
      <c r="A181" s="4" t="s">
        <v>1063</v>
      </c>
      <c r="B181" s="3">
        <v>14800.0</v>
      </c>
      <c r="C181" s="4"/>
      <c r="D181" s="4" t="str">
        <f t="shared" si="1"/>
        <v>AVEC</v>
      </c>
      <c r="E181" s="4" t="str">
        <f t="array" ref="E181">INDEX(consolid1!$I$2:$I$904,MATCH(A181,consolid1!$B$2:$B$904,0))</f>
        <v>null</v>
      </c>
      <c r="F181" s="4" t="str">
        <f t="array" ref="F181">INDEX(consolid1!$G$2:$G1534,MATCH(A181,consolid1!$B$2:$B1534,0))</f>
        <v>null</v>
      </c>
    </row>
    <row r="182">
      <c r="A182" s="4" t="s">
        <v>1566</v>
      </c>
      <c r="B182" s="3">
        <v>14653.49</v>
      </c>
      <c r="C182" s="3" t="s">
        <v>32</v>
      </c>
      <c r="D182" s="4" t="str">
        <f t="shared" si="1"/>
        <v>AVEC</v>
      </c>
      <c r="E182" s="4" t="str">
        <f t="array" ref="E182">INDEX(consolid1!$I$2:$I$904,MATCH(A182,consolid1!$B$2:$B$904,0))</f>
        <v>#N/A</v>
      </c>
      <c r="F182" s="4" t="str">
        <f t="array" ref="F182">INDEX(consolid1!$G$2:$G1534,MATCH(A182,consolid1!$B$2:$B1534,0))</f>
        <v>#N/A</v>
      </c>
    </row>
    <row r="183">
      <c r="A183" s="4" t="s">
        <v>663</v>
      </c>
      <c r="B183" s="3">
        <v>14500.0</v>
      </c>
      <c r="C183" s="3" t="s">
        <v>176</v>
      </c>
      <c r="D183" s="4" t="str">
        <f t="shared" si="1"/>
        <v>AVEC</v>
      </c>
      <c r="E183" s="4" t="str">
        <f t="array" ref="E183">INDEX(consolid1!$I$2:$I$904,MATCH(A183,consolid1!$B$2:$B$904,0))</f>
        <v>#N/A</v>
      </c>
      <c r="F183" s="4" t="str">
        <f t="array" ref="F183">INDEX(consolid1!$G$2:$G1534,MATCH(A183,consolid1!$B$2:$B1534,0))</f>
        <v>#N/A</v>
      </c>
    </row>
    <row r="184">
      <c r="A184" s="4" t="s">
        <v>1039</v>
      </c>
      <c r="B184" s="3">
        <v>14000.0</v>
      </c>
      <c r="C184" s="3" t="s">
        <v>3</v>
      </c>
      <c r="D184" s="4" t="str">
        <f t="shared" si="1"/>
        <v>AVEC</v>
      </c>
      <c r="E184" s="4" t="str">
        <f t="array" ref="E184">INDEX(consolid1!$I$2:$I$904,MATCH(A184,consolid1!$B$2:$B$904,0))</f>
        <v>#N/A</v>
      </c>
      <c r="F184" s="4" t="str">
        <f t="array" ref="F184">INDEX(consolid1!$G$2:$G1534,MATCH(A184,consolid1!$B$2:$B1534,0))</f>
        <v>#N/A</v>
      </c>
    </row>
    <row r="185">
      <c r="A185" s="4" t="s">
        <v>1277</v>
      </c>
      <c r="B185" s="3">
        <v>14000.0</v>
      </c>
      <c r="C185" s="3" t="s">
        <v>16</v>
      </c>
      <c r="D185" s="4" t="str">
        <f t="shared" si="1"/>
        <v>AVEC</v>
      </c>
      <c r="E185" s="4" t="str">
        <f t="array" ref="E185">INDEX(consolid1!$I$2:$I$904,MATCH(A185,consolid1!$B$2:$B$904,0))</f>
        <v>#N/A</v>
      </c>
      <c r="F185" s="4" t="str">
        <f t="array" ref="F185">INDEX(consolid1!$G$2:$G1534,MATCH(A185,consolid1!$B$2:$B1534,0))</f>
        <v>#N/A</v>
      </c>
    </row>
    <row r="186">
      <c r="A186" s="4" t="s">
        <v>1405</v>
      </c>
      <c r="B186" s="3">
        <v>14000.0</v>
      </c>
      <c r="C186" s="4"/>
      <c r="D186" s="4" t="str">
        <f t="shared" si="1"/>
        <v>AVEC</v>
      </c>
      <c r="E186" s="4" t="str">
        <f t="array" ref="E186">INDEX(consolid1!$I$2:$I$904,MATCH(A186,consolid1!$B$2:$B$904,0))</f>
        <v>#N/A</v>
      </c>
      <c r="F186" s="4" t="str">
        <f t="array" ref="F186">INDEX(consolid1!$G$2:$G1534,MATCH(A186,consolid1!$B$2:$B1534,0))</f>
        <v>#N/A</v>
      </c>
    </row>
    <row r="187">
      <c r="A187" s="4" t="s">
        <v>1496</v>
      </c>
      <c r="B187" s="3">
        <v>14000.0</v>
      </c>
      <c r="C187" s="3" t="s">
        <v>29</v>
      </c>
      <c r="D187" s="4" t="str">
        <f t="shared" si="1"/>
        <v>AVEC</v>
      </c>
      <c r="E187" s="4" t="str">
        <f t="array" ref="E187">INDEX(consolid1!$I$2:$I$904,MATCH(A187,consolid1!$B$2:$B$904,0))</f>
        <v>#N/A</v>
      </c>
      <c r="F187" s="4" t="str">
        <f t="array" ref="F187">INDEX(consolid1!$G$2:$G1534,MATCH(A187,consolid1!$B$2:$B1534,0))</f>
        <v>#N/A</v>
      </c>
    </row>
    <row r="188">
      <c r="A188" s="4" t="s">
        <v>1662</v>
      </c>
      <c r="B188" s="3">
        <v>14000.0</v>
      </c>
      <c r="C188" s="4"/>
      <c r="D188" s="4" t="str">
        <f t="shared" si="1"/>
        <v>AVEC</v>
      </c>
      <c r="E188" s="4" t="str">
        <f t="array" ref="E188">INDEX(consolid1!$I$2:$I$904,MATCH(A188,consolid1!$B$2:$B$904,0))</f>
        <v>#N/A</v>
      </c>
      <c r="F188" s="4" t="str">
        <f t="array" ref="F188">INDEX(consolid1!$G$2:$G1534,MATCH(A188,consolid1!$B$2:$B1534,0))</f>
        <v>#N/A</v>
      </c>
    </row>
    <row r="189">
      <c r="A189" s="4" t="s">
        <v>2190</v>
      </c>
      <c r="B189" s="3">
        <v>13600.0</v>
      </c>
      <c r="C189" s="3" t="s">
        <v>37</v>
      </c>
      <c r="D189" s="4" t="str">
        <f t="shared" si="1"/>
        <v>AVEC</v>
      </c>
      <c r="E189" s="4" t="str">
        <f t="array" ref="E189">INDEX(consolid1!$I$2:$I$904,MATCH(A189,consolid1!$B$2:$B$904,0))</f>
        <v>#N/A</v>
      </c>
      <c r="F189" s="4" t="str">
        <f t="array" ref="F189">INDEX(consolid1!$G$2:$G1534,MATCH(A189,consolid1!$B$2:$B1534,0))</f>
        <v>#N/A</v>
      </c>
    </row>
    <row r="190">
      <c r="A190" s="4" t="s">
        <v>2242</v>
      </c>
      <c r="B190" s="3">
        <v>13050.0</v>
      </c>
      <c r="C190" s="3" t="s">
        <v>37</v>
      </c>
      <c r="D190" s="4" t="str">
        <f t="shared" si="1"/>
        <v>AVEC</v>
      </c>
      <c r="E190" s="4" t="str">
        <f t="array" ref="E190">INDEX(consolid1!$I$2:$I$904,MATCH(A190,consolid1!$B$2:$B$904,0))</f>
        <v>#N/A</v>
      </c>
      <c r="F190" s="4" t="str">
        <f t="array" ref="F190">INDEX(consolid1!$G$2:$G1534,MATCH(A190,consolid1!$B$2:$B1534,0))</f>
        <v>#N/A</v>
      </c>
    </row>
    <row r="191">
      <c r="A191" s="4" t="s">
        <v>1348</v>
      </c>
      <c r="B191" s="3">
        <v>13000.0</v>
      </c>
      <c r="C191" s="4"/>
      <c r="D191" s="4" t="str">
        <f t="shared" si="1"/>
        <v>AVEC</v>
      </c>
      <c r="E191" s="4" t="str">
        <f t="array" ref="E191">INDEX(consolid1!$I$2:$I$904,MATCH(A191,consolid1!$B$2:$B$904,0))</f>
        <v>#N/A</v>
      </c>
      <c r="F191" s="4" t="str">
        <f t="array" ref="F191">INDEX(consolid1!$G$2:$G1534,MATCH(A191,consolid1!$B$2:$B1534,0))</f>
        <v>#N/A</v>
      </c>
    </row>
    <row r="192">
      <c r="A192" s="4" t="s">
        <v>2333</v>
      </c>
      <c r="B192" s="3">
        <v>13000.0</v>
      </c>
      <c r="C192" s="3" t="s">
        <v>6</v>
      </c>
      <c r="D192" s="4" t="str">
        <f t="shared" si="1"/>
        <v>AVEC</v>
      </c>
      <c r="E192" s="4" t="str">
        <f t="array" ref="E192">INDEX(consolid1!$I$2:$I$904,MATCH(A192,consolid1!$B$2:$B$904,0))</f>
        <v>#N/A</v>
      </c>
      <c r="F192" s="4" t="str">
        <f t="array" ref="F192">INDEX(consolid1!$G$2:$G1534,MATCH(A192,consolid1!$B$2:$B1534,0))</f>
        <v>#N/A</v>
      </c>
    </row>
    <row r="193">
      <c r="A193" s="4" t="s">
        <v>2061</v>
      </c>
      <c r="B193" s="3">
        <v>13000.0</v>
      </c>
      <c r="C193" s="4"/>
      <c r="D193" s="4" t="str">
        <f t="shared" si="1"/>
        <v>AVEC</v>
      </c>
      <c r="E193" s="4" t="str">
        <f t="array" ref="E193">INDEX(consolid1!$I$2:$I$904,MATCH(A193,consolid1!$B$2:$B$904,0))</f>
        <v>#N/A</v>
      </c>
      <c r="F193" s="4" t="str">
        <f t="array" ref="F193">INDEX(consolid1!$G$2:$G1534,MATCH(A193,consolid1!$B$2:$B1534,0))</f>
        <v>#N/A</v>
      </c>
    </row>
    <row r="194">
      <c r="A194" s="4" t="s">
        <v>171</v>
      </c>
      <c r="B194" s="3">
        <v>12000.0</v>
      </c>
      <c r="C194" s="3" t="s">
        <v>6</v>
      </c>
      <c r="D194" s="4" t="str">
        <f t="shared" si="1"/>
        <v>AVEC</v>
      </c>
      <c r="E194" s="4" t="str">
        <f t="array" ref="E194">INDEX(consolid1!$I$2:$I$904,MATCH(A194,consolid1!$B$2:$B$904,0))</f>
        <v>#N/A</v>
      </c>
      <c r="F194" s="4" t="str">
        <f t="array" ref="F194">INDEX(consolid1!$G$2:$G1534,MATCH(A194,consolid1!$B$2:$B1534,0))</f>
        <v>#N/A</v>
      </c>
    </row>
    <row r="195">
      <c r="A195" s="4" t="s">
        <v>1248</v>
      </c>
      <c r="B195" s="3">
        <v>12000.0</v>
      </c>
      <c r="C195" s="4"/>
      <c r="D195" s="4" t="str">
        <f t="shared" si="1"/>
        <v>AVEC</v>
      </c>
      <c r="E195" s="4" t="str">
        <f t="array" ref="E195">INDEX(consolid1!$I$2:$I$904,MATCH(A195,consolid1!$B$2:$B$904,0))</f>
        <v>#N/A</v>
      </c>
      <c r="F195" s="4" t="str">
        <f t="array" ref="F195">INDEX(consolid1!$G$2:$G1534,MATCH(A195,consolid1!$B$2:$B1534,0))</f>
        <v>#N/A</v>
      </c>
    </row>
    <row r="196">
      <c r="A196" s="4" t="s">
        <v>1561</v>
      </c>
      <c r="B196" s="3">
        <v>12000.0</v>
      </c>
      <c r="C196" s="3" t="s">
        <v>6</v>
      </c>
      <c r="D196" s="4" t="str">
        <f t="shared" si="1"/>
        <v>AVEC</v>
      </c>
      <c r="E196" s="4" t="str">
        <f t="array" ref="E196">INDEX(consolid1!$I$2:$I$904,MATCH(A196,consolid1!$B$2:$B$904,0))</f>
        <v>#N/A</v>
      </c>
      <c r="F196" s="4" t="str">
        <f t="array" ref="F196">INDEX(consolid1!$G$2:$G1534,MATCH(A196,consolid1!$B$2:$B1534,0))</f>
        <v>#N/A</v>
      </c>
    </row>
    <row r="197">
      <c r="A197" s="4" t="s">
        <v>1907</v>
      </c>
      <c r="B197" s="3">
        <v>12000.0</v>
      </c>
      <c r="C197" s="4"/>
      <c r="D197" s="4" t="str">
        <f t="shared" si="1"/>
        <v>AVEC</v>
      </c>
      <c r="E197" s="4" t="str">
        <f t="array" ref="E197">INDEX(consolid1!$I$2:$I$904,MATCH(A197,consolid1!$B$2:$B$904,0))</f>
        <v>#N/A</v>
      </c>
      <c r="F197" s="4" t="str">
        <f t="array" ref="F197">INDEX(consolid1!$G$2:$G1534,MATCH(A197,consolid1!$B$2:$B1534,0))</f>
        <v>#N/A</v>
      </c>
    </row>
    <row r="198">
      <c r="A198" s="4" t="s">
        <v>1406</v>
      </c>
      <c r="B198" s="3">
        <v>11950.0</v>
      </c>
      <c r="C198" s="3" t="s">
        <v>32</v>
      </c>
      <c r="D198" s="4" t="str">
        <f t="shared" si="1"/>
        <v>AVEC</v>
      </c>
      <c r="E198" s="4" t="str">
        <f t="array" ref="E198">INDEX(consolid1!$I$2:$I$904,MATCH(A198,consolid1!$B$2:$B$904,0))</f>
        <v>#N/A</v>
      </c>
      <c r="F198" s="4" t="str">
        <f t="array" ref="F198">INDEX(consolid1!$G$2:$G1534,MATCH(A198,consolid1!$B$2:$B1534,0))</f>
        <v>#N/A</v>
      </c>
    </row>
    <row r="199">
      <c r="A199" s="4" t="s">
        <v>722</v>
      </c>
      <c r="B199" s="3">
        <v>11620.0</v>
      </c>
      <c r="C199" s="4"/>
      <c r="D199" s="4" t="str">
        <f t="shared" si="1"/>
        <v>AVEC</v>
      </c>
      <c r="E199" s="4" t="str">
        <f t="array" ref="E199">INDEX(consolid1!$I$2:$I$904,MATCH(A199,consolid1!$B$2:$B$904,0))</f>
        <v>#N/A</v>
      </c>
      <c r="F199" s="4" t="str">
        <f t="array" ref="F199">INDEX(consolid1!$G$2:$G1534,MATCH(A199,consolid1!$B$2:$B1534,0))</f>
        <v>#N/A</v>
      </c>
    </row>
    <row r="200">
      <c r="A200" s="4" t="s">
        <v>683</v>
      </c>
      <c r="B200" s="3">
        <v>11500.0</v>
      </c>
      <c r="C200" s="3" t="s">
        <v>29</v>
      </c>
      <c r="D200" s="4" t="str">
        <f t="shared" si="1"/>
        <v>AVEC</v>
      </c>
      <c r="E200" s="4" t="str">
        <f t="array" ref="E200">INDEX(consolid1!$I$2:$I$904,MATCH(A200,consolid1!$B$2:$B$904,0))</f>
        <v>#N/A</v>
      </c>
      <c r="F200" s="4" t="str">
        <f t="array" ref="F200">INDEX(consolid1!$G$2:$G1534,MATCH(A200,consolid1!$B$2:$B1534,0))</f>
        <v>#N/A</v>
      </c>
    </row>
    <row r="201">
      <c r="A201" s="4" t="s">
        <v>2200</v>
      </c>
      <c r="B201" s="3">
        <v>11500.0</v>
      </c>
      <c r="C201" s="3" t="s">
        <v>3</v>
      </c>
      <c r="D201" s="4" t="str">
        <f t="shared" si="1"/>
        <v>AVEC</v>
      </c>
      <c r="E201" s="4" t="str">
        <f t="array" ref="E201">INDEX(consolid1!$I$2:$I$904,MATCH(A201,consolid1!$B$2:$B$904,0))</f>
        <v>#N/A</v>
      </c>
      <c r="F201" s="4" t="str">
        <f t="array" ref="F201">INDEX(consolid1!$G$2:$G1534,MATCH(A201,consolid1!$B$2:$B1534,0))</f>
        <v>#N/A</v>
      </c>
    </row>
    <row r="202">
      <c r="A202" s="4" t="s">
        <v>1515</v>
      </c>
      <c r="B202" s="3">
        <v>11500.0</v>
      </c>
      <c r="C202" s="3" t="s">
        <v>16</v>
      </c>
      <c r="D202" s="4" t="str">
        <f t="shared" si="1"/>
        <v>AVEC</v>
      </c>
      <c r="E202" s="4" t="str">
        <f t="array" ref="E202">INDEX(consolid1!$I$2:$I$904,MATCH(A202,consolid1!$B$2:$B$904,0))</f>
        <v>Culture</v>
      </c>
      <c r="F202" s="4" t="str">
        <f t="array" ref="F202">INDEX(consolid1!$G$2:$G1534,MATCH(A202,consolid1!$B$2:$B1534,0))</f>
        <v>null</v>
      </c>
    </row>
    <row r="203">
      <c r="A203" s="4" t="s">
        <v>931</v>
      </c>
      <c r="B203" s="3">
        <v>11380.0</v>
      </c>
      <c r="C203" s="3" t="s">
        <v>3</v>
      </c>
      <c r="D203" s="4" t="str">
        <f t="shared" si="1"/>
        <v>AVEC</v>
      </c>
      <c r="E203" s="4" t="str">
        <f t="array" ref="E203">INDEX(consolid1!$I$2:$I$904,MATCH(A203,consolid1!$B$2:$B$904,0))</f>
        <v>#N/A</v>
      </c>
      <c r="F203" s="4" t="str">
        <f t="array" ref="F203">INDEX(consolid1!$G$2:$G1534,MATCH(A203,consolid1!$B$2:$B1534,0))</f>
        <v>#N/A</v>
      </c>
    </row>
    <row r="204">
      <c r="A204" s="4" t="s">
        <v>965</v>
      </c>
      <c r="B204" s="3">
        <v>11176.0</v>
      </c>
      <c r="C204" s="4"/>
      <c r="D204" s="4" t="str">
        <f t="shared" si="1"/>
        <v>AVEC</v>
      </c>
      <c r="E204" s="4" t="str">
        <f t="array" ref="E204">INDEX(consolid1!$I$2:$I$904,MATCH(A204,consolid1!$B$2:$B$904,0))</f>
        <v>#N/A</v>
      </c>
      <c r="F204" s="4" t="str">
        <f t="array" ref="F204">INDEX(consolid1!$G$2:$G1534,MATCH(A204,consolid1!$B$2:$B1534,0))</f>
        <v>#N/A</v>
      </c>
    </row>
    <row r="205">
      <c r="A205" s="4" t="s">
        <v>138</v>
      </c>
      <c r="B205" s="3">
        <v>11011.0</v>
      </c>
      <c r="C205" s="4"/>
      <c r="D205" s="4" t="str">
        <f t="shared" si="1"/>
        <v>AVEC</v>
      </c>
      <c r="E205" s="4" t="str">
        <f t="array" ref="E205">INDEX(consolid1!$I$2:$I$904,MATCH(A205,consolid1!$B$2:$B$904,0))</f>
        <v>#N/A</v>
      </c>
      <c r="F205" s="4" t="str">
        <f t="array" ref="F205">INDEX(consolid1!$G$2:$G1534,MATCH(A205,consolid1!$B$2:$B1534,0))</f>
        <v>#N/A</v>
      </c>
    </row>
    <row r="206">
      <c r="A206" s="4" t="s">
        <v>84</v>
      </c>
      <c r="B206" s="3">
        <v>11000.0</v>
      </c>
      <c r="C206" s="3" t="s">
        <v>26</v>
      </c>
      <c r="D206" s="4" t="str">
        <f t="shared" si="1"/>
        <v>AVEC</v>
      </c>
      <c r="E206" s="4" t="str">
        <f t="array" ref="E206">INDEX(consolid1!$I$2:$I$904,MATCH(A206,consolid1!$B$2:$B$904,0))</f>
        <v>#N/A</v>
      </c>
      <c r="F206" s="4" t="str">
        <f t="array" ref="F206">INDEX(consolid1!$G$2:$G1534,MATCH(A206,consolid1!$B$2:$B1534,0))</f>
        <v>#N/A</v>
      </c>
    </row>
    <row r="207">
      <c r="A207" s="4" t="s">
        <v>2127</v>
      </c>
      <c r="B207" s="3">
        <v>11000.0</v>
      </c>
      <c r="C207" s="3" t="s">
        <v>6</v>
      </c>
      <c r="D207" s="4" t="str">
        <f t="shared" si="1"/>
        <v>AVEC</v>
      </c>
      <c r="E207" s="4" t="str">
        <f t="array" ref="E207">INDEX(consolid1!$I$2:$I$904,MATCH(A207,consolid1!$B$2:$B$904,0))</f>
        <v>#N/A</v>
      </c>
      <c r="F207" s="4" t="str">
        <f t="array" ref="F207">INDEX(consolid1!$G$2:$G1534,MATCH(A207,consolid1!$B$2:$B1534,0))</f>
        <v>#N/A</v>
      </c>
    </row>
    <row r="208">
      <c r="A208" s="4" t="s">
        <v>845</v>
      </c>
      <c r="B208" s="3">
        <v>11000.0</v>
      </c>
      <c r="C208" s="4"/>
      <c r="D208" s="4" t="str">
        <f t="shared" si="1"/>
        <v>AVEC</v>
      </c>
      <c r="E208" s="4" t="str">
        <f t="array" ref="E208">INDEX(consolid1!$I$2:$I$904,MATCH(A208,consolid1!$B$2:$B$904,0))</f>
        <v>#N/A</v>
      </c>
      <c r="F208" s="4" t="str">
        <f t="array" ref="F208">INDEX(consolid1!$G$2:$G1534,MATCH(A208,consolid1!$B$2:$B1534,0))</f>
        <v>#N/A</v>
      </c>
    </row>
    <row r="209">
      <c r="A209" s="4" t="s">
        <v>956</v>
      </c>
      <c r="B209" s="3">
        <v>10730.0</v>
      </c>
      <c r="C209" s="4"/>
      <c r="D209" s="4" t="str">
        <f t="shared" si="1"/>
        <v>AVEC</v>
      </c>
      <c r="E209" s="4" t="str">
        <f t="array" ref="E209">INDEX(consolid1!$I$2:$I$904,MATCH(A209,consolid1!$B$2:$B$904,0))</f>
        <v>#N/A</v>
      </c>
      <c r="F209" s="4" t="str">
        <f t="array" ref="F209">INDEX(consolid1!$G$2:$G1534,MATCH(A209,consolid1!$B$2:$B1534,0))</f>
        <v>#N/A</v>
      </c>
    </row>
    <row r="210">
      <c r="A210" s="4" t="s">
        <v>2059</v>
      </c>
      <c r="B210" s="3">
        <v>10536.77</v>
      </c>
      <c r="C210" s="4"/>
      <c r="D210" s="4" t="str">
        <f t="shared" si="1"/>
        <v>AVEC</v>
      </c>
      <c r="E210" s="4" t="str">
        <f t="array" ref="E210">INDEX(consolid1!$I$2:$I$904,MATCH(A210,consolid1!$B$2:$B$904,0))</f>
        <v>#N/A</v>
      </c>
      <c r="F210" s="4" t="str">
        <f t="array" ref="F210">INDEX(consolid1!$G$2:$G1534,MATCH(A210,consolid1!$B$2:$B1534,0))</f>
        <v>#N/A</v>
      </c>
    </row>
    <row r="211">
      <c r="A211" s="4" t="s">
        <v>1288</v>
      </c>
      <c r="B211" s="3">
        <v>10083.0</v>
      </c>
      <c r="C211" s="3" t="s">
        <v>32</v>
      </c>
      <c r="D211" s="4" t="str">
        <f t="shared" si="1"/>
        <v>AVEC</v>
      </c>
      <c r="E211" s="4" t="str">
        <f t="array" ref="E211">INDEX(consolid1!$I$2:$I$904,MATCH(A211,consolid1!$B$2:$B$904,0))</f>
        <v>#N/A</v>
      </c>
      <c r="F211" s="4" t="str">
        <f t="array" ref="F211">INDEX(consolid1!$G$2:$G1534,MATCH(A211,consolid1!$B$2:$B1534,0))</f>
        <v>#N/A</v>
      </c>
    </row>
    <row r="212">
      <c r="A212" s="4" t="s">
        <v>2075</v>
      </c>
      <c r="B212" s="3">
        <v>10000.0</v>
      </c>
      <c r="C212" s="3" t="s">
        <v>3</v>
      </c>
      <c r="D212" s="4" t="str">
        <f t="shared" si="1"/>
        <v>AVEC</v>
      </c>
      <c r="E212" s="4" t="str">
        <f t="array" ref="E212">INDEX(consolid1!$I$2:$I$904,MATCH(A212,consolid1!$B$2:$B$904,0))</f>
        <v>#N/A</v>
      </c>
      <c r="F212" s="4" t="str">
        <f t="array" ref="F212">INDEX(consolid1!$G$2:$G1534,MATCH(A212,consolid1!$B$2:$B1534,0))</f>
        <v>#N/A</v>
      </c>
    </row>
    <row r="213">
      <c r="A213" s="4" t="s">
        <v>2144</v>
      </c>
      <c r="B213" s="3">
        <v>10000.0</v>
      </c>
      <c r="C213" s="3" t="s">
        <v>16</v>
      </c>
      <c r="D213" s="4" t="str">
        <f t="shared" si="1"/>
        <v>AVEC</v>
      </c>
      <c r="E213" s="4" t="str">
        <f t="array" ref="E213">INDEX(consolid1!$I$2:$I$904,MATCH(A213,consolid1!$B$2:$B$904,0))</f>
        <v>#N/A</v>
      </c>
      <c r="F213" s="4" t="str">
        <f t="array" ref="F213">INDEX(consolid1!$G$2:$G1534,MATCH(A213,consolid1!$B$2:$B1534,0))</f>
        <v>#N/A</v>
      </c>
    </row>
    <row r="214">
      <c r="A214" s="4" t="s">
        <v>2197</v>
      </c>
      <c r="B214" s="3">
        <v>10000.0</v>
      </c>
      <c r="C214" s="3" t="s">
        <v>3</v>
      </c>
      <c r="D214" s="4" t="str">
        <f t="shared" si="1"/>
        <v>AVEC</v>
      </c>
      <c r="E214" s="4" t="str">
        <f t="array" ref="E214">INDEX(consolid1!$I$2:$I$904,MATCH(A214,consolid1!$B$2:$B$904,0))</f>
        <v>#N/A</v>
      </c>
      <c r="F214" s="4" t="str">
        <f t="array" ref="F214">INDEX(consolid1!$G$2:$G1534,MATCH(A214,consolid1!$B$2:$B1534,0))</f>
        <v>#N/A</v>
      </c>
    </row>
    <row r="215">
      <c r="A215" s="4" t="s">
        <v>756</v>
      </c>
      <c r="B215" s="3">
        <v>10000.0</v>
      </c>
      <c r="C215" s="4"/>
      <c r="D215" s="4" t="str">
        <f t="shared" si="1"/>
        <v>AVEC</v>
      </c>
      <c r="E215" s="4" t="str">
        <f t="array" ref="E215">INDEX(consolid1!$I$2:$I$904,MATCH(A215,consolid1!$B$2:$B$904,0))</f>
        <v>#N/A</v>
      </c>
      <c r="F215" s="4" t="str">
        <f t="array" ref="F215">INDEX(consolid1!$G$2:$G1534,MATCH(A215,consolid1!$B$2:$B1534,0))</f>
        <v>#N/A</v>
      </c>
    </row>
    <row r="216">
      <c r="A216" s="4" t="s">
        <v>1002</v>
      </c>
      <c r="B216" s="3">
        <v>10000.0</v>
      </c>
      <c r="C216" s="3" t="s">
        <v>3</v>
      </c>
      <c r="D216" s="4" t="str">
        <f t="shared" si="1"/>
        <v>AVEC</v>
      </c>
      <c r="E216" s="4" t="str">
        <f t="array" ref="E216">INDEX(consolid1!$I$2:$I$904,MATCH(A216,consolid1!$B$2:$B$904,0))</f>
        <v>Culture</v>
      </c>
      <c r="F216" s="4" t="str">
        <f t="array" ref="F216">INDEX(consolid1!$G$2:$G1534,MATCH(A216,consolid1!$B$2:$B1534,0))</f>
        <v>null</v>
      </c>
    </row>
    <row r="217">
      <c r="A217" s="4" t="s">
        <v>1278</v>
      </c>
      <c r="B217" s="3">
        <v>10000.0</v>
      </c>
      <c r="C217" s="4"/>
      <c r="D217" s="4" t="str">
        <f t="shared" si="1"/>
        <v>AVEC</v>
      </c>
      <c r="E217" s="4" t="str">
        <f t="array" ref="E217">INDEX(consolid1!$I$2:$I$904,MATCH(A217,consolid1!$B$2:$B$904,0))</f>
        <v>#N/A</v>
      </c>
      <c r="F217" s="4" t="str">
        <f t="array" ref="F217">INDEX(consolid1!$G$2:$G1534,MATCH(A217,consolid1!$B$2:$B1534,0))</f>
        <v>#N/A</v>
      </c>
    </row>
    <row r="218">
      <c r="A218" s="4" t="s">
        <v>1331</v>
      </c>
      <c r="B218" s="3">
        <v>10000.0</v>
      </c>
      <c r="C218" s="3" t="s">
        <v>32</v>
      </c>
      <c r="D218" s="4" t="str">
        <f t="shared" si="1"/>
        <v>AVEC</v>
      </c>
      <c r="E218" s="4" t="str">
        <f t="array" ref="E218">INDEX(consolid1!$I$2:$I$904,MATCH(A218,consolid1!$B$2:$B$904,0))</f>
        <v>#N/A</v>
      </c>
      <c r="F218" s="4" t="str">
        <f t="array" ref="F218">INDEX(consolid1!$G$2:$G1534,MATCH(A218,consolid1!$B$2:$B1534,0))</f>
        <v>#N/A</v>
      </c>
    </row>
    <row r="219">
      <c r="A219" s="4" t="s">
        <v>1609</v>
      </c>
      <c r="B219" s="3">
        <v>10000.0</v>
      </c>
      <c r="C219" s="3" t="s">
        <v>32</v>
      </c>
      <c r="D219" s="4" t="str">
        <f t="shared" si="1"/>
        <v>AVEC</v>
      </c>
      <c r="E219" s="4" t="str">
        <f t="array" ref="E219">INDEX(consolid1!$I$2:$I$904,MATCH(A219,consolid1!$B$2:$B$904,0))</f>
        <v>#N/A</v>
      </c>
      <c r="F219" s="4" t="str">
        <f t="array" ref="F219">INDEX(consolid1!$G$2:$G1534,MATCH(A219,consolid1!$B$2:$B1534,0))</f>
        <v>#N/A</v>
      </c>
    </row>
    <row r="220">
      <c r="A220" s="4" t="s">
        <v>1626</v>
      </c>
      <c r="B220" s="3">
        <v>10000.0</v>
      </c>
      <c r="C220" s="3" t="s">
        <v>29</v>
      </c>
      <c r="D220" s="4" t="str">
        <f t="shared" si="1"/>
        <v>AVEC</v>
      </c>
      <c r="E220" s="4" t="str">
        <f t="array" ref="E220">INDEX(consolid1!$I$2:$I$904,MATCH(A220,consolid1!$B$2:$B$904,0))</f>
        <v>#N/A</v>
      </c>
      <c r="F220" s="4" t="str">
        <f t="array" ref="F220">INDEX(consolid1!$G$2:$G1534,MATCH(A220,consolid1!$B$2:$B1534,0))</f>
        <v>#N/A</v>
      </c>
    </row>
    <row r="221">
      <c r="A221" s="4" t="s">
        <v>1692</v>
      </c>
      <c r="B221" s="3">
        <v>10000.0</v>
      </c>
      <c r="C221" s="3" t="s">
        <v>1693</v>
      </c>
      <c r="D221" s="4" t="str">
        <f t="shared" si="1"/>
        <v>AVEC</v>
      </c>
      <c r="E221" s="4" t="str">
        <f t="array" ref="E221">INDEX(consolid1!$I$2:$I$904,MATCH(A221,consolid1!$B$2:$B$904,0))</f>
        <v>#N/A</v>
      </c>
      <c r="F221" s="4" t="str">
        <f t="array" ref="F221">INDEX(consolid1!$G$2:$G1534,MATCH(A221,consolid1!$B$2:$B1534,0))</f>
        <v>#N/A</v>
      </c>
    </row>
    <row r="222">
      <c r="A222" s="4" t="s">
        <v>1735</v>
      </c>
      <c r="B222" s="3">
        <v>10000.0</v>
      </c>
      <c r="C222" s="4"/>
      <c r="D222" s="4" t="str">
        <f t="shared" si="1"/>
        <v>AVEC</v>
      </c>
      <c r="E222" s="4" t="str">
        <f t="array" ref="E222">INDEX(consolid1!$I$2:$I$904,MATCH(A222,consolid1!$B$2:$B$904,0))</f>
        <v>#N/A</v>
      </c>
      <c r="F222" s="4" t="str">
        <f t="array" ref="F222">INDEX(consolid1!$G$2:$G1534,MATCH(A222,consolid1!$B$2:$B1534,0))</f>
        <v>#N/A</v>
      </c>
    </row>
    <row r="223">
      <c r="A223" s="4" t="s">
        <v>1759</v>
      </c>
      <c r="B223" s="3">
        <v>10000.0</v>
      </c>
      <c r="C223" s="3" t="s">
        <v>6</v>
      </c>
      <c r="D223" s="4" t="str">
        <f t="shared" si="1"/>
        <v>AVEC</v>
      </c>
      <c r="E223" s="4" t="str">
        <f t="array" ref="E223">INDEX(consolid1!$I$2:$I$904,MATCH(A223,consolid1!$B$2:$B$904,0))</f>
        <v>#N/A</v>
      </c>
      <c r="F223" s="4" t="str">
        <f t="array" ref="F223">INDEX(consolid1!$G$2:$G1534,MATCH(A223,consolid1!$B$2:$B1534,0))</f>
        <v>#N/A</v>
      </c>
    </row>
    <row r="224">
      <c r="A224" s="4" t="s">
        <v>1764</v>
      </c>
      <c r="B224" s="3">
        <v>10000.0</v>
      </c>
      <c r="C224" s="3" t="s">
        <v>3</v>
      </c>
      <c r="D224" s="4" t="str">
        <f t="shared" si="1"/>
        <v>AVEC</v>
      </c>
      <c r="E224" s="4" t="str">
        <f t="array" ref="E224">INDEX(consolid1!$I$2:$I$904,MATCH(A224,consolid1!$B$2:$B$904,0))</f>
        <v>#N/A</v>
      </c>
      <c r="F224" s="4" t="str">
        <f t="array" ref="F224">INDEX(consolid1!$G$2:$G1534,MATCH(A224,consolid1!$B$2:$B1534,0))</f>
        <v>#N/A</v>
      </c>
    </row>
    <row r="225">
      <c r="A225" s="4" t="s">
        <v>1833</v>
      </c>
      <c r="B225" s="3">
        <v>10000.0</v>
      </c>
      <c r="C225" s="3" t="s">
        <v>3</v>
      </c>
      <c r="D225" s="4" t="str">
        <f t="shared" si="1"/>
        <v>AVEC</v>
      </c>
      <c r="E225" s="4" t="str">
        <f t="array" ref="E225">INDEX(consolid1!$I$2:$I$904,MATCH(A225,consolid1!$B$2:$B$904,0))</f>
        <v>#N/A</v>
      </c>
      <c r="F225" s="4" t="str">
        <f t="array" ref="F225">INDEX(consolid1!$G$2:$G1534,MATCH(A225,consolid1!$B$2:$B1534,0))</f>
        <v>#N/A</v>
      </c>
    </row>
    <row r="226">
      <c r="A226" s="4" t="s">
        <v>1850</v>
      </c>
      <c r="B226" s="3">
        <v>10000.0</v>
      </c>
      <c r="C226" s="3" t="s">
        <v>26</v>
      </c>
      <c r="D226" s="4" t="str">
        <f t="shared" si="1"/>
        <v>AVEC</v>
      </c>
      <c r="E226" s="4" t="str">
        <f t="array" ref="E226">INDEX(consolid1!$I$2:$I$904,MATCH(A226,consolid1!$B$2:$B$904,0))</f>
        <v>#N/A</v>
      </c>
      <c r="F226" s="4" t="str">
        <f t="array" ref="F226">INDEX(consolid1!$G$2:$G1534,MATCH(A226,consolid1!$B$2:$B1534,0))</f>
        <v>#N/A</v>
      </c>
    </row>
    <row r="227">
      <c r="A227" s="4" t="s">
        <v>1880</v>
      </c>
      <c r="B227" s="3">
        <v>10000.0</v>
      </c>
      <c r="C227" s="3" t="s">
        <v>3</v>
      </c>
      <c r="D227" s="4" t="str">
        <f t="shared" si="1"/>
        <v>AVEC</v>
      </c>
      <c r="E227" s="4" t="str">
        <f t="array" ref="E227">INDEX(consolid1!$I$2:$I$904,MATCH(A227,consolid1!$B$2:$B$904,0))</f>
        <v>#N/A</v>
      </c>
      <c r="F227" s="4" t="str">
        <f t="array" ref="F227">INDEX(consolid1!$G$2:$G1534,MATCH(A227,consolid1!$B$2:$B1534,0))</f>
        <v>#N/A</v>
      </c>
    </row>
    <row r="228">
      <c r="A228" s="4" t="s">
        <v>1805</v>
      </c>
      <c r="B228" s="3">
        <v>9980.0</v>
      </c>
      <c r="C228" s="3" t="s">
        <v>32</v>
      </c>
      <c r="D228" s="4" t="str">
        <f t="shared" si="1"/>
        <v>AVEC</v>
      </c>
      <c r="E228" s="4" t="str">
        <f t="array" ref="E228">INDEX(consolid1!$I$2:$I$904,MATCH(A228,consolid1!$B$2:$B$904,0))</f>
        <v>#N/A</v>
      </c>
      <c r="F228" s="4" t="str">
        <f t="array" ref="F228">INDEX(consolid1!$G$2:$G1534,MATCH(A228,consolid1!$B$2:$B1534,0))</f>
        <v>#N/A</v>
      </c>
    </row>
    <row r="229">
      <c r="A229" s="4" t="s">
        <v>180</v>
      </c>
      <c r="B229" s="3">
        <v>9880.0</v>
      </c>
      <c r="C229" s="4"/>
      <c r="D229" s="4" t="str">
        <f t="shared" si="1"/>
        <v>AVEC</v>
      </c>
      <c r="E229" s="4" t="str">
        <f t="array" ref="E229">INDEX(consolid1!$I$2:$I$904,MATCH(A229,consolid1!$B$2:$B$904,0))</f>
        <v>#N/A</v>
      </c>
      <c r="F229" s="4" t="str">
        <f t="array" ref="F229">INDEX(consolid1!$G$2:$G1534,MATCH(A229,consolid1!$B$2:$B1534,0))</f>
        <v>#N/A</v>
      </c>
    </row>
    <row r="230">
      <c r="A230" s="4" t="s">
        <v>1766</v>
      </c>
      <c r="B230" s="3">
        <v>9750.0</v>
      </c>
      <c r="C230" s="3" t="s">
        <v>32</v>
      </c>
      <c r="D230" s="4" t="str">
        <f t="shared" si="1"/>
        <v>AVEC</v>
      </c>
      <c r="E230" s="4" t="str">
        <f t="array" ref="E230">INDEX(consolid1!$I$2:$I$904,MATCH(A230,consolid1!$B$2:$B$904,0))</f>
        <v>Culture</v>
      </c>
      <c r="F230" s="4" t="str">
        <f t="array" ref="F230">INDEX(consolid1!$G$2:$G1534,MATCH(A230,consolid1!$B$2:$B1534,0))</f>
        <v>null</v>
      </c>
    </row>
    <row r="231">
      <c r="A231" s="4" t="s">
        <v>984</v>
      </c>
      <c r="B231" s="3">
        <v>9600.0</v>
      </c>
      <c r="C231" s="4"/>
      <c r="D231" s="4" t="str">
        <f t="shared" si="1"/>
        <v>AVEC</v>
      </c>
      <c r="E231" s="4" t="str">
        <f t="array" ref="E231">INDEX(consolid1!$I$2:$I$904,MATCH(A231,consolid1!$B$2:$B$904,0))</f>
        <v>#N/A</v>
      </c>
      <c r="F231" s="4" t="str">
        <f t="array" ref="F231">INDEX(consolid1!$G$2:$G1534,MATCH(A231,consolid1!$B$2:$B1534,0))</f>
        <v>#N/A</v>
      </c>
    </row>
    <row r="232">
      <c r="A232" s="4" t="s">
        <v>1744</v>
      </c>
      <c r="B232" s="3">
        <v>9520.0</v>
      </c>
      <c r="C232" s="4"/>
      <c r="D232" s="4" t="str">
        <f t="shared" si="1"/>
        <v>AVEC</v>
      </c>
      <c r="E232" s="4" t="str">
        <f t="array" ref="E232">INDEX(consolid1!$I$2:$I$904,MATCH(A232,consolid1!$B$2:$B$904,0))</f>
        <v>#N/A</v>
      </c>
      <c r="F232" s="4" t="str">
        <f t="array" ref="F232">INDEX(consolid1!$G$2:$G1534,MATCH(A232,consolid1!$B$2:$B1534,0))</f>
        <v>#N/A</v>
      </c>
    </row>
    <row r="233">
      <c r="A233" s="4" t="s">
        <v>1013</v>
      </c>
      <c r="B233" s="3">
        <v>9500.0</v>
      </c>
      <c r="C233" s="3" t="s">
        <v>6</v>
      </c>
      <c r="D233" s="4" t="str">
        <f t="shared" si="1"/>
        <v>AVEC</v>
      </c>
      <c r="E233" s="4" t="str">
        <f t="array" ref="E233">INDEX(consolid1!$I$2:$I$904,MATCH(A233,consolid1!$B$2:$B$904,0))</f>
        <v>#N/A</v>
      </c>
      <c r="F233" s="4" t="str">
        <f t="array" ref="F233">INDEX(consolid1!$G$2:$G1534,MATCH(A233,consolid1!$B$2:$B1534,0))</f>
        <v>#N/A</v>
      </c>
    </row>
    <row r="234">
      <c r="A234" s="4" t="s">
        <v>1512</v>
      </c>
      <c r="B234" s="3">
        <v>9500.0</v>
      </c>
      <c r="C234" s="3" t="s">
        <v>6</v>
      </c>
      <c r="D234" s="4" t="str">
        <f t="shared" si="1"/>
        <v>AVEC</v>
      </c>
      <c r="E234" s="4" t="str">
        <f t="array" ref="E234">INDEX(consolid1!$I$2:$I$904,MATCH(A234,consolid1!$B$2:$B$904,0))</f>
        <v>#N/A</v>
      </c>
      <c r="F234" s="4" t="str">
        <f t="array" ref="F234">INDEX(consolid1!$G$2:$G1534,MATCH(A234,consolid1!$B$2:$B1534,0))</f>
        <v>#N/A</v>
      </c>
    </row>
    <row r="235">
      <c r="A235" s="4" t="s">
        <v>2304</v>
      </c>
      <c r="B235" s="3">
        <v>9500.0</v>
      </c>
      <c r="C235" s="3" t="s">
        <v>3</v>
      </c>
      <c r="D235" s="4" t="str">
        <f t="shared" si="1"/>
        <v>AVEC</v>
      </c>
      <c r="E235" s="4" t="str">
        <f t="array" ref="E235">INDEX(consolid1!$I$2:$I$904,MATCH(A235,consolid1!$B$2:$B$904,0))</f>
        <v>#N/A</v>
      </c>
      <c r="F235" s="4" t="str">
        <f t="array" ref="F235">INDEX(consolid1!$G$2:$G1534,MATCH(A235,consolid1!$B$2:$B1534,0))</f>
        <v>#N/A</v>
      </c>
    </row>
    <row r="236">
      <c r="A236" s="4" t="s">
        <v>312</v>
      </c>
      <c r="B236" s="3">
        <v>9400.0</v>
      </c>
      <c r="C236" s="4"/>
      <c r="D236" s="4" t="str">
        <f t="shared" si="1"/>
        <v>AVEC</v>
      </c>
      <c r="E236" s="4" t="str">
        <f t="array" ref="E236">INDEX(consolid1!$I$2:$I$904,MATCH(A236,consolid1!$B$2:$B$904,0))</f>
        <v>#N/A</v>
      </c>
      <c r="F236" s="4" t="str">
        <f t="array" ref="F236">INDEX(consolid1!$G$2:$G1534,MATCH(A236,consolid1!$B$2:$B1534,0))</f>
        <v>#N/A</v>
      </c>
    </row>
    <row r="237">
      <c r="A237" s="4" t="s">
        <v>1264</v>
      </c>
      <c r="B237" s="3">
        <v>9000.0</v>
      </c>
      <c r="C237" s="4"/>
      <c r="D237" s="4" t="str">
        <f t="shared" si="1"/>
        <v>AVEC</v>
      </c>
      <c r="E237" s="4" t="str">
        <f t="array" ref="E237">INDEX(consolid1!$I$2:$I$904,MATCH(A237,consolid1!$B$2:$B$904,0))</f>
        <v>#N/A</v>
      </c>
      <c r="F237" s="4" t="str">
        <f t="array" ref="F237">INDEX(consolid1!$G$2:$G1534,MATCH(A237,consolid1!$B$2:$B1534,0))</f>
        <v>#N/A</v>
      </c>
    </row>
    <row r="238">
      <c r="A238" s="4" t="s">
        <v>1304</v>
      </c>
      <c r="B238" s="3">
        <v>9000.0</v>
      </c>
      <c r="C238" s="3" t="s">
        <v>3</v>
      </c>
      <c r="D238" s="4" t="str">
        <f t="shared" si="1"/>
        <v>AVEC</v>
      </c>
      <c r="E238" s="4" t="str">
        <f t="array" ref="E238">INDEX(consolid1!$I$2:$I$904,MATCH(A238,consolid1!$B$2:$B$904,0))</f>
        <v>#N/A</v>
      </c>
      <c r="F238" s="4" t="str">
        <f t="array" ref="F238">INDEX(consolid1!$G$2:$G1534,MATCH(A238,consolid1!$B$2:$B1534,0))</f>
        <v>#N/A</v>
      </c>
    </row>
    <row r="239">
      <c r="A239" s="4" t="s">
        <v>2270</v>
      </c>
      <c r="B239" s="3">
        <v>9000.0</v>
      </c>
      <c r="C239" s="3" t="s">
        <v>37</v>
      </c>
      <c r="D239" s="4" t="str">
        <f t="shared" si="1"/>
        <v>AVEC</v>
      </c>
      <c r="E239" s="4" t="str">
        <f t="array" ref="E239">INDEX(consolid1!$I$2:$I$904,MATCH(A239,consolid1!$B$2:$B$904,0))</f>
        <v>#N/A</v>
      </c>
      <c r="F239" s="4" t="str">
        <f t="array" ref="F239">INDEX(consolid1!$G$2:$G1534,MATCH(A239,consolid1!$B$2:$B1534,0))</f>
        <v>#N/A</v>
      </c>
    </row>
    <row r="240">
      <c r="A240" s="4" t="s">
        <v>1499</v>
      </c>
      <c r="B240" s="3">
        <v>9000.0</v>
      </c>
      <c r="C240" s="3" t="s">
        <v>32</v>
      </c>
      <c r="D240" s="4" t="str">
        <f t="shared" si="1"/>
        <v>AVEC</v>
      </c>
      <c r="E240" s="4" t="str">
        <f t="array" ref="E240">INDEX(consolid1!$I$2:$I$904,MATCH(A240,consolid1!$B$2:$B$904,0))</f>
        <v>Culture</v>
      </c>
      <c r="F240" s="4" t="str">
        <f t="array" ref="F240">INDEX(consolid1!$G$2:$G1534,MATCH(A240,consolid1!$B$2:$B1534,0))</f>
        <v>null</v>
      </c>
    </row>
    <row r="241">
      <c r="A241" s="4" t="s">
        <v>2280</v>
      </c>
      <c r="B241" s="3">
        <v>9000.0</v>
      </c>
      <c r="C241" s="3" t="s">
        <v>6</v>
      </c>
      <c r="D241" s="4" t="str">
        <f t="shared" si="1"/>
        <v>AVEC</v>
      </c>
      <c r="E241" s="4" t="str">
        <f t="array" ref="E241">INDEX(consolid1!$I$2:$I$904,MATCH(A241,consolid1!$B$2:$B$904,0))</f>
        <v>#N/A</v>
      </c>
      <c r="F241" s="4" t="str">
        <f t="array" ref="F241">INDEX(consolid1!$G$2:$G1534,MATCH(A241,consolid1!$B$2:$B1534,0))</f>
        <v>#N/A</v>
      </c>
    </row>
    <row r="242">
      <c r="A242" s="4" t="s">
        <v>2031</v>
      </c>
      <c r="B242" s="3">
        <v>9000.0</v>
      </c>
      <c r="C242" s="4"/>
      <c r="D242" s="4" t="str">
        <f t="shared" si="1"/>
        <v>AVEC</v>
      </c>
      <c r="E242" s="4" t="str">
        <f t="array" ref="E242">INDEX(consolid1!$I$2:$I$904,MATCH(A242,consolid1!$B$2:$B$904,0))</f>
        <v>#N/A</v>
      </c>
      <c r="F242" s="4" t="str">
        <f t="array" ref="F242">INDEX(consolid1!$G$2:$G1534,MATCH(A242,consolid1!$B$2:$B1534,0))</f>
        <v>#N/A</v>
      </c>
    </row>
    <row r="243">
      <c r="A243" s="4" t="s">
        <v>299</v>
      </c>
      <c r="B243" s="3">
        <v>8907.0</v>
      </c>
      <c r="C243" s="3" t="s">
        <v>6</v>
      </c>
      <c r="D243" s="4" t="str">
        <f t="shared" si="1"/>
        <v>AVEC</v>
      </c>
      <c r="E243" s="4" t="str">
        <f t="array" ref="E243">INDEX(consolid1!$I$2:$I$904,MATCH(A243,consolid1!$B$2:$B$904,0))</f>
        <v>#N/A</v>
      </c>
      <c r="F243" s="4" t="str">
        <f t="array" ref="F243">INDEX(consolid1!$G$2:$G1534,MATCH(A243,consolid1!$B$2:$B1534,0))</f>
        <v>#N/A</v>
      </c>
    </row>
    <row r="244">
      <c r="A244" s="4" t="s">
        <v>824</v>
      </c>
      <c r="B244" s="3">
        <v>8800.0</v>
      </c>
      <c r="C244" s="4"/>
      <c r="D244" s="4" t="str">
        <f t="shared" si="1"/>
        <v>AVEC</v>
      </c>
      <c r="E244" s="4" t="str">
        <f t="array" ref="E244">INDEX(consolid1!$I$2:$I$904,MATCH(A244,consolid1!$B$2:$B$904,0))</f>
        <v>#N/A</v>
      </c>
      <c r="F244" s="4" t="str">
        <f t="array" ref="F244">INDEX(consolid1!$G$2:$G1534,MATCH(A244,consolid1!$B$2:$B1534,0))</f>
        <v>#N/A</v>
      </c>
    </row>
    <row r="245">
      <c r="A245" s="4" t="s">
        <v>1401</v>
      </c>
      <c r="B245" s="3">
        <v>8640.0</v>
      </c>
      <c r="C245" s="4"/>
      <c r="D245" s="4" t="str">
        <f t="shared" si="1"/>
        <v>AVEC</v>
      </c>
      <c r="E245" s="4" t="str">
        <f t="array" ref="E245">INDEX(consolid1!$I$2:$I$904,MATCH(A245,consolid1!$B$2:$B$904,0))</f>
        <v>#N/A</v>
      </c>
      <c r="F245" s="4" t="str">
        <f t="array" ref="F245">INDEX(consolid1!$G$2:$G1534,MATCH(A245,consolid1!$B$2:$B1534,0))</f>
        <v>#N/A</v>
      </c>
    </row>
    <row r="246">
      <c r="A246" s="4" t="s">
        <v>117</v>
      </c>
      <c r="B246" s="3">
        <v>8605.0</v>
      </c>
      <c r="C246" s="4"/>
      <c r="D246" s="4" t="str">
        <f t="shared" si="1"/>
        <v>AVEC</v>
      </c>
      <c r="E246" s="4" t="str">
        <f t="array" ref="E246">INDEX(consolid1!$I$2:$I$904,MATCH(A246,consolid1!$B$2:$B$904,0))</f>
        <v>#N/A</v>
      </c>
      <c r="F246" s="4" t="str">
        <f t="array" ref="F246">INDEX(consolid1!$G$2:$G1534,MATCH(A246,consolid1!$B$2:$B1534,0))</f>
        <v>#N/A</v>
      </c>
    </row>
    <row r="247">
      <c r="A247" s="4" t="s">
        <v>633</v>
      </c>
      <c r="B247" s="3">
        <v>8500.0</v>
      </c>
      <c r="C247" s="3" t="s">
        <v>3</v>
      </c>
      <c r="D247" s="4" t="str">
        <f t="shared" si="1"/>
        <v>AVEC</v>
      </c>
      <c r="E247" s="4" t="str">
        <f t="array" ref="E247">INDEX(consolid1!$I$2:$I$904,MATCH(A247,consolid1!$B$2:$B$904,0))</f>
        <v>#N/A</v>
      </c>
      <c r="F247" s="4" t="str">
        <f t="array" ref="F247">INDEX(consolid1!$G$2:$G1534,MATCH(A247,consolid1!$B$2:$B1534,0))</f>
        <v>#N/A</v>
      </c>
    </row>
    <row r="248">
      <c r="A248" s="4" t="s">
        <v>2119</v>
      </c>
      <c r="B248" s="3">
        <v>8400.0</v>
      </c>
      <c r="C248" s="4"/>
      <c r="D248" s="4" t="str">
        <f t="shared" si="1"/>
        <v>AVEC</v>
      </c>
      <c r="E248" s="4" t="str">
        <f t="array" ref="E248">INDEX(consolid1!$I$2:$I$904,MATCH(A248,consolid1!$B$2:$B$904,0))</f>
        <v>#N/A</v>
      </c>
      <c r="F248" s="4" t="str">
        <f t="array" ref="F248">INDEX(consolid1!$G$2:$G1534,MATCH(A248,consolid1!$B$2:$B1534,0))</f>
        <v>#N/A</v>
      </c>
    </row>
    <row r="249">
      <c r="A249" s="4" t="s">
        <v>1234</v>
      </c>
      <c r="B249" s="3">
        <v>8308.0</v>
      </c>
      <c r="C249" s="3" t="s">
        <v>26</v>
      </c>
      <c r="D249" s="4" t="str">
        <f t="shared" si="1"/>
        <v>AVEC</v>
      </c>
      <c r="E249" s="4" t="str">
        <f t="array" ref="E249">INDEX(consolid1!$I$2:$I$904,MATCH(A249,consolid1!$B$2:$B$904,0))</f>
        <v>#N/A</v>
      </c>
      <c r="F249" s="4" t="str">
        <f t="array" ref="F249">INDEX(consolid1!$G$2:$G1534,MATCH(A249,consolid1!$B$2:$B1534,0))</f>
        <v>#N/A</v>
      </c>
    </row>
    <row r="250">
      <c r="A250" s="4" t="s">
        <v>2002</v>
      </c>
      <c r="B250" s="3">
        <v>8300.0</v>
      </c>
      <c r="C250" s="3" t="s">
        <v>6</v>
      </c>
      <c r="D250" s="4" t="str">
        <f t="shared" si="1"/>
        <v>AVEC</v>
      </c>
      <c r="E250" s="4" t="str">
        <f t="array" ref="E250">INDEX(consolid1!$I$2:$I$904,MATCH(A250,consolid1!$B$2:$B$904,0))</f>
        <v>#N/A</v>
      </c>
      <c r="F250" s="4" t="str">
        <f t="array" ref="F250">INDEX(consolid1!$G$2:$G1534,MATCH(A250,consolid1!$B$2:$B1534,0))</f>
        <v>#N/A</v>
      </c>
    </row>
    <row r="251">
      <c r="A251" s="4" t="s">
        <v>745</v>
      </c>
      <c r="B251" s="3">
        <v>8200.0</v>
      </c>
      <c r="C251" s="3" t="s">
        <v>3</v>
      </c>
      <c r="D251" s="4" t="str">
        <f t="shared" si="1"/>
        <v>AVEC</v>
      </c>
      <c r="E251" s="4" t="str">
        <f t="array" ref="E251">INDEX(consolid1!$I$2:$I$904,MATCH(A251,consolid1!$B$2:$B$904,0))</f>
        <v>#N/A</v>
      </c>
      <c r="F251" s="4" t="str">
        <f t="array" ref="F251">INDEX(consolid1!$G$2:$G1534,MATCH(A251,consolid1!$B$2:$B1534,0))</f>
        <v>#N/A</v>
      </c>
    </row>
    <row r="252">
      <c r="A252" s="4" t="s">
        <v>622</v>
      </c>
      <c r="B252" s="3">
        <v>8000.0</v>
      </c>
      <c r="C252" s="3" t="s">
        <v>32</v>
      </c>
      <c r="D252" s="4" t="str">
        <f t="shared" si="1"/>
        <v>AVEC</v>
      </c>
      <c r="E252" s="4" t="str">
        <f t="array" ref="E252">INDEX(consolid1!$I$2:$I$904,MATCH(A252,consolid1!$B$2:$B$904,0))</f>
        <v>#N/A</v>
      </c>
      <c r="F252" s="4" t="str">
        <f t="array" ref="F252">INDEX(consolid1!$G$2:$G1534,MATCH(A252,consolid1!$B$2:$B1534,0))</f>
        <v>#N/A</v>
      </c>
    </row>
    <row r="253">
      <c r="A253" s="4" t="s">
        <v>900</v>
      </c>
      <c r="B253" s="3">
        <v>8000.0</v>
      </c>
      <c r="C253" s="4"/>
      <c r="D253" s="4" t="str">
        <f t="shared" si="1"/>
        <v>AVEC</v>
      </c>
      <c r="E253" s="4" t="str">
        <f t="array" ref="E253">INDEX(consolid1!$I$2:$I$904,MATCH(A253,consolid1!$B$2:$B$904,0))</f>
        <v>#N/A</v>
      </c>
      <c r="F253" s="4" t="str">
        <f t="array" ref="F253">INDEX(consolid1!$G$2:$G1534,MATCH(A253,consolid1!$B$2:$B1534,0))</f>
        <v>#N/A</v>
      </c>
    </row>
    <row r="254">
      <c r="A254" s="4" t="s">
        <v>915</v>
      </c>
      <c r="B254" s="3">
        <v>8000.0</v>
      </c>
      <c r="C254" s="4"/>
      <c r="D254" s="4" t="str">
        <f t="shared" si="1"/>
        <v>AVEC</v>
      </c>
      <c r="E254" s="4" t="str">
        <f t="array" ref="E254">INDEX(consolid1!$I$2:$I$904,MATCH(A254,consolid1!$B$2:$B$904,0))</f>
        <v>#N/A</v>
      </c>
      <c r="F254" s="4" t="str">
        <f t="array" ref="F254">INDEX(consolid1!$G$2:$G1534,MATCH(A254,consolid1!$B$2:$B1534,0))</f>
        <v>#N/A</v>
      </c>
    </row>
    <row r="255">
      <c r="A255" s="4" t="s">
        <v>977</v>
      </c>
      <c r="B255" s="3">
        <v>8000.0</v>
      </c>
      <c r="C255" s="4"/>
      <c r="D255" s="4" t="str">
        <f t="shared" si="1"/>
        <v>AVEC</v>
      </c>
      <c r="E255" s="4" t="str">
        <f t="array" ref="E255">INDEX(consolid1!$I$2:$I$904,MATCH(A255,consolid1!$B$2:$B$904,0))</f>
        <v>#N/A</v>
      </c>
      <c r="F255" s="4" t="str">
        <f t="array" ref="F255">INDEX(consolid1!$G$2:$G1534,MATCH(A255,consolid1!$B$2:$B1534,0))</f>
        <v>#N/A</v>
      </c>
    </row>
    <row r="256">
      <c r="A256" s="4" t="s">
        <v>994</v>
      </c>
      <c r="B256" s="3">
        <v>8000.0</v>
      </c>
      <c r="C256" s="4"/>
      <c r="D256" s="4" t="str">
        <f t="shared" si="1"/>
        <v>AVEC</v>
      </c>
      <c r="E256" s="4" t="str">
        <f t="array" ref="E256">INDEX(consolid1!$I$2:$I$904,MATCH(A256,consolid1!$B$2:$B$904,0))</f>
        <v>#N/A</v>
      </c>
      <c r="F256" s="4" t="str">
        <f t="array" ref="F256">INDEX(consolid1!$G$2:$G1534,MATCH(A256,consolid1!$B$2:$B1534,0))</f>
        <v>#N/A</v>
      </c>
    </row>
    <row r="257">
      <c r="A257" s="4" t="s">
        <v>1321</v>
      </c>
      <c r="B257" s="3">
        <v>8000.0</v>
      </c>
      <c r="C257" s="4"/>
      <c r="D257" s="4" t="str">
        <f t="shared" si="1"/>
        <v>AVEC</v>
      </c>
      <c r="E257" s="4" t="str">
        <f t="array" ref="E257">INDEX(consolid1!$I$2:$I$904,MATCH(A257,consolid1!$B$2:$B$904,0))</f>
        <v>#N/A</v>
      </c>
      <c r="F257" s="4" t="str">
        <f t="array" ref="F257">INDEX(consolid1!$G$2:$G1534,MATCH(A257,consolid1!$B$2:$B1534,0))</f>
        <v>#N/A</v>
      </c>
    </row>
    <row r="258">
      <c r="A258" s="4" t="s">
        <v>1351</v>
      </c>
      <c r="B258" s="3">
        <v>8000.0</v>
      </c>
      <c r="C258" s="4"/>
      <c r="D258" s="4" t="str">
        <f t="shared" si="1"/>
        <v>AVEC</v>
      </c>
      <c r="E258" s="4" t="str">
        <f t="array" ref="E258">INDEX(consolid1!$I$2:$I$904,MATCH(A258,consolid1!$B$2:$B$904,0))</f>
        <v>#N/A</v>
      </c>
      <c r="F258" s="4" t="str">
        <f t="array" ref="F258">INDEX(consolid1!$G$2:$G1534,MATCH(A258,consolid1!$B$2:$B1534,0))</f>
        <v>#N/A</v>
      </c>
    </row>
    <row r="259">
      <c r="A259" s="4" t="s">
        <v>1414</v>
      </c>
      <c r="B259" s="3">
        <v>8000.0</v>
      </c>
      <c r="C259" s="4"/>
      <c r="D259" s="4" t="str">
        <f t="shared" si="1"/>
        <v>AVEC</v>
      </c>
      <c r="E259" s="4" t="str">
        <f t="array" ref="E259">INDEX(consolid1!$I$2:$I$904,MATCH(A259,consolid1!$B$2:$B$904,0))</f>
        <v>#N/A</v>
      </c>
      <c r="F259" s="4" t="str">
        <f t="array" ref="F259">INDEX(consolid1!$G$2:$G1534,MATCH(A259,consolid1!$B$2:$B1534,0))</f>
        <v>#N/A</v>
      </c>
    </row>
    <row r="260">
      <c r="A260" s="4" t="s">
        <v>1890</v>
      </c>
      <c r="B260" s="3">
        <v>8000.0</v>
      </c>
      <c r="C260" s="3" t="s">
        <v>3</v>
      </c>
      <c r="D260" s="4" t="str">
        <f t="shared" si="1"/>
        <v>AVEC</v>
      </c>
      <c r="E260" s="4" t="str">
        <f t="array" ref="E260">INDEX(consolid1!$I$2:$I$904,MATCH(A260,consolid1!$B$2:$B$904,0))</f>
        <v>#N/A</v>
      </c>
      <c r="F260" s="4" t="str">
        <f t="array" ref="F260">INDEX(consolid1!$G$2:$G1534,MATCH(A260,consolid1!$B$2:$B1534,0))</f>
        <v>#N/A</v>
      </c>
    </row>
    <row r="261">
      <c r="A261" s="4" t="s">
        <v>2315</v>
      </c>
      <c r="B261" s="3">
        <v>8000.0</v>
      </c>
      <c r="C261" s="4"/>
      <c r="D261" s="4" t="str">
        <f t="shared" si="1"/>
        <v>AVEC</v>
      </c>
      <c r="E261" s="4" t="str">
        <f t="array" ref="E261">INDEX(consolid1!$I$2:$I$904,MATCH(A261,consolid1!$B$2:$B$904,0))</f>
        <v>#N/A</v>
      </c>
      <c r="F261" s="4" t="str">
        <f t="array" ref="F261">INDEX(consolid1!$G$2:$G1534,MATCH(A261,consolid1!$B$2:$B1534,0))</f>
        <v>#N/A</v>
      </c>
    </row>
    <row r="262">
      <c r="A262" s="4" t="s">
        <v>158</v>
      </c>
      <c r="B262" s="3">
        <v>7932.0</v>
      </c>
      <c r="C262" s="4"/>
      <c r="D262" s="4" t="str">
        <f t="shared" si="1"/>
        <v>AVEC</v>
      </c>
      <c r="E262" s="4" t="str">
        <f t="array" ref="E262">INDEX(consolid1!$I$2:$I$904,MATCH(A262,consolid1!$B$2:$B$904,0))</f>
        <v>#N/A</v>
      </c>
      <c r="F262" s="4" t="str">
        <f t="array" ref="F262">INDEX(consolid1!$G$2:$G1534,MATCH(A262,consolid1!$B$2:$B1534,0))</f>
        <v>#N/A</v>
      </c>
    </row>
    <row r="263">
      <c r="A263" s="4" t="s">
        <v>988</v>
      </c>
      <c r="B263" s="3">
        <v>7800.0</v>
      </c>
      <c r="C263" s="3" t="s">
        <v>280</v>
      </c>
      <c r="D263" s="4" t="str">
        <f t="shared" si="1"/>
        <v>AVEC</v>
      </c>
      <c r="E263" s="4" t="str">
        <f t="array" ref="E263">INDEX(consolid1!$I$2:$I$904,MATCH(A263,consolid1!$B$2:$B$904,0))</f>
        <v>Culture</v>
      </c>
      <c r="F263" s="4" t="str">
        <f t="array" ref="F263">INDEX(consolid1!$G$2:$G1534,MATCH(A263,consolid1!$B$2:$B1534,0))</f>
        <v>MARC PINAUD</v>
      </c>
    </row>
    <row r="264">
      <c r="A264" s="4" t="s">
        <v>1606</v>
      </c>
      <c r="B264" s="3">
        <v>7800.0</v>
      </c>
      <c r="C264" s="3" t="s">
        <v>3</v>
      </c>
      <c r="D264" s="4" t="str">
        <f t="shared" si="1"/>
        <v>AVEC</v>
      </c>
      <c r="E264" s="4" t="str">
        <f t="array" ref="E264">INDEX(consolid1!$I$2:$I$904,MATCH(A264,consolid1!$B$2:$B$904,0))</f>
        <v>Culture</v>
      </c>
      <c r="F264" s="4" t="str">
        <f t="array" ref="F264">INDEX(consolid1!$G$2:$G1534,MATCH(A264,consolid1!$B$2:$B1534,0))</f>
        <v>null</v>
      </c>
    </row>
    <row r="265">
      <c r="A265" s="4" t="s">
        <v>2312</v>
      </c>
      <c r="B265" s="3">
        <v>7800.0</v>
      </c>
      <c r="C265" s="4"/>
      <c r="D265" s="4" t="str">
        <f t="shared" si="1"/>
        <v>AVEC</v>
      </c>
      <c r="E265" s="4" t="str">
        <f t="array" ref="E265">INDEX(consolid1!$I$2:$I$904,MATCH(A265,consolid1!$B$2:$B$904,0))</f>
        <v>#N/A</v>
      </c>
      <c r="F265" s="4" t="str">
        <f t="array" ref="F265">INDEX(consolid1!$G$2:$G1534,MATCH(A265,consolid1!$B$2:$B1534,0))</f>
        <v>#N/A</v>
      </c>
    </row>
    <row r="266">
      <c r="A266" s="4" t="s">
        <v>2070</v>
      </c>
      <c r="B266" s="3">
        <v>7600.0</v>
      </c>
      <c r="C266" s="3" t="s">
        <v>32</v>
      </c>
      <c r="D266" s="4" t="str">
        <f t="shared" si="1"/>
        <v>AVEC</v>
      </c>
      <c r="E266" s="4" t="str">
        <f t="array" ref="E266">INDEX(consolid1!$I$2:$I$904,MATCH(A266,consolid1!$B$2:$B$904,0))</f>
        <v>#N/A</v>
      </c>
      <c r="F266" s="4" t="str">
        <f t="array" ref="F266">INDEX(consolid1!$G$2:$G1534,MATCH(A266,consolid1!$B$2:$B1534,0))</f>
        <v>#N/A</v>
      </c>
    </row>
    <row r="267">
      <c r="A267" s="4" t="s">
        <v>2048</v>
      </c>
      <c r="B267" s="3">
        <v>7600.0</v>
      </c>
      <c r="C267" s="4"/>
      <c r="D267" s="4" t="str">
        <f t="shared" si="1"/>
        <v>AVEC</v>
      </c>
      <c r="E267" s="4" t="str">
        <f t="array" ref="E267">INDEX(consolid1!$I$2:$I$904,MATCH(A267,consolid1!$B$2:$B$904,0))</f>
        <v>#N/A</v>
      </c>
      <c r="F267" s="4" t="str">
        <f t="array" ref="F267">INDEX(consolid1!$G$2:$G1534,MATCH(A267,consolid1!$B$2:$B1534,0))</f>
        <v>#N/A</v>
      </c>
    </row>
    <row r="268">
      <c r="A268" s="4" t="s">
        <v>164</v>
      </c>
      <c r="B268" s="3">
        <v>7500.0</v>
      </c>
      <c r="C268" s="4"/>
      <c r="D268" s="4" t="str">
        <f t="shared" si="1"/>
        <v>AVEC</v>
      </c>
      <c r="E268" s="4" t="str">
        <f t="array" ref="E268">INDEX(consolid1!$I$2:$I$904,MATCH(A268,consolid1!$B$2:$B$904,0))</f>
        <v>#N/A</v>
      </c>
      <c r="F268" s="4" t="str">
        <f t="array" ref="F268">INDEX(consolid1!$G$2:$G1534,MATCH(A268,consolid1!$B$2:$B1534,0))</f>
        <v>#N/A</v>
      </c>
    </row>
    <row r="269">
      <c r="A269" s="4" t="s">
        <v>1420</v>
      </c>
      <c r="B269" s="3">
        <v>7500.0</v>
      </c>
      <c r="C269" s="3" t="s">
        <v>6</v>
      </c>
      <c r="D269" s="4" t="str">
        <f t="shared" si="1"/>
        <v>AVEC</v>
      </c>
      <c r="E269" s="4" t="str">
        <f t="array" ref="E269">INDEX(consolid1!$I$2:$I$904,MATCH(A269,consolid1!$B$2:$B$904,0))</f>
        <v>#N/A</v>
      </c>
      <c r="F269" s="4" t="str">
        <f t="array" ref="F269">INDEX(consolid1!$G$2:$G1534,MATCH(A269,consolid1!$B$2:$B1534,0))</f>
        <v>#N/A</v>
      </c>
    </row>
    <row r="270">
      <c r="A270" s="4" t="s">
        <v>322</v>
      </c>
      <c r="B270" s="3">
        <v>7475.0</v>
      </c>
      <c r="C270" s="3" t="s">
        <v>32</v>
      </c>
      <c r="D270" s="4" t="str">
        <f t="shared" si="1"/>
        <v>AVEC</v>
      </c>
      <c r="E270" s="4" t="str">
        <f t="array" ref="E270">INDEX(consolid1!$I$2:$I$904,MATCH(A270,consolid1!$B$2:$B$904,0))</f>
        <v>#N/A</v>
      </c>
      <c r="F270" s="4" t="str">
        <f t="array" ref="F270">INDEX(consolid1!$G$2:$G1534,MATCH(A270,consolid1!$B$2:$B1534,0))</f>
        <v>#N/A</v>
      </c>
    </row>
    <row r="271">
      <c r="A271" s="4" t="s">
        <v>1293</v>
      </c>
      <c r="B271" s="3">
        <v>7370.0</v>
      </c>
      <c r="C271" s="3" t="s">
        <v>29</v>
      </c>
      <c r="D271" s="4" t="str">
        <f t="shared" si="1"/>
        <v>AVEC</v>
      </c>
      <c r="E271" s="4" t="str">
        <f t="array" ref="E271">INDEX(consolid1!$I$2:$I$904,MATCH(A271,consolid1!$B$2:$B$904,0))</f>
        <v>#N/A</v>
      </c>
      <c r="F271" s="4" t="str">
        <f t="array" ref="F271">INDEX(consolid1!$G$2:$G1534,MATCH(A271,consolid1!$B$2:$B1534,0))</f>
        <v>#N/A</v>
      </c>
    </row>
    <row r="272">
      <c r="A272" s="4" t="s">
        <v>702</v>
      </c>
      <c r="B272" s="3">
        <v>7300.0</v>
      </c>
      <c r="C272" s="3" t="s">
        <v>32</v>
      </c>
      <c r="D272" s="4" t="str">
        <f t="shared" si="1"/>
        <v>AVEC</v>
      </c>
      <c r="E272" s="4" t="str">
        <f t="array" ref="E272">INDEX(consolid1!$I$2:$I$904,MATCH(A272,consolid1!$B$2:$B$904,0))</f>
        <v>#N/A</v>
      </c>
      <c r="F272" s="4" t="str">
        <f t="array" ref="F272">INDEX(consolid1!$G$2:$G1534,MATCH(A272,consolid1!$B$2:$B1534,0))</f>
        <v>#N/A</v>
      </c>
    </row>
    <row r="273">
      <c r="A273" s="4" t="s">
        <v>1747</v>
      </c>
      <c r="B273" s="3">
        <v>7100.0</v>
      </c>
      <c r="C273" s="3" t="s">
        <v>6</v>
      </c>
      <c r="D273" s="4" t="str">
        <f t="shared" si="1"/>
        <v>AVEC</v>
      </c>
      <c r="E273" s="4" t="str">
        <f t="array" ref="E273">INDEX(consolid1!$I$2:$I$904,MATCH(A273,consolid1!$B$2:$B$904,0))</f>
        <v>#N/A</v>
      </c>
      <c r="F273" s="4" t="str">
        <f t="array" ref="F273">INDEX(consolid1!$G$2:$G1534,MATCH(A273,consolid1!$B$2:$B1534,0))</f>
        <v>#N/A</v>
      </c>
    </row>
    <row r="274">
      <c r="A274" s="4" t="s">
        <v>532</v>
      </c>
      <c r="B274" s="3">
        <v>7000.0</v>
      </c>
      <c r="C274" s="3" t="s">
        <v>3</v>
      </c>
      <c r="D274" s="4" t="str">
        <f t="shared" si="1"/>
        <v>AVEC</v>
      </c>
      <c r="E274" s="4" t="str">
        <f t="array" ref="E274">INDEX(consolid1!$I$2:$I$904,MATCH(A274,consolid1!$B$2:$B$904,0))</f>
        <v>#N/A</v>
      </c>
      <c r="F274" s="4" t="str">
        <f t="array" ref="F274">INDEX(consolid1!$G$2:$G1534,MATCH(A274,consolid1!$B$2:$B1534,0))</f>
        <v>#N/A</v>
      </c>
    </row>
    <row r="275">
      <c r="A275" s="4" t="s">
        <v>659</v>
      </c>
      <c r="B275" s="3">
        <v>7000.0</v>
      </c>
      <c r="C275" s="3" t="s">
        <v>6</v>
      </c>
      <c r="D275" s="4" t="str">
        <f t="shared" si="1"/>
        <v>AVEC</v>
      </c>
      <c r="E275" s="4" t="str">
        <f t="array" ref="E275">INDEX(consolid1!$I$2:$I$904,MATCH(A275,consolid1!$B$2:$B$904,0))</f>
        <v>#N/A</v>
      </c>
      <c r="F275" s="4" t="str">
        <f t="array" ref="F275">INDEX(consolid1!$G$2:$G1534,MATCH(A275,consolid1!$B$2:$B1534,0))</f>
        <v>#N/A</v>
      </c>
    </row>
    <row r="276">
      <c r="A276" s="4" t="s">
        <v>2198</v>
      </c>
      <c r="B276" s="3">
        <v>7000.0</v>
      </c>
      <c r="C276" s="4"/>
      <c r="D276" s="4" t="str">
        <f t="shared" si="1"/>
        <v>AVEC</v>
      </c>
      <c r="E276" s="4" t="str">
        <f t="array" ref="E276">INDEX(consolid1!$I$2:$I$904,MATCH(A276,consolid1!$B$2:$B$904,0))</f>
        <v>#N/A</v>
      </c>
      <c r="F276" s="4" t="str">
        <f t="array" ref="F276">INDEX(consolid1!$G$2:$G1534,MATCH(A276,consolid1!$B$2:$B1534,0))</f>
        <v>#N/A</v>
      </c>
    </row>
    <row r="277">
      <c r="A277" s="4" t="s">
        <v>755</v>
      </c>
      <c r="B277" s="3">
        <v>7000.0</v>
      </c>
      <c r="C277" s="3" t="s">
        <v>3</v>
      </c>
      <c r="D277" s="4" t="str">
        <f t="shared" si="1"/>
        <v>AVEC</v>
      </c>
      <c r="E277" s="4" t="str">
        <f t="array" ref="E277">INDEX(consolid1!$I$2:$I$904,MATCH(A277,consolid1!$B$2:$B$904,0))</f>
        <v>#N/A</v>
      </c>
      <c r="F277" s="4" t="str">
        <f t="array" ref="F277">INDEX(consolid1!$G$2:$G1534,MATCH(A277,consolid1!$B$2:$B1534,0))</f>
        <v>#N/A</v>
      </c>
    </row>
    <row r="278">
      <c r="A278" s="4" t="s">
        <v>1243</v>
      </c>
      <c r="B278" s="3">
        <v>7000.0</v>
      </c>
      <c r="C278" s="3" t="s">
        <v>26</v>
      </c>
      <c r="D278" s="4" t="str">
        <f t="shared" si="1"/>
        <v>AVEC</v>
      </c>
      <c r="E278" s="4" t="str">
        <f t="array" ref="E278">INDEX(consolid1!$I$2:$I$904,MATCH(A278,consolid1!$B$2:$B$904,0))</f>
        <v>#N/A</v>
      </c>
      <c r="F278" s="4" t="str">
        <f t="array" ref="F278">INDEX(consolid1!$G$2:$G1534,MATCH(A278,consolid1!$B$2:$B1534,0))</f>
        <v>#N/A</v>
      </c>
    </row>
    <row r="279">
      <c r="A279" s="4" t="s">
        <v>1392</v>
      </c>
      <c r="B279" s="3">
        <v>7000.0</v>
      </c>
      <c r="C279" s="4"/>
      <c r="D279" s="4" t="str">
        <f t="shared" si="1"/>
        <v>AVEC</v>
      </c>
      <c r="E279" s="4" t="str">
        <f t="array" ref="E279">INDEX(consolid1!$I$2:$I$904,MATCH(A279,consolid1!$B$2:$B$904,0))</f>
        <v>#N/A</v>
      </c>
      <c r="F279" s="4" t="str">
        <f t="array" ref="F279">INDEX(consolid1!$G$2:$G1534,MATCH(A279,consolid1!$B$2:$B1534,0))</f>
        <v>#N/A</v>
      </c>
    </row>
    <row r="280">
      <c r="A280" s="4" t="s">
        <v>1536</v>
      </c>
      <c r="B280" s="3">
        <v>7000.0</v>
      </c>
      <c r="C280" s="4"/>
      <c r="D280" s="4" t="str">
        <f t="shared" si="1"/>
        <v>AVEC</v>
      </c>
      <c r="E280" s="4" t="str">
        <f t="array" ref="E280">INDEX(consolid1!$I$2:$I$904,MATCH(A280,consolid1!$B$2:$B$904,0))</f>
        <v>#N/A</v>
      </c>
      <c r="F280" s="4" t="str">
        <f t="array" ref="F280">INDEX(consolid1!$G$2:$G1534,MATCH(A280,consolid1!$B$2:$B1534,0))</f>
        <v>#N/A</v>
      </c>
    </row>
    <row r="281">
      <c r="A281" s="4" t="s">
        <v>2047</v>
      </c>
      <c r="B281" s="3">
        <v>7000.0</v>
      </c>
      <c r="C281" s="4"/>
      <c r="D281" s="4" t="str">
        <f t="shared" si="1"/>
        <v>AVEC</v>
      </c>
      <c r="E281" s="4" t="str">
        <f t="array" ref="E281">INDEX(consolid1!$I$2:$I$904,MATCH(A281,consolid1!$B$2:$B$904,0))</f>
        <v>#N/A</v>
      </c>
      <c r="F281" s="4" t="str">
        <f t="array" ref="F281">INDEX(consolid1!$G$2:$G1534,MATCH(A281,consolid1!$B$2:$B1534,0))</f>
        <v>#N/A</v>
      </c>
    </row>
    <row r="282">
      <c r="A282" s="4" t="s">
        <v>2009</v>
      </c>
      <c r="B282" s="3">
        <v>6900.0</v>
      </c>
      <c r="C282" s="3" t="s">
        <v>6</v>
      </c>
      <c r="D282" s="4" t="str">
        <f t="shared" si="1"/>
        <v>AVEC</v>
      </c>
      <c r="E282" s="4" t="str">
        <f t="array" ref="E282">INDEX(consolid1!$I$2:$I$904,MATCH(A282,consolid1!$B$2:$B$904,0))</f>
        <v>#N/A</v>
      </c>
      <c r="F282" s="4" t="str">
        <f t="array" ref="F282">INDEX(consolid1!$G$2:$G1534,MATCH(A282,consolid1!$B$2:$B1534,0))</f>
        <v>#N/A</v>
      </c>
    </row>
    <row r="283">
      <c r="A283" s="4" t="s">
        <v>2313</v>
      </c>
      <c r="B283" s="3">
        <v>6800.0</v>
      </c>
      <c r="C283" s="4"/>
      <c r="D283" s="4" t="str">
        <f t="shared" si="1"/>
        <v>AVEC</v>
      </c>
      <c r="E283" s="4" t="str">
        <f t="array" ref="E283">INDEX(consolid1!$I$2:$I$904,MATCH(A283,consolid1!$B$2:$B$904,0))</f>
        <v>#N/A</v>
      </c>
      <c r="F283" s="4" t="str">
        <f t="array" ref="F283">INDEX(consolid1!$G$2:$G1534,MATCH(A283,consolid1!$B$2:$B1534,0))</f>
        <v>#N/A</v>
      </c>
    </row>
    <row r="284">
      <c r="A284" s="4" t="s">
        <v>57</v>
      </c>
      <c r="B284" s="3">
        <v>6500.0</v>
      </c>
      <c r="C284" s="4"/>
      <c r="D284" s="4" t="str">
        <f t="shared" si="1"/>
        <v>AVEC</v>
      </c>
      <c r="E284" s="4" t="str">
        <f t="array" ref="E284">INDEX(consolid1!$I$2:$I$904,MATCH(A284,consolid1!$B$2:$B$904,0))</f>
        <v>#N/A</v>
      </c>
      <c r="F284" s="4" t="str">
        <f t="array" ref="F284">INDEX(consolid1!$G$2:$G1534,MATCH(A284,consolid1!$B$2:$B1534,0))</f>
        <v>#N/A</v>
      </c>
    </row>
    <row r="285">
      <c r="A285" s="4" t="s">
        <v>1460</v>
      </c>
      <c r="B285" s="3">
        <v>6500.0</v>
      </c>
      <c r="C285" s="4"/>
      <c r="D285" s="4" t="str">
        <f t="shared" si="1"/>
        <v>AVEC</v>
      </c>
      <c r="E285" s="4" t="str">
        <f t="array" ref="E285">INDEX(consolid1!$I$2:$I$904,MATCH(A285,consolid1!$B$2:$B$904,0))</f>
        <v>Culture</v>
      </c>
      <c r="F285" s="4" t="str">
        <f t="array" ref="F285">INDEX(consolid1!$G$2:$G1534,MATCH(A285,consolid1!$B$2:$B1534,0))</f>
        <v>null</v>
      </c>
    </row>
    <row r="286">
      <c r="A286" s="4" t="s">
        <v>1896</v>
      </c>
      <c r="B286" s="3">
        <v>6500.0</v>
      </c>
      <c r="C286" s="4"/>
      <c r="D286" s="4" t="str">
        <f t="shared" si="1"/>
        <v>AVEC</v>
      </c>
      <c r="E286" s="4" t="str">
        <f t="array" ref="E286">INDEX(consolid1!$I$2:$I$904,MATCH(A286,consolid1!$B$2:$B$904,0))</f>
        <v>#N/A</v>
      </c>
      <c r="F286" s="4" t="str">
        <f t="array" ref="F286">INDEX(consolid1!$G$2:$G1534,MATCH(A286,consolid1!$B$2:$B1534,0))</f>
        <v>#N/A</v>
      </c>
    </row>
    <row r="287">
      <c r="A287" s="4" t="s">
        <v>1911</v>
      </c>
      <c r="B287" s="3">
        <v>6500.0</v>
      </c>
      <c r="C287" s="4"/>
      <c r="D287" s="4" t="str">
        <f t="shared" si="1"/>
        <v>AVEC</v>
      </c>
      <c r="E287" s="4" t="str">
        <f t="array" ref="E287">INDEX(consolid1!$I$2:$I$904,MATCH(A287,consolid1!$B$2:$B$904,0))</f>
        <v>#N/A</v>
      </c>
      <c r="F287" s="4" t="str">
        <f t="array" ref="F287">INDEX(consolid1!$G$2:$G1534,MATCH(A287,consolid1!$B$2:$B1534,0))</f>
        <v>#N/A</v>
      </c>
    </row>
    <row r="288">
      <c r="A288" s="4" t="s">
        <v>1994</v>
      </c>
      <c r="B288" s="3">
        <v>6500.0</v>
      </c>
      <c r="C288" s="4"/>
      <c r="D288" s="4" t="str">
        <f t="shared" si="1"/>
        <v>AVEC</v>
      </c>
      <c r="E288" s="4" t="str">
        <f t="array" ref="E288">INDEX(consolid1!$I$2:$I$904,MATCH(A288,consolid1!$B$2:$B$904,0))</f>
        <v>#N/A</v>
      </c>
      <c r="F288" s="4" t="str">
        <f t="array" ref="F288">INDEX(consolid1!$G$2:$G1534,MATCH(A288,consolid1!$B$2:$B1534,0))</f>
        <v>#N/A</v>
      </c>
    </row>
    <row r="289">
      <c r="A289" s="4" t="s">
        <v>2272</v>
      </c>
      <c r="B289" s="3">
        <v>6400.0</v>
      </c>
      <c r="C289" s="3" t="s">
        <v>580</v>
      </c>
      <c r="D289" s="4" t="str">
        <f t="shared" si="1"/>
        <v>AVEC</v>
      </c>
      <c r="E289" s="4" t="str">
        <f t="array" ref="E289">INDEX(consolid1!$I$2:$I$904,MATCH(A289,consolid1!$B$2:$B$904,0))</f>
        <v>#N/A</v>
      </c>
      <c r="F289" s="4" t="str">
        <f t="array" ref="F289">INDEX(consolid1!$G$2:$G1534,MATCH(A289,consolid1!$B$2:$B1534,0))</f>
        <v>#N/A</v>
      </c>
    </row>
    <row r="290">
      <c r="A290" s="4" t="s">
        <v>1773</v>
      </c>
      <c r="B290" s="3">
        <v>6182.0</v>
      </c>
      <c r="C290" s="4"/>
      <c r="D290" s="4" t="str">
        <f t="shared" si="1"/>
        <v>AVEC</v>
      </c>
      <c r="E290" s="4" t="str">
        <f t="array" ref="E290">INDEX(consolid1!$I$2:$I$904,MATCH(A290,consolid1!$B$2:$B$904,0))</f>
        <v>#N/A</v>
      </c>
      <c r="F290" s="4" t="str">
        <f t="array" ref="F290">INDEX(consolid1!$G$2:$G1534,MATCH(A290,consolid1!$B$2:$B1534,0))</f>
        <v>#N/A</v>
      </c>
    </row>
    <row r="291">
      <c r="A291" s="4" t="s">
        <v>1938</v>
      </c>
      <c r="B291" s="3">
        <v>6100.0</v>
      </c>
      <c r="C291" s="4"/>
      <c r="D291" s="4" t="str">
        <f t="shared" si="1"/>
        <v>AVEC</v>
      </c>
      <c r="E291" s="4" t="str">
        <f t="array" ref="E291">INDEX(consolid1!$I$2:$I$904,MATCH(A291,consolid1!$B$2:$B$904,0))</f>
        <v>#N/A</v>
      </c>
      <c r="F291" s="4" t="str">
        <f t="array" ref="F291">INDEX(consolid1!$G$2:$G1534,MATCH(A291,consolid1!$B$2:$B1534,0))</f>
        <v>#N/A</v>
      </c>
    </row>
    <row r="292">
      <c r="A292" s="4" t="s">
        <v>71</v>
      </c>
      <c r="B292" s="3">
        <v>6000.0</v>
      </c>
      <c r="C292" s="3" t="s">
        <v>3</v>
      </c>
      <c r="D292" s="4" t="str">
        <f t="shared" si="1"/>
        <v>AVEC</v>
      </c>
      <c r="E292" s="4" t="str">
        <f t="array" ref="E292">INDEX(consolid1!$I$2:$I$904,MATCH(A292,consolid1!$B$2:$B$904,0))</f>
        <v>#N/A</v>
      </c>
      <c r="F292" s="4" t="str">
        <f t="array" ref="F292">INDEX(consolid1!$G$2:$G1534,MATCH(A292,consolid1!$B$2:$B1534,0))</f>
        <v>#N/A</v>
      </c>
    </row>
    <row r="293">
      <c r="A293" s="4" t="s">
        <v>793</v>
      </c>
      <c r="B293" s="3">
        <v>6000.0</v>
      </c>
      <c r="C293" s="4"/>
      <c r="D293" s="4" t="str">
        <f t="shared" si="1"/>
        <v>AVEC</v>
      </c>
      <c r="E293" s="4" t="str">
        <f t="array" ref="E293">INDEX(consolid1!$I$2:$I$904,MATCH(A293,consolid1!$B$2:$B$904,0))</f>
        <v>Emploi, insertion professionnelle, formation</v>
      </c>
      <c r="F293" s="4" t="str">
        <f t="array" ref="F293">INDEX(consolid1!$G$2:$G1534,MATCH(A293,consolid1!$B$2:$B1534,0))</f>
        <v>null</v>
      </c>
    </row>
    <row r="294">
      <c r="A294" s="4" t="s">
        <v>921</v>
      </c>
      <c r="B294" s="3">
        <v>6000.0</v>
      </c>
      <c r="C294" s="4"/>
      <c r="D294" s="4" t="str">
        <f t="shared" si="1"/>
        <v>AVEC</v>
      </c>
      <c r="E294" s="4" t="str">
        <f t="array" ref="E294">INDEX(consolid1!$I$2:$I$904,MATCH(A294,consolid1!$B$2:$B$904,0))</f>
        <v>#N/A</v>
      </c>
      <c r="F294" s="4" t="str">
        <f t="array" ref="F294">INDEX(consolid1!$G$2:$G1534,MATCH(A294,consolid1!$B$2:$B1534,0))</f>
        <v>#N/A</v>
      </c>
    </row>
    <row r="295">
      <c r="A295" s="4" t="s">
        <v>927</v>
      </c>
      <c r="B295" s="3">
        <v>6000.0</v>
      </c>
      <c r="C295" s="4"/>
      <c r="D295" s="4" t="str">
        <f t="shared" si="1"/>
        <v>AVEC</v>
      </c>
      <c r="E295" s="4" t="str">
        <f t="array" ref="E295">INDEX(consolid1!$I$2:$I$904,MATCH(A295,consolid1!$B$2:$B$904,0))</f>
        <v>#N/A</v>
      </c>
      <c r="F295" s="4" t="str">
        <f t="array" ref="F295">INDEX(consolid1!$G$2:$G1534,MATCH(A295,consolid1!$B$2:$B1534,0))</f>
        <v>#N/A</v>
      </c>
    </row>
    <row r="296">
      <c r="A296" s="4" t="s">
        <v>1279</v>
      </c>
      <c r="B296" s="3">
        <v>6000.0</v>
      </c>
      <c r="C296" s="4"/>
      <c r="D296" s="4" t="str">
        <f t="shared" si="1"/>
        <v>AVEC</v>
      </c>
      <c r="E296" s="4" t="str">
        <f t="array" ref="E296">INDEX(consolid1!$I$2:$I$904,MATCH(A296,consolid1!$B$2:$B$904,0))</f>
        <v>#N/A</v>
      </c>
      <c r="F296" s="4" t="str">
        <f t="array" ref="F296">INDEX(consolid1!$G$2:$G1534,MATCH(A296,consolid1!$B$2:$B1534,0))</f>
        <v>#N/A</v>
      </c>
    </row>
    <row r="297">
      <c r="A297" s="4" t="s">
        <v>1343</v>
      </c>
      <c r="B297" s="3">
        <v>6000.0</v>
      </c>
      <c r="C297" s="4"/>
      <c r="D297" s="4" t="str">
        <f t="shared" si="1"/>
        <v>AVEC</v>
      </c>
      <c r="E297" s="4" t="str">
        <f t="array" ref="E297">INDEX(consolid1!$I$2:$I$904,MATCH(A297,consolid1!$B$2:$B$904,0))</f>
        <v>#N/A</v>
      </c>
      <c r="F297" s="4" t="str">
        <f t="array" ref="F297">INDEX(consolid1!$G$2:$G1534,MATCH(A297,consolid1!$B$2:$B1534,0))</f>
        <v>#N/A</v>
      </c>
    </row>
    <row r="298">
      <c r="A298" s="4" t="s">
        <v>1367</v>
      </c>
      <c r="B298" s="3">
        <v>6000.0</v>
      </c>
      <c r="C298" s="3" t="s">
        <v>3</v>
      </c>
      <c r="D298" s="4" t="str">
        <f t="shared" si="1"/>
        <v>AVEC</v>
      </c>
      <c r="E298" s="4" t="str">
        <f t="array" ref="E298">INDEX(consolid1!$I$2:$I$904,MATCH(A298,consolid1!$B$2:$B$904,0))</f>
        <v>#N/A</v>
      </c>
      <c r="F298" s="4" t="str">
        <f t="array" ref="F298">INDEX(consolid1!$G$2:$G1534,MATCH(A298,consolid1!$B$2:$B1534,0))</f>
        <v>#N/A</v>
      </c>
    </row>
    <row r="299">
      <c r="A299" s="4" t="s">
        <v>1475</v>
      </c>
      <c r="B299" s="3">
        <v>6000.0</v>
      </c>
      <c r="C299" s="4"/>
      <c r="D299" s="4" t="str">
        <f t="shared" si="1"/>
        <v>AVEC</v>
      </c>
      <c r="E299" s="4" t="str">
        <f t="array" ref="E299">INDEX(consolid1!$I$2:$I$904,MATCH(A299,consolid1!$B$2:$B$904,0))</f>
        <v>Santé, bien-être</v>
      </c>
      <c r="F299" s="4" t="str">
        <f t="array" ref="F299">INDEX(consolid1!$G$2:$G1534,MATCH(A299,consolid1!$B$2:$B1534,0))</f>
        <v>Patricia CHAUFFOURIER</v>
      </c>
    </row>
    <row r="300">
      <c r="A300" s="4" t="s">
        <v>1568</v>
      </c>
      <c r="B300" s="3">
        <v>6000.0</v>
      </c>
      <c r="C300" s="3" t="s">
        <v>32</v>
      </c>
      <c r="D300" s="4" t="str">
        <f t="shared" si="1"/>
        <v>AVEC</v>
      </c>
      <c r="E300" s="4" t="str">
        <f t="array" ref="E300">INDEX(consolid1!$I$2:$I$904,MATCH(A300,consolid1!$B$2:$B$904,0))</f>
        <v>#N/A</v>
      </c>
      <c r="F300" s="4" t="str">
        <f t="array" ref="F300">INDEX(consolid1!$G$2:$G1534,MATCH(A300,consolid1!$B$2:$B1534,0))</f>
        <v>#N/A</v>
      </c>
    </row>
    <row r="301">
      <c r="A301" s="4" t="s">
        <v>1581</v>
      </c>
      <c r="B301" s="3">
        <v>6000.0</v>
      </c>
      <c r="C301" s="3" t="s">
        <v>32</v>
      </c>
      <c r="D301" s="4" t="str">
        <f t="shared" si="1"/>
        <v>AVEC</v>
      </c>
      <c r="E301" s="4" t="str">
        <f t="array" ref="E301">INDEX(consolid1!$I$2:$I$904,MATCH(A301,consolid1!$B$2:$B$904,0))</f>
        <v>#N/A</v>
      </c>
      <c r="F301" s="4" t="str">
        <f t="array" ref="F301">INDEX(consolid1!$G$2:$G1534,MATCH(A301,consolid1!$B$2:$B1534,0))</f>
        <v>#N/A</v>
      </c>
    </row>
    <row r="302">
      <c r="A302" s="4" t="s">
        <v>1754</v>
      </c>
      <c r="B302" s="3">
        <v>6000.0</v>
      </c>
      <c r="C302" s="3" t="s">
        <v>32</v>
      </c>
      <c r="D302" s="4" t="str">
        <f t="shared" si="1"/>
        <v>AVEC</v>
      </c>
      <c r="E302" s="4" t="str">
        <f t="array" ref="E302">INDEX(consolid1!$I$2:$I$904,MATCH(A302,consolid1!$B$2:$B$904,0))</f>
        <v>#N/A</v>
      </c>
      <c r="F302" s="4" t="str">
        <f t="array" ref="F302">INDEX(consolid1!$G$2:$G1534,MATCH(A302,consolid1!$B$2:$B1534,0))</f>
        <v>#N/A</v>
      </c>
    </row>
    <row r="303">
      <c r="A303" s="4" t="s">
        <v>442</v>
      </c>
      <c r="B303" s="3">
        <v>5900.0</v>
      </c>
      <c r="C303" s="4"/>
      <c r="D303" s="4" t="str">
        <f t="shared" si="1"/>
        <v>AVEC</v>
      </c>
      <c r="E303" s="4" t="str">
        <f t="array" ref="E303">INDEX(consolid1!$I$2:$I$904,MATCH(A303,consolid1!$B$2:$B$904,0))</f>
        <v>#N/A</v>
      </c>
      <c r="F303" s="4" t="str">
        <f t="array" ref="F303">INDEX(consolid1!$G$2:$G1534,MATCH(A303,consolid1!$B$2:$B1534,0))</f>
        <v>#N/A</v>
      </c>
    </row>
    <row r="304">
      <c r="A304" s="4" t="s">
        <v>717</v>
      </c>
      <c r="B304" s="3">
        <v>5750.0</v>
      </c>
      <c r="C304" s="3" t="s">
        <v>3</v>
      </c>
      <c r="D304" s="4" t="str">
        <f t="shared" si="1"/>
        <v>AVEC</v>
      </c>
      <c r="E304" s="4" t="str">
        <f t="array" ref="E304">INDEX(consolid1!$I$2:$I$904,MATCH(A304,consolid1!$B$2:$B$904,0))</f>
        <v>#N/A</v>
      </c>
      <c r="F304" s="4" t="str">
        <f t="array" ref="F304">INDEX(consolid1!$G$2:$G1534,MATCH(A304,consolid1!$B$2:$B1534,0))</f>
        <v>#N/A</v>
      </c>
    </row>
    <row r="305">
      <c r="A305" s="4" t="s">
        <v>330</v>
      </c>
      <c r="B305" s="3">
        <v>5688.0</v>
      </c>
      <c r="C305" s="3" t="s">
        <v>6</v>
      </c>
      <c r="D305" s="4" t="str">
        <f t="shared" si="1"/>
        <v>AVEC</v>
      </c>
      <c r="E305" s="4" t="str">
        <f t="array" ref="E305">INDEX(consolid1!$I$2:$I$904,MATCH(A305,consolid1!$B$2:$B$904,0))</f>
        <v>#N/A</v>
      </c>
      <c r="F305" s="4" t="str">
        <f t="array" ref="F305">INDEX(consolid1!$G$2:$G1534,MATCH(A305,consolid1!$B$2:$B1534,0))</f>
        <v>#N/A</v>
      </c>
    </row>
    <row r="306">
      <c r="A306" s="4" t="s">
        <v>78</v>
      </c>
      <c r="B306" s="3">
        <v>5500.0</v>
      </c>
      <c r="C306" s="4"/>
      <c r="D306" s="4" t="str">
        <f t="shared" si="1"/>
        <v>AVEC</v>
      </c>
      <c r="E306" s="4" t="str">
        <f t="array" ref="E306">INDEX(consolid1!$I$2:$I$904,MATCH(A306,consolid1!$B$2:$B$904,0))</f>
        <v>#N/A</v>
      </c>
      <c r="F306" s="4" t="str">
        <f t="array" ref="F306">INDEX(consolid1!$G$2:$G1534,MATCH(A306,consolid1!$B$2:$B1534,0))</f>
        <v>#N/A</v>
      </c>
    </row>
    <row r="307">
      <c r="A307" s="4" t="s">
        <v>238</v>
      </c>
      <c r="B307" s="3">
        <v>5500.0</v>
      </c>
      <c r="C307" s="3" t="s">
        <v>3</v>
      </c>
      <c r="D307" s="4" t="str">
        <f t="shared" si="1"/>
        <v>AVEC</v>
      </c>
      <c r="E307" s="4" t="str">
        <f t="array" ref="E307">INDEX(consolid1!$I$2:$I$904,MATCH(A307,consolid1!$B$2:$B$904,0))</f>
        <v>#N/A</v>
      </c>
      <c r="F307" s="4" t="str">
        <f t="array" ref="F307">INDEX(consolid1!$G$2:$G1534,MATCH(A307,consolid1!$B$2:$B1534,0))</f>
        <v>#N/A</v>
      </c>
    </row>
    <row r="308">
      <c r="A308" s="4" t="s">
        <v>1192</v>
      </c>
      <c r="B308" s="3">
        <v>5500.0</v>
      </c>
      <c r="C308" s="3" t="s">
        <v>29</v>
      </c>
      <c r="D308" s="4" t="str">
        <f t="shared" si="1"/>
        <v>AVEC</v>
      </c>
      <c r="E308" s="4" t="str">
        <f t="array" ref="E308">INDEX(consolid1!$I$2:$I$904,MATCH(A308,consolid1!$B$2:$B$904,0))</f>
        <v>#N/A</v>
      </c>
      <c r="F308" s="4" t="str">
        <f t="array" ref="F308">INDEX(consolid1!$G$2:$G1534,MATCH(A308,consolid1!$B$2:$B1534,0))</f>
        <v>#N/A</v>
      </c>
    </row>
    <row r="309">
      <c r="A309" s="4" t="s">
        <v>1594</v>
      </c>
      <c r="B309" s="3">
        <v>5500.0</v>
      </c>
      <c r="C309" s="3" t="s">
        <v>6</v>
      </c>
      <c r="D309" s="4" t="str">
        <f t="shared" si="1"/>
        <v>AVEC</v>
      </c>
      <c r="E309" s="4" t="str">
        <f t="array" ref="E309">INDEX(consolid1!$I$2:$I$904,MATCH(A309,consolid1!$B$2:$B$904,0))</f>
        <v>#N/A</v>
      </c>
      <c r="F309" s="4" t="str">
        <f t="array" ref="F309">INDEX(consolid1!$G$2:$G1534,MATCH(A309,consolid1!$B$2:$B1534,0))</f>
        <v>#N/A</v>
      </c>
    </row>
    <row r="310">
      <c r="A310" s="4" t="s">
        <v>1989</v>
      </c>
      <c r="B310" s="3">
        <v>5394.0</v>
      </c>
      <c r="C310" s="3" t="s">
        <v>6</v>
      </c>
      <c r="D310" s="4" t="str">
        <f t="shared" si="1"/>
        <v>AVEC</v>
      </c>
      <c r="E310" s="4" t="str">
        <f t="array" ref="E310">INDEX(consolid1!$I$2:$I$904,MATCH(A310,consolid1!$B$2:$B$904,0))</f>
        <v>#N/A</v>
      </c>
      <c r="F310" s="4" t="str">
        <f t="array" ref="F310">INDEX(consolid1!$G$2:$G1534,MATCH(A310,consolid1!$B$2:$B1534,0))</f>
        <v>#N/A</v>
      </c>
    </row>
    <row r="311">
      <c r="A311" s="4" t="s">
        <v>2073</v>
      </c>
      <c r="B311" s="3">
        <v>5000.0</v>
      </c>
      <c r="C311" s="4"/>
      <c r="D311" s="4" t="str">
        <f t="shared" si="1"/>
        <v>AVEC</v>
      </c>
      <c r="E311" s="4" t="str">
        <f t="array" ref="E311">INDEX(consolid1!$I$2:$I$904,MATCH(A311,consolid1!$B$2:$B$904,0))</f>
        <v>#N/A</v>
      </c>
      <c r="F311" s="4" t="str">
        <f t="array" ref="F311">INDEX(consolid1!$G$2:$G1534,MATCH(A311,consolid1!$B$2:$B1534,0))</f>
        <v>#N/A</v>
      </c>
    </row>
    <row r="312">
      <c r="A312" s="4" t="s">
        <v>63</v>
      </c>
      <c r="B312" s="3">
        <v>5000.0</v>
      </c>
      <c r="C312" s="3" t="s">
        <v>3</v>
      </c>
      <c r="D312" s="4" t="str">
        <f t="shared" si="1"/>
        <v>AVEC</v>
      </c>
      <c r="E312" s="4" t="str">
        <f t="array" ref="E312">INDEX(consolid1!$I$2:$I$904,MATCH(A312,consolid1!$B$2:$B$904,0))</f>
        <v>#N/A</v>
      </c>
      <c r="F312" s="4" t="str">
        <f t="array" ref="F312">INDEX(consolid1!$G$2:$G1534,MATCH(A312,consolid1!$B$2:$B1534,0))</f>
        <v>#N/A</v>
      </c>
    </row>
    <row r="313">
      <c r="A313" s="4" t="s">
        <v>76</v>
      </c>
      <c r="B313" s="3">
        <v>5000.0</v>
      </c>
      <c r="C313" s="3" t="s">
        <v>6</v>
      </c>
      <c r="D313" s="4" t="str">
        <f t="shared" si="1"/>
        <v>AVEC</v>
      </c>
      <c r="E313" s="4" t="str">
        <f t="array" ref="E313">INDEX(consolid1!$I$2:$I$904,MATCH(A313,consolid1!$B$2:$B$904,0))</f>
        <v>#N/A</v>
      </c>
      <c r="F313" s="4" t="str">
        <f t="array" ref="F313">INDEX(consolid1!$G$2:$G1534,MATCH(A313,consolid1!$B$2:$B1534,0))</f>
        <v>#N/A</v>
      </c>
    </row>
    <row r="314">
      <c r="A314" s="4" t="s">
        <v>399</v>
      </c>
      <c r="B314" s="3">
        <v>5000.0</v>
      </c>
      <c r="C314" s="4"/>
      <c r="D314" s="4" t="str">
        <f t="shared" si="1"/>
        <v>AVEC</v>
      </c>
      <c r="E314" s="4" t="str">
        <f t="array" ref="E314">INDEX(consolid1!$I$2:$I$904,MATCH(A314,consolid1!$B$2:$B$904,0))</f>
        <v>#N/A</v>
      </c>
      <c r="F314" s="4" t="str">
        <f t="array" ref="F314">INDEX(consolid1!$G$2:$G1534,MATCH(A314,consolid1!$B$2:$B1534,0))</f>
        <v>#N/A</v>
      </c>
    </row>
    <row r="315">
      <c r="A315" s="4" t="s">
        <v>427</v>
      </c>
      <c r="B315" s="3">
        <v>5000.0</v>
      </c>
      <c r="C315" s="3" t="s">
        <v>29</v>
      </c>
      <c r="D315" s="4" t="str">
        <f t="shared" si="1"/>
        <v>AVEC</v>
      </c>
      <c r="E315" s="4" t="str">
        <f t="array" ref="E315">INDEX(consolid1!$I$2:$I$904,MATCH(A315,consolid1!$B$2:$B$904,0))</f>
        <v>#N/A</v>
      </c>
      <c r="F315" s="4" t="str">
        <f t="array" ref="F315">INDEX(consolid1!$G$2:$G1534,MATCH(A315,consolid1!$B$2:$B1534,0))</f>
        <v>#N/A</v>
      </c>
    </row>
    <row r="316">
      <c r="A316" s="4" t="s">
        <v>472</v>
      </c>
      <c r="B316" s="3">
        <v>5000.0</v>
      </c>
      <c r="C316" s="3" t="s">
        <v>32</v>
      </c>
      <c r="D316" s="4" t="str">
        <f t="shared" si="1"/>
        <v>AVEC</v>
      </c>
      <c r="E316" s="4" t="str">
        <f t="array" ref="E316">INDEX(consolid1!$I$2:$I$904,MATCH(A316,consolid1!$B$2:$B$904,0))</f>
        <v>#N/A</v>
      </c>
      <c r="F316" s="4" t="str">
        <f t="array" ref="F316">INDEX(consolid1!$G$2:$G1534,MATCH(A316,consolid1!$B$2:$B1534,0))</f>
        <v>#N/A</v>
      </c>
    </row>
    <row r="317">
      <c r="A317" s="4" t="s">
        <v>681</v>
      </c>
      <c r="B317" s="3">
        <v>5000.0</v>
      </c>
      <c r="C317" s="4"/>
      <c r="D317" s="4" t="str">
        <f t="shared" si="1"/>
        <v>AVEC</v>
      </c>
      <c r="E317" s="4" t="str">
        <f t="array" ref="E317">INDEX(consolid1!$I$2:$I$904,MATCH(A317,consolid1!$B$2:$B$904,0))</f>
        <v>#N/A</v>
      </c>
      <c r="F317" s="4" t="str">
        <f t="array" ref="F317">INDEX(consolid1!$G$2:$G1534,MATCH(A317,consolid1!$B$2:$B1534,0))</f>
        <v>#N/A</v>
      </c>
    </row>
    <row r="318">
      <c r="A318" s="4" t="s">
        <v>2208</v>
      </c>
      <c r="B318" s="3">
        <v>5000.0</v>
      </c>
      <c r="C318" s="4"/>
      <c r="D318" s="4" t="str">
        <f t="shared" si="1"/>
        <v>AVEC</v>
      </c>
      <c r="E318" s="4" t="str">
        <f t="array" ref="E318">INDEX(consolid1!$I$2:$I$904,MATCH(A318,consolid1!$B$2:$B$904,0))</f>
        <v>#N/A</v>
      </c>
      <c r="F318" s="4" t="str">
        <f t="array" ref="F318">INDEX(consolid1!$G$2:$G1534,MATCH(A318,consolid1!$B$2:$B1534,0))</f>
        <v>#N/A</v>
      </c>
    </row>
    <row r="319">
      <c r="A319" s="4" t="s">
        <v>922</v>
      </c>
      <c r="B319" s="3">
        <v>5000.0</v>
      </c>
      <c r="C319" s="4"/>
      <c r="D319" s="4" t="str">
        <f t="shared" si="1"/>
        <v>AVEC</v>
      </c>
      <c r="E319" s="4" t="str">
        <f t="array" ref="E319">INDEX(consolid1!$I$2:$I$904,MATCH(A319,consolid1!$B$2:$B$904,0))</f>
        <v>#N/A</v>
      </c>
      <c r="F319" s="4" t="str">
        <f t="array" ref="F319">INDEX(consolid1!$G$2:$G1534,MATCH(A319,consolid1!$B$2:$B1534,0))</f>
        <v>#N/A</v>
      </c>
    </row>
    <row r="320">
      <c r="A320" s="4" t="s">
        <v>2235</v>
      </c>
      <c r="B320" s="3">
        <v>5000.0</v>
      </c>
      <c r="C320" s="4"/>
      <c r="D320" s="4" t="str">
        <f t="shared" si="1"/>
        <v>AVEC</v>
      </c>
      <c r="E320" s="4" t="str">
        <f t="array" ref="E320">INDEX(consolid1!$I$2:$I$904,MATCH(A320,consolid1!$B$2:$B$904,0))</f>
        <v>#N/A</v>
      </c>
      <c r="F320" s="4" t="str">
        <f t="array" ref="F320">INDEX(consolid1!$G$2:$G1534,MATCH(A320,consolid1!$B$2:$B1534,0))</f>
        <v>#N/A</v>
      </c>
    </row>
    <row r="321">
      <c r="A321" s="4" t="s">
        <v>1113</v>
      </c>
      <c r="B321" s="3">
        <v>5000.0</v>
      </c>
      <c r="C321" s="4"/>
      <c r="D321" s="4" t="str">
        <f t="shared" si="1"/>
        <v>AVEC</v>
      </c>
      <c r="E321" s="4" t="str">
        <f t="array" ref="E321">INDEX(consolid1!$I$2:$I$904,MATCH(A321,consolid1!$B$2:$B$904,0))</f>
        <v>#N/A</v>
      </c>
      <c r="F321" s="4" t="str">
        <f t="array" ref="F321">INDEX(consolid1!$G$2:$G1534,MATCH(A321,consolid1!$B$2:$B1534,0))</f>
        <v>#N/A</v>
      </c>
    </row>
    <row r="322">
      <c r="A322" s="4" t="s">
        <v>1214</v>
      </c>
      <c r="B322" s="3">
        <v>5000.0</v>
      </c>
      <c r="C322" s="3" t="s">
        <v>29</v>
      </c>
      <c r="D322" s="4" t="str">
        <f t="shared" si="1"/>
        <v>AVEC</v>
      </c>
      <c r="E322" s="4" t="str">
        <f t="array" ref="E322">INDEX(consolid1!$I$2:$I$904,MATCH(A322,consolid1!$B$2:$B$904,0))</f>
        <v>#N/A</v>
      </c>
      <c r="F322" s="4" t="str">
        <f t="array" ref="F322">INDEX(consolid1!$G$2:$G1534,MATCH(A322,consolid1!$B$2:$B1534,0))</f>
        <v>#N/A</v>
      </c>
    </row>
    <row r="323">
      <c r="A323" s="4" t="s">
        <v>1417</v>
      </c>
      <c r="B323" s="3">
        <v>5000.0</v>
      </c>
      <c r="C323" s="4"/>
      <c r="D323" s="4" t="str">
        <f t="shared" si="1"/>
        <v>AVEC</v>
      </c>
      <c r="E323" s="4" t="str">
        <f t="array" ref="E323">INDEX(consolid1!$I$2:$I$904,MATCH(A323,consolid1!$B$2:$B$904,0))</f>
        <v>#N/A</v>
      </c>
      <c r="F323" s="4" t="str">
        <f t="array" ref="F323">INDEX(consolid1!$G$2:$G1534,MATCH(A323,consolid1!$B$2:$B1534,0))</f>
        <v>#N/A</v>
      </c>
    </row>
    <row r="324">
      <c r="A324" s="4" t="s">
        <v>1431</v>
      </c>
      <c r="B324" s="3">
        <v>5000.0</v>
      </c>
      <c r="C324" s="4"/>
      <c r="D324" s="4" t="str">
        <f t="shared" si="1"/>
        <v>AVEC</v>
      </c>
      <c r="E324" s="4" t="str">
        <f t="array" ref="E324">INDEX(consolid1!$I$2:$I$904,MATCH(A324,consolid1!$B$2:$B$904,0))</f>
        <v>#N/A</v>
      </c>
      <c r="F324" s="4" t="str">
        <f t="array" ref="F324">INDEX(consolid1!$G$2:$G1534,MATCH(A324,consolid1!$B$2:$B1534,0))</f>
        <v>#N/A</v>
      </c>
    </row>
    <row r="325">
      <c r="A325" s="4" t="s">
        <v>1468</v>
      </c>
      <c r="B325" s="3">
        <v>5000.0</v>
      </c>
      <c r="C325" s="4"/>
      <c r="D325" s="4" t="str">
        <f t="shared" si="1"/>
        <v>AVEC</v>
      </c>
      <c r="E325" s="4" t="str">
        <f t="array" ref="E325">INDEX(consolid1!$I$2:$I$904,MATCH(A325,consolid1!$B$2:$B$904,0))</f>
        <v>#N/A</v>
      </c>
      <c r="F325" s="4" t="str">
        <f t="array" ref="F325">INDEX(consolid1!$G$2:$G1534,MATCH(A325,consolid1!$B$2:$B1534,0))</f>
        <v>#N/A</v>
      </c>
    </row>
    <row r="326">
      <c r="A326" s="4" t="s">
        <v>1565</v>
      </c>
      <c r="B326" s="3">
        <v>5000.0</v>
      </c>
      <c r="C326" s="4"/>
      <c r="D326" s="4" t="str">
        <f t="shared" si="1"/>
        <v>AVEC</v>
      </c>
      <c r="E326" s="4" t="str">
        <f t="array" ref="E326">INDEX(consolid1!$I$2:$I$904,MATCH(A326,consolid1!$B$2:$B$904,0))</f>
        <v>#N/A</v>
      </c>
      <c r="F326" s="4" t="str">
        <f t="array" ref="F326">INDEX(consolid1!$G$2:$G1534,MATCH(A326,consolid1!$B$2:$B1534,0))</f>
        <v>#N/A</v>
      </c>
    </row>
    <row r="327">
      <c r="A327" s="4" t="s">
        <v>1975</v>
      </c>
      <c r="B327" s="3">
        <v>5000.0</v>
      </c>
      <c r="C327" s="4"/>
      <c r="D327" s="4" t="str">
        <f t="shared" si="1"/>
        <v>AVEC</v>
      </c>
      <c r="E327" s="4" t="str">
        <f t="array" ref="E327">INDEX(consolid1!$I$2:$I$904,MATCH(A327,consolid1!$B$2:$B$904,0))</f>
        <v>#N/A</v>
      </c>
      <c r="F327" s="4" t="str">
        <f t="array" ref="F327">INDEX(consolid1!$G$2:$G1534,MATCH(A327,consolid1!$B$2:$B1534,0))</f>
        <v>#N/A</v>
      </c>
    </row>
    <row r="328">
      <c r="A328" s="4" t="s">
        <v>2018</v>
      </c>
      <c r="B328" s="3">
        <v>5000.0</v>
      </c>
      <c r="C328" s="4"/>
      <c r="D328" s="4" t="str">
        <f t="shared" si="1"/>
        <v>AVEC</v>
      </c>
      <c r="E328" s="4" t="str">
        <f t="array" ref="E328">INDEX(consolid1!$I$2:$I$904,MATCH(A328,consolid1!$B$2:$B$904,0))</f>
        <v>#N/A</v>
      </c>
      <c r="F328" s="4" t="str">
        <f t="array" ref="F328">INDEX(consolid1!$G$2:$G1534,MATCH(A328,consolid1!$B$2:$B1534,0))</f>
        <v>#N/A</v>
      </c>
    </row>
    <row r="329">
      <c r="A329" s="4" t="s">
        <v>283</v>
      </c>
      <c r="B329" s="3">
        <v>5000.0</v>
      </c>
      <c r="C329" s="4"/>
      <c r="D329" s="4" t="str">
        <f t="shared" si="1"/>
        <v>AVEC</v>
      </c>
      <c r="E329" s="4" t="str">
        <f t="array" ref="E329">INDEX(consolid1!$I$2:$I$904,MATCH(A329,consolid1!$B$2:$B$904,0))</f>
        <v>#N/A</v>
      </c>
      <c r="F329" s="4" t="str">
        <f t="array" ref="F329">INDEX(consolid1!$G$2:$G1534,MATCH(A329,consolid1!$B$2:$B1534,0))</f>
        <v>#N/A</v>
      </c>
    </row>
    <row r="330">
      <c r="A330" s="4" t="s">
        <v>314</v>
      </c>
      <c r="B330" s="3">
        <v>4880.0</v>
      </c>
      <c r="C330" s="3" t="s">
        <v>6</v>
      </c>
      <c r="D330" s="4" t="str">
        <f t="shared" si="1"/>
        <v>AVEC</v>
      </c>
      <c r="E330" s="4" t="str">
        <f t="array" ref="E330">INDEX(consolid1!$I$2:$I$904,MATCH(A330,consolid1!$B$2:$B$904,0))</f>
        <v>#N/A</v>
      </c>
      <c r="F330" s="4" t="str">
        <f t="array" ref="F330">INDEX(consolid1!$G$2:$G1534,MATCH(A330,consolid1!$B$2:$B1534,0))</f>
        <v>#N/A</v>
      </c>
    </row>
    <row r="331">
      <c r="A331" s="4" t="s">
        <v>199</v>
      </c>
      <c r="B331" s="3">
        <v>4850.0</v>
      </c>
      <c r="C331" s="4"/>
      <c r="D331" s="4" t="str">
        <f t="shared" si="1"/>
        <v>AVEC</v>
      </c>
      <c r="E331" s="4" t="str">
        <f t="array" ref="E331">INDEX(consolid1!$I$2:$I$904,MATCH(A331,consolid1!$B$2:$B$904,0))</f>
        <v>#N/A</v>
      </c>
      <c r="F331" s="4" t="str">
        <f t="array" ref="F331">INDEX(consolid1!$G$2:$G1534,MATCH(A331,consolid1!$B$2:$B1534,0))</f>
        <v>#N/A</v>
      </c>
    </row>
    <row r="332">
      <c r="A332" s="4" t="s">
        <v>2121</v>
      </c>
      <c r="B332" s="3">
        <v>4700.0</v>
      </c>
      <c r="C332" s="4"/>
      <c r="D332" s="4" t="str">
        <f t="shared" si="1"/>
        <v>AVEC</v>
      </c>
      <c r="E332" s="4" t="str">
        <f t="array" ref="E332">INDEX(consolid1!$I$2:$I$904,MATCH(A332,consolid1!$B$2:$B$904,0))</f>
        <v>#N/A</v>
      </c>
      <c r="F332" s="4" t="str">
        <f t="array" ref="F332">INDEX(consolid1!$G$2:$G1534,MATCH(A332,consolid1!$B$2:$B1534,0))</f>
        <v>#N/A</v>
      </c>
    </row>
    <row r="333">
      <c r="A333" s="4" t="s">
        <v>1427</v>
      </c>
      <c r="B333" s="3">
        <v>4634.0</v>
      </c>
      <c r="C333" s="3" t="s">
        <v>6</v>
      </c>
      <c r="D333" s="4" t="str">
        <f t="shared" si="1"/>
        <v>AVEC</v>
      </c>
      <c r="E333" s="4" t="str">
        <f t="array" ref="E333">INDEX(consolid1!$I$2:$I$904,MATCH(A333,consolid1!$B$2:$B$904,0))</f>
        <v>#N/A</v>
      </c>
      <c r="F333" s="4" t="str">
        <f t="array" ref="F333">INDEX(consolid1!$G$2:$G1534,MATCH(A333,consolid1!$B$2:$B1534,0))</f>
        <v>#N/A</v>
      </c>
    </row>
    <row r="334">
      <c r="A334" s="4" t="s">
        <v>559</v>
      </c>
      <c r="B334" s="3">
        <v>4600.0</v>
      </c>
      <c r="C334" s="3" t="s">
        <v>6</v>
      </c>
      <c r="D334" s="4" t="str">
        <f t="shared" si="1"/>
        <v>AVEC</v>
      </c>
      <c r="E334" s="4" t="str">
        <f t="array" ref="E334">INDEX(consolid1!$I$2:$I$904,MATCH(A334,consolid1!$B$2:$B$904,0))</f>
        <v>#N/A</v>
      </c>
      <c r="F334" s="4" t="str">
        <f t="array" ref="F334">INDEX(consolid1!$G$2:$G1534,MATCH(A334,consolid1!$B$2:$B1534,0))</f>
        <v>#N/A</v>
      </c>
    </row>
    <row r="335">
      <c r="A335" s="4" t="s">
        <v>586</v>
      </c>
      <c r="B335" s="3">
        <v>4550.0</v>
      </c>
      <c r="C335" s="3" t="s">
        <v>6</v>
      </c>
      <c r="D335" s="4" t="str">
        <f t="shared" si="1"/>
        <v>AVEC</v>
      </c>
      <c r="E335" s="4" t="str">
        <f t="array" ref="E335">INDEX(consolid1!$I$2:$I$904,MATCH(A335,consolid1!$B$2:$B$904,0))</f>
        <v>#N/A</v>
      </c>
      <c r="F335" s="4" t="str">
        <f t="array" ref="F335">INDEX(consolid1!$G$2:$G1534,MATCH(A335,consolid1!$B$2:$B1534,0))</f>
        <v>#N/A</v>
      </c>
    </row>
    <row r="336">
      <c r="A336" s="4" t="s">
        <v>46</v>
      </c>
      <c r="B336" s="3">
        <v>4500.0</v>
      </c>
      <c r="C336" s="3" t="s">
        <v>3</v>
      </c>
      <c r="D336" s="4" t="str">
        <f t="shared" si="1"/>
        <v>AVEC</v>
      </c>
      <c r="E336" s="4" t="str">
        <f t="array" ref="E336">INDEX(consolid1!$I$2:$I$904,MATCH(A336,consolid1!$B$2:$B$904,0))</f>
        <v>#N/A</v>
      </c>
      <c r="F336" s="4" t="str">
        <f t="array" ref="F336">INDEX(consolid1!$G$2:$G1534,MATCH(A336,consolid1!$B$2:$B1534,0))</f>
        <v>#N/A</v>
      </c>
    </row>
    <row r="337">
      <c r="A337" s="4" t="s">
        <v>2078</v>
      </c>
      <c r="B337" s="3">
        <v>4500.0</v>
      </c>
      <c r="C337" s="3" t="s">
        <v>3</v>
      </c>
      <c r="D337" s="4" t="str">
        <f t="shared" si="1"/>
        <v>AVEC</v>
      </c>
      <c r="E337" s="4" t="str">
        <f t="array" ref="E337">INDEX(consolid1!$I$2:$I$904,MATCH(A337,consolid1!$B$2:$B$904,0))</f>
        <v>#N/A</v>
      </c>
      <c r="F337" s="4" t="str">
        <f t="array" ref="F337">INDEX(consolid1!$G$2:$G1534,MATCH(A337,consolid1!$B$2:$B1534,0))</f>
        <v>#N/A</v>
      </c>
    </row>
    <row r="338">
      <c r="A338" s="4" t="s">
        <v>1047</v>
      </c>
      <c r="B338" s="3">
        <v>4500.0</v>
      </c>
      <c r="C338" s="4"/>
      <c r="D338" s="4" t="str">
        <f t="shared" si="1"/>
        <v>AVEC</v>
      </c>
      <c r="E338" s="4" t="str">
        <f t="array" ref="E338">INDEX(consolid1!$I$2:$I$904,MATCH(A338,consolid1!$B$2:$B$904,0))</f>
        <v>#N/A</v>
      </c>
      <c r="F338" s="4" t="str">
        <f t="array" ref="F338">INDEX(consolid1!$G$2:$G1534,MATCH(A338,consolid1!$B$2:$B1534,0))</f>
        <v>#N/A</v>
      </c>
    </row>
    <row r="339">
      <c r="A339" s="4" t="s">
        <v>1242</v>
      </c>
      <c r="B339" s="3">
        <v>4500.0</v>
      </c>
      <c r="C339" s="3" t="s">
        <v>3</v>
      </c>
      <c r="D339" s="4" t="str">
        <f t="shared" si="1"/>
        <v>AVEC</v>
      </c>
      <c r="E339" s="4" t="str">
        <f t="array" ref="E339">INDEX(consolid1!$I$2:$I$904,MATCH(A339,consolid1!$B$2:$B$904,0))</f>
        <v>Culture</v>
      </c>
      <c r="F339" s="4" t="str">
        <f t="array" ref="F339">INDEX(consolid1!$G$2:$G1534,MATCH(A339,consolid1!$B$2:$B1534,0))</f>
        <v>null</v>
      </c>
    </row>
    <row r="340">
      <c r="A340" s="4" t="s">
        <v>1324</v>
      </c>
      <c r="B340" s="3">
        <v>4500.0</v>
      </c>
      <c r="C340" s="3" t="s">
        <v>16</v>
      </c>
      <c r="D340" s="4" t="str">
        <f t="shared" si="1"/>
        <v>AVEC</v>
      </c>
      <c r="E340" s="4" t="str">
        <f t="array" ref="E340">INDEX(consolid1!$I$2:$I$904,MATCH(A340,consolid1!$B$2:$B$904,0))</f>
        <v>#N/A</v>
      </c>
      <c r="F340" s="4" t="str">
        <f t="array" ref="F340">INDEX(consolid1!$G$2:$G1534,MATCH(A340,consolid1!$B$2:$B1534,0))</f>
        <v>#N/A</v>
      </c>
    </row>
    <row r="341">
      <c r="A341" s="4" t="s">
        <v>1393</v>
      </c>
      <c r="B341" s="3">
        <v>4500.0</v>
      </c>
      <c r="C341" s="3" t="s">
        <v>6</v>
      </c>
      <c r="D341" s="4" t="str">
        <f t="shared" si="1"/>
        <v>AVEC</v>
      </c>
      <c r="E341" s="4" t="str">
        <f t="array" ref="E341">INDEX(consolid1!$I$2:$I$904,MATCH(A341,consolid1!$B$2:$B$904,0))</f>
        <v>#N/A</v>
      </c>
      <c r="F341" s="4" t="str">
        <f t="array" ref="F341">INDEX(consolid1!$G$2:$G1534,MATCH(A341,consolid1!$B$2:$B1534,0))</f>
        <v>#N/A</v>
      </c>
    </row>
    <row r="342">
      <c r="A342" s="4" t="s">
        <v>1541</v>
      </c>
      <c r="B342" s="3">
        <v>4500.0</v>
      </c>
      <c r="C342" s="3" t="s">
        <v>6</v>
      </c>
      <c r="D342" s="4" t="str">
        <f t="shared" si="1"/>
        <v>AVEC</v>
      </c>
      <c r="E342" s="4" t="str">
        <f t="array" ref="E342">INDEX(consolid1!$I$2:$I$904,MATCH(A342,consolid1!$B$2:$B$904,0))</f>
        <v>Loisirs</v>
      </c>
      <c r="F342" s="4" t="str">
        <f t="array" ref="F342">INDEX(consolid1!$G$2:$G1534,MATCH(A342,consolid1!$B$2:$B1534,0))</f>
        <v>null</v>
      </c>
    </row>
    <row r="343">
      <c r="A343" s="4" t="s">
        <v>1577</v>
      </c>
      <c r="B343" s="3">
        <v>4500.0</v>
      </c>
      <c r="C343" s="4"/>
      <c r="D343" s="4" t="str">
        <f t="shared" si="1"/>
        <v>AVEC</v>
      </c>
      <c r="E343" s="4" t="str">
        <f t="array" ref="E343">INDEX(consolid1!$I$2:$I$904,MATCH(A343,consolid1!$B$2:$B$904,0))</f>
        <v>#N/A</v>
      </c>
      <c r="F343" s="4" t="str">
        <f t="array" ref="F343">INDEX(consolid1!$G$2:$G1534,MATCH(A343,consolid1!$B$2:$B1534,0))</f>
        <v>#N/A</v>
      </c>
    </row>
    <row r="344">
      <c r="A344" s="4" t="s">
        <v>316</v>
      </c>
      <c r="B344" s="3">
        <v>4420.0</v>
      </c>
      <c r="C344" s="4"/>
      <c r="D344" s="4" t="str">
        <f t="shared" si="1"/>
        <v>AVEC</v>
      </c>
      <c r="E344" s="4" t="str">
        <f t="array" ref="E344">INDEX(consolid1!$I$2:$I$904,MATCH(A344,consolid1!$B$2:$B$904,0))</f>
        <v>#N/A</v>
      </c>
      <c r="F344" s="4" t="str">
        <f t="array" ref="F344">INDEX(consolid1!$G$2:$G1534,MATCH(A344,consolid1!$B$2:$B1534,0))</f>
        <v>#N/A</v>
      </c>
    </row>
    <row r="345">
      <c r="A345" s="4" t="s">
        <v>2133</v>
      </c>
      <c r="B345" s="3">
        <v>4400.0</v>
      </c>
      <c r="C345" s="4"/>
      <c r="D345" s="4" t="str">
        <f t="shared" si="1"/>
        <v>AVEC</v>
      </c>
      <c r="E345" s="4" t="str">
        <f t="array" ref="E345">INDEX(consolid1!$I$2:$I$904,MATCH(A345,consolid1!$B$2:$B$904,0))</f>
        <v>#N/A</v>
      </c>
      <c r="F345" s="4" t="str">
        <f t="array" ref="F345">INDEX(consolid1!$G$2:$G1534,MATCH(A345,consolid1!$B$2:$B1534,0))</f>
        <v>#N/A</v>
      </c>
    </row>
    <row r="346">
      <c r="A346" s="4" t="s">
        <v>1783</v>
      </c>
      <c r="B346" s="3">
        <v>4400.0</v>
      </c>
      <c r="C346" s="4"/>
      <c r="D346" s="4" t="str">
        <f t="shared" si="1"/>
        <v>AVEC</v>
      </c>
      <c r="E346" s="4" t="str">
        <f t="array" ref="E346">INDEX(consolid1!$I$2:$I$904,MATCH(A346,consolid1!$B$2:$B$904,0))</f>
        <v>#N/A</v>
      </c>
      <c r="F346" s="4" t="str">
        <f t="array" ref="F346">INDEX(consolid1!$G$2:$G1534,MATCH(A346,consolid1!$B$2:$B1534,0))</f>
        <v>#N/A</v>
      </c>
    </row>
    <row r="347">
      <c r="A347" s="4" t="s">
        <v>2334</v>
      </c>
      <c r="B347" s="3">
        <v>4300.0</v>
      </c>
      <c r="C347" s="3" t="s">
        <v>6</v>
      </c>
      <c r="D347" s="4" t="str">
        <f t="shared" si="1"/>
        <v>AVEC</v>
      </c>
      <c r="E347" s="4" t="str">
        <f t="array" ref="E347">INDEX(consolid1!$I$2:$I$904,MATCH(A347,consolid1!$B$2:$B$904,0))</f>
        <v>#N/A</v>
      </c>
      <c r="F347" s="4" t="str">
        <f t="array" ref="F347">INDEX(consolid1!$G$2:$G1534,MATCH(A347,consolid1!$B$2:$B1534,0))</f>
        <v>#N/A</v>
      </c>
    </row>
    <row r="348">
      <c r="A348" s="4" t="s">
        <v>1146</v>
      </c>
      <c r="B348" s="3">
        <v>4250.0</v>
      </c>
      <c r="C348" s="3" t="s">
        <v>29</v>
      </c>
      <c r="D348" s="4" t="str">
        <f t="shared" si="1"/>
        <v>AVEC</v>
      </c>
      <c r="E348" s="4" t="str">
        <f t="array" ref="E348">INDEX(consolid1!$I$2:$I$904,MATCH(A348,consolid1!$B$2:$B$904,0))</f>
        <v>#N/A</v>
      </c>
      <c r="F348" s="4" t="str">
        <f t="array" ref="F348">INDEX(consolid1!$G$2:$G1534,MATCH(A348,consolid1!$B$2:$B1534,0))</f>
        <v>#N/A</v>
      </c>
    </row>
    <row r="349">
      <c r="A349" s="4" t="s">
        <v>2130</v>
      </c>
      <c r="B349" s="3">
        <v>4072.0</v>
      </c>
      <c r="C349" s="3" t="s">
        <v>6</v>
      </c>
      <c r="D349" s="4" t="str">
        <f t="shared" si="1"/>
        <v>AVEC</v>
      </c>
      <c r="E349" s="4" t="str">
        <f t="array" ref="E349">INDEX(consolid1!$I$2:$I$904,MATCH(A349,consolid1!$B$2:$B$904,0))</f>
        <v>#N/A</v>
      </c>
      <c r="F349" s="4" t="str">
        <f t="array" ref="F349">INDEX(consolid1!$G$2:$G1534,MATCH(A349,consolid1!$B$2:$B1534,0))</f>
        <v>#N/A</v>
      </c>
    </row>
    <row r="350">
      <c r="A350" s="4" t="s">
        <v>114</v>
      </c>
      <c r="B350" s="3">
        <v>4000.0</v>
      </c>
      <c r="C350" s="4"/>
      <c r="D350" s="4" t="str">
        <f t="shared" si="1"/>
        <v>AVEC</v>
      </c>
      <c r="E350" s="4" t="str">
        <f t="array" ref="E350">INDEX(consolid1!$I$2:$I$904,MATCH(A350,consolid1!$B$2:$B$904,0))</f>
        <v>#N/A</v>
      </c>
      <c r="F350" s="4" t="str">
        <f t="array" ref="F350">INDEX(consolid1!$G$2:$G1534,MATCH(A350,consolid1!$B$2:$B1534,0))</f>
        <v>#N/A</v>
      </c>
    </row>
    <row r="351">
      <c r="A351" s="4" t="s">
        <v>173</v>
      </c>
      <c r="B351" s="3">
        <v>4000.0</v>
      </c>
      <c r="C351" s="4"/>
      <c r="D351" s="4" t="str">
        <f t="shared" si="1"/>
        <v>AVEC</v>
      </c>
      <c r="E351" s="4" t="str">
        <f t="array" ref="E351">INDEX(consolid1!$I$2:$I$904,MATCH(A351,consolid1!$B$2:$B$904,0))</f>
        <v>#N/A</v>
      </c>
      <c r="F351" s="4" t="str">
        <f t="array" ref="F351">INDEX(consolid1!$G$2:$G1534,MATCH(A351,consolid1!$B$2:$B1534,0))</f>
        <v>#N/A</v>
      </c>
    </row>
    <row r="352">
      <c r="A352" s="4" t="s">
        <v>2102</v>
      </c>
      <c r="B352" s="3">
        <v>4000.0</v>
      </c>
      <c r="C352" s="3" t="s">
        <v>3</v>
      </c>
      <c r="D352" s="4" t="str">
        <f t="shared" si="1"/>
        <v>AVEC</v>
      </c>
      <c r="E352" s="4" t="str">
        <f t="array" ref="E352">INDEX(consolid1!$I$2:$I$904,MATCH(A352,consolid1!$B$2:$B$904,0))</f>
        <v>#N/A</v>
      </c>
      <c r="F352" s="4" t="str">
        <f t="array" ref="F352">INDEX(consolid1!$G$2:$G1534,MATCH(A352,consolid1!$B$2:$B1534,0))</f>
        <v>#N/A</v>
      </c>
    </row>
    <row r="353">
      <c r="A353" s="4" t="s">
        <v>2109</v>
      </c>
      <c r="B353" s="3">
        <v>4000.0</v>
      </c>
      <c r="C353" s="3" t="s">
        <v>3</v>
      </c>
      <c r="D353" s="4" t="str">
        <f t="shared" si="1"/>
        <v>AVEC</v>
      </c>
      <c r="E353" s="4" t="str">
        <f t="array" ref="E353">INDEX(consolid1!$I$2:$I$904,MATCH(A353,consolid1!$B$2:$B$904,0))</f>
        <v>#N/A</v>
      </c>
      <c r="F353" s="4" t="str">
        <f t="array" ref="F353">INDEX(consolid1!$G$2:$G1534,MATCH(A353,consolid1!$B$2:$B1534,0))</f>
        <v>#N/A</v>
      </c>
    </row>
    <row r="354">
      <c r="A354" s="4" t="s">
        <v>2128</v>
      </c>
      <c r="B354" s="3">
        <v>4000.0</v>
      </c>
      <c r="C354" s="4"/>
      <c r="D354" s="4" t="str">
        <f t="shared" si="1"/>
        <v>AVEC</v>
      </c>
      <c r="E354" s="4" t="str">
        <f t="array" ref="E354">INDEX(consolid1!$I$2:$I$904,MATCH(A354,consolid1!$B$2:$B$904,0))</f>
        <v>#N/A</v>
      </c>
      <c r="F354" s="4" t="str">
        <f t="array" ref="F354">INDEX(consolid1!$G$2:$G1534,MATCH(A354,consolid1!$B$2:$B1534,0))</f>
        <v>#N/A</v>
      </c>
    </row>
    <row r="355">
      <c r="A355" s="4" t="s">
        <v>452</v>
      </c>
      <c r="B355" s="3">
        <v>4000.0</v>
      </c>
      <c r="C355" s="3" t="s">
        <v>3</v>
      </c>
      <c r="D355" s="4" t="str">
        <f t="shared" si="1"/>
        <v>AVEC</v>
      </c>
      <c r="E355" s="4" t="str">
        <f t="array" ref="E355">INDEX(consolid1!$I$2:$I$904,MATCH(A355,consolid1!$B$2:$B$904,0))</f>
        <v>#N/A</v>
      </c>
      <c r="F355" s="4" t="str">
        <f t="array" ref="F355">INDEX(consolid1!$G$2:$G1534,MATCH(A355,consolid1!$B$2:$B1534,0))</f>
        <v>#N/A</v>
      </c>
    </row>
    <row r="356">
      <c r="A356" s="4" t="s">
        <v>547</v>
      </c>
      <c r="B356" s="3">
        <v>4000.0</v>
      </c>
      <c r="C356" s="4"/>
      <c r="D356" s="4" t="str">
        <f t="shared" si="1"/>
        <v>AVEC</v>
      </c>
      <c r="E356" s="4" t="str">
        <f t="array" ref="E356">INDEX(consolid1!$I$2:$I$904,MATCH(A356,consolid1!$B$2:$B$904,0))</f>
        <v>#N/A</v>
      </c>
      <c r="F356" s="4" t="str">
        <f t="array" ref="F356">INDEX(consolid1!$G$2:$G1534,MATCH(A356,consolid1!$B$2:$B1534,0))</f>
        <v>#N/A</v>
      </c>
    </row>
    <row r="357">
      <c r="A357" s="4" t="s">
        <v>675</v>
      </c>
      <c r="B357" s="3">
        <v>4000.0</v>
      </c>
      <c r="C357" s="3" t="s">
        <v>484</v>
      </c>
      <c r="D357" s="4" t="str">
        <f t="shared" si="1"/>
        <v>AVEC</v>
      </c>
      <c r="E357" s="4" t="str">
        <f t="array" ref="E357">INDEX(consolid1!$I$2:$I$904,MATCH(A357,consolid1!$B$2:$B$904,0))</f>
        <v>#N/A</v>
      </c>
      <c r="F357" s="4" t="str">
        <f t="array" ref="F357">INDEX(consolid1!$G$2:$G1534,MATCH(A357,consolid1!$B$2:$B1534,0))</f>
        <v>#N/A</v>
      </c>
    </row>
    <row r="358">
      <c r="A358" s="4" t="s">
        <v>2194</v>
      </c>
      <c r="B358" s="3">
        <v>4000.0</v>
      </c>
      <c r="C358" s="3" t="s">
        <v>580</v>
      </c>
      <c r="D358" s="4" t="str">
        <f t="shared" si="1"/>
        <v>AVEC</v>
      </c>
      <c r="E358" s="4" t="str">
        <f t="array" ref="E358">INDEX(consolid1!$I$2:$I$904,MATCH(A358,consolid1!$B$2:$B$904,0))</f>
        <v>#N/A</v>
      </c>
      <c r="F358" s="4" t="str">
        <f t="array" ref="F358">INDEX(consolid1!$G$2:$G1534,MATCH(A358,consolid1!$B$2:$B1534,0))</f>
        <v>#N/A</v>
      </c>
    </row>
    <row r="359">
      <c r="A359" s="4" t="s">
        <v>990</v>
      </c>
      <c r="B359" s="3">
        <v>4000.0</v>
      </c>
      <c r="C359" s="4"/>
      <c r="D359" s="4" t="str">
        <f t="shared" si="1"/>
        <v>AVEC</v>
      </c>
      <c r="E359" s="4" t="str">
        <f t="array" ref="E359">INDEX(consolid1!$I$2:$I$904,MATCH(A359,consolid1!$B$2:$B$904,0))</f>
        <v>#N/A</v>
      </c>
      <c r="F359" s="4" t="str">
        <f t="array" ref="F359">INDEX(consolid1!$G$2:$G1534,MATCH(A359,consolid1!$B$2:$B1534,0))</f>
        <v>#N/A</v>
      </c>
    </row>
    <row r="360">
      <c r="A360" s="4" t="s">
        <v>1011</v>
      </c>
      <c r="B360" s="3">
        <v>4000.0</v>
      </c>
      <c r="C360" s="4"/>
      <c r="D360" s="4" t="str">
        <f t="shared" si="1"/>
        <v>AVEC</v>
      </c>
      <c r="E360" s="4" t="str">
        <f t="array" ref="E360">INDEX(consolid1!$I$2:$I$904,MATCH(A360,consolid1!$B$2:$B$904,0))</f>
        <v>#N/A</v>
      </c>
      <c r="F360" s="4" t="str">
        <f t="array" ref="F360">INDEX(consolid1!$G$2:$G1534,MATCH(A360,consolid1!$B$2:$B1534,0))</f>
        <v>#N/A</v>
      </c>
    </row>
    <row r="361">
      <c r="A361" s="4" t="s">
        <v>1035</v>
      </c>
      <c r="B361" s="3">
        <v>4000.0</v>
      </c>
      <c r="C361" s="4"/>
      <c r="D361" s="4" t="str">
        <f t="shared" si="1"/>
        <v>AVEC</v>
      </c>
      <c r="E361" s="4" t="str">
        <f t="array" ref="E361">INDEX(consolid1!$I$2:$I$904,MATCH(A361,consolid1!$B$2:$B$904,0))</f>
        <v>#N/A</v>
      </c>
      <c r="F361" s="4" t="str">
        <f t="array" ref="F361">INDEX(consolid1!$G$2:$G1534,MATCH(A361,consolid1!$B$2:$B1534,0))</f>
        <v>#N/A</v>
      </c>
    </row>
    <row r="362">
      <c r="A362" s="4" t="s">
        <v>1043</v>
      </c>
      <c r="B362" s="3">
        <v>4000.0</v>
      </c>
      <c r="C362" s="4"/>
      <c r="D362" s="4" t="str">
        <f t="shared" si="1"/>
        <v>AVEC</v>
      </c>
      <c r="E362" s="4" t="str">
        <f t="array" ref="E362">INDEX(consolid1!$I$2:$I$904,MATCH(A362,consolid1!$B$2:$B$904,0))</f>
        <v>#N/A</v>
      </c>
      <c r="F362" s="4" t="str">
        <f t="array" ref="F362">INDEX(consolid1!$G$2:$G1534,MATCH(A362,consolid1!$B$2:$B1534,0))</f>
        <v>#N/A</v>
      </c>
    </row>
    <row r="363">
      <c r="A363" s="4" t="s">
        <v>1069</v>
      </c>
      <c r="B363" s="3">
        <v>4000.0</v>
      </c>
      <c r="C363" s="4"/>
      <c r="D363" s="4" t="str">
        <f t="shared" si="1"/>
        <v>AVEC</v>
      </c>
      <c r="E363" s="4" t="str">
        <f t="array" ref="E363">INDEX(consolid1!$I$2:$I$904,MATCH(A363,consolid1!$B$2:$B$904,0))</f>
        <v>#N/A</v>
      </c>
      <c r="F363" s="4" t="str">
        <f t="array" ref="F363">INDEX(consolid1!$G$2:$G1534,MATCH(A363,consolid1!$B$2:$B1534,0))</f>
        <v>#N/A</v>
      </c>
    </row>
    <row r="364">
      <c r="A364" s="4" t="s">
        <v>1193</v>
      </c>
      <c r="B364" s="3">
        <v>4000.0</v>
      </c>
      <c r="C364" s="4"/>
      <c r="D364" s="4" t="str">
        <f t="shared" si="1"/>
        <v>AVEC</v>
      </c>
      <c r="E364" s="4" t="str">
        <f t="array" ref="E364">INDEX(consolid1!$I$2:$I$904,MATCH(A364,consolid1!$B$2:$B$904,0))</f>
        <v>#N/A</v>
      </c>
      <c r="F364" s="4" t="str">
        <f t="array" ref="F364">INDEX(consolid1!$G$2:$G1534,MATCH(A364,consolid1!$B$2:$B1534,0))</f>
        <v>#N/A</v>
      </c>
    </row>
    <row r="365">
      <c r="A365" s="4" t="s">
        <v>1287</v>
      </c>
      <c r="B365" s="3">
        <v>4000.0</v>
      </c>
      <c r="C365" s="3" t="s">
        <v>3</v>
      </c>
      <c r="D365" s="4" t="str">
        <f t="shared" si="1"/>
        <v>AVEC</v>
      </c>
      <c r="E365" s="4" t="str">
        <f t="array" ref="E365">INDEX(consolid1!$I$2:$I$904,MATCH(A365,consolid1!$B$2:$B$904,0))</f>
        <v>#N/A</v>
      </c>
      <c r="F365" s="4" t="str">
        <f t="array" ref="F365">INDEX(consolid1!$G$2:$G1534,MATCH(A365,consolid1!$B$2:$B1534,0))</f>
        <v>#N/A</v>
      </c>
    </row>
    <row r="366">
      <c r="A366" s="4" t="s">
        <v>1314</v>
      </c>
      <c r="B366" s="3">
        <v>4000.0</v>
      </c>
      <c r="C366" s="4"/>
      <c r="D366" s="4" t="str">
        <f t="shared" si="1"/>
        <v>AVEC</v>
      </c>
      <c r="E366" s="4" t="str">
        <f t="array" ref="E366">INDEX(consolid1!$I$2:$I$904,MATCH(A366,consolid1!$B$2:$B$904,0))</f>
        <v>#N/A</v>
      </c>
      <c r="F366" s="4" t="str">
        <f t="array" ref="F366">INDEX(consolid1!$G$2:$G1534,MATCH(A366,consolid1!$B$2:$B1534,0))</f>
        <v>#N/A</v>
      </c>
    </row>
    <row r="367">
      <c r="A367" s="4" t="s">
        <v>1436</v>
      </c>
      <c r="B367" s="3">
        <v>4000.0</v>
      </c>
      <c r="C367" s="4"/>
      <c r="D367" s="4" t="str">
        <f t="shared" si="1"/>
        <v>AVEC</v>
      </c>
      <c r="E367" s="4" t="str">
        <f t="array" ref="E367">INDEX(consolid1!$I$2:$I$904,MATCH(A367,consolid1!$B$2:$B$904,0))</f>
        <v>#N/A</v>
      </c>
      <c r="F367" s="4" t="str">
        <f t="array" ref="F367">INDEX(consolid1!$G$2:$G1534,MATCH(A367,consolid1!$B$2:$B1534,0))</f>
        <v>#N/A</v>
      </c>
    </row>
    <row r="368">
      <c r="A368" s="4" t="s">
        <v>1451</v>
      </c>
      <c r="B368" s="3">
        <v>4000.0</v>
      </c>
      <c r="C368" s="3" t="s">
        <v>32</v>
      </c>
      <c r="D368" s="4" t="str">
        <f t="shared" si="1"/>
        <v>AVEC</v>
      </c>
      <c r="E368" s="4" t="str">
        <f t="array" ref="E368">INDEX(consolid1!$I$2:$I$904,MATCH(A368,consolid1!$B$2:$B$904,0))</f>
        <v>#N/A</v>
      </c>
      <c r="F368" s="4" t="str">
        <f t="array" ref="F368">INDEX(consolid1!$G$2:$G1534,MATCH(A368,consolid1!$B$2:$B1534,0))</f>
        <v>#N/A</v>
      </c>
    </row>
    <row r="369">
      <c r="A369" s="4" t="s">
        <v>1547</v>
      </c>
      <c r="B369" s="3">
        <v>4000.0</v>
      </c>
      <c r="C369" s="4"/>
      <c r="D369" s="4" t="str">
        <f t="shared" si="1"/>
        <v>AVEC</v>
      </c>
      <c r="E369" s="4" t="str">
        <f t="array" ref="E369">INDEX(consolid1!$I$2:$I$904,MATCH(A369,consolid1!$B$2:$B$904,0))</f>
        <v>#N/A</v>
      </c>
      <c r="F369" s="4" t="str">
        <f t="array" ref="F369">INDEX(consolid1!$G$2:$G1534,MATCH(A369,consolid1!$B$2:$B1534,0))</f>
        <v>#N/A</v>
      </c>
    </row>
    <row r="370">
      <c r="A370" s="4" t="s">
        <v>1610</v>
      </c>
      <c r="B370" s="3">
        <v>4000.0</v>
      </c>
      <c r="C370" s="4"/>
      <c r="D370" s="4" t="str">
        <f t="shared" si="1"/>
        <v>AVEC</v>
      </c>
      <c r="E370" s="4" t="str">
        <f t="array" ref="E370">INDEX(consolid1!$I$2:$I$904,MATCH(A370,consolid1!$B$2:$B$904,0))</f>
        <v>#N/A</v>
      </c>
      <c r="F370" s="4" t="str">
        <f t="array" ref="F370">INDEX(consolid1!$G$2:$G1534,MATCH(A370,consolid1!$B$2:$B1534,0))</f>
        <v>#N/A</v>
      </c>
    </row>
    <row r="371">
      <c r="A371" s="4" t="s">
        <v>1611</v>
      </c>
      <c r="B371" s="3">
        <v>4000.0</v>
      </c>
      <c r="C371" s="4"/>
      <c r="D371" s="4" t="str">
        <f t="shared" si="1"/>
        <v>AVEC</v>
      </c>
      <c r="E371" s="4" t="str">
        <f t="array" ref="E371">INDEX(consolid1!$I$2:$I$904,MATCH(A371,consolid1!$B$2:$B$904,0))</f>
        <v>#N/A</v>
      </c>
      <c r="F371" s="4" t="str">
        <f t="array" ref="F371">INDEX(consolid1!$G$2:$G1534,MATCH(A371,consolid1!$B$2:$B1534,0))</f>
        <v>#N/A</v>
      </c>
    </row>
    <row r="372">
      <c r="A372" s="4" t="s">
        <v>1628</v>
      </c>
      <c r="B372" s="3">
        <v>4000.0</v>
      </c>
      <c r="C372" s="4"/>
      <c r="D372" s="4" t="str">
        <f t="shared" si="1"/>
        <v>AVEC</v>
      </c>
      <c r="E372" s="4" t="str">
        <f t="array" ref="E372">INDEX(consolid1!$I$2:$I$904,MATCH(A372,consolid1!$B$2:$B$904,0))</f>
        <v>#N/A</v>
      </c>
      <c r="F372" s="4" t="str">
        <f t="array" ref="F372">INDEX(consolid1!$G$2:$G1534,MATCH(A372,consolid1!$B$2:$B1534,0))</f>
        <v>#N/A</v>
      </c>
    </row>
    <row r="373">
      <c r="A373" s="4" t="s">
        <v>1658</v>
      </c>
      <c r="B373" s="3">
        <v>4000.0</v>
      </c>
      <c r="C373" s="4"/>
      <c r="D373" s="4" t="str">
        <f t="shared" si="1"/>
        <v>AVEC</v>
      </c>
      <c r="E373" s="4" t="str">
        <f t="array" ref="E373">INDEX(consolid1!$I$2:$I$904,MATCH(A373,consolid1!$B$2:$B$904,0))</f>
        <v>#N/A</v>
      </c>
      <c r="F373" s="4" t="str">
        <f t="array" ref="F373">INDEX(consolid1!$G$2:$G1534,MATCH(A373,consolid1!$B$2:$B1534,0))</f>
        <v>#N/A</v>
      </c>
    </row>
    <row r="374">
      <c r="A374" s="4" t="s">
        <v>1709</v>
      </c>
      <c r="B374" s="3">
        <v>4000.0</v>
      </c>
      <c r="C374" s="4"/>
      <c r="D374" s="4" t="str">
        <f t="shared" si="1"/>
        <v>AVEC</v>
      </c>
      <c r="E374" s="4" t="str">
        <f t="array" ref="E374">INDEX(consolid1!$I$2:$I$904,MATCH(A374,consolid1!$B$2:$B$904,0))</f>
        <v>#N/A</v>
      </c>
      <c r="F374" s="4" t="str">
        <f t="array" ref="F374">INDEX(consolid1!$G$2:$G1534,MATCH(A374,consolid1!$B$2:$B1534,0))</f>
        <v>#N/A</v>
      </c>
    </row>
    <row r="375">
      <c r="A375" s="4" t="s">
        <v>1808</v>
      </c>
      <c r="B375" s="3">
        <v>4000.0</v>
      </c>
      <c r="C375" s="4"/>
      <c r="D375" s="4" t="str">
        <f t="shared" si="1"/>
        <v>AVEC</v>
      </c>
      <c r="E375" s="4" t="str">
        <f t="array" ref="E375">INDEX(consolid1!$I$2:$I$904,MATCH(A375,consolid1!$B$2:$B$904,0))</f>
        <v>#N/A</v>
      </c>
      <c r="F375" s="4" t="str">
        <f t="array" ref="F375">INDEX(consolid1!$G$2:$G1534,MATCH(A375,consolid1!$B$2:$B1534,0))</f>
        <v>#N/A</v>
      </c>
    </row>
    <row r="376">
      <c r="A376" s="4" t="s">
        <v>1858</v>
      </c>
      <c r="B376" s="3">
        <v>4000.0</v>
      </c>
      <c r="C376" s="4"/>
      <c r="D376" s="4" t="str">
        <f t="shared" si="1"/>
        <v>AVEC</v>
      </c>
      <c r="E376" s="4" t="str">
        <f t="array" ref="E376">INDEX(consolid1!$I$2:$I$904,MATCH(A376,consolid1!$B$2:$B$904,0))</f>
        <v>#N/A</v>
      </c>
      <c r="F376" s="4" t="str">
        <f t="array" ref="F376">INDEX(consolid1!$G$2:$G1534,MATCH(A376,consolid1!$B$2:$B1534,0))</f>
        <v>#N/A</v>
      </c>
    </row>
    <row r="377">
      <c r="A377" s="4" t="s">
        <v>1969</v>
      </c>
      <c r="B377" s="3">
        <v>4000.0</v>
      </c>
      <c r="C377" s="4"/>
      <c r="D377" s="4" t="str">
        <f t="shared" si="1"/>
        <v>AVEC</v>
      </c>
      <c r="E377" s="4" t="str">
        <f t="array" ref="E377">INDEX(consolid1!$I$2:$I$904,MATCH(A377,consolid1!$B$2:$B$904,0))</f>
        <v>#N/A</v>
      </c>
      <c r="F377" s="4" t="str">
        <f t="array" ref="F377">INDEX(consolid1!$G$2:$G1534,MATCH(A377,consolid1!$B$2:$B1534,0))</f>
        <v>#N/A</v>
      </c>
    </row>
    <row r="378">
      <c r="A378" s="4" t="s">
        <v>906</v>
      </c>
      <c r="B378" s="3">
        <v>3917.0</v>
      </c>
      <c r="C378" s="4"/>
      <c r="D378" s="4" t="str">
        <f t="shared" si="1"/>
        <v>AVEC</v>
      </c>
      <c r="E378" s="4" t="str">
        <f t="array" ref="E378">INDEX(consolid1!$I$2:$I$904,MATCH(A378,consolid1!$B$2:$B$904,0))</f>
        <v>#N/A</v>
      </c>
      <c r="F378" s="4" t="str">
        <f t="array" ref="F378">INDEX(consolid1!$G$2:$G1534,MATCH(A378,consolid1!$B$2:$B1534,0))</f>
        <v>#N/A</v>
      </c>
    </row>
    <row r="379">
      <c r="A379" s="4" t="s">
        <v>1723</v>
      </c>
      <c r="B379" s="3">
        <v>3800.0</v>
      </c>
      <c r="C379" s="4"/>
      <c r="D379" s="4" t="str">
        <f t="shared" si="1"/>
        <v>AVEC</v>
      </c>
      <c r="E379" s="4" t="str">
        <f t="array" ref="E379">INDEX(consolid1!$I$2:$I$904,MATCH(A379,consolid1!$B$2:$B$904,0))</f>
        <v>#N/A</v>
      </c>
      <c r="F379" s="4" t="str">
        <f t="array" ref="F379">INDEX(consolid1!$G$2:$G1534,MATCH(A379,consolid1!$B$2:$B1534,0))</f>
        <v>#N/A</v>
      </c>
    </row>
    <row r="380">
      <c r="A380" s="4" t="s">
        <v>652</v>
      </c>
      <c r="B380" s="3">
        <v>3700.0</v>
      </c>
      <c r="C380" s="3" t="s">
        <v>29</v>
      </c>
      <c r="D380" s="4" t="str">
        <f t="shared" si="1"/>
        <v>AVEC</v>
      </c>
      <c r="E380" s="4" t="str">
        <f t="array" ref="E380">INDEX(consolid1!$I$2:$I$904,MATCH(A380,consolid1!$B$2:$B$904,0))</f>
        <v>#N/A</v>
      </c>
      <c r="F380" s="4" t="str">
        <f t="array" ref="F380">INDEX(consolid1!$G$2:$G1534,MATCH(A380,consolid1!$B$2:$B1534,0))</f>
        <v>#N/A</v>
      </c>
    </row>
    <row r="381">
      <c r="A381" s="4" t="s">
        <v>1782</v>
      </c>
      <c r="B381" s="3">
        <v>3700.0</v>
      </c>
      <c r="C381" s="3" t="s">
        <v>32</v>
      </c>
      <c r="D381" s="4" t="str">
        <f t="shared" si="1"/>
        <v>AVEC</v>
      </c>
      <c r="E381" s="4" t="str">
        <f t="array" ref="E381">INDEX(consolid1!$I$2:$I$904,MATCH(A381,consolid1!$B$2:$B$904,0))</f>
        <v>Vivre ensemble, vie quotidienne</v>
      </c>
      <c r="F381" s="4" t="str">
        <f t="array" ref="F381">INDEX(consolid1!$G$2:$G1534,MATCH(A381,consolid1!$B$2:$B1534,0))</f>
        <v>null</v>
      </c>
    </row>
    <row r="382">
      <c r="A382" s="4" t="s">
        <v>2093</v>
      </c>
      <c r="B382" s="3">
        <v>3500.0</v>
      </c>
      <c r="C382" s="3" t="s">
        <v>3</v>
      </c>
      <c r="D382" s="4" t="str">
        <f t="shared" si="1"/>
        <v>AVEC</v>
      </c>
      <c r="E382" s="4" t="str">
        <f t="array" ref="E382">INDEX(consolid1!$I$2:$I$904,MATCH(A382,consolid1!$B$2:$B$904,0))</f>
        <v>#N/A</v>
      </c>
      <c r="F382" s="4" t="str">
        <f t="array" ref="F382">INDEX(consolid1!$G$2:$G1534,MATCH(A382,consolid1!$B$2:$B1534,0))</f>
        <v>#N/A</v>
      </c>
    </row>
    <row r="383">
      <c r="A383" s="4" t="s">
        <v>521</v>
      </c>
      <c r="B383" s="3">
        <v>3500.0</v>
      </c>
      <c r="C383" s="4"/>
      <c r="D383" s="4" t="str">
        <f t="shared" si="1"/>
        <v>AVEC</v>
      </c>
      <c r="E383" s="4" t="str">
        <f t="array" ref="E383">INDEX(consolid1!$I$2:$I$904,MATCH(A383,consolid1!$B$2:$B$904,0))</f>
        <v>#N/A</v>
      </c>
      <c r="F383" s="4" t="str">
        <f t="array" ref="F383">INDEX(consolid1!$G$2:$G1534,MATCH(A383,consolid1!$B$2:$B1534,0))</f>
        <v>#N/A</v>
      </c>
    </row>
    <row r="384">
      <c r="A384" s="4" t="s">
        <v>609</v>
      </c>
      <c r="B384" s="3">
        <v>3500.0</v>
      </c>
      <c r="C384" s="3" t="s">
        <v>29</v>
      </c>
      <c r="D384" s="4" t="str">
        <f t="shared" si="1"/>
        <v>AVEC</v>
      </c>
      <c r="E384" s="4" t="str">
        <f t="array" ref="E384">INDEX(consolid1!$I$2:$I$904,MATCH(A384,consolid1!$B$2:$B$904,0))</f>
        <v>#N/A</v>
      </c>
      <c r="F384" s="4" t="str">
        <f t="array" ref="F384">INDEX(consolid1!$G$2:$G1534,MATCH(A384,consolid1!$B$2:$B1534,0))</f>
        <v>#N/A</v>
      </c>
    </row>
    <row r="385">
      <c r="A385" s="4" t="s">
        <v>914</v>
      </c>
      <c r="B385" s="3">
        <v>3500.0</v>
      </c>
      <c r="C385" s="4"/>
      <c r="D385" s="4" t="str">
        <f t="shared" si="1"/>
        <v>AVEC</v>
      </c>
      <c r="E385" s="4" t="str">
        <f t="array" ref="E385">INDEX(consolid1!$I$2:$I$904,MATCH(A385,consolid1!$B$2:$B$904,0))</f>
        <v>#N/A</v>
      </c>
      <c r="F385" s="4" t="str">
        <f t="array" ref="F385">INDEX(consolid1!$G$2:$G1534,MATCH(A385,consolid1!$B$2:$B1534,0))</f>
        <v>#N/A</v>
      </c>
    </row>
    <row r="386">
      <c r="A386" s="4" t="s">
        <v>1080</v>
      </c>
      <c r="B386" s="3">
        <v>3500.0</v>
      </c>
      <c r="C386" s="3" t="s">
        <v>32</v>
      </c>
      <c r="D386" s="4" t="str">
        <f t="shared" si="1"/>
        <v>AVEC</v>
      </c>
      <c r="E386" s="4" t="str">
        <f t="array" ref="E386">INDEX(consolid1!$I$2:$I$904,MATCH(A386,consolid1!$B$2:$B$904,0))</f>
        <v>Vivre ensemble, vie quotidienne</v>
      </c>
      <c r="F386" s="4" t="str">
        <f t="array" ref="F386">INDEX(consolid1!$G$2:$G1534,MATCH(A386,consolid1!$B$2:$B1534,0))</f>
        <v>null</v>
      </c>
    </row>
    <row r="387">
      <c r="A387" s="4" t="s">
        <v>1342</v>
      </c>
      <c r="B387" s="3">
        <v>3500.0</v>
      </c>
      <c r="C387" s="4"/>
      <c r="D387" s="4" t="str">
        <f t="shared" si="1"/>
        <v>AVEC</v>
      </c>
      <c r="E387" s="4" t="str">
        <f t="array" ref="E387">INDEX(consolid1!$I$2:$I$904,MATCH(A387,consolid1!$B$2:$B$904,0))</f>
        <v>#N/A</v>
      </c>
      <c r="F387" s="4" t="str">
        <f t="array" ref="F387">INDEX(consolid1!$G$2:$G1534,MATCH(A387,consolid1!$B$2:$B1534,0))</f>
        <v>#N/A</v>
      </c>
    </row>
    <row r="388">
      <c r="A388" s="4" t="s">
        <v>1795</v>
      </c>
      <c r="B388" s="3">
        <v>3500.0</v>
      </c>
      <c r="C388" s="4"/>
      <c r="D388" s="4" t="str">
        <f t="shared" si="1"/>
        <v>AVEC</v>
      </c>
      <c r="E388" s="4" t="str">
        <f t="array" ref="E388">INDEX(consolid1!$I$2:$I$904,MATCH(A388,consolid1!$B$2:$B$904,0))</f>
        <v>#N/A</v>
      </c>
      <c r="F388" s="4" t="str">
        <f t="array" ref="F388">INDEX(consolid1!$G$2:$G1534,MATCH(A388,consolid1!$B$2:$B1534,0))</f>
        <v>#N/A</v>
      </c>
    </row>
    <row r="389">
      <c r="A389" s="4" t="s">
        <v>1966</v>
      </c>
      <c r="B389" s="3">
        <v>3500.0</v>
      </c>
      <c r="C389" s="4"/>
      <c r="D389" s="4" t="str">
        <f t="shared" si="1"/>
        <v>AVEC</v>
      </c>
      <c r="E389" s="4" t="str">
        <f t="array" ref="E389">INDEX(consolid1!$I$2:$I$904,MATCH(A389,consolid1!$B$2:$B$904,0))</f>
        <v>#N/A</v>
      </c>
      <c r="F389" s="4" t="str">
        <f t="array" ref="F389">INDEX(consolid1!$G$2:$G1534,MATCH(A389,consolid1!$B$2:$B1534,0))</f>
        <v>#N/A</v>
      </c>
    </row>
    <row r="390">
      <c r="A390" s="4" t="s">
        <v>1973</v>
      </c>
      <c r="B390" s="3">
        <v>3500.0</v>
      </c>
      <c r="C390" s="3" t="s">
        <v>484</v>
      </c>
      <c r="D390" s="4" t="str">
        <f t="shared" si="1"/>
        <v>AVEC</v>
      </c>
      <c r="E390" s="4" t="str">
        <f t="array" ref="E390">INDEX(consolid1!$I$2:$I$904,MATCH(A390,consolid1!$B$2:$B$904,0))</f>
        <v>#N/A</v>
      </c>
      <c r="F390" s="4" t="str">
        <f t="array" ref="F390">INDEX(consolid1!$G$2:$G1534,MATCH(A390,consolid1!$B$2:$B1534,0))</f>
        <v>#N/A</v>
      </c>
    </row>
    <row r="391">
      <c r="A391" s="4" t="s">
        <v>2014</v>
      </c>
      <c r="B391" s="3">
        <v>3400.0</v>
      </c>
      <c r="C391" s="4"/>
      <c r="D391" s="4" t="str">
        <f t="shared" si="1"/>
        <v>AVEC</v>
      </c>
      <c r="E391" s="4" t="str">
        <f t="array" ref="E391">INDEX(consolid1!$I$2:$I$904,MATCH(A391,consolid1!$B$2:$B$904,0))</f>
        <v>#N/A</v>
      </c>
      <c r="F391" s="4" t="str">
        <f t="array" ref="F391">INDEX(consolid1!$G$2:$G1534,MATCH(A391,consolid1!$B$2:$B1534,0))</f>
        <v>#N/A</v>
      </c>
    </row>
    <row r="392">
      <c r="A392" s="4" t="s">
        <v>1285</v>
      </c>
      <c r="B392" s="3">
        <v>3300.0</v>
      </c>
      <c r="C392" s="4"/>
      <c r="D392" s="4" t="str">
        <f t="shared" si="1"/>
        <v>AVEC</v>
      </c>
      <c r="E392" s="4" t="str">
        <f t="array" ref="E392">INDEX(consolid1!$I$2:$I$904,MATCH(A392,consolid1!$B$2:$B$904,0))</f>
        <v>#N/A</v>
      </c>
      <c r="F392" s="4" t="str">
        <f t="array" ref="F392">INDEX(consolid1!$G$2:$G1534,MATCH(A392,consolid1!$B$2:$B1534,0))</f>
        <v>#N/A</v>
      </c>
    </row>
    <row r="393">
      <c r="A393" s="4" t="s">
        <v>213</v>
      </c>
      <c r="B393" s="3">
        <v>3220.0</v>
      </c>
      <c r="C393" s="4"/>
      <c r="D393" s="4" t="str">
        <f t="shared" si="1"/>
        <v>AVEC</v>
      </c>
      <c r="E393" s="4" t="str">
        <f t="array" ref="E393">INDEX(consolid1!$I$2:$I$904,MATCH(A393,consolid1!$B$2:$B$904,0))</f>
        <v>#N/A</v>
      </c>
      <c r="F393" s="4" t="str">
        <f t="array" ref="F393">INDEX(consolid1!$G$2:$G1534,MATCH(A393,consolid1!$B$2:$B1534,0))</f>
        <v>#N/A</v>
      </c>
    </row>
    <row r="394">
      <c r="A394" s="4" t="s">
        <v>375</v>
      </c>
      <c r="B394" s="3">
        <v>3200.0</v>
      </c>
      <c r="C394" s="3" t="s">
        <v>6</v>
      </c>
      <c r="D394" s="4" t="str">
        <f t="shared" si="1"/>
        <v>AVEC</v>
      </c>
      <c r="E394" s="4" t="str">
        <f t="array" ref="E394">INDEX(consolid1!$I$2:$I$904,MATCH(A394,consolid1!$B$2:$B$904,0))</f>
        <v>#N/A</v>
      </c>
      <c r="F394" s="4" t="str">
        <f t="array" ref="F394">INDEX(consolid1!$G$2:$G1534,MATCH(A394,consolid1!$B$2:$B1534,0))</f>
        <v>#N/A</v>
      </c>
    </row>
    <row r="395">
      <c r="A395" s="4" t="s">
        <v>676</v>
      </c>
      <c r="B395" s="3">
        <v>3200.0</v>
      </c>
      <c r="C395" s="3" t="s">
        <v>3</v>
      </c>
      <c r="D395" s="4" t="str">
        <f t="shared" si="1"/>
        <v>AVEC</v>
      </c>
      <c r="E395" s="4" t="str">
        <f t="array" ref="E395">INDEX(consolid1!$I$2:$I$904,MATCH(A395,consolid1!$B$2:$B$904,0))</f>
        <v>#N/A</v>
      </c>
      <c r="F395" s="4" t="str">
        <f t="array" ref="F395">INDEX(consolid1!$G$2:$G1534,MATCH(A395,consolid1!$B$2:$B1534,0))</f>
        <v>#N/A</v>
      </c>
    </row>
    <row r="396">
      <c r="A396" s="4" t="s">
        <v>1338</v>
      </c>
      <c r="B396" s="3">
        <v>3200.0</v>
      </c>
      <c r="C396" s="3" t="s">
        <v>3</v>
      </c>
      <c r="D396" s="4" t="str">
        <f t="shared" si="1"/>
        <v>AVEC</v>
      </c>
      <c r="E396" s="4" t="str">
        <f t="array" ref="E396">INDEX(consolid1!$I$2:$I$904,MATCH(A396,consolid1!$B$2:$B$904,0))</f>
        <v>#N/A</v>
      </c>
      <c r="F396" s="4" t="str">
        <f t="array" ref="F396">INDEX(consolid1!$G$2:$G1534,MATCH(A396,consolid1!$B$2:$B1534,0))</f>
        <v>#N/A</v>
      </c>
    </row>
    <row r="397">
      <c r="A397" s="4" t="s">
        <v>136</v>
      </c>
      <c r="B397" s="3">
        <v>3109.0</v>
      </c>
      <c r="C397" s="4"/>
      <c r="D397" s="4" t="str">
        <f t="shared" si="1"/>
        <v>AVEC</v>
      </c>
      <c r="E397" s="4" t="str">
        <f t="array" ref="E397">INDEX(consolid1!$I$2:$I$904,MATCH(A397,consolid1!$B$2:$B$904,0))</f>
        <v>#N/A</v>
      </c>
      <c r="F397" s="4" t="str">
        <f t="array" ref="F397">INDEX(consolid1!$G$2:$G1534,MATCH(A397,consolid1!$B$2:$B1534,0))</f>
        <v>#N/A</v>
      </c>
    </row>
    <row r="398">
      <c r="A398" s="4" t="s">
        <v>2115</v>
      </c>
      <c r="B398" s="3">
        <v>3030.0</v>
      </c>
      <c r="C398" s="4"/>
      <c r="D398" s="4" t="str">
        <f t="shared" si="1"/>
        <v>AVEC</v>
      </c>
      <c r="E398" s="4" t="str">
        <f t="array" ref="E398">INDEX(consolid1!$I$2:$I$904,MATCH(A398,consolid1!$B$2:$B$904,0))</f>
        <v>#N/A</v>
      </c>
      <c r="F398" s="4" t="str">
        <f t="array" ref="F398">INDEX(consolid1!$G$2:$G1534,MATCH(A398,consolid1!$B$2:$B1534,0))</f>
        <v>#N/A</v>
      </c>
    </row>
    <row r="399">
      <c r="A399" s="4" t="s">
        <v>21</v>
      </c>
      <c r="B399" s="3">
        <v>3000.0</v>
      </c>
      <c r="C399" s="4"/>
      <c r="D399" s="4" t="str">
        <f t="shared" si="1"/>
        <v>AVEC</v>
      </c>
      <c r="E399" s="4" t="str">
        <f t="array" ref="E399">INDEX(consolid1!$I$2:$I$904,MATCH(A399,consolid1!$B$2:$B$904,0))</f>
        <v>#N/A</v>
      </c>
      <c r="F399" s="4" t="str">
        <f t="array" ref="F399">INDEX(consolid1!$G$2:$G1534,MATCH(A399,consolid1!$B$2:$B1534,0))</f>
        <v>#N/A</v>
      </c>
    </row>
    <row r="400">
      <c r="A400" s="4" t="s">
        <v>157</v>
      </c>
      <c r="B400" s="3">
        <v>3000.0</v>
      </c>
      <c r="C400" s="4"/>
      <c r="D400" s="4" t="str">
        <f t="shared" si="1"/>
        <v>AVEC</v>
      </c>
      <c r="E400" s="4" t="str">
        <f t="array" ref="E400">INDEX(consolid1!$I$2:$I$904,MATCH(A400,consolid1!$B$2:$B$904,0))</f>
        <v>#N/A</v>
      </c>
      <c r="F400" s="4" t="str">
        <f t="array" ref="F400">INDEX(consolid1!$G$2:$G1534,MATCH(A400,consolid1!$B$2:$B1534,0))</f>
        <v>#N/A</v>
      </c>
    </row>
    <row r="401">
      <c r="A401" s="4" t="s">
        <v>2125</v>
      </c>
      <c r="B401" s="3">
        <v>3000.0</v>
      </c>
      <c r="C401" s="3" t="s">
        <v>6</v>
      </c>
      <c r="D401" s="4" t="str">
        <f t="shared" si="1"/>
        <v>AVEC</v>
      </c>
      <c r="E401" s="4" t="str">
        <f t="array" ref="E401">INDEX(consolid1!$I$2:$I$904,MATCH(A401,consolid1!$B$2:$B$904,0))</f>
        <v>#N/A</v>
      </c>
      <c r="F401" s="4" t="str">
        <f t="array" ref="F401">INDEX(consolid1!$G$2:$G1534,MATCH(A401,consolid1!$B$2:$B1534,0))</f>
        <v>#N/A</v>
      </c>
    </row>
    <row r="402">
      <c r="A402" s="4" t="s">
        <v>444</v>
      </c>
      <c r="B402" s="3">
        <v>3000.0</v>
      </c>
      <c r="C402" s="4"/>
      <c r="D402" s="4" t="str">
        <f t="shared" si="1"/>
        <v>AVEC</v>
      </c>
      <c r="E402" s="4" t="str">
        <f t="array" ref="E402">INDEX(consolid1!$I$2:$I$904,MATCH(A402,consolid1!$B$2:$B$904,0))</f>
        <v>#N/A</v>
      </c>
      <c r="F402" s="4" t="str">
        <f t="array" ref="F402">INDEX(consolid1!$G$2:$G1534,MATCH(A402,consolid1!$B$2:$B1534,0))</f>
        <v>#N/A</v>
      </c>
    </row>
    <row r="403">
      <c r="A403" s="4" t="s">
        <v>2157</v>
      </c>
      <c r="B403" s="3">
        <v>3000.0</v>
      </c>
      <c r="C403" s="4"/>
      <c r="D403" s="4" t="str">
        <f t="shared" si="1"/>
        <v>AVEC</v>
      </c>
      <c r="E403" s="4" t="str">
        <f t="array" ref="E403">INDEX(consolid1!$I$2:$I$904,MATCH(A403,consolid1!$B$2:$B$904,0))</f>
        <v>#N/A</v>
      </c>
      <c r="F403" s="4" t="str">
        <f t="array" ref="F403">INDEX(consolid1!$G$2:$G1534,MATCH(A403,consolid1!$B$2:$B1534,0))</f>
        <v>#N/A</v>
      </c>
    </row>
    <row r="404">
      <c r="A404" s="4" t="s">
        <v>466</v>
      </c>
      <c r="B404" s="3">
        <v>3000.0</v>
      </c>
      <c r="C404" s="3" t="s">
        <v>3</v>
      </c>
      <c r="D404" s="4" t="str">
        <f t="shared" si="1"/>
        <v>AVEC</v>
      </c>
      <c r="E404" s="4" t="str">
        <f t="array" ref="E404">INDEX(consolid1!$I$2:$I$904,MATCH(A404,consolid1!$B$2:$B$904,0))</f>
        <v>#N/A</v>
      </c>
      <c r="F404" s="4" t="str">
        <f t="array" ref="F404">INDEX(consolid1!$G$2:$G1534,MATCH(A404,consolid1!$B$2:$B1534,0))</f>
        <v>#N/A</v>
      </c>
    </row>
    <row r="405">
      <c r="A405" s="4" t="s">
        <v>480</v>
      </c>
      <c r="B405" s="3">
        <v>3000.0</v>
      </c>
      <c r="C405" s="4"/>
      <c r="D405" s="4" t="str">
        <f t="shared" si="1"/>
        <v>AVEC</v>
      </c>
      <c r="E405" s="4" t="str">
        <f t="array" ref="E405">INDEX(consolid1!$I$2:$I$904,MATCH(A405,consolid1!$B$2:$B$904,0))</f>
        <v>#N/A</v>
      </c>
      <c r="F405" s="4" t="str">
        <f t="array" ref="F405">INDEX(consolid1!$G$2:$G1534,MATCH(A405,consolid1!$B$2:$B1534,0))</f>
        <v>#N/A</v>
      </c>
    </row>
    <row r="406">
      <c r="A406" s="4" t="s">
        <v>526</v>
      </c>
      <c r="B406" s="3">
        <v>3000.0</v>
      </c>
      <c r="C406" s="4"/>
      <c r="D406" s="4" t="str">
        <f t="shared" si="1"/>
        <v>AVEC</v>
      </c>
      <c r="E406" s="4" t="str">
        <f t="array" ref="E406">INDEX(consolid1!$I$2:$I$904,MATCH(A406,consolid1!$B$2:$B$904,0))</f>
        <v>#N/A</v>
      </c>
      <c r="F406" s="4" t="str">
        <f t="array" ref="F406">INDEX(consolid1!$G$2:$G1534,MATCH(A406,consolid1!$B$2:$B1534,0))</f>
        <v>#N/A</v>
      </c>
    </row>
    <row r="407">
      <c r="A407" s="4" t="s">
        <v>605</v>
      </c>
      <c r="B407" s="3">
        <v>3000.0</v>
      </c>
      <c r="C407" s="3" t="s">
        <v>29</v>
      </c>
      <c r="D407" s="4" t="str">
        <f t="shared" si="1"/>
        <v>AVEC</v>
      </c>
      <c r="E407" s="4" t="str">
        <f t="array" ref="E407">INDEX(consolid1!$I$2:$I$904,MATCH(A407,consolid1!$B$2:$B$904,0))</f>
        <v>#N/A</v>
      </c>
      <c r="F407" s="4" t="str">
        <f t="array" ref="F407">INDEX(consolid1!$G$2:$G1534,MATCH(A407,consolid1!$B$2:$B1534,0))</f>
        <v>#N/A</v>
      </c>
    </row>
    <row r="408">
      <c r="A408" s="4" t="s">
        <v>606</v>
      </c>
      <c r="B408" s="3">
        <v>3000.0</v>
      </c>
      <c r="C408" s="3" t="s">
        <v>484</v>
      </c>
      <c r="D408" s="4" t="str">
        <f t="shared" si="1"/>
        <v>AVEC</v>
      </c>
      <c r="E408" s="4" t="str">
        <f t="array" ref="E408">INDEX(consolid1!$I$2:$I$904,MATCH(A408,consolid1!$B$2:$B$904,0))</f>
        <v>#N/A</v>
      </c>
      <c r="F408" s="4" t="str">
        <f t="array" ref="F408">INDEX(consolid1!$G$2:$G1534,MATCH(A408,consolid1!$B$2:$B1534,0))</f>
        <v>#N/A</v>
      </c>
    </row>
    <row r="409">
      <c r="A409" s="4" t="s">
        <v>643</v>
      </c>
      <c r="B409" s="3">
        <v>3000.0</v>
      </c>
      <c r="C409" s="3" t="s">
        <v>29</v>
      </c>
      <c r="D409" s="4" t="str">
        <f t="shared" si="1"/>
        <v>AVEC</v>
      </c>
      <c r="E409" s="4" t="str">
        <f t="array" ref="E409">INDEX(consolid1!$I$2:$I$904,MATCH(A409,consolid1!$B$2:$B$904,0))</f>
        <v>#N/A</v>
      </c>
      <c r="F409" s="4" t="str">
        <f t="array" ref="F409">INDEX(consolid1!$G$2:$G1534,MATCH(A409,consolid1!$B$2:$B1534,0))</f>
        <v>#N/A</v>
      </c>
    </row>
    <row r="410">
      <c r="A410" s="4" t="s">
        <v>716</v>
      </c>
      <c r="B410" s="3">
        <v>3000.0</v>
      </c>
      <c r="C410" s="3" t="s">
        <v>32</v>
      </c>
      <c r="D410" s="4" t="str">
        <f t="shared" si="1"/>
        <v>AVEC</v>
      </c>
      <c r="E410" s="4" t="str">
        <f t="array" ref="E410">INDEX(consolid1!$I$2:$I$904,MATCH(A410,consolid1!$B$2:$B$904,0))</f>
        <v>#N/A</v>
      </c>
      <c r="F410" s="4" t="str">
        <f t="array" ref="F410">INDEX(consolid1!$G$2:$G1534,MATCH(A410,consolid1!$B$2:$B1534,0))</f>
        <v>#N/A</v>
      </c>
    </row>
    <row r="411">
      <c r="A411" s="4" t="s">
        <v>785</v>
      </c>
      <c r="B411" s="3">
        <v>3000.0</v>
      </c>
      <c r="C411" s="4"/>
      <c r="D411" s="4" t="str">
        <f t="shared" si="1"/>
        <v>AVEC</v>
      </c>
      <c r="E411" s="4" t="str">
        <f t="array" ref="E411">INDEX(consolid1!$I$2:$I$904,MATCH(A411,consolid1!$B$2:$B$904,0))</f>
        <v>#N/A</v>
      </c>
      <c r="F411" s="4" t="str">
        <f t="array" ref="F411">INDEX(consolid1!$G$2:$G1534,MATCH(A411,consolid1!$B$2:$B1534,0))</f>
        <v>#N/A</v>
      </c>
    </row>
    <row r="412">
      <c r="A412" s="4" t="s">
        <v>788</v>
      </c>
      <c r="B412" s="3">
        <v>3000.0</v>
      </c>
      <c r="C412" s="3" t="s">
        <v>3</v>
      </c>
      <c r="D412" s="4" t="str">
        <f t="shared" si="1"/>
        <v>AVEC</v>
      </c>
      <c r="E412" s="4" t="str">
        <f t="array" ref="E412">INDEX(consolid1!$I$2:$I$904,MATCH(A412,consolid1!$B$2:$B$904,0))</f>
        <v>#N/A</v>
      </c>
      <c r="F412" s="4" t="str">
        <f t="array" ref="F412">INDEX(consolid1!$G$2:$G1534,MATCH(A412,consolid1!$B$2:$B1534,0))</f>
        <v>#N/A</v>
      </c>
    </row>
    <row r="413">
      <c r="A413" s="4" t="s">
        <v>797</v>
      </c>
      <c r="B413" s="3">
        <v>3000.0</v>
      </c>
      <c r="C413" s="3" t="s">
        <v>32</v>
      </c>
      <c r="D413" s="4" t="str">
        <f t="shared" si="1"/>
        <v>AVEC</v>
      </c>
      <c r="E413" s="4" t="str">
        <f t="array" ref="E413">INDEX(consolid1!$I$2:$I$904,MATCH(A413,consolid1!$B$2:$B$904,0))</f>
        <v>#N/A</v>
      </c>
      <c r="F413" s="4" t="str">
        <f t="array" ref="F413">INDEX(consolid1!$G$2:$G1534,MATCH(A413,consolid1!$B$2:$B1534,0))</f>
        <v>#N/A</v>
      </c>
    </row>
    <row r="414">
      <c r="A414" s="4" t="s">
        <v>913</v>
      </c>
      <c r="B414" s="3">
        <v>3000.0</v>
      </c>
      <c r="C414" s="4"/>
      <c r="D414" s="4" t="str">
        <f t="shared" si="1"/>
        <v>AVEC</v>
      </c>
      <c r="E414" s="4" t="str">
        <f t="array" ref="E414">INDEX(consolid1!$I$2:$I$904,MATCH(A414,consolid1!$B$2:$B$904,0))</f>
        <v>#N/A</v>
      </c>
      <c r="F414" s="4" t="str">
        <f t="array" ref="F414">INDEX(consolid1!$G$2:$G1534,MATCH(A414,consolid1!$B$2:$B1534,0))</f>
        <v>#N/A</v>
      </c>
    </row>
    <row r="415">
      <c r="A415" s="4" t="s">
        <v>923</v>
      </c>
      <c r="B415" s="3">
        <v>3000.0</v>
      </c>
      <c r="C415" s="4"/>
      <c r="D415" s="4" t="str">
        <f t="shared" si="1"/>
        <v>AVEC</v>
      </c>
      <c r="E415" s="4" t="str">
        <f t="array" ref="E415">INDEX(consolid1!$I$2:$I$904,MATCH(A415,consolid1!$B$2:$B$904,0))</f>
        <v>#N/A</v>
      </c>
      <c r="F415" s="4" t="str">
        <f t="array" ref="F415">INDEX(consolid1!$G$2:$G1534,MATCH(A415,consolid1!$B$2:$B1534,0))</f>
        <v>#N/A</v>
      </c>
    </row>
    <row r="416">
      <c r="A416" s="4" t="s">
        <v>933</v>
      </c>
      <c r="B416" s="3">
        <v>3000.0</v>
      </c>
      <c r="C416" s="4"/>
      <c r="D416" s="4" t="str">
        <f t="shared" si="1"/>
        <v>AVEC</v>
      </c>
      <c r="E416" s="4" t="str">
        <f t="array" ref="E416">INDEX(consolid1!$I$2:$I$904,MATCH(A416,consolid1!$B$2:$B$904,0))</f>
        <v>#N/A</v>
      </c>
      <c r="F416" s="4" t="str">
        <f t="array" ref="F416">INDEX(consolid1!$G$2:$G1534,MATCH(A416,consolid1!$B$2:$B1534,0))</f>
        <v>#N/A</v>
      </c>
    </row>
    <row r="417">
      <c r="A417" s="4" t="s">
        <v>986</v>
      </c>
      <c r="B417" s="3">
        <v>3000.0</v>
      </c>
      <c r="C417" s="4"/>
      <c r="D417" s="4" t="str">
        <f t="shared" si="1"/>
        <v>AVEC</v>
      </c>
      <c r="E417" s="4" t="str">
        <f t="array" ref="E417">INDEX(consolid1!$I$2:$I$904,MATCH(A417,consolid1!$B$2:$B$904,0))</f>
        <v>#N/A</v>
      </c>
      <c r="F417" s="4" t="str">
        <f t="array" ref="F417">INDEX(consolid1!$G$2:$G1534,MATCH(A417,consolid1!$B$2:$B1534,0))</f>
        <v>#N/A</v>
      </c>
    </row>
    <row r="418">
      <c r="A418" s="4" t="s">
        <v>1007</v>
      </c>
      <c r="B418" s="3">
        <v>3000.0</v>
      </c>
      <c r="C418" s="4"/>
      <c r="D418" s="4" t="str">
        <f t="shared" si="1"/>
        <v>AVEC</v>
      </c>
      <c r="E418" s="4" t="str">
        <f t="array" ref="E418">INDEX(consolid1!$I$2:$I$904,MATCH(A418,consolid1!$B$2:$B$904,0))</f>
        <v>#N/A</v>
      </c>
      <c r="F418" s="4" t="str">
        <f t="array" ref="F418">INDEX(consolid1!$G$2:$G1534,MATCH(A418,consolid1!$B$2:$B1534,0))</f>
        <v>#N/A</v>
      </c>
    </row>
    <row r="419">
      <c r="A419" s="4" t="s">
        <v>1060</v>
      </c>
      <c r="B419" s="3">
        <v>3000.0</v>
      </c>
      <c r="C419" s="4"/>
      <c r="D419" s="4" t="str">
        <f t="shared" si="1"/>
        <v>AVEC</v>
      </c>
      <c r="E419" s="4" t="str">
        <f t="array" ref="E419">INDEX(consolid1!$I$2:$I$904,MATCH(A419,consolid1!$B$2:$B$904,0))</f>
        <v>#N/A</v>
      </c>
      <c r="F419" s="4" t="str">
        <f t="array" ref="F419">INDEX(consolid1!$G$2:$G1534,MATCH(A419,consolid1!$B$2:$B1534,0))</f>
        <v>#N/A</v>
      </c>
    </row>
    <row r="420">
      <c r="A420" s="4" t="s">
        <v>1088</v>
      </c>
      <c r="B420" s="3">
        <v>3000.0</v>
      </c>
      <c r="C420" s="3" t="s">
        <v>3</v>
      </c>
      <c r="D420" s="4" t="str">
        <f t="shared" si="1"/>
        <v>AVEC</v>
      </c>
      <c r="E420" s="4" t="str">
        <f t="array" ref="E420">INDEX(consolid1!$I$2:$I$904,MATCH(A420,consolid1!$B$2:$B$904,0))</f>
        <v>#N/A</v>
      </c>
      <c r="F420" s="4" t="str">
        <f t="array" ref="F420">INDEX(consolid1!$G$2:$G1534,MATCH(A420,consolid1!$B$2:$B1534,0))</f>
        <v>#N/A</v>
      </c>
    </row>
    <row r="421">
      <c r="A421" s="4" t="s">
        <v>1135</v>
      </c>
      <c r="B421" s="3">
        <v>3000.0</v>
      </c>
      <c r="C421" s="3" t="s">
        <v>6</v>
      </c>
      <c r="D421" s="4" t="str">
        <f t="shared" si="1"/>
        <v>AVEC</v>
      </c>
      <c r="E421" s="4" t="str">
        <f t="array" ref="E421">INDEX(consolid1!$I$2:$I$904,MATCH(A421,consolid1!$B$2:$B$904,0))</f>
        <v>#N/A</v>
      </c>
      <c r="F421" s="4" t="str">
        <f t="array" ref="F421">INDEX(consolid1!$G$2:$G1534,MATCH(A421,consolid1!$B$2:$B1534,0))</f>
        <v>#N/A</v>
      </c>
    </row>
    <row r="422">
      <c r="A422" s="4" t="s">
        <v>1165</v>
      </c>
      <c r="B422" s="3">
        <v>3000.0</v>
      </c>
      <c r="C422" s="3" t="s">
        <v>3</v>
      </c>
      <c r="D422" s="4" t="str">
        <f t="shared" si="1"/>
        <v>AVEC</v>
      </c>
      <c r="E422" s="4" t="str">
        <f t="array" ref="E422">INDEX(consolid1!$I$2:$I$904,MATCH(A422,consolid1!$B$2:$B$904,0))</f>
        <v>#N/A</v>
      </c>
      <c r="F422" s="4" t="str">
        <f t="array" ref="F422">INDEX(consolid1!$G$2:$G1534,MATCH(A422,consolid1!$B$2:$B1534,0))</f>
        <v>#N/A</v>
      </c>
    </row>
    <row r="423">
      <c r="A423" s="4" t="s">
        <v>1223</v>
      </c>
      <c r="B423" s="3">
        <v>3000.0</v>
      </c>
      <c r="C423" s="3" t="s">
        <v>3</v>
      </c>
      <c r="D423" s="4" t="str">
        <f t="shared" si="1"/>
        <v>AVEC</v>
      </c>
      <c r="E423" s="4" t="str">
        <f t="array" ref="E423">INDEX(consolid1!$I$2:$I$904,MATCH(A423,consolid1!$B$2:$B$904,0))</f>
        <v>Entraide, solidarité, humanitaire</v>
      </c>
      <c r="F423" s="4" t="str">
        <f t="array" ref="F423">INDEX(consolid1!$G$2:$G1534,MATCH(A423,consolid1!$B$2:$B1534,0))</f>
        <v>null</v>
      </c>
    </row>
    <row r="424">
      <c r="A424" s="4" t="s">
        <v>1244</v>
      </c>
      <c r="B424" s="3">
        <v>3000.0</v>
      </c>
      <c r="C424" s="4"/>
      <c r="D424" s="4" t="str">
        <f t="shared" si="1"/>
        <v>AVEC</v>
      </c>
      <c r="E424" s="4" t="str">
        <f t="array" ref="E424">INDEX(consolid1!$I$2:$I$904,MATCH(A424,consolid1!$B$2:$B$904,0))</f>
        <v>#N/A</v>
      </c>
      <c r="F424" s="4" t="str">
        <f t="array" ref="F424">INDEX(consolid1!$G$2:$G1534,MATCH(A424,consolid1!$B$2:$B1534,0))</f>
        <v>#N/A</v>
      </c>
    </row>
    <row r="425">
      <c r="A425" s="4" t="s">
        <v>1247</v>
      </c>
      <c r="B425" s="3">
        <v>3000.0</v>
      </c>
      <c r="C425" s="4"/>
      <c r="D425" s="4" t="str">
        <f t="shared" si="1"/>
        <v>AVEC</v>
      </c>
      <c r="E425" s="4" t="str">
        <f t="array" ref="E425">INDEX(consolid1!$I$2:$I$904,MATCH(A425,consolid1!$B$2:$B$904,0))</f>
        <v>#N/A</v>
      </c>
      <c r="F425" s="4" t="str">
        <f t="array" ref="F425">INDEX(consolid1!$G$2:$G1534,MATCH(A425,consolid1!$B$2:$B1534,0))</f>
        <v>#N/A</v>
      </c>
    </row>
    <row r="426">
      <c r="A426" s="4" t="s">
        <v>1281</v>
      </c>
      <c r="B426" s="3">
        <v>3000.0</v>
      </c>
      <c r="C426" s="3" t="s">
        <v>3</v>
      </c>
      <c r="D426" s="4" t="str">
        <f t="shared" si="1"/>
        <v>AVEC</v>
      </c>
      <c r="E426" s="4" t="str">
        <f t="array" ref="E426">INDEX(consolid1!$I$2:$I$904,MATCH(A426,consolid1!$B$2:$B$904,0))</f>
        <v>#N/A</v>
      </c>
      <c r="F426" s="4" t="str">
        <f t="array" ref="F426">INDEX(consolid1!$G$2:$G1534,MATCH(A426,consolid1!$B$2:$B1534,0))</f>
        <v>#N/A</v>
      </c>
    </row>
    <row r="427">
      <c r="A427" s="4" t="s">
        <v>1290</v>
      </c>
      <c r="B427" s="3">
        <v>3000.0</v>
      </c>
      <c r="C427" s="3" t="s">
        <v>3</v>
      </c>
      <c r="D427" s="4" t="str">
        <f t="shared" si="1"/>
        <v>AVEC</v>
      </c>
      <c r="E427" s="4" t="str">
        <f t="array" ref="E427">INDEX(consolid1!$I$2:$I$904,MATCH(A427,consolid1!$B$2:$B$904,0))</f>
        <v>#N/A</v>
      </c>
      <c r="F427" s="4" t="str">
        <f t="array" ref="F427">INDEX(consolid1!$G$2:$G1534,MATCH(A427,consolid1!$B$2:$B1534,0))</f>
        <v>#N/A</v>
      </c>
    </row>
    <row r="428">
      <c r="A428" s="4" t="s">
        <v>1308</v>
      </c>
      <c r="B428" s="3">
        <v>3000.0</v>
      </c>
      <c r="C428" s="4"/>
      <c r="D428" s="4" t="str">
        <f t="shared" si="1"/>
        <v>AVEC</v>
      </c>
      <c r="E428" s="4" t="str">
        <f t="array" ref="E428">INDEX(consolid1!$I$2:$I$904,MATCH(A428,consolid1!$B$2:$B$904,0))</f>
        <v>#N/A</v>
      </c>
      <c r="F428" s="4" t="str">
        <f t="array" ref="F428">INDEX(consolid1!$G$2:$G1534,MATCH(A428,consolid1!$B$2:$B1534,0))</f>
        <v>#N/A</v>
      </c>
    </row>
    <row r="429">
      <c r="A429" s="4" t="s">
        <v>1326</v>
      </c>
      <c r="B429" s="3">
        <v>3000.0</v>
      </c>
      <c r="C429" s="4"/>
      <c r="D429" s="4" t="str">
        <f t="shared" si="1"/>
        <v>AVEC</v>
      </c>
      <c r="E429" s="4" t="str">
        <f t="array" ref="E429">INDEX(consolid1!$I$2:$I$904,MATCH(A429,consolid1!$B$2:$B$904,0))</f>
        <v>#N/A</v>
      </c>
      <c r="F429" s="4" t="str">
        <f t="array" ref="F429">INDEX(consolid1!$G$2:$G1534,MATCH(A429,consolid1!$B$2:$B1534,0))</f>
        <v>#N/A</v>
      </c>
    </row>
    <row r="430">
      <c r="A430" s="4" t="s">
        <v>1337</v>
      </c>
      <c r="B430" s="3">
        <v>3000.0</v>
      </c>
      <c r="C430" s="4"/>
      <c r="D430" s="4" t="str">
        <f t="shared" si="1"/>
        <v>AVEC</v>
      </c>
      <c r="E430" s="4" t="str">
        <f t="array" ref="E430">INDEX(consolid1!$I$2:$I$904,MATCH(A430,consolid1!$B$2:$B$904,0))</f>
        <v>#N/A</v>
      </c>
      <c r="F430" s="4" t="str">
        <f t="array" ref="F430">INDEX(consolid1!$G$2:$G1534,MATCH(A430,consolid1!$B$2:$B1534,0))</f>
        <v>#N/A</v>
      </c>
    </row>
    <row r="431">
      <c r="A431" s="4" t="s">
        <v>1368</v>
      </c>
      <c r="B431" s="3">
        <v>3000.0</v>
      </c>
      <c r="C431" s="4"/>
      <c r="D431" s="4" t="str">
        <f t="shared" si="1"/>
        <v>AVEC</v>
      </c>
      <c r="E431" s="4" t="str">
        <f t="array" ref="E431">INDEX(consolid1!$I$2:$I$904,MATCH(A431,consolid1!$B$2:$B$904,0))</f>
        <v>#N/A</v>
      </c>
      <c r="F431" s="4" t="str">
        <f t="array" ref="F431">INDEX(consolid1!$G$2:$G1534,MATCH(A431,consolid1!$B$2:$B1534,0))</f>
        <v>#N/A</v>
      </c>
    </row>
    <row r="432">
      <c r="A432" s="4" t="s">
        <v>1381</v>
      </c>
      <c r="B432" s="3">
        <v>3000.0</v>
      </c>
      <c r="C432" s="3" t="s">
        <v>1379</v>
      </c>
      <c r="D432" s="4" t="str">
        <f t="shared" si="1"/>
        <v>AVEC</v>
      </c>
      <c r="E432" s="4" t="str">
        <f t="array" ref="E432">INDEX(consolid1!$I$2:$I$904,MATCH(A432,consolid1!$B$2:$B$904,0))</f>
        <v>#N/A</v>
      </c>
      <c r="F432" s="4" t="str">
        <f t="array" ref="F432">INDEX(consolid1!$G$2:$G1534,MATCH(A432,consolid1!$B$2:$B1534,0))</f>
        <v>#N/A</v>
      </c>
    </row>
    <row r="433">
      <c r="A433" s="4" t="s">
        <v>1383</v>
      </c>
      <c r="B433" s="3">
        <v>3000.0</v>
      </c>
      <c r="C433" s="4"/>
      <c r="D433" s="4" t="str">
        <f t="shared" si="1"/>
        <v>AVEC</v>
      </c>
      <c r="E433" s="4" t="str">
        <f t="array" ref="E433">INDEX(consolid1!$I$2:$I$904,MATCH(A433,consolid1!$B$2:$B$904,0))</f>
        <v>#N/A</v>
      </c>
      <c r="F433" s="4" t="str">
        <f t="array" ref="F433">INDEX(consolid1!$G$2:$G1534,MATCH(A433,consolid1!$B$2:$B1534,0))</f>
        <v>#N/A</v>
      </c>
    </row>
    <row r="434">
      <c r="A434" s="4" t="s">
        <v>1480</v>
      </c>
      <c r="B434" s="3">
        <v>3000.0</v>
      </c>
      <c r="C434" s="4"/>
      <c r="D434" s="4" t="str">
        <f t="shared" si="1"/>
        <v>AVEC</v>
      </c>
      <c r="E434" s="4" t="str">
        <f t="array" ref="E434">INDEX(consolid1!$I$2:$I$904,MATCH(A434,consolid1!$B$2:$B$904,0))</f>
        <v>#N/A</v>
      </c>
      <c r="F434" s="4" t="str">
        <f t="array" ref="F434">INDEX(consolid1!$G$2:$G1534,MATCH(A434,consolid1!$B$2:$B1534,0))</f>
        <v>#N/A</v>
      </c>
    </row>
    <row r="435">
      <c r="A435" s="4" t="s">
        <v>1510</v>
      </c>
      <c r="B435" s="3">
        <v>3000.0</v>
      </c>
      <c r="C435" s="3" t="s">
        <v>3</v>
      </c>
      <c r="D435" s="4" t="str">
        <f t="shared" si="1"/>
        <v>AVEC</v>
      </c>
      <c r="E435" s="4" t="str">
        <f t="array" ref="E435">INDEX(consolid1!$I$2:$I$904,MATCH(A435,consolid1!$B$2:$B$904,0))</f>
        <v>Culture</v>
      </c>
      <c r="F435" s="4" t="str">
        <f t="array" ref="F435">INDEX(consolid1!$G$2:$G1534,MATCH(A435,consolid1!$B$2:$B1534,0))</f>
        <v>Laurent Courbu</v>
      </c>
    </row>
    <row r="436">
      <c r="A436" s="4" t="s">
        <v>1523</v>
      </c>
      <c r="B436" s="3">
        <v>3000.0</v>
      </c>
      <c r="C436" s="3" t="s">
        <v>32</v>
      </c>
      <c r="D436" s="4" t="str">
        <f t="shared" si="1"/>
        <v>AVEC</v>
      </c>
      <c r="E436" s="4" t="str">
        <f t="array" ref="E436">INDEX(consolid1!$I$2:$I$904,MATCH(A436,consolid1!$B$2:$B$904,0))</f>
        <v>#N/A</v>
      </c>
      <c r="F436" s="4" t="str">
        <f t="array" ref="F436">INDEX(consolid1!$G$2:$G1534,MATCH(A436,consolid1!$B$2:$B1534,0))</f>
        <v>#N/A</v>
      </c>
    </row>
    <row r="437">
      <c r="A437" s="4" t="s">
        <v>1589</v>
      </c>
      <c r="B437" s="3">
        <v>3000.0</v>
      </c>
      <c r="C437" s="3" t="s">
        <v>32</v>
      </c>
      <c r="D437" s="4" t="str">
        <f t="shared" si="1"/>
        <v>AVEC</v>
      </c>
      <c r="E437" s="4" t="str">
        <f t="array" ref="E437">INDEX(consolid1!$I$2:$I$904,MATCH(A437,consolid1!$B$2:$B$904,0))</f>
        <v>#N/A</v>
      </c>
      <c r="F437" s="4" t="str">
        <f t="array" ref="F437">INDEX(consolid1!$G$2:$G1534,MATCH(A437,consolid1!$B$2:$B1534,0))</f>
        <v>#N/A</v>
      </c>
    </row>
    <row r="438">
      <c r="A438" s="4" t="s">
        <v>1710</v>
      </c>
      <c r="B438" s="3">
        <v>3000.0</v>
      </c>
      <c r="C438" s="3" t="s">
        <v>6</v>
      </c>
      <c r="D438" s="4" t="str">
        <f t="shared" si="1"/>
        <v>AVEC</v>
      </c>
      <c r="E438" s="4" t="str">
        <f t="array" ref="E438">INDEX(consolid1!$I$2:$I$904,MATCH(A438,consolid1!$B$2:$B$904,0))</f>
        <v>#N/A</v>
      </c>
      <c r="F438" s="4" t="str">
        <f t="array" ref="F438">INDEX(consolid1!$G$2:$G1534,MATCH(A438,consolid1!$B$2:$B1534,0))</f>
        <v>#N/A</v>
      </c>
    </row>
    <row r="439">
      <c r="A439" s="4" t="s">
        <v>1781</v>
      </c>
      <c r="B439" s="3">
        <v>3000.0</v>
      </c>
      <c r="C439" s="4"/>
      <c r="D439" s="4" t="str">
        <f t="shared" si="1"/>
        <v>AVEC</v>
      </c>
      <c r="E439" s="4" t="str">
        <f t="array" ref="E439">INDEX(consolid1!$I$2:$I$904,MATCH(A439,consolid1!$B$2:$B$904,0))</f>
        <v>#N/A</v>
      </c>
      <c r="F439" s="4" t="str">
        <f t="array" ref="F439">INDEX(consolid1!$G$2:$G1534,MATCH(A439,consolid1!$B$2:$B1534,0))</f>
        <v>#N/A</v>
      </c>
    </row>
    <row r="440">
      <c r="A440" s="4" t="s">
        <v>1874</v>
      </c>
      <c r="B440" s="3">
        <v>3000.0</v>
      </c>
      <c r="C440" s="3" t="s">
        <v>29</v>
      </c>
      <c r="D440" s="4" t="str">
        <f t="shared" si="1"/>
        <v>AVEC</v>
      </c>
      <c r="E440" s="4" t="str">
        <f t="array" ref="E440">INDEX(consolid1!$I$2:$I$904,MATCH(A440,consolid1!$B$2:$B$904,0))</f>
        <v>#N/A</v>
      </c>
      <c r="F440" s="4" t="str">
        <f t="array" ref="F440">INDEX(consolid1!$G$2:$G1534,MATCH(A440,consolid1!$B$2:$B1534,0))</f>
        <v>#N/A</v>
      </c>
    </row>
    <row r="441">
      <c r="A441" s="4" t="s">
        <v>1895</v>
      </c>
      <c r="B441" s="3">
        <v>3000.0</v>
      </c>
      <c r="C441" s="3" t="s">
        <v>1651</v>
      </c>
      <c r="D441" s="4" t="str">
        <f t="shared" si="1"/>
        <v>AVEC</v>
      </c>
      <c r="E441" s="4" t="str">
        <f t="array" ref="E441">INDEX(consolid1!$I$2:$I$904,MATCH(A441,consolid1!$B$2:$B$904,0))</f>
        <v>#N/A</v>
      </c>
      <c r="F441" s="4" t="str">
        <f t="array" ref="F441">INDEX(consolid1!$G$2:$G1534,MATCH(A441,consolid1!$B$2:$B1534,0))</f>
        <v>#N/A</v>
      </c>
    </row>
    <row r="442">
      <c r="A442" s="4" t="s">
        <v>2011</v>
      </c>
      <c r="B442" s="3">
        <v>3000.0</v>
      </c>
      <c r="C442" s="3" t="s">
        <v>3</v>
      </c>
      <c r="D442" s="4" t="str">
        <f t="shared" si="1"/>
        <v>AVEC</v>
      </c>
      <c r="E442" s="4" t="str">
        <f t="array" ref="E442">INDEX(consolid1!$I$2:$I$904,MATCH(A442,consolid1!$B$2:$B$904,0))</f>
        <v>#N/A</v>
      </c>
      <c r="F442" s="4" t="str">
        <f t="array" ref="F442">INDEX(consolid1!$G$2:$G1534,MATCH(A442,consolid1!$B$2:$B1534,0))</f>
        <v>#N/A</v>
      </c>
    </row>
    <row r="443">
      <c r="A443" s="4" t="s">
        <v>397</v>
      </c>
      <c r="B443" s="3">
        <v>2800.0</v>
      </c>
      <c r="C443" s="4"/>
      <c r="D443" s="4" t="str">
        <f t="shared" si="1"/>
        <v>AVEC</v>
      </c>
      <c r="E443" s="4" t="str">
        <f t="array" ref="E443">INDEX(consolid1!$I$2:$I$904,MATCH(A443,consolid1!$B$2:$B$904,0))</f>
        <v>#N/A</v>
      </c>
      <c r="F443" s="4" t="str">
        <f t="array" ref="F443">INDEX(consolid1!$G$2:$G1534,MATCH(A443,consolid1!$B$2:$B1534,0))</f>
        <v>#N/A</v>
      </c>
    </row>
    <row r="444">
      <c r="A444" s="4" t="s">
        <v>1177</v>
      </c>
      <c r="B444" s="3">
        <v>2800.0</v>
      </c>
      <c r="C444" s="3" t="s">
        <v>3</v>
      </c>
      <c r="D444" s="4" t="str">
        <f t="shared" si="1"/>
        <v>AVEC</v>
      </c>
      <c r="E444" s="4" t="str">
        <f t="array" ref="E444">INDEX(consolid1!$I$2:$I$904,MATCH(A444,consolid1!$B$2:$B$904,0))</f>
        <v>#N/A</v>
      </c>
      <c r="F444" s="4" t="str">
        <f t="array" ref="F444">INDEX(consolid1!$G$2:$G1534,MATCH(A444,consolid1!$B$2:$B1534,0))</f>
        <v>#N/A</v>
      </c>
    </row>
    <row r="445">
      <c r="A445" s="4" t="s">
        <v>1504</v>
      </c>
      <c r="B445" s="3">
        <v>2800.0</v>
      </c>
      <c r="C445" s="3" t="s">
        <v>3</v>
      </c>
      <c r="D445" s="4" t="str">
        <f t="shared" si="1"/>
        <v>AVEC</v>
      </c>
      <c r="E445" s="4" t="str">
        <f t="array" ref="E445">INDEX(consolid1!$I$2:$I$904,MATCH(A445,consolid1!$B$2:$B$904,0))</f>
        <v>#N/A</v>
      </c>
      <c r="F445" s="4" t="str">
        <f t="array" ref="F445">INDEX(consolid1!$G$2:$G1534,MATCH(A445,consolid1!$B$2:$B1534,0))</f>
        <v>#N/A</v>
      </c>
    </row>
    <row r="446">
      <c r="A446" s="4" t="s">
        <v>166</v>
      </c>
      <c r="B446" s="3">
        <v>2700.0</v>
      </c>
      <c r="C446" s="4"/>
      <c r="D446" s="4" t="str">
        <f t="shared" si="1"/>
        <v>AVEC</v>
      </c>
      <c r="E446" s="4" t="str">
        <f t="array" ref="E446">INDEX(consolid1!$I$2:$I$904,MATCH(A446,consolid1!$B$2:$B$904,0))</f>
        <v>#N/A</v>
      </c>
      <c r="F446" s="4" t="str">
        <f t="array" ref="F446">INDEX(consolid1!$G$2:$G1534,MATCH(A446,consolid1!$B$2:$B1534,0))</f>
        <v>#N/A</v>
      </c>
    </row>
    <row r="447">
      <c r="A447" s="4" t="s">
        <v>343</v>
      </c>
      <c r="B447" s="3">
        <v>2670.0</v>
      </c>
      <c r="C447" s="4"/>
      <c r="D447" s="4" t="str">
        <f t="shared" si="1"/>
        <v>AVEC</v>
      </c>
      <c r="E447" s="4" t="str">
        <f t="array" ref="E447">INDEX(consolid1!$I$2:$I$904,MATCH(A447,consolid1!$B$2:$B$904,0))</f>
        <v>#N/A</v>
      </c>
      <c r="F447" s="4" t="str">
        <f t="array" ref="F447">INDEX(consolid1!$G$2:$G1534,MATCH(A447,consolid1!$B$2:$B1534,0))</f>
        <v>#N/A</v>
      </c>
    </row>
    <row r="448">
      <c r="A448" s="4" t="s">
        <v>904</v>
      </c>
      <c r="B448" s="3">
        <v>2635.0</v>
      </c>
      <c r="C448" s="4"/>
      <c r="D448" s="4" t="str">
        <f t="shared" si="1"/>
        <v>AVEC</v>
      </c>
      <c r="E448" s="4" t="str">
        <f t="array" ref="E448">INDEX(consolid1!$I$2:$I$904,MATCH(A448,consolid1!$B$2:$B$904,0))</f>
        <v>#N/A</v>
      </c>
      <c r="F448" s="4" t="str">
        <f t="array" ref="F448">INDEX(consolid1!$G$2:$G1534,MATCH(A448,consolid1!$B$2:$B1534,0))</f>
        <v>#N/A</v>
      </c>
    </row>
    <row r="449">
      <c r="A449" s="4" t="s">
        <v>124</v>
      </c>
      <c r="B449" s="3">
        <v>2500.0</v>
      </c>
      <c r="C449" s="3" t="s">
        <v>26</v>
      </c>
      <c r="D449" s="4" t="str">
        <f t="shared" si="1"/>
        <v>AVEC</v>
      </c>
      <c r="E449" s="4" t="str">
        <f t="array" ref="E449">INDEX(consolid1!$I$2:$I$904,MATCH(A449,consolid1!$B$2:$B$904,0))</f>
        <v>#N/A</v>
      </c>
      <c r="F449" s="4" t="str">
        <f t="array" ref="F449">INDEX(consolid1!$G$2:$G1534,MATCH(A449,consolid1!$B$2:$B1534,0))</f>
        <v>#N/A</v>
      </c>
    </row>
    <row r="450">
      <c r="A450" s="4" t="s">
        <v>168</v>
      </c>
      <c r="B450" s="3">
        <v>2500.0</v>
      </c>
      <c r="C450" s="4"/>
      <c r="D450" s="4" t="str">
        <f t="shared" si="1"/>
        <v>AVEC</v>
      </c>
      <c r="E450" s="4" t="str">
        <f t="array" ref="E450">INDEX(consolid1!$I$2:$I$904,MATCH(A450,consolid1!$B$2:$B$904,0))</f>
        <v>#N/A</v>
      </c>
      <c r="F450" s="4" t="str">
        <f t="array" ref="F450">INDEX(consolid1!$G$2:$G1534,MATCH(A450,consolid1!$B$2:$B1534,0))</f>
        <v>#N/A</v>
      </c>
    </row>
    <row r="451">
      <c r="A451" s="4" t="s">
        <v>2153</v>
      </c>
      <c r="B451" s="3">
        <v>2500.0</v>
      </c>
      <c r="C451" s="4"/>
      <c r="D451" s="4" t="str">
        <f t="shared" si="1"/>
        <v>AVEC</v>
      </c>
      <c r="E451" s="4" t="str">
        <f t="array" ref="E451">INDEX(consolid1!$I$2:$I$904,MATCH(A451,consolid1!$B$2:$B$904,0))</f>
        <v>#N/A</v>
      </c>
      <c r="F451" s="4" t="str">
        <f t="array" ref="F451">INDEX(consolid1!$G$2:$G1534,MATCH(A451,consolid1!$B$2:$B1534,0))</f>
        <v>#N/A</v>
      </c>
    </row>
    <row r="452">
      <c r="A452" s="4" t="s">
        <v>473</v>
      </c>
      <c r="B452" s="3">
        <v>2500.0</v>
      </c>
      <c r="C452" s="3" t="s">
        <v>3</v>
      </c>
      <c r="D452" s="4" t="str">
        <f t="shared" si="1"/>
        <v>AVEC</v>
      </c>
      <c r="E452" s="4" t="str">
        <f t="array" ref="E452">INDEX(consolid1!$I$2:$I$904,MATCH(A452,consolid1!$B$2:$B$904,0))</f>
        <v>#N/A</v>
      </c>
      <c r="F452" s="4" t="str">
        <f t="array" ref="F452">INDEX(consolid1!$G$2:$G1534,MATCH(A452,consolid1!$B$2:$B1534,0))</f>
        <v>#N/A</v>
      </c>
    </row>
    <row r="453">
      <c r="A453" s="4" t="s">
        <v>2165</v>
      </c>
      <c r="B453" s="3">
        <v>2500.0</v>
      </c>
      <c r="C453" s="4"/>
      <c r="D453" s="4" t="str">
        <f t="shared" si="1"/>
        <v>AVEC</v>
      </c>
      <c r="E453" s="4" t="str">
        <f t="array" ref="E453">INDEX(consolid1!$I$2:$I$904,MATCH(A453,consolid1!$B$2:$B$904,0))</f>
        <v>#N/A</v>
      </c>
      <c r="F453" s="4" t="str">
        <f t="array" ref="F453">INDEX(consolid1!$G$2:$G1534,MATCH(A453,consolid1!$B$2:$B1534,0))</f>
        <v>#N/A</v>
      </c>
    </row>
    <row r="454">
      <c r="A454" s="4" t="s">
        <v>611</v>
      </c>
      <c r="B454" s="3">
        <v>2500.0</v>
      </c>
      <c r="C454" s="4"/>
      <c r="D454" s="4" t="str">
        <f t="shared" si="1"/>
        <v>AVEC</v>
      </c>
      <c r="E454" s="4" t="str">
        <f t="array" ref="E454">INDEX(consolid1!$I$2:$I$904,MATCH(A454,consolid1!$B$2:$B$904,0))</f>
        <v>Sport</v>
      </c>
      <c r="F454" s="4" t="str">
        <f t="array" ref="F454">INDEX(consolid1!$G$2:$G1534,MATCH(A454,consolid1!$B$2:$B1534,0))</f>
        <v>null</v>
      </c>
    </row>
    <row r="455">
      <c r="A455" s="4" t="s">
        <v>630</v>
      </c>
      <c r="B455" s="3">
        <v>2500.0</v>
      </c>
      <c r="C455" s="4"/>
      <c r="D455" s="4" t="str">
        <f t="shared" si="1"/>
        <v>AVEC</v>
      </c>
      <c r="E455" s="4" t="str">
        <f t="array" ref="E455">INDEX(consolid1!$I$2:$I$904,MATCH(A455,consolid1!$B$2:$B$904,0))</f>
        <v>#N/A</v>
      </c>
      <c r="F455" s="4" t="str">
        <f t="array" ref="F455">INDEX(consolid1!$G$2:$G1534,MATCH(A455,consolid1!$B$2:$B1534,0))</f>
        <v>#N/A</v>
      </c>
    </row>
    <row r="456">
      <c r="A456" s="4" t="s">
        <v>636</v>
      </c>
      <c r="B456" s="3">
        <v>2500.0</v>
      </c>
      <c r="C456" s="3" t="s">
        <v>6</v>
      </c>
      <c r="D456" s="4" t="str">
        <f t="shared" si="1"/>
        <v>AVEC</v>
      </c>
      <c r="E456" s="4" t="str">
        <f t="array" ref="E456">INDEX(consolid1!$I$2:$I$904,MATCH(A456,consolid1!$B$2:$B$904,0))</f>
        <v>#N/A</v>
      </c>
      <c r="F456" s="4" t="str">
        <f t="array" ref="F456">INDEX(consolid1!$G$2:$G1534,MATCH(A456,consolid1!$B$2:$B1534,0))</f>
        <v>#N/A</v>
      </c>
    </row>
    <row r="457">
      <c r="A457" s="4" t="s">
        <v>761</v>
      </c>
      <c r="B457" s="3">
        <v>2500.0</v>
      </c>
      <c r="C457" s="4"/>
      <c r="D457" s="4" t="str">
        <f t="shared" si="1"/>
        <v>AVEC</v>
      </c>
      <c r="E457" s="4" t="str">
        <f t="array" ref="E457">INDEX(consolid1!$I$2:$I$904,MATCH(A457,consolid1!$B$2:$B$904,0))</f>
        <v>#N/A</v>
      </c>
      <c r="F457" s="4" t="str">
        <f t="array" ref="F457">INDEX(consolid1!$G$2:$G1534,MATCH(A457,consolid1!$B$2:$B1534,0))</f>
        <v>#N/A</v>
      </c>
    </row>
    <row r="458">
      <c r="A458" s="4" t="s">
        <v>842</v>
      </c>
      <c r="B458" s="3">
        <v>2500.0</v>
      </c>
      <c r="C458" s="4"/>
      <c r="D458" s="4" t="str">
        <f t="shared" si="1"/>
        <v>AVEC</v>
      </c>
      <c r="E458" s="4" t="str">
        <f t="array" ref="E458">INDEX(consolid1!$I$2:$I$904,MATCH(A458,consolid1!$B$2:$B$904,0))</f>
        <v>#N/A</v>
      </c>
      <c r="F458" s="4" t="str">
        <f t="array" ref="F458">INDEX(consolid1!$G$2:$G1534,MATCH(A458,consolid1!$B$2:$B1534,0))</f>
        <v>#N/A</v>
      </c>
    </row>
    <row r="459">
      <c r="A459" s="4" t="s">
        <v>2265</v>
      </c>
      <c r="B459" s="3">
        <v>2500.0</v>
      </c>
      <c r="C459" s="3" t="s">
        <v>3</v>
      </c>
      <c r="D459" s="4" t="str">
        <f t="shared" si="1"/>
        <v>AVEC</v>
      </c>
      <c r="E459" s="4" t="str">
        <f t="array" ref="E459">INDEX(consolid1!$I$2:$I$904,MATCH(A459,consolid1!$B$2:$B$904,0))</f>
        <v>#N/A</v>
      </c>
      <c r="F459" s="4" t="str">
        <f t="array" ref="F459">INDEX(consolid1!$G$2:$G1534,MATCH(A459,consolid1!$B$2:$B1534,0))</f>
        <v>#N/A</v>
      </c>
    </row>
    <row r="460">
      <c r="A460" s="4" t="s">
        <v>1252</v>
      </c>
      <c r="B460" s="3">
        <v>2500.0</v>
      </c>
      <c r="C460" s="4"/>
      <c r="D460" s="4" t="str">
        <f t="shared" si="1"/>
        <v>AVEC</v>
      </c>
      <c r="E460" s="4" t="str">
        <f t="array" ref="E460">INDEX(consolid1!$I$2:$I$904,MATCH(A460,consolid1!$B$2:$B$904,0))</f>
        <v>#N/A</v>
      </c>
      <c r="F460" s="4" t="str">
        <f t="array" ref="F460">INDEX(consolid1!$G$2:$G1534,MATCH(A460,consolid1!$B$2:$B1534,0))</f>
        <v>#N/A</v>
      </c>
    </row>
    <row r="461">
      <c r="A461" s="4" t="s">
        <v>1354</v>
      </c>
      <c r="B461" s="3">
        <v>2500.0</v>
      </c>
      <c r="C461" s="3" t="s">
        <v>3</v>
      </c>
      <c r="D461" s="4" t="str">
        <f t="shared" si="1"/>
        <v>AVEC</v>
      </c>
      <c r="E461" s="4" t="str">
        <f t="array" ref="E461">INDEX(consolid1!$I$2:$I$904,MATCH(A461,consolid1!$B$2:$B$904,0))</f>
        <v>#N/A</v>
      </c>
      <c r="F461" s="4" t="str">
        <f t="array" ref="F461">INDEX(consolid1!$G$2:$G1534,MATCH(A461,consolid1!$B$2:$B1534,0))</f>
        <v>#N/A</v>
      </c>
    </row>
    <row r="462">
      <c r="A462" s="4" t="s">
        <v>1386</v>
      </c>
      <c r="B462" s="3">
        <v>2500.0</v>
      </c>
      <c r="C462" s="3" t="s">
        <v>32</v>
      </c>
      <c r="D462" s="4" t="str">
        <f t="shared" si="1"/>
        <v>AVEC</v>
      </c>
      <c r="E462" s="4" t="str">
        <f t="array" ref="E462">INDEX(consolid1!$I$2:$I$904,MATCH(A462,consolid1!$B$2:$B$904,0))</f>
        <v>#N/A</v>
      </c>
      <c r="F462" s="4" t="str">
        <f t="array" ref="F462">INDEX(consolid1!$G$2:$G1534,MATCH(A462,consolid1!$B$2:$B1534,0))</f>
        <v>#N/A</v>
      </c>
    </row>
    <row r="463">
      <c r="A463" s="4" t="s">
        <v>1450</v>
      </c>
      <c r="B463" s="3">
        <v>2500.0</v>
      </c>
      <c r="C463" s="3" t="s">
        <v>3</v>
      </c>
      <c r="D463" s="4" t="str">
        <f t="shared" si="1"/>
        <v>AVEC</v>
      </c>
      <c r="E463" s="4" t="str">
        <f t="array" ref="E463">INDEX(consolid1!$I$2:$I$904,MATCH(A463,consolid1!$B$2:$B$904,0))</f>
        <v>#N/A</v>
      </c>
      <c r="F463" s="4" t="str">
        <f t="array" ref="F463">INDEX(consolid1!$G$2:$G1534,MATCH(A463,consolid1!$B$2:$B1534,0))</f>
        <v>#N/A</v>
      </c>
    </row>
    <row r="464">
      <c r="A464" s="4" t="s">
        <v>1590</v>
      </c>
      <c r="B464" s="3">
        <v>2500.0</v>
      </c>
      <c r="C464" s="4"/>
      <c r="D464" s="4" t="str">
        <f t="shared" si="1"/>
        <v>AVEC</v>
      </c>
      <c r="E464" s="4" t="str">
        <f t="array" ref="E464">INDEX(consolid1!$I$2:$I$904,MATCH(A464,consolid1!$B$2:$B$904,0))</f>
        <v>#N/A</v>
      </c>
      <c r="F464" s="4" t="str">
        <f t="array" ref="F464">INDEX(consolid1!$G$2:$G1534,MATCH(A464,consolid1!$B$2:$B1534,0))</f>
        <v>#N/A</v>
      </c>
    </row>
    <row r="465">
      <c r="A465" s="4" t="s">
        <v>1603</v>
      </c>
      <c r="B465" s="3">
        <v>2500.0</v>
      </c>
      <c r="C465" s="3" t="s">
        <v>3</v>
      </c>
      <c r="D465" s="4" t="str">
        <f t="shared" si="1"/>
        <v>AVEC</v>
      </c>
      <c r="E465" s="4" t="str">
        <f t="array" ref="E465">INDEX(consolid1!$I$2:$I$904,MATCH(A465,consolid1!$B$2:$B$904,0))</f>
        <v>#N/A</v>
      </c>
      <c r="F465" s="4" t="str">
        <f t="array" ref="F465">INDEX(consolid1!$G$2:$G1534,MATCH(A465,consolid1!$B$2:$B1534,0))</f>
        <v>#N/A</v>
      </c>
    </row>
    <row r="466">
      <c r="A466" s="4" t="s">
        <v>1667</v>
      </c>
      <c r="B466" s="3">
        <v>2500.0</v>
      </c>
      <c r="C466" s="4"/>
      <c r="D466" s="4" t="str">
        <f t="shared" si="1"/>
        <v>AVEC</v>
      </c>
      <c r="E466" s="4" t="str">
        <f t="array" ref="E466">INDEX(consolid1!$I$2:$I$904,MATCH(A466,consolid1!$B$2:$B$904,0))</f>
        <v>#N/A</v>
      </c>
      <c r="F466" s="4" t="str">
        <f t="array" ref="F466">INDEX(consolid1!$G$2:$G1534,MATCH(A466,consolid1!$B$2:$B1534,0))</f>
        <v>#N/A</v>
      </c>
    </row>
    <row r="467">
      <c r="A467" s="4" t="s">
        <v>1672</v>
      </c>
      <c r="B467" s="3">
        <v>2500.0</v>
      </c>
      <c r="C467" s="4"/>
      <c r="D467" s="4" t="str">
        <f t="shared" si="1"/>
        <v>AVEC</v>
      </c>
      <c r="E467" s="4" t="str">
        <f t="array" ref="E467">INDEX(consolid1!$I$2:$I$904,MATCH(A467,consolid1!$B$2:$B$904,0))</f>
        <v>#N/A</v>
      </c>
      <c r="F467" s="4" t="str">
        <f t="array" ref="F467">INDEX(consolid1!$G$2:$G1534,MATCH(A467,consolid1!$B$2:$B1534,0))</f>
        <v>#N/A</v>
      </c>
    </row>
    <row r="468">
      <c r="A468" s="4" t="s">
        <v>1701</v>
      </c>
      <c r="B468" s="3">
        <v>2500.0</v>
      </c>
      <c r="C468" s="3" t="s">
        <v>3</v>
      </c>
      <c r="D468" s="4" t="str">
        <f t="shared" si="1"/>
        <v>AVEC</v>
      </c>
      <c r="E468" s="4" t="str">
        <f t="array" ref="E468">INDEX(consolid1!$I$2:$I$904,MATCH(A468,consolid1!$B$2:$B$904,0))</f>
        <v>#N/A</v>
      </c>
      <c r="F468" s="4" t="str">
        <f t="array" ref="F468">INDEX(consolid1!$G$2:$G1534,MATCH(A468,consolid1!$B$2:$B1534,0))</f>
        <v>#N/A</v>
      </c>
    </row>
    <row r="469">
      <c r="A469" s="4" t="s">
        <v>2303</v>
      </c>
      <c r="B469" s="3">
        <v>2500.0</v>
      </c>
      <c r="C469" s="3" t="s">
        <v>3</v>
      </c>
      <c r="D469" s="4" t="str">
        <f t="shared" si="1"/>
        <v>AVEC</v>
      </c>
      <c r="E469" s="4" t="str">
        <f t="array" ref="E469">INDEX(consolid1!$I$2:$I$904,MATCH(A469,consolid1!$B$2:$B$904,0))</f>
        <v>#N/A</v>
      </c>
      <c r="F469" s="4" t="str">
        <f t="array" ref="F469">INDEX(consolid1!$G$2:$G1534,MATCH(A469,consolid1!$B$2:$B1534,0))</f>
        <v>#N/A</v>
      </c>
    </row>
    <row r="470">
      <c r="A470" s="4" t="s">
        <v>1842</v>
      </c>
      <c r="B470" s="3">
        <v>2500.0</v>
      </c>
      <c r="C470" s="3" t="s">
        <v>3</v>
      </c>
      <c r="D470" s="4" t="str">
        <f t="shared" si="1"/>
        <v>AVEC</v>
      </c>
      <c r="E470" s="4" t="str">
        <f t="array" ref="E470">INDEX(consolid1!$I$2:$I$904,MATCH(A470,consolid1!$B$2:$B$904,0))</f>
        <v>#N/A</v>
      </c>
      <c r="F470" s="4" t="str">
        <f t="array" ref="F470">INDEX(consolid1!$G$2:$G1534,MATCH(A470,consolid1!$B$2:$B1534,0))</f>
        <v>#N/A</v>
      </c>
    </row>
    <row r="471">
      <c r="A471" s="4" t="s">
        <v>2314</v>
      </c>
      <c r="B471" s="3">
        <v>2500.0</v>
      </c>
      <c r="C471" s="4"/>
      <c r="D471" s="4" t="str">
        <f t="shared" si="1"/>
        <v>AVEC</v>
      </c>
      <c r="E471" s="4" t="str">
        <f t="array" ref="E471">INDEX(consolid1!$I$2:$I$904,MATCH(A471,consolid1!$B$2:$B$904,0))</f>
        <v>#N/A</v>
      </c>
      <c r="F471" s="4" t="str">
        <f t="array" ref="F471">INDEX(consolid1!$G$2:$G1534,MATCH(A471,consolid1!$B$2:$B1534,0))</f>
        <v>#N/A</v>
      </c>
    </row>
    <row r="472">
      <c r="A472" s="4" t="s">
        <v>1980</v>
      </c>
      <c r="B472" s="3">
        <v>2450.0</v>
      </c>
      <c r="C472" s="4"/>
      <c r="D472" s="4" t="str">
        <f t="shared" si="1"/>
        <v>AVEC</v>
      </c>
      <c r="E472" s="4" t="str">
        <f t="array" ref="E472">INDEX(consolid1!$I$2:$I$904,MATCH(A472,consolid1!$B$2:$B$904,0))</f>
        <v>#N/A</v>
      </c>
      <c r="F472" s="4" t="str">
        <f t="array" ref="F472">INDEX(consolid1!$G$2:$G1534,MATCH(A472,consolid1!$B$2:$B1534,0))</f>
        <v>#N/A</v>
      </c>
    </row>
    <row r="473">
      <c r="A473" s="4" t="s">
        <v>55</v>
      </c>
      <c r="B473" s="3">
        <v>2400.0</v>
      </c>
      <c r="C473" s="4"/>
      <c r="D473" s="4" t="str">
        <f t="shared" si="1"/>
        <v>AVEC</v>
      </c>
      <c r="E473" s="4" t="str">
        <f t="array" ref="E473">INDEX(consolid1!$I$2:$I$904,MATCH(A473,consolid1!$B$2:$B$904,0))</f>
        <v>#N/A</v>
      </c>
      <c r="F473" s="4" t="str">
        <f t="array" ref="F473">INDEX(consolid1!$G$2:$G1534,MATCH(A473,consolid1!$B$2:$B1534,0))</f>
        <v>#N/A</v>
      </c>
    </row>
    <row r="474">
      <c r="A474" s="4" t="s">
        <v>843</v>
      </c>
      <c r="B474" s="3">
        <v>2300.0</v>
      </c>
      <c r="C474" s="3" t="s">
        <v>32</v>
      </c>
      <c r="D474" s="4" t="str">
        <f t="shared" si="1"/>
        <v>AVEC</v>
      </c>
      <c r="E474" s="4" t="str">
        <f t="array" ref="E474">INDEX(consolid1!$I$2:$I$904,MATCH(A474,consolid1!$B$2:$B$904,0))</f>
        <v>Culture</v>
      </c>
      <c r="F474" s="4" t="str">
        <f t="array" ref="F474">INDEX(consolid1!$G$2:$G1534,MATCH(A474,consolid1!$B$2:$B1534,0))</f>
        <v>null</v>
      </c>
    </row>
    <row r="475">
      <c r="A475" s="4" t="s">
        <v>1470</v>
      </c>
      <c r="B475" s="3">
        <v>2250.0</v>
      </c>
      <c r="C475" s="4"/>
      <c r="D475" s="4" t="str">
        <f t="shared" si="1"/>
        <v>AVEC</v>
      </c>
      <c r="E475" s="4" t="str">
        <f t="array" ref="E475">INDEX(consolid1!$I$2:$I$904,MATCH(A475,consolid1!$B$2:$B$904,0))</f>
        <v>#N/A</v>
      </c>
      <c r="F475" s="4" t="str">
        <f t="array" ref="F475">INDEX(consolid1!$G$2:$G1534,MATCH(A475,consolid1!$B$2:$B1534,0))</f>
        <v>#N/A</v>
      </c>
    </row>
    <row r="476">
      <c r="A476" s="4" t="s">
        <v>1092</v>
      </c>
      <c r="B476" s="3">
        <v>2200.0</v>
      </c>
      <c r="C476" s="4"/>
      <c r="D476" s="4" t="str">
        <f t="shared" si="1"/>
        <v>AVEC</v>
      </c>
      <c r="E476" s="4" t="str">
        <f t="array" ref="E476">INDEX(consolid1!$I$2:$I$904,MATCH(A476,consolid1!$B$2:$B$904,0))</f>
        <v>Culture</v>
      </c>
      <c r="F476" s="4" t="str">
        <f t="array" ref="F476">INDEX(consolid1!$G$2:$G1534,MATCH(A476,consolid1!$B$2:$B1534,0))</f>
        <v>null</v>
      </c>
    </row>
    <row r="477">
      <c r="A477" s="4" t="s">
        <v>1897</v>
      </c>
      <c r="B477" s="3">
        <v>2200.0</v>
      </c>
      <c r="C477" s="3" t="s">
        <v>3</v>
      </c>
      <c r="D477" s="4" t="str">
        <f t="shared" si="1"/>
        <v>AVEC</v>
      </c>
      <c r="E477" s="4" t="str">
        <f t="array" ref="E477">INDEX(consolid1!$I$2:$I$904,MATCH(A477,consolid1!$B$2:$B$904,0))</f>
        <v>#N/A</v>
      </c>
      <c r="F477" s="4" t="str">
        <f t="array" ref="F477">INDEX(consolid1!$G$2:$G1534,MATCH(A477,consolid1!$B$2:$B1534,0))</f>
        <v>#N/A</v>
      </c>
    </row>
    <row r="478">
      <c r="A478" s="4" t="s">
        <v>320</v>
      </c>
      <c r="B478" s="3">
        <v>2150.0</v>
      </c>
      <c r="C478" s="3" t="s">
        <v>6</v>
      </c>
      <c r="D478" s="4" t="str">
        <f t="shared" si="1"/>
        <v>AVEC</v>
      </c>
      <c r="E478" s="4" t="str">
        <f t="array" ref="E478">INDEX(consolid1!$I$2:$I$904,MATCH(A478,consolid1!$B$2:$B$904,0))</f>
        <v>#N/A</v>
      </c>
      <c r="F478" s="4" t="str">
        <f t="array" ref="F478">INDEX(consolid1!$G$2:$G1534,MATCH(A478,consolid1!$B$2:$B1534,0))</f>
        <v>#N/A</v>
      </c>
    </row>
    <row r="479">
      <c r="A479" s="4" t="s">
        <v>941</v>
      </c>
      <c r="B479" s="3">
        <v>2100.0</v>
      </c>
      <c r="C479" s="4"/>
      <c r="D479" s="4" t="str">
        <f t="shared" si="1"/>
        <v>AVEC</v>
      </c>
      <c r="E479" s="4" t="str">
        <f t="array" ref="E479">INDEX(consolid1!$I$2:$I$904,MATCH(A479,consolid1!$B$2:$B$904,0))</f>
        <v>#N/A</v>
      </c>
      <c r="F479" s="4" t="str">
        <f t="array" ref="F479">INDEX(consolid1!$G$2:$G1534,MATCH(A479,consolid1!$B$2:$B1534,0))</f>
        <v>#N/A</v>
      </c>
    </row>
    <row r="480">
      <c r="A480" s="4" t="s">
        <v>1012</v>
      </c>
      <c r="B480" s="3">
        <v>2100.0</v>
      </c>
      <c r="C480" s="3" t="s">
        <v>3</v>
      </c>
      <c r="D480" s="4" t="str">
        <f t="shared" si="1"/>
        <v>AVEC</v>
      </c>
      <c r="E480" s="4" t="str">
        <f t="array" ref="E480">INDEX(consolid1!$I$2:$I$904,MATCH(A480,consolid1!$B$2:$B$904,0))</f>
        <v>#N/A</v>
      </c>
      <c r="F480" s="4" t="str">
        <f t="array" ref="F480">INDEX(consolid1!$G$2:$G1534,MATCH(A480,consolid1!$B$2:$B1534,0))</f>
        <v>#N/A</v>
      </c>
    </row>
    <row r="481">
      <c r="A481" s="4" t="s">
        <v>2306</v>
      </c>
      <c r="B481" s="3">
        <v>2100.0</v>
      </c>
      <c r="C481" s="4"/>
      <c r="D481" s="4" t="str">
        <f t="shared" si="1"/>
        <v>AVEC</v>
      </c>
      <c r="E481" s="4" t="str">
        <f t="array" ref="E481">INDEX(consolid1!$I$2:$I$904,MATCH(A481,consolid1!$B$2:$B$904,0))</f>
        <v>#N/A</v>
      </c>
      <c r="F481" s="4" t="str">
        <f t="array" ref="F481">INDEX(consolid1!$G$2:$G1534,MATCH(A481,consolid1!$B$2:$B1534,0))</f>
        <v>#N/A</v>
      </c>
    </row>
    <row r="482">
      <c r="A482" s="4" t="s">
        <v>260</v>
      </c>
      <c r="B482" s="3">
        <v>2064.0</v>
      </c>
      <c r="C482" s="3" t="s">
        <v>32</v>
      </c>
      <c r="D482" s="4" t="str">
        <f t="shared" si="1"/>
        <v>AVEC</v>
      </c>
      <c r="E482" s="4" t="str">
        <f t="array" ref="E482">INDEX(consolid1!$I$2:$I$904,MATCH(A482,consolid1!$B$2:$B$904,0))</f>
        <v>#N/A</v>
      </c>
      <c r="F482" s="4" t="str">
        <f t="array" ref="F482">INDEX(consolid1!$G$2:$G1534,MATCH(A482,consolid1!$B$2:$B1534,0))</f>
        <v>#N/A</v>
      </c>
    </row>
    <row r="483">
      <c r="A483" s="4" t="s">
        <v>318</v>
      </c>
      <c r="B483" s="3">
        <v>2055.0</v>
      </c>
      <c r="C483" s="4"/>
      <c r="D483" s="4" t="str">
        <f t="shared" si="1"/>
        <v>AVEC</v>
      </c>
      <c r="E483" s="4" t="str">
        <f t="array" ref="E483">INDEX(consolid1!$I$2:$I$904,MATCH(A483,consolid1!$B$2:$B$904,0))</f>
        <v>#N/A</v>
      </c>
      <c r="F483" s="4" t="str">
        <f t="array" ref="F483">INDEX(consolid1!$G$2:$G1534,MATCH(A483,consolid1!$B$2:$B1534,0))</f>
        <v>#N/A</v>
      </c>
    </row>
    <row r="484">
      <c r="A484" s="4" t="s">
        <v>19</v>
      </c>
      <c r="B484" s="3">
        <v>2000.0</v>
      </c>
      <c r="C484" s="4"/>
      <c r="D484" s="4" t="str">
        <f t="shared" si="1"/>
        <v>AVEC</v>
      </c>
      <c r="E484" s="4" t="str">
        <f t="array" ref="E484">INDEX(consolid1!$I$2:$I$904,MATCH(A484,consolid1!$B$2:$B$904,0))</f>
        <v>#N/A</v>
      </c>
      <c r="F484" s="4" t="str">
        <f t="array" ref="F484">INDEX(consolid1!$G$2:$G1534,MATCH(A484,consolid1!$B$2:$B1534,0))</f>
        <v>#N/A</v>
      </c>
    </row>
    <row r="485">
      <c r="A485" s="4" t="s">
        <v>77</v>
      </c>
      <c r="B485" s="3">
        <v>2000.0</v>
      </c>
      <c r="C485" s="4"/>
      <c r="D485" s="4" t="str">
        <f t="shared" si="1"/>
        <v>AVEC</v>
      </c>
      <c r="E485" s="4" t="str">
        <f t="array" ref="E485">INDEX(consolid1!$I$2:$I$904,MATCH(A485,consolid1!$B$2:$B$904,0))</f>
        <v>#N/A</v>
      </c>
      <c r="F485" s="4" t="str">
        <f t="array" ref="F485">INDEX(consolid1!$G$2:$G1534,MATCH(A485,consolid1!$B$2:$B1534,0))</f>
        <v>#N/A</v>
      </c>
    </row>
    <row r="486">
      <c r="A486" s="4" t="s">
        <v>81</v>
      </c>
      <c r="B486" s="3">
        <v>2000.0</v>
      </c>
      <c r="C486" s="3" t="s">
        <v>29</v>
      </c>
      <c r="D486" s="4" t="str">
        <f t="shared" si="1"/>
        <v>AVEC</v>
      </c>
      <c r="E486" s="4" t="str">
        <f t="array" ref="E486">INDEX(consolid1!$I$2:$I$904,MATCH(A486,consolid1!$B$2:$B$904,0))</f>
        <v>#N/A</v>
      </c>
      <c r="F486" s="4" t="str">
        <f t="array" ref="F486">INDEX(consolid1!$G$2:$G1534,MATCH(A486,consolid1!$B$2:$B1534,0))</f>
        <v>#N/A</v>
      </c>
    </row>
    <row r="487">
      <c r="A487" s="4" t="s">
        <v>133</v>
      </c>
      <c r="B487" s="3">
        <v>2000.0</v>
      </c>
      <c r="C487" s="3" t="s">
        <v>3</v>
      </c>
      <c r="D487" s="4" t="str">
        <f t="shared" si="1"/>
        <v>AVEC</v>
      </c>
      <c r="E487" s="4" t="str">
        <f t="array" ref="E487">INDEX(consolid1!$I$2:$I$904,MATCH(A487,consolid1!$B$2:$B$904,0))</f>
        <v>#N/A</v>
      </c>
      <c r="F487" s="4" t="str">
        <f t="array" ref="F487">INDEX(consolid1!$G$2:$G1534,MATCH(A487,consolid1!$B$2:$B1534,0))</f>
        <v>#N/A</v>
      </c>
    </row>
    <row r="488">
      <c r="A488" s="4" t="s">
        <v>226</v>
      </c>
      <c r="B488" s="3">
        <v>2000.0</v>
      </c>
      <c r="C488" s="3" t="s">
        <v>3</v>
      </c>
      <c r="D488" s="4" t="str">
        <f t="shared" si="1"/>
        <v>AVEC</v>
      </c>
      <c r="E488" s="4" t="str">
        <f t="array" ref="E488">INDEX(consolid1!$I$2:$I$904,MATCH(A488,consolid1!$B$2:$B$904,0))</f>
        <v>#N/A</v>
      </c>
      <c r="F488" s="4" t="str">
        <f t="array" ref="F488">INDEX(consolid1!$G$2:$G1534,MATCH(A488,consolid1!$B$2:$B1534,0))</f>
        <v>#N/A</v>
      </c>
    </row>
    <row r="489">
      <c r="A489" s="4" t="s">
        <v>410</v>
      </c>
      <c r="B489" s="3">
        <v>2000.0</v>
      </c>
      <c r="C489" s="4"/>
      <c r="D489" s="4" t="str">
        <f t="shared" si="1"/>
        <v>AVEC</v>
      </c>
      <c r="E489" s="4" t="str">
        <f t="array" ref="E489">INDEX(consolid1!$I$2:$I$904,MATCH(A489,consolid1!$B$2:$B$904,0))</f>
        <v>#N/A</v>
      </c>
      <c r="F489" s="4" t="str">
        <f t="array" ref="F489">INDEX(consolid1!$G$2:$G1534,MATCH(A489,consolid1!$B$2:$B1534,0))</f>
        <v>#N/A</v>
      </c>
    </row>
    <row r="490">
      <c r="A490" s="4" t="s">
        <v>457</v>
      </c>
      <c r="B490" s="3">
        <v>2000.0</v>
      </c>
      <c r="C490" s="3" t="s">
        <v>3</v>
      </c>
      <c r="D490" s="4" t="str">
        <f t="shared" si="1"/>
        <v>AVEC</v>
      </c>
      <c r="E490" s="4" t="str">
        <f t="array" ref="E490">INDEX(consolid1!$I$2:$I$904,MATCH(A490,consolid1!$B$2:$B$904,0))</f>
        <v>#N/A</v>
      </c>
      <c r="F490" s="4" t="str">
        <f t="array" ref="F490">INDEX(consolid1!$G$2:$G1534,MATCH(A490,consolid1!$B$2:$B1534,0))</f>
        <v>#N/A</v>
      </c>
    </row>
    <row r="491">
      <c r="A491" s="4" t="s">
        <v>601</v>
      </c>
      <c r="B491" s="3">
        <v>2000.0</v>
      </c>
      <c r="C491" s="4"/>
      <c r="D491" s="4" t="str">
        <f t="shared" si="1"/>
        <v>AVEC</v>
      </c>
      <c r="E491" s="4" t="str">
        <f t="array" ref="E491">INDEX(consolid1!$I$2:$I$904,MATCH(A491,consolid1!$B$2:$B$904,0))</f>
        <v>#N/A</v>
      </c>
      <c r="F491" s="4" t="str">
        <f t="array" ref="F491">INDEX(consolid1!$G$2:$G1534,MATCH(A491,consolid1!$B$2:$B1534,0))</f>
        <v>#N/A</v>
      </c>
    </row>
    <row r="492">
      <c r="A492" s="4" t="s">
        <v>704</v>
      </c>
      <c r="B492" s="3">
        <v>2000.0</v>
      </c>
      <c r="C492" s="4"/>
      <c r="D492" s="4" t="str">
        <f t="shared" si="1"/>
        <v>AVEC</v>
      </c>
      <c r="E492" s="4" t="str">
        <f t="array" ref="E492">INDEX(consolid1!$I$2:$I$904,MATCH(A492,consolid1!$B$2:$B$904,0))</f>
        <v>#N/A</v>
      </c>
      <c r="F492" s="4" t="str">
        <f t="array" ref="F492">INDEX(consolid1!$G$2:$G1534,MATCH(A492,consolid1!$B$2:$B1534,0))</f>
        <v>#N/A</v>
      </c>
    </row>
    <row r="493">
      <c r="A493" s="4" t="s">
        <v>720</v>
      </c>
      <c r="B493" s="3">
        <v>2000.0</v>
      </c>
      <c r="C493" s="4"/>
      <c r="D493" s="4" t="str">
        <f t="shared" si="1"/>
        <v>AVEC</v>
      </c>
      <c r="E493" s="4" t="str">
        <f t="array" ref="E493">INDEX(consolid1!$I$2:$I$904,MATCH(A493,consolid1!$B$2:$B$904,0))</f>
        <v>#N/A</v>
      </c>
      <c r="F493" s="4" t="str">
        <f t="array" ref="F493">INDEX(consolid1!$G$2:$G1534,MATCH(A493,consolid1!$B$2:$B1534,0))</f>
        <v>#N/A</v>
      </c>
    </row>
    <row r="494">
      <c r="A494" s="4" t="s">
        <v>780</v>
      </c>
      <c r="B494" s="3">
        <v>2000.0</v>
      </c>
      <c r="C494" s="4"/>
      <c r="D494" s="4" t="str">
        <f t="shared" si="1"/>
        <v>AVEC</v>
      </c>
      <c r="E494" s="4" t="str">
        <f t="array" ref="E494">INDEX(consolid1!$I$2:$I$904,MATCH(A494,consolid1!$B$2:$B$904,0))</f>
        <v>#N/A</v>
      </c>
      <c r="F494" s="4" t="str">
        <f t="array" ref="F494">INDEX(consolid1!$G$2:$G1534,MATCH(A494,consolid1!$B$2:$B1534,0))</f>
        <v>#N/A</v>
      </c>
    </row>
    <row r="495">
      <c r="A495" s="4" t="s">
        <v>847</v>
      </c>
      <c r="B495" s="3">
        <v>2000.0</v>
      </c>
      <c r="C495" s="4"/>
      <c r="D495" s="4" t="str">
        <f t="shared" si="1"/>
        <v>AVEC</v>
      </c>
      <c r="E495" s="4" t="str">
        <f t="array" ref="E495">INDEX(consolid1!$I$2:$I$904,MATCH(A495,consolid1!$B$2:$B$904,0))</f>
        <v>#N/A</v>
      </c>
      <c r="F495" s="4" t="str">
        <f t="array" ref="F495">INDEX(consolid1!$G$2:$G1534,MATCH(A495,consolid1!$B$2:$B1534,0))</f>
        <v>#N/A</v>
      </c>
    </row>
    <row r="496">
      <c r="A496" s="4" t="s">
        <v>2216</v>
      </c>
      <c r="B496" s="3">
        <v>2000.0</v>
      </c>
      <c r="C496" s="3" t="s">
        <v>3</v>
      </c>
      <c r="D496" s="4" t="str">
        <f t="shared" si="1"/>
        <v>AVEC</v>
      </c>
      <c r="E496" s="4" t="str">
        <f t="array" ref="E496">INDEX(consolid1!$I$2:$I$904,MATCH(A496,consolid1!$B$2:$B$904,0))</f>
        <v>#N/A</v>
      </c>
      <c r="F496" s="4" t="str">
        <f t="array" ref="F496">INDEX(consolid1!$G$2:$G1534,MATCH(A496,consolid1!$B$2:$B1534,0))</f>
        <v>#N/A</v>
      </c>
    </row>
    <row r="497">
      <c r="A497" s="4" t="s">
        <v>925</v>
      </c>
      <c r="B497" s="3">
        <v>2000.0</v>
      </c>
      <c r="C497" s="4"/>
      <c r="D497" s="4" t="str">
        <f t="shared" si="1"/>
        <v>AVEC</v>
      </c>
      <c r="E497" s="4" t="str">
        <f t="array" ref="E497">INDEX(consolid1!$I$2:$I$904,MATCH(A497,consolid1!$B$2:$B$904,0))</f>
        <v>#N/A</v>
      </c>
      <c r="F497" s="4" t="str">
        <f t="array" ref="F497">INDEX(consolid1!$G$2:$G1534,MATCH(A497,consolid1!$B$2:$B1534,0))</f>
        <v>#N/A</v>
      </c>
    </row>
    <row r="498">
      <c r="A498" s="4" t="s">
        <v>962</v>
      </c>
      <c r="B498" s="3">
        <v>2000.0</v>
      </c>
      <c r="C498" s="3" t="s">
        <v>6</v>
      </c>
      <c r="D498" s="4" t="str">
        <f t="shared" si="1"/>
        <v>AVEC</v>
      </c>
      <c r="E498" s="4" t="str">
        <f t="array" ref="E498">INDEX(consolid1!$I$2:$I$904,MATCH(A498,consolid1!$B$2:$B$904,0))</f>
        <v>#N/A</v>
      </c>
      <c r="F498" s="4" t="str">
        <f t="array" ref="F498">INDEX(consolid1!$G$2:$G1534,MATCH(A498,consolid1!$B$2:$B1534,0))</f>
        <v>#N/A</v>
      </c>
    </row>
    <row r="499">
      <c r="A499" s="4" t="s">
        <v>2240</v>
      </c>
      <c r="B499" s="3">
        <v>2000.0</v>
      </c>
      <c r="C499" s="3" t="s">
        <v>3</v>
      </c>
      <c r="D499" s="4" t="str">
        <f t="shared" si="1"/>
        <v>AVEC</v>
      </c>
      <c r="E499" s="4" t="str">
        <f t="array" ref="E499">INDEX(consolid1!$I$2:$I$904,MATCH(A499,consolid1!$B$2:$B$904,0))</f>
        <v>#N/A</v>
      </c>
      <c r="F499" s="4" t="str">
        <f t="array" ref="F499">INDEX(consolid1!$G$2:$G1534,MATCH(A499,consolid1!$B$2:$B1534,0))</f>
        <v>#N/A</v>
      </c>
    </row>
    <row r="500">
      <c r="A500" s="4" t="s">
        <v>2253</v>
      </c>
      <c r="B500" s="3">
        <v>2000.0</v>
      </c>
      <c r="C500" s="4"/>
      <c r="D500" s="4" t="str">
        <f t="shared" si="1"/>
        <v>AVEC</v>
      </c>
      <c r="E500" s="4" t="str">
        <f t="array" ref="E500">INDEX(consolid1!$I$2:$I$904,MATCH(A500,consolid1!$B$2:$B$904,0))</f>
        <v>#N/A</v>
      </c>
      <c r="F500" s="4" t="str">
        <f t="array" ref="F500">INDEX(consolid1!$G$2:$G1534,MATCH(A500,consolid1!$B$2:$B1534,0))</f>
        <v>#N/A</v>
      </c>
    </row>
    <row r="501">
      <c r="A501" s="4" t="s">
        <v>1131</v>
      </c>
      <c r="B501" s="3">
        <v>2000.0</v>
      </c>
      <c r="C501" s="3" t="s">
        <v>6</v>
      </c>
      <c r="D501" s="4" t="str">
        <f t="shared" si="1"/>
        <v>AVEC</v>
      </c>
      <c r="E501" s="4" t="str">
        <f t="array" ref="E501">INDEX(consolid1!$I$2:$I$904,MATCH(A501,consolid1!$B$2:$B$904,0))</f>
        <v>#N/A</v>
      </c>
      <c r="F501" s="4" t="str">
        <f t="array" ref="F501">INDEX(consolid1!$G$2:$G1534,MATCH(A501,consolid1!$B$2:$B1534,0))</f>
        <v>#N/A</v>
      </c>
    </row>
    <row r="502">
      <c r="A502" s="4" t="s">
        <v>1144</v>
      </c>
      <c r="B502" s="3">
        <v>2000.0</v>
      </c>
      <c r="C502" s="4"/>
      <c r="D502" s="4" t="str">
        <f t="shared" si="1"/>
        <v>AVEC</v>
      </c>
      <c r="E502" s="4" t="str">
        <f t="array" ref="E502">INDEX(consolid1!$I$2:$I$904,MATCH(A502,consolid1!$B$2:$B$904,0))</f>
        <v>#N/A</v>
      </c>
      <c r="F502" s="4" t="str">
        <f t="array" ref="F502">INDEX(consolid1!$G$2:$G1534,MATCH(A502,consolid1!$B$2:$B1534,0))</f>
        <v>#N/A</v>
      </c>
    </row>
    <row r="503">
      <c r="A503" s="4" t="s">
        <v>1300</v>
      </c>
      <c r="B503" s="3">
        <v>2000.0</v>
      </c>
      <c r="C503" s="3" t="s">
        <v>6</v>
      </c>
      <c r="D503" s="4" t="str">
        <f t="shared" si="1"/>
        <v>AVEC</v>
      </c>
      <c r="E503" s="4" t="str">
        <f t="array" ref="E503">INDEX(consolid1!$I$2:$I$904,MATCH(A503,consolid1!$B$2:$B$904,0))</f>
        <v>#N/A</v>
      </c>
      <c r="F503" s="4" t="str">
        <f t="array" ref="F503">INDEX(consolid1!$G$2:$G1534,MATCH(A503,consolid1!$B$2:$B1534,0))</f>
        <v>#N/A</v>
      </c>
    </row>
    <row r="504">
      <c r="A504" s="4" t="s">
        <v>1305</v>
      </c>
      <c r="B504" s="3">
        <v>2000.0</v>
      </c>
      <c r="C504" s="3" t="s">
        <v>3</v>
      </c>
      <c r="D504" s="4" t="str">
        <f t="shared" si="1"/>
        <v>AVEC</v>
      </c>
      <c r="E504" s="4" t="str">
        <f t="array" ref="E504">INDEX(consolid1!$I$2:$I$904,MATCH(A504,consolid1!$B$2:$B$904,0))</f>
        <v>#N/A</v>
      </c>
      <c r="F504" s="4" t="str">
        <f t="array" ref="F504">INDEX(consolid1!$G$2:$G1534,MATCH(A504,consolid1!$B$2:$B1534,0))</f>
        <v>#N/A</v>
      </c>
    </row>
    <row r="505">
      <c r="A505" s="4" t="s">
        <v>1318</v>
      </c>
      <c r="B505" s="3">
        <v>2000.0</v>
      </c>
      <c r="C505" s="4"/>
      <c r="D505" s="4" t="str">
        <f t="shared" si="1"/>
        <v>AVEC</v>
      </c>
      <c r="E505" s="4" t="str">
        <f t="array" ref="E505">INDEX(consolid1!$I$2:$I$904,MATCH(A505,consolid1!$B$2:$B$904,0))</f>
        <v>#N/A</v>
      </c>
      <c r="F505" s="4" t="str">
        <f t="array" ref="F505">INDEX(consolid1!$G$2:$G1534,MATCH(A505,consolid1!$B$2:$B1534,0))</f>
        <v>#N/A</v>
      </c>
    </row>
    <row r="506">
      <c r="A506" s="4" t="s">
        <v>1341</v>
      </c>
      <c r="B506" s="3">
        <v>2000.0</v>
      </c>
      <c r="C506" s="3" t="s">
        <v>6</v>
      </c>
      <c r="D506" s="4" t="str">
        <f t="shared" si="1"/>
        <v>AVEC</v>
      </c>
      <c r="E506" s="4" t="str">
        <f t="array" ref="E506">INDEX(consolid1!$I$2:$I$904,MATCH(A506,consolid1!$B$2:$B$904,0))</f>
        <v>#N/A</v>
      </c>
      <c r="F506" s="4" t="str">
        <f t="array" ref="F506">INDEX(consolid1!$G$2:$G1534,MATCH(A506,consolid1!$B$2:$B1534,0))</f>
        <v>#N/A</v>
      </c>
    </row>
    <row r="507">
      <c r="A507" s="4" t="s">
        <v>1361</v>
      </c>
      <c r="B507" s="3">
        <v>2000.0</v>
      </c>
      <c r="C507" s="4"/>
      <c r="D507" s="4" t="str">
        <f t="shared" si="1"/>
        <v>AVEC</v>
      </c>
      <c r="E507" s="4" t="str">
        <f t="array" ref="E507">INDEX(consolid1!$I$2:$I$904,MATCH(A507,consolid1!$B$2:$B$904,0))</f>
        <v>#N/A</v>
      </c>
      <c r="F507" s="4" t="str">
        <f t="array" ref="F507">INDEX(consolid1!$G$2:$G1534,MATCH(A507,consolid1!$B$2:$B1534,0))</f>
        <v>#N/A</v>
      </c>
    </row>
    <row r="508">
      <c r="A508" s="4" t="s">
        <v>1370</v>
      </c>
      <c r="B508" s="3">
        <v>2000.0</v>
      </c>
      <c r="C508" s="3" t="s">
        <v>32</v>
      </c>
      <c r="D508" s="4" t="str">
        <f t="shared" si="1"/>
        <v>AVEC</v>
      </c>
      <c r="E508" s="4" t="str">
        <f t="array" ref="E508">INDEX(consolid1!$I$2:$I$904,MATCH(A508,consolid1!$B$2:$B$904,0))</f>
        <v>#N/A</v>
      </c>
      <c r="F508" s="4" t="str">
        <f t="array" ref="F508">INDEX(consolid1!$G$2:$G1534,MATCH(A508,consolid1!$B$2:$B1534,0))</f>
        <v>#N/A</v>
      </c>
    </row>
    <row r="509">
      <c r="A509" s="4" t="s">
        <v>1375</v>
      </c>
      <c r="B509" s="3">
        <v>2000.0</v>
      </c>
      <c r="C509" s="3" t="s">
        <v>32</v>
      </c>
      <c r="D509" s="4" t="str">
        <f t="shared" si="1"/>
        <v>AVEC</v>
      </c>
      <c r="E509" s="4" t="str">
        <f t="array" ref="E509">INDEX(consolid1!$I$2:$I$904,MATCH(A509,consolid1!$B$2:$B$904,0))</f>
        <v>Culture</v>
      </c>
      <c r="F509" s="4" t="str">
        <f t="array" ref="F509">INDEX(consolid1!$G$2:$G1534,MATCH(A509,consolid1!$B$2:$B1534,0))</f>
        <v>null</v>
      </c>
    </row>
    <row r="510">
      <c r="A510" s="4" t="s">
        <v>1387</v>
      </c>
      <c r="B510" s="3">
        <v>2000.0</v>
      </c>
      <c r="C510" s="4"/>
      <c r="D510" s="4" t="str">
        <f t="shared" si="1"/>
        <v>AVEC</v>
      </c>
      <c r="E510" s="4" t="str">
        <f t="array" ref="E510">INDEX(consolid1!$I$2:$I$904,MATCH(A510,consolid1!$B$2:$B$904,0))</f>
        <v>#N/A</v>
      </c>
      <c r="F510" s="4" t="str">
        <f t="array" ref="F510">INDEX(consolid1!$G$2:$G1534,MATCH(A510,consolid1!$B$2:$B1534,0))</f>
        <v>#N/A</v>
      </c>
    </row>
    <row r="511">
      <c r="A511" s="4" t="s">
        <v>1592</v>
      </c>
      <c r="B511" s="3">
        <v>2000.0</v>
      </c>
      <c r="C511" s="4"/>
      <c r="D511" s="4" t="str">
        <f t="shared" si="1"/>
        <v>AVEC</v>
      </c>
      <c r="E511" s="4" t="str">
        <f t="array" ref="E511">INDEX(consolid1!$I$2:$I$904,MATCH(A511,consolid1!$B$2:$B$904,0))</f>
        <v>#N/A</v>
      </c>
      <c r="F511" s="4" t="str">
        <f t="array" ref="F511">INDEX(consolid1!$G$2:$G1534,MATCH(A511,consolid1!$B$2:$B1534,0))</f>
        <v>#N/A</v>
      </c>
    </row>
    <row r="512">
      <c r="A512" s="4" t="s">
        <v>2286</v>
      </c>
      <c r="B512" s="3">
        <v>2000.0</v>
      </c>
      <c r="C512" s="3" t="s">
        <v>3</v>
      </c>
      <c r="D512" s="4" t="str">
        <f t="shared" si="1"/>
        <v>AVEC</v>
      </c>
      <c r="E512" s="4" t="str">
        <f t="array" ref="E512">INDEX(consolid1!$I$2:$I$904,MATCH(A512,consolid1!$B$2:$B$904,0))</f>
        <v>#N/A</v>
      </c>
      <c r="F512" s="4" t="str">
        <f t="array" ref="F512">INDEX(consolid1!$G$2:$G1534,MATCH(A512,consolid1!$B$2:$B1534,0))</f>
        <v>#N/A</v>
      </c>
    </row>
    <row r="513">
      <c r="A513" s="4" t="s">
        <v>1642</v>
      </c>
      <c r="B513" s="3">
        <v>2000.0</v>
      </c>
      <c r="C513" s="4"/>
      <c r="D513" s="4" t="str">
        <f t="shared" si="1"/>
        <v>AVEC</v>
      </c>
      <c r="E513" s="4" t="str">
        <f t="array" ref="E513">INDEX(consolid1!$I$2:$I$904,MATCH(A513,consolid1!$B$2:$B$904,0))</f>
        <v>#N/A</v>
      </c>
      <c r="F513" s="4" t="str">
        <f t="array" ref="F513">INDEX(consolid1!$G$2:$G1534,MATCH(A513,consolid1!$B$2:$B1534,0))</f>
        <v>#N/A</v>
      </c>
    </row>
    <row r="514">
      <c r="A514" s="4" t="s">
        <v>1688</v>
      </c>
      <c r="B514" s="3">
        <v>2000.0</v>
      </c>
      <c r="C514" s="3" t="s">
        <v>3</v>
      </c>
      <c r="D514" s="4" t="str">
        <f t="shared" si="1"/>
        <v>AVEC</v>
      </c>
      <c r="E514" s="4" t="str">
        <f t="array" ref="E514">INDEX(consolid1!$I$2:$I$904,MATCH(A514,consolid1!$B$2:$B$904,0))</f>
        <v>#N/A</v>
      </c>
      <c r="F514" s="4" t="str">
        <f t="array" ref="F514">INDEX(consolid1!$G$2:$G1534,MATCH(A514,consolid1!$B$2:$B1534,0))</f>
        <v>#N/A</v>
      </c>
    </row>
    <row r="515">
      <c r="A515" s="4" t="s">
        <v>1758</v>
      </c>
      <c r="B515" s="3">
        <v>2000.0</v>
      </c>
      <c r="C515" s="4"/>
      <c r="D515" s="4" t="str">
        <f t="shared" si="1"/>
        <v>AVEC</v>
      </c>
      <c r="E515" s="4" t="str">
        <f t="array" ref="E515">INDEX(consolid1!$I$2:$I$904,MATCH(A515,consolid1!$B$2:$B$904,0))</f>
        <v>#N/A</v>
      </c>
      <c r="F515" s="4" t="str">
        <f t="array" ref="F515">INDEX(consolid1!$G$2:$G1534,MATCH(A515,consolid1!$B$2:$B1534,0))</f>
        <v>#N/A</v>
      </c>
    </row>
    <row r="516">
      <c r="A516" s="4" t="s">
        <v>2295</v>
      </c>
      <c r="B516" s="3">
        <v>2000.0</v>
      </c>
      <c r="C516" s="3" t="s">
        <v>3</v>
      </c>
      <c r="D516" s="4" t="str">
        <f t="shared" si="1"/>
        <v>AVEC</v>
      </c>
      <c r="E516" s="4" t="str">
        <f t="array" ref="E516">INDEX(consolid1!$I$2:$I$904,MATCH(A516,consolid1!$B$2:$B$904,0))</f>
        <v>#N/A</v>
      </c>
      <c r="F516" s="4" t="str">
        <f t="array" ref="F516">INDEX(consolid1!$G$2:$G1534,MATCH(A516,consolid1!$B$2:$B1534,0))</f>
        <v>#N/A</v>
      </c>
    </row>
    <row r="517">
      <c r="A517" s="4" t="s">
        <v>1791</v>
      </c>
      <c r="B517" s="3">
        <v>2000.0</v>
      </c>
      <c r="C517" s="3" t="s">
        <v>29</v>
      </c>
      <c r="D517" s="4" t="str">
        <f t="shared" si="1"/>
        <v>AVEC</v>
      </c>
      <c r="E517" s="4" t="str">
        <f t="array" ref="E517">INDEX(consolid1!$I$2:$I$904,MATCH(A517,consolid1!$B$2:$B$904,0))</f>
        <v>#N/A</v>
      </c>
      <c r="F517" s="4" t="str">
        <f t="array" ref="F517">INDEX(consolid1!$G$2:$G1534,MATCH(A517,consolid1!$B$2:$B1534,0))</f>
        <v>#N/A</v>
      </c>
    </row>
    <row r="518">
      <c r="A518" s="4" t="s">
        <v>2296</v>
      </c>
      <c r="B518" s="3">
        <v>2000.0</v>
      </c>
      <c r="C518" s="4"/>
      <c r="D518" s="4" t="str">
        <f t="shared" si="1"/>
        <v>AVEC</v>
      </c>
      <c r="E518" s="4" t="str">
        <f t="array" ref="E518">INDEX(consolid1!$I$2:$I$904,MATCH(A518,consolid1!$B$2:$B$904,0))</f>
        <v>#N/A</v>
      </c>
      <c r="F518" s="4" t="str">
        <f t="array" ref="F518">INDEX(consolid1!$G$2:$G1534,MATCH(A518,consolid1!$B$2:$B1534,0))</f>
        <v>#N/A</v>
      </c>
    </row>
    <row r="519">
      <c r="A519" s="4" t="s">
        <v>1810</v>
      </c>
      <c r="B519" s="3">
        <v>2000.0</v>
      </c>
      <c r="C519" s="3" t="s">
        <v>3</v>
      </c>
      <c r="D519" s="4" t="str">
        <f t="shared" si="1"/>
        <v>AVEC</v>
      </c>
      <c r="E519" s="4" t="str">
        <f t="array" ref="E519">INDEX(consolid1!$I$2:$I$904,MATCH(A519,consolid1!$B$2:$B$904,0))</f>
        <v>#N/A</v>
      </c>
      <c r="F519" s="4" t="str">
        <f t="array" ref="F519">INDEX(consolid1!$G$2:$G1534,MATCH(A519,consolid1!$B$2:$B1534,0))</f>
        <v>#N/A</v>
      </c>
    </row>
    <row r="520">
      <c r="A520" s="4" t="s">
        <v>1832</v>
      </c>
      <c r="B520" s="3">
        <v>2000.0</v>
      </c>
      <c r="C520" s="4"/>
      <c r="D520" s="4" t="str">
        <f t="shared" si="1"/>
        <v>AVEC</v>
      </c>
      <c r="E520" s="4" t="str">
        <f t="array" ref="E520">INDEX(consolid1!$I$2:$I$904,MATCH(A520,consolid1!$B$2:$B$904,0))</f>
        <v>#N/A</v>
      </c>
      <c r="F520" s="4" t="str">
        <f t="array" ref="F520">INDEX(consolid1!$G$2:$G1534,MATCH(A520,consolid1!$B$2:$B1534,0))</f>
        <v>#N/A</v>
      </c>
    </row>
    <row r="521">
      <c r="A521" s="4" t="s">
        <v>1860</v>
      </c>
      <c r="B521" s="3">
        <v>2000.0</v>
      </c>
      <c r="C521" s="4"/>
      <c r="D521" s="4" t="str">
        <f t="shared" si="1"/>
        <v>AVEC</v>
      </c>
      <c r="E521" s="4" t="str">
        <f t="array" ref="E521">INDEX(consolid1!$I$2:$I$904,MATCH(A521,consolid1!$B$2:$B$904,0))</f>
        <v>#N/A</v>
      </c>
      <c r="F521" s="4" t="str">
        <f t="array" ref="F521">INDEX(consolid1!$G$2:$G1534,MATCH(A521,consolid1!$B$2:$B1534,0))</f>
        <v>#N/A</v>
      </c>
    </row>
    <row r="522">
      <c r="A522" s="4" t="s">
        <v>1862</v>
      </c>
      <c r="B522" s="3">
        <v>2000.0</v>
      </c>
      <c r="C522" s="3" t="s">
        <v>32</v>
      </c>
      <c r="D522" s="4" t="str">
        <f t="shared" si="1"/>
        <v>AVEC</v>
      </c>
      <c r="E522" s="4" t="str">
        <f t="array" ref="E522">INDEX(consolid1!$I$2:$I$904,MATCH(A522,consolid1!$B$2:$B$904,0))</f>
        <v>Culture</v>
      </c>
      <c r="F522" s="4" t="str">
        <f t="array" ref="F522">INDEX(consolid1!$G$2:$G1534,MATCH(A522,consolid1!$B$2:$B1534,0))</f>
        <v>null</v>
      </c>
    </row>
    <row r="523">
      <c r="A523" s="4" t="s">
        <v>1886</v>
      </c>
      <c r="B523" s="3">
        <v>2000.0</v>
      </c>
      <c r="C523" s="4"/>
      <c r="D523" s="4" t="str">
        <f t="shared" si="1"/>
        <v>AVEC</v>
      </c>
      <c r="E523" s="4" t="str">
        <f t="array" ref="E523">INDEX(consolid1!$I$2:$I$904,MATCH(A523,consolid1!$B$2:$B$904,0))</f>
        <v>#N/A</v>
      </c>
      <c r="F523" s="4" t="str">
        <f t="array" ref="F523">INDEX(consolid1!$G$2:$G1534,MATCH(A523,consolid1!$B$2:$B1534,0))</f>
        <v>#N/A</v>
      </c>
    </row>
    <row r="524">
      <c r="A524" s="4" t="s">
        <v>1943</v>
      </c>
      <c r="B524" s="3">
        <v>2000.0</v>
      </c>
      <c r="C524" s="4"/>
      <c r="D524" s="4" t="str">
        <f t="shared" si="1"/>
        <v>AVEC</v>
      </c>
      <c r="E524" s="4" t="str">
        <f t="array" ref="E524">INDEX(consolid1!$I$2:$I$904,MATCH(A524,consolid1!$B$2:$B$904,0))</f>
        <v>#N/A</v>
      </c>
      <c r="F524" s="4" t="str">
        <f t="array" ref="F524">INDEX(consolid1!$G$2:$G1534,MATCH(A524,consolid1!$B$2:$B1534,0))</f>
        <v>#N/A</v>
      </c>
    </row>
    <row r="525">
      <c r="A525" s="4" t="s">
        <v>12</v>
      </c>
      <c r="B525" s="3">
        <v>1800.0</v>
      </c>
      <c r="C525" s="4"/>
      <c r="D525" s="4" t="str">
        <f t="shared" si="1"/>
        <v>AVEC</v>
      </c>
      <c r="E525" s="4" t="str">
        <f t="array" ref="E525">INDEX(consolid1!$I$2:$I$904,MATCH(A525,consolid1!$B$2:$B$904,0))</f>
        <v>#N/A</v>
      </c>
      <c r="F525" s="4" t="str">
        <f t="array" ref="F525">INDEX(consolid1!$G$2:$G1534,MATCH(A525,consolid1!$B$2:$B1534,0))</f>
        <v>#N/A</v>
      </c>
    </row>
    <row r="526">
      <c r="A526" s="4" t="s">
        <v>1178</v>
      </c>
      <c r="B526" s="3">
        <v>1800.0</v>
      </c>
      <c r="C526" s="4"/>
      <c r="D526" s="4" t="str">
        <f t="shared" si="1"/>
        <v>AVEC</v>
      </c>
      <c r="E526" s="4" t="str">
        <f t="array" ref="E526">INDEX(consolid1!$I$2:$I$904,MATCH(A526,consolid1!$B$2:$B$904,0))</f>
        <v>#N/A</v>
      </c>
      <c r="F526" s="4" t="str">
        <f t="array" ref="F526">INDEX(consolid1!$G$2:$G1534,MATCH(A526,consolid1!$B$2:$B1534,0))</f>
        <v>#N/A</v>
      </c>
    </row>
    <row r="527">
      <c r="A527" s="4" t="s">
        <v>1449</v>
      </c>
      <c r="B527" s="3">
        <v>1800.0</v>
      </c>
      <c r="C527" s="3" t="s">
        <v>6</v>
      </c>
      <c r="D527" s="4" t="str">
        <f t="shared" si="1"/>
        <v>AVEC</v>
      </c>
      <c r="E527" s="4" t="str">
        <f t="array" ref="E527">INDEX(consolid1!$I$2:$I$904,MATCH(A527,consolid1!$B$2:$B$904,0))</f>
        <v>#N/A</v>
      </c>
      <c r="F527" s="4" t="str">
        <f t="array" ref="F527">INDEX(consolid1!$G$2:$G1534,MATCH(A527,consolid1!$B$2:$B1534,0))</f>
        <v>#N/A</v>
      </c>
    </row>
    <row r="528">
      <c r="A528" s="4" t="s">
        <v>1554</v>
      </c>
      <c r="B528" s="3">
        <v>1800.0</v>
      </c>
      <c r="C528" s="4"/>
      <c r="D528" s="4" t="str">
        <f t="shared" si="1"/>
        <v>AVEC</v>
      </c>
      <c r="E528" s="4" t="str">
        <f t="array" ref="E528">INDEX(consolid1!$I$2:$I$904,MATCH(A528,consolid1!$B$2:$B$904,0))</f>
        <v>#N/A</v>
      </c>
      <c r="F528" s="4" t="str">
        <f t="array" ref="F528">INDEX(consolid1!$G$2:$G1534,MATCH(A528,consolid1!$B$2:$B1534,0))</f>
        <v>#N/A</v>
      </c>
    </row>
    <row r="529">
      <c r="A529" s="4" t="s">
        <v>1679</v>
      </c>
      <c r="B529" s="3">
        <v>1800.0</v>
      </c>
      <c r="C529" s="4"/>
      <c r="D529" s="4" t="str">
        <f t="shared" si="1"/>
        <v>AVEC</v>
      </c>
      <c r="E529" s="4" t="str">
        <f t="array" ref="E529">INDEX(consolid1!$I$2:$I$904,MATCH(A529,consolid1!$B$2:$B$904,0))</f>
        <v>#N/A</v>
      </c>
      <c r="F529" s="4" t="str">
        <f t="array" ref="F529">INDEX(consolid1!$G$2:$G1534,MATCH(A529,consolid1!$B$2:$B1534,0))</f>
        <v>#N/A</v>
      </c>
    </row>
    <row r="530">
      <c r="A530" s="4" t="s">
        <v>2230</v>
      </c>
      <c r="B530" s="3">
        <v>1728.0</v>
      </c>
      <c r="C530" s="4"/>
      <c r="D530" s="4" t="str">
        <f t="shared" si="1"/>
        <v>AVEC</v>
      </c>
      <c r="E530" s="4" t="str">
        <f t="array" ref="E530">INDEX(consolid1!$I$2:$I$904,MATCH(A530,consolid1!$B$2:$B$904,0))</f>
        <v>#N/A</v>
      </c>
      <c r="F530" s="4" t="str">
        <f t="array" ref="F530">INDEX(consolid1!$G$2:$G1534,MATCH(A530,consolid1!$B$2:$B1534,0))</f>
        <v>#N/A</v>
      </c>
    </row>
    <row r="531">
      <c r="A531" s="4" t="s">
        <v>2186</v>
      </c>
      <c r="B531" s="3">
        <v>1700.0</v>
      </c>
      <c r="C531" s="3" t="s">
        <v>580</v>
      </c>
      <c r="D531" s="4" t="str">
        <f t="shared" si="1"/>
        <v>AVEC</v>
      </c>
      <c r="E531" s="4" t="str">
        <f t="array" ref="E531">INDEX(consolid1!$I$2:$I$904,MATCH(A531,consolid1!$B$2:$B$904,0))</f>
        <v>#N/A</v>
      </c>
      <c r="F531" s="4" t="str">
        <f t="array" ref="F531">INDEX(consolid1!$G$2:$G1534,MATCH(A531,consolid1!$B$2:$B1534,0))</f>
        <v>#N/A</v>
      </c>
    </row>
    <row r="532">
      <c r="A532" s="4" t="s">
        <v>813</v>
      </c>
      <c r="B532" s="3">
        <v>1700.0</v>
      </c>
      <c r="C532" s="4"/>
      <c r="D532" s="4" t="str">
        <f t="shared" si="1"/>
        <v>AVEC</v>
      </c>
      <c r="E532" s="4" t="str">
        <f t="array" ref="E532">INDEX(consolid1!$I$2:$I$904,MATCH(A532,consolid1!$B$2:$B$904,0))</f>
        <v>#N/A</v>
      </c>
      <c r="F532" s="4" t="str">
        <f t="array" ref="F532">INDEX(consolid1!$G$2:$G1534,MATCH(A532,consolid1!$B$2:$B1534,0))</f>
        <v>#N/A</v>
      </c>
    </row>
    <row r="533">
      <c r="A533" s="4" t="s">
        <v>1306</v>
      </c>
      <c r="B533" s="3">
        <v>1700.0</v>
      </c>
      <c r="C533" s="4"/>
      <c r="D533" s="4" t="str">
        <f t="shared" si="1"/>
        <v>AVEC</v>
      </c>
      <c r="E533" s="4" t="str">
        <f t="array" ref="E533">INDEX(consolid1!$I$2:$I$904,MATCH(A533,consolid1!$B$2:$B$904,0))</f>
        <v>#N/A</v>
      </c>
      <c r="F533" s="4" t="str">
        <f t="array" ref="F533">INDEX(consolid1!$G$2:$G1534,MATCH(A533,consolid1!$B$2:$B1534,0))</f>
        <v>#N/A</v>
      </c>
    </row>
    <row r="534">
      <c r="A534" s="4" t="s">
        <v>1575</v>
      </c>
      <c r="B534" s="3">
        <v>1700.0</v>
      </c>
      <c r="C534" s="4"/>
      <c r="D534" s="4" t="str">
        <f t="shared" si="1"/>
        <v>AVEC</v>
      </c>
      <c r="E534" s="4" t="str">
        <f t="array" ref="E534">INDEX(consolid1!$I$2:$I$904,MATCH(A534,consolid1!$B$2:$B$904,0))</f>
        <v>#N/A</v>
      </c>
      <c r="F534" s="4" t="str">
        <f t="array" ref="F534">INDEX(consolid1!$G$2:$G1534,MATCH(A534,consolid1!$B$2:$B1534,0))</f>
        <v>#N/A</v>
      </c>
    </row>
    <row r="535">
      <c r="A535" s="4" t="s">
        <v>1683</v>
      </c>
      <c r="B535" s="3">
        <v>1650.0</v>
      </c>
      <c r="C535" s="4"/>
      <c r="D535" s="4" t="str">
        <f t="shared" si="1"/>
        <v>AVEC</v>
      </c>
      <c r="E535" s="4" t="str">
        <f t="array" ref="E535">INDEX(consolid1!$I$2:$I$904,MATCH(A535,consolid1!$B$2:$B$904,0))</f>
        <v>#N/A</v>
      </c>
      <c r="F535" s="4" t="str">
        <f t="array" ref="F535">INDEX(consolid1!$G$2:$G1534,MATCH(A535,consolid1!$B$2:$B1534,0))</f>
        <v>#N/A</v>
      </c>
    </row>
    <row r="536">
      <c r="A536" s="4" t="s">
        <v>869</v>
      </c>
      <c r="B536" s="3">
        <v>1600.0</v>
      </c>
      <c r="C536" s="4"/>
      <c r="D536" s="4" t="str">
        <f t="shared" si="1"/>
        <v>AVEC</v>
      </c>
      <c r="E536" s="4" t="str">
        <f t="array" ref="E536">INDEX(consolid1!$I$2:$I$904,MATCH(A536,consolid1!$B$2:$B$904,0))</f>
        <v>#N/A</v>
      </c>
      <c r="F536" s="4" t="str">
        <f t="array" ref="F536">INDEX(consolid1!$G$2:$G1534,MATCH(A536,consolid1!$B$2:$B1534,0))</f>
        <v>#N/A</v>
      </c>
    </row>
    <row r="537">
      <c r="A537" s="4" t="s">
        <v>889</v>
      </c>
      <c r="B537" s="3">
        <v>1600.0</v>
      </c>
      <c r="C537" s="4"/>
      <c r="D537" s="4" t="str">
        <f t="shared" si="1"/>
        <v>AVEC</v>
      </c>
      <c r="E537" s="4" t="str">
        <f t="array" ref="E537">INDEX(consolid1!$I$2:$I$904,MATCH(A537,consolid1!$B$2:$B$904,0))</f>
        <v>#N/A</v>
      </c>
      <c r="F537" s="4" t="str">
        <f t="array" ref="F537">INDEX(consolid1!$G$2:$G1534,MATCH(A537,consolid1!$B$2:$B1534,0))</f>
        <v>#N/A</v>
      </c>
    </row>
    <row r="538">
      <c r="A538" s="4" t="s">
        <v>1260</v>
      </c>
      <c r="B538" s="3">
        <v>1550.0</v>
      </c>
      <c r="C538" s="4"/>
      <c r="D538" s="4" t="str">
        <f t="shared" si="1"/>
        <v>AVEC</v>
      </c>
      <c r="E538" s="4" t="str">
        <f t="array" ref="E538">INDEX(consolid1!$I$2:$I$904,MATCH(A538,consolid1!$B$2:$B$904,0))</f>
        <v>#N/A</v>
      </c>
      <c r="F538" s="4" t="str">
        <f t="array" ref="F538">INDEX(consolid1!$G$2:$G1534,MATCH(A538,consolid1!$B$2:$B1534,0))</f>
        <v>#N/A</v>
      </c>
    </row>
    <row r="539">
      <c r="A539" s="4" t="s">
        <v>1020</v>
      </c>
      <c r="B539" s="3">
        <v>1534.0</v>
      </c>
      <c r="C539" s="4"/>
      <c r="D539" s="4" t="str">
        <f t="shared" si="1"/>
        <v>AVEC</v>
      </c>
      <c r="E539" s="4" t="str">
        <f t="array" ref="E539">INDEX(consolid1!$I$2:$I$904,MATCH(A539,consolid1!$B$2:$B$904,0))</f>
        <v>#N/A</v>
      </c>
      <c r="F539" s="4" t="str">
        <f t="array" ref="F539">INDEX(consolid1!$G$2:$G1534,MATCH(A539,consolid1!$B$2:$B1534,0))</f>
        <v>#N/A</v>
      </c>
    </row>
    <row r="540">
      <c r="A540" s="4" t="s">
        <v>64</v>
      </c>
      <c r="B540" s="3">
        <v>1500.0</v>
      </c>
      <c r="C540" s="4"/>
      <c r="D540" s="4" t="str">
        <f t="shared" si="1"/>
        <v>AVEC</v>
      </c>
      <c r="E540" s="4" t="str">
        <f t="array" ref="E540">INDEX(consolid1!$I$2:$I$904,MATCH(A540,consolid1!$B$2:$B$904,0))</f>
        <v>#N/A</v>
      </c>
      <c r="F540" s="4" t="str">
        <f t="array" ref="F540">INDEX(consolid1!$G$2:$G1534,MATCH(A540,consolid1!$B$2:$B1534,0))</f>
        <v>#N/A</v>
      </c>
    </row>
    <row r="541">
      <c r="A541" s="4" t="s">
        <v>67</v>
      </c>
      <c r="B541" s="3">
        <v>1500.0</v>
      </c>
      <c r="C541" s="4"/>
      <c r="D541" s="4" t="str">
        <f t="shared" si="1"/>
        <v>AVEC</v>
      </c>
      <c r="E541" s="4" t="str">
        <f t="array" ref="E541">INDEX(consolid1!$I$2:$I$904,MATCH(A541,consolid1!$B$2:$B$904,0))</f>
        <v>#N/A</v>
      </c>
      <c r="F541" s="4" t="str">
        <f t="array" ref="F541">INDEX(consolid1!$G$2:$G1534,MATCH(A541,consolid1!$B$2:$B1534,0))</f>
        <v>#N/A</v>
      </c>
    </row>
    <row r="542">
      <c r="A542" s="4" t="s">
        <v>152</v>
      </c>
      <c r="B542" s="3">
        <v>1500.0</v>
      </c>
      <c r="C542" s="4"/>
      <c r="D542" s="4" t="str">
        <f t="shared" si="1"/>
        <v>AVEC</v>
      </c>
      <c r="E542" s="4" t="str">
        <f t="array" ref="E542">INDEX(consolid1!$I$2:$I$904,MATCH(A542,consolid1!$B$2:$B$904,0))</f>
        <v>#N/A</v>
      </c>
      <c r="F542" s="4" t="str">
        <f t="array" ref="F542">INDEX(consolid1!$G$2:$G1534,MATCH(A542,consolid1!$B$2:$B1534,0))</f>
        <v>#N/A</v>
      </c>
    </row>
    <row r="543">
      <c r="A543" s="4" t="s">
        <v>2122</v>
      </c>
      <c r="B543" s="3">
        <v>1500.0</v>
      </c>
      <c r="C543" s="4"/>
      <c r="D543" s="4" t="str">
        <f t="shared" si="1"/>
        <v>AVEC</v>
      </c>
      <c r="E543" s="4" t="str">
        <f t="array" ref="E543">INDEX(consolid1!$I$2:$I$904,MATCH(A543,consolid1!$B$2:$B$904,0))</f>
        <v>#N/A</v>
      </c>
      <c r="F543" s="4" t="str">
        <f t="array" ref="F543">INDEX(consolid1!$G$2:$G1534,MATCH(A543,consolid1!$B$2:$B1534,0))</f>
        <v>#N/A</v>
      </c>
    </row>
    <row r="544">
      <c r="A544" s="4" t="s">
        <v>342</v>
      </c>
      <c r="B544" s="3">
        <v>1500.0</v>
      </c>
      <c r="C544" s="3" t="s">
        <v>6</v>
      </c>
      <c r="D544" s="4" t="str">
        <f t="shared" si="1"/>
        <v>AVEC</v>
      </c>
      <c r="E544" s="4" t="str">
        <f t="array" ref="E544">INDEX(consolid1!$I$2:$I$904,MATCH(A544,consolid1!$B$2:$B$904,0))</f>
        <v>#N/A</v>
      </c>
      <c r="F544" s="4" t="str">
        <f t="array" ref="F544">INDEX(consolid1!$G$2:$G1534,MATCH(A544,consolid1!$B$2:$B1534,0))</f>
        <v>#N/A</v>
      </c>
    </row>
    <row r="545">
      <c r="A545" s="4" t="s">
        <v>2162</v>
      </c>
      <c r="B545" s="3">
        <v>1500.0</v>
      </c>
      <c r="C545" s="3" t="s">
        <v>484</v>
      </c>
      <c r="D545" s="4" t="str">
        <f t="shared" si="1"/>
        <v>AVEC</v>
      </c>
      <c r="E545" s="4" t="str">
        <f t="array" ref="E545">INDEX(consolid1!$I$2:$I$904,MATCH(A545,consolid1!$B$2:$B$904,0))</f>
        <v>#N/A</v>
      </c>
      <c r="F545" s="4" t="str">
        <f t="array" ref="F545">INDEX(consolid1!$G$2:$G1534,MATCH(A545,consolid1!$B$2:$B1534,0))</f>
        <v>#N/A</v>
      </c>
    </row>
    <row r="546">
      <c r="A546" s="4" t="s">
        <v>520</v>
      </c>
      <c r="B546" s="3">
        <v>1500.0</v>
      </c>
      <c r="C546" s="3" t="s">
        <v>6</v>
      </c>
      <c r="D546" s="4" t="str">
        <f t="shared" si="1"/>
        <v>AVEC</v>
      </c>
      <c r="E546" s="4" t="str">
        <f t="array" ref="E546">INDEX(consolid1!$I$2:$I$904,MATCH(A546,consolid1!$B$2:$B$904,0))</f>
        <v>Vivre ensemble, vie quotidienne</v>
      </c>
      <c r="F546" s="4" t="str">
        <f t="array" ref="F546">INDEX(consolid1!$G$2:$G1534,MATCH(A546,consolid1!$B$2:$B1534,0))</f>
        <v>null</v>
      </c>
    </row>
    <row r="547">
      <c r="A547" s="4" t="s">
        <v>557</v>
      </c>
      <c r="B547" s="3">
        <v>1500.0</v>
      </c>
      <c r="C547" s="3" t="s">
        <v>29</v>
      </c>
      <c r="D547" s="4" t="str">
        <f t="shared" si="1"/>
        <v>AVEC</v>
      </c>
      <c r="E547" s="4" t="str">
        <f t="array" ref="E547">INDEX(consolid1!$I$2:$I$904,MATCH(A547,consolid1!$B$2:$B$904,0))</f>
        <v>#N/A</v>
      </c>
      <c r="F547" s="4" t="str">
        <f t="array" ref="F547">INDEX(consolid1!$G$2:$G1534,MATCH(A547,consolid1!$B$2:$B1534,0))</f>
        <v>#N/A</v>
      </c>
    </row>
    <row r="548">
      <c r="A548" s="4" t="s">
        <v>614</v>
      </c>
      <c r="B548" s="3">
        <v>1500.0</v>
      </c>
      <c r="C548" s="4"/>
      <c r="D548" s="4" t="str">
        <f t="shared" si="1"/>
        <v>AVEC</v>
      </c>
      <c r="E548" s="4" t="str">
        <f t="array" ref="E548">INDEX(consolid1!$I$2:$I$904,MATCH(A548,consolid1!$B$2:$B$904,0))</f>
        <v>#N/A</v>
      </c>
      <c r="F548" s="4" t="str">
        <f t="array" ref="F548">INDEX(consolid1!$G$2:$G1534,MATCH(A548,consolid1!$B$2:$B1534,0))</f>
        <v>#N/A</v>
      </c>
    </row>
    <row r="549">
      <c r="A549" s="4" t="s">
        <v>621</v>
      </c>
      <c r="B549" s="3">
        <v>1500.0</v>
      </c>
      <c r="C549" s="3" t="s">
        <v>32</v>
      </c>
      <c r="D549" s="4" t="str">
        <f t="shared" si="1"/>
        <v>AVEC</v>
      </c>
      <c r="E549" s="4" t="str">
        <f t="array" ref="E549">INDEX(consolid1!$I$2:$I$904,MATCH(A549,consolid1!$B$2:$B$904,0))</f>
        <v>Vivre ensemble, vie quotidienne</v>
      </c>
      <c r="F549" s="4" t="str">
        <f t="array" ref="F549">INDEX(consolid1!$G$2:$G1534,MATCH(A549,consolid1!$B$2:$B1534,0))</f>
        <v>null</v>
      </c>
    </row>
    <row r="550">
      <c r="A550" s="4" t="s">
        <v>784</v>
      </c>
      <c r="B550" s="3">
        <v>1500.0</v>
      </c>
      <c r="C550" s="4"/>
      <c r="D550" s="4" t="str">
        <f t="shared" si="1"/>
        <v>AVEC</v>
      </c>
      <c r="E550" s="4" t="str">
        <f t="array" ref="E550">INDEX(consolid1!$I$2:$I$904,MATCH(A550,consolid1!$B$2:$B$904,0))</f>
        <v>#N/A</v>
      </c>
      <c r="F550" s="4" t="str">
        <f t="array" ref="F550">INDEX(consolid1!$G$2:$G1534,MATCH(A550,consolid1!$B$2:$B1534,0))</f>
        <v>#N/A</v>
      </c>
    </row>
    <row r="551">
      <c r="A551" s="4" t="s">
        <v>806</v>
      </c>
      <c r="B551" s="3">
        <v>1500.0</v>
      </c>
      <c r="C551" s="4"/>
      <c r="D551" s="4" t="str">
        <f t="shared" si="1"/>
        <v>AVEC</v>
      </c>
      <c r="E551" s="4" t="str">
        <f t="array" ref="E551">INDEX(consolid1!$I$2:$I$904,MATCH(A551,consolid1!$B$2:$B$904,0))</f>
        <v>#N/A</v>
      </c>
      <c r="F551" s="4" t="str">
        <f t="array" ref="F551">INDEX(consolid1!$G$2:$G1534,MATCH(A551,consolid1!$B$2:$B1534,0))</f>
        <v>#N/A</v>
      </c>
    </row>
    <row r="552">
      <c r="A552" s="4" t="s">
        <v>874</v>
      </c>
      <c r="B552" s="3">
        <v>1500.0</v>
      </c>
      <c r="C552" s="3" t="s">
        <v>3</v>
      </c>
      <c r="D552" s="4" t="str">
        <f t="shared" si="1"/>
        <v>AVEC</v>
      </c>
      <c r="E552" s="4" t="str">
        <f t="array" ref="E552">INDEX(consolid1!$I$2:$I$904,MATCH(A552,consolid1!$B$2:$B$904,0))</f>
        <v>#N/A</v>
      </c>
      <c r="F552" s="4" t="str">
        <f t="array" ref="F552">INDEX(consolid1!$G$2:$G1534,MATCH(A552,consolid1!$B$2:$B1534,0))</f>
        <v>#N/A</v>
      </c>
    </row>
    <row r="553">
      <c r="A553" s="4" t="s">
        <v>959</v>
      </c>
      <c r="B553" s="3">
        <v>1500.0</v>
      </c>
      <c r="C553" s="4"/>
      <c r="D553" s="4" t="str">
        <f t="shared" si="1"/>
        <v>AVEC</v>
      </c>
      <c r="E553" s="4" t="str">
        <f t="array" ref="E553">INDEX(consolid1!$I$2:$I$904,MATCH(A553,consolid1!$B$2:$B$904,0))</f>
        <v>#N/A</v>
      </c>
      <c r="F553" s="4" t="str">
        <f t="array" ref="F553">INDEX(consolid1!$G$2:$G1534,MATCH(A553,consolid1!$B$2:$B1534,0))</f>
        <v>#N/A</v>
      </c>
    </row>
    <row r="554">
      <c r="A554" s="4" t="s">
        <v>967</v>
      </c>
      <c r="B554" s="3">
        <v>1500.0</v>
      </c>
      <c r="C554" s="3" t="s">
        <v>32</v>
      </c>
      <c r="D554" s="4" t="str">
        <f t="shared" si="1"/>
        <v>AVEC</v>
      </c>
      <c r="E554" s="4" t="str">
        <f t="array" ref="E554">INDEX(consolid1!$I$2:$I$904,MATCH(A554,consolid1!$B$2:$B$904,0))</f>
        <v>#N/A</v>
      </c>
      <c r="F554" s="4" t="str">
        <f t="array" ref="F554">INDEX(consolid1!$G$2:$G1534,MATCH(A554,consolid1!$B$2:$B1534,0))</f>
        <v>#N/A</v>
      </c>
    </row>
    <row r="555">
      <c r="A555" s="4" t="s">
        <v>1209</v>
      </c>
      <c r="B555" s="3">
        <v>1500.0</v>
      </c>
      <c r="C555" s="4"/>
      <c r="D555" s="4" t="str">
        <f t="shared" si="1"/>
        <v>AVEC</v>
      </c>
      <c r="E555" s="4" t="str">
        <f t="array" ref="E555">INDEX(consolid1!$I$2:$I$904,MATCH(A555,consolid1!$B$2:$B$904,0))</f>
        <v>#N/A</v>
      </c>
      <c r="F555" s="4" t="str">
        <f t="array" ref="F555">INDEX(consolid1!$G$2:$G1534,MATCH(A555,consolid1!$B$2:$B1534,0))</f>
        <v>#N/A</v>
      </c>
    </row>
    <row r="556">
      <c r="A556" s="4" t="s">
        <v>1238</v>
      </c>
      <c r="B556" s="3">
        <v>1500.0</v>
      </c>
      <c r="C556" s="4"/>
      <c r="D556" s="4" t="str">
        <f t="shared" si="1"/>
        <v>AVEC</v>
      </c>
      <c r="E556" s="4" t="str">
        <f t="array" ref="E556">INDEX(consolid1!$I$2:$I$904,MATCH(A556,consolid1!$B$2:$B$904,0))</f>
        <v>#N/A</v>
      </c>
      <c r="F556" s="4" t="str">
        <f t="array" ref="F556">INDEX(consolid1!$G$2:$G1534,MATCH(A556,consolid1!$B$2:$B1534,0))</f>
        <v>#N/A</v>
      </c>
    </row>
    <row r="557">
      <c r="A557" s="4" t="s">
        <v>1258</v>
      </c>
      <c r="B557" s="3">
        <v>1500.0</v>
      </c>
      <c r="C557" s="4"/>
      <c r="D557" s="4" t="str">
        <f t="shared" si="1"/>
        <v>AVEC</v>
      </c>
      <c r="E557" s="4" t="str">
        <f t="array" ref="E557">INDEX(consolid1!$I$2:$I$904,MATCH(A557,consolid1!$B$2:$B$904,0))</f>
        <v>#N/A</v>
      </c>
      <c r="F557" s="4" t="str">
        <f t="array" ref="F557">INDEX(consolid1!$G$2:$G1534,MATCH(A557,consolid1!$B$2:$B1534,0))</f>
        <v>#N/A</v>
      </c>
    </row>
    <row r="558">
      <c r="A558" s="4" t="s">
        <v>1333</v>
      </c>
      <c r="B558" s="3">
        <v>1500.0</v>
      </c>
      <c r="C558" s="4"/>
      <c r="D558" s="4" t="str">
        <f t="shared" si="1"/>
        <v>AVEC</v>
      </c>
      <c r="E558" s="4" t="str">
        <f t="array" ref="E558">INDEX(consolid1!$I$2:$I$904,MATCH(A558,consolid1!$B$2:$B$904,0))</f>
        <v>#N/A</v>
      </c>
      <c r="F558" s="4" t="str">
        <f t="array" ref="F558">INDEX(consolid1!$G$2:$G1534,MATCH(A558,consolid1!$B$2:$B1534,0))</f>
        <v>#N/A</v>
      </c>
    </row>
    <row r="559">
      <c r="A559" s="4" t="s">
        <v>1408</v>
      </c>
      <c r="B559" s="3">
        <v>1500.0</v>
      </c>
      <c r="C559" s="4"/>
      <c r="D559" s="4" t="str">
        <f t="shared" si="1"/>
        <v>AVEC</v>
      </c>
      <c r="E559" s="4" t="str">
        <f t="array" ref="E559">INDEX(consolid1!$I$2:$I$904,MATCH(A559,consolid1!$B$2:$B$904,0))</f>
        <v>#N/A</v>
      </c>
      <c r="F559" s="4" t="str">
        <f t="array" ref="F559">INDEX(consolid1!$G$2:$G1534,MATCH(A559,consolid1!$B$2:$B1534,0))</f>
        <v>#N/A</v>
      </c>
    </row>
    <row r="560">
      <c r="A560" s="4" t="s">
        <v>1495</v>
      </c>
      <c r="B560" s="3">
        <v>1500.0</v>
      </c>
      <c r="C560" s="4"/>
      <c r="D560" s="4" t="str">
        <f t="shared" si="1"/>
        <v>AVEC</v>
      </c>
      <c r="E560" s="4" t="str">
        <f t="array" ref="E560">INDEX(consolid1!$I$2:$I$904,MATCH(A560,consolid1!$B$2:$B$904,0))</f>
        <v>#N/A</v>
      </c>
      <c r="F560" s="4" t="str">
        <f t="array" ref="F560">INDEX(consolid1!$G$2:$G1534,MATCH(A560,consolid1!$B$2:$B1534,0))</f>
        <v>#N/A</v>
      </c>
    </row>
    <row r="561">
      <c r="A561" s="4" t="s">
        <v>1574</v>
      </c>
      <c r="B561" s="3">
        <v>1500.0</v>
      </c>
      <c r="C561" s="3" t="s">
        <v>6</v>
      </c>
      <c r="D561" s="4" t="str">
        <f t="shared" si="1"/>
        <v>AVEC</v>
      </c>
      <c r="E561" s="4" t="str">
        <f t="array" ref="E561">INDEX(consolid1!$I$2:$I$904,MATCH(A561,consolid1!$B$2:$B$904,0))</f>
        <v>#N/A</v>
      </c>
      <c r="F561" s="4" t="str">
        <f t="array" ref="F561">INDEX(consolid1!$G$2:$G1534,MATCH(A561,consolid1!$B$2:$B1534,0))</f>
        <v>#N/A</v>
      </c>
    </row>
    <row r="562">
      <c r="A562" s="4" t="s">
        <v>1656</v>
      </c>
      <c r="B562" s="3">
        <v>1500.0</v>
      </c>
      <c r="C562" s="4"/>
      <c r="D562" s="4" t="str">
        <f t="shared" si="1"/>
        <v>AVEC</v>
      </c>
      <c r="E562" s="4" t="str">
        <f t="array" ref="E562">INDEX(consolid1!$I$2:$I$904,MATCH(A562,consolid1!$B$2:$B$904,0))</f>
        <v>#N/A</v>
      </c>
      <c r="F562" s="4" t="str">
        <f t="array" ref="F562">INDEX(consolid1!$G$2:$G1534,MATCH(A562,consolid1!$B$2:$B1534,0))</f>
        <v>#N/A</v>
      </c>
    </row>
    <row r="563">
      <c r="A563" s="4" t="s">
        <v>1698</v>
      </c>
      <c r="B563" s="3">
        <v>1500.0</v>
      </c>
      <c r="C563" s="3" t="s">
        <v>6</v>
      </c>
      <c r="D563" s="4" t="str">
        <f t="shared" si="1"/>
        <v>AVEC</v>
      </c>
      <c r="E563" s="4" t="str">
        <f t="array" ref="E563">INDEX(consolid1!$I$2:$I$904,MATCH(A563,consolid1!$B$2:$B$904,0))</f>
        <v>#N/A</v>
      </c>
      <c r="F563" s="4" t="str">
        <f t="array" ref="F563">INDEX(consolid1!$G$2:$G1534,MATCH(A563,consolid1!$B$2:$B1534,0))</f>
        <v>#N/A</v>
      </c>
    </row>
    <row r="564">
      <c r="A564" s="4" t="s">
        <v>1738</v>
      </c>
      <c r="B564" s="3">
        <v>1500.0</v>
      </c>
      <c r="C564" s="4"/>
      <c r="D564" s="4" t="str">
        <f t="shared" si="1"/>
        <v>AVEC</v>
      </c>
      <c r="E564" s="4" t="str">
        <f t="array" ref="E564">INDEX(consolid1!$I$2:$I$904,MATCH(A564,consolid1!$B$2:$B$904,0))</f>
        <v>#N/A</v>
      </c>
      <c r="F564" s="4" t="str">
        <f t="array" ref="F564">INDEX(consolid1!$G$2:$G1534,MATCH(A564,consolid1!$B$2:$B1534,0))</f>
        <v>#N/A</v>
      </c>
    </row>
    <row r="565">
      <c r="A565" s="4" t="s">
        <v>1836</v>
      </c>
      <c r="B565" s="3">
        <v>1500.0</v>
      </c>
      <c r="C565" s="4"/>
      <c r="D565" s="4" t="str">
        <f t="shared" si="1"/>
        <v>AVEC</v>
      </c>
      <c r="E565" s="4" t="str">
        <f t="array" ref="E565">INDEX(consolid1!$I$2:$I$904,MATCH(A565,consolid1!$B$2:$B$904,0))</f>
        <v>#N/A</v>
      </c>
      <c r="F565" s="4" t="str">
        <f t="array" ref="F565">INDEX(consolid1!$G$2:$G1534,MATCH(A565,consolid1!$B$2:$B1534,0))</f>
        <v>#N/A</v>
      </c>
    </row>
    <row r="566">
      <c r="A566" s="4" t="s">
        <v>1931</v>
      </c>
      <c r="B566" s="3">
        <v>1500.0</v>
      </c>
      <c r="C566" s="3" t="s">
        <v>3</v>
      </c>
      <c r="D566" s="4" t="str">
        <f t="shared" si="1"/>
        <v>AVEC</v>
      </c>
      <c r="E566" s="4" t="str">
        <f t="array" ref="E566">INDEX(consolid1!$I$2:$I$904,MATCH(A566,consolid1!$B$2:$B$904,0))</f>
        <v>#N/A</v>
      </c>
      <c r="F566" s="4" t="str">
        <f t="array" ref="F566">INDEX(consolid1!$G$2:$G1534,MATCH(A566,consolid1!$B$2:$B1534,0))</f>
        <v>#N/A</v>
      </c>
    </row>
    <row r="567">
      <c r="A567" s="4" t="s">
        <v>2324</v>
      </c>
      <c r="B567" s="3">
        <v>1500.0</v>
      </c>
      <c r="C567" s="3" t="s">
        <v>3</v>
      </c>
      <c r="D567" s="4" t="str">
        <f t="shared" si="1"/>
        <v>AVEC</v>
      </c>
      <c r="E567" s="4" t="str">
        <f t="array" ref="E567">INDEX(consolid1!$I$2:$I$904,MATCH(A567,consolid1!$B$2:$B$904,0))</f>
        <v>#N/A</v>
      </c>
      <c r="F567" s="4" t="str">
        <f t="array" ref="F567">INDEX(consolid1!$G$2:$G1534,MATCH(A567,consolid1!$B$2:$B1534,0))</f>
        <v>#N/A</v>
      </c>
    </row>
    <row r="568">
      <c r="A568" s="4" t="s">
        <v>1051</v>
      </c>
      <c r="B568" s="3">
        <v>1410.0</v>
      </c>
      <c r="C568" s="4"/>
      <c r="D568" s="4" t="str">
        <f t="shared" si="1"/>
        <v>AVEC</v>
      </c>
      <c r="E568" s="4" t="str">
        <f t="array" ref="E568">INDEX(consolid1!$I$2:$I$904,MATCH(A568,consolid1!$B$2:$B$904,0))</f>
        <v>#N/A</v>
      </c>
      <c r="F568" s="4" t="str">
        <f t="array" ref="F568">INDEX(consolid1!$G$2:$G1534,MATCH(A568,consolid1!$B$2:$B1534,0))</f>
        <v>#N/A</v>
      </c>
    </row>
    <row r="569">
      <c r="A569" s="4" t="s">
        <v>954</v>
      </c>
      <c r="B569" s="3">
        <v>1400.0</v>
      </c>
      <c r="C569" s="4"/>
      <c r="D569" s="4" t="str">
        <f t="shared" si="1"/>
        <v>AVEC</v>
      </c>
      <c r="E569" s="4" t="str">
        <f t="array" ref="E569">INDEX(consolid1!$I$2:$I$904,MATCH(A569,consolid1!$B$2:$B$904,0))</f>
        <v>Vivre ensemble, vie quotidienne</v>
      </c>
      <c r="F569" s="4" t="str">
        <f t="array" ref="F569">INDEX(consolid1!$G$2:$G1534,MATCH(A569,consolid1!$B$2:$B1534,0))</f>
        <v>null</v>
      </c>
    </row>
    <row r="570">
      <c r="A570" s="4" t="s">
        <v>2202</v>
      </c>
      <c r="B570" s="3">
        <v>1300.0</v>
      </c>
      <c r="C570" s="3" t="s">
        <v>3</v>
      </c>
      <c r="D570" s="4" t="str">
        <f t="shared" si="1"/>
        <v>AVEC</v>
      </c>
      <c r="E570" s="4" t="str">
        <f t="array" ref="E570">INDEX(consolid1!$I$2:$I$904,MATCH(A570,consolid1!$B$2:$B$904,0))</f>
        <v>#N/A</v>
      </c>
      <c r="F570" s="4" t="str">
        <f t="array" ref="F570">INDEX(consolid1!$G$2:$G1534,MATCH(A570,consolid1!$B$2:$B1534,0))</f>
        <v>#N/A</v>
      </c>
    </row>
    <row r="571">
      <c r="A571" s="4" t="s">
        <v>2227</v>
      </c>
      <c r="B571" s="3">
        <v>1300.0</v>
      </c>
      <c r="C571" s="4"/>
      <c r="D571" s="4" t="str">
        <f t="shared" si="1"/>
        <v>AVEC</v>
      </c>
      <c r="E571" s="4" t="str">
        <f t="array" ref="E571">INDEX(consolid1!$I$2:$I$904,MATCH(A571,consolid1!$B$2:$B$904,0))</f>
        <v>#N/A</v>
      </c>
      <c r="F571" s="4" t="str">
        <f t="array" ref="F571">INDEX(consolid1!$G$2:$G1534,MATCH(A571,consolid1!$B$2:$B1534,0))</f>
        <v>#N/A</v>
      </c>
    </row>
    <row r="572">
      <c r="A572" s="4" t="s">
        <v>1979</v>
      </c>
      <c r="B572" s="3">
        <v>1300.0</v>
      </c>
      <c r="C572" s="4"/>
      <c r="D572" s="4" t="str">
        <f t="shared" si="1"/>
        <v>AVEC</v>
      </c>
      <c r="E572" s="4" t="str">
        <f t="array" ref="E572">INDEX(consolid1!$I$2:$I$904,MATCH(A572,consolid1!$B$2:$B$904,0))</f>
        <v>#N/A</v>
      </c>
      <c r="F572" s="4" t="str">
        <f t="array" ref="F572">INDEX(consolid1!$G$2:$G1534,MATCH(A572,consolid1!$B$2:$B1534,0))</f>
        <v>#N/A</v>
      </c>
    </row>
    <row r="573">
      <c r="A573" s="4" t="s">
        <v>995</v>
      </c>
      <c r="B573" s="3">
        <v>1200.0</v>
      </c>
      <c r="C573" s="3" t="s">
        <v>6</v>
      </c>
      <c r="D573" s="4" t="str">
        <f t="shared" si="1"/>
        <v>AVEC</v>
      </c>
      <c r="E573" s="4" t="str">
        <f t="array" ref="E573">INDEX(consolid1!$I$2:$I$904,MATCH(A573,consolid1!$B$2:$B$904,0))</f>
        <v>#N/A</v>
      </c>
      <c r="F573" s="4" t="str">
        <f t="array" ref="F573">INDEX(consolid1!$G$2:$G1534,MATCH(A573,consolid1!$B$2:$B1534,0))</f>
        <v>#N/A</v>
      </c>
    </row>
    <row r="574">
      <c r="A574" s="4" t="s">
        <v>1017</v>
      </c>
      <c r="B574" s="3">
        <v>1200.0</v>
      </c>
      <c r="C574" s="4"/>
      <c r="D574" s="4" t="str">
        <f t="shared" si="1"/>
        <v>AVEC</v>
      </c>
      <c r="E574" s="4" t="str">
        <f t="array" ref="E574">INDEX(consolid1!$I$2:$I$904,MATCH(A574,consolid1!$B$2:$B$904,0))</f>
        <v>#N/A</v>
      </c>
      <c r="F574" s="4" t="str">
        <f t="array" ref="F574">INDEX(consolid1!$G$2:$G1534,MATCH(A574,consolid1!$B$2:$B1534,0))</f>
        <v>#N/A</v>
      </c>
    </row>
    <row r="575">
      <c r="A575" s="4" t="s">
        <v>1335</v>
      </c>
      <c r="B575" s="3">
        <v>1200.0</v>
      </c>
      <c r="C575" s="3" t="s">
        <v>32</v>
      </c>
      <c r="D575" s="4" t="str">
        <f t="shared" si="1"/>
        <v>AVEC</v>
      </c>
      <c r="E575" s="4" t="str">
        <f t="array" ref="E575">INDEX(consolid1!$I$2:$I$904,MATCH(A575,consolid1!$B$2:$B$904,0))</f>
        <v>#N/A</v>
      </c>
      <c r="F575" s="4" t="str">
        <f t="array" ref="F575">INDEX(consolid1!$G$2:$G1534,MATCH(A575,consolid1!$B$2:$B1534,0))</f>
        <v>#N/A</v>
      </c>
    </row>
    <row r="576">
      <c r="A576" s="4" t="s">
        <v>1462</v>
      </c>
      <c r="B576" s="3">
        <v>1200.0</v>
      </c>
      <c r="C576" s="3" t="s">
        <v>3</v>
      </c>
      <c r="D576" s="4" t="str">
        <f t="shared" si="1"/>
        <v>AVEC</v>
      </c>
      <c r="E576" s="4" t="str">
        <f t="array" ref="E576">INDEX(consolid1!$I$2:$I$904,MATCH(A576,consolid1!$B$2:$B$904,0))</f>
        <v>#N/A</v>
      </c>
      <c r="F576" s="4" t="str">
        <f t="array" ref="F576">INDEX(consolid1!$G$2:$G1534,MATCH(A576,consolid1!$B$2:$B1534,0))</f>
        <v>#N/A</v>
      </c>
    </row>
    <row r="577">
      <c r="A577" s="4" t="s">
        <v>700</v>
      </c>
      <c r="B577" s="3">
        <v>1080.0</v>
      </c>
      <c r="C577" s="4"/>
      <c r="D577" s="4" t="str">
        <f t="shared" si="1"/>
        <v>AVEC</v>
      </c>
      <c r="E577" s="4" t="str">
        <f t="array" ref="E577">INDEX(consolid1!$I$2:$I$904,MATCH(A577,consolid1!$B$2:$B$904,0))</f>
        <v>Vivre ensemble, vie quotidienne</v>
      </c>
      <c r="F577" s="4" t="str">
        <f t="array" ref="F577">INDEX(consolid1!$G$2:$G1534,MATCH(A577,consolid1!$B$2:$B1534,0))</f>
        <v>null</v>
      </c>
    </row>
    <row r="578">
      <c r="A578" s="4" t="s">
        <v>10</v>
      </c>
      <c r="B578" s="3">
        <v>1000.0</v>
      </c>
      <c r="C578" s="4"/>
      <c r="D578" s="4" t="str">
        <f t="shared" si="1"/>
        <v>AVEC</v>
      </c>
      <c r="E578" s="4" t="str">
        <f t="array" ref="E578">INDEX(consolid1!$I$2:$I$904,MATCH(A578,consolid1!$B$2:$B$904,0))</f>
        <v>#N/A</v>
      </c>
      <c r="F578" s="4" t="str">
        <f t="array" ref="F578">INDEX(consolid1!$G$2:$G1534,MATCH(A578,consolid1!$B$2:$B1534,0))</f>
        <v>#N/A</v>
      </c>
    </row>
    <row r="579">
      <c r="A579" s="4" t="s">
        <v>93</v>
      </c>
      <c r="B579" s="3">
        <v>1000.0</v>
      </c>
      <c r="C579" s="4"/>
      <c r="D579" s="4" t="str">
        <f t="shared" si="1"/>
        <v>AVEC</v>
      </c>
      <c r="E579" s="4" t="str">
        <f t="array" ref="E579">INDEX(consolid1!$I$2:$I$904,MATCH(A579,consolid1!$B$2:$B$904,0))</f>
        <v>#N/A</v>
      </c>
      <c r="F579" s="4" t="str">
        <f t="array" ref="F579">INDEX(consolid1!$G$2:$G1534,MATCH(A579,consolid1!$B$2:$B1534,0))</f>
        <v>#N/A</v>
      </c>
    </row>
    <row r="580">
      <c r="A580" s="4" t="s">
        <v>103</v>
      </c>
      <c r="B580" s="3">
        <v>1000.0</v>
      </c>
      <c r="C580" s="4"/>
      <c r="D580" s="4" t="str">
        <f t="shared" si="1"/>
        <v>AVEC</v>
      </c>
      <c r="E580" s="4" t="str">
        <f t="array" ref="E580">INDEX(consolid1!$I$2:$I$904,MATCH(A580,consolid1!$B$2:$B$904,0))</f>
        <v>#N/A</v>
      </c>
      <c r="F580" s="4" t="str">
        <f t="array" ref="F580">INDEX(consolid1!$G$2:$G1534,MATCH(A580,consolid1!$B$2:$B1534,0))</f>
        <v>#N/A</v>
      </c>
    </row>
    <row r="581">
      <c r="A581" s="4" t="s">
        <v>2085</v>
      </c>
      <c r="B581" s="3">
        <v>1000.0</v>
      </c>
      <c r="C581" s="3" t="s">
        <v>6</v>
      </c>
      <c r="D581" s="4" t="str">
        <f t="shared" si="1"/>
        <v>AVEC</v>
      </c>
      <c r="E581" s="4" t="str">
        <f t="array" ref="E581">INDEX(consolid1!$I$2:$I$904,MATCH(A581,consolid1!$B$2:$B$904,0))</f>
        <v>#N/A</v>
      </c>
      <c r="F581" s="4" t="str">
        <f t="array" ref="F581">INDEX(consolid1!$G$2:$G1534,MATCH(A581,consolid1!$B$2:$B1534,0))</f>
        <v>#N/A</v>
      </c>
    </row>
    <row r="582">
      <c r="A582" s="4" t="s">
        <v>193</v>
      </c>
      <c r="B582" s="3">
        <v>1000.0</v>
      </c>
      <c r="C582" s="3" t="s">
        <v>29</v>
      </c>
      <c r="D582" s="4" t="str">
        <f t="shared" si="1"/>
        <v>AVEC</v>
      </c>
      <c r="E582" s="4" t="str">
        <f t="array" ref="E582">INDEX(consolid1!$I$2:$I$904,MATCH(A582,consolid1!$B$2:$B$904,0))</f>
        <v>#N/A</v>
      </c>
      <c r="F582" s="4" t="str">
        <f t="array" ref="F582">INDEX(consolid1!$G$2:$G1534,MATCH(A582,consolid1!$B$2:$B1534,0))</f>
        <v>#N/A</v>
      </c>
    </row>
    <row r="583">
      <c r="A583" s="4" t="s">
        <v>2116</v>
      </c>
      <c r="B583" s="3">
        <v>1000.0</v>
      </c>
      <c r="C583" s="3" t="s">
        <v>3</v>
      </c>
      <c r="D583" s="4" t="str">
        <f t="shared" si="1"/>
        <v>AVEC</v>
      </c>
      <c r="E583" s="4" t="str">
        <f t="array" ref="E583">INDEX(consolid1!$I$2:$I$904,MATCH(A583,consolid1!$B$2:$B$904,0))</f>
        <v>#N/A</v>
      </c>
      <c r="F583" s="4" t="str">
        <f t="array" ref="F583">INDEX(consolid1!$G$2:$G1534,MATCH(A583,consolid1!$B$2:$B1534,0))</f>
        <v>#N/A</v>
      </c>
    </row>
    <row r="584">
      <c r="A584" s="4" t="s">
        <v>495</v>
      </c>
      <c r="B584" s="3">
        <v>1000.0</v>
      </c>
      <c r="C584" s="4"/>
      <c r="D584" s="4" t="str">
        <f t="shared" si="1"/>
        <v>AVEC</v>
      </c>
      <c r="E584" s="4" t="str">
        <f t="array" ref="E584">INDEX(consolid1!$I$2:$I$904,MATCH(A584,consolid1!$B$2:$B$904,0))</f>
        <v>#N/A</v>
      </c>
      <c r="F584" s="4" t="str">
        <f t="array" ref="F584">INDEX(consolid1!$G$2:$G1534,MATCH(A584,consolid1!$B$2:$B1534,0))</f>
        <v>#N/A</v>
      </c>
    </row>
    <row r="585">
      <c r="A585" s="4" t="s">
        <v>527</v>
      </c>
      <c r="B585" s="3">
        <v>1000.0</v>
      </c>
      <c r="C585" s="4"/>
      <c r="D585" s="4" t="str">
        <f t="shared" si="1"/>
        <v>AVEC</v>
      </c>
      <c r="E585" s="4" t="str">
        <f t="array" ref="E585">INDEX(consolid1!$I$2:$I$904,MATCH(A585,consolid1!$B$2:$B$904,0))</f>
        <v>#N/A</v>
      </c>
      <c r="F585" s="4" t="str">
        <f t="array" ref="F585">INDEX(consolid1!$G$2:$G1534,MATCH(A585,consolid1!$B$2:$B1534,0))</f>
        <v>#N/A</v>
      </c>
    </row>
    <row r="586">
      <c r="A586" s="4" t="s">
        <v>558</v>
      </c>
      <c r="B586" s="3">
        <v>1000.0</v>
      </c>
      <c r="C586" s="3" t="s">
        <v>484</v>
      </c>
      <c r="D586" s="4" t="str">
        <f t="shared" si="1"/>
        <v>AVEC</v>
      </c>
      <c r="E586" s="4" t="str">
        <f t="array" ref="E586">INDEX(consolid1!$I$2:$I$904,MATCH(A586,consolid1!$B$2:$B$904,0))</f>
        <v>#N/A</v>
      </c>
      <c r="F586" s="4" t="str">
        <f t="array" ref="F586">INDEX(consolid1!$G$2:$G1534,MATCH(A586,consolid1!$B$2:$B1534,0))</f>
        <v>#N/A</v>
      </c>
    </row>
    <row r="587">
      <c r="A587" s="4" t="s">
        <v>631</v>
      </c>
      <c r="B587" s="3">
        <v>1000.0</v>
      </c>
      <c r="C587" s="4"/>
      <c r="D587" s="4" t="str">
        <f t="shared" si="1"/>
        <v>AVEC</v>
      </c>
      <c r="E587" s="4" t="str">
        <f t="array" ref="E587">INDEX(consolid1!$I$2:$I$904,MATCH(A587,consolid1!$B$2:$B$904,0))</f>
        <v>#N/A</v>
      </c>
      <c r="F587" s="4" t="str">
        <f t="array" ref="F587">INDEX(consolid1!$G$2:$G1534,MATCH(A587,consolid1!$B$2:$B1534,0))</f>
        <v>#N/A</v>
      </c>
    </row>
    <row r="588">
      <c r="A588" s="4" t="s">
        <v>635</v>
      </c>
      <c r="B588" s="3">
        <v>1000.0</v>
      </c>
      <c r="C588" s="3" t="s">
        <v>32</v>
      </c>
      <c r="D588" s="4" t="str">
        <f t="shared" si="1"/>
        <v>AVEC</v>
      </c>
      <c r="E588" s="4" t="str">
        <f t="array" ref="E588">INDEX(consolid1!$I$2:$I$904,MATCH(A588,consolid1!$B$2:$B$904,0))</f>
        <v>#N/A</v>
      </c>
      <c r="F588" s="4" t="str">
        <f t="array" ref="F588">INDEX(consolid1!$G$2:$G1534,MATCH(A588,consolid1!$B$2:$B1534,0))</f>
        <v>#N/A</v>
      </c>
    </row>
    <row r="589">
      <c r="A589" s="4" t="s">
        <v>650</v>
      </c>
      <c r="B589" s="3">
        <v>1000.0</v>
      </c>
      <c r="C589" s="4"/>
      <c r="D589" s="4" t="str">
        <f t="shared" si="1"/>
        <v>AVEC</v>
      </c>
      <c r="E589" s="4" t="str">
        <f t="array" ref="E589">INDEX(consolid1!$I$2:$I$904,MATCH(A589,consolid1!$B$2:$B$904,0))</f>
        <v>#N/A</v>
      </c>
      <c r="F589" s="4" t="str">
        <f t="array" ref="F589">INDEX(consolid1!$G$2:$G1534,MATCH(A589,consolid1!$B$2:$B1534,0))</f>
        <v>#N/A</v>
      </c>
    </row>
    <row r="590">
      <c r="A590" s="4" t="s">
        <v>674</v>
      </c>
      <c r="B590" s="3">
        <v>1000.0</v>
      </c>
      <c r="C590" s="3" t="s">
        <v>3</v>
      </c>
      <c r="D590" s="4" t="str">
        <f t="shared" si="1"/>
        <v>AVEC</v>
      </c>
      <c r="E590" s="4" t="str">
        <f t="array" ref="E590">INDEX(consolid1!$I$2:$I$904,MATCH(A590,consolid1!$B$2:$B$904,0))</f>
        <v>#N/A</v>
      </c>
      <c r="F590" s="4" t="str">
        <f t="array" ref="F590">INDEX(consolid1!$G$2:$G1534,MATCH(A590,consolid1!$B$2:$B1534,0))</f>
        <v>#N/A</v>
      </c>
    </row>
    <row r="591">
      <c r="A591" s="4" t="s">
        <v>750</v>
      </c>
      <c r="B591" s="3">
        <v>1000.0</v>
      </c>
      <c r="C591" s="4"/>
      <c r="D591" s="4" t="str">
        <f t="shared" si="1"/>
        <v>AVEC</v>
      </c>
      <c r="E591" s="4" t="str">
        <f t="array" ref="E591">INDEX(consolid1!$I$2:$I$904,MATCH(A591,consolid1!$B$2:$B$904,0))</f>
        <v>#N/A</v>
      </c>
      <c r="F591" s="4" t="str">
        <f t="array" ref="F591">INDEX(consolid1!$G$2:$G1534,MATCH(A591,consolid1!$B$2:$B1534,0))</f>
        <v>#N/A</v>
      </c>
    </row>
    <row r="592">
      <c r="A592" s="4" t="s">
        <v>817</v>
      </c>
      <c r="B592" s="3">
        <v>1000.0</v>
      </c>
      <c r="C592" s="3" t="s">
        <v>3</v>
      </c>
      <c r="D592" s="4" t="str">
        <f t="shared" si="1"/>
        <v>AVEC</v>
      </c>
      <c r="E592" s="4" t="str">
        <f t="array" ref="E592">INDEX(consolid1!$I$2:$I$904,MATCH(A592,consolid1!$B$2:$B$904,0))</f>
        <v>#N/A</v>
      </c>
      <c r="F592" s="4" t="str">
        <f t="array" ref="F592">INDEX(consolid1!$G$2:$G1534,MATCH(A592,consolid1!$B$2:$B1534,0))</f>
        <v>#N/A</v>
      </c>
    </row>
    <row r="593">
      <c r="A593" s="4" t="s">
        <v>839</v>
      </c>
      <c r="B593" s="3">
        <v>1000.0</v>
      </c>
      <c r="C593" s="3" t="s">
        <v>6</v>
      </c>
      <c r="D593" s="4" t="str">
        <f t="shared" si="1"/>
        <v>AVEC</v>
      </c>
      <c r="E593" s="4" t="str">
        <f t="array" ref="E593">INDEX(consolid1!$I$2:$I$904,MATCH(A593,consolid1!$B$2:$B$904,0))</f>
        <v>#N/A</v>
      </c>
      <c r="F593" s="4" t="str">
        <f t="array" ref="F593">INDEX(consolid1!$G$2:$G1534,MATCH(A593,consolid1!$B$2:$B1534,0))</f>
        <v>#N/A</v>
      </c>
    </row>
    <row r="594">
      <c r="A594" s="4" t="s">
        <v>851</v>
      </c>
      <c r="B594" s="3">
        <v>1000.0</v>
      </c>
      <c r="C594" s="4"/>
      <c r="D594" s="4" t="str">
        <f t="shared" si="1"/>
        <v>AVEC</v>
      </c>
      <c r="E594" s="4" t="str">
        <f t="array" ref="E594">INDEX(consolid1!$I$2:$I$904,MATCH(A594,consolid1!$B$2:$B$904,0))</f>
        <v>#N/A</v>
      </c>
      <c r="F594" s="4" t="str">
        <f t="array" ref="F594">INDEX(consolid1!$G$2:$G1534,MATCH(A594,consolid1!$B$2:$B1534,0))</f>
        <v>#N/A</v>
      </c>
    </row>
    <row r="595">
      <c r="A595" s="4" t="s">
        <v>861</v>
      </c>
      <c r="B595" s="3">
        <v>1000.0</v>
      </c>
      <c r="C595" s="4"/>
      <c r="D595" s="4" t="str">
        <f t="shared" si="1"/>
        <v>AVEC</v>
      </c>
      <c r="E595" s="4" t="str">
        <f t="array" ref="E595">INDEX(consolid1!$I$2:$I$904,MATCH(A595,consolid1!$B$2:$B$904,0))</f>
        <v>#N/A</v>
      </c>
      <c r="F595" s="4" t="str">
        <f t="array" ref="F595">INDEX(consolid1!$G$2:$G1534,MATCH(A595,consolid1!$B$2:$B1534,0))</f>
        <v>#N/A</v>
      </c>
    </row>
    <row r="596">
      <c r="A596" s="4" t="s">
        <v>885</v>
      </c>
      <c r="B596" s="3">
        <v>1000.0</v>
      </c>
      <c r="C596" s="3" t="s">
        <v>6</v>
      </c>
      <c r="D596" s="4" t="str">
        <f t="shared" si="1"/>
        <v>AVEC</v>
      </c>
      <c r="E596" s="4" t="str">
        <f t="array" ref="E596">INDEX(consolid1!$I$2:$I$904,MATCH(A596,consolid1!$B$2:$B$904,0))</f>
        <v>#N/A</v>
      </c>
      <c r="F596" s="4" t="str">
        <f t="array" ref="F596">INDEX(consolid1!$G$2:$G1534,MATCH(A596,consolid1!$B$2:$B1534,0))</f>
        <v>#N/A</v>
      </c>
    </row>
    <row r="597">
      <c r="A597" s="4" t="s">
        <v>886</v>
      </c>
      <c r="B597" s="3">
        <v>1000.0</v>
      </c>
      <c r="C597" s="3" t="s">
        <v>32</v>
      </c>
      <c r="D597" s="4" t="str">
        <f t="shared" si="1"/>
        <v>AVEC</v>
      </c>
      <c r="E597" s="4" t="str">
        <f t="array" ref="E597">INDEX(consolid1!$I$2:$I$904,MATCH(A597,consolid1!$B$2:$B$904,0))</f>
        <v>#N/A</v>
      </c>
      <c r="F597" s="4" t="str">
        <f t="array" ref="F597">INDEX(consolid1!$G$2:$G1534,MATCH(A597,consolid1!$B$2:$B1534,0))</f>
        <v>#N/A</v>
      </c>
    </row>
    <row r="598">
      <c r="A598" s="4" t="s">
        <v>2226</v>
      </c>
      <c r="B598" s="3">
        <v>1000.0</v>
      </c>
      <c r="C598" s="3" t="s">
        <v>6</v>
      </c>
      <c r="D598" s="4" t="str">
        <f t="shared" si="1"/>
        <v>AVEC</v>
      </c>
      <c r="E598" s="4" t="str">
        <f t="array" ref="E598">INDEX(consolid1!$I$2:$I$904,MATCH(A598,consolid1!$B$2:$B$904,0))</f>
        <v>#N/A</v>
      </c>
      <c r="F598" s="4" t="str">
        <f t="array" ref="F598">INDEX(consolid1!$G$2:$G1534,MATCH(A598,consolid1!$B$2:$B1534,0))</f>
        <v>#N/A</v>
      </c>
    </row>
    <row r="599">
      <c r="A599" s="4" t="s">
        <v>2233</v>
      </c>
      <c r="B599" s="3">
        <v>1000.0</v>
      </c>
      <c r="C599" s="4"/>
      <c r="D599" s="4" t="str">
        <f t="shared" si="1"/>
        <v>AVEC</v>
      </c>
      <c r="E599" s="4" t="str">
        <f t="array" ref="E599">INDEX(consolid1!$I$2:$I$904,MATCH(A599,consolid1!$B$2:$B$904,0))</f>
        <v>#N/A</v>
      </c>
      <c r="F599" s="4" t="str">
        <f t="array" ref="F599">INDEX(consolid1!$G$2:$G1534,MATCH(A599,consolid1!$B$2:$B1534,0))</f>
        <v>#N/A</v>
      </c>
    </row>
    <row r="600">
      <c r="A600" s="4" t="s">
        <v>968</v>
      </c>
      <c r="B600" s="3">
        <v>1000.0</v>
      </c>
      <c r="C600" s="4"/>
      <c r="D600" s="4" t="str">
        <f t="shared" si="1"/>
        <v>AVEC</v>
      </c>
      <c r="E600" s="4" t="str">
        <f t="array" ref="E600">INDEX(consolid1!$I$2:$I$904,MATCH(A600,consolid1!$B$2:$B$904,0))</f>
        <v>#N/A</v>
      </c>
      <c r="F600" s="4" t="str">
        <f t="array" ref="F600">INDEX(consolid1!$G$2:$G1534,MATCH(A600,consolid1!$B$2:$B1534,0))</f>
        <v>#N/A</v>
      </c>
    </row>
    <row r="601">
      <c r="A601" s="4" t="s">
        <v>981</v>
      </c>
      <c r="B601" s="3">
        <v>1000.0</v>
      </c>
      <c r="C601" s="4"/>
      <c r="D601" s="4" t="str">
        <f t="shared" si="1"/>
        <v>AVEC</v>
      </c>
      <c r="E601" s="4" t="str">
        <f t="array" ref="E601">INDEX(consolid1!$I$2:$I$904,MATCH(A601,consolid1!$B$2:$B$904,0))</f>
        <v>Entraide, solidarité, humanitaire</v>
      </c>
      <c r="F601" s="4" t="str">
        <f t="array" ref="F601">INDEX(consolid1!$G$2:$G1534,MATCH(A601,consolid1!$B$2:$B1534,0))</f>
        <v>null</v>
      </c>
    </row>
    <row r="602">
      <c r="A602" s="4" t="s">
        <v>1053</v>
      </c>
      <c r="B602" s="3">
        <v>1000.0</v>
      </c>
      <c r="C602" s="3" t="s">
        <v>32</v>
      </c>
      <c r="D602" s="4" t="str">
        <f t="shared" si="1"/>
        <v>AVEC</v>
      </c>
      <c r="E602" s="4" t="str">
        <f t="array" ref="E602">INDEX(consolid1!$I$2:$I$904,MATCH(A602,consolid1!$B$2:$B$904,0))</f>
        <v>#N/A</v>
      </c>
      <c r="F602" s="4" t="str">
        <f t="array" ref="F602">INDEX(consolid1!$G$2:$G1534,MATCH(A602,consolid1!$B$2:$B1534,0))</f>
        <v>#N/A</v>
      </c>
    </row>
    <row r="603">
      <c r="A603" s="4" t="s">
        <v>1058</v>
      </c>
      <c r="B603" s="3">
        <v>1000.0</v>
      </c>
      <c r="C603" s="4"/>
      <c r="D603" s="4" t="str">
        <f t="shared" si="1"/>
        <v>AVEC</v>
      </c>
      <c r="E603" s="4" t="str">
        <f t="array" ref="E603">INDEX(consolid1!$I$2:$I$904,MATCH(A603,consolid1!$B$2:$B$904,0))</f>
        <v>#N/A</v>
      </c>
      <c r="F603" s="4" t="str">
        <f t="array" ref="F603">INDEX(consolid1!$G$2:$G1534,MATCH(A603,consolid1!$B$2:$B1534,0))</f>
        <v>#N/A</v>
      </c>
    </row>
    <row r="604">
      <c r="A604" s="4" t="s">
        <v>2249</v>
      </c>
      <c r="B604" s="3">
        <v>1000.0</v>
      </c>
      <c r="C604" s="3" t="s">
        <v>32</v>
      </c>
      <c r="D604" s="4" t="str">
        <f t="shared" si="1"/>
        <v>AVEC</v>
      </c>
      <c r="E604" s="4" t="str">
        <f t="array" ref="E604">INDEX(consolid1!$I$2:$I$904,MATCH(A604,consolid1!$B$2:$B$904,0))</f>
        <v>#N/A</v>
      </c>
      <c r="F604" s="4" t="str">
        <f t="array" ref="F604">INDEX(consolid1!$G$2:$G1534,MATCH(A604,consolid1!$B$2:$B1534,0))</f>
        <v>#N/A</v>
      </c>
    </row>
    <row r="605">
      <c r="A605" s="4" t="s">
        <v>1181</v>
      </c>
      <c r="B605" s="3">
        <v>1000.0</v>
      </c>
      <c r="C605" s="4"/>
      <c r="D605" s="4" t="str">
        <f t="shared" si="1"/>
        <v>AVEC</v>
      </c>
      <c r="E605" s="4" t="str">
        <f t="array" ref="E605">INDEX(consolid1!$I$2:$I$904,MATCH(A605,consolid1!$B$2:$B$904,0))</f>
        <v>#N/A</v>
      </c>
      <c r="F605" s="4" t="str">
        <f t="array" ref="F605">INDEX(consolid1!$G$2:$G1534,MATCH(A605,consolid1!$B$2:$B1534,0))</f>
        <v>#N/A</v>
      </c>
    </row>
    <row r="606">
      <c r="A606" s="4" t="s">
        <v>2263</v>
      </c>
      <c r="B606" s="3">
        <v>1000.0</v>
      </c>
      <c r="C606" s="4"/>
      <c r="D606" s="4" t="str">
        <f t="shared" si="1"/>
        <v>AVEC</v>
      </c>
      <c r="E606" s="4" t="str">
        <f t="array" ref="E606">INDEX(consolid1!$I$2:$I$904,MATCH(A606,consolid1!$B$2:$B$904,0))</f>
        <v>#N/A</v>
      </c>
      <c r="F606" s="4" t="str">
        <f t="array" ref="F606">INDEX(consolid1!$G$2:$G1534,MATCH(A606,consolid1!$B$2:$B1534,0))</f>
        <v>#N/A</v>
      </c>
    </row>
    <row r="607">
      <c r="A607" s="4" t="s">
        <v>1259</v>
      </c>
      <c r="B607" s="3">
        <v>1000.0</v>
      </c>
      <c r="C607" s="3" t="s">
        <v>6</v>
      </c>
      <c r="D607" s="4" t="str">
        <f t="shared" si="1"/>
        <v>AVEC</v>
      </c>
      <c r="E607" s="4" t="str">
        <f t="array" ref="E607">INDEX(consolid1!$I$2:$I$904,MATCH(A607,consolid1!$B$2:$B$904,0))</f>
        <v>#N/A</v>
      </c>
      <c r="F607" s="4" t="str">
        <f t="array" ref="F607">INDEX(consolid1!$G$2:$G1534,MATCH(A607,consolid1!$B$2:$B1534,0))</f>
        <v>#N/A</v>
      </c>
    </row>
    <row r="608">
      <c r="A608" s="4" t="s">
        <v>1334</v>
      </c>
      <c r="B608" s="3">
        <v>1000.0</v>
      </c>
      <c r="C608" s="4"/>
      <c r="D608" s="4" t="str">
        <f t="shared" si="1"/>
        <v>AVEC</v>
      </c>
      <c r="E608" s="4" t="str">
        <f t="array" ref="E608">INDEX(consolid1!$I$2:$I$904,MATCH(A608,consolid1!$B$2:$B$904,0))</f>
        <v>#N/A</v>
      </c>
      <c r="F608" s="4" t="str">
        <f t="array" ref="F608">INDEX(consolid1!$G$2:$G1534,MATCH(A608,consolid1!$B$2:$B1534,0))</f>
        <v>#N/A</v>
      </c>
    </row>
    <row r="609">
      <c r="A609" s="4" t="s">
        <v>1416</v>
      </c>
      <c r="B609" s="3">
        <v>1000.0</v>
      </c>
      <c r="C609" s="4"/>
      <c r="D609" s="4" t="str">
        <f t="shared" si="1"/>
        <v>AVEC</v>
      </c>
      <c r="E609" s="4" t="str">
        <f t="array" ref="E609">INDEX(consolid1!$I$2:$I$904,MATCH(A609,consolid1!$B$2:$B$904,0))</f>
        <v>Loisirs</v>
      </c>
      <c r="F609" s="4" t="str">
        <f t="array" ref="F609">INDEX(consolid1!$G$2:$G1534,MATCH(A609,consolid1!$B$2:$B1534,0))</f>
        <v>null</v>
      </c>
    </row>
    <row r="610">
      <c r="A610" s="4" t="s">
        <v>1461</v>
      </c>
      <c r="B610" s="3">
        <v>1000.0</v>
      </c>
      <c r="C610" s="3" t="s">
        <v>6</v>
      </c>
      <c r="D610" s="4" t="str">
        <f t="shared" si="1"/>
        <v>AVEC</v>
      </c>
      <c r="E610" s="4" t="str">
        <f t="array" ref="E610">INDEX(consolid1!$I$2:$I$904,MATCH(A610,consolid1!$B$2:$B$904,0))</f>
        <v>#N/A</v>
      </c>
      <c r="F610" s="4" t="str">
        <f t="array" ref="F610">INDEX(consolid1!$G$2:$G1534,MATCH(A610,consolid1!$B$2:$B1534,0))</f>
        <v>#N/A</v>
      </c>
    </row>
    <row r="611">
      <c r="A611" s="4" t="s">
        <v>1550</v>
      </c>
      <c r="B611" s="3">
        <v>1000.0</v>
      </c>
      <c r="C611" s="4"/>
      <c r="D611" s="4" t="str">
        <f t="shared" si="1"/>
        <v>AVEC</v>
      </c>
      <c r="E611" s="4" t="str">
        <f t="array" ref="E611">INDEX(consolid1!$I$2:$I$904,MATCH(A611,consolid1!$B$2:$B$904,0))</f>
        <v>#N/A</v>
      </c>
      <c r="F611" s="4" t="str">
        <f t="array" ref="F611">INDEX(consolid1!$G$2:$G1534,MATCH(A611,consolid1!$B$2:$B1534,0))</f>
        <v>#N/A</v>
      </c>
    </row>
    <row r="612">
      <c r="A612" s="4" t="s">
        <v>1653</v>
      </c>
      <c r="B612" s="3">
        <v>1000.0</v>
      </c>
      <c r="C612" s="4"/>
      <c r="D612" s="4" t="str">
        <f t="shared" si="1"/>
        <v>AVEC</v>
      </c>
      <c r="E612" s="4" t="str">
        <f t="array" ref="E612">INDEX(consolid1!$I$2:$I$904,MATCH(A612,consolid1!$B$2:$B$904,0))</f>
        <v>#N/A</v>
      </c>
      <c r="F612" s="4" t="str">
        <f t="array" ref="F612">INDEX(consolid1!$G$2:$G1534,MATCH(A612,consolid1!$B$2:$B1534,0))</f>
        <v>#N/A</v>
      </c>
    </row>
    <row r="613">
      <c r="A613" s="4" t="s">
        <v>1669</v>
      </c>
      <c r="B613" s="3">
        <v>1000.0</v>
      </c>
      <c r="C613" s="3" t="s">
        <v>32</v>
      </c>
      <c r="D613" s="4" t="str">
        <f t="shared" si="1"/>
        <v>AVEC</v>
      </c>
      <c r="E613" s="4" t="str">
        <f t="array" ref="E613">INDEX(consolid1!$I$2:$I$904,MATCH(A613,consolid1!$B$2:$B$904,0))</f>
        <v>#N/A</v>
      </c>
      <c r="F613" s="4" t="str">
        <f t="array" ref="F613">INDEX(consolid1!$G$2:$G1534,MATCH(A613,consolid1!$B$2:$B1534,0))</f>
        <v>#N/A</v>
      </c>
    </row>
    <row r="614">
      <c r="A614" s="4" t="s">
        <v>1678</v>
      </c>
      <c r="B614" s="3">
        <v>1000.0</v>
      </c>
      <c r="C614" s="3" t="s">
        <v>32</v>
      </c>
      <c r="D614" s="4" t="str">
        <f t="shared" si="1"/>
        <v>AVEC</v>
      </c>
      <c r="E614" s="4" t="str">
        <f t="array" ref="E614">INDEX(consolid1!$I$2:$I$904,MATCH(A614,consolid1!$B$2:$B$904,0))</f>
        <v>Education - Enfance - Jeunesse - Vie étudiante</v>
      </c>
      <c r="F614" s="4" t="str">
        <f t="array" ref="F614">INDEX(consolid1!$G$2:$G1534,MATCH(A614,consolid1!$B$2:$B1534,0))</f>
        <v>null</v>
      </c>
    </row>
    <row r="615">
      <c r="A615" s="4" t="s">
        <v>1702</v>
      </c>
      <c r="B615" s="3">
        <v>1000.0</v>
      </c>
      <c r="C615" s="3" t="s">
        <v>3</v>
      </c>
      <c r="D615" s="4" t="str">
        <f t="shared" si="1"/>
        <v>AVEC</v>
      </c>
      <c r="E615" s="4" t="str">
        <f t="array" ref="E615">INDEX(consolid1!$I$2:$I$904,MATCH(A615,consolid1!$B$2:$B$904,0))</f>
        <v>#N/A</v>
      </c>
      <c r="F615" s="4" t="str">
        <f t="array" ref="F615">INDEX(consolid1!$G$2:$G1534,MATCH(A615,consolid1!$B$2:$B1534,0))</f>
        <v>#N/A</v>
      </c>
    </row>
    <row r="616">
      <c r="A616" s="4" t="s">
        <v>2291</v>
      </c>
      <c r="B616" s="3">
        <v>1000.0</v>
      </c>
      <c r="C616" s="3" t="s">
        <v>668</v>
      </c>
      <c r="D616" s="4" t="str">
        <f t="shared" si="1"/>
        <v>AVEC</v>
      </c>
      <c r="E616" s="4" t="str">
        <f t="array" ref="E616">INDEX(consolid1!$I$2:$I$904,MATCH(A616,consolid1!$B$2:$B$904,0))</f>
        <v>#N/A</v>
      </c>
      <c r="F616" s="4" t="str">
        <f t="array" ref="F616">INDEX(consolid1!$G$2:$G1534,MATCH(A616,consolid1!$B$2:$B1534,0))</f>
        <v>#N/A</v>
      </c>
    </row>
    <row r="617">
      <c r="A617" s="4" t="s">
        <v>1809</v>
      </c>
      <c r="B617" s="3">
        <v>1000.0</v>
      </c>
      <c r="C617" s="4"/>
      <c r="D617" s="4" t="str">
        <f t="shared" si="1"/>
        <v>AVEC</v>
      </c>
      <c r="E617" s="4" t="str">
        <f t="array" ref="E617">INDEX(consolid1!$I$2:$I$904,MATCH(A617,consolid1!$B$2:$B$904,0))</f>
        <v>#N/A</v>
      </c>
      <c r="F617" s="4" t="str">
        <f t="array" ref="F617">INDEX(consolid1!$G$2:$G1534,MATCH(A617,consolid1!$B$2:$B1534,0))</f>
        <v>#N/A</v>
      </c>
    </row>
    <row r="618">
      <c r="A618" s="4" t="s">
        <v>1853</v>
      </c>
      <c r="B618" s="3">
        <v>1000.0</v>
      </c>
      <c r="C618" s="4"/>
      <c r="D618" s="4" t="str">
        <f t="shared" si="1"/>
        <v>AVEC</v>
      </c>
      <c r="E618" s="4" t="str">
        <f t="array" ref="E618">INDEX(consolid1!$I$2:$I$904,MATCH(A618,consolid1!$B$2:$B$904,0))</f>
        <v>#N/A</v>
      </c>
      <c r="F618" s="4" t="str">
        <f t="array" ref="F618">INDEX(consolid1!$G$2:$G1534,MATCH(A618,consolid1!$B$2:$B1534,0))</f>
        <v>#N/A</v>
      </c>
    </row>
    <row r="619">
      <c r="A619" s="4" t="s">
        <v>1899</v>
      </c>
      <c r="B619" s="3">
        <v>1000.0</v>
      </c>
      <c r="C619" s="3" t="s">
        <v>3</v>
      </c>
      <c r="D619" s="4" t="str">
        <f t="shared" si="1"/>
        <v>AVEC</v>
      </c>
      <c r="E619" s="4" t="str">
        <f t="array" ref="E619">INDEX(consolid1!$I$2:$I$904,MATCH(A619,consolid1!$B$2:$B$904,0))</f>
        <v>Culture</v>
      </c>
      <c r="F619" s="4" t="str">
        <f t="array" ref="F619">INDEX(consolid1!$G$2:$G1534,MATCH(A619,consolid1!$B$2:$B1534,0))</f>
        <v>null</v>
      </c>
    </row>
    <row r="620">
      <c r="A620" s="4" t="s">
        <v>1991</v>
      </c>
      <c r="B620" s="3">
        <v>1000.0</v>
      </c>
      <c r="C620" s="4"/>
      <c r="D620" s="4" t="str">
        <f t="shared" si="1"/>
        <v>AVEC</v>
      </c>
      <c r="E620" s="4" t="str">
        <f t="array" ref="E620">INDEX(consolid1!$I$2:$I$904,MATCH(A620,consolid1!$B$2:$B$904,0))</f>
        <v>#N/A</v>
      </c>
      <c r="F620" s="4" t="str">
        <f t="array" ref="F620">INDEX(consolid1!$G$2:$G1534,MATCH(A620,consolid1!$B$2:$B1534,0))</f>
        <v>#N/A</v>
      </c>
    </row>
    <row r="621">
      <c r="A621" s="4" t="s">
        <v>997</v>
      </c>
      <c r="B621" s="3">
        <v>950.0</v>
      </c>
      <c r="C621" s="4"/>
      <c r="D621" s="4" t="str">
        <f t="shared" si="1"/>
        <v>AVEC</v>
      </c>
      <c r="E621" s="4" t="str">
        <f t="array" ref="E621">INDEX(consolid1!$I$2:$I$904,MATCH(A621,consolid1!$B$2:$B$904,0))</f>
        <v>#N/A</v>
      </c>
      <c r="F621" s="4" t="str">
        <f t="array" ref="F621">INDEX(consolid1!$G$2:$G1534,MATCH(A621,consolid1!$B$2:$B1534,0))</f>
        <v>#N/A</v>
      </c>
    </row>
    <row r="622">
      <c r="A622" s="4" t="s">
        <v>2120</v>
      </c>
      <c r="B622" s="3">
        <v>920.0</v>
      </c>
      <c r="C622" s="4"/>
      <c r="D622" s="4" t="str">
        <f t="shared" si="1"/>
        <v>AVEC</v>
      </c>
      <c r="E622" s="4" t="str">
        <f t="array" ref="E622">INDEX(consolid1!$I$2:$I$904,MATCH(A622,consolid1!$B$2:$B$904,0))</f>
        <v>#N/A</v>
      </c>
      <c r="F622" s="4" t="str">
        <f t="array" ref="F622">INDEX(consolid1!$G$2:$G1534,MATCH(A622,consolid1!$B$2:$B1534,0))</f>
        <v>#N/A</v>
      </c>
    </row>
    <row r="623">
      <c r="A623" s="4" t="s">
        <v>705</v>
      </c>
      <c r="B623" s="3">
        <v>900.0</v>
      </c>
      <c r="C623" s="4"/>
      <c r="D623" s="4" t="str">
        <f t="shared" si="1"/>
        <v>AVEC</v>
      </c>
      <c r="E623" s="4" t="str">
        <f t="array" ref="E623">INDEX(consolid1!$I$2:$I$904,MATCH(A623,consolid1!$B$2:$B$904,0))</f>
        <v>#N/A</v>
      </c>
      <c r="F623" s="4" t="str">
        <f t="array" ref="F623">INDEX(consolid1!$G$2:$G1534,MATCH(A623,consolid1!$B$2:$B1534,0))</f>
        <v>#N/A</v>
      </c>
    </row>
    <row r="624">
      <c r="A624" s="4" t="s">
        <v>1467</v>
      </c>
      <c r="B624" s="3">
        <v>900.0</v>
      </c>
      <c r="C624" s="4"/>
      <c r="D624" s="4" t="str">
        <f t="shared" si="1"/>
        <v>AVEC</v>
      </c>
      <c r="E624" s="4" t="str">
        <f t="array" ref="E624">INDEX(consolid1!$I$2:$I$904,MATCH(A624,consolid1!$B$2:$B$904,0))</f>
        <v>Culture</v>
      </c>
      <c r="F624" s="4" t="str">
        <f t="array" ref="F624">INDEX(consolid1!$G$2:$G1534,MATCH(A624,consolid1!$B$2:$B1534,0))</f>
        <v>null</v>
      </c>
    </row>
    <row r="625">
      <c r="A625" s="4" t="s">
        <v>1746</v>
      </c>
      <c r="B625" s="3">
        <v>900.0</v>
      </c>
      <c r="C625" s="4"/>
      <c r="D625" s="4" t="str">
        <f t="shared" si="1"/>
        <v>AVEC</v>
      </c>
      <c r="E625" s="4" t="str">
        <f t="array" ref="E625">INDEX(consolid1!$I$2:$I$904,MATCH(A625,consolid1!$B$2:$B$904,0))</f>
        <v>#N/A</v>
      </c>
      <c r="F625" s="4" t="str">
        <f t="array" ref="F625">INDEX(consolid1!$G$2:$G1534,MATCH(A625,consolid1!$B$2:$B1534,0))</f>
        <v>#N/A</v>
      </c>
    </row>
    <row r="626">
      <c r="A626" s="4" t="s">
        <v>2323</v>
      </c>
      <c r="B626" s="3">
        <v>900.0</v>
      </c>
      <c r="C626" s="3" t="s">
        <v>3</v>
      </c>
      <c r="D626" s="4" t="str">
        <f t="shared" si="1"/>
        <v>AVEC</v>
      </c>
      <c r="E626" s="4" t="str">
        <f t="array" ref="E626">INDEX(consolid1!$I$2:$I$904,MATCH(A626,consolid1!$B$2:$B$904,0))</f>
        <v>#N/A</v>
      </c>
      <c r="F626" s="4" t="str">
        <f t="array" ref="F626">INDEX(consolid1!$G$2:$G1534,MATCH(A626,consolid1!$B$2:$B1534,0))</f>
        <v>#N/A</v>
      </c>
    </row>
    <row r="627">
      <c r="A627" s="4" t="s">
        <v>1643</v>
      </c>
      <c r="B627" s="3">
        <v>865.0</v>
      </c>
      <c r="C627" s="4"/>
      <c r="D627" s="4" t="str">
        <f t="shared" si="1"/>
        <v>AVEC</v>
      </c>
      <c r="E627" s="4" t="str">
        <f t="array" ref="E627">INDEX(consolid1!$I$2:$I$904,MATCH(A627,consolid1!$B$2:$B$904,0))</f>
        <v>#N/A</v>
      </c>
      <c r="F627" s="4" t="str">
        <f t="array" ref="F627">INDEX(consolid1!$G$2:$G1534,MATCH(A627,consolid1!$B$2:$B1534,0))</f>
        <v>#N/A</v>
      </c>
    </row>
    <row r="628">
      <c r="A628" s="4" t="s">
        <v>405</v>
      </c>
      <c r="B628" s="3">
        <v>800.0</v>
      </c>
      <c r="C628" s="4"/>
      <c r="D628" s="4" t="str">
        <f t="shared" si="1"/>
        <v>AVEC</v>
      </c>
      <c r="E628" s="4" t="str">
        <f t="array" ref="E628">INDEX(consolid1!$I$2:$I$904,MATCH(A628,consolid1!$B$2:$B$904,0))</f>
        <v>#N/A</v>
      </c>
      <c r="F628" s="4" t="str">
        <f t="array" ref="F628">INDEX(consolid1!$G$2:$G1534,MATCH(A628,consolid1!$B$2:$B1534,0))</f>
        <v>#N/A</v>
      </c>
    </row>
    <row r="629">
      <c r="A629" s="4" t="s">
        <v>450</v>
      </c>
      <c r="B629" s="3">
        <v>800.0</v>
      </c>
      <c r="C629" s="3" t="s">
        <v>6</v>
      </c>
      <c r="D629" s="4" t="str">
        <f t="shared" si="1"/>
        <v>AVEC</v>
      </c>
      <c r="E629" s="4" t="str">
        <f t="array" ref="E629">INDEX(consolid1!$I$2:$I$904,MATCH(A629,consolid1!$B$2:$B$904,0))</f>
        <v>#N/A</v>
      </c>
      <c r="F629" s="4" t="str">
        <f t="array" ref="F629">INDEX(consolid1!$G$2:$G1534,MATCH(A629,consolid1!$B$2:$B1534,0))</f>
        <v>#N/A</v>
      </c>
    </row>
    <row r="630">
      <c r="A630" s="4" t="s">
        <v>540</v>
      </c>
      <c r="B630" s="3">
        <v>800.0</v>
      </c>
      <c r="C630" s="4"/>
      <c r="D630" s="4" t="str">
        <f t="shared" si="1"/>
        <v>AVEC</v>
      </c>
      <c r="E630" s="4" t="str">
        <f t="array" ref="E630">INDEX(consolid1!$I$2:$I$904,MATCH(A630,consolid1!$B$2:$B$904,0))</f>
        <v>#N/A</v>
      </c>
      <c r="F630" s="4" t="str">
        <f t="array" ref="F630">INDEX(consolid1!$G$2:$G1534,MATCH(A630,consolid1!$B$2:$B1534,0))</f>
        <v>#N/A</v>
      </c>
    </row>
    <row r="631">
      <c r="A631" s="4" t="s">
        <v>689</v>
      </c>
      <c r="B631" s="3">
        <v>800.0</v>
      </c>
      <c r="C631" s="3" t="s">
        <v>32</v>
      </c>
      <c r="D631" s="4" t="str">
        <f t="shared" si="1"/>
        <v>AVEC</v>
      </c>
      <c r="E631" s="4" t="str">
        <f t="array" ref="E631">INDEX(consolid1!$I$2:$I$904,MATCH(A631,consolid1!$B$2:$B$904,0))</f>
        <v>#N/A</v>
      </c>
      <c r="F631" s="4" t="str">
        <f t="array" ref="F631">INDEX(consolid1!$G$2:$G1534,MATCH(A631,consolid1!$B$2:$B1534,0))</f>
        <v>#N/A</v>
      </c>
    </row>
    <row r="632">
      <c r="A632" s="4" t="s">
        <v>778</v>
      </c>
      <c r="B632" s="3">
        <v>800.0</v>
      </c>
      <c r="C632" s="3" t="s">
        <v>32</v>
      </c>
      <c r="D632" s="4" t="str">
        <f t="shared" si="1"/>
        <v>AVEC</v>
      </c>
      <c r="E632" s="4" t="str">
        <f t="array" ref="E632">INDEX(consolid1!$I$2:$I$904,MATCH(A632,consolid1!$B$2:$B$904,0))</f>
        <v>Culture</v>
      </c>
      <c r="F632" s="4" t="str">
        <f t="array" ref="F632">INDEX(consolid1!$G$2:$G1534,MATCH(A632,consolid1!$B$2:$B1534,0))</f>
        <v>null</v>
      </c>
    </row>
    <row r="633">
      <c r="A633" s="4" t="s">
        <v>779</v>
      </c>
      <c r="B633" s="3">
        <v>800.0</v>
      </c>
      <c r="C633" s="4"/>
      <c r="D633" s="4" t="str">
        <f t="shared" si="1"/>
        <v>AVEC</v>
      </c>
      <c r="E633" s="4" t="str">
        <f t="array" ref="E633">INDEX(consolid1!$I$2:$I$904,MATCH(A633,consolid1!$B$2:$B$904,0))</f>
        <v>#N/A</v>
      </c>
      <c r="F633" s="4" t="str">
        <f t="array" ref="F633">INDEX(consolid1!$G$2:$G1534,MATCH(A633,consolid1!$B$2:$B1534,0))</f>
        <v>#N/A</v>
      </c>
    </row>
    <row r="634">
      <c r="A634" s="4" t="s">
        <v>2211</v>
      </c>
      <c r="B634" s="3">
        <v>800.0</v>
      </c>
      <c r="C634" s="3" t="s">
        <v>3</v>
      </c>
      <c r="D634" s="4" t="str">
        <f t="shared" si="1"/>
        <v>AVEC</v>
      </c>
      <c r="E634" s="4" t="str">
        <f t="array" ref="E634">INDEX(consolid1!$I$2:$I$904,MATCH(A634,consolid1!$B$2:$B$904,0))</f>
        <v>#N/A</v>
      </c>
      <c r="F634" s="4" t="str">
        <f t="array" ref="F634">INDEX(consolid1!$G$2:$G1534,MATCH(A634,consolid1!$B$2:$B1534,0))</f>
        <v>#N/A</v>
      </c>
    </row>
    <row r="635">
      <c r="A635" s="4" t="s">
        <v>2213</v>
      </c>
      <c r="B635" s="3">
        <v>800.0</v>
      </c>
      <c r="C635" s="4"/>
      <c r="D635" s="4" t="str">
        <f t="shared" si="1"/>
        <v>AVEC</v>
      </c>
      <c r="E635" s="4" t="str">
        <f t="array" ref="E635">INDEX(consolid1!$I$2:$I$904,MATCH(A635,consolid1!$B$2:$B$904,0))</f>
        <v>#N/A</v>
      </c>
      <c r="F635" s="4" t="str">
        <f t="array" ref="F635">INDEX(consolid1!$G$2:$G1534,MATCH(A635,consolid1!$B$2:$B1534,0))</f>
        <v>#N/A</v>
      </c>
    </row>
    <row r="636">
      <c r="A636" s="4" t="s">
        <v>2257</v>
      </c>
      <c r="B636" s="3">
        <v>800.0</v>
      </c>
      <c r="C636" s="4"/>
      <c r="D636" s="4" t="str">
        <f t="shared" si="1"/>
        <v>AVEC</v>
      </c>
      <c r="E636" s="4" t="str">
        <f t="array" ref="E636">INDEX(consolid1!$I$2:$I$904,MATCH(A636,consolid1!$B$2:$B$904,0))</f>
        <v>#N/A</v>
      </c>
      <c r="F636" s="4" t="str">
        <f t="array" ref="F636">INDEX(consolid1!$G$2:$G1534,MATCH(A636,consolid1!$B$2:$B1534,0))</f>
        <v>#N/A</v>
      </c>
    </row>
    <row r="637">
      <c r="A637" s="4" t="s">
        <v>1269</v>
      </c>
      <c r="B637" s="3">
        <v>800.0</v>
      </c>
      <c r="C637" s="4"/>
      <c r="D637" s="4" t="str">
        <f t="shared" si="1"/>
        <v>AVEC</v>
      </c>
      <c r="E637" s="4" t="str">
        <f t="array" ref="E637">INDEX(consolid1!$I$2:$I$904,MATCH(A637,consolid1!$B$2:$B$904,0))</f>
        <v>#N/A</v>
      </c>
      <c r="F637" s="4" t="str">
        <f t="array" ref="F637">INDEX(consolid1!$G$2:$G1534,MATCH(A637,consolid1!$B$2:$B1534,0))</f>
        <v>#N/A</v>
      </c>
    </row>
    <row r="638">
      <c r="A638" s="4" t="s">
        <v>1385</v>
      </c>
      <c r="B638" s="3">
        <v>800.0</v>
      </c>
      <c r="C638" s="3" t="s">
        <v>3</v>
      </c>
      <c r="D638" s="4" t="str">
        <f t="shared" si="1"/>
        <v>AVEC</v>
      </c>
      <c r="E638" s="4" t="str">
        <f t="array" ref="E638">INDEX(consolid1!$I$2:$I$904,MATCH(A638,consolid1!$B$2:$B$904,0))</f>
        <v>#N/A</v>
      </c>
      <c r="F638" s="4" t="str">
        <f t="array" ref="F638">INDEX(consolid1!$G$2:$G1534,MATCH(A638,consolid1!$B$2:$B1534,0))</f>
        <v>#N/A</v>
      </c>
    </row>
    <row r="639">
      <c r="A639" s="4" t="s">
        <v>1411</v>
      </c>
      <c r="B639" s="3">
        <v>800.0</v>
      </c>
      <c r="C639" s="3" t="s">
        <v>3</v>
      </c>
      <c r="D639" s="4" t="str">
        <f t="shared" si="1"/>
        <v>AVEC</v>
      </c>
      <c r="E639" s="4" t="str">
        <f t="array" ref="E639">INDEX(consolid1!$I$2:$I$904,MATCH(A639,consolid1!$B$2:$B$904,0))</f>
        <v>#N/A</v>
      </c>
      <c r="F639" s="4" t="str">
        <f t="array" ref="F639">INDEX(consolid1!$G$2:$G1534,MATCH(A639,consolid1!$B$2:$B1534,0))</f>
        <v>#N/A</v>
      </c>
    </row>
    <row r="640">
      <c r="A640" s="4" t="s">
        <v>1412</v>
      </c>
      <c r="B640" s="3">
        <v>800.0</v>
      </c>
      <c r="C640" s="4"/>
      <c r="D640" s="4" t="str">
        <f t="shared" si="1"/>
        <v>AVEC</v>
      </c>
      <c r="E640" s="4" t="str">
        <f t="array" ref="E640">INDEX(consolid1!$I$2:$I$904,MATCH(A640,consolid1!$B$2:$B$904,0))</f>
        <v>#N/A</v>
      </c>
      <c r="F640" s="4" t="str">
        <f t="array" ref="F640">INDEX(consolid1!$G$2:$G1534,MATCH(A640,consolid1!$B$2:$B1534,0))</f>
        <v>#N/A</v>
      </c>
    </row>
    <row r="641">
      <c r="A641" s="4" t="s">
        <v>1457</v>
      </c>
      <c r="B641" s="3">
        <v>800.0</v>
      </c>
      <c r="C641" s="4"/>
      <c r="D641" s="4" t="str">
        <f t="shared" si="1"/>
        <v>AVEC</v>
      </c>
      <c r="E641" s="4" t="str">
        <f t="array" ref="E641">INDEX(consolid1!$I$2:$I$904,MATCH(A641,consolid1!$B$2:$B$904,0))</f>
        <v>#N/A</v>
      </c>
      <c r="F641" s="4" t="str">
        <f t="array" ref="F641">INDEX(consolid1!$G$2:$G1534,MATCH(A641,consolid1!$B$2:$B1534,0))</f>
        <v>#N/A</v>
      </c>
    </row>
    <row r="642">
      <c r="A642" s="4" t="s">
        <v>1479</v>
      </c>
      <c r="B642" s="3">
        <v>800.0</v>
      </c>
      <c r="C642" s="4"/>
      <c r="D642" s="4" t="str">
        <f t="shared" si="1"/>
        <v>AVEC</v>
      </c>
      <c r="E642" s="4" t="str">
        <f t="array" ref="E642">INDEX(consolid1!$I$2:$I$904,MATCH(A642,consolid1!$B$2:$B$904,0))</f>
        <v>#N/A</v>
      </c>
      <c r="F642" s="4" t="str">
        <f t="array" ref="F642">INDEX(consolid1!$G$2:$G1534,MATCH(A642,consolid1!$B$2:$B1534,0))</f>
        <v>#N/A</v>
      </c>
    </row>
    <row r="643">
      <c r="A643" s="4" t="s">
        <v>1602</v>
      </c>
      <c r="B643" s="3">
        <v>800.0</v>
      </c>
      <c r="C643" s="4"/>
      <c r="D643" s="4" t="str">
        <f t="shared" si="1"/>
        <v>AVEC</v>
      </c>
      <c r="E643" s="4" t="str">
        <f t="array" ref="E643">INDEX(consolid1!$I$2:$I$904,MATCH(A643,consolid1!$B$2:$B$904,0))</f>
        <v>#N/A</v>
      </c>
      <c r="F643" s="4" t="str">
        <f t="array" ref="F643">INDEX(consolid1!$G$2:$G1534,MATCH(A643,consolid1!$B$2:$B1534,0))</f>
        <v>#N/A</v>
      </c>
    </row>
    <row r="644">
      <c r="A644" s="4" t="s">
        <v>2285</v>
      </c>
      <c r="B644" s="3">
        <v>800.0</v>
      </c>
      <c r="C644" s="3" t="s">
        <v>3</v>
      </c>
      <c r="D644" s="4" t="str">
        <f t="shared" si="1"/>
        <v>AVEC</v>
      </c>
      <c r="E644" s="4" t="str">
        <f t="array" ref="E644">INDEX(consolid1!$I$2:$I$904,MATCH(A644,consolid1!$B$2:$B$904,0))</f>
        <v>#N/A</v>
      </c>
      <c r="F644" s="4" t="str">
        <f t="array" ref="F644">INDEX(consolid1!$G$2:$G1534,MATCH(A644,consolid1!$B$2:$B1534,0))</f>
        <v>#N/A</v>
      </c>
    </row>
    <row r="645">
      <c r="A645" s="4" t="s">
        <v>1696</v>
      </c>
      <c r="B645" s="3">
        <v>800.0</v>
      </c>
      <c r="C645" s="4"/>
      <c r="D645" s="4" t="str">
        <f t="shared" si="1"/>
        <v>AVEC</v>
      </c>
      <c r="E645" s="4" t="str">
        <f t="array" ref="E645">INDEX(consolid1!$I$2:$I$904,MATCH(A645,consolid1!$B$2:$B$904,0))</f>
        <v>#N/A</v>
      </c>
      <c r="F645" s="4" t="str">
        <f t="array" ref="F645">INDEX(consolid1!$G$2:$G1534,MATCH(A645,consolid1!$B$2:$B1534,0))</f>
        <v>#N/A</v>
      </c>
    </row>
    <row r="646">
      <c r="A646" s="4" t="s">
        <v>1777</v>
      </c>
      <c r="B646" s="3">
        <v>800.0</v>
      </c>
      <c r="C646" s="3" t="s">
        <v>29</v>
      </c>
      <c r="D646" s="4" t="str">
        <f t="shared" si="1"/>
        <v>AVEC</v>
      </c>
      <c r="E646" s="4" t="str">
        <f t="array" ref="E646">INDEX(consolid1!$I$2:$I$904,MATCH(A646,consolid1!$B$2:$B$904,0))</f>
        <v>#N/A</v>
      </c>
      <c r="F646" s="4" t="str">
        <f t="array" ref="F646">INDEX(consolid1!$G$2:$G1534,MATCH(A646,consolid1!$B$2:$B1534,0))</f>
        <v>#N/A</v>
      </c>
    </row>
    <row r="647">
      <c r="A647" s="4" t="s">
        <v>2008</v>
      </c>
      <c r="B647" s="3">
        <v>800.0</v>
      </c>
      <c r="C647" s="3" t="s">
        <v>32</v>
      </c>
      <c r="D647" s="4" t="str">
        <f t="shared" si="1"/>
        <v>AVEC</v>
      </c>
      <c r="E647" s="4" t="str">
        <f t="array" ref="E647">INDEX(consolid1!$I$2:$I$904,MATCH(A647,consolid1!$B$2:$B$904,0))</f>
        <v>#N/A</v>
      </c>
      <c r="F647" s="4" t="str">
        <f t="array" ref="F647">INDEX(consolid1!$G$2:$G1534,MATCH(A647,consolid1!$B$2:$B1534,0))</f>
        <v>#N/A</v>
      </c>
    </row>
    <row r="648">
      <c r="A648" s="4" t="s">
        <v>134</v>
      </c>
      <c r="B648" s="3">
        <v>750.0</v>
      </c>
      <c r="C648" s="3" t="s">
        <v>3</v>
      </c>
      <c r="D648" s="4" t="str">
        <f t="shared" si="1"/>
        <v>AVEC</v>
      </c>
      <c r="E648" s="4" t="str">
        <f t="array" ref="E648">INDEX(consolid1!$I$2:$I$904,MATCH(A648,consolid1!$B$2:$B$904,0))</f>
        <v>Vivre ensemble, vie quotidienne</v>
      </c>
      <c r="F648" s="4" t="str">
        <f t="array" ref="F648">INDEX(consolid1!$G$2:$G1534,MATCH(A648,consolid1!$B$2:$B1534,0))</f>
        <v>ROSE BAYANG KOUMIGNE</v>
      </c>
    </row>
    <row r="649">
      <c r="A649" s="4" t="s">
        <v>2181</v>
      </c>
      <c r="B649" s="3">
        <v>750.0</v>
      </c>
      <c r="C649" s="4"/>
      <c r="D649" s="4" t="str">
        <f t="shared" si="1"/>
        <v>AVEC</v>
      </c>
      <c r="E649" s="4" t="str">
        <f t="array" ref="E649">INDEX(consolid1!$I$2:$I$904,MATCH(A649,consolid1!$B$2:$B$904,0))</f>
        <v>#N/A</v>
      </c>
      <c r="F649" s="4" t="str">
        <f t="array" ref="F649">INDEX(consolid1!$G$2:$G1534,MATCH(A649,consolid1!$B$2:$B1534,0))</f>
        <v>#N/A</v>
      </c>
    </row>
    <row r="650">
      <c r="A650" s="4" t="s">
        <v>2218</v>
      </c>
      <c r="B650" s="3">
        <v>750.0</v>
      </c>
      <c r="C650" s="3" t="s">
        <v>6</v>
      </c>
      <c r="D650" s="4" t="str">
        <f t="shared" si="1"/>
        <v>AVEC</v>
      </c>
      <c r="E650" s="4" t="str">
        <f t="array" ref="E650">INDEX(consolid1!$I$2:$I$904,MATCH(A650,consolid1!$B$2:$B$904,0))</f>
        <v>#N/A</v>
      </c>
      <c r="F650" s="4" t="str">
        <f t="array" ref="F650">INDEX(consolid1!$G$2:$G1534,MATCH(A650,consolid1!$B$2:$B1534,0))</f>
        <v>#N/A</v>
      </c>
    </row>
    <row r="651">
      <c r="A651" s="4" t="s">
        <v>2221</v>
      </c>
      <c r="B651" s="3">
        <v>750.0</v>
      </c>
      <c r="C651" s="4"/>
      <c r="D651" s="4" t="str">
        <f t="shared" si="1"/>
        <v>AVEC</v>
      </c>
      <c r="E651" s="4" t="str">
        <f t="array" ref="E651">INDEX(consolid1!$I$2:$I$904,MATCH(A651,consolid1!$B$2:$B$904,0))</f>
        <v>#N/A</v>
      </c>
      <c r="F651" s="4" t="str">
        <f t="array" ref="F651">INDEX(consolid1!$G$2:$G1534,MATCH(A651,consolid1!$B$2:$B1534,0))</f>
        <v>#N/A</v>
      </c>
    </row>
    <row r="652">
      <c r="A652" s="4" t="s">
        <v>1106</v>
      </c>
      <c r="B652" s="3">
        <v>750.0</v>
      </c>
      <c r="C652" s="3" t="s">
        <v>3</v>
      </c>
      <c r="D652" s="4" t="str">
        <f t="shared" si="1"/>
        <v>AVEC</v>
      </c>
      <c r="E652" s="4" t="str">
        <f t="array" ref="E652">INDEX(consolid1!$I$2:$I$904,MATCH(A652,consolid1!$B$2:$B$904,0))</f>
        <v>#N/A</v>
      </c>
      <c r="F652" s="4" t="str">
        <f t="array" ref="F652">INDEX(consolid1!$G$2:$G1534,MATCH(A652,consolid1!$B$2:$B1534,0))</f>
        <v>#N/A</v>
      </c>
    </row>
    <row r="653">
      <c r="A653" s="4" t="s">
        <v>1516</v>
      </c>
      <c r="B653" s="3">
        <v>741.0</v>
      </c>
      <c r="C653" s="4"/>
      <c r="D653" s="4" t="str">
        <f t="shared" si="1"/>
        <v>AVEC</v>
      </c>
      <c r="E653" s="4" t="str">
        <f t="array" ref="E653">INDEX(consolid1!$I$2:$I$904,MATCH(A653,consolid1!$B$2:$B$904,0))</f>
        <v>#N/A</v>
      </c>
      <c r="F653" s="4" t="str">
        <f t="array" ref="F653">INDEX(consolid1!$G$2:$G1534,MATCH(A653,consolid1!$B$2:$B1534,0))</f>
        <v>#N/A</v>
      </c>
    </row>
    <row r="654">
      <c r="A654" s="4" t="s">
        <v>2185</v>
      </c>
      <c r="B654" s="3">
        <v>700.0</v>
      </c>
      <c r="C654" s="4"/>
      <c r="D654" s="4" t="str">
        <f t="shared" si="1"/>
        <v>AVEC</v>
      </c>
      <c r="E654" s="4" t="str">
        <f t="array" ref="E654">INDEX(consolid1!$I$2:$I$904,MATCH(A654,consolid1!$B$2:$B$904,0))</f>
        <v>#N/A</v>
      </c>
      <c r="F654" s="4" t="str">
        <f t="array" ref="F654">INDEX(consolid1!$G$2:$G1534,MATCH(A654,consolid1!$B$2:$B1534,0))</f>
        <v>#N/A</v>
      </c>
    </row>
    <row r="655">
      <c r="A655" s="4" t="s">
        <v>979</v>
      </c>
      <c r="B655" s="3">
        <v>700.0</v>
      </c>
      <c r="C655" s="3" t="s">
        <v>3</v>
      </c>
      <c r="D655" s="4" t="str">
        <f t="shared" si="1"/>
        <v>AVEC</v>
      </c>
      <c r="E655" s="4" t="str">
        <f t="array" ref="E655">INDEX(consolid1!$I$2:$I$904,MATCH(A655,consolid1!$B$2:$B$904,0))</f>
        <v>Culture</v>
      </c>
      <c r="F655" s="4" t="str">
        <f t="array" ref="F655">INDEX(consolid1!$G$2:$G1534,MATCH(A655,consolid1!$B$2:$B1534,0))</f>
        <v>null</v>
      </c>
    </row>
    <row r="656">
      <c r="A656" s="4" t="s">
        <v>1085</v>
      </c>
      <c r="B656" s="3">
        <v>700.0</v>
      </c>
      <c r="C656" s="4"/>
      <c r="D656" s="4" t="str">
        <f t="shared" si="1"/>
        <v>AVEC</v>
      </c>
      <c r="E656" s="4" t="str">
        <f t="array" ref="E656">INDEX(consolid1!$I$2:$I$904,MATCH(A656,consolid1!$B$2:$B$904,0))</f>
        <v>#N/A</v>
      </c>
      <c r="F656" s="4" t="str">
        <f t="array" ref="F656">INDEX(consolid1!$G$2:$G1534,MATCH(A656,consolid1!$B$2:$B1534,0))</f>
        <v>#N/A</v>
      </c>
    </row>
    <row r="657">
      <c r="A657" s="4" t="s">
        <v>1272</v>
      </c>
      <c r="B657" s="3">
        <v>700.0</v>
      </c>
      <c r="C657" s="3" t="s">
        <v>3</v>
      </c>
      <c r="D657" s="4" t="str">
        <f t="shared" si="1"/>
        <v>AVEC</v>
      </c>
      <c r="E657" s="4" t="str">
        <f t="array" ref="E657">INDEX(consolid1!$I$2:$I$904,MATCH(A657,consolid1!$B$2:$B$904,0))</f>
        <v>#N/A</v>
      </c>
      <c r="F657" s="4" t="str">
        <f t="array" ref="F657">INDEX(consolid1!$G$2:$G1534,MATCH(A657,consolid1!$B$2:$B1534,0))</f>
        <v>#N/A</v>
      </c>
    </row>
    <row r="658">
      <c r="A658" s="4" t="s">
        <v>1689</v>
      </c>
      <c r="B658" s="3">
        <v>700.0</v>
      </c>
      <c r="C658" s="4"/>
      <c r="D658" s="4" t="str">
        <f t="shared" si="1"/>
        <v>AVEC</v>
      </c>
      <c r="E658" s="4" t="str">
        <f t="array" ref="E658">INDEX(consolid1!$I$2:$I$904,MATCH(A658,consolid1!$B$2:$B$904,0))</f>
        <v>#N/A</v>
      </c>
      <c r="F658" s="4" t="str">
        <f t="array" ref="F658">INDEX(consolid1!$G$2:$G1534,MATCH(A658,consolid1!$B$2:$B1534,0))</f>
        <v>#N/A</v>
      </c>
    </row>
    <row r="659">
      <c r="A659" s="4" t="s">
        <v>2322</v>
      </c>
      <c r="B659" s="3">
        <v>700.0</v>
      </c>
      <c r="C659" s="3" t="s">
        <v>3</v>
      </c>
      <c r="D659" s="4" t="str">
        <f t="shared" si="1"/>
        <v>AVEC</v>
      </c>
      <c r="E659" s="4" t="str">
        <f t="array" ref="E659">INDEX(consolid1!$I$2:$I$904,MATCH(A659,consolid1!$B$2:$B$904,0))</f>
        <v>#N/A</v>
      </c>
      <c r="F659" s="4" t="str">
        <f t="array" ref="F659">INDEX(consolid1!$G$2:$G1534,MATCH(A659,consolid1!$B$2:$B1534,0))</f>
        <v>#N/A</v>
      </c>
    </row>
    <row r="660">
      <c r="A660" s="4" t="s">
        <v>1778</v>
      </c>
      <c r="B660" s="3">
        <v>650.0</v>
      </c>
      <c r="C660" s="4"/>
      <c r="D660" s="4" t="str">
        <f t="shared" si="1"/>
        <v>AVEC</v>
      </c>
      <c r="E660" s="4" t="str">
        <f t="array" ref="E660">INDEX(consolid1!$I$2:$I$904,MATCH(A660,consolid1!$B$2:$B$904,0))</f>
        <v>#N/A</v>
      </c>
      <c r="F660" s="4" t="str">
        <f t="array" ref="F660">INDEX(consolid1!$G$2:$G1534,MATCH(A660,consolid1!$B$2:$B1534,0))</f>
        <v>#N/A</v>
      </c>
    </row>
    <row r="661">
      <c r="A661" s="4" t="s">
        <v>2110</v>
      </c>
      <c r="B661" s="3">
        <v>600.0</v>
      </c>
      <c r="C661" s="4"/>
      <c r="D661" s="4" t="str">
        <f t="shared" si="1"/>
        <v>AVEC</v>
      </c>
      <c r="E661" s="4" t="str">
        <f t="array" ref="E661">INDEX(consolid1!$I$2:$I$904,MATCH(A661,consolid1!$B$2:$B$904,0))</f>
        <v>#N/A</v>
      </c>
      <c r="F661" s="4" t="str">
        <f t="array" ref="F661">INDEX(consolid1!$G$2:$G1534,MATCH(A661,consolid1!$B$2:$B1534,0))</f>
        <v>#N/A</v>
      </c>
    </row>
    <row r="662">
      <c r="A662" s="4" t="s">
        <v>665</v>
      </c>
      <c r="B662" s="3">
        <v>600.0</v>
      </c>
      <c r="C662" s="3" t="s">
        <v>6</v>
      </c>
      <c r="D662" s="4" t="str">
        <f t="shared" si="1"/>
        <v>AVEC</v>
      </c>
      <c r="E662" s="4" t="str">
        <f t="array" ref="E662">INDEX(consolid1!$I$2:$I$904,MATCH(A662,consolid1!$B$2:$B$904,0))</f>
        <v>#N/A</v>
      </c>
      <c r="F662" s="4" t="str">
        <f t="array" ref="F662">INDEX(consolid1!$G$2:$G1534,MATCH(A662,consolid1!$B$2:$B1534,0))</f>
        <v>#N/A</v>
      </c>
    </row>
    <row r="663">
      <c r="A663" s="4" t="s">
        <v>1345</v>
      </c>
      <c r="B663" s="3">
        <v>600.0</v>
      </c>
      <c r="C663" s="4"/>
      <c r="D663" s="4" t="str">
        <f t="shared" si="1"/>
        <v>AVEC</v>
      </c>
      <c r="E663" s="4" t="str">
        <f t="array" ref="E663">INDEX(consolid1!$I$2:$I$904,MATCH(A663,consolid1!$B$2:$B$904,0))</f>
        <v>#N/A</v>
      </c>
      <c r="F663" s="4" t="str">
        <f t="array" ref="F663">INDEX(consolid1!$G$2:$G1534,MATCH(A663,consolid1!$B$2:$B1534,0))</f>
        <v>#N/A</v>
      </c>
    </row>
    <row r="664">
      <c r="A664" s="4" t="s">
        <v>1659</v>
      </c>
      <c r="B664" s="3">
        <v>600.0</v>
      </c>
      <c r="C664" s="4"/>
      <c r="D664" s="4" t="str">
        <f t="shared" si="1"/>
        <v>AVEC</v>
      </c>
      <c r="E664" s="4" t="str">
        <f t="array" ref="E664">INDEX(consolid1!$I$2:$I$904,MATCH(A664,consolid1!$B$2:$B$904,0))</f>
        <v>#N/A</v>
      </c>
      <c r="F664" s="4" t="str">
        <f t="array" ref="F664">INDEX(consolid1!$G$2:$G1534,MATCH(A664,consolid1!$B$2:$B1534,0))</f>
        <v>#N/A</v>
      </c>
    </row>
    <row r="665">
      <c r="A665" s="4" t="s">
        <v>1663</v>
      </c>
      <c r="B665" s="3">
        <v>600.0</v>
      </c>
      <c r="C665" s="4"/>
      <c r="D665" s="4" t="str">
        <f t="shared" si="1"/>
        <v>AVEC</v>
      </c>
      <c r="E665" s="4" t="str">
        <f t="array" ref="E665">INDEX(consolid1!$I$2:$I$904,MATCH(A665,consolid1!$B$2:$B$904,0))</f>
        <v>#N/A</v>
      </c>
      <c r="F665" s="4" t="str">
        <f t="array" ref="F665">INDEX(consolid1!$G$2:$G1534,MATCH(A665,consolid1!$B$2:$B1534,0))</f>
        <v>#N/A</v>
      </c>
    </row>
    <row r="666">
      <c r="A666" s="4" t="s">
        <v>1765</v>
      </c>
      <c r="B666" s="3">
        <v>600.0</v>
      </c>
      <c r="C666" s="3" t="s">
        <v>32</v>
      </c>
      <c r="D666" s="4" t="str">
        <f t="shared" si="1"/>
        <v>AVEC</v>
      </c>
      <c r="E666" s="4" t="str">
        <f t="array" ref="E666">INDEX(consolid1!$I$2:$I$904,MATCH(A666,consolid1!$B$2:$B$904,0))</f>
        <v>#N/A</v>
      </c>
      <c r="F666" s="4" t="str">
        <f t="array" ref="F666">INDEX(consolid1!$G$2:$G1534,MATCH(A666,consolid1!$B$2:$B1534,0))</f>
        <v>#N/A</v>
      </c>
    </row>
    <row r="667">
      <c r="A667" s="4" t="s">
        <v>2080</v>
      </c>
      <c r="B667" s="3">
        <v>571.0</v>
      </c>
      <c r="C667" s="4"/>
      <c r="D667" s="4" t="str">
        <f t="shared" si="1"/>
        <v>AVEC</v>
      </c>
      <c r="E667" s="4" t="str">
        <f t="array" ref="E667">INDEX(consolid1!$I$2:$I$904,MATCH(A667,consolid1!$B$2:$B$904,0))</f>
        <v>#N/A</v>
      </c>
      <c r="F667" s="4" t="str">
        <f t="array" ref="F667">INDEX(consolid1!$G$2:$G1534,MATCH(A667,consolid1!$B$2:$B1534,0))</f>
        <v>#N/A</v>
      </c>
    </row>
    <row r="668">
      <c r="A668" s="4" t="s">
        <v>17</v>
      </c>
      <c r="B668" s="3">
        <v>500.0</v>
      </c>
      <c r="C668" s="4"/>
      <c r="D668" s="4" t="str">
        <f t="shared" si="1"/>
        <v>AVEC</v>
      </c>
      <c r="E668" s="4" t="str">
        <f t="array" ref="E668">INDEX(consolid1!$I$2:$I$904,MATCH(A668,consolid1!$B$2:$B$904,0))</f>
        <v>#N/A</v>
      </c>
      <c r="F668" s="4" t="str">
        <f t="array" ref="F668">INDEX(consolid1!$G$2:$G1534,MATCH(A668,consolid1!$B$2:$B1534,0))</f>
        <v>#N/A</v>
      </c>
    </row>
    <row r="669">
      <c r="A669" s="4" t="s">
        <v>62</v>
      </c>
      <c r="B669" s="3">
        <v>500.0</v>
      </c>
      <c r="C669" s="4"/>
      <c r="D669" s="4" t="str">
        <f t="shared" si="1"/>
        <v>AVEC</v>
      </c>
      <c r="E669" s="4" t="str">
        <f t="array" ref="E669">INDEX(consolid1!$I$2:$I$904,MATCH(A669,consolid1!$B$2:$B$904,0))</f>
        <v>#N/A</v>
      </c>
      <c r="F669" s="4" t="str">
        <f t="array" ref="F669">INDEX(consolid1!$G$2:$G1534,MATCH(A669,consolid1!$B$2:$B1534,0))</f>
        <v>#N/A</v>
      </c>
    </row>
    <row r="670">
      <c r="A670" s="4" t="s">
        <v>2077</v>
      </c>
      <c r="B670" s="3">
        <v>500.0</v>
      </c>
      <c r="C670" s="4"/>
      <c r="D670" s="4" t="str">
        <f t="shared" si="1"/>
        <v>AVEC</v>
      </c>
      <c r="E670" s="4" t="str">
        <f t="array" ref="E670">INDEX(consolid1!$I$2:$I$904,MATCH(A670,consolid1!$B$2:$B$904,0))</f>
        <v>#N/A</v>
      </c>
      <c r="F670" s="4" t="str">
        <f t="array" ref="F670">INDEX(consolid1!$G$2:$G1534,MATCH(A670,consolid1!$B$2:$B1534,0))</f>
        <v>#N/A</v>
      </c>
    </row>
    <row r="671">
      <c r="A671" s="4" t="s">
        <v>2079</v>
      </c>
      <c r="B671" s="3">
        <v>500.0</v>
      </c>
      <c r="C671" s="4"/>
      <c r="D671" s="4" t="str">
        <f t="shared" si="1"/>
        <v>AVEC</v>
      </c>
      <c r="E671" s="4" t="str">
        <f t="array" ref="E671">INDEX(consolid1!$I$2:$I$904,MATCH(A671,consolid1!$B$2:$B$904,0))</f>
        <v>#N/A</v>
      </c>
      <c r="F671" s="4" t="str">
        <f t="array" ref="F671">INDEX(consolid1!$G$2:$G1534,MATCH(A671,consolid1!$B$2:$B1534,0))</f>
        <v>#N/A</v>
      </c>
    </row>
    <row r="672">
      <c r="A672" s="4" t="s">
        <v>2081</v>
      </c>
      <c r="B672" s="3">
        <v>500.0</v>
      </c>
      <c r="C672" s="4"/>
      <c r="D672" s="4" t="str">
        <f t="shared" si="1"/>
        <v>AVEC</v>
      </c>
      <c r="E672" s="4" t="str">
        <f t="array" ref="E672">INDEX(consolid1!$I$2:$I$904,MATCH(A672,consolid1!$B$2:$B$904,0))</f>
        <v>#N/A</v>
      </c>
      <c r="F672" s="4" t="str">
        <f t="array" ref="F672">INDEX(consolid1!$G$2:$G1534,MATCH(A672,consolid1!$B$2:$B1534,0))</f>
        <v>#N/A</v>
      </c>
    </row>
    <row r="673">
      <c r="A673" s="4" t="s">
        <v>2137</v>
      </c>
      <c r="B673" s="3">
        <v>500.0</v>
      </c>
      <c r="C673" s="4"/>
      <c r="D673" s="4" t="str">
        <f t="shared" si="1"/>
        <v>AVEC</v>
      </c>
      <c r="E673" s="4" t="str">
        <f t="array" ref="E673">INDEX(consolid1!$I$2:$I$904,MATCH(A673,consolid1!$B$2:$B$904,0))</f>
        <v>#N/A</v>
      </c>
      <c r="F673" s="4" t="str">
        <f t="array" ref="F673">INDEX(consolid1!$G$2:$G1534,MATCH(A673,consolid1!$B$2:$B1534,0))</f>
        <v>#N/A</v>
      </c>
    </row>
    <row r="674">
      <c r="A674" s="4" t="s">
        <v>502</v>
      </c>
      <c r="B674" s="3">
        <v>500.0</v>
      </c>
      <c r="C674" s="3" t="s">
        <v>26</v>
      </c>
      <c r="D674" s="4" t="str">
        <f t="shared" si="1"/>
        <v>AVEC</v>
      </c>
      <c r="E674" s="4" t="str">
        <f t="array" ref="E674">INDEX(consolid1!$I$2:$I$904,MATCH(A674,consolid1!$B$2:$B$904,0))</f>
        <v>#N/A</v>
      </c>
      <c r="F674" s="4" t="str">
        <f t="array" ref="F674">INDEX(consolid1!$G$2:$G1534,MATCH(A674,consolid1!$B$2:$B1534,0))</f>
        <v>#N/A</v>
      </c>
    </row>
    <row r="675">
      <c r="A675" s="4" t="s">
        <v>2179</v>
      </c>
      <c r="B675" s="3">
        <v>500.0</v>
      </c>
      <c r="C675" s="3" t="s">
        <v>3</v>
      </c>
      <c r="D675" s="4" t="str">
        <f t="shared" si="1"/>
        <v>AVEC</v>
      </c>
      <c r="E675" s="4" t="str">
        <f t="array" ref="E675">INDEX(consolid1!$I$2:$I$904,MATCH(A675,consolid1!$B$2:$B$904,0))</f>
        <v>#N/A</v>
      </c>
      <c r="F675" s="4" t="str">
        <f t="array" ref="F675">INDEX(consolid1!$G$2:$G1534,MATCH(A675,consolid1!$B$2:$B1534,0))</f>
        <v>#N/A</v>
      </c>
    </row>
    <row r="676">
      <c r="A676" s="4" t="s">
        <v>541</v>
      </c>
      <c r="B676" s="3">
        <v>500.0</v>
      </c>
      <c r="C676" s="4"/>
      <c r="D676" s="4" t="str">
        <f t="shared" si="1"/>
        <v>AVEC</v>
      </c>
      <c r="E676" s="4" t="str">
        <f t="array" ref="E676">INDEX(consolid1!$I$2:$I$904,MATCH(A676,consolid1!$B$2:$B$904,0))</f>
        <v>#N/A</v>
      </c>
      <c r="F676" s="4" t="str">
        <f t="array" ref="F676">INDEX(consolid1!$G$2:$G1534,MATCH(A676,consolid1!$B$2:$B1534,0))</f>
        <v>#N/A</v>
      </c>
    </row>
    <row r="677">
      <c r="A677" s="4" t="s">
        <v>552</v>
      </c>
      <c r="B677" s="3">
        <v>500.0</v>
      </c>
      <c r="C677" s="4"/>
      <c r="D677" s="4" t="str">
        <f t="shared" si="1"/>
        <v>AVEC</v>
      </c>
      <c r="E677" s="4" t="str">
        <f t="array" ref="E677">INDEX(consolid1!$I$2:$I$904,MATCH(A677,consolid1!$B$2:$B$904,0))</f>
        <v>#N/A</v>
      </c>
      <c r="F677" s="4" t="str">
        <f t="array" ref="F677">INDEX(consolid1!$G$2:$G1534,MATCH(A677,consolid1!$B$2:$B1534,0))</f>
        <v>#N/A</v>
      </c>
    </row>
    <row r="678">
      <c r="A678" s="4" t="s">
        <v>2184</v>
      </c>
      <c r="B678" s="3">
        <v>500.0</v>
      </c>
      <c r="C678" s="3" t="s">
        <v>6</v>
      </c>
      <c r="D678" s="4" t="str">
        <f t="shared" si="1"/>
        <v>AVEC</v>
      </c>
      <c r="E678" s="4" t="str">
        <f t="array" ref="E678">INDEX(consolid1!$I$2:$I$904,MATCH(A678,consolid1!$B$2:$B$904,0))</f>
        <v>#N/A</v>
      </c>
      <c r="F678" s="4" t="str">
        <f t="array" ref="F678">INDEX(consolid1!$G$2:$G1534,MATCH(A678,consolid1!$B$2:$B1534,0))</f>
        <v>#N/A</v>
      </c>
    </row>
    <row r="679">
      <c r="A679" s="4" t="s">
        <v>662</v>
      </c>
      <c r="B679" s="3">
        <v>500.0</v>
      </c>
      <c r="C679" s="4"/>
      <c r="D679" s="4" t="str">
        <f t="shared" si="1"/>
        <v>AVEC</v>
      </c>
      <c r="E679" s="4" t="str">
        <f t="array" ref="E679">INDEX(consolid1!$I$2:$I$904,MATCH(A679,consolid1!$B$2:$B$904,0))</f>
        <v>#N/A</v>
      </c>
      <c r="F679" s="4" t="str">
        <f t="array" ref="F679">INDEX(consolid1!$G$2:$G1534,MATCH(A679,consolid1!$B$2:$B1534,0))</f>
        <v>#N/A</v>
      </c>
    </row>
    <row r="680">
      <c r="A680" s="4" t="s">
        <v>833</v>
      </c>
      <c r="B680" s="3">
        <v>500.0</v>
      </c>
      <c r="C680" s="4"/>
      <c r="D680" s="4" t="str">
        <f t="shared" si="1"/>
        <v>AVEC</v>
      </c>
      <c r="E680" s="4" t="str">
        <f t="array" ref="E680">INDEX(consolid1!$I$2:$I$904,MATCH(A680,consolid1!$B$2:$B$904,0))</f>
        <v>Cadre de vie environnement</v>
      </c>
      <c r="F680" s="4" t="str">
        <f t="array" ref="F680">INDEX(consolid1!$G$2:$G1534,MATCH(A680,consolid1!$B$2:$B1534,0))</f>
        <v>null</v>
      </c>
    </row>
    <row r="681">
      <c r="A681" s="4" t="s">
        <v>2220</v>
      </c>
      <c r="B681" s="3">
        <v>500.0</v>
      </c>
      <c r="C681" s="4"/>
      <c r="D681" s="4" t="str">
        <f t="shared" si="1"/>
        <v>AVEC</v>
      </c>
      <c r="E681" s="4" t="str">
        <f t="array" ref="E681">INDEX(consolid1!$I$2:$I$904,MATCH(A681,consolid1!$B$2:$B$904,0))</f>
        <v>#N/A</v>
      </c>
      <c r="F681" s="4" t="str">
        <f t="array" ref="F681">INDEX(consolid1!$G$2:$G1534,MATCH(A681,consolid1!$B$2:$B1534,0))</f>
        <v>#N/A</v>
      </c>
    </row>
    <row r="682">
      <c r="A682" s="4" t="s">
        <v>2225</v>
      </c>
      <c r="B682" s="3">
        <v>500.0</v>
      </c>
      <c r="C682" s="4"/>
      <c r="D682" s="4" t="str">
        <f t="shared" si="1"/>
        <v>AVEC</v>
      </c>
      <c r="E682" s="4" t="str">
        <f t="array" ref="E682">INDEX(consolid1!$I$2:$I$904,MATCH(A682,consolid1!$B$2:$B$904,0))</f>
        <v>#N/A</v>
      </c>
      <c r="F682" s="4" t="str">
        <f t="array" ref="F682">INDEX(consolid1!$G$2:$G1534,MATCH(A682,consolid1!$B$2:$B1534,0))</f>
        <v>#N/A</v>
      </c>
    </row>
    <row r="683">
      <c r="A683" s="4" t="s">
        <v>2232</v>
      </c>
      <c r="B683" s="3">
        <v>500.0</v>
      </c>
      <c r="C683" s="3" t="s">
        <v>3</v>
      </c>
      <c r="D683" s="4" t="str">
        <f t="shared" si="1"/>
        <v>AVEC</v>
      </c>
      <c r="E683" s="4" t="str">
        <f t="array" ref="E683">INDEX(consolid1!$I$2:$I$904,MATCH(A683,consolid1!$B$2:$B$904,0))</f>
        <v>#N/A</v>
      </c>
      <c r="F683" s="4" t="str">
        <f t="array" ref="F683">INDEX(consolid1!$G$2:$G1534,MATCH(A683,consolid1!$B$2:$B1534,0))</f>
        <v>#N/A</v>
      </c>
    </row>
    <row r="684">
      <c r="A684" s="4" t="s">
        <v>1005</v>
      </c>
      <c r="B684" s="3">
        <v>500.0</v>
      </c>
      <c r="C684" s="4"/>
      <c r="D684" s="4" t="str">
        <f t="shared" si="1"/>
        <v>AVEC</v>
      </c>
      <c r="E684" s="4" t="str">
        <f t="array" ref="E684">INDEX(consolid1!$I$2:$I$904,MATCH(A684,consolid1!$B$2:$B$904,0))</f>
        <v>#N/A</v>
      </c>
      <c r="F684" s="4" t="str">
        <f t="array" ref="F684">INDEX(consolid1!$G$2:$G1534,MATCH(A684,consolid1!$B$2:$B1534,0))</f>
        <v>#N/A</v>
      </c>
    </row>
    <row r="685">
      <c r="A685" s="4" t="s">
        <v>1041</v>
      </c>
      <c r="B685" s="3">
        <v>500.0</v>
      </c>
      <c r="C685" s="4"/>
      <c r="D685" s="4" t="str">
        <f t="shared" si="1"/>
        <v>AVEC</v>
      </c>
      <c r="E685" s="4" t="str">
        <f t="array" ref="E685">INDEX(consolid1!$I$2:$I$904,MATCH(A685,consolid1!$B$2:$B$904,0))</f>
        <v>Emploi, insertion professionnelle, formation</v>
      </c>
      <c r="F685" s="4" t="str">
        <f t="array" ref="F685">INDEX(consolid1!$G$2:$G1534,MATCH(A685,consolid1!$B$2:$B1534,0))</f>
        <v>null</v>
      </c>
    </row>
    <row r="686">
      <c r="A686" s="4" t="s">
        <v>1083</v>
      </c>
      <c r="B686" s="3">
        <v>500.0</v>
      </c>
      <c r="C686" s="3" t="s">
        <v>32</v>
      </c>
      <c r="D686" s="4" t="str">
        <f t="shared" si="1"/>
        <v>AVEC</v>
      </c>
      <c r="E686" s="4" t="str">
        <f t="array" ref="E686">INDEX(consolid1!$I$2:$I$904,MATCH(A686,consolid1!$B$2:$B$904,0))</f>
        <v>#N/A</v>
      </c>
      <c r="F686" s="4" t="str">
        <f t="array" ref="F686">INDEX(consolid1!$G$2:$G1534,MATCH(A686,consolid1!$B$2:$B1534,0))</f>
        <v>#N/A</v>
      </c>
    </row>
    <row r="687">
      <c r="A687" s="4" t="s">
        <v>1098</v>
      </c>
      <c r="B687" s="3">
        <v>500.0</v>
      </c>
      <c r="C687" s="4"/>
      <c r="D687" s="4" t="str">
        <f t="shared" si="1"/>
        <v>AVEC</v>
      </c>
      <c r="E687" s="4" t="str">
        <f t="array" ref="E687">INDEX(consolid1!$I$2:$I$904,MATCH(A687,consolid1!$B$2:$B$904,0))</f>
        <v>#N/A</v>
      </c>
      <c r="F687" s="4" t="str">
        <f t="array" ref="F687">INDEX(consolid1!$G$2:$G1534,MATCH(A687,consolid1!$B$2:$B1534,0))</f>
        <v>#N/A</v>
      </c>
    </row>
    <row r="688">
      <c r="A688" s="4" t="s">
        <v>1134</v>
      </c>
      <c r="B688" s="3">
        <v>500.0</v>
      </c>
      <c r="C688" s="4"/>
      <c r="D688" s="4" t="str">
        <f t="shared" si="1"/>
        <v>AVEC</v>
      </c>
      <c r="E688" s="4" t="str">
        <f t="array" ref="E688">INDEX(consolid1!$I$2:$I$904,MATCH(A688,consolid1!$B$2:$B$904,0))</f>
        <v>#N/A</v>
      </c>
      <c r="F688" s="4" t="str">
        <f t="array" ref="F688">INDEX(consolid1!$G$2:$G1534,MATCH(A688,consolid1!$B$2:$B1534,0))</f>
        <v>#N/A</v>
      </c>
    </row>
    <row r="689">
      <c r="A689" s="4" t="s">
        <v>1161</v>
      </c>
      <c r="B689" s="3">
        <v>500.0</v>
      </c>
      <c r="C689" s="4"/>
      <c r="D689" s="4" t="str">
        <f t="shared" si="1"/>
        <v>AVEC</v>
      </c>
      <c r="E689" s="4" t="str">
        <f t="array" ref="E689">INDEX(consolid1!$I$2:$I$904,MATCH(A689,consolid1!$B$2:$B$904,0))</f>
        <v>#N/A</v>
      </c>
      <c r="F689" s="4" t="str">
        <f t="array" ref="F689">INDEX(consolid1!$G$2:$G1534,MATCH(A689,consolid1!$B$2:$B1534,0))</f>
        <v>#N/A</v>
      </c>
    </row>
    <row r="690">
      <c r="A690" s="4" t="s">
        <v>2258</v>
      </c>
      <c r="B690" s="3">
        <v>500.0</v>
      </c>
      <c r="C690" s="4"/>
      <c r="D690" s="4" t="str">
        <f t="shared" si="1"/>
        <v>AVEC</v>
      </c>
      <c r="E690" s="4" t="str">
        <f t="array" ref="E690">INDEX(consolid1!$I$2:$I$904,MATCH(A690,consolid1!$B$2:$B$904,0))</f>
        <v>#N/A</v>
      </c>
      <c r="F690" s="4" t="str">
        <f t="array" ref="F690">INDEX(consolid1!$G$2:$G1534,MATCH(A690,consolid1!$B$2:$B1534,0))</f>
        <v>#N/A</v>
      </c>
    </row>
    <row r="691">
      <c r="A691" s="4" t="s">
        <v>1182</v>
      </c>
      <c r="B691" s="3">
        <v>500.0</v>
      </c>
      <c r="C691" s="4"/>
      <c r="D691" s="4" t="str">
        <f t="shared" si="1"/>
        <v>AVEC</v>
      </c>
      <c r="E691" s="4" t="str">
        <f t="array" ref="E691">INDEX(consolid1!$I$2:$I$904,MATCH(A691,consolid1!$B$2:$B$904,0))</f>
        <v>#N/A</v>
      </c>
      <c r="F691" s="4" t="str">
        <f t="array" ref="F691">INDEX(consolid1!$G$2:$G1534,MATCH(A691,consolid1!$B$2:$B1534,0))</f>
        <v>#N/A</v>
      </c>
    </row>
    <row r="692">
      <c r="A692" s="4" t="s">
        <v>1196</v>
      </c>
      <c r="B692" s="3">
        <v>500.0</v>
      </c>
      <c r="C692" s="4"/>
      <c r="D692" s="4" t="str">
        <f t="shared" si="1"/>
        <v>AVEC</v>
      </c>
      <c r="E692" s="4" t="str">
        <f t="array" ref="E692">INDEX(consolid1!$I$2:$I$904,MATCH(A692,consolid1!$B$2:$B$904,0))</f>
        <v>#N/A</v>
      </c>
      <c r="F692" s="4" t="str">
        <f t="array" ref="F692">INDEX(consolid1!$G$2:$G1534,MATCH(A692,consolid1!$B$2:$B1534,0))</f>
        <v>#N/A</v>
      </c>
    </row>
    <row r="693">
      <c r="A693" s="4" t="s">
        <v>1245</v>
      </c>
      <c r="B693" s="3">
        <v>500.0</v>
      </c>
      <c r="C693" s="4"/>
      <c r="D693" s="4" t="str">
        <f t="shared" si="1"/>
        <v>AVEC</v>
      </c>
      <c r="E693" s="4" t="str">
        <f t="array" ref="E693">INDEX(consolid1!$I$2:$I$904,MATCH(A693,consolid1!$B$2:$B$904,0))</f>
        <v>#N/A</v>
      </c>
      <c r="F693" s="4" t="str">
        <f t="array" ref="F693">INDEX(consolid1!$G$2:$G1534,MATCH(A693,consolid1!$B$2:$B1534,0))</f>
        <v>#N/A</v>
      </c>
    </row>
    <row r="694">
      <c r="A694" s="4" t="s">
        <v>1303</v>
      </c>
      <c r="B694" s="3">
        <v>500.0</v>
      </c>
      <c r="C694" s="3" t="s">
        <v>6</v>
      </c>
      <c r="D694" s="4" t="str">
        <f t="shared" si="1"/>
        <v>AVEC</v>
      </c>
      <c r="E694" s="4" t="str">
        <f t="array" ref="E694">INDEX(consolid1!$I$2:$I$904,MATCH(A694,consolid1!$B$2:$B$904,0))</f>
        <v>#N/A</v>
      </c>
      <c r="F694" s="4" t="str">
        <f t="array" ref="F694">INDEX(consolid1!$G$2:$G1534,MATCH(A694,consolid1!$B$2:$B1534,0))</f>
        <v>#N/A</v>
      </c>
    </row>
    <row r="695">
      <c r="A695" s="4" t="s">
        <v>1312</v>
      </c>
      <c r="B695" s="3">
        <v>500.0</v>
      </c>
      <c r="C695" s="3" t="s">
        <v>3</v>
      </c>
      <c r="D695" s="4" t="str">
        <f t="shared" si="1"/>
        <v>AVEC</v>
      </c>
      <c r="E695" s="4" t="str">
        <f t="array" ref="E695">INDEX(consolid1!$I$2:$I$904,MATCH(A695,consolid1!$B$2:$B$904,0))</f>
        <v>Entraide, solidarité, humanitaire</v>
      </c>
      <c r="F695" s="4" t="str">
        <f t="array" ref="F695">INDEX(consolid1!$G$2:$G1534,MATCH(A695,consolid1!$B$2:$B1534,0))</f>
        <v>null</v>
      </c>
    </row>
    <row r="696">
      <c r="A696" s="4" t="s">
        <v>1332</v>
      </c>
      <c r="B696" s="3">
        <v>500.0</v>
      </c>
      <c r="C696" s="4"/>
      <c r="D696" s="4" t="str">
        <f t="shared" si="1"/>
        <v>AVEC</v>
      </c>
      <c r="E696" s="4" t="str">
        <f t="array" ref="E696">INDEX(consolid1!$I$2:$I$904,MATCH(A696,consolid1!$B$2:$B$904,0))</f>
        <v>#N/A</v>
      </c>
      <c r="F696" s="4" t="str">
        <f t="array" ref="F696">INDEX(consolid1!$G$2:$G1534,MATCH(A696,consolid1!$B$2:$B1534,0))</f>
        <v>#N/A</v>
      </c>
    </row>
    <row r="697">
      <c r="A697" s="4" t="s">
        <v>1388</v>
      </c>
      <c r="B697" s="3">
        <v>500.0</v>
      </c>
      <c r="C697" s="3" t="s">
        <v>32</v>
      </c>
      <c r="D697" s="4" t="str">
        <f t="shared" si="1"/>
        <v>AVEC</v>
      </c>
      <c r="E697" s="4" t="str">
        <f t="array" ref="E697">INDEX(consolid1!$I$2:$I$904,MATCH(A697,consolid1!$B$2:$B$904,0))</f>
        <v>#N/A</v>
      </c>
      <c r="F697" s="4" t="str">
        <f t="array" ref="F697">INDEX(consolid1!$G$2:$G1534,MATCH(A697,consolid1!$B$2:$B1534,0))</f>
        <v>#N/A</v>
      </c>
    </row>
    <row r="698">
      <c r="A698" s="4" t="s">
        <v>1415</v>
      </c>
      <c r="B698" s="3">
        <v>500.0</v>
      </c>
      <c r="C698" s="4"/>
      <c r="D698" s="4" t="str">
        <f t="shared" si="1"/>
        <v>AVEC</v>
      </c>
      <c r="E698" s="4" t="str">
        <f t="array" ref="E698">INDEX(consolid1!$I$2:$I$904,MATCH(A698,consolid1!$B$2:$B$904,0))</f>
        <v>#N/A</v>
      </c>
      <c r="F698" s="4" t="str">
        <f t="array" ref="F698">INDEX(consolid1!$G$2:$G1534,MATCH(A698,consolid1!$B$2:$B1534,0))</f>
        <v>#N/A</v>
      </c>
    </row>
    <row r="699">
      <c r="A699" s="4" t="s">
        <v>1444</v>
      </c>
      <c r="B699" s="3">
        <v>500.0</v>
      </c>
      <c r="C699" s="4"/>
      <c r="D699" s="4" t="str">
        <f t="shared" si="1"/>
        <v>AVEC</v>
      </c>
      <c r="E699" s="4" t="str">
        <f t="array" ref="E699">INDEX(consolid1!$I$2:$I$904,MATCH(A699,consolid1!$B$2:$B$904,0))</f>
        <v>#N/A</v>
      </c>
      <c r="F699" s="4" t="str">
        <f t="array" ref="F699">INDEX(consolid1!$G$2:$G1534,MATCH(A699,consolid1!$B$2:$B1534,0))</f>
        <v>#N/A</v>
      </c>
    </row>
    <row r="700">
      <c r="A700" s="4" t="s">
        <v>1454</v>
      </c>
      <c r="B700" s="3">
        <v>500.0</v>
      </c>
      <c r="C700" s="3" t="s">
        <v>484</v>
      </c>
      <c r="D700" s="4" t="str">
        <f t="shared" si="1"/>
        <v>AVEC</v>
      </c>
      <c r="E700" s="4" t="str">
        <f t="array" ref="E700">INDEX(consolid1!$I$2:$I$904,MATCH(A700,consolid1!$B$2:$B$904,0))</f>
        <v>#N/A</v>
      </c>
      <c r="F700" s="4" t="str">
        <f t="array" ref="F700">INDEX(consolid1!$G$2:$G1534,MATCH(A700,consolid1!$B$2:$B1534,0))</f>
        <v>#N/A</v>
      </c>
    </row>
    <row r="701">
      <c r="A701" s="4" t="s">
        <v>2275</v>
      </c>
      <c r="B701" s="3">
        <v>500.0</v>
      </c>
      <c r="C701" s="4"/>
      <c r="D701" s="4" t="str">
        <f t="shared" si="1"/>
        <v>AVEC</v>
      </c>
      <c r="E701" s="4" t="str">
        <f t="array" ref="E701">INDEX(consolid1!$I$2:$I$904,MATCH(A701,consolid1!$B$2:$B$904,0))</f>
        <v>#N/A</v>
      </c>
      <c r="F701" s="4" t="str">
        <f t="array" ref="F701">INDEX(consolid1!$G$2:$G1534,MATCH(A701,consolid1!$B$2:$B1534,0))</f>
        <v>#N/A</v>
      </c>
    </row>
    <row r="702">
      <c r="A702" s="4" t="s">
        <v>1491</v>
      </c>
      <c r="B702" s="3">
        <v>500.0</v>
      </c>
      <c r="C702" s="4"/>
      <c r="D702" s="4" t="str">
        <f t="shared" si="1"/>
        <v>AVEC</v>
      </c>
      <c r="E702" s="4" t="str">
        <f t="array" ref="E702">INDEX(consolid1!$I$2:$I$904,MATCH(A702,consolid1!$B$2:$B$904,0))</f>
        <v>#N/A</v>
      </c>
      <c r="F702" s="4" t="str">
        <f t="array" ref="F702">INDEX(consolid1!$G$2:$G1534,MATCH(A702,consolid1!$B$2:$B1534,0))</f>
        <v>#N/A</v>
      </c>
    </row>
    <row r="703">
      <c r="A703" s="4" t="s">
        <v>1641</v>
      </c>
      <c r="B703" s="3">
        <v>500.0</v>
      </c>
      <c r="C703" s="4"/>
      <c r="D703" s="4" t="str">
        <f t="shared" si="1"/>
        <v>AVEC</v>
      </c>
      <c r="E703" s="4" t="str">
        <f t="array" ref="E703">INDEX(consolid1!$I$2:$I$904,MATCH(A703,consolid1!$B$2:$B$904,0))</f>
        <v>#N/A</v>
      </c>
      <c r="F703" s="4" t="str">
        <f t="array" ref="F703">INDEX(consolid1!$G$2:$G1534,MATCH(A703,consolid1!$B$2:$B1534,0))</f>
        <v>#N/A</v>
      </c>
    </row>
    <row r="704">
      <c r="A704" s="4" t="s">
        <v>1697</v>
      </c>
      <c r="B704" s="3">
        <v>500.0</v>
      </c>
      <c r="C704" s="3" t="s">
        <v>32</v>
      </c>
      <c r="D704" s="4" t="str">
        <f t="shared" si="1"/>
        <v>AVEC</v>
      </c>
      <c r="E704" s="4" t="str">
        <f t="array" ref="E704">INDEX(consolid1!$I$2:$I$904,MATCH(A704,consolid1!$B$2:$B$904,0))</f>
        <v>#N/A</v>
      </c>
      <c r="F704" s="4" t="str">
        <f t="array" ref="F704">INDEX(consolid1!$G$2:$G1534,MATCH(A704,consolid1!$B$2:$B1534,0))</f>
        <v>#N/A</v>
      </c>
    </row>
    <row r="705">
      <c r="A705" s="4" t="s">
        <v>1712</v>
      </c>
      <c r="B705" s="3">
        <v>500.0</v>
      </c>
      <c r="C705" s="4"/>
      <c r="D705" s="4" t="str">
        <f t="shared" si="1"/>
        <v>AVEC</v>
      </c>
      <c r="E705" s="4" t="str">
        <f t="array" ref="E705">INDEX(consolid1!$I$2:$I$904,MATCH(A705,consolid1!$B$2:$B$904,0))</f>
        <v>#N/A</v>
      </c>
      <c r="F705" s="4" t="str">
        <f t="array" ref="F705">INDEX(consolid1!$G$2:$G1534,MATCH(A705,consolid1!$B$2:$B1534,0))</f>
        <v>#N/A</v>
      </c>
    </row>
    <row r="706">
      <c r="A706" s="4" t="s">
        <v>2301</v>
      </c>
      <c r="B706" s="3">
        <v>500.0</v>
      </c>
      <c r="C706" s="4"/>
      <c r="D706" s="4" t="str">
        <f t="shared" si="1"/>
        <v>AVEC</v>
      </c>
      <c r="E706" s="4" t="str">
        <f t="array" ref="E706">INDEX(consolid1!$I$2:$I$904,MATCH(A706,consolid1!$B$2:$B$904,0))</f>
        <v>#N/A</v>
      </c>
      <c r="F706" s="4" t="str">
        <f t="array" ref="F706">INDEX(consolid1!$G$2:$G1534,MATCH(A706,consolid1!$B$2:$B1534,0))</f>
        <v>#N/A</v>
      </c>
    </row>
    <row r="707">
      <c r="A707" s="4" t="s">
        <v>1909</v>
      </c>
      <c r="B707" s="3">
        <v>500.0</v>
      </c>
      <c r="C707" s="4"/>
      <c r="D707" s="4" t="str">
        <f t="shared" si="1"/>
        <v>AVEC</v>
      </c>
      <c r="E707" s="4" t="str">
        <f t="array" ref="E707">INDEX(consolid1!$I$2:$I$904,MATCH(A707,consolid1!$B$2:$B$904,0))</f>
        <v>#N/A</v>
      </c>
      <c r="F707" s="4" t="str">
        <f t="array" ref="F707">INDEX(consolid1!$G$2:$G1534,MATCH(A707,consolid1!$B$2:$B1534,0))</f>
        <v>#N/A</v>
      </c>
    </row>
    <row r="708">
      <c r="A708" s="4" t="s">
        <v>1910</v>
      </c>
      <c r="B708" s="3">
        <v>500.0</v>
      </c>
      <c r="C708" s="4"/>
      <c r="D708" s="4" t="str">
        <f t="shared" si="1"/>
        <v>AVEC</v>
      </c>
      <c r="E708" s="4" t="str">
        <f t="array" ref="E708">INDEX(consolid1!$I$2:$I$904,MATCH(A708,consolid1!$B$2:$B$904,0))</f>
        <v>#N/A</v>
      </c>
      <c r="F708" s="4" t="str">
        <f t="array" ref="F708">INDEX(consolid1!$G$2:$G1534,MATCH(A708,consolid1!$B$2:$B1534,0))</f>
        <v>#N/A</v>
      </c>
    </row>
    <row r="709">
      <c r="A709" s="4" t="s">
        <v>2317</v>
      </c>
      <c r="B709" s="3">
        <v>500.0</v>
      </c>
      <c r="C709" s="4"/>
      <c r="D709" s="4" t="str">
        <f t="shared" si="1"/>
        <v>AVEC</v>
      </c>
      <c r="E709" s="4" t="str">
        <f t="array" ref="E709">INDEX(consolid1!$I$2:$I$904,MATCH(A709,consolid1!$B$2:$B$904,0))</f>
        <v>#N/A</v>
      </c>
      <c r="F709" s="4" t="str">
        <f t="array" ref="F709">INDEX(consolid1!$G$2:$G1534,MATCH(A709,consolid1!$B$2:$B1534,0))</f>
        <v>#N/A</v>
      </c>
    </row>
    <row r="710">
      <c r="A710" s="4" t="s">
        <v>1944</v>
      </c>
      <c r="B710" s="3">
        <v>500.0</v>
      </c>
      <c r="C710" s="4"/>
      <c r="D710" s="4" t="str">
        <f t="shared" si="1"/>
        <v>AVEC</v>
      </c>
      <c r="E710" s="4" t="str">
        <f t="array" ref="E710">INDEX(consolid1!$I$2:$I$904,MATCH(A710,consolid1!$B$2:$B$904,0))</f>
        <v>#N/A</v>
      </c>
      <c r="F710" s="4" t="str">
        <f t="array" ref="F710">INDEX(consolid1!$G$2:$G1534,MATCH(A710,consolid1!$B$2:$B1534,0))</f>
        <v>#N/A</v>
      </c>
    </row>
    <row r="711">
      <c r="A711" s="4" t="s">
        <v>1995</v>
      </c>
      <c r="B711" s="3">
        <v>500.0</v>
      </c>
      <c r="C711" s="3" t="s">
        <v>3</v>
      </c>
      <c r="D711" s="4" t="str">
        <f t="shared" si="1"/>
        <v>AVEC</v>
      </c>
      <c r="E711" s="4" t="str">
        <f t="array" ref="E711">INDEX(consolid1!$I$2:$I$904,MATCH(A711,consolid1!$B$2:$B$904,0))</f>
        <v>#N/A</v>
      </c>
      <c r="F711" s="4" t="str">
        <f t="array" ref="F711">INDEX(consolid1!$G$2:$G1534,MATCH(A711,consolid1!$B$2:$B1534,0))</f>
        <v>#N/A</v>
      </c>
    </row>
    <row r="712">
      <c r="A712" s="4" t="s">
        <v>1996</v>
      </c>
      <c r="B712" s="3">
        <v>500.0</v>
      </c>
      <c r="C712" s="3" t="s">
        <v>3</v>
      </c>
      <c r="D712" s="4" t="str">
        <f t="shared" si="1"/>
        <v>AVEC</v>
      </c>
      <c r="E712" s="4" t="str">
        <f t="array" ref="E712">INDEX(consolid1!$I$2:$I$904,MATCH(A712,consolid1!$B$2:$B$904,0))</f>
        <v>#N/A</v>
      </c>
      <c r="F712" s="4" t="str">
        <f t="array" ref="F712">INDEX(consolid1!$G$2:$G1534,MATCH(A712,consolid1!$B$2:$B1534,0))</f>
        <v>#N/A</v>
      </c>
    </row>
    <row r="713">
      <c r="A713" s="4" t="s">
        <v>1395</v>
      </c>
      <c r="B713" s="3">
        <v>420.0</v>
      </c>
      <c r="C713" s="4"/>
      <c r="D713" s="4" t="str">
        <f t="shared" si="1"/>
        <v>AVEC</v>
      </c>
      <c r="E713" s="4" t="str">
        <f t="array" ref="E713">INDEX(consolid1!$I$2:$I$904,MATCH(A713,consolid1!$B$2:$B$904,0))</f>
        <v>#N/A</v>
      </c>
      <c r="F713" s="4" t="str">
        <f t="array" ref="F713">INDEX(consolid1!$G$2:$G1534,MATCH(A713,consolid1!$B$2:$B1534,0))</f>
        <v>#N/A</v>
      </c>
    </row>
    <row r="714">
      <c r="A714" s="4" t="s">
        <v>381</v>
      </c>
      <c r="B714" s="3">
        <v>400.0</v>
      </c>
      <c r="C714" s="3" t="s">
        <v>6</v>
      </c>
      <c r="D714" s="4" t="str">
        <f t="shared" si="1"/>
        <v>AVEC</v>
      </c>
      <c r="E714" s="4" t="str">
        <f t="array" ref="E714">INDEX(consolid1!$I$2:$I$904,MATCH(A714,consolid1!$B$2:$B$904,0))</f>
        <v>#N/A</v>
      </c>
      <c r="F714" s="4" t="str">
        <f t="array" ref="F714">INDEX(consolid1!$G$2:$G1534,MATCH(A714,consolid1!$B$2:$B1534,0))</f>
        <v>#N/A</v>
      </c>
    </row>
    <row r="715">
      <c r="A715" s="4" t="s">
        <v>2168</v>
      </c>
      <c r="B715" s="3">
        <v>400.0</v>
      </c>
      <c r="C715" s="3" t="s">
        <v>3</v>
      </c>
      <c r="D715" s="4" t="str">
        <f t="shared" si="1"/>
        <v>AVEC</v>
      </c>
      <c r="E715" s="4" t="str">
        <f t="array" ref="E715">INDEX(consolid1!$I$2:$I$904,MATCH(A715,consolid1!$B$2:$B$904,0))</f>
        <v>#N/A</v>
      </c>
      <c r="F715" s="4" t="str">
        <f t="array" ref="F715">INDEX(consolid1!$G$2:$G1534,MATCH(A715,consolid1!$B$2:$B1534,0))</f>
        <v>#N/A</v>
      </c>
    </row>
    <row r="716">
      <c r="A716" s="4" t="s">
        <v>2180</v>
      </c>
      <c r="B716" s="3">
        <v>400.0</v>
      </c>
      <c r="C716" s="3" t="s">
        <v>3</v>
      </c>
      <c r="D716" s="4" t="str">
        <f t="shared" si="1"/>
        <v>AVEC</v>
      </c>
      <c r="E716" s="4" t="str">
        <f t="array" ref="E716">INDEX(consolid1!$I$2:$I$904,MATCH(A716,consolid1!$B$2:$B$904,0))</f>
        <v>#N/A</v>
      </c>
      <c r="F716" s="4" t="str">
        <f t="array" ref="F716">INDEX(consolid1!$G$2:$G1534,MATCH(A716,consolid1!$B$2:$B1534,0))</f>
        <v>#N/A</v>
      </c>
    </row>
    <row r="717">
      <c r="A717" s="4" t="s">
        <v>2195</v>
      </c>
      <c r="B717" s="3">
        <v>400.0</v>
      </c>
      <c r="C717" s="3" t="s">
        <v>3</v>
      </c>
      <c r="D717" s="4" t="str">
        <f t="shared" si="1"/>
        <v>AVEC</v>
      </c>
      <c r="E717" s="4" t="str">
        <f t="array" ref="E717">INDEX(consolid1!$I$2:$I$904,MATCH(A717,consolid1!$B$2:$B$904,0))</f>
        <v>#N/A</v>
      </c>
      <c r="F717" s="4" t="str">
        <f t="array" ref="F717">INDEX(consolid1!$G$2:$G1534,MATCH(A717,consolid1!$B$2:$B1534,0))</f>
        <v>#N/A</v>
      </c>
    </row>
    <row r="718">
      <c r="A718" s="4" t="s">
        <v>973</v>
      </c>
      <c r="B718" s="3">
        <v>400.0</v>
      </c>
      <c r="C718" s="4"/>
      <c r="D718" s="4" t="str">
        <f t="shared" si="1"/>
        <v>AVEC</v>
      </c>
      <c r="E718" s="4" t="str">
        <f t="array" ref="E718">INDEX(consolid1!$I$2:$I$904,MATCH(A718,consolid1!$B$2:$B$904,0))</f>
        <v>#N/A</v>
      </c>
      <c r="F718" s="4" t="str">
        <f t="array" ref="F718">INDEX(consolid1!$G$2:$G1534,MATCH(A718,consolid1!$B$2:$B1534,0))</f>
        <v>#N/A</v>
      </c>
    </row>
    <row r="719">
      <c r="A719" s="4" t="s">
        <v>1440</v>
      </c>
      <c r="B719" s="3">
        <v>400.0</v>
      </c>
      <c r="C719" s="4"/>
      <c r="D719" s="4" t="str">
        <f t="shared" si="1"/>
        <v>AVEC</v>
      </c>
      <c r="E719" s="4" t="str">
        <f t="array" ref="E719">INDEX(consolid1!$I$2:$I$904,MATCH(A719,consolid1!$B$2:$B$904,0))</f>
        <v>#N/A</v>
      </c>
      <c r="F719" s="4" t="str">
        <f t="array" ref="F719">INDEX(consolid1!$G$2:$G1534,MATCH(A719,consolid1!$B$2:$B1534,0))</f>
        <v>#N/A</v>
      </c>
    </row>
    <row r="720">
      <c r="A720" s="4" t="s">
        <v>1544</v>
      </c>
      <c r="B720" s="3">
        <v>400.0</v>
      </c>
      <c r="C720" s="4"/>
      <c r="D720" s="4" t="str">
        <f t="shared" si="1"/>
        <v>AVEC</v>
      </c>
      <c r="E720" s="4" t="str">
        <f t="array" ref="E720">INDEX(consolid1!$I$2:$I$904,MATCH(A720,consolid1!$B$2:$B$904,0))</f>
        <v>#N/A</v>
      </c>
      <c r="F720" s="4" t="str">
        <f t="array" ref="F720">INDEX(consolid1!$G$2:$G1534,MATCH(A720,consolid1!$B$2:$B1534,0))</f>
        <v>#N/A</v>
      </c>
    </row>
    <row r="721">
      <c r="A721" s="4" t="s">
        <v>1912</v>
      </c>
      <c r="B721" s="3">
        <v>400.0</v>
      </c>
      <c r="C721" s="4"/>
      <c r="D721" s="4" t="str">
        <f t="shared" si="1"/>
        <v>AVEC</v>
      </c>
      <c r="E721" s="4" t="str">
        <f t="array" ref="E721">INDEX(consolid1!$I$2:$I$904,MATCH(A721,consolid1!$B$2:$B$904,0))</f>
        <v>#N/A</v>
      </c>
      <c r="F721" s="4" t="str">
        <f t="array" ref="F721">INDEX(consolid1!$G$2:$G1534,MATCH(A721,consolid1!$B$2:$B1534,0))</f>
        <v>#N/A</v>
      </c>
    </row>
    <row r="722">
      <c r="A722" s="4" t="s">
        <v>2316</v>
      </c>
      <c r="B722" s="3">
        <v>400.0</v>
      </c>
      <c r="C722" s="4"/>
      <c r="D722" s="4" t="str">
        <f t="shared" si="1"/>
        <v>AVEC</v>
      </c>
      <c r="E722" s="4" t="str">
        <f t="array" ref="E722">INDEX(consolid1!$I$2:$I$904,MATCH(A722,consolid1!$B$2:$B$904,0))</f>
        <v>#N/A</v>
      </c>
      <c r="F722" s="4" t="str">
        <f t="array" ref="F722">INDEX(consolid1!$G$2:$G1534,MATCH(A722,consolid1!$B$2:$B1534,0))</f>
        <v>#N/A</v>
      </c>
    </row>
    <row r="723">
      <c r="A723" s="4" t="s">
        <v>2321</v>
      </c>
      <c r="B723" s="3">
        <v>400.0</v>
      </c>
      <c r="C723" s="3" t="s">
        <v>6</v>
      </c>
      <c r="D723" s="4" t="str">
        <f t="shared" si="1"/>
        <v>AVEC</v>
      </c>
      <c r="E723" s="4" t="str">
        <f t="array" ref="E723">INDEX(consolid1!$I$2:$I$904,MATCH(A723,consolid1!$B$2:$B$904,0))</f>
        <v>#N/A</v>
      </c>
      <c r="F723" s="4" t="str">
        <f t="array" ref="F723">INDEX(consolid1!$G$2:$G1534,MATCH(A723,consolid1!$B$2:$B1534,0))</f>
        <v>#N/A</v>
      </c>
    </row>
    <row r="724">
      <c r="A724" s="4" t="s">
        <v>44</v>
      </c>
      <c r="B724" s="3">
        <v>300.0</v>
      </c>
      <c r="C724" s="3" t="s">
        <v>3</v>
      </c>
      <c r="D724" s="4" t="str">
        <f t="shared" si="1"/>
        <v>AVEC</v>
      </c>
      <c r="E724" s="4" t="str">
        <f t="array" ref="E724">INDEX(consolid1!$I$2:$I$904,MATCH(A724,consolid1!$B$2:$B$904,0))</f>
        <v>#N/A</v>
      </c>
      <c r="F724" s="4" t="str">
        <f t="array" ref="F724">INDEX(consolid1!$G$2:$G1534,MATCH(A724,consolid1!$B$2:$B1534,0))</f>
        <v>#N/A</v>
      </c>
    </row>
    <row r="725">
      <c r="A725" s="4" t="s">
        <v>116</v>
      </c>
      <c r="B725" s="3">
        <v>300.0</v>
      </c>
      <c r="C725" s="4"/>
      <c r="D725" s="4" t="str">
        <f t="shared" si="1"/>
        <v>AVEC</v>
      </c>
      <c r="E725" s="4" t="str">
        <f t="array" ref="E725">INDEX(consolid1!$I$2:$I$904,MATCH(A725,consolid1!$B$2:$B$904,0))</f>
        <v>#N/A</v>
      </c>
      <c r="F725" s="4" t="str">
        <f t="array" ref="F725">INDEX(consolid1!$G$2:$G1534,MATCH(A725,consolid1!$B$2:$B1534,0))</f>
        <v>#N/A</v>
      </c>
    </row>
    <row r="726">
      <c r="A726" s="4" t="s">
        <v>2098</v>
      </c>
      <c r="B726" s="3">
        <v>300.0</v>
      </c>
      <c r="C726" s="3" t="s">
        <v>3</v>
      </c>
      <c r="D726" s="4" t="str">
        <f t="shared" si="1"/>
        <v>AVEC</v>
      </c>
      <c r="E726" s="4" t="str">
        <f t="array" ref="E726">INDEX(consolid1!$I$2:$I$904,MATCH(A726,consolid1!$B$2:$B$904,0))</f>
        <v>#N/A</v>
      </c>
      <c r="F726" s="4" t="str">
        <f t="array" ref="F726">INDEX(consolid1!$G$2:$G1534,MATCH(A726,consolid1!$B$2:$B1534,0))</f>
        <v>#N/A</v>
      </c>
    </row>
    <row r="727">
      <c r="A727" s="4" t="s">
        <v>465</v>
      </c>
      <c r="B727" s="3">
        <v>300.0</v>
      </c>
      <c r="C727" s="3" t="s">
        <v>3</v>
      </c>
      <c r="D727" s="4" t="str">
        <f t="shared" si="1"/>
        <v>AVEC</v>
      </c>
      <c r="E727" s="4" t="str">
        <f t="array" ref="E727">INDEX(consolid1!$I$2:$I$904,MATCH(A727,consolid1!$B$2:$B$904,0))</f>
        <v>#N/A</v>
      </c>
      <c r="F727" s="4" t="str">
        <f t="array" ref="F727">INDEX(consolid1!$G$2:$G1534,MATCH(A727,consolid1!$B$2:$B1534,0))</f>
        <v>#N/A</v>
      </c>
    </row>
    <row r="728">
      <c r="A728" s="4" t="s">
        <v>660</v>
      </c>
      <c r="B728" s="3">
        <v>300.0</v>
      </c>
      <c r="C728" s="4"/>
      <c r="D728" s="4" t="str">
        <f t="shared" si="1"/>
        <v>AVEC</v>
      </c>
      <c r="E728" s="4" t="str">
        <f t="array" ref="E728">INDEX(consolid1!$I$2:$I$904,MATCH(A728,consolid1!$B$2:$B$904,0))</f>
        <v>#N/A</v>
      </c>
      <c r="F728" s="4" t="str">
        <f t="array" ref="F728">INDEX(consolid1!$G$2:$G1534,MATCH(A728,consolid1!$B$2:$B1534,0))</f>
        <v>#N/A</v>
      </c>
    </row>
    <row r="729">
      <c r="A729" s="4" t="s">
        <v>1241</v>
      </c>
      <c r="B729" s="3">
        <v>300.0</v>
      </c>
      <c r="C729" s="4"/>
      <c r="D729" s="4" t="str">
        <f t="shared" si="1"/>
        <v>AVEC</v>
      </c>
      <c r="E729" s="4" t="str">
        <f t="array" ref="E729">INDEX(consolid1!$I$2:$I$904,MATCH(A729,consolid1!$B$2:$B$904,0))</f>
        <v>#N/A</v>
      </c>
      <c r="F729" s="4" t="str">
        <f t="array" ref="F729">INDEX(consolid1!$G$2:$G1534,MATCH(A729,consolid1!$B$2:$B1534,0))</f>
        <v>#N/A</v>
      </c>
    </row>
    <row r="730">
      <c r="A730" s="4" t="s">
        <v>1553</v>
      </c>
      <c r="B730" s="3">
        <v>300.0</v>
      </c>
      <c r="C730" s="4"/>
      <c r="D730" s="4" t="str">
        <f t="shared" si="1"/>
        <v>AVEC</v>
      </c>
      <c r="E730" s="4" t="str">
        <f t="array" ref="E730">INDEX(consolid1!$I$2:$I$904,MATCH(A730,consolid1!$B$2:$B$904,0))</f>
        <v>#N/A</v>
      </c>
      <c r="F730" s="4" t="str">
        <f t="array" ref="F730">INDEX(consolid1!$G$2:$G1534,MATCH(A730,consolid1!$B$2:$B1534,0))</f>
        <v>#N/A</v>
      </c>
    </row>
    <row r="731">
      <c r="A731" s="4" t="s">
        <v>1813</v>
      </c>
      <c r="B731" s="3">
        <v>300.0</v>
      </c>
      <c r="C731" s="4"/>
      <c r="D731" s="4" t="str">
        <f t="shared" si="1"/>
        <v>AVEC</v>
      </c>
      <c r="E731" s="4" t="str">
        <f t="array" ref="E731">INDEX(consolid1!$I$2:$I$904,MATCH(A731,consolid1!$B$2:$B$904,0))</f>
        <v>#N/A</v>
      </c>
      <c r="F731" s="4" t="str">
        <f t="array" ref="F731">INDEX(consolid1!$G$2:$G1534,MATCH(A731,consolid1!$B$2:$B1534,0))</f>
        <v>#N/A</v>
      </c>
    </row>
    <row r="732">
      <c r="A732" s="4" t="s">
        <v>1822</v>
      </c>
      <c r="B732" s="3">
        <v>300.0</v>
      </c>
      <c r="C732" s="4"/>
      <c r="D732" s="4" t="str">
        <f t="shared" si="1"/>
        <v>AVEC</v>
      </c>
      <c r="E732" s="4" t="str">
        <f t="array" ref="E732">INDEX(consolid1!$I$2:$I$904,MATCH(A732,consolid1!$B$2:$B$904,0))</f>
        <v>#N/A</v>
      </c>
      <c r="F732" s="4" t="str">
        <f t="array" ref="F732">INDEX(consolid1!$G$2:$G1534,MATCH(A732,consolid1!$B$2:$B1534,0))</f>
        <v>#N/A</v>
      </c>
    </row>
    <row r="733">
      <c r="A733" s="4" t="s">
        <v>2159</v>
      </c>
      <c r="B733" s="3">
        <v>250.0</v>
      </c>
      <c r="C733" s="3" t="s">
        <v>3</v>
      </c>
      <c r="D733" s="4" t="str">
        <f t="shared" si="1"/>
        <v>AVEC</v>
      </c>
      <c r="E733" s="4" t="str">
        <f t="array" ref="E733">INDEX(consolid1!$I$2:$I$904,MATCH(A733,consolid1!$B$2:$B$904,0))</f>
        <v>#N/A</v>
      </c>
      <c r="F733" s="4" t="str">
        <f t="array" ref="F733">INDEX(consolid1!$G$2:$G1534,MATCH(A733,consolid1!$B$2:$B1534,0))</f>
        <v>#N/A</v>
      </c>
    </row>
    <row r="734">
      <c r="A734" s="4" t="s">
        <v>2178</v>
      </c>
      <c r="B734" s="3">
        <v>250.0</v>
      </c>
      <c r="C734" s="4"/>
      <c r="D734" s="4" t="str">
        <f t="shared" si="1"/>
        <v>AVEC</v>
      </c>
      <c r="E734" s="4" t="str">
        <f t="array" ref="E734">INDEX(consolid1!$I$2:$I$904,MATCH(A734,consolid1!$B$2:$B$904,0))</f>
        <v>#N/A</v>
      </c>
      <c r="F734" s="4" t="str">
        <f t="array" ref="F734">INDEX(consolid1!$G$2:$G1534,MATCH(A734,consolid1!$B$2:$B1534,0))</f>
        <v>#N/A</v>
      </c>
    </row>
    <row r="735">
      <c r="A735" s="4" t="s">
        <v>2287</v>
      </c>
      <c r="B735" s="3">
        <v>200.0</v>
      </c>
      <c r="C735" s="3" t="s">
        <v>3</v>
      </c>
      <c r="D735" s="4" t="str">
        <f t="shared" si="1"/>
        <v>AVEC</v>
      </c>
      <c r="E735" s="4" t="str">
        <f t="array" ref="E735">INDEX(consolid1!$I$2:$I$904,MATCH(A735,consolid1!$B$2:$B$904,0))</f>
        <v>#N/A</v>
      </c>
      <c r="F735" s="4" t="str">
        <f t="array" ref="F735">INDEX(consolid1!$G$2:$G1534,MATCH(A735,consolid1!$B$2:$B1534,0))</f>
        <v>#N/A</v>
      </c>
    </row>
    <row r="736">
      <c r="A736" s="4" t="s">
        <v>1835</v>
      </c>
      <c r="B736" s="3">
        <v>200.0</v>
      </c>
      <c r="C736" s="3" t="s">
        <v>6</v>
      </c>
      <c r="D736" s="4" t="str">
        <f t="shared" si="1"/>
        <v>AVEC</v>
      </c>
      <c r="E736" s="4" t="str">
        <f t="array" ref="E736">INDEX(consolid1!$I$2:$I$904,MATCH(A736,consolid1!$B$2:$B$904,0))</f>
        <v>#N/A</v>
      </c>
      <c r="F736" s="4" t="str">
        <f t="array" ref="F736">INDEX(consolid1!$G$2:$G1534,MATCH(A736,consolid1!$B$2:$B1534,0))</f>
        <v>#N/A</v>
      </c>
    </row>
    <row r="737">
      <c r="A737" s="4" t="s">
        <v>764</v>
      </c>
      <c r="B737" s="3">
        <v>150.0</v>
      </c>
      <c r="C737" s="3" t="s">
        <v>3</v>
      </c>
      <c r="D737" s="4" t="str">
        <f t="shared" si="1"/>
        <v>AVEC</v>
      </c>
      <c r="E737" s="4" t="str">
        <f t="array" ref="E737">INDEX(consolid1!$I$2:$I$904,MATCH(A737,consolid1!$B$2:$B$904,0))</f>
        <v>#N/A</v>
      </c>
      <c r="F737" s="4" t="str">
        <f t="array" ref="F737">INDEX(consolid1!$G$2:$G1534,MATCH(A737,consolid1!$B$2:$B1534,0))</f>
        <v>#N/A</v>
      </c>
    </row>
    <row r="738">
      <c r="A738" s="4" t="s">
        <v>1725</v>
      </c>
      <c r="B738" s="3">
        <v>150.0</v>
      </c>
      <c r="C738" s="4"/>
      <c r="D738" s="4" t="str">
        <f t="shared" si="1"/>
        <v>AVEC</v>
      </c>
      <c r="E738" s="4" t="str">
        <f t="array" ref="E738">INDEX(consolid1!$I$2:$I$904,MATCH(A738,consolid1!$B$2:$B$904,0))</f>
        <v>Culture</v>
      </c>
      <c r="F738" s="4" t="str">
        <f t="array" ref="F738">INDEX(consolid1!$G$2:$G1534,MATCH(A738,consolid1!$B$2:$B1534,0))</f>
        <v>null</v>
      </c>
    </row>
    <row r="739">
      <c r="A739" s="4" t="s">
        <v>1434</v>
      </c>
      <c r="B739" s="3">
        <v>120.0</v>
      </c>
      <c r="C739" s="3" t="s">
        <v>32</v>
      </c>
      <c r="D739" s="4" t="str">
        <f t="shared" si="1"/>
        <v>AVEC</v>
      </c>
      <c r="E739" s="4" t="str">
        <f t="array" ref="E739">INDEX(consolid1!$I$2:$I$904,MATCH(A739,consolid1!$B$2:$B$904,0))</f>
        <v>#N/A</v>
      </c>
      <c r="F739" s="4" t="str">
        <f t="array" ref="F739">INDEX(consolid1!$G$2:$G1534,MATCH(A739,consolid1!$B$2:$B1534,0))</f>
        <v>#N/A</v>
      </c>
    </row>
    <row r="740">
      <c r="A740" s="4" t="s">
        <v>831</v>
      </c>
      <c r="B740" s="3">
        <v>100.0</v>
      </c>
      <c r="C740" s="3" t="s">
        <v>3</v>
      </c>
      <c r="D740" s="4" t="str">
        <f t="shared" si="1"/>
        <v>AVEC</v>
      </c>
      <c r="E740" s="4" t="str">
        <f t="array" ref="E740">INDEX(consolid1!$I$2:$I$904,MATCH(A740,consolid1!$B$2:$B$904,0))</f>
        <v>#N/A</v>
      </c>
      <c r="F740" s="4" t="str">
        <f t="array" ref="F740">INDEX(consolid1!$G$2:$G1534,MATCH(A740,consolid1!$B$2:$B1534,0))</f>
        <v>#N/A</v>
      </c>
    </row>
    <row r="741">
      <c r="A741" s="4" t="s">
        <v>2343</v>
      </c>
      <c r="B741" s="3">
        <v>82.0</v>
      </c>
      <c r="C741" s="4"/>
      <c r="D741" s="4" t="str">
        <f t="shared" si="1"/>
        <v>AVEC</v>
      </c>
      <c r="E741" s="4" t="str">
        <f t="array" ref="E741">INDEX(consolid1!$I$2:$I$904,MATCH(A741,consolid1!$B$2:$B$904,0))</f>
        <v>#N/A</v>
      </c>
      <c r="F741" s="4" t="str">
        <f t="array" ref="F741">INDEX(consolid1!$G$2:$G1534,MATCH(A741,consolid1!$B$2:$B1534,0))</f>
        <v>#N/A</v>
      </c>
    </row>
    <row r="742">
      <c r="A742" s="4" t="s">
        <v>2069</v>
      </c>
      <c r="B742" s="3">
        <v>0.0</v>
      </c>
      <c r="C742" s="3" t="s">
        <v>3</v>
      </c>
      <c r="D742" s="4" t="str">
        <f t="shared" si="1"/>
        <v>SANS</v>
      </c>
      <c r="E742" s="4" t="str">
        <f t="array" ref="E742">INDEX(consolid1!$I$2:$I$904,MATCH(A742,consolid1!$B$2:$B$904,0))</f>
        <v>#N/A</v>
      </c>
      <c r="F742" s="4" t="str">
        <f t="array" ref="F742">INDEX(consolid1!$G$2:$G1534,MATCH(A742,consolid1!$B$2:$B1534,0))</f>
        <v>#N/A</v>
      </c>
    </row>
    <row r="743">
      <c r="A743" s="4" t="s">
        <v>5</v>
      </c>
      <c r="B743" s="3">
        <v>0.0</v>
      </c>
      <c r="C743" s="3" t="s">
        <v>6</v>
      </c>
      <c r="D743" s="4" t="str">
        <f t="shared" si="1"/>
        <v>SANS</v>
      </c>
      <c r="E743" s="4" t="str">
        <f t="array" ref="E743">INDEX(consolid1!$I$2:$I$904,MATCH(A743,consolid1!$B$2:$B$904,0))</f>
        <v>#N/A</v>
      </c>
      <c r="F743" s="4" t="str">
        <f t="array" ref="F743">INDEX(consolid1!$G$2:$G1534,MATCH(A743,consolid1!$B$2:$B1534,0))</f>
        <v>#N/A</v>
      </c>
    </row>
    <row r="744">
      <c r="A744" s="4" t="s">
        <v>7</v>
      </c>
      <c r="B744" s="3">
        <v>0.0</v>
      </c>
      <c r="C744" s="3" t="s">
        <v>3</v>
      </c>
      <c r="D744" s="4" t="str">
        <f t="shared" si="1"/>
        <v>SANS</v>
      </c>
      <c r="E744" s="4" t="str">
        <f t="array" ref="E744">INDEX(consolid1!$I$2:$I$904,MATCH(A744,consolid1!$B$2:$B$904,0))</f>
        <v>#N/A</v>
      </c>
      <c r="F744" s="4" t="str">
        <f t="array" ref="F744">INDEX(consolid1!$G$2:$G1534,MATCH(A744,consolid1!$B$2:$B1534,0))</f>
        <v>#N/A</v>
      </c>
    </row>
    <row r="745">
      <c r="A745" s="4" t="s">
        <v>8</v>
      </c>
      <c r="B745" s="3">
        <v>0.0</v>
      </c>
      <c r="C745" s="3" t="s">
        <v>3</v>
      </c>
      <c r="D745" s="4" t="str">
        <f t="shared" si="1"/>
        <v>SANS</v>
      </c>
      <c r="E745" s="4" t="str">
        <f t="array" ref="E745">INDEX(consolid1!$I$2:$I$904,MATCH(A745,consolid1!$B$2:$B$904,0))</f>
        <v>#N/A</v>
      </c>
      <c r="F745" s="4" t="str">
        <f t="array" ref="F745">INDEX(consolid1!$G$2:$G1534,MATCH(A745,consolid1!$B$2:$B1534,0))</f>
        <v>#N/A</v>
      </c>
    </row>
    <row r="746">
      <c r="A746" s="4" t="s">
        <v>9</v>
      </c>
      <c r="B746" s="3">
        <v>0.0</v>
      </c>
      <c r="C746" s="3" t="s">
        <v>3</v>
      </c>
      <c r="D746" s="4" t="str">
        <f t="shared" si="1"/>
        <v>SANS</v>
      </c>
      <c r="E746" s="4" t="str">
        <f t="array" ref="E746">INDEX(consolid1!$I$2:$I$904,MATCH(A746,consolid1!$B$2:$B$904,0))</f>
        <v>#N/A</v>
      </c>
      <c r="F746" s="4" t="str">
        <f t="array" ref="F746">INDEX(consolid1!$G$2:$G1534,MATCH(A746,consolid1!$B$2:$B1534,0))</f>
        <v>#N/A</v>
      </c>
    </row>
    <row r="747">
      <c r="A747" s="4" t="s">
        <v>23</v>
      </c>
      <c r="B747" s="3">
        <v>0.0</v>
      </c>
      <c r="C747" s="3" t="s">
        <v>3</v>
      </c>
      <c r="D747" s="4" t="str">
        <f t="shared" si="1"/>
        <v>SANS</v>
      </c>
      <c r="E747" s="4" t="str">
        <f t="array" ref="E747">INDEX(consolid1!$I$2:$I$904,MATCH(A747,consolid1!$B$2:$B$904,0))</f>
        <v>#N/A</v>
      </c>
      <c r="F747" s="4" t="str">
        <f t="array" ref="F747">INDEX(consolid1!$G$2:$G1534,MATCH(A747,consolid1!$B$2:$B1534,0))</f>
        <v>#N/A</v>
      </c>
    </row>
    <row r="748">
      <c r="A748" s="4" t="s">
        <v>24</v>
      </c>
      <c r="B748" s="3">
        <v>0.0</v>
      </c>
      <c r="C748" s="3" t="s">
        <v>3</v>
      </c>
      <c r="D748" s="4" t="str">
        <f t="shared" si="1"/>
        <v>SANS</v>
      </c>
      <c r="E748" s="4" t="str">
        <f t="array" ref="E748">INDEX(consolid1!$I$2:$I$904,MATCH(A748,consolid1!$B$2:$B$904,0))</f>
        <v>#N/A</v>
      </c>
      <c r="F748" s="4" t="str">
        <f t="array" ref="F748">INDEX(consolid1!$G$2:$G1534,MATCH(A748,consolid1!$B$2:$B1534,0))</f>
        <v>#N/A</v>
      </c>
    </row>
    <row r="749">
      <c r="A749" s="4" t="s">
        <v>25</v>
      </c>
      <c r="B749" s="3">
        <v>0.0</v>
      </c>
      <c r="C749" s="3" t="s">
        <v>26</v>
      </c>
      <c r="D749" s="4" t="str">
        <f t="shared" si="1"/>
        <v>SANS</v>
      </c>
      <c r="E749" s="4" t="str">
        <f t="array" ref="E749">INDEX(consolid1!$I$2:$I$904,MATCH(A749,consolid1!$B$2:$B$904,0))</f>
        <v>#N/A</v>
      </c>
      <c r="F749" s="4" t="str">
        <f t="array" ref="F749">INDEX(consolid1!$G$2:$G1534,MATCH(A749,consolid1!$B$2:$B1534,0))</f>
        <v>#N/A</v>
      </c>
    </row>
    <row r="750">
      <c r="A750" s="4" t="s">
        <v>27</v>
      </c>
      <c r="B750" s="3">
        <v>0.0</v>
      </c>
      <c r="C750" s="3" t="s">
        <v>3</v>
      </c>
      <c r="D750" s="4" t="str">
        <f t="shared" si="1"/>
        <v>SANS</v>
      </c>
      <c r="E750" s="4" t="str">
        <f t="array" ref="E750">INDEX(consolid1!$I$2:$I$904,MATCH(A750,consolid1!$B$2:$B$904,0))</f>
        <v>#N/A</v>
      </c>
      <c r="F750" s="4" t="str">
        <f t="array" ref="F750">INDEX(consolid1!$G$2:$G1534,MATCH(A750,consolid1!$B$2:$B1534,0))</f>
        <v>#N/A</v>
      </c>
    </row>
    <row r="751">
      <c r="A751" s="4" t="s">
        <v>28</v>
      </c>
      <c r="B751" s="3">
        <v>0.0</v>
      </c>
      <c r="C751" s="3" t="s">
        <v>29</v>
      </c>
      <c r="D751" s="4" t="str">
        <f t="shared" si="1"/>
        <v>SANS</v>
      </c>
      <c r="E751" s="4" t="str">
        <f t="array" ref="E751">INDEX(consolid1!$I$2:$I$904,MATCH(A751,consolid1!$B$2:$B$904,0))</f>
        <v>#N/A</v>
      </c>
      <c r="F751" s="4" t="str">
        <f t="array" ref="F751">INDEX(consolid1!$G$2:$G1534,MATCH(A751,consolid1!$B$2:$B1534,0))</f>
        <v>#N/A</v>
      </c>
    </row>
    <row r="752">
      <c r="A752" s="4" t="s">
        <v>34</v>
      </c>
      <c r="B752" s="3">
        <v>0.0</v>
      </c>
      <c r="C752" s="3" t="s">
        <v>3</v>
      </c>
      <c r="D752" s="4" t="str">
        <f t="shared" si="1"/>
        <v>SANS</v>
      </c>
      <c r="E752" s="4" t="str">
        <f t="array" ref="E752">INDEX(consolid1!$I$2:$I$904,MATCH(A752,consolid1!$B$2:$B$904,0))</f>
        <v>#N/A</v>
      </c>
      <c r="F752" s="4" t="str">
        <f t="array" ref="F752">INDEX(consolid1!$G$2:$G1534,MATCH(A752,consolid1!$B$2:$B1534,0))</f>
        <v>#N/A</v>
      </c>
    </row>
    <row r="753">
      <c r="A753" s="4" t="s">
        <v>2072</v>
      </c>
      <c r="B753" s="3">
        <v>0.0</v>
      </c>
      <c r="C753" s="3" t="s">
        <v>3</v>
      </c>
      <c r="D753" s="4" t="str">
        <f t="shared" si="1"/>
        <v>SANS</v>
      </c>
      <c r="E753" s="4" t="str">
        <f t="array" ref="E753">INDEX(consolid1!$I$2:$I$904,MATCH(A753,consolid1!$B$2:$B$904,0))</f>
        <v>#N/A</v>
      </c>
      <c r="F753" s="4" t="str">
        <f t="array" ref="F753">INDEX(consolid1!$G$2:$G1534,MATCH(A753,consolid1!$B$2:$B1534,0))</f>
        <v>#N/A</v>
      </c>
    </row>
    <row r="754">
      <c r="A754" s="4" t="s">
        <v>2074</v>
      </c>
      <c r="B754" s="3">
        <v>0.0</v>
      </c>
      <c r="C754" s="3" t="s">
        <v>3</v>
      </c>
      <c r="D754" s="4" t="str">
        <f t="shared" si="1"/>
        <v>SANS</v>
      </c>
      <c r="E754" s="4" t="str">
        <f t="array" ref="E754">INDEX(consolid1!$I$2:$I$904,MATCH(A754,consolid1!$B$2:$B$904,0))</f>
        <v>#N/A</v>
      </c>
      <c r="F754" s="4" t="str">
        <f t="array" ref="F754">INDEX(consolid1!$G$2:$G1534,MATCH(A754,consolid1!$B$2:$B1534,0))</f>
        <v>#N/A</v>
      </c>
    </row>
    <row r="755">
      <c r="A755" s="4" t="s">
        <v>54</v>
      </c>
      <c r="B755" s="3">
        <v>0.0</v>
      </c>
      <c r="C755" s="3" t="s">
        <v>3</v>
      </c>
      <c r="D755" s="4" t="str">
        <f t="shared" si="1"/>
        <v>SANS</v>
      </c>
      <c r="E755" s="4" t="str">
        <f t="array" ref="E755">INDEX(consolid1!$I$2:$I$904,MATCH(A755,consolid1!$B$2:$B$904,0))</f>
        <v>#N/A</v>
      </c>
      <c r="F755" s="4" t="str">
        <f t="array" ref="F755">INDEX(consolid1!$G$2:$G1534,MATCH(A755,consolid1!$B$2:$B1534,0))</f>
        <v>#N/A</v>
      </c>
    </row>
    <row r="756">
      <c r="A756" s="4" t="s">
        <v>59</v>
      </c>
      <c r="B756" s="3">
        <v>0.0</v>
      </c>
      <c r="C756" s="3" t="s">
        <v>3</v>
      </c>
      <c r="D756" s="4" t="str">
        <f t="shared" si="1"/>
        <v>SANS</v>
      </c>
      <c r="E756" s="4" t="str">
        <f t="array" ref="E756">INDEX(consolid1!$I$2:$I$904,MATCH(A756,consolid1!$B$2:$B$904,0))</f>
        <v>#N/A</v>
      </c>
      <c r="F756" s="4" t="str">
        <f t="array" ref="F756">INDEX(consolid1!$G$2:$G1534,MATCH(A756,consolid1!$B$2:$B1534,0))</f>
        <v>#N/A</v>
      </c>
    </row>
    <row r="757">
      <c r="A757" s="4" t="s">
        <v>60</v>
      </c>
      <c r="B757" s="3">
        <v>0.0</v>
      </c>
      <c r="C757" s="3" t="s">
        <v>3</v>
      </c>
      <c r="D757" s="4" t="str">
        <f t="shared" si="1"/>
        <v>SANS</v>
      </c>
      <c r="E757" s="4" t="str">
        <f t="array" ref="E757">INDEX(consolid1!$I$2:$I$904,MATCH(A757,consolid1!$B$2:$B$904,0))</f>
        <v>#N/A</v>
      </c>
      <c r="F757" s="4" t="str">
        <f t="array" ref="F757">INDEX(consolid1!$G$2:$G1534,MATCH(A757,consolid1!$B$2:$B1534,0))</f>
        <v>#N/A</v>
      </c>
    </row>
    <row r="758">
      <c r="A758" s="4" t="s">
        <v>61</v>
      </c>
      <c r="B758" s="3">
        <v>0.0</v>
      </c>
      <c r="C758" s="3" t="s">
        <v>3</v>
      </c>
      <c r="D758" s="4" t="str">
        <f t="shared" si="1"/>
        <v>SANS</v>
      </c>
      <c r="E758" s="4" t="str">
        <f t="array" ref="E758">INDEX(consolid1!$I$2:$I$904,MATCH(A758,consolid1!$B$2:$B$904,0))</f>
        <v>#N/A</v>
      </c>
      <c r="F758" s="4" t="str">
        <f t="array" ref="F758">INDEX(consolid1!$G$2:$G1534,MATCH(A758,consolid1!$B$2:$B1534,0))</f>
        <v>#N/A</v>
      </c>
    </row>
    <row r="759">
      <c r="A759" s="4" t="s">
        <v>66</v>
      </c>
      <c r="B759" s="3">
        <v>0.0</v>
      </c>
      <c r="C759" s="3" t="s">
        <v>6</v>
      </c>
      <c r="D759" s="4" t="str">
        <f t="shared" si="1"/>
        <v>SANS</v>
      </c>
      <c r="E759" s="4" t="str">
        <f t="array" ref="E759">INDEX(consolid1!$I$2:$I$904,MATCH(A759,consolid1!$B$2:$B$904,0))</f>
        <v>#N/A</v>
      </c>
      <c r="F759" s="4" t="str">
        <f t="array" ref="F759">INDEX(consolid1!$G$2:$G1534,MATCH(A759,consolid1!$B$2:$B1534,0))</f>
        <v>#N/A</v>
      </c>
    </row>
    <row r="760">
      <c r="A760" s="4" t="s">
        <v>73</v>
      </c>
      <c r="B760" s="3">
        <v>0.0</v>
      </c>
      <c r="C760" s="3" t="s">
        <v>6</v>
      </c>
      <c r="D760" s="4" t="str">
        <f t="shared" si="1"/>
        <v>SANS</v>
      </c>
      <c r="E760" s="4" t="str">
        <f t="array" ref="E760">INDEX(consolid1!$I$2:$I$904,MATCH(A760,consolid1!$B$2:$B$904,0))</f>
        <v>#N/A</v>
      </c>
      <c r="F760" s="4" t="str">
        <f t="array" ref="F760">INDEX(consolid1!$G$2:$G1534,MATCH(A760,consolid1!$B$2:$B1534,0))</f>
        <v>#N/A</v>
      </c>
    </row>
    <row r="761">
      <c r="A761" s="4" t="s">
        <v>80</v>
      </c>
      <c r="B761" s="3">
        <v>0.0</v>
      </c>
      <c r="C761" s="3" t="s">
        <v>3</v>
      </c>
      <c r="D761" s="4" t="str">
        <f t="shared" si="1"/>
        <v>SANS</v>
      </c>
      <c r="E761" s="4" t="str">
        <f t="array" ref="E761">INDEX(consolid1!$I$2:$I$904,MATCH(A761,consolid1!$B$2:$B$904,0))</f>
        <v>#N/A</v>
      </c>
      <c r="F761" s="4" t="str">
        <f t="array" ref="F761">INDEX(consolid1!$G$2:$G1534,MATCH(A761,consolid1!$B$2:$B1534,0))</f>
        <v>#N/A</v>
      </c>
    </row>
    <row r="762">
      <c r="A762" s="4" t="s">
        <v>86</v>
      </c>
      <c r="B762" s="3">
        <v>0.0</v>
      </c>
      <c r="C762" s="3" t="s">
        <v>32</v>
      </c>
      <c r="D762" s="4" t="str">
        <f t="shared" si="1"/>
        <v>SANS</v>
      </c>
      <c r="E762" s="4" t="str">
        <f t="array" ref="E762">INDEX(consolid1!$I$2:$I$904,MATCH(A762,consolid1!$B$2:$B$904,0))</f>
        <v>#N/A</v>
      </c>
      <c r="F762" s="4" t="str">
        <f t="array" ref="F762">INDEX(consolid1!$G$2:$G1534,MATCH(A762,consolid1!$B$2:$B1534,0))</f>
        <v>#N/A</v>
      </c>
    </row>
    <row r="763">
      <c r="A763" s="4" t="s">
        <v>87</v>
      </c>
      <c r="B763" s="3">
        <v>0.0</v>
      </c>
      <c r="C763" s="3" t="s">
        <v>3</v>
      </c>
      <c r="D763" s="4" t="str">
        <f t="shared" si="1"/>
        <v>SANS</v>
      </c>
      <c r="E763" s="4" t="str">
        <f t="array" ref="E763">INDEX(consolid1!$I$2:$I$904,MATCH(A763,consolid1!$B$2:$B$904,0))</f>
        <v>#N/A</v>
      </c>
      <c r="F763" s="4" t="str">
        <f t="array" ref="F763">INDEX(consolid1!$G$2:$G1534,MATCH(A763,consolid1!$B$2:$B1534,0))</f>
        <v>#N/A</v>
      </c>
    </row>
    <row r="764">
      <c r="A764" s="4" t="s">
        <v>90</v>
      </c>
      <c r="B764" s="3">
        <v>0.0</v>
      </c>
      <c r="C764" s="3" t="s">
        <v>3</v>
      </c>
      <c r="D764" s="4" t="str">
        <f t="shared" si="1"/>
        <v>SANS</v>
      </c>
      <c r="E764" s="4" t="str">
        <f t="array" ref="E764">INDEX(consolid1!$I$2:$I$904,MATCH(A764,consolid1!$B$2:$B$904,0))</f>
        <v>#N/A</v>
      </c>
      <c r="F764" s="4" t="str">
        <f t="array" ref="F764">INDEX(consolid1!$G$2:$G1534,MATCH(A764,consolid1!$B$2:$B1534,0))</f>
        <v>#N/A</v>
      </c>
    </row>
    <row r="765">
      <c r="A765" s="4" t="s">
        <v>91</v>
      </c>
      <c r="B765" s="3">
        <v>0.0</v>
      </c>
      <c r="C765" s="3" t="s">
        <v>3</v>
      </c>
      <c r="D765" s="4" t="str">
        <f t="shared" si="1"/>
        <v>SANS</v>
      </c>
      <c r="E765" s="4" t="str">
        <f t="array" ref="E765">INDEX(consolid1!$I$2:$I$904,MATCH(A765,consolid1!$B$2:$B$904,0))</f>
        <v>#N/A</v>
      </c>
      <c r="F765" s="4" t="str">
        <f t="array" ref="F765">INDEX(consolid1!$G$2:$G1534,MATCH(A765,consolid1!$B$2:$B1534,0))</f>
        <v>#N/A</v>
      </c>
    </row>
    <row r="766">
      <c r="A766" s="4" t="s">
        <v>92</v>
      </c>
      <c r="B766" s="3">
        <v>0.0</v>
      </c>
      <c r="C766" s="3" t="s">
        <v>6</v>
      </c>
      <c r="D766" s="4" t="str">
        <f t="shared" si="1"/>
        <v>SANS</v>
      </c>
      <c r="E766" s="4" t="str">
        <f t="array" ref="E766">INDEX(consolid1!$I$2:$I$904,MATCH(A766,consolid1!$B$2:$B$904,0))</f>
        <v>Cadre de vie environnement</v>
      </c>
      <c r="F766" s="4" t="str">
        <f t="array" ref="F766">INDEX(consolid1!$G$2:$G1534,MATCH(A766,consolid1!$B$2:$B1534,0))</f>
        <v>Rodolphe Peter</v>
      </c>
    </row>
    <row r="767">
      <c r="A767" s="4" t="s">
        <v>99</v>
      </c>
      <c r="B767" s="3">
        <v>0.0</v>
      </c>
      <c r="C767" s="3" t="s">
        <v>3</v>
      </c>
      <c r="D767" s="4" t="str">
        <f t="shared" si="1"/>
        <v>SANS</v>
      </c>
      <c r="E767" s="4" t="str">
        <f t="array" ref="E767">INDEX(consolid1!$I$2:$I$904,MATCH(A767,consolid1!$B$2:$B$904,0))</f>
        <v>#N/A</v>
      </c>
      <c r="F767" s="4" t="str">
        <f t="array" ref="F767">INDEX(consolid1!$G$2:$G1534,MATCH(A767,consolid1!$B$2:$B1534,0))</f>
        <v>#N/A</v>
      </c>
    </row>
    <row r="768">
      <c r="A768" s="4" t="s">
        <v>100</v>
      </c>
      <c r="B768" s="3">
        <v>0.0</v>
      </c>
      <c r="C768" s="3" t="s">
        <v>3</v>
      </c>
      <c r="D768" s="4" t="str">
        <f t="shared" si="1"/>
        <v>SANS</v>
      </c>
      <c r="E768" s="4" t="str">
        <f t="array" ref="E768">INDEX(consolid1!$I$2:$I$904,MATCH(A768,consolid1!$B$2:$B$904,0))</f>
        <v>#N/A</v>
      </c>
      <c r="F768" s="4" t="str">
        <f t="array" ref="F768">INDEX(consolid1!$G$2:$G1534,MATCH(A768,consolid1!$B$2:$B1534,0))</f>
        <v>#N/A</v>
      </c>
    </row>
    <row r="769">
      <c r="A769" s="4" t="s">
        <v>101</v>
      </c>
      <c r="B769" s="3">
        <v>0.0</v>
      </c>
      <c r="C769" s="3" t="s">
        <v>3</v>
      </c>
      <c r="D769" s="4" t="str">
        <f t="shared" si="1"/>
        <v>SANS</v>
      </c>
      <c r="E769" s="4" t="str">
        <f t="array" ref="E769">INDEX(consolid1!$I$2:$I$904,MATCH(A769,consolid1!$B$2:$B$904,0))</f>
        <v>#N/A</v>
      </c>
      <c r="F769" s="4" t="str">
        <f t="array" ref="F769">INDEX(consolid1!$G$2:$G1534,MATCH(A769,consolid1!$B$2:$B1534,0))</f>
        <v>#N/A</v>
      </c>
    </row>
    <row r="770">
      <c r="A770" s="4" t="s">
        <v>102</v>
      </c>
      <c r="B770" s="3">
        <v>0.0</v>
      </c>
      <c r="C770" s="3" t="s">
        <v>3</v>
      </c>
      <c r="D770" s="4" t="str">
        <f t="shared" si="1"/>
        <v>SANS</v>
      </c>
      <c r="E770" s="4" t="str">
        <f t="array" ref="E770">INDEX(consolid1!$I$2:$I$904,MATCH(A770,consolid1!$B$2:$B$904,0))</f>
        <v>#N/A</v>
      </c>
      <c r="F770" s="4" t="str">
        <f t="array" ref="F770">INDEX(consolid1!$G$2:$G1534,MATCH(A770,consolid1!$B$2:$B1534,0))</f>
        <v>#N/A</v>
      </c>
    </row>
    <row r="771">
      <c r="A771" s="4" t="s">
        <v>104</v>
      </c>
      <c r="B771" s="3">
        <v>0.0</v>
      </c>
      <c r="C771" s="3" t="s">
        <v>3</v>
      </c>
      <c r="D771" s="4" t="str">
        <f t="shared" si="1"/>
        <v>SANS</v>
      </c>
      <c r="E771" s="4" t="str">
        <f t="array" ref="E771">INDEX(consolid1!$I$2:$I$904,MATCH(A771,consolid1!$B$2:$B$904,0))</f>
        <v>#N/A</v>
      </c>
      <c r="F771" s="4" t="str">
        <f t="array" ref="F771">INDEX(consolid1!$G$2:$G1534,MATCH(A771,consolid1!$B$2:$B1534,0))</f>
        <v>#N/A</v>
      </c>
    </row>
    <row r="772">
      <c r="A772" s="4" t="s">
        <v>105</v>
      </c>
      <c r="B772" s="3">
        <v>0.0</v>
      </c>
      <c r="C772" s="3" t="s">
        <v>3</v>
      </c>
      <c r="D772" s="4" t="str">
        <f t="shared" si="1"/>
        <v>SANS</v>
      </c>
      <c r="E772" s="4" t="str">
        <f t="array" ref="E772">INDEX(consolid1!$I$2:$I$904,MATCH(A772,consolid1!$B$2:$B$904,0))</f>
        <v>#N/A</v>
      </c>
      <c r="F772" s="4" t="str">
        <f t="array" ref="F772">INDEX(consolid1!$G$2:$G1534,MATCH(A772,consolid1!$B$2:$B1534,0))</f>
        <v>#N/A</v>
      </c>
    </row>
    <row r="773">
      <c r="A773" s="4" t="s">
        <v>2082</v>
      </c>
      <c r="B773" s="3">
        <v>0.0</v>
      </c>
      <c r="C773" s="3" t="s">
        <v>3</v>
      </c>
      <c r="D773" s="4" t="str">
        <f t="shared" si="1"/>
        <v>SANS</v>
      </c>
      <c r="E773" s="4" t="str">
        <f t="array" ref="E773">INDEX(consolid1!$I$2:$I$904,MATCH(A773,consolid1!$B$2:$B$904,0))</f>
        <v>#N/A</v>
      </c>
      <c r="F773" s="4" t="str">
        <f t="array" ref="F773">INDEX(consolid1!$G$2:$G1534,MATCH(A773,consolid1!$B$2:$B1534,0))</f>
        <v>#N/A</v>
      </c>
    </row>
    <row r="774">
      <c r="A774" s="4" t="s">
        <v>110</v>
      </c>
      <c r="B774" s="3">
        <v>0.0</v>
      </c>
      <c r="C774" s="3" t="s">
        <v>3</v>
      </c>
      <c r="D774" s="4" t="str">
        <f t="shared" si="1"/>
        <v>SANS</v>
      </c>
      <c r="E774" s="4" t="str">
        <f t="array" ref="E774">INDEX(consolid1!$I$2:$I$904,MATCH(A774,consolid1!$B$2:$B$904,0))</f>
        <v>#N/A</v>
      </c>
      <c r="F774" s="4" t="str">
        <f t="array" ref="F774">INDEX(consolid1!$G$2:$G1534,MATCH(A774,consolid1!$B$2:$B1534,0))</f>
        <v>#N/A</v>
      </c>
    </row>
    <row r="775">
      <c r="A775" s="4" t="s">
        <v>2084</v>
      </c>
      <c r="B775" s="3">
        <v>0.0</v>
      </c>
      <c r="C775" s="3" t="s">
        <v>3</v>
      </c>
      <c r="D775" s="4" t="str">
        <f t="shared" si="1"/>
        <v>SANS</v>
      </c>
      <c r="E775" s="4" t="str">
        <f t="array" ref="E775">INDEX(consolid1!$I$2:$I$904,MATCH(A775,consolid1!$B$2:$B$904,0))</f>
        <v>#N/A</v>
      </c>
      <c r="F775" s="4" t="str">
        <f t="array" ref="F775">INDEX(consolid1!$G$2:$G1534,MATCH(A775,consolid1!$B$2:$B1534,0))</f>
        <v>#N/A</v>
      </c>
    </row>
    <row r="776">
      <c r="A776" s="4" t="s">
        <v>121</v>
      </c>
      <c r="B776" s="3">
        <v>0.0</v>
      </c>
      <c r="C776" s="3" t="s">
        <v>3</v>
      </c>
      <c r="D776" s="4" t="str">
        <f t="shared" si="1"/>
        <v>SANS</v>
      </c>
      <c r="E776" s="4" t="str">
        <f t="array" ref="E776">INDEX(consolid1!$I$2:$I$904,MATCH(A776,consolid1!$B$2:$B$904,0))</f>
        <v>#N/A</v>
      </c>
      <c r="F776" s="4" t="str">
        <f t="array" ref="F776">INDEX(consolid1!$G$2:$G1534,MATCH(A776,consolid1!$B$2:$B1534,0))</f>
        <v>#N/A</v>
      </c>
    </row>
    <row r="777">
      <c r="A777" s="4" t="s">
        <v>2087</v>
      </c>
      <c r="B777" s="3">
        <v>0.0</v>
      </c>
      <c r="C777" s="3" t="s">
        <v>29</v>
      </c>
      <c r="D777" s="4" t="str">
        <f t="shared" si="1"/>
        <v>SANS</v>
      </c>
      <c r="E777" s="4" t="str">
        <f t="array" ref="E777">INDEX(consolid1!$I$2:$I$904,MATCH(A777,consolid1!$B$2:$B$904,0))</f>
        <v>#N/A</v>
      </c>
      <c r="F777" s="4" t="str">
        <f t="array" ref="F777">INDEX(consolid1!$G$2:$G1534,MATCH(A777,consolid1!$B$2:$B1534,0))</f>
        <v>#N/A</v>
      </c>
    </row>
    <row r="778">
      <c r="A778" s="4" t="s">
        <v>131</v>
      </c>
      <c r="B778" s="3">
        <v>0.0</v>
      </c>
      <c r="C778" s="3" t="s">
        <v>3</v>
      </c>
      <c r="D778" s="4" t="str">
        <f t="shared" si="1"/>
        <v>SANS</v>
      </c>
      <c r="E778" s="4" t="str">
        <f t="array" ref="E778">INDEX(consolid1!$I$2:$I$904,MATCH(A778,consolid1!$B$2:$B$904,0))</f>
        <v>#N/A</v>
      </c>
      <c r="F778" s="4" t="str">
        <f t="array" ref="F778">INDEX(consolid1!$G$2:$G1534,MATCH(A778,consolid1!$B$2:$B1534,0))</f>
        <v>#N/A</v>
      </c>
    </row>
    <row r="779">
      <c r="A779" s="4" t="s">
        <v>132</v>
      </c>
      <c r="B779" s="3">
        <v>0.0</v>
      </c>
      <c r="C779" s="3" t="s">
        <v>3</v>
      </c>
      <c r="D779" s="4" t="str">
        <f t="shared" si="1"/>
        <v>SANS</v>
      </c>
      <c r="E779" s="4" t="str">
        <f t="array" ref="E779">INDEX(consolid1!$I$2:$I$904,MATCH(A779,consolid1!$B$2:$B$904,0))</f>
        <v>#N/A</v>
      </c>
      <c r="F779" s="4" t="str">
        <f t="array" ref="F779">INDEX(consolid1!$G$2:$G1534,MATCH(A779,consolid1!$B$2:$B1534,0))</f>
        <v>#N/A</v>
      </c>
    </row>
    <row r="780">
      <c r="A780" s="4" t="s">
        <v>140</v>
      </c>
      <c r="B780" s="3">
        <v>0.0</v>
      </c>
      <c r="C780" s="3" t="s">
        <v>6</v>
      </c>
      <c r="D780" s="4" t="str">
        <f t="shared" si="1"/>
        <v>SANS</v>
      </c>
      <c r="E780" s="4" t="str">
        <f t="array" ref="E780">INDEX(consolid1!$I$2:$I$904,MATCH(A780,consolid1!$B$2:$B$904,0))</f>
        <v>#N/A</v>
      </c>
      <c r="F780" s="4" t="str">
        <f t="array" ref="F780">INDEX(consolid1!$G$2:$G1534,MATCH(A780,consolid1!$B$2:$B1534,0))</f>
        <v>#N/A</v>
      </c>
    </row>
    <row r="781">
      <c r="A781" s="4" t="s">
        <v>141</v>
      </c>
      <c r="B781" s="3">
        <v>0.0</v>
      </c>
      <c r="C781" s="3" t="s">
        <v>3</v>
      </c>
      <c r="D781" s="4" t="str">
        <f t="shared" si="1"/>
        <v>SANS</v>
      </c>
      <c r="E781" s="4" t="str">
        <f t="array" ref="E781">INDEX(consolid1!$I$2:$I$904,MATCH(A781,consolid1!$B$2:$B$904,0))</f>
        <v>#N/A</v>
      </c>
      <c r="F781" s="4" t="str">
        <f t="array" ref="F781">INDEX(consolid1!$G$2:$G1534,MATCH(A781,consolid1!$B$2:$B1534,0))</f>
        <v>#N/A</v>
      </c>
    </row>
    <row r="782">
      <c r="A782" s="4" t="s">
        <v>142</v>
      </c>
      <c r="B782" s="3">
        <v>0.0</v>
      </c>
      <c r="C782" s="3" t="s">
        <v>3</v>
      </c>
      <c r="D782" s="4" t="str">
        <f t="shared" si="1"/>
        <v>SANS</v>
      </c>
      <c r="E782" s="4" t="str">
        <f t="array" ref="E782">INDEX(consolid1!$I$2:$I$904,MATCH(A782,consolid1!$B$2:$B$904,0))</f>
        <v>#N/A</v>
      </c>
      <c r="F782" s="4" t="str">
        <f t="array" ref="F782">INDEX(consolid1!$G$2:$G1534,MATCH(A782,consolid1!$B$2:$B1534,0))</f>
        <v>#N/A</v>
      </c>
    </row>
    <row r="783">
      <c r="A783" s="4" t="s">
        <v>143</v>
      </c>
      <c r="B783" s="3">
        <v>0.0</v>
      </c>
      <c r="C783" s="3" t="s">
        <v>32</v>
      </c>
      <c r="D783" s="4" t="str">
        <f t="shared" si="1"/>
        <v>SANS</v>
      </c>
      <c r="E783" s="4" t="str">
        <f t="array" ref="E783">INDEX(consolid1!$I$2:$I$904,MATCH(A783,consolid1!$B$2:$B$904,0))</f>
        <v>#N/A</v>
      </c>
      <c r="F783" s="4" t="str">
        <f t="array" ref="F783">INDEX(consolid1!$G$2:$G1534,MATCH(A783,consolid1!$B$2:$B1534,0))</f>
        <v>#N/A</v>
      </c>
    </row>
    <row r="784">
      <c r="A784" s="4" t="s">
        <v>144</v>
      </c>
      <c r="B784" s="3">
        <v>0.0</v>
      </c>
      <c r="C784" s="3" t="s">
        <v>3</v>
      </c>
      <c r="D784" s="4" t="str">
        <f t="shared" si="1"/>
        <v>SANS</v>
      </c>
      <c r="E784" s="4" t="str">
        <f t="array" ref="E784">INDEX(consolid1!$I$2:$I$904,MATCH(A784,consolid1!$B$2:$B$904,0))</f>
        <v>#N/A</v>
      </c>
      <c r="F784" s="4" t="str">
        <f t="array" ref="F784">INDEX(consolid1!$G$2:$G1534,MATCH(A784,consolid1!$B$2:$B1534,0))</f>
        <v>#N/A</v>
      </c>
    </row>
    <row r="785">
      <c r="A785" s="4" t="s">
        <v>147</v>
      </c>
      <c r="B785" s="3">
        <v>0.0</v>
      </c>
      <c r="C785" s="3" t="s">
        <v>3</v>
      </c>
      <c r="D785" s="4" t="str">
        <f t="shared" si="1"/>
        <v>SANS</v>
      </c>
      <c r="E785" s="4" t="str">
        <f t="array" ref="E785">INDEX(consolid1!$I$2:$I$904,MATCH(A785,consolid1!$B$2:$B$904,0))</f>
        <v>#N/A</v>
      </c>
      <c r="F785" s="4" t="str">
        <f t="array" ref="F785">INDEX(consolid1!$G$2:$G1534,MATCH(A785,consolid1!$B$2:$B1534,0))</f>
        <v>#N/A</v>
      </c>
    </row>
    <row r="786">
      <c r="A786" s="4" t="s">
        <v>148</v>
      </c>
      <c r="B786" s="3">
        <v>0.0</v>
      </c>
      <c r="C786" s="3" t="s">
        <v>6</v>
      </c>
      <c r="D786" s="4" t="str">
        <f t="shared" si="1"/>
        <v>SANS</v>
      </c>
      <c r="E786" s="4" t="str">
        <f t="array" ref="E786">INDEX(consolid1!$I$2:$I$904,MATCH(A786,consolid1!$B$2:$B$904,0))</f>
        <v>#N/A</v>
      </c>
      <c r="F786" s="4" t="str">
        <f t="array" ref="F786">INDEX(consolid1!$G$2:$G1534,MATCH(A786,consolid1!$B$2:$B1534,0))</f>
        <v>#N/A</v>
      </c>
    </row>
    <row r="787">
      <c r="A787" s="4" t="s">
        <v>153</v>
      </c>
      <c r="B787" s="3">
        <v>0.0</v>
      </c>
      <c r="C787" s="3" t="s">
        <v>29</v>
      </c>
      <c r="D787" s="4" t="str">
        <f t="shared" si="1"/>
        <v>SANS</v>
      </c>
      <c r="E787" s="4" t="str">
        <f t="array" ref="E787">INDEX(consolid1!$I$2:$I$904,MATCH(A787,consolid1!$B$2:$B$904,0))</f>
        <v>#N/A</v>
      </c>
      <c r="F787" s="4" t="str">
        <f t="array" ref="F787">INDEX(consolid1!$G$2:$G1534,MATCH(A787,consolid1!$B$2:$B1534,0))</f>
        <v>#N/A</v>
      </c>
    </row>
    <row r="788">
      <c r="A788" s="4" t="s">
        <v>154</v>
      </c>
      <c r="B788" s="3">
        <v>0.0</v>
      </c>
      <c r="C788" s="3" t="s">
        <v>32</v>
      </c>
      <c r="D788" s="4" t="str">
        <f t="shared" si="1"/>
        <v>SANS</v>
      </c>
      <c r="E788" s="4" t="str">
        <f t="array" ref="E788">INDEX(consolid1!$I$2:$I$904,MATCH(A788,consolid1!$B$2:$B$904,0))</f>
        <v>#N/A</v>
      </c>
      <c r="F788" s="4" t="str">
        <f t="array" ref="F788">INDEX(consolid1!$G$2:$G1534,MATCH(A788,consolid1!$B$2:$B1534,0))</f>
        <v>#N/A</v>
      </c>
    </row>
    <row r="789">
      <c r="A789" s="4" t="s">
        <v>155</v>
      </c>
      <c r="B789" s="3">
        <v>0.0</v>
      </c>
      <c r="C789" s="3" t="s">
        <v>3</v>
      </c>
      <c r="D789" s="4" t="str">
        <f t="shared" si="1"/>
        <v>SANS</v>
      </c>
      <c r="E789" s="4" t="str">
        <f t="array" ref="E789">INDEX(consolid1!$I$2:$I$904,MATCH(A789,consolid1!$B$2:$B$904,0))</f>
        <v>#N/A</v>
      </c>
      <c r="F789" s="4" t="str">
        <f t="array" ref="F789">INDEX(consolid1!$G$2:$G1534,MATCH(A789,consolid1!$B$2:$B1534,0))</f>
        <v>#N/A</v>
      </c>
    </row>
    <row r="790">
      <c r="A790" s="4" t="s">
        <v>156</v>
      </c>
      <c r="B790" s="3">
        <v>0.0</v>
      </c>
      <c r="C790" s="3" t="s">
        <v>6</v>
      </c>
      <c r="D790" s="4" t="str">
        <f t="shared" si="1"/>
        <v>SANS</v>
      </c>
      <c r="E790" s="4" t="str">
        <f t="array" ref="E790">INDEX(consolid1!$I$2:$I$904,MATCH(A790,consolid1!$B$2:$B$904,0))</f>
        <v>#N/A</v>
      </c>
      <c r="F790" s="4" t="str">
        <f t="array" ref="F790">INDEX(consolid1!$G$2:$G1534,MATCH(A790,consolid1!$B$2:$B1534,0))</f>
        <v>#N/A</v>
      </c>
    </row>
    <row r="791">
      <c r="A791" s="4" t="s">
        <v>160</v>
      </c>
      <c r="B791" s="3">
        <v>0.0</v>
      </c>
      <c r="C791" s="3" t="s">
        <v>26</v>
      </c>
      <c r="D791" s="4" t="str">
        <f t="shared" si="1"/>
        <v>SANS</v>
      </c>
      <c r="E791" s="4" t="str">
        <f t="array" ref="E791">INDEX(consolid1!$I$2:$I$904,MATCH(A791,consolid1!$B$2:$B$904,0))</f>
        <v>#N/A</v>
      </c>
      <c r="F791" s="4" t="str">
        <f t="array" ref="F791">INDEX(consolid1!$G$2:$G1534,MATCH(A791,consolid1!$B$2:$B1534,0))</f>
        <v>#N/A</v>
      </c>
    </row>
    <row r="792">
      <c r="A792" s="4" t="s">
        <v>169</v>
      </c>
      <c r="B792" s="3">
        <v>0.0</v>
      </c>
      <c r="C792" s="3" t="s">
        <v>29</v>
      </c>
      <c r="D792" s="4" t="str">
        <f t="shared" si="1"/>
        <v>SANS</v>
      </c>
      <c r="E792" s="4" t="str">
        <f t="array" ref="E792">INDEX(consolid1!$I$2:$I$904,MATCH(A792,consolid1!$B$2:$B$904,0))</f>
        <v>#N/A</v>
      </c>
      <c r="F792" s="4" t="str">
        <f t="array" ref="F792">INDEX(consolid1!$G$2:$G1534,MATCH(A792,consolid1!$B$2:$B1534,0))</f>
        <v>#N/A</v>
      </c>
    </row>
    <row r="793">
      <c r="A793" s="4" t="s">
        <v>170</v>
      </c>
      <c r="B793" s="3">
        <v>0.0</v>
      </c>
      <c r="C793" s="3" t="s">
        <v>3</v>
      </c>
      <c r="D793" s="4" t="str">
        <f t="shared" si="1"/>
        <v>SANS</v>
      </c>
      <c r="E793" s="4" t="str">
        <f t="array" ref="E793">INDEX(consolid1!$I$2:$I$904,MATCH(A793,consolid1!$B$2:$B$904,0))</f>
        <v>#N/A</v>
      </c>
      <c r="F793" s="4" t="str">
        <f t="array" ref="F793">INDEX(consolid1!$G$2:$G1534,MATCH(A793,consolid1!$B$2:$B1534,0))</f>
        <v>#N/A</v>
      </c>
    </row>
    <row r="794">
      <c r="A794" s="4" t="s">
        <v>177</v>
      </c>
      <c r="B794" s="3">
        <v>0.0</v>
      </c>
      <c r="C794" s="3" t="s">
        <v>3</v>
      </c>
      <c r="D794" s="4" t="str">
        <f t="shared" si="1"/>
        <v>SANS</v>
      </c>
      <c r="E794" s="4" t="str">
        <f t="array" ref="E794">INDEX(consolid1!$I$2:$I$904,MATCH(A794,consolid1!$B$2:$B$904,0))</f>
        <v>Santé, bien-être</v>
      </c>
      <c r="F794" s="4" t="str">
        <f t="array" ref="F794">INDEX(consolid1!$G$2:$G1534,MATCH(A794,consolid1!$B$2:$B1534,0))</f>
        <v>null</v>
      </c>
    </row>
    <row r="795">
      <c r="A795" s="4" t="s">
        <v>178</v>
      </c>
      <c r="B795" s="3">
        <v>0.0</v>
      </c>
      <c r="C795" s="3" t="s">
        <v>6</v>
      </c>
      <c r="D795" s="4" t="str">
        <f t="shared" si="1"/>
        <v>SANS</v>
      </c>
      <c r="E795" s="4" t="str">
        <f t="array" ref="E795">INDEX(consolid1!$I$2:$I$904,MATCH(A795,consolid1!$B$2:$B$904,0))</f>
        <v>#N/A</v>
      </c>
      <c r="F795" s="4" t="str">
        <f t="array" ref="F795">INDEX(consolid1!$G$2:$G1534,MATCH(A795,consolid1!$B$2:$B1534,0))</f>
        <v>#N/A</v>
      </c>
    </row>
    <row r="796">
      <c r="A796" s="4" t="s">
        <v>179</v>
      </c>
      <c r="B796" s="3">
        <v>0.0</v>
      </c>
      <c r="C796" s="3" t="s">
        <v>3</v>
      </c>
      <c r="D796" s="4" t="str">
        <f t="shared" si="1"/>
        <v>SANS</v>
      </c>
      <c r="E796" s="4" t="str">
        <f t="array" ref="E796">INDEX(consolid1!$I$2:$I$904,MATCH(A796,consolid1!$B$2:$B$904,0))</f>
        <v>#N/A</v>
      </c>
      <c r="F796" s="4" t="str">
        <f t="array" ref="F796">INDEX(consolid1!$G$2:$G1534,MATCH(A796,consolid1!$B$2:$B1534,0))</f>
        <v>#N/A</v>
      </c>
    </row>
    <row r="797">
      <c r="A797" s="4" t="s">
        <v>182</v>
      </c>
      <c r="B797" s="3">
        <v>0.0</v>
      </c>
      <c r="C797" s="3" t="s">
        <v>3</v>
      </c>
      <c r="D797" s="4" t="str">
        <f t="shared" si="1"/>
        <v>SANS</v>
      </c>
      <c r="E797" s="4" t="str">
        <f t="array" ref="E797">INDEX(consolid1!$I$2:$I$904,MATCH(A797,consolid1!$B$2:$B$904,0))</f>
        <v>#N/A</v>
      </c>
      <c r="F797" s="4" t="str">
        <f t="array" ref="F797">INDEX(consolid1!$G$2:$G1534,MATCH(A797,consolid1!$B$2:$B1534,0))</f>
        <v>#N/A</v>
      </c>
    </row>
    <row r="798">
      <c r="A798" s="4" t="s">
        <v>183</v>
      </c>
      <c r="B798" s="3">
        <v>0.0</v>
      </c>
      <c r="C798" s="3" t="s">
        <v>3</v>
      </c>
      <c r="D798" s="4" t="str">
        <f t="shared" si="1"/>
        <v>SANS</v>
      </c>
      <c r="E798" s="4" t="str">
        <f t="array" ref="E798">INDEX(consolid1!$I$2:$I$904,MATCH(A798,consolid1!$B$2:$B$904,0))</f>
        <v>#N/A</v>
      </c>
      <c r="F798" s="4" t="str">
        <f t="array" ref="F798">INDEX(consolid1!$G$2:$G1534,MATCH(A798,consolid1!$B$2:$B1534,0))</f>
        <v>#N/A</v>
      </c>
    </row>
    <row r="799">
      <c r="A799" s="4" t="s">
        <v>184</v>
      </c>
      <c r="B799" s="3">
        <v>0.0</v>
      </c>
      <c r="C799" s="3" t="s">
        <v>3</v>
      </c>
      <c r="D799" s="4" t="str">
        <f t="shared" si="1"/>
        <v>SANS</v>
      </c>
      <c r="E799" s="4" t="str">
        <f t="array" ref="E799">INDEX(consolid1!$I$2:$I$904,MATCH(A799,consolid1!$B$2:$B$904,0))</f>
        <v>#N/A</v>
      </c>
      <c r="F799" s="4" t="str">
        <f t="array" ref="F799">INDEX(consolid1!$G$2:$G1534,MATCH(A799,consolid1!$B$2:$B1534,0))</f>
        <v>#N/A</v>
      </c>
    </row>
    <row r="800">
      <c r="A800" s="4" t="s">
        <v>185</v>
      </c>
      <c r="B800" s="3">
        <v>0.0</v>
      </c>
      <c r="C800" s="3" t="s">
        <v>6</v>
      </c>
      <c r="D800" s="4" t="str">
        <f t="shared" si="1"/>
        <v>SANS</v>
      </c>
      <c r="E800" s="4" t="str">
        <f t="array" ref="E800">INDEX(consolid1!$I$2:$I$904,MATCH(A800,consolid1!$B$2:$B$904,0))</f>
        <v>#N/A</v>
      </c>
      <c r="F800" s="4" t="str">
        <f t="array" ref="F800">INDEX(consolid1!$G$2:$G1534,MATCH(A800,consolid1!$B$2:$B1534,0))</f>
        <v>#N/A</v>
      </c>
    </row>
    <row r="801">
      <c r="A801" s="4" t="s">
        <v>186</v>
      </c>
      <c r="B801" s="3">
        <v>0.0</v>
      </c>
      <c r="C801" s="3" t="s">
        <v>6</v>
      </c>
      <c r="D801" s="4" t="str">
        <f t="shared" si="1"/>
        <v>SANS</v>
      </c>
      <c r="E801" s="4" t="str">
        <f t="array" ref="E801">INDEX(consolid1!$I$2:$I$904,MATCH(A801,consolid1!$B$2:$B$904,0))</f>
        <v>#N/A</v>
      </c>
      <c r="F801" s="4" t="str">
        <f t="array" ref="F801">INDEX(consolid1!$G$2:$G1534,MATCH(A801,consolid1!$B$2:$B1534,0))</f>
        <v>#N/A</v>
      </c>
    </row>
    <row r="802">
      <c r="A802" s="4" t="s">
        <v>187</v>
      </c>
      <c r="B802" s="3">
        <v>0.0</v>
      </c>
      <c r="C802" s="3" t="s">
        <v>3</v>
      </c>
      <c r="D802" s="4" t="str">
        <f t="shared" si="1"/>
        <v>SANS</v>
      </c>
      <c r="E802" s="4" t="str">
        <f t="array" ref="E802">INDEX(consolid1!$I$2:$I$904,MATCH(A802,consolid1!$B$2:$B$904,0))</f>
        <v>#N/A</v>
      </c>
      <c r="F802" s="4" t="str">
        <f t="array" ref="F802">INDEX(consolid1!$G$2:$G1534,MATCH(A802,consolid1!$B$2:$B1534,0))</f>
        <v>#N/A</v>
      </c>
    </row>
    <row r="803">
      <c r="A803" s="4" t="s">
        <v>188</v>
      </c>
      <c r="B803" s="3">
        <v>0.0</v>
      </c>
      <c r="C803" s="3" t="s">
        <v>32</v>
      </c>
      <c r="D803" s="4" t="str">
        <f t="shared" si="1"/>
        <v>SANS</v>
      </c>
      <c r="E803" s="4" t="str">
        <f t="array" ref="E803">INDEX(consolid1!$I$2:$I$904,MATCH(A803,consolid1!$B$2:$B$904,0))</f>
        <v>#N/A</v>
      </c>
      <c r="F803" s="4" t="str">
        <f t="array" ref="F803">INDEX(consolid1!$G$2:$G1534,MATCH(A803,consolid1!$B$2:$B1534,0))</f>
        <v>#N/A</v>
      </c>
    </row>
    <row r="804">
      <c r="A804" s="4" t="s">
        <v>2090</v>
      </c>
      <c r="B804" s="3">
        <v>0.0</v>
      </c>
      <c r="C804" s="3" t="s">
        <v>3</v>
      </c>
      <c r="D804" s="4" t="str">
        <f t="shared" si="1"/>
        <v>SANS</v>
      </c>
      <c r="E804" s="4" t="str">
        <f t="array" ref="E804">INDEX(consolid1!$I$2:$I$904,MATCH(A804,consolid1!$B$2:$B$904,0))</f>
        <v>#N/A</v>
      </c>
      <c r="F804" s="4" t="str">
        <f t="array" ref="F804">INDEX(consolid1!$G$2:$G1534,MATCH(A804,consolid1!$B$2:$B1534,0))</f>
        <v>#N/A</v>
      </c>
    </row>
    <row r="805">
      <c r="A805" s="4" t="s">
        <v>191</v>
      </c>
      <c r="B805" s="3">
        <v>0.0</v>
      </c>
      <c r="C805" s="3" t="s">
        <v>3</v>
      </c>
      <c r="D805" s="4" t="str">
        <f t="shared" si="1"/>
        <v>SANS</v>
      </c>
      <c r="E805" s="4" t="str">
        <f t="array" ref="E805">INDEX(consolid1!$I$2:$I$904,MATCH(A805,consolid1!$B$2:$B$904,0))</f>
        <v>#N/A</v>
      </c>
      <c r="F805" s="4" t="str">
        <f t="array" ref="F805">INDEX(consolid1!$G$2:$G1534,MATCH(A805,consolid1!$B$2:$B1534,0))</f>
        <v>#N/A</v>
      </c>
    </row>
    <row r="806">
      <c r="A806" s="4" t="s">
        <v>192</v>
      </c>
      <c r="B806" s="3">
        <v>0.0</v>
      </c>
      <c r="C806" s="3" t="s">
        <v>26</v>
      </c>
      <c r="D806" s="4" t="str">
        <f t="shared" si="1"/>
        <v>SANS</v>
      </c>
      <c r="E806" s="4" t="str">
        <f t="array" ref="E806">INDEX(consolid1!$I$2:$I$904,MATCH(A806,consolid1!$B$2:$B$904,0))</f>
        <v>#N/A</v>
      </c>
      <c r="F806" s="4" t="str">
        <f t="array" ref="F806">INDEX(consolid1!$G$2:$G1534,MATCH(A806,consolid1!$B$2:$B1534,0))</f>
        <v>#N/A</v>
      </c>
    </row>
    <row r="807">
      <c r="A807" s="4" t="s">
        <v>194</v>
      </c>
      <c r="B807" s="3">
        <v>0.0</v>
      </c>
      <c r="C807" s="3" t="s">
        <v>29</v>
      </c>
      <c r="D807" s="4" t="str">
        <f t="shared" si="1"/>
        <v>SANS</v>
      </c>
      <c r="E807" s="4" t="str">
        <f t="array" ref="E807">INDEX(consolid1!$I$2:$I$904,MATCH(A807,consolid1!$B$2:$B$904,0))</f>
        <v>#N/A</v>
      </c>
      <c r="F807" s="4" t="str">
        <f t="array" ref="F807">INDEX(consolid1!$G$2:$G1534,MATCH(A807,consolid1!$B$2:$B1534,0))</f>
        <v>#N/A</v>
      </c>
    </row>
    <row r="808">
      <c r="A808" s="4" t="s">
        <v>2091</v>
      </c>
      <c r="B808" s="3">
        <v>0.0</v>
      </c>
      <c r="C808" s="3" t="s">
        <v>3</v>
      </c>
      <c r="D808" s="4" t="str">
        <f t="shared" si="1"/>
        <v>SANS</v>
      </c>
      <c r="E808" s="4" t="str">
        <f t="array" ref="E808">INDEX(consolid1!$I$2:$I$904,MATCH(A808,consolid1!$B$2:$B$904,0))</f>
        <v>#N/A</v>
      </c>
      <c r="F808" s="4" t="str">
        <f t="array" ref="F808">INDEX(consolid1!$G$2:$G1534,MATCH(A808,consolid1!$B$2:$B1534,0))</f>
        <v>#N/A</v>
      </c>
    </row>
    <row r="809">
      <c r="A809" s="4" t="s">
        <v>197</v>
      </c>
      <c r="B809" s="3">
        <v>0.0</v>
      </c>
      <c r="C809" s="3" t="s">
        <v>29</v>
      </c>
      <c r="D809" s="4" t="str">
        <f t="shared" si="1"/>
        <v>SANS</v>
      </c>
      <c r="E809" s="4" t="str">
        <f t="array" ref="E809">INDEX(consolid1!$I$2:$I$904,MATCH(A809,consolid1!$B$2:$B$904,0))</f>
        <v>#N/A</v>
      </c>
      <c r="F809" s="4" t="str">
        <f t="array" ref="F809">INDEX(consolid1!$G$2:$G1534,MATCH(A809,consolid1!$B$2:$B1534,0))</f>
        <v>#N/A</v>
      </c>
    </row>
    <row r="810">
      <c r="A810" s="4" t="s">
        <v>198</v>
      </c>
      <c r="B810" s="3">
        <v>0.0</v>
      </c>
      <c r="C810" s="3" t="s">
        <v>3</v>
      </c>
      <c r="D810" s="4" t="str">
        <f t="shared" si="1"/>
        <v>SANS</v>
      </c>
      <c r="E810" s="4" t="str">
        <f t="array" ref="E810">INDEX(consolid1!$I$2:$I$904,MATCH(A810,consolid1!$B$2:$B$904,0))</f>
        <v>#N/A</v>
      </c>
      <c r="F810" s="4" t="str">
        <f t="array" ref="F810">INDEX(consolid1!$G$2:$G1534,MATCH(A810,consolid1!$B$2:$B1534,0))</f>
        <v>#N/A</v>
      </c>
    </row>
    <row r="811">
      <c r="A811" s="4" t="s">
        <v>201</v>
      </c>
      <c r="B811" s="3">
        <v>0.0</v>
      </c>
      <c r="C811" s="3" t="s">
        <v>32</v>
      </c>
      <c r="D811" s="4" t="str">
        <f t="shared" si="1"/>
        <v>SANS</v>
      </c>
      <c r="E811" s="4" t="str">
        <f t="array" ref="E811">INDEX(consolid1!$I$2:$I$904,MATCH(A811,consolid1!$B$2:$B$904,0))</f>
        <v>#N/A</v>
      </c>
      <c r="F811" s="4" t="str">
        <f t="array" ref="F811">INDEX(consolid1!$G$2:$G1534,MATCH(A811,consolid1!$B$2:$B1534,0))</f>
        <v>#N/A</v>
      </c>
    </row>
    <row r="812">
      <c r="A812" s="4" t="s">
        <v>202</v>
      </c>
      <c r="B812" s="3">
        <v>0.0</v>
      </c>
      <c r="C812" s="3" t="s">
        <v>3</v>
      </c>
      <c r="D812" s="4" t="str">
        <f t="shared" si="1"/>
        <v>SANS</v>
      </c>
      <c r="E812" s="4" t="str">
        <f t="array" ref="E812">INDEX(consolid1!$I$2:$I$904,MATCH(A812,consolid1!$B$2:$B$904,0))</f>
        <v>#N/A</v>
      </c>
      <c r="F812" s="4" t="str">
        <f t="array" ref="F812">INDEX(consolid1!$G$2:$G1534,MATCH(A812,consolid1!$B$2:$B1534,0))</f>
        <v>#N/A</v>
      </c>
    </row>
    <row r="813">
      <c r="A813" s="4" t="s">
        <v>205</v>
      </c>
      <c r="B813" s="3">
        <v>0.0</v>
      </c>
      <c r="C813" s="3" t="s">
        <v>3</v>
      </c>
      <c r="D813" s="4" t="str">
        <f t="shared" si="1"/>
        <v>SANS</v>
      </c>
      <c r="E813" s="4" t="str">
        <f t="array" ref="E813">INDEX(consolid1!$I$2:$I$904,MATCH(A813,consolid1!$B$2:$B$904,0))</f>
        <v>#N/A</v>
      </c>
      <c r="F813" s="4" t="str">
        <f t="array" ref="F813">INDEX(consolid1!$G$2:$G1534,MATCH(A813,consolid1!$B$2:$B1534,0))</f>
        <v>#N/A</v>
      </c>
    </row>
    <row r="814">
      <c r="A814" s="4" t="s">
        <v>206</v>
      </c>
      <c r="B814" s="3">
        <v>0.0</v>
      </c>
      <c r="C814" s="3" t="s">
        <v>3</v>
      </c>
      <c r="D814" s="4" t="str">
        <f t="shared" si="1"/>
        <v>SANS</v>
      </c>
      <c r="E814" s="4" t="str">
        <f t="array" ref="E814">INDEX(consolid1!$I$2:$I$904,MATCH(A814,consolid1!$B$2:$B$904,0))</f>
        <v>#N/A</v>
      </c>
      <c r="F814" s="4" t="str">
        <f t="array" ref="F814">INDEX(consolid1!$G$2:$G1534,MATCH(A814,consolid1!$B$2:$B1534,0))</f>
        <v>#N/A</v>
      </c>
    </row>
    <row r="815">
      <c r="A815" s="4" t="s">
        <v>207</v>
      </c>
      <c r="B815" s="3">
        <v>0.0</v>
      </c>
      <c r="C815" s="3" t="s">
        <v>3</v>
      </c>
      <c r="D815" s="4" t="str">
        <f t="shared" si="1"/>
        <v>SANS</v>
      </c>
      <c r="E815" s="4" t="str">
        <f t="array" ref="E815">INDEX(consolid1!$I$2:$I$904,MATCH(A815,consolid1!$B$2:$B$904,0))</f>
        <v>#N/A</v>
      </c>
      <c r="F815" s="4" t="str">
        <f t="array" ref="F815">INDEX(consolid1!$G$2:$G1534,MATCH(A815,consolid1!$B$2:$B1534,0))</f>
        <v>#N/A</v>
      </c>
    </row>
    <row r="816">
      <c r="A816" s="4" t="s">
        <v>2092</v>
      </c>
      <c r="B816" s="3">
        <v>0.0</v>
      </c>
      <c r="C816" s="3" t="s">
        <v>3</v>
      </c>
      <c r="D816" s="4" t="str">
        <f t="shared" si="1"/>
        <v>SANS</v>
      </c>
      <c r="E816" s="4" t="str">
        <f t="array" ref="E816">INDEX(consolid1!$I$2:$I$904,MATCH(A816,consolid1!$B$2:$B$904,0))</f>
        <v>#N/A</v>
      </c>
      <c r="F816" s="4" t="str">
        <f t="array" ref="F816">INDEX(consolid1!$G$2:$G1534,MATCH(A816,consolid1!$B$2:$B1534,0))</f>
        <v>#N/A</v>
      </c>
    </row>
    <row r="817">
      <c r="A817" s="4" t="s">
        <v>210</v>
      </c>
      <c r="B817" s="3">
        <v>0.0</v>
      </c>
      <c r="C817" s="3" t="s">
        <v>3</v>
      </c>
      <c r="D817" s="4" t="str">
        <f t="shared" si="1"/>
        <v>SANS</v>
      </c>
      <c r="E817" s="4" t="str">
        <f t="array" ref="E817">INDEX(consolid1!$I$2:$I$904,MATCH(A817,consolid1!$B$2:$B$904,0))</f>
        <v>#N/A</v>
      </c>
      <c r="F817" s="4" t="str">
        <f t="array" ref="F817">INDEX(consolid1!$G$2:$G1534,MATCH(A817,consolid1!$B$2:$B1534,0))</f>
        <v>#N/A</v>
      </c>
    </row>
    <row r="818">
      <c r="A818" s="4" t="s">
        <v>211</v>
      </c>
      <c r="B818" s="3">
        <v>0.0</v>
      </c>
      <c r="C818" s="3" t="s">
        <v>6</v>
      </c>
      <c r="D818" s="4" t="str">
        <f t="shared" si="1"/>
        <v>SANS</v>
      </c>
      <c r="E818" s="4" t="str">
        <f t="array" ref="E818">INDEX(consolid1!$I$2:$I$904,MATCH(A818,consolid1!$B$2:$B$904,0))</f>
        <v>#N/A</v>
      </c>
      <c r="F818" s="4" t="str">
        <f t="array" ref="F818">INDEX(consolid1!$G$2:$G1534,MATCH(A818,consolid1!$B$2:$B1534,0))</f>
        <v>#N/A</v>
      </c>
    </row>
    <row r="819">
      <c r="A819" s="4" t="s">
        <v>212</v>
      </c>
      <c r="B819" s="3">
        <v>0.0</v>
      </c>
      <c r="C819" s="3" t="s">
        <v>29</v>
      </c>
      <c r="D819" s="4" t="str">
        <f t="shared" si="1"/>
        <v>SANS</v>
      </c>
      <c r="E819" s="4" t="str">
        <f t="array" ref="E819">INDEX(consolid1!$I$2:$I$904,MATCH(A819,consolid1!$B$2:$B$904,0))</f>
        <v>#N/A</v>
      </c>
      <c r="F819" s="4" t="str">
        <f t="array" ref="F819">INDEX(consolid1!$G$2:$G1534,MATCH(A819,consolid1!$B$2:$B1534,0))</f>
        <v>#N/A</v>
      </c>
    </row>
    <row r="820">
      <c r="A820" s="4" t="s">
        <v>215</v>
      </c>
      <c r="B820" s="3">
        <v>0.0</v>
      </c>
      <c r="C820" s="3" t="s">
        <v>216</v>
      </c>
      <c r="D820" s="4" t="str">
        <f t="shared" si="1"/>
        <v>SANS</v>
      </c>
      <c r="E820" s="4" t="str">
        <f t="array" ref="E820">INDEX(consolid1!$I$2:$I$904,MATCH(A820,consolid1!$B$2:$B$904,0))</f>
        <v>#N/A</v>
      </c>
      <c r="F820" s="4" t="str">
        <f t="array" ref="F820">INDEX(consolid1!$G$2:$G1534,MATCH(A820,consolid1!$B$2:$B1534,0))</f>
        <v>#N/A</v>
      </c>
    </row>
    <row r="821">
      <c r="A821" s="4" t="s">
        <v>220</v>
      </c>
      <c r="B821" s="3">
        <v>0.0</v>
      </c>
      <c r="C821" s="3" t="s">
        <v>6</v>
      </c>
      <c r="D821" s="4" t="str">
        <f t="shared" si="1"/>
        <v>SANS</v>
      </c>
      <c r="E821" s="4" t="str">
        <f t="array" ref="E821">INDEX(consolid1!$I$2:$I$904,MATCH(A821,consolid1!$B$2:$B$904,0))</f>
        <v>#N/A</v>
      </c>
      <c r="F821" s="4" t="str">
        <f t="array" ref="F821">INDEX(consolid1!$G$2:$G1534,MATCH(A821,consolid1!$B$2:$B1534,0))</f>
        <v>#N/A</v>
      </c>
    </row>
    <row r="822">
      <c r="A822" s="4" t="s">
        <v>2094</v>
      </c>
      <c r="B822" s="3">
        <v>0.0</v>
      </c>
      <c r="C822" s="3" t="s">
        <v>29</v>
      </c>
      <c r="D822" s="4" t="str">
        <f t="shared" si="1"/>
        <v>SANS</v>
      </c>
      <c r="E822" s="4" t="str">
        <f t="array" ref="E822">INDEX(consolid1!$I$2:$I$904,MATCH(A822,consolid1!$B$2:$B$904,0))</f>
        <v>#N/A</v>
      </c>
      <c r="F822" s="4" t="str">
        <f t="array" ref="F822">INDEX(consolid1!$G$2:$G1534,MATCH(A822,consolid1!$B$2:$B1534,0))</f>
        <v>#N/A</v>
      </c>
    </row>
    <row r="823">
      <c r="A823" s="4" t="s">
        <v>225</v>
      </c>
      <c r="B823" s="3">
        <v>0.0</v>
      </c>
      <c r="C823" s="3" t="s">
        <v>3</v>
      </c>
      <c r="D823" s="4" t="str">
        <f t="shared" si="1"/>
        <v>SANS</v>
      </c>
      <c r="E823" s="4" t="str">
        <f t="array" ref="E823">INDEX(consolid1!$I$2:$I$904,MATCH(A823,consolid1!$B$2:$B$904,0))</f>
        <v>#N/A</v>
      </c>
      <c r="F823" s="4" t="str">
        <f t="array" ref="F823">INDEX(consolid1!$G$2:$G1534,MATCH(A823,consolid1!$B$2:$B1534,0))</f>
        <v>#N/A</v>
      </c>
    </row>
    <row r="824">
      <c r="A824" s="4" t="s">
        <v>227</v>
      </c>
      <c r="B824" s="3">
        <v>0.0</v>
      </c>
      <c r="C824" s="3" t="s">
        <v>3</v>
      </c>
      <c r="D824" s="4" t="str">
        <f t="shared" si="1"/>
        <v>SANS</v>
      </c>
      <c r="E824" s="4" t="str">
        <f t="array" ref="E824">INDEX(consolid1!$I$2:$I$904,MATCH(A824,consolid1!$B$2:$B$904,0))</f>
        <v>#N/A</v>
      </c>
      <c r="F824" s="4" t="str">
        <f t="array" ref="F824">INDEX(consolid1!$G$2:$G1534,MATCH(A824,consolid1!$B$2:$B1534,0))</f>
        <v>#N/A</v>
      </c>
    </row>
    <row r="825">
      <c r="A825" s="4" t="s">
        <v>2095</v>
      </c>
      <c r="B825" s="3">
        <v>0.0</v>
      </c>
      <c r="C825" s="3" t="s">
        <v>32</v>
      </c>
      <c r="D825" s="4" t="str">
        <f t="shared" si="1"/>
        <v>SANS</v>
      </c>
      <c r="E825" s="4" t="str">
        <f t="array" ref="E825">INDEX(consolid1!$I$2:$I$904,MATCH(A825,consolid1!$B$2:$B$904,0))</f>
        <v>#N/A</v>
      </c>
      <c r="F825" s="4" t="str">
        <f t="array" ref="F825">INDEX(consolid1!$G$2:$G1534,MATCH(A825,consolid1!$B$2:$B1534,0))</f>
        <v>#N/A</v>
      </c>
    </row>
    <row r="826">
      <c r="A826" s="4" t="s">
        <v>2096</v>
      </c>
      <c r="B826" s="3">
        <v>0.0</v>
      </c>
      <c r="C826" s="3" t="s">
        <v>3</v>
      </c>
      <c r="D826" s="4" t="str">
        <f t="shared" si="1"/>
        <v>SANS</v>
      </c>
      <c r="E826" s="4" t="str">
        <f t="array" ref="E826">INDEX(consolid1!$I$2:$I$904,MATCH(A826,consolid1!$B$2:$B$904,0))</f>
        <v>#N/A</v>
      </c>
      <c r="F826" s="4" t="str">
        <f t="array" ref="F826">INDEX(consolid1!$G$2:$G1534,MATCH(A826,consolid1!$B$2:$B1534,0))</f>
        <v>#N/A</v>
      </c>
    </row>
    <row r="827">
      <c r="A827" s="4" t="s">
        <v>232</v>
      </c>
      <c r="B827" s="3">
        <v>0.0</v>
      </c>
      <c r="C827" s="3" t="s">
        <v>6</v>
      </c>
      <c r="D827" s="4" t="str">
        <f t="shared" si="1"/>
        <v>SANS</v>
      </c>
      <c r="E827" s="4" t="str">
        <f t="array" ref="E827">INDEX(consolid1!$I$2:$I$904,MATCH(A827,consolid1!$B$2:$B$904,0))</f>
        <v>#N/A</v>
      </c>
      <c r="F827" s="4" t="str">
        <f t="array" ref="F827">INDEX(consolid1!$G$2:$G1534,MATCH(A827,consolid1!$B$2:$B1534,0))</f>
        <v>#N/A</v>
      </c>
    </row>
    <row r="828">
      <c r="A828" s="4" t="s">
        <v>233</v>
      </c>
      <c r="B828" s="3">
        <v>0.0</v>
      </c>
      <c r="C828" s="3" t="s">
        <v>6</v>
      </c>
      <c r="D828" s="4" t="str">
        <f t="shared" si="1"/>
        <v>SANS</v>
      </c>
      <c r="E828" s="4" t="str">
        <f t="array" ref="E828">INDEX(consolid1!$I$2:$I$904,MATCH(A828,consolid1!$B$2:$B$904,0))</f>
        <v>#N/A</v>
      </c>
      <c r="F828" s="4" t="str">
        <f t="array" ref="F828">INDEX(consolid1!$G$2:$G1534,MATCH(A828,consolid1!$B$2:$B1534,0))</f>
        <v>#N/A</v>
      </c>
    </row>
    <row r="829">
      <c r="A829" s="4" t="s">
        <v>234</v>
      </c>
      <c r="B829" s="3">
        <v>0.0</v>
      </c>
      <c r="C829" s="3" t="s">
        <v>3</v>
      </c>
      <c r="D829" s="4" t="str">
        <f t="shared" si="1"/>
        <v>SANS</v>
      </c>
      <c r="E829" s="4" t="str">
        <f t="array" ref="E829">INDEX(consolid1!$I$2:$I$904,MATCH(A829,consolid1!$B$2:$B$904,0))</f>
        <v>#N/A</v>
      </c>
      <c r="F829" s="4" t="str">
        <f t="array" ref="F829">INDEX(consolid1!$G$2:$G1534,MATCH(A829,consolid1!$B$2:$B1534,0))</f>
        <v>#N/A</v>
      </c>
    </row>
    <row r="830">
      <c r="A830" s="4" t="s">
        <v>2097</v>
      </c>
      <c r="B830" s="3">
        <v>0.0</v>
      </c>
      <c r="C830" s="3" t="s">
        <v>3</v>
      </c>
      <c r="D830" s="4" t="str">
        <f t="shared" si="1"/>
        <v>SANS</v>
      </c>
      <c r="E830" s="4" t="str">
        <f t="array" ref="E830">INDEX(consolid1!$I$2:$I$904,MATCH(A830,consolid1!$B$2:$B$904,0))</f>
        <v>#N/A</v>
      </c>
      <c r="F830" s="4" t="str">
        <f t="array" ref="F830">INDEX(consolid1!$G$2:$G1534,MATCH(A830,consolid1!$B$2:$B1534,0))</f>
        <v>#N/A</v>
      </c>
    </row>
    <row r="831">
      <c r="A831" s="4" t="s">
        <v>237</v>
      </c>
      <c r="B831" s="3">
        <v>0.0</v>
      </c>
      <c r="C831" s="3" t="s">
        <v>3</v>
      </c>
      <c r="D831" s="4" t="str">
        <f t="shared" si="1"/>
        <v>SANS</v>
      </c>
      <c r="E831" s="4" t="str">
        <f t="array" ref="E831">INDEX(consolid1!$I$2:$I$904,MATCH(A831,consolid1!$B$2:$B$904,0))</f>
        <v>#N/A</v>
      </c>
      <c r="F831" s="4" t="str">
        <f t="array" ref="F831">INDEX(consolid1!$G$2:$G1534,MATCH(A831,consolid1!$B$2:$B1534,0))</f>
        <v>#N/A</v>
      </c>
    </row>
    <row r="832">
      <c r="A832" s="4" t="s">
        <v>239</v>
      </c>
      <c r="B832" s="3">
        <v>0.0</v>
      </c>
      <c r="C832" s="3" t="s">
        <v>3</v>
      </c>
      <c r="D832" s="4" t="str">
        <f t="shared" si="1"/>
        <v>SANS</v>
      </c>
      <c r="E832" s="4" t="str">
        <f t="array" ref="E832">INDEX(consolid1!$I$2:$I$904,MATCH(A832,consolid1!$B$2:$B$904,0))</f>
        <v>#N/A</v>
      </c>
      <c r="F832" s="4" t="str">
        <f t="array" ref="F832">INDEX(consolid1!$G$2:$G1534,MATCH(A832,consolid1!$B$2:$B1534,0))</f>
        <v>#N/A</v>
      </c>
    </row>
    <row r="833">
      <c r="A833" s="4" t="s">
        <v>240</v>
      </c>
      <c r="B833" s="3">
        <v>0.0</v>
      </c>
      <c r="C833" s="3" t="s">
        <v>3</v>
      </c>
      <c r="D833" s="4" t="str">
        <f t="shared" si="1"/>
        <v>SANS</v>
      </c>
      <c r="E833" s="4" t="str">
        <f t="array" ref="E833">INDEX(consolid1!$I$2:$I$904,MATCH(A833,consolid1!$B$2:$B$904,0))</f>
        <v>#N/A</v>
      </c>
      <c r="F833" s="4" t="str">
        <f t="array" ref="F833">INDEX(consolid1!$G$2:$G1534,MATCH(A833,consolid1!$B$2:$B1534,0))</f>
        <v>#N/A</v>
      </c>
    </row>
    <row r="834">
      <c r="A834" s="4" t="s">
        <v>241</v>
      </c>
      <c r="B834" s="3">
        <v>0.0</v>
      </c>
      <c r="C834" s="3" t="s">
        <v>6</v>
      </c>
      <c r="D834" s="4" t="str">
        <f t="shared" si="1"/>
        <v>SANS</v>
      </c>
      <c r="E834" s="4" t="str">
        <f t="array" ref="E834">INDEX(consolid1!$I$2:$I$904,MATCH(A834,consolid1!$B$2:$B$904,0))</f>
        <v>#N/A</v>
      </c>
      <c r="F834" s="4" t="str">
        <f t="array" ref="F834">INDEX(consolid1!$G$2:$G1534,MATCH(A834,consolid1!$B$2:$B1534,0))</f>
        <v>#N/A</v>
      </c>
    </row>
    <row r="835">
      <c r="A835" s="4" t="s">
        <v>2100</v>
      </c>
      <c r="B835" s="3">
        <v>0.0</v>
      </c>
      <c r="C835" s="3" t="s">
        <v>3</v>
      </c>
      <c r="D835" s="4" t="str">
        <f t="shared" si="1"/>
        <v>SANS</v>
      </c>
      <c r="E835" s="4" t="str">
        <f t="array" ref="E835">INDEX(consolid1!$I$2:$I$904,MATCH(A835,consolid1!$B$2:$B$904,0))</f>
        <v>#N/A</v>
      </c>
      <c r="F835" s="4" t="str">
        <f t="array" ref="F835">INDEX(consolid1!$G$2:$G1534,MATCH(A835,consolid1!$B$2:$B1534,0))</f>
        <v>#N/A</v>
      </c>
    </row>
    <row r="836">
      <c r="A836" s="4" t="s">
        <v>249</v>
      </c>
      <c r="B836" s="3">
        <v>0.0</v>
      </c>
      <c r="C836" s="3" t="s">
        <v>3</v>
      </c>
      <c r="D836" s="4" t="str">
        <f t="shared" si="1"/>
        <v>SANS</v>
      </c>
      <c r="E836" s="4" t="str">
        <f t="array" ref="E836">INDEX(consolid1!$I$2:$I$904,MATCH(A836,consolid1!$B$2:$B$904,0))</f>
        <v>#N/A</v>
      </c>
      <c r="F836" s="4" t="str">
        <f t="array" ref="F836">INDEX(consolid1!$G$2:$G1534,MATCH(A836,consolid1!$B$2:$B1534,0))</f>
        <v>#N/A</v>
      </c>
    </row>
    <row r="837">
      <c r="A837" s="4" t="s">
        <v>2101</v>
      </c>
      <c r="B837" s="3">
        <v>0.0</v>
      </c>
      <c r="C837" s="3" t="s">
        <v>32</v>
      </c>
      <c r="D837" s="4" t="str">
        <f t="shared" si="1"/>
        <v>SANS</v>
      </c>
      <c r="E837" s="4" t="str">
        <f t="array" ref="E837">INDEX(consolid1!$I$2:$I$904,MATCH(A837,consolid1!$B$2:$B$904,0))</f>
        <v>#N/A</v>
      </c>
      <c r="F837" s="4" t="str">
        <f t="array" ref="F837">INDEX(consolid1!$G$2:$G1534,MATCH(A837,consolid1!$B$2:$B1534,0))</f>
        <v>#N/A</v>
      </c>
    </row>
    <row r="838">
      <c r="A838" s="4" t="s">
        <v>257</v>
      </c>
      <c r="B838" s="3">
        <v>0.0</v>
      </c>
      <c r="C838" s="3" t="s">
        <v>3</v>
      </c>
      <c r="D838" s="4" t="str">
        <f t="shared" si="1"/>
        <v>SANS</v>
      </c>
      <c r="E838" s="4" t="str">
        <f t="array" ref="E838">INDEX(consolid1!$I$2:$I$904,MATCH(A838,consolid1!$B$2:$B$904,0))</f>
        <v>#N/A</v>
      </c>
      <c r="F838" s="4" t="str">
        <f t="array" ref="F838">INDEX(consolid1!$G$2:$G1534,MATCH(A838,consolid1!$B$2:$B1534,0))</f>
        <v>#N/A</v>
      </c>
    </row>
    <row r="839">
      <c r="A839" s="4" t="s">
        <v>258</v>
      </c>
      <c r="B839" s="3">
        <v>0.0</v>
      </c>
      <c r="C839" s="3" t="s">
        <v>3</v>
      </c>
      <c r="D839" s="4" t="str">
        <f t="shared" si="1"/>
        <v>SANS</v>
      </c>
      <c r="E839" s="4" t="str">
        <f t="array" ref="E839">INDEX(consolid1!$I$2:$I$904,MATCH(A839,consolid1!$B$2:$B$904,0))</f>
        <v>#N/A</v>
      </c>
      <c r="F839" s="4" t="str">
        <f t="array" ref="F839">INDEX(consolid1!$G$2:$G1534,MATCH(A839,consolid1!$B$2:$B1534,0))</f>
        <v>#N/A</v>
      </c>
    </row>
    <row r="840">
      <c r="A840" s="4" t="s">
        <v>259</v>
      </c>
      <c r="B840" s="3">
        <v>0.0</v>
      </c>
      <c r="C840" s="3" t="s">
        <v>3</v>
      </c>
      <c r="D840" s="4" t="str">
        <f t="shared" si="1"/>
        <v>SANS</v>
      </c>
      <c r="E840" s="4" t="str">
        <f t="array" ref="E840">INDEX(consolid1!$I$2:$I$904,MATCH(A840,consolid1!$B$2:$B$904,0))</f>
        <v>#N/A</v>
      </c>
      <c r="F840" s="4" t="str">
        <f t="array" ref="F840">INDEX(consolid1!$G$2:$G1534,MATCH(A840,consolid1!$B$2:$B1534,0))</f>
        <v>#N/A</v>
      </c>
    </row>
    <row r="841">
      <c r="A841" s="4" t="s">
        <v>262</v>
      </c>
      <c r="B841" s="3">
        <v>0.0</v>
      </c>
      <c r="C841" s="3" t="s">
        <v>3</v>
      </c>
      <c r="D841" s="4" t="str">
        <f t="shared" si="1"/>
        <v>SANS</v>
      </c>
      <c r="E841" s="4" t="str">
        <f t="array" ref="E841">INDEX(consolid1!$I$2:$I$904,MATCH(A841,consolid1!$B$2:$B$904,0))</f>
        <v>#N/A</v>
      </c>
      <c r="F841" s="4" t="str">
        <f t="array" ref="F841">INDEX(consolid1!$G$2:$G1534,MATCH(A841,consolid1!$B$2:$B1534,0))</f>
        <v>#N/A</v>
      </c>
    </row>
    <row r="842">
      <c r="A842" s="4" t="s">
        <v>2104</v>
      </c>
      <c r="B842" s="3">
        <v>0.0</v>
      </c>
      <c r="C842" s="3" t="s">
        <v>3</v>
      </c>
      <c r="D842" s="4" t="str">
        <f t="shared" si="1"/>
        <v>SANS</v>
      </c>
      <c r="E842" s="4" t="str">
        <f t="array" ref="E842">INDEX(consolid1!$I$2:$I$904,MATCH(A842,consolid1!$B$2:$B$904,0))</f>
        <v>#N/A</v>
      </c>
      <c r="F842" s="4" t="str">
        <f t="array" ref="F842">INDEX(consolid1!$G$2:$G1534,MATCH(A842,consolid1!$B$2:$B1534,0))</f>
        <v>#N/A</v>
      </c>
    </row>
    <row r="843">
      <c r="A843" s="4" t="s">
        <v>2105</v>
      </c>
      <c r="B843" s="3">
        <v>0.0</v>
      </c>
      <c r="C843" s="3" t="s">
        <v>3</v>
      </c>
      <c r="D843" s="4" t="str">
        <f t="shared" si="1"/>
        <v>SANS</v>
      </c>
      <c r="E843" s="4" t="str">
        <f t="array" ref="E843">INDEX(consolid1!$I$2:$I$904,MATCH(A843,consolid1!$B$2:$B$904,0))</f>
        <v>#N/A</v>
      </c>
      <c r="F843" s="4" t="str">
        <f t="array" ref="F843">INDEX(consolid1!$G$2:$G1534,MATCH(A843,consolid1!$B$2:$B1534,0))</f>
        <v>#N/A</v>
      </c>
    </row>
    <row r="844">
      <c r="A844" s="4" t="s">
        <v>2106</v>
      </c>
      <c r="B844" s="3">
        <v>0.0</v>
      </c>
      <c r="C844" s="3" t="s">
        <v>3</v>
      </c>
      <c r="D844" s="4" t="str">
        <f t="shared" si="1"/>
        <v>SANS</v>
      </c>
      <c r="E844" s="4" t="str">
        <f t="array" ref="E844">INDEX(consolid1!$I$2:$I$904,MATCH(A844,consolid1!$B$2:$B$904,0))</f>
        <v>#N/A</v>
      </c>
      <c r="F844" s="4" t="str">
        <f t="array" ref="F844">INDEX(consolid1!$G$2:$G1534,MATCH(A844,consolid1!$B$2:$B1534,0))</f>
        <v>#N/A</v>
      </c>
    </row>
    <row r="845">
      <c r="A845" s="4" t="s">
        <v>2107</v>
      </c>
      <c r="B845" s="3">
        <v>0.0</v>
      </c>
      <c r="C845" s="3" t="s">
        <v>3</v>
      </c>
      <c r="D845" s="4" t="str">
        <f t="shared" si="1"/>
        <v>SANS</v>
      </c>
      <c r="E845" s="4" t="str">
        <f t="array" ref="E845">INDEX(consolid1!$I$2:$I$904,MATCH(A845,consolid1!$B$2:$B$904,0))</f>
        <v>#N/A</v>
      </c>
      <c r="F845" s="4" t="str">
        <f t="array" ref="F845">INDEX(consolid1!$G$2:$G1534,MATCH(A845,consolid1!$B$2:$B1534,0))</f>
        <v>#N/A</v>
      </c>
    </row>
    <row r="846">
      <c r="A846" s="4" t="s">
        <v>2108</v>
      </c>
      <c r="B846" s="3">
        <v>0.0</v>
      </c>
      <c r="C846" s="3" t="s">
        <v>3</v>
      </c>
      <c r="D846" s="4" t="str">
        <f t="shared" si="1"/>
        <v>SANS</v>
      </c>
      <c r="E846" s="4" t="str">
        <f t="array" ref="E846">INDEX(consolid1!$I$2:$I$904,MATCH(A846,consolid1!$B$2:$B$904,0))</f>
        <v>#N/A</v>
      </c>
      <c r="F846" s="4" t="str">
        <f t="array" ref="F846">INDEX(consolid1!$G$2:$G1534,MATCH(A846,consolid1!$B$2:$B1534,0))</f>
        <v>#N/A</v>
      </c>
    </row>
    <row r="847">
      <c r="A847" s="4" t="s">
        <v>273</v>
      </c>
      <c r="B847" s="3">
        <v>0.0</v>
      </c>
      <c r="C847" s="3" t="s">
        <v>3</v>
      </c>
      <c r="D847" s="4" t="str">
        <f t="shared" si="1"/>
        <v>SANS</v>
      </c>
      <c r="E847" s="4" t="str">
        <f t="array" ref="E847">INDEX(consolid1!$I$2:$I$904,MATCH(A847,consolid1!$B$2:$B$904,0))</f>
        <v>#N/A</v>
      </c>
      <c r="F847" s="4" t="str">
        <f t="array" ref="F847">INDEX(consolid1!$G$2:$G1534,MATCH(A847,consolid1!$B$2:$B1534,0))</f>
        <v>#N/A</v>
      </c>
    </row>
    <row r="848">
      <c r="A848" s="4" t="s">
        <v>276</v>
      </c>
      <c r="B848" s="3">
        <v>0.0</v>
      </c>
      <c r="C848" s="3" t="s">
        <v>3</v>
      </c>
      <c r="D848" s="4" t="str">
        <f t="shared" si="1"/>
        <v>SANS</v>
      </c>
      <c r="E848" s="4" t="str">
        <f t="array" ref="E848">INDEX(consolid1!$I$2:$I$904,MATCH(A848,consolid1!$B$2:$B$904,0))</f>
        <v>#N/A</v>
      </c>
      <c r="F848" s="4" t="str">
        <f t="array" ref="F848">INDEX(consolid1!$G$2:$G1534,MATCH(A848,consolid1!$B$2:$B1534,0))</f>
        <v>#N/A</v>
      </c>
    </row>
    <row r="849">
      <c r="A849" s="4" t="s">
        <v>277</v>
      </c>
      <c r="B849" s="3">
        <v>0.0</v>
      </c>
      <c r="C849" s="3" t="s">
        <v>3</v>
      </c>
      <c r="D849" s="4" t="str">
        <f t="shared" si="1"/>
        <v>SANS</v>
      </c>
      <c r="E849" s="4" t="str">
        <f t="array" ref="E849">INDEX(consolid1!$I$2:$I$904,MATCH(A849,consolid1!$B$2:$B$904,0))</f>
        <v>#N/A</v>
      </c>
      <c r="F849" s="4" t="str">
        <f t="array" ref="F849">INDEX(consolid1!$G$2:$G1534,MATCH(A849,consolid1!$B$2:$B1534,0))</f>
        <v>#N/A</v>
      </c>
    </row>
    <row r="850">
      <c r="A850" s="4" t="s">
        <v>2111</v>
      </c>
      <c r="B850" s="3">
        <v>0.0</v>
      </c>
      <c r="C850" s="3" t="s">
        <v>6</v>
      </c>
      <c r="D850" s="4" t="str">
        <f t="shared" si="1"/>
        <v>SANS</v>
      </c>
      <c r="E850" s="4" t="str">
        <f t="array" ref="E850">INDEX(consolid1!$I$2:$I$904,MATCH(A850,consolid1!$B$2:$B$904,0))</f>
        <v>#N/A</v>
      </c>
      <c r="F850" s="4" t="str">
        <f t="array" ref="F850">INDEX(consolid1!$G$2:$G1534,MATCH(A850,consolid1!$B$2:$B1534,0))</f>
        <v>#N/A</v>
      </c>
    </row>
    <row r="851">
      <c r="A851" s="4" t="s">
        <v>286</v>
      </c>
      <c r="B851" s="3">
        <v>0.0</v>
      </c>
      <c r="C851" s="3" t="s">
        <v>3</v>
      </c>
      <c r="D851" s="4" t="str">
        <f t="shared" si="1"/>
        <v>SANS</v>
      </c>
      <c r="E851" s="4" t="str">
        <f t="array" ref="E851">INDEX(consolid1!$I$2:$I$904,MATCH(A851,consolid1!$B$2:$B$904,0))</f>
        <v>#N/A</v>
      </c>
      <c r="F851" s="4" t="str">
        <f t="array" ref="F851">INDEX(consolid1!$G$2:$G1534,MATCH(A851,consolid1!$B$2:$B1534,0))</f>
        <v>#N/A</v>
      </c>
    </row>
    <row r="852">
      <c r="A852" s="4" t="s">
        <v>2112</v>
      </c>
      <c r="B852" s="3">
        <v>0.0</v>
      </c>
      <c r="C852" s="3" t="s">
        <v>3</v>
      </c>
      <c r="D852" s="4" t="str">
        <f t="shared" si="1"/>
        <v>SANS</v>
      </c>
      <c r="E852" s="4" t="str">
        <f t="array" ref="E852">INDEX(consolid1!$I$2:$I$904,MATCH(A852,consolid1!$B$2:$B$904,0))</f>
        <v>#N/A</v>
      </c>
      <c r="F852" s="4" t="str">
        <f t="array" ref="F852">INDEX(consolid1!$G$2:$G1534,MATCH(A852,consolid1!$B$2:$B1534,0))</f>
        <v>#N/A</v>
      </c>
    </row>
    <row r="853">
      <c r="A853" s="4" t="s">
        <v>2113</v>
      </c>
      <c r="B853" s="3">
        <v>0.0</v>
      </c>
      <c r="C853" s="3" t="s">
        <v>3</v>
      </c>
      <c r="D853" s="4" t="str">
        <f t="shared" si="1"/>
        <v>SANS</v>
      </c>
      <c r="E853" s="4" t="str">
        <f t="array" ref="E853">INDEX(consolid1!$I$2:$I$904,MATCH(A853,consolid1!$B$2:$B$904,0))</f>
        <v>#N/A</v>
      </c>
      <c r="F853" s="4" t="str">
        <f t="array" ref="F853">INDEX(consolid1!$G$2:$G1534,MATCH(A853,consolid1!$B$2:$B1534,0))</f>
        <v>#N/A</v>
      </c>
    </row>
    <row r="854">
      <c r="A854" s="4" t="s">
        <v>2114</v>
      </c>
      <c r="B854" s="3">
        <v>0.0</v>
      </c>
      <c r="C854" s="3" t="s">
        <v>3</v>
      </c>
      <c r="D854" s="4" t="str">
        <f t="shared" si="1"/>
        <v>SANS</v>
      </c>
      <c r="E854" s="4" t="str">
        <f t="array" ref="E854">INDEX(consolid1!$I$2:$I$904,MATCH(A854,consolid1!$B$2:$B$904,0))</f>
        <v>#N/A</v>
      </c>
      <c r="F854" s="4" t="str">
        <f t="array" ref="F854">INDEX(consolid1!$G$2:$G1534,MATCH(A854,consolid1!$B$2:$B1534,0))</f>
        <v>#N/A</v>
      </c>
    </row>
    <row r="855">
      <c r="A855" s="4" t="s">
        <v>296</v>
      </c>
      <c r="B855" s="3">
        <v>0.0</v>
      </c>
      <c r="C855" s="3" t="s">
        <v>3</v>
      </c>
      <c r="D855" s="4" t="str">
        <f t="shared" si="1"/>
        <v>SANS</v>
      </c>
      <c r="E855" s="4" t="str">
        <f t="array" ref="E855">INDEX(consolid1!$I$2:$I$904,MATCH(A855,consolid1!$B$2:$B$904,0))</f>
        <v>#N/A</v>
      </c>
      <c r="F855" s="4" t="str">
        <f t="array" ref="F855">INDEX(consolid1!$G$2:$G1534,MATCH(A855,consolid1!$B$2:$B1534,0))</f>
        <v>#N/A</v>
      </c>
    </row>
    <row r="856">
      <c r="A856" s="4" t="s">
        <v>2118</v>
      </c>
      <c r="B856" s="3">
        <v>0.0</v>
      </c>
      <c r="C856" s="3" t="s">
        <v>3</v>
      </c>
      <c r="D856" s="4" t="str">
        <f t="shared" si="1"/>
        <v>SANS</v>
      </c>
      <c r="E856" s="4" t="str">
        <f t="array" ref="E856">INDEX(consolid1!$I$2:$I$904,MATCH(A856,consolid1!$B$2:$B$904,0))</f>
        <v>#N/A</v>
      </c>
      <c r="F856" s="4" t="str">
        <f t="array" ref="F856">INDEX(consolid1!$G$2:$G1534,MATCH(A856,consolid1!$B$2:$B1534,0))</f>
        <v>#N/A</v>
      </c>
    </row>
    <row r="857">
      <c r="A857" s="4" t="s">
        <v>310</v>
      </c>
      <c r="B857" s="3">
        <v>0.0</v>
      </c>
      <c r="C857" s="3" t="s">
        <v>3</v>
      </c>
      <c r="D857" s="4" t="str">
        <f t="shared" si="1"/>
        <v>SANS</v>
      </c>
      <c r="E857" s="4" t="str">
        <f t="array" ref="E857">INDEX(consolid1!$I$2:$I$904,MATCH(A857,consolid1!$B$2:$B$904,0))</f>
        <v>#N/A</v>
      </c>
      <c r="F857" s="4" t="str">
        <f t="array" ref="F857">INDEX(consolid1!$G$2:$G1534,MATCH(A857,consolid1!$B$2:$B1534,0))</f>
        <v>#N/A</v>
      </c>
    </row>
    <row r="858">
      <c r="A858" s="4" t="s">
        <v>311</v>
      </c>
      <c r="B858" s="3">
        <v>0.0</v>
      </c>
      <c r="C858" s="3" t="s">
        <v>6</v>
      </c>
      <c r="D858" s="4" t="str">
        <f t="shared" si="1"/>
        <v>SANS</v>
      </c>
      <c r="E858" s="4" t="str">
        <f t="array" ref="E858">INDEX(consolid1!$I$2:$I$904,MATCH(A858,consolid1!$B$2:$B$904,0))</f>
        <v>#N/A</v>
      </c>
      <c r="F858" s="4" t="str">
        <f t="array" ref="F858">INDEX(consolid1!$G$2:$G1534,MATCH(A858,consolid1!$B$2:$B1534,0))</f>
        <v>#N/A</v>
      </c>
    </row>
    <row r="859">
      <c r="A859" s="4" t="s">
        <v>2123</v>
      </c>
      <c r="B859" s="3">
        <v>0.0</v>
      </c>
      <c r="C859" s="3" t="s">
        <v>32</v>
      </c>
      <c r="D859" s="4" t="str">
        <f t="shared" si="1"/>
        <v>SANS</v>
      </c>
      <c r="E859" s="4" t="str">
        <f t="array" ref="E859">INDEX(consolid1!$I$2:$I$904,MATCH(A859,consolid1!$B$2:$B$904,0))</f>
        <v>#N/A</v>
      </c>
      <c r="F859" s="4" t="str">
        <f t="array" ref="F859">INDEX(consolid1!$G$2:$G1534,MATCH(A859,consolid1!$B$2:$B1534,0))</f>
        <v>#N/A</v>
      </c>
    </row>
    <row r="860">
      <c r="A860" s="4" t="s">
        <v>2124</v>
      </c>
      <c r="B860" s="3">
        <v>0.0</v>
      </c>
      <c r="C860" s="3" t="s">
        <v>6</v>
      </c>
      <c r="D860" s="4" t="str">
        <f t="shared" si="1"/>
        <v>SANS</v>
      </c>
      <c r="E860" s="4" t="str">
        <f t="array" ref="E860">INDEX(consolid1!$I$2:$I$904,MATCH(A860,consolid1!$B$2:$B$904,0))</f>
        <v>#N/A</v>
      </c>
      <c r="F860" s="4" t="str">
        <f t="array" ref="F860">INDEX(consolid1!$G$2:$G1534,MATCH(A860,consolid1!$B$2:$B1534,0))</f>
        <v>#N/A</v>
      </c>
    </row>
    <row r="861">
      <c r="A861" s="4" t="s">
        <v>2126</v>
      </c>
      <c r="B861" s="3">
        <v>0.0</v>
      </c>
      <c r="C861" s="3" t="s">
        <v>6</v>
      </c>
      <c r="D861" s="4" t="str">
        <f t="shared" si="1"/>
        <v>SANS</v>
      </c>
      <c r="E861" s="4" t="str">
        <f t="array" ref="E861">INDEX(consolid1!$I$2:$I$904,MATCH(A861,consolid1!$B$2:$B$904,0))</f>
        <v>#N/A</v>
      </c>
      <c r="F861" s="4" t="str">
        <f t="array" ref="F861">INDEX(consolid1!$G$2:$G1534,MATCH(A861,consolid1!$B$2:$B1534,0))</f>
        <v>#N/A</v>
      </c>
    </row>
    <row r="862">
      <c r="A862" s="4" t="s">
        <v>347</v>
      </c>
      <c r="B862" s="3">
        <v>0.0</v>
      </c>
      <c r="C862" s="3" t="s">
        <v>32</v>
      </c>
      <c r="D862" s="4" t="str">
        <f t="shared" si="1"/>
        <v>SANS</v>
      </c>
      <c r="E862" s="4" t="str">
        <f t="array" ref="E862">INDEX(consolid1!$I$2:$I$904,MATCH(A862,consolid1!$B$2:$B$904,0))</f>
        <v>#N/A</v>
      </c>
      <c r="F862" s="4" t="str">
        <f t="array" ref="F862">INDEX(consolid1!$G$2:$G1534,MATCH(A862,consolid1!$B$2:$B1534,0))</f>
        <v>#N/A</v>
      </c>
    </row>
    <row r="863">
      <c r="A863" s="4" t="s">
        <v>2129</v>
      </c>
      <c r="B863" s="3">
        <v>0.0</v>
      </c>
      <c r="C863" s="3" t="s">
        <v>3</v>
      </c>
      <c r="D863" s="4" t="str">
        <f t="shared" si="1"/>
        <v>SANS</v>
      </c>
      <c r="E863" s="4" t="str">
        <f t="array" ref="E863">INDEX(consolid1!$I$2:$I$904,MATCH(A863,consolid1!$B$2:$B$904,0))</f>
        <v>#N/A</v>
      </c>
      <c r="F863" s="4" t="str">
        <f t="array" ref="F863">INDEX(consolid1!$G$2:$G1534,MATCH(A863,consolid1!$B$2:$B1534,0))</f>
        <v>#N/A</v>
      </c>
    </row>
    <row r="864">
      <c r="A864" s="4" t="s">
        <v>350</v>
      </c>
      <c r="B864" s="3">
        <v>0.0</v>
      </c>
      <c r="C864" s="3" t="s">
        <v>3</v>
      </c>
      <c r="D864" s="4" t="str">
        <f t="shared" si="1"/>
        <v>SANS</v>
      </c>
      <c r="E864" s="4" t="str">
        <f t="array" ref="E864">INDEX(consolid1!$I$2:$I$904,MATCH(A864,consolid1!$B$2:$B$904,0))</f>
        <v>#N/A</v>
      </c>
      <c r="F864" s="4" t="str">
        <f t="array" ref="F864">INDEX(consolid1!$G$2:$G1534,MATCH(A864,consolid1!$B$2:$B1534,0))</f>
        <v>#N/A</v>
      </c>
    </row>
    <row r="865">
      <c r="A865" s="4" t="s">
        <v>354</v>
      </c>
      <c r="B865" s="3">
        <v>0.0</v>
      </c>
      <c r="C865" s="3" t="s">
        <v>3</v>
      </c>
      <c r="D865" s="4" t="str">
        <f t="shared" si="1"/>
        <v>SANS</v>
      </c>
      <c r="E865" s="4" t="str">
        <f t="array" ref="E865">INDEX(consolid1!$I$2:$I$904,MATCH(A865,consolid1!$B$2:$B$904,0))</f>
        <v>#N/A</v>
      </c>
      <c r="F865" s="4" t="str">
        <f t="array" ref="F865">INDEX(consolid1!$G$2:$G1534,MATCH(A865,consolid1!$B$2:$B1534,0))</f>
        <v>#N/A</v>
      </c>
    </row>
    <row r="866">
      <c r="A866" s="4" t="s">
        <v>2131</v>
      </c>
      <c r="B866" s="3">
        <v>0.0</v>
      </c>
      <c r="C866" s="3" t="s">
        <v>6</v>
      </c>
      <c r="D866" s="4" t="str">
        <f t="shared" si="1"/>
        <v>SANS</v>
      </c>
      <c r="E866" s="4" t="str">
        <f t="array" ref="E866">INDEX(consolid1!$I$2:$I$904,MATCH(A866,consolid1!$B$2:$B$904,0))</f>
        <v>#N/A</v>
      </c>
      <c r="F866" s="4" t="str">
        <f t="array" ref="F866">INDEX(consolid1!$G$2:$G1534,MATCH(A866,consolid1!$B$2:$B1534,0))</f>
        <v>#N/A</v>
      </c>
    </row>
    <row r="867">
      <c r="A867" s="4" t="s">
        <v>357</v>
      </c>
      <c r="B867" s="3">
        <v>0.0</v>
      </c>
      <c r="C867" s="3" t="s">
        <v>3</v>
      </c>
      <c r="D867" s="4" t="str">
        <f t="shared" si="1"/>
        <v>SANS</v>
      </c>
      <c r="E867" s="4" t="str">
        <f t="array" ref="E867">INDEX(consolid1!$I$2:$I$904,MATCH(A867,consolid1!$B$2:$B$904,0))</f>
        <v>#N/A</v>
      </c>
      <c r="F867" s="4" t="str">
        <f t="array" ref="F867">INDEX(consolid1!$G$2:$G1534,MATCH(A867,consolid1!$B$2:$B1534,0))</f>
        <v>#N/A</v>
      </c>
    </row>
    <row r="868">
      <c r="A868" s="4" t="s">
        <v>2132</v>
      </c>
      <c r="B868" s="3">
        <v>0.0</v>
      </c>
      <c r="C868" s="3" t="s">
        <v>3</v>
      </c>
      <c r="D868" s="4" t="str">
        <f t="shared" si="1"/>
        <v>SANS</v>
      </c>
      <c r="E868" s="4" t="str">
        <f t="array" ref="E868">INDEX(consolid1!$I$2:$I$904,MATCH(A868,consolid1!$B$2:$B$904,0))</f>
        <v>#N/A</v>
      </c>
      <c r="F868" s="4" t="str">
        <f t="array" ref="F868">INDEX(consolid1!$G$2:$G1534,MATCH(A868,consolid1!$B$2:$B1534,0))</f>
        <v>#N/A</v>
      </c>
    </row>
    <row r="869">
      <c r="A869" s="4" t="s">
        <v>360</v>
      </c>
      <c r="B869" s="3">
        <v>0.0</v>
      </c>
      <c r="C869" s="3" t="s">
        <v>3</v>
      </c>
      <c r="D869" s="4" t="str">
        <f t="shared" si="1"/>
        <v>SANS</v>
      </c>
      <c r="E869" s="4" t="str">
        <f t="array" ref="E869">INDEX(consolid1!$I$2:$I$904,MATCH(A869,consolid1!$B$2:$B$904,0))</f>
        <v>#N/A</v>
      </c>
      <c r="F869" s="4" t="str">
        <f t="array" ref="F869">INDEX(consolid1!$G$2:$G1534,MATCH(A869,consolid1!$B$2:$B1534,0))</f>
        <v>#N/A</v>
      </c>
    </row>
    <row r="870">
      <c r="A870" s="4" t="s">
        <v>2134</v>
      </c>
      <c r="B870" s="3">
        <v>0.0</v>
      </c>
      <c r="C870" s="3" t="s">
        <v>3</v>
      </c>
      <c r="D870" s="4" t="str">
        <f t="shared" si="1"/>
        <v>SANS</v>
      </c>
      <c r="E870" s="4" t="str">
        <f t="array" ref="E870">INDEX(consolid1!$I$2:$I$904,MATCH(A870,consolid1!$B$2:$B$904,0))</f>
        <v>#N/A</v>
      </c>
      <c r="F870" s="4" t="str">
        <f t="array" ref="F870">INDEX(consolid1!$G$2:$G1534,MATCH(A870,consolid1!$B$2:$B1534,0))</f>
        <v>#N/A</v>
      </c>
    </row>
    <row r="871">
      <c r="A871" s="4" t="s">
        <v>2135</v>
      </c>
      <c r="B871" s="3">
        <v>0.0</v>
      </c>
      <c r="C871" s="3" t="s">
        <v>3</v>
      </c>
      <c r="D871" s="4" t="str">
        <f t="shared" si="1"/>
        <v>SANS</v>
      </c>
      <c r="E871" s="4" t="str">
        <f t="array" ref="E871">INDEX(consolid1!$I$2:$I$904,MATCH(A871,consolid1!$B$2:$B$904,0))</f>
        <v>#N/A</v>
      </c>
      <c r="F871" s="4" t="str">
        <f t="array" ref="F871">INDEX(consolid1!$G$2:$G1534,MATCH(A871,consolid1!$B$2:$B1534,0))</f>
        <v>#N/A</v>
      </c>
    </row>
    <row r="872">
      <c r="A872" s="4" t="s">
        <v>2136</v>
      </c>
      <c r="B872" s="3">
        <v>0.0</v>
      </c>
      <c r="C872" s="3" t="s">
        <v>3</v>
      </c>
      <c r="D872" s="4" t="str">
        <f t="shared" si="1"/>
        <v>SANS</v>
      </c>
      <c r="E872" s="4" t="str">
        <f t="array" ref="E872">INDEX(consolid1!$I$2:$I$904,MATCH(A872,consolid1!$B$2:$B$904,0))</f>
        <v>#N/A</v>
      </c>
      <c r="F872" s="4" t="str">
        <f t="array" ref="F872">INDEX(consolid1!$G$2:$G1534,MATCH(A872,consolid1!$B$2:$B1534,0))</f>
        <v>#N/A</v>
      </c>
    </row>
    <row r="873">
      <c r="A873" s="4" t="s">
        <v>370</v>
      </c>
      <c r="B873" s="3">
        <v>0.0</v>
      </c>
      <c r="C873" s="3" t="s">
        <v>6</v>
      </c>
      <c r="D873" s="4" t="str">
        <f t="shared" si="1"/>
        <v>SANS</v>
      </c>
      <c r="E873" s="4" t="str">
        <f t="array" ref="E873">INDEX(consolid1!$I$2:$I$904,MATCH(A873,consolid1!$B$2:$B$904,0))</f>
        <v>#N/A</v>
      </c>
      <c r="F873" s="4" t="str">
        <f t="array" ref="F873">INDEX(consolid1!$G$2:$G1534,MATCH(A873,consolid1!$B$2:$B1534,0))</f>
        <v>#N/A</v>
      </c>
    </row>
    <row r="874">
      <c r="A874" s="4" t="s">
        <v>373</v>
      </c>
      <c r="B874" s="3">
        <v>0.0</v>
      </c>
      <c r="C874" s="3" t="s">
        <v>6</v>
      </c>
      <c r="D874" s="4" t="str">
        <f t="shared" si="1"/>
        <v>SANS</v>
      </c>
      <c r="E874" s="4" t="str">
        <f t="array" ref="E874">INDEX(consolid1!$I$2:$I$904,MATCH(A874,consolid1!$B$2:$B$904,0))</f>
        <v>#N/A</v>
      </c>
      <c r="F874" s="4" t="str">
        <f t="array" ref="F874">INDEX(consolid1!$G$2:$G1534,MATCH(A874,consolid1!$B$2:$B1534,0))</f>
        <v>#N/A</v>
      </c>
    </row>
    <row r="875">
      <c r="A875" s="4" t="s">
        <v>374</v>
      </c>
      <c r="B875" s="3">
        <v>0.0</v>
      </c>
      <c r="C875" s="3" t="s">
        <v>3</v>
      </c>
      <c r="D875" s="4" t="str">
        <f t="shared" si="1"/>
        <v>SANS</v>
      </c>
      <c r="E875" s="4" t="str">
        <f t="array" ref="E875">INDEX(consolid1!$I$2:$I$904,MATCH(A875,consolid1!$B$2:$B$904,0))</f>
        <v>#N/A</v>
      </c>
      <c r="F875" s="4" t="str">
        <f t="array" ref="F875">INDEX(consolid1!$G$2:$G1534,MATCH(A875,consolid1!$B$2:$B1534,0))</f>
        <v>#N/A</v>
      </c>
    </row>
    <row r="876">
      <c r="A876" s="4" t="s">
        <v>2138</v>
      </c>
      <c r="B876" s="3">
        <v>0.0</v>
      </c>
      <c r="C876" s="3" t="s">
        <v>3</v>
      </c>
      <c r="D876" s="4" t="str">
        <f t="shared" si="1"/>
        <v>SANS</v>
      </c>
      <c r="E876" s="4" t="str">
        <f t="array" ref="E876">INDEX(consolid1!$I$2:$I$904,MATCH(A876,consolid1!$B$2:$B$904,0))</f>
        <v>#N/A</v>
      </c>
      <c r="F876" s="4" t="str">
        <f t="array" ref="F876">INDEX(consolid1!$G$2:$G1534,MATCH(A876,consolid1!$B$2:$B1534,0))</f>
        <v>#N/A</v>
      </c>
    </row>
    <row r="877">
      <c r="A877" s="4" t="s">
        <v>2139</v>
      </c>
      <c r="B877" s="3">
        <v>0.0</v>
      </c>
      <c r="C877" s="3" t="s">
        <v>3</v>
      </c>
      <c r="D877" s="4" t="str">
        <f t="shared" si="1"/>
        <v>SANS</v>
      </c>
      <c r="E877" s="4" t="str">
        <f t="array" ref="E877">INDEX(consolid1!$I$2:$I$904,MATCH(A877,consolid1!$B$2:$B$904,0))</f>
        <v>#N/A</v>
      </c>
      <c r="F877" s="4" t="str">
        <f t="array" ref="F877">INDEX(consolid1!$G$2:$G1534,MATCH(A877,consolid1!$B$2:$B1534,0))</f>
        <v>#N/A</v>
      </c>
    </row>
    <row r="878">
      <c r="A878" s="4" t="s">
        <v>383</v>
      </c>
      <c r="B878" s="3">
        <v>0.0</v>
      </c>
      <c r="C878" s="3" t="s">
        <v>3</v>
      </c>
      <c r="D878" s="4" t="str">
        <f t="shared" si="1"/>
        <v>SANS</v>
      </c>
      <c r="E878" s="4" t="str">
        <f t="array" ref="E878">INDEX(consolid1!$I$2:$I$904,MATCH(A878,consolid1!$B$2:$B$904,0))</f>
        <v>#N/A</v>
      </c>
      <c r="F878" s="4" t="str">
        <f t="array" ref="F878">INDEX(consolid1!$G$2:$G1534,MATCH(A878,consolid1!$B$2:$B1534,0))</f>
        <v>#N/A</v>
      </c>
    </row>
    <row r="879">
      <c r="A879" s="4" t="s">
        <v>384</v>
      </c>
      <c r="B879" s="3">
        <v>0.0</v>
      </c>
      <c r="C879" s="3" t="s">
        <v>3</v>
      </c>
      <c r="D879" s="4" t="str">
        <f t="shared" si="1"/>
        <v>SANS</v>
      </c>
      <c r="E879" s="4" t="str">
        <f t="array" ref="E879">INDEX(consolid1!$I$2:$I$904,MATCH(A879,consolid1!$B$2:$B$904,0))</f>
        <v>#N/A</v>
      </c>
      <c r="F879" s="4" t="str">
        <f t="array" ref="F879">INDEX(consolid1!$G$2:$G1534,MATCH(A879,consolid1!$B$2:$B1534,0))</f>
        <v>#N/A</v>
      </c>
    </row>
    <row r="880">
      <c r="A880" s="4" t="s">
        <v>385</v>
      </c>
      <c r="B880" s="3">
        <v>0.0</v>
      </c>
      <c r="C880" s="3" t="s">
        <v>32</v>
      </c>
      <c r="D880" s="4" t="str">
        <f t="shared" si="1"/>
        <v>SANS</v>
      </c>
      <c r="E880" s="4" t="str">
        <f t="array" ref="E880">INDEX(consolid1!$I$2:$I$904,MATCH(A880,consolid1!$B$2:$B$904,0))</f>
        <v>#N/A</v>
      </c>
      <c r="F880" s="4" t="str">
        <f t="array" ref="F880">INDEX(consolid1!$G$2:$G1534,MATCH(A880,consolid1!$B$2:$B1534,0))</f>
        <v>#N/A</v>
      </c>
    </row>
    <row r="881">
      <c r="A881" s="4" t="s">
        <v>386</v>
      </c>
      <c r="B881" s="3">
        <v>0.0</v>
      </c>
      <c r="C881" s="3" t="s">
        <v>6</v>
      </c>
      <c r="D881" s="4" t="str">
        <f t="shared" si="1"/>
        <v>SANS</v>
      </c>
      <c r="E881" s="4" t="str">
        <f t="array" ref="E881">INDEX(consolid1!$I$2:$I$904,MATCH(A881,consolid1!$B$2:$B$904,0))</f>
        <v>#N/A</v>
      </c>
      <c r="F881" s="4" t="str">
        <f t="array" ref="F881">INDEX(consolid1!$G$2:$G1534,MATCH(A881,consolid1!$B$2:$B1534,0))</f>
        <v>#N/A</v>
      </c>
    </row>
    <row r="882">
      <c r="A882" s="4" t="s">
        <v>387</v>
      </c>
      <c r="B882" s="3">
        <v>0.0</v>
      </c>
      <c r="C882" s="3" t="s">
        <v>6</v>
      </c>
      <c r="D882" s="4" t="str">
        <f t="shared" si="1"/>
        <v>SANS</v>
      </c>
      <c r="E882" s="4" t="str">
        <f t="array" ref="E882">INDEX(consolid1!$I$2:$I$904,MATCH(A882,consolid1!$B$2:$B$904,0))</f>
        <v>#N/A</v>
      </c>
      <c r="F882" s="4" t="str">
        <f t="array" ref="F882">INDEX(consolid1!$G$2:$G1534,MATCH(A882,consolid1!$B$2:$B1534,0))</f>
        <v>#N/A</v>
      </c>
    </row>
    <row r="883">
      <c r="A883" s="4" t="s">
        <v>2140</v>
      </c>
      <c r="B883" s="3">
        <v>0.0</v>
      </c>
      <c r="C883" s="3" t="s">
        <v>3</v>
      </c>
      <c r="D883" s="4" t="str">
        <f t="shared" si="1"/>
        <v>SANS</v>
      </c>
      <c r="E883" s="4" t="str">
        <f t="array" ref="E883">INDEX(consolid1!$I$2:$I$904,MATCH(A883,consolid1!$B$2:$B$904,0))</f>
        <v>#N/A</v>
      </c>
      <c r="F883" s="4" t="str">
        <f t="array" ref="F883">INDEX(consolid1!$G$2:$G1534,MATCH(A883,consolid1!$B$2:$B1534,0))</f>
        <v>#N/A</v>
      </c>
    </row>
    <row r="884">
      <c r="A884" s="4" t="s">
        <v>2141</v>
      </c>
      <c r="B884" s="3">
        <v>0.0</v>
      </c>
      <c r="C884" s="3" t="s">
        <v>3</v>
      </c>
      <c r="D884" s="4" t="str">
        <f t="shared" si="1"/>
        <v>SANS</v>
      </c>
      <c r="E884" s="4" t="str">
        <f t="array" ref="E884">INDEX(consolid1!$I$2:$I$904,MATCH(A884,consolid1!$B$2:$B$904,0))</f>
        <v>#N/A</v>
      </c>
      <c r="F884" s="4" t="str">
        <f t="array" ref="F884">INDEX(consolid1!$G$2:$G1534,MATCH(A884,consolid1!$B$2:$B1534,0))</f>
        <v>#N/A</v>
      </c>
    </row>
    <row r="885">
      <c r="A885" s="4" t="s">
        <v>2143</v>
      </c>
      <c r="B885" s="3">
        <v>0.0</v>
      </c>
      <c r="C885" s="3" t="s">
        <v>26</v>
      </c>
      <c r="D885" s="4" t="str">
        <f t="shared" si="1"/>
        <v>SANS</v>
      </c>
      <c r="E885" s="4" t="str">
        <f t="array" ref="E885">INDEX(consolid1!$I$2:$I$904,MATCH(A885,consolid1!$B$2:$B$904,0))</f>
        <v>#N/A</v>
      </c>
      <c r="F885" s="4" t="str">
        <f t="array" ref="F885">INDEX(consolid1!$G$2:$G1534,MATCH(A885,consolid1!$B$2:$B1534,0))</f>
        <v>#N/A</v>
      </c>
    </row>
    <row r="886">
      <c r="A886" s="4" t="s">
        <v>401</v>
      </c>
      <c r="B886" s="3">
        <v>0.0</v>
      </c>
      <c r="C886" s="3" t="s">
        <v>32</v>
      </c>
      <c r="D886" s="4" t="str">
        <f t="shared" si="1"/>
        <v>SANS</v>
      </c>
      <c r="E886" s="4" t="str">
        <f t="array" ref="E886">INDEX(consolid1!$I$2:$I$904,MATCH(A886,consolid1!$B$2:$B$904,0))</f>
        <v>#N/A</v>
      </c>
      <c r="F886" s="4" t="str">
        <f t="array" ref="F886">INDEX(consolid1!$G$2:$G1534,MATCH(A886,consolid1!$B$2:$B1534,0))</f>
        <v>#N/A</v>
      </c>
    </row>
    <row r="887">
      <c r="A887" s="4" t="s">
        <v>402</v>
      </c>
      <c r="B887" s="3">
        <v>0.0</v>
      </c>
      <c r="C887" s="3" t="s">
        <v>6</v>
      </c>
      <c r="D887" s="4" t="str">
        <f t="shared" si="1"/>
        <v>SANS</v>
      </c>
      <c r="E887" s="4" t="str">
        <f t="array" ref="E887">INDEX(consolid1!$I$2:$I$904,MATCH(A887,consolid1!$B$2:$B$904,0))</f>
        <v>#N/A</v>
      </c>
      <c r="F887" s="4" t="str">
        <f t="array" ref="F887">INDEX(consolid1!$G$2:$G1534,MATCH(A887,consolid1!$B$2:$B1534,0))</f>
        <v>#N/A</v>
      </c>
    </row>
    <row r="888">
      <c r="A888" s="4" t="s">
        <v>403</v>
      </c>
      <c r="B888" s="3">
        <v>0.0</v>
      </c>
      <c r="C888" s="3" t="s">
        <v>3</v>
      </c>
      <c r="D888" s="4" t="str">
        <f t="shared" si="1"/>
        <v>SANS</v>
      </c>
      <c r="E888" s="4" t="str">
        <f t="array" ref="E888">INDEX(consolid1!$I$2:$I$904,MATCH(A888,consolid1!$B$2:$B$904,0))</f>
        <v>#N/A</v>
      </c>
      <c r="F888" s="4" t="str">
        <f t="array" ref="F888">INDEX(consolid1!$G$2:$G1534,MATCH(A888,consolid1!$B$2:$B1534,0))</f>
        <v>#N/A</v>
      </c>
    </row>
    <row r="889">
      <c r="A889" s="4" t="s">
        <v>404</v>
      </c>
      <c r="B889" s="3">
        <v>0.0</v>
      </c>
      <c r="C889" s="3" t="s">
        <v>3</v>
      </c>
      <c r="D889" s="4" t="str">
        <f t="shared" si="1"/>
        <v>SANS</v>
      </c>
      <c r="E889" s="4" t="str">
        <f t="array" ref="E889">INDEX(consolid1!$I$2:$I$904,MATCH(A889,consolid1!$B$2:$B$904,0))</f>
        <v>#N/A</v>
      </c>
      <c r="F889" s="4" t="str">
        <f t="array" ref="F889">INDEX(consolid1!$G$2:$G1534,MATCH(A889,consolid1!$B$2:$B1534,0))</f>
        <v>#N/A</v>
      </c>
    </row>
    <row r="890">
      <c r="A890" s="4" t="s">
        <v>409</v>
      </c>
      <c r="B890" s="3">
        <v>0.0</v>
      </c>
      <c r="C890" s="3" t="s">
        <v>6</v>
      </c>
      <c r="D890" s="4" t="str">
        <f t="shared" si="1"/>
        <v>SANS</v>
      </c>
      <c r="E890" s="4" t="str">
        <f t="array" ref="E890">INDEX(consolid1!$I$2:$I$904,MATCH(A890,consolid1!$B$2:$B$904,0))</f>
        <v>#N/A</v>
      </c>
      <c r="F890" s="4" t="str">
        <f t="array" ref="F890">INDEX(consolid1!$G$2:$G1534,MATCH(A890,consolid1!$B$2:$B1534,0))</f>
        <v>#N/A</v>
      </c>
    </row>
    <row r="891">
      <c r="A891" s="4" t="s">
        <v>411</v>
      </c>
      <c r="B891" s="3">
        <v>0.0</v>
      </c>
      <c r="C891" s="3" t="s">
        <v>3</v>
      </c>
      <c r="D891" s="4" t="str">
        <f t="shared" si="1"/>
        <v>SANS</v>
      </c>
      <c r="E891" s="4" t="str">
        <f t="array" ref="E891">INDEX(consolid1!$I$2:$I$904,MATCH(A891,consolid1!$B$2:$B$904,0))</f>
        <v>#N/A</v>
      </c>
      <c r="F891" s="4" t="str">
        <f t="array" ref="F891">INDEX(consolid1!$G$2:$G1534,MATCH(A891,consolid1!$B$2:$B1534,0))</f>
        <v>#N/A</v>
      </c>
    </row>
    <row r="892">
      <c r="A892" s="4" t="s">
        <v>2145</v>
      </c>
      <c r="B892" s="3">
        <v>0.0</v>
      </c>
      <c r="C892" s="3" t="s">
        <v>6</v>
      </c>
      <c r="D892" s="4" t="str">
        <f t="shared" si="1"/>
        <v>SANS</v>
      </c>
      <c r="E892" s="4" t="str">
        <f t="array" ref="E892">INDEX(consolid1!$I$2:$I$904,MATCH(A892,consolid1!$B$2:$B$904,0))</f>
        <v>#N/A</v>
      </c>
      <c r="F892" s="4" t="str">
        <f t="array" ref="F892">INDEX(consolid1!$G$2:$G1534,MATCH(A892,consolid1!$B$2:$B1534,0))</f>
        <v>#N/A</v>
      </c>
    </row>
    <row r="893">
      <c r="A893" s="4" t="s">
        <v>2146</v>
      </c>
      <c r="B893" s="3">
        <v>0.0</v>
      </c>
      <c r="C893" s="3" t="s">
        <v>3</v>
      </c>
      <c r="D893" s="4" t="str">
        <f t="shared" si="1"/>
        <v>SANS</v>
      </c>
      <c r="E893" s="4" t="str">
        <f t="array" ref="E893">INDEX(consolid1!$I$2:$I$904,MATCH(A893,consolid1!$B$2:$B$904,0))</f>
        <v>#N/A</v>
      </c>
      <c r="F893" s="4" t="str">
        <f t="array" ref="F893">INDEX(consolid1!$G$2:$G1534,MATCH(A893,consolid1!$B$2:$B1534,0))</f>
        <v>#N/A</v>
      </c>
    </row>
    <row r="894">
      <c r="A894" s="4" t="s">
        <v>2147</v>
      </c>
      <c r="B894" s="3">
        <v>0.0</v>
      </c>
      <c r="C894" s="3" t="s">
        <v>3</v>
      </c>
      <c r="D894" s="4" t="str">
        <f t="shared" si="1"/>
        <v>SANS</v>
      </c>
      <c r="E894" s="4" t="str">
        <f t="array" ref="E894">INDEX(consolid1!$I$2:$I$904,MATCH(A894,consolid1!$B$2:$B$904,0))</f>
        <v>#N/A</v>
      </c>
      <c r="F894" s="4" t="str">
        <f t="array" ref="F894">INDEX(consolid1!$G$2:$G1534,MATCH(A894,consolid1!$B$2:$B1534,0))</f>
        <v>#N/A</v>
      </c>
    </row>
    <row r="895">
      <c r="A895" s="4" t="s">
        <v>419</v>
      </c>
      <c r="B895" s="3">
        <v>0.0</v>
      </c>
      <c r="C895" s="3" t="s">
        <v>3</v>
      </c>
      <c r="D895" s="4" t="str">
        <f t="shared" si="1"/>
        <v>SANS</v>
      </c>
      <c r="E895" s="4" t="str">
        <f t="array" ref="E895">INDEX(consolid1!$I$2:$I$904,MATCH(A895,consolid1!$B$2:$B$904,0))</f>
        <v>#N/A</v>
      </c>
      <c r="F895" s="4" t="str">
        <f t="array" ref="F895">INDEX(consolid1!$G$2:$G1534,MATCH(A895,consolid1!$B$2:$B1534,0))</f>
        <v>#N/A</v>
      </c>
    </row>
    <row r="896">
      <c r="A896" s="4" t="s">
        <v>2148</v>
      </c>
      <c r="B896" s="3">
        <v>0.0</v>
      </c>
      <c r="C896" s="3" t="s">
        <v>29</v>
      </c>
      <c r="D896" s="4" t="str">
        <f t="shared" si="1"/>
        <v>SANS</v>
      </c>
      <c r="E896" s="4" t="str">
        <f t="array" ref="E896">INDEX(consolid1!$I$2:$I$904,MATCH(A896,consolid1!$B$2:$B$904,0))</f>
        <v>#N/A</v>
      </c>
      <c r="F896" s="4" t="str">
        <f t="array" ref="F896">INDEX(consolid1!$G$2:$G1534,MATCH(A896,consolid1!$B$2:$B1534,0))</f>
        <v>#N/A</v>
      </c>
    </row>
    <row r="897">
      <c r="A897" s="4" t="s">
        <v>422</v>
      </c>
      <c r="B897" s="3">
        <v>0.0</v>
      </c>
      <c r="C897" s="3" t="s">
        <v>29</v>
      </c>
      <c r="D897" s="4" t="str">
        <f t="shared" si="1"/>
        <v>SANS</v>
      </c>
      <c r="E897" s="4" t="str">
        <f t="array" ref="E897">INDEX(consolid1!$I$2:$I$904,MATCH(A897,consolid1!$B$2:$B$904,0))</f>
        <v>#N/A</v>
      </c>
      <c r="F897" s="4" t="str">
        <f t="array" ref="F897">INDEX(consolid1!$G$2:$G1534,MATCH(A897,consolid1!$B$2:$B1534,0))</f>
        <v>#N/A</v>
      </c>
    </row>
    <row r="898">
      <c r="A898" s="4" t="s">
        <v>423</v>
      </c>
      <c r="B898" s="3">
        <v>0.0</v>
      </c>
      <c r="C898" s="3" t="s">
        <v>3</v>
      </c>
      <c r="D898" s="4" t="str">
        <f t="shared" si="1"/>
        <v>SANS</v>
      </c>
      <c r="E898" s="4" t="str">
        <f t="array" ref="E898">INDEX(consolid1!$I$2:$I$904,MATCH(A898,consolid1!$B$2:$B$904,0))</f>
        <v>#N/A</v>
      </c>
      <c r="F898" s="4" t="str">
        <f t="array" ref="F898">INDEX(consolid1!$G$2:$G1534,MATCH(A898,consolid1!$B$2:$B1534,0))</f>
        <v>#N/A</v>
      </c>
    </row>
    <row r="899">
      <c r="A899" s="4" t="s">
        <v>424</v>
      </c>
      <c r="B899" s="3">
        <v>0.0</v>
      </c>
      <c r="C899" s="3" t="s">
        <v>3</v>
      </c>
      <c r="D899" s="4" t="str">
        <f t="shared" si="1"/>
        <v>SANS</v>
      </c>
      <c r="E899" s="4" t="str">
        <f t="array" ref="E899">INDEX(consolid1!$I$2:$I$904,MATCH(A899,consolid1!$B$2:$B$904,0))</f>
        <v>#N/A</v>
      </c>
      <c r="F899" s="4" t="str">
        <f t="array" ref="F899">INDEX(consolid1!$G$2:$G1534,MATCH(A899,consolid1!$B$2:$B1534,0))</f>
        <v>#N/A</v>
      </c>
    </row>
    <row r="900">
      <c r="A900" s="4" t="s">
        <v>2149</v>
      </c>
      <c r="B900" s="3">
        <v>0.0</v>
      </c>
      <c r="C900" s="3" t="s">
        <v>3</v>
      </c>
      <c r="D900" s="4" t="str">
        <f t="shared" si="1"/>
        <v>SANS</v>
      </c>
      <c r="E900" s="4" t="str">
        <f t="array" ref="E900">INDEX(consolid1!$I$2:$I$904,MATCH(A900,consolid1!$B$2:$B$904,0))</f>
        <v>#N/A</v>
      </c>
      <c r="F900" s="4" t="str">
        <f t="array" ref="F900">INDEX(consolid1!$G$2:$G1534,MATCH(A900,consolid1!$B$2:$B1534,0))</f>
        <v>#N/A</v>
      </c>
    </row>
    <row r="901">
      <c r="A901" s="4" t="s">
        <v>2151</v>
      </c>
      <c r="B901" s="3">
        <v>0.0</v>
      </c>
      <c r="C901" s="3" t="s">
        <v>29</v>
      </c>
      <c r="D901" s="4" t="str">
        <f t="shared" si="1"/>
        <v>SANS</v>
      </c>
      <c r="E901" s="4" t="str">
        <f t="array" ref="E901">INDEX(consolid1!$I$2:$I$904,MATCH(A901,consolid1!$B$2:$B$904,0))</f>
        <v>#N/A</v>
      </c>
      <c r="F901" s="4" t="str">
        <f t="array" ref="F901">INDEX(consolid1!$G$2:$G1534,MATCH(A901,consolid1!$B$2:$B1534,0))</f>
        <v>#N/A</v>
      </c>
    </row>
    <row r="902">
      <c r="A902" s="4" t="s">
        <v>2152</v>
      </c>
      <c r="B902" s="3">
        <v>0.0</v>
      </c>
      <c r="C902" s="3" t="s">
        <v>3</v>
      </c>
      <c r="D902" s="4" t="str">
        <f t="shared" si="1"/>
        <v>SANS</v>
      </c>
      <c r="E902" s="4" t="str">
        <f t="array" ref="E902">INDEX(consolid1!$I$2:$I$904,MATCH(A902,consolid1!$B$2:$B$904,0))</f>
        <v>#N/A</v>
      </c>
      <c r="F902" s="4" t="str">
        <f t="array" ref="F902">INDEX(consolid1!$G$2:$G1534,MATCH(A902,consolid1!$B$2:$B1534,0))</f>
        <v>#N/A</v>
      </c>
    </row>
    <row r="903">
      <c r="A903" s="4" t="s">
        <v>2154</v>
      </c>
      <c r="B903" s="3">
        <v>0.0</v>
      </c>
      <c r="C903" s="3" t="s">
        <v>3</v>
      </c>
      <c r="D903" s="4" t="str">
        <f t="shared" si="1"/>
        <v>SANS</v>
      </c>
      <c r="E903" s="4" t="str">
        <f t="array" ref="E903">INDEX(consolid1!$I$2:$I$904,MATCH(A903,consolid1!$B$2:$B$904,0))</f>
        <v>#N/A</v>
      </c>
      <c r="F903" s="4" t="str">
        <f t="array" ref="F903">INDEX(consolid1!$G$2:$G1534,MATCH(A903,consolid1!$B$2:$B1534,0))</f>
        <v>#N/A</v>
      </c>
    </row>
    <row r="904">
      <c r="A904" s="4" t="s">
        <v>2155</v>
      </c>
      <c r="B904" s="3">
        <v>0.0</v>
      </c>
      <c r="C904" s="3" t="s">
        <v>6</v>
      </c>
      <c r="D904" s="4" t="str">
        <f t="shared" si="1"/>
        <v>SANS</v>
      </c>
      <c r="E904" s="4" t="str">
        <f t="array" ref="E904">INDEX(consolid1!$I$2:$I$904,MATCH(A904,consolid1!$B$2:$B$904,0))</f>
        <v>#N/A</v>
      </c>
      <c r="F904" s="4" t="str">
        <f t="array" ref="F904">INDEX(consolid1!$G$2:$G1534,MATCH(A904,consolid1!$B$2:$B1534,0))</f>
        <v>#N/A</v>
      </c>
    </row>
    <row r="905">
      <c r="A905" s="4" t="s">
        <v>441</v>
      </c>
      <c r="B905" s="3">
        <v>0.0</v>
      </c>
      <c r="C905" s="3" t="s">
        <v>29</v>
      </c>
      <c r="D905" s="4" t="str">
        <f t="shared" si="1"/>
        <v>SANS</v>
      </c>
      <c r="E905" s="4" t="str">
        <f t="array" ref="E905">INDEX(consolid1!$I$2:$I$904,MATCH(A905,consolid1!$B$2:$B$904,0))</f>
        <v>#N/A</v>
      </c>
      <c r="F905" s="4" t="str">
        <f t="array" ref="F905">INDEX(consolid1!$G$2:$G1534,MATCH(A905,consolid1!$B$2:$B1534,0))</f>
        <v>#N/A</v>
      </c>
    </row>
    <row r="906">
      <c r="A906" s="4" t="s">
        <v>449</v>
      </c>
      <c r="B906" s="3">
        <v>0.0</v>
      </c>
      <c r="C906" s="3" t="s">
        <v>32</v>
      </c>
      <c r="D906" s="4" t="str">
        <f t="shared" si="1"/>
        <v>SANS</v>
      </c>
      <c r="E906" s="4" t="str">
        <f t="array" ref="E906">INDEX(consolid1!$I$2:$I$904,MATCH(A906,consolid1!$B$2:$B$904,0))</f>
        <v>#N/A</v>
      </c>
      <c r="F906" s="4" t="str">
        <f t="array" ref="F906">INDEX(consolid1!$G$2:$G1534,MATCH(A906,consolid1!$B$2:$B1534,0))</f>
        <v>#N/A</v>
      </c>
    </row>
    <row r="907">
      <c r="A907" s="4" t="s">
        <v>451</v>
      </c>
      <c r="B907" s="3">
        <v>0.0</v>
      </c>
      <c r="C907" s="3" t="s">
        <v>3</v>
      </c>
      <c r="D907" s="4" t="str">
        <f t="shared" si="1"/>
        <v>SANS</v>
      </c>
      <c r="E907" s="4" t="str">
        <f t="array" ref="E907">INDEX(consolid1!$I$2:$I$904,MATCH(A907,consolid1!$B$2:$B$904,0))</f>
        <v>#N/A</v>
      </c>
      <c r="F907" s="4" t="str">
        <f t="array" ref="F907">INDEX(consolid1!$G$2:$G1534,MATCH(A907,consolid1!$B$2:$B1534,0))</f>
        <v>#N/A</v>
      </c>
    </row>
    <row r="908">
      <c r="A908" s="4" t="s">
        <v>453</v>
      </c>
      <c r="B908" s="3">
        <v>0.0</v>
      </c>
      <c r="C908" s="3" t="s">
        <v>3</v>
      </c>
      <c r="D908" s="4" t="str">
        <f t="shared" si="1"/>
        <v>SANS</v>
      </c>
      <c r="E908" s="4" t="str">
        <f t="array" ref="E908">INDEX(consolid1!$I$2:$I$904,MATCH(A908,consolid1!$B$2:$B$904,0))</f>
        <v>#N/A</v>
      </c>
      <c r="F908" s="4" t="str">
        <f t="array" ref="F908">INDEX(consolid1!$G$2:$G1534,MATCH(A908,consolid1!$B$2:$B1534,0))</f>
        <v>#N/A</v>
      </c>
    </row>
    <row r="909">
      <c r="A909" s="4" t="s">
        <v>454</v>
      </c>
      <c r="B909" s="3">
        <v>0.0</v>
      </c>
      <c r="C909" s="3" t="s">
        <v>3</v>
      </c>
      <c r="D909" s="4" t="str">
        <f t="shared" si="1"/>
        <v>SANS</v>
      </c>
      <c r="E909" s="4" t="str">
        <f t="array" ref="E909">INDEX(consolid1!$I$2:$I$904,MATCH(A909,consolid1!$B$2:$B$904,0))</f>
        <v>Culture</v>
      </c>
      <c r="F909" s="4" t="str">
        <f t="array" ref="F909">INDEX(consolid1!$G$2:$G1534,MATCH(A909,consolid1!$B$2:$B1534,0))</f>
        <v>null</v>
      </c>
    </row>
    <row r="910">
      <c r="A910" s="4" t="s">
        <v>455</v>
      </c>
      <c r="B910" s="3">
        <v>0.0</v>
      </c>
      <c r="C910" s="3" t="s">
        <v>3</v>
      </c>
      <c r="D910" s="4" t="str">
        <f t="shared" si="1"/>
        <v>SANS</v>
      </c>
      <c r="E910" s="4" t="str">
        <f t="array" ref="E910">INDEX(consolid1!$I$2:$I$904,MATCH(A910,consolid1!$B$2:$B$904,0))</f>
        <v>#N/A</v>
      </c>
      <c r="F910" s="4" t="str">
        <f t="array" ref="F910">INDEX(consolid1!$G$2:$G1534,MATCH(A910,consolid1!$B$2:$B1534,0))</f>
        <v>#N/A</v>
      </c>
    </row>
    <row r="911">
      <c r="A911" s="4" t="s">
        <v>456</v>
      </c>
      <c r="B911" s="3">
        <v>0.0</v>
      </c>
      <c r="C911" s="3" t="s">
        <v>6</v>
      </c>
      <c r="D911" s="4" t="str">
        <f t="shared" si="1"/>
        <v>SANS</v>
      </c>
      <c r="E911" s="4" t="str">
        <f t="array" ref="E911">INDEX(consolid1!$I$2:$I$904,MATCH(A911,consolid1!$B$2:$B$904,0))</f>
        <v>#N/A</v>
      </c>
      <c r="F911" s="4" t="str">
        <f t="array" ref="F911">INDEX(consolid1!$G$2:$G1534,MATCH(A911,consolid1!$B$2:$B1534,0))</f>
        <v>#N/A</v>
      </c>
    </row>
    <row r="912">
      <c r="A912" s="4" t="s">
        <v>2156</v>
      </c>
      <c r="B912" s="3">
        <v>0.0</v>
      </c>
      <c r="C912" s="3" t="s">
        <v>3</v>
      </c>
      <c r="D912" s="4" t="str">
        <f t="shared" si="1"/>
        <v>SANS</v>
      </c>
      <c r="E912" s="4" t="str">
        <f t="array" ref="E912">INDEX(consolid1!$I$2:$I$904,MATCH(A912,consolid1!$B$2:$B$904,0))</f>
        <v>#N/A</v>
      </c>
      <c r="F912" s="4" t="str">
        <f t="array" ref="F912">INDEX(consolid1!$G$2:$G1534,MATCH(A912,consolid1!$B$2:$B1534,0))</f>
        <v>#N/A</v>
      </c>
    </row>
    <row r="913">
      <c r="A913" s="4" t="s">
        <v>2158</v>
      </c>
      <c r="B913" s="3">
        <v>0.0</v>
      </c>
      <c r="C913" s="3" t="s">
        <v>3</v>
      </c>
      <c r="D913" s="4" t="str">
        <f t="shared" si="1"/>
        <v>SANS</v>
      </c>
      <c r="E913" s="4" t="str">
        <f t="array" ref="E913">INDEX(consolid1!$I$2:$I$904,MATCH(A913,consolid1!$B$2:$B$904,0))</f>
        <v>#N/A</v>
      </c>
      <c r="F913" s="4" t="str">
        <f t="array" ref="F913">INDEX(consolid1!$G$2:$G1534,MATCH(A913,consolid1!$B$2:$B1534,0))</f>
        <v>#N/A</v>
      </c>
    </row>
    <row r="914">
      <c r="A914" s="4" t="s">
        <v>464</v>
      </c>
      <c r="B914" s="3">
        <v>0.0</v>
      </c>
      <c r="C914" s="3" t="s">
        <v>3</v>
      </c>
      <c r="D914" s="4" t="str">
        <f t="shared" si="1"/>
        <v>SANS</v>
      </c>
      <c r="E914" s="4" t="str">
        <f t="array" ref="E914">INDEX(consolid1!$I$2:$I$904,MATCH(A914,consolid1!$B$2:$B$904,0))</f>
        <v>#N/A</v>
      </c>
      <c r="F914" s="4" t="str">
        <f t="array" ref="F914">INDEX(consolid1!$G$2:$G1534,MATCH(A914,consolid1!$B$2:$B1534,0))</f>
        <v>#N/A</v>
      </c>
    </row>
    <row r="915">
      <c r="A915" s="4" t="s">
        <v>2160</v>
      </c>
      <c r="B915" s="3">
        <v>0.0</v>
      </c>
      <c r="C915" s="3" t="s">
        <v>3</v>
      </c>
      <c r="D915" s="4" t="str">
        <f t="shared" si="1"/>
        <v>SANS</v>
      </c>
      <c r="E915" s="4" t="str">
        <f t="array" ref="E915">INDEX(consolid1!$I$2:$I$904,MATCH(A915,consolid1!$B$2:$B$904,0))</f>
        <v>#N/A</v>
      </c>
      <c r="F915" s="4" t="str">
        <f t="array" ref="F915">INDEX(consolid1!$G$2:$G1534,MATCH(A915,consolid1!$B$2:$B1534,0))</f>
        <v>#N/A</v>
      </c>
    </row>
    <row r="916">
      <c r="A916" s="4" t="s">
        <v>2161</v>
      </c>
      <c r="B916" s="3">
        <v>0.0</v>
      </c>
      <c r="C916" s="3" t="s">
        <v>3</v>
      </c>
      <c r="D916" s="4" t="str">
        <f t="shared" si="1"/>
        <v>SANS</v>
      </c>
      <c r="E916" s="4" t="str">
        <f t="array" ref="E916">INDEX(consolid1!$I$2:$I$904,MATCH(A916,consolid1!$B$2:$B$904,0))</f>
        <v>#N/A</v>
      </c>
      <c r="F916" s="4" t="str">
        <f t="array" ref="F916">INDEX(consolid1!$G$2:$G1534,MATCH(A916,consolid1!$B$2:$B1534,0))</f>
        <v>#N/A</v>
      </c>
    </row>
    <row r="917">
      <c r="A917" s="4" t="s">
        <v>2163</v>
      </c>
      <c r="B917" s="3">
        <v>0.0</v>
      </c>
      <c r="C917" s="3" t="s">
        <v>3</v>
      </c>
      <c r="D917" s="4" t="str">
        <f t="shared" si="1"/>
        <v>SANS</v>
      </c>
      <c r="E917" s="4" t="str">
        <f t="array" ref="E917">INDEX(consolid1!$I$2:$I$904,MATCH(A917,consolid1!$B$2:$B$904,0))</f>
        <v>#N/A</v>
      </c>
      <c r="F917" s="4" t="str">
        <f t="array" ref="F917">INDEX(consolid1!$G$2:$G1534,MATCH(A917,consolid1!$B$2:$B1534,0))</f>
        <v>#N/A</v>
      </c>
    </row>
    <row r="918">
      <c r="A918" s="4" t="s">
        <v>2164</v>
      </c>
      <c r="B918" s="3">
        <v>0.0</v>
      </c>
      <c r="C918" s="3" t="s">
        <v>3</v>
      </c>
      <c r="D918" s="4" t="str">
        <f t="shared" si="1"/>
        <v>SANS</v>
      </c>
      <c r="E918" s="4" t="str">
        <f t="array" ref="E918">INDEX(consolid1!$I$2:$I$904,MATCH(A918,consolid1!$B$2:$B$904,0))</f>
        <v>#N/A</v>
      </c>
      <c r="F918" s="4" t="str">
        <f t="array" ref="F918">INDEX(consolid1!$G$2:$G1534,MATCH(A918,consolid1!$B$2:$B1534,0))</f>
        <v>#N/A</v>
      </c>
    </row>
    <row r="919">
      <c r="A919" s="4" t="s">
        <v>2166</v>
      </c>
      <c r="B919" s="3">
        <v>0.0</v>
      </c>
      <c r="C919" s="3" t="s">
        <v>3</v>
      </c>
      <c r="D919" s="4" t="str">
        <f t="shared" si="1"/>
        <v>SANS</v>
      </c>
      <c r="E919" s="4" t="str">
        <f t="array" ref="E919">INDEX(consolid1!$I$2:$I$904,MATCH(A919,consolid1!$B$2:$B$904,0))</f>
        <v>#N/A</v>
      </c>
      <c r="F919" s="4" t="str">
        <f t="array" ref="F919">INDEX(consolid1!$G$2:$G1534,MATCH(A919,consolid1!$B$2:$B1534,0))</f>
        <v>#N/A</v>
      </c>
    </row>
    <row r="920">
      <c r="A920" s="4" t="s">
        <v>2167</v>
      </c>
      <c r="B920" s="3">
        <v>0.0</v>
      </c>
      <c r="C920" s="3" t="s">
        <v>3</v>
      </c>
      <c r="D920" s="4" t="str">
        <f t="shared" si="1"/>
        <v>SANS</v>
      </c>
      <c r="E920" s="4" t="str">
        <f t="array" ref="E920">INDEX(consolid1!$I$2:$I$904,MATCH(A920,consolid1!$B$2:$B$904,0))</f>
        <v>#N/A</v>
      </c>
      <c r="F920" s="4" t="str">
        <f t="array" ref="F920">INDEX(consolid1!$G$2:$G1534,MATCH(A920,consolid1!$B$2:$B1534,0))</f>
        <v>#N/A</v>
      </c>
    </row>
    <row r="921">
      <c r="A921" s="4" t="s">
        <v>2169</v>
      </c>
      <c r="B921" s="3">
        <v>0.0</v>
      </c>
      <c r="C921" s="3" t="s">
        <v>6</v>
      </c>
      <c r="D921" s="4" t="str">
        <f t="shared" si="1"/>
        <v>SANS</v>
      </c>
      <c r="E921" s="4" t="str">
        <f t="array" ref="E921">INDEX(consolid1!$I$2:$I$904,MATCH(A921,consolid1!$B$2:$B$904,0))</f>
        <v>#N/A</v>
      </c>
      <c r="F921" s="4" t="str">
        <f t="array" ref="F921">INDEX(consolid1!$G$2:$G1534,MATCH(A921,consolid1!$B$2:$B1534,0))</f>
        <v>#N/A</v>
      </c>
    </row>
    <row r="922">
      <c r="A922" s="4" t="s">
        <v>2170</v>
      </c>
      <c r="B922" s="3">
        <v>0.0</v>
      </c>
      <c r="C922" s="3" t="s">
        <v>3</v>
      </c>
      <c r="D922" s="4" t="str">
        <f t="shared" si="1"/>
        <v>SANS</v>
      </c>
      <c r="E922" s="4" t="str">
        <f t="array" ref="E922">INDEX(consolid1!$I$2:$I$904,MATCH(A922,consolid1!$B$2:$B$904,0))</f>
        <v>#N/A</v>
      </c>
      <c r="F922" s="4" t="str">
        <f t="array" ref="F922">INDEX(consolid1!$G$2:$G1534,MATCH(A922,consolid1!$B$2:$B1534,0))</f>
        <v>#N/A</v>
      </c>
    </row>
    <row r="923">
      <c r="A923" s="4" t="s">
        <v>2171</v>
      </c>
      <c r="B923" s="3">
        <v>0.0</v>
      </c>
      <c r="C923" s="3" t="s">
        <v>3</v>
      </c>
      <c r="D923" s="4" t="str">
        <f t="shared" si="1"/>
        <v>SANS</v>
      </c>
      <c r="E923" s="4" t="str">
        <f t="array" ref="E923">INDEX(consolid1!$I$2:$I$904,MATCH(A923,consolid1!$B$2:$B$904,0))</f>
        <v>#N/A</v>
      </c>
      <c r="F923" s="4" t="str">
        <f t="array" ref="F923">INDEX(consolid1!$G$2:$G1534,MATCH(A923,consolid1!$B$2:$B1534,0))</f>
        <v>#N/A</v>
      </c>
    </row>
    <row r="924">
      <c r="A924" s="4" t="s">
        <v>2172</v>
      </c>
      <c r="B924" s="3">
        <v>0.0</v>
      </c>
      <c r="C924" s="3" t="s">
        <v>3</v>
      </c>
      <c r="D924" s="4" t="str">
        <f t="shared" si="1"/>
        <v>SANS</v>
      </c>
      <c r="E924" s="4" t="str">
        <f t="array" ref="E924">INDEX(consolid1!$I$2:$I$904,MATCH(A924,consolid1!$B$2:$B$904,0))</f>
        <v>#N/A</v>
      </c>
      <c r="F924" s="4" t="str">
        <f t="array" ref="F924">INDEX(consolid1!$G$2:$G1534,MATCH(A924,consolid1!$B$2:$B1534,0))</f>
        <v>#N/A</v>
      </c>
    </row>
    <row r="925">
      <c r="A925" s="4" t="s">
        <v>2173</v>
      </c>
      <c r="B925" s="3">
        <v>0.0</v>
      </c>
      <c r="C925" s="3" t="s">
        <v>6</v>
      </c>
      <c r="D925" s="4" t="str">
        <f t="shared" si="1"/>
        <v>SANS</v>
      </c>
      <c r="E925" s="4" t="str">
        <f t="array" ref="E925">INDEX(consolid1!$I$2:$I$904,MATCH(A925,consolid1!$B$2:$B$904,0))</f>
        <v>#N/A</v>
      </c>
      <c r="F925" s="4" t="str">
        <f t="array" ref="F925">INDEX(consolid1!$G$2:$G1534,MATCH(A925,consolid1!$B$2:$B1534,0))</f>
        <v>#N/A</v>
      </c>
    </row>
    <row r="926">
      <c r="A926" s="4" t="s">
        <v>2174</v>
      </c>
      <c r="B926" s="3">
        <v>0.0</v>
      </c>
      <c r="C926" s="3" t="s">
        <v>3</v>
      </c>
      <c r="D926" s="4" t="str">
        <f t="shared" si="1"/>
        <v>SANS</v>
      </c>
      <c r="E926" s="4" t="str">
        <f t="array" ref="E926">INDEX(consolid1!$I$2:$I$904,MATCH(A926,consolid1!$B$2:$B$904,0))</f>
        <v>#N/A</v>
      </c>
      <c r="F926" s="4" t="str">
        <f t="array" ref="F926">INDEX(consolid1!$G$2:$G1534,MATCH(A926,consolid1!$B$2:$B1534,0))</f>
        <v>#N/A</v>
      </c>
    </row>
    <row r="927">
      <c r="A927" s="4" t="s">
        <v>2175</v>
      </c>
      <c r="B927" s="3">
        <v>0.0</v>
      </c>
      <c r="C927" s="3" t="s">
        <v>3</v>
      </c>
      <c r="D927" s="4" t="str">
        <f t="shared" si="1"/>
        <v>SANS</v>
      </c>
      <c r="E927" s="4" t="str">
        <f t="array" ref="E927">INDEX(consolid1!$I$2:$I$904,MATCH(A927,consolid1!$B$2:$B$904,0))</f>
        <v>Santé, bien-être</v>
      </c>
      <c r="F927" s="4" t="str">
        <f t="array" ref="F927">INDEX(consolid1!$G$2:$G1534,MATCH(A927,consolid1!$B$2:$B1534,0))</f>
        <v>Sandrine DUPLACEAU</v>
      </c>
    </row>
    <row r="928">
      <c r="A928" s="4" t="s">
        <v>515</v>
      </c>
      <c r="B928" s="3">
        <v>0.0</v>
      </c>
      <c r="C928" s="3" t="s">
        <v>6</v>
      </c>
      <c r="D928" s="4" t="str">
        <f t="shared" si="1"/>
        <v>SANS</v>
      </c>
      <c r="E928" s="4" t="str">
        <f t="array" ref="E928">INDEX(consolid1!$I$2:$I$904,MATCH(A928,consolid1!$B$2:$B$904,0))</f>
        <v>#N/A</v>
      </c>
      <c r="F928" s="4" t="str">
        <f t="array" ref="F928">INDEX(consolid1!$G$2:$G1534,MATCH(A928,consolid1!$B$2:$B1534,0))</f>
        <v>#N/A</v>
      </c>
    </row>
    <row r="929">
      <c r="A929" s="4" t="s">
        <v>2176</v>
      </c>
      <c r="B929" s="3">
        <v>0.0</v>
      </c>
      <c r="C929" s="3" t="s">
        <v>3</v>
      </c>
      <c r="D929" s="4" t="str">
        <f t="shared" si="1"/>
        <v>SANS</v>
      </c>
      <c r="E929" s="4" t="str">
        <f t="array" ref="E929">INDEX(consolid1!$I$2:$I$904,MATCH(A929,consolid1!$B$2:$B$904,0))</f>
        <v>#N/A</v>
      </c>
      <c r="F929" s="4" t="str">
        <f t="array" ref="F929">INDEX(consolid1!$G$2:$G1534,MATCH(A929,consolid1!$B$2:$B1534,0))</f>
        <v>#N/A</v>
      </c>
    </row>
    <row r="930">
      <c r="A930" s="4" t="s">
        <v>2177</v>
      </c>
      <c r="B930" s="3">
        <v>0.0</v>
      </c>
      <c r="C930" s="3" t="s">
        <v>3</v>
      </c>
      <c r="D930" s="4" t="str">
        <f t="shared" si="1"/>
        <v>SANS</v>
      </c>
      <c r="E930" s="4" t="str">
        <f t="array" ref="E930">INDEX(consolid1!$I$2:$I$904,MATCH(A930,consolid1!$B$2:$B$904,0))</f>
        <v>#N/A</v>
      </c>
      <c r="F930" s="4" t="str">
        <f t="array" ref="F930">INDEX(consolid1!$G$2:$G1534,MATCH(A930,consolid1!$B$2:$B1534,0))</f>
        <v>#N/A</v>
      </c>
    </row>
    <row r="931">
      <c r="A931" s="4" t="s">
        <v>534</v>
      </c>
      <c r="B931" s="3">
        <v>0.0</v>
      </c>
      <c r="C931" s="3" t="s">
        <v>26</v>
      </c>
      <c r="D931" s="4" t="str">
        <f t="shared" si="1"/>
        <v>SANS</v>
      </c>
      <c r="E931" s="4" t="str">
        <f t="array" ref="E931">INDEX(consolid1!$I$2:$I$904,MATCH(A931,consolid1!$B$2:$B$904,0))</f>
        <v>#N/A</v>
      </c>
      <c r="F931" s="4" t="str">
        <f t="array" ref="F931">INDEX(consolid1!$G$2:$G1534,MATCH(A931,consolid1!$B$2:$B1534,0))</f>
        <v>#N/A</v>
      </c>
    </row>
    <row r="932">
      <c r="A932" s="4" t="s">
        <v>539</v>
      </c>
      <c r="B932" s="3">
        <v>0.0</v>
      </c>
      <c r="C932" s="3" t="s">
        <v>6</v>
      </c>
      <c r="D932" s="4" t="str">
        <f t="shared" si="1"/>
        <v>SANS</v>
      </c>
      <c r="E932" s="4" t="str">
        <f t="array" ref="E932">INDEX(consolid1!$I$2:$I$904,MATCH(A932,consolid1!$B$2:$B$904,0))</f>
        <v>#N/A</v>
      </c>
      <c r="F932" s="4" t="str">
        <f t="array" ref="F932">INDEX(consolid1!$G$2:$G1534,MATCH(A932,consolid1!$B$2:$B1534,0))</f>
        <v>#N/A</v>
      </c>
    </row>
    <row r="933">
      <c r="A933" s="4" t="s">
        <v>542</v>
      </c>
      <c r="B933" s="3">
        <v>0.0</v>
      </c>
      <c r="C933" s="3" t="s">
        <v>3</v>
      </c>
      <c r="D933" s="4" t="str">
        <f t="shared" si="1"/>
        <v>SANS</v>
      </c>
      <c r="E933" s="4" t="str">
        <f t="array" ref="E933">INDEX(consolid1!$I$2:$I$904,MATCH(A933,consolid1!$B$2:$B$904,0))</f>
        <v>#N/A</v>
      </c>
      <c r="F933" s="4" t="str">
        <f t="array" ref="F933">INDEX(consolid1!$G$2:$G1534,MATCH(A933,consolid1!$B$2:$B1534,0))</f>
        <v>#N/A</v>
      </c>
    </row>
    <row r="934">
      <c r="A934" s="4" t="s">
        <v>2182</v>
      </c>
      <c r="B934" s="3">
        <v>0.0</v>
      </c>
      <c r="C934" s="3" t="s">
        <v>3</v>
      </c>
      <c r="D934" s="4" t="str">
        <f t="shared" si="1"/>
        <v>SANS</v>
      </c>
      <c r="E934" s="4" t="str">
        <f t="array" ref="E934">INDEX(consolid1!$I$2:$I$904,MATCH(A934,consolid1!$B$2:$B$904,0))</f>
        <v>#N/A</v>
      </c>
      <c r="F934" s="4" t="str">
        <f t="array" ref="F934">INDEX(consolid1!$G$2:$G1534,MATCH(A934,consolid1!$B$2:$B1534,0))</f>
        <v>#N/A</v>
      </c>
    </row>
    <row r="935">
      <c r="A935" s="4" t="s">
        <v>545</v>
      </c>
      <c r="B935" s="3">
        <v>0.0</v>
      </c>
      <c r="C935" s="3" t="s">
        <v>3</v>
      </c>
      <c r="D935" s="4" t="str">
        <f t="shared" si="1"/>
        <v>SANS</v>
      </c>
      <c r="E935" s="4" t="str">
        <f t="array" ref="E935">INDEX(consolid1!$I$2:$I$904,MATCH(A935,consolid1!$B$2:$B$904,0))</f>
        <v>#N/A</v>
      </c>
      <c r="F935" s="4" t="str">
        <f t="array" ref="F935">INDEX(consolid1!$G$2:$G1534,MATCH(A935,consolid1!$B$2:$B1534,0))</f>
        <v>#N/A</v>
      </c>
    </row>
    <row r="936">
      <c r="A936" s="4" t="s">
        <v>546</v>
      </c>
      <c r="B936" s="3">
        <v>0.0</v>
      </c>
      <c r="C936" s="3" t="s">
        <v>3</v>
      </c>
      <c r="D936" s="4" t="str">
        <f t="shared" si="1"/>
        <v>SANS</v>
      </c>
      <c r="E936" s="4" t="str">
        <f t="array" ref="E936">INDEX(consolid1!$I$2:$I$904,MATCH(A936,consolid1!$B$2:$B$904,0))</f>
        <v>#N/A</v>
      </c>
      <c r="F936" s="4" t="str">
        <f t="array" ref="F936">INDEX(consolid1!$G$2:$G1534,MATCH(A936,consolid1!$B$2:$B1534,0))</f>
        <v>#N/A</v>
      </c>
    </row>
    <row r="937">
      <c r="A937" s="4" t="s">
        <v>548</v>
      </c>
      <c r="B937" s="3">
        <v>0.0</v>
      </c>
      <c r="C937" s="3" t="s">
        <v>29</v>
      </c>
      <c r="D937" s="4" t="str">
        <f t="shared" si="1"/>
        <v>SANS</v>
      </c>
      <c r="E937" s="4" t="str">
        <f t="array" ref="E937">INDEX(consolid1!$I$2:$I$904,MATCH(A937,consolid1!$B$2:$B$904,0))</f>
        <v>#N/A</v>
      </c>
      <c r="F937" s="4" t="str">
        <f t="array" ref="F937">INDEX(consolid1!$G$2:$G1534,MATCH(A937,consolid1!$B$2:$B1534,0))</f>
        <v>#N/A</v>
      </c>
    </row>
    <row r="938">
      <c r="A938" s="4" t="s">
        <v>551</v>
      </c>
      <c r="B938" s="3">
        <v>0.0</v>
      </c>
      <c r="C938" s="3" t="s">
        <v>29</v>
      </c>
      <c r="D938" s="4" t="str">
        <f t="shared" si="1"/>
        <v>SANS</v>
      </c>
      <c r="E938" s="4" t="str">
        <f t="array" ref="E938">INDEX(consolid1!$I$2:$I$904,MATCH(A938,consolid1!$B$2:$B$904,0))</f>
        <v>#N/A</v>
      </c>
      <c r="F938" s="4" t="str">
        <f t="array" ref="F938">INDEX(consolid1!$G$2:$G1534,MATCH(A938,consolid1!$B$2:$B1534,0))</f>
        <v>#N/A</v>
      </c>
    </row>
    <row r="939">
      <c r="A939" s="4" t="s">
        <v>553</v>
      </c>
      <c r="B939" s="3">
        <v>0.0</v>
      </c>
      <c r="C939" s="3" t="s">
        <v>29</v>
      </c>
      <c r="D939" s="4" t="str">
        <f t="shared" si="1"/>
        <v>SANS</v>
      </c>
      <c r="E939" s="4" t="str">
        <f t="array" ref="E939">INDEX(consolid1!$I$2:$I$904,MATCH(A939,consolid1!$B$2:$B$904,0))</f>
        <v>#N/A</v>
      </c>
      <c r="F939" s="4" t="str">
        <f t="array" ref="F939">INDEX(consolid1!$G$2:$G1534,MATCH(A939,consolid1!$B$2:$B1534,0))</f>
        <v>#N/A</v>
      </c>
    </row>
    <row r="940">
      <c r="A940" s="4" t="s">
        <v>554</v>
      </c>
      <c r="B940" s="3">
        <v>0.0</v>
      </c>
      <c r="C940" s="3" t="s">
        <v>29</v>
      </c>
      <c r="D940" s="4" t="str">
        <f t="shared" si="1"/>
        <v>SANS</v>
      </c>
      <c r="E940" s="4" t="str">
        <f t="array" ref="E940">INDEX(consolid1!$I$2:$I$904,MATCH(A940,consolid1!$B$2:$B$904,0))</f>
        <v>#N/A</v>
      </c>
      <c r="F940" s="4" t="str">
        <f t="array" ref="F940">INDEX(consolid1!$G$2:$G1534,MATCH(A940,consolid1!$B$2:$B1534,0))</f>
        <v>#N/A</v>
      </c>
    </row>
    <row r="941">
      <c r="A941" s="4" t="s">
        <v>2183</v>
      </c>
      <c r="B941" s="3">
        <v>0.0</v>
      </c>
      <c r="C941" s="3" t="s">
        <v>29</v>
      </c>
      <c r="D941" s="4" t="str">
        <f t="shared" si="1"/>
        <v>SANS</v>
      </c>
      <c r="E941" s="4" t="str">
        <f t="array" ref="E941">INDEX(consolid1!$I$2:$I$904,MATCH(A941,consolid1!$B$2:$B$904,0))</f>
        <v>#N/A</v>
      </c>
      <c r="F941" s="4" t="str">
        <f t="array" ref="F941">INDEX(consolid1!$G$2:$G1534,MATCH(A941,consolid1!$B$2:$B1534,0))</f>
        <v>#N/A</v>
      </c>
    </row>
    <row r="942">
      <c r="A942" s="4" t="s">
        <v>561</v>
      </c>
      <c r="B942" s="3">
        <v>0.0</v>
      </c>
      <c r="C942" s="3" t="s">
        <v>29</v>
      </c>
      <c r="D942" s="4" t="str">
        <f t="shared" si="1"/>
        <v>SANS</v>
      </c>
      <c r="E942" s="4" t="str">
        <f t="array" ref="E942">INDEX(consolid1!$I$2:$I$904,MATCH(A942,consolid1!$B$2:$B$904,0))</f>
        <v>#N/A</v>
      </c>
      <c r="F942" s="4" t="str">
        <f t="array" ref="F942">INDEX(consolid1!$G$2:$G1534,MATCH(A942,consolid1!$B$2:$B1534,0))</f>
        <v>#N/A</v>
      </c>
    </row>
    <row r="943">
      <c r="A943" s="4" t="s">
        <v>562</v>
      </c>
      <c r="B943" s="3">
        <v>0.0</v>
      </c>
      <c r="C943" s="3" t="s">
        <v>29</v>
      </c>
      <c r="D943" s="4" t="str">
        <f t="shared" si="1"/>
        <v>SANS</v>
      </c>
      <c r="E943" s="4" t="str">
        <f t="array" ref="E943">INDEX(consolid1!$I$2:$I$904,MATCH(A943,consolid1!$B$2:$B$904,0))</f>
        <v>#N/A</v>
      </c>
      <c r="F943" s="4" t="str">
        <f t="array" ref="F943">INDEX(consolid1!$G$2:$G1534,MATCH(A943,consolid1!$B$2:$B1534,0))</f>
        <v>#N/A</v>
      </c>
    </row>
    <row r="944">
      <c r="A944" s="4" t="s">
        <v>563</v>
      </c>
      <c r="B944" s="3">
        <v>0.0</v>
      </c>
      <c r="C944" s="3" t="s">
        <v>29</v>
      </c>
      <c r="D944" s="4" t="str">
        <f t="shared" si="1"/>
        <v>SANS</v>
      </c>
      <c r="E944" s="4" t="str">
        <f t="array" ref="E944">INDEX(consolid1!$I$2:$I$904,MATCH(A944,consolid1!$B$2:$B$904,0))</f>
        <v>#N/A</v>
      </c>
      <c r="F944" s="4" t="str">
        <f t="array" ref="F944">INDEX(consolid1!$G$2:$G1534,MATCH(A944,consolid1!$B$2:$B1534,0))</f>
        <v>#N/A</v>
      </c>
    </row>
    <row r="945">
      <c r="A945" s="4" t="s">
        <v>564</v>
      </c>
      <c r="B945" s="3">
        <v>0.0</v>
      </c>
      <c r="C945" s="3" t="s">
        <v>484</v>
      </c>
      <c r="D945" s="4" t="str">
        <f t="shared" si="1"/>
        <v>SANS</v>
      </c>
      <c r="E945" s="4" t="str">
        <f t="array" ref="E945">INDEX(consolid1!$I$2:$I$904,MATCH(A945,consolid1!$B$2:$B$904,0))</f>
        <v>#N/A</v>
      </c>
      <c r="F945" s="4" t="str">
        <f t="array" ref="F945">INDEX(consolid1!$G$2:$G1534,MATCH(A945,consolid1!$B$2:$B1534,0))</f>
        <v>#N/A</v>
      </c>
    </row>
    <row r="946">
      <c r="A946" s="4" t="s">
        <v>565</v>
      </c>
      <c r="B946" s="3">
        <v>0.0</v>
      </c>
      <c r="C946" s="3" t="s">
        <v>29</v>
      </c>
      <c r="D946" s="4" t="str">
        <f t="shared" si="1"/>
        <v>SANS</v>
      </c>
      <c r="E946" s="4" t="str">
        <f t="array" ref="E946">INDEX(consolid1!$I$2:$I$904,MATCH(A946,consolid1!$B$2:$B$904,0))</f>
        <v>#N/A</v>
      </c>
      <c r="F946" s="4" t="str">
        <f t="array" ref="F946">INDEX(consolid1!$G$2:$G1534,MATCH(A946,consolid1!$B$2:$B1534,0))</f>
        <v>#N/A</v>
      </c>
    </row>
    <row r="947">
      <c r="A947" s="4" t="s">
        <v>566</v>
      </c>
      <c r="B947" s="3">
        <v>0.0</v>
      </c>
      <c r="C947" s="3" t="s">
        <v>29</v>
      </c>
      <c r="D947" s="4" t="str">
        <f t="shared" si="1"/>
        <v>SANS</v>
      </c>
      <c r="E947" s="4" t="str">
        <f t="array" ref="E947">INDEX(consolid1!$I$2:$I$904,MATCH(A947,consolid1!$B$2:$B$904,0))</f>
        <v>#N/A</v>
      </c>
      <c r="F947" s="4" t="str">
        <f t="array" ref="F947">INDEX(consolid1!$G$2:$G1534,MATCH(A947,consolid1!$B$2:$B1534,0))</f>
        <v>#N/A</v>
      </c>
    </row>
    <row r="948">
      <c r="A948" s="4" t="s">
        <v>567</v>
      </c>
      <c r="B948" s="3">
        <v>0.0</v>
      </c>
      <c r="C948" s="3" t="s">
        <v>3</v>
      </c>
      <c r="D948" s="4" t="str">
        <f t="shared" si="1"/>
        <v>SANS</v>
      </c>
      <c r="E948" s="4" t="str">
        <f t="array" ref="E948">INDEX(consolid1!$I$2:$I$904,MATCH(A948,consolid1!$B$2:$B$904,0))</f>
        <v>#N/A</v>
      </c>
      <c r="F948" s="4" t="str">
        <f t="array" ref="F948">INDEX(consolid1!$G$2:$G1534,MATCH(A948,consolid1!$B$2:$B1534,0))</f>
        <v>#N/A</v>
      </c>
    </row>
    <row r="949">
      <c r="A949" s="4" t="s">
        <v>568</v>
      </c>
      <c r="B949" s="3">
        <v>0.0</v>
      </c>
      <c r="C949" s="3" t="s">
        <v>3</v>
      </c>
      <c r="D949" s="4" t="str">
        <f t="shared" si="1"/>
        <v>SANS</v>
      </c>
      <c r="E949" s="4" t="str">
        <f t="array" ref="E949">INDEX(consolid1!$I$2:$I$904,MATCH(A949,consolid1!$B$2:$B$904,0))</f>
        <v>#N/A</v>
      </c>
      <c r="F949" s="4" t="str">
        <f t="array" ref="F949">INDEX(consolid1!$G$2:$G1534,MATCH(A949,consolid1!$B$2:$B1534,0))</f>
        <v>#N/A</v>
      </c>
    </row>
    <row r="950">
      <c r="A950" s="4" t="s">
        <v>573</v>
      </c>
      <c r="B950" s="3">
        <v>0.0</v>
      </c>
      <c r="C950" s="3" t="s">
        <v>3</v>
      </c>
      <c r="D950" s="4" t="str">
        <f t="shared" si="1"/>
        <v>SANS</v>
      </c>
      <c r="E950" s="4" t="str">
        <f t="array" ref="E950">INDEX(consolid1!$I$2:$I$904,MATCH(A950,consolid1!$B$2:$B$904,0))</f>
        <v>#N/A</v>
      </c>
      <c r="F950" s="4" t="str">
        <f t="array" ref="F950">INDEX(consolid1!$G$2:$G1534,MATCH(A950,consolid1!$B$2:$B1534,0))</f>
        <v>#N/A</v>
      </c>
    </row>
    <row r="951">
      <c r="A951" s="4" t="s">
        <v>577</v>
      </c>
      <c r="B951" s="3">
        <v>0.0</v>
      </c>
      <c r="C951" s="3" t="s">
        <v>32</v>
      </c>
      <c r="D951" s="4" t="str">
        <f t="shared" si="1"/>
        <v>SANS</v>
      </c>
      <c r="E951" s="4" t="str">
        <f t="array" ref="E951">INDEX(consolid1!$I$2:$I$904,MATCH(A951,consolid1!$B$2:$B$904,0))</f>
        <v>#N/A</v>
      </c>
      <c r="F951" s="4" t="str">
        <f t="array" ref="F951">INDEX(consolid1!$G$2:$G1534,MATCH(A951,consolid1!$B$2:$B1534,0))</f>
        <v>#N/A</v>
      </c>
    </row>
    <row r="952">
      <c r="A952" s="4" t="s">
        <v>2187</v>
      </c>
      <c r="B952" s="3">
        <v>0.0</v>
      </c>
      <c r="C952" s="3" t="s">
        <v>6</v>
      </c>
      <c r="D952" s="4" t="str">
        <f t="shared" si="1"/>
        <v>SANS</v>
      </c>
      <c r="E952" s="4" t="str">
        <f t="array" ref="E952">INDEX(consolid1!$I$2:$I$904,MATCH(A952,consolid1!$B$2:$B$904,0))</f>
        <v>#N/A</v>
      </c>
      <c r="F952" s="4" t="str">
        <f t="array" ref="F952">INDEX(consolid1!$G$2:$G1534,MATCH(A952,consolid1!$B$2:$B1534,0))</f>
        <v>#N/A</v>
      </c>
    </row>
    <row r="953">
      <c r="A953" s="4" t="s">
        <v>588</v>
      </c>
      <c r="B953" s="3">
        <v>0.0</v>
      </c>
      <c r="C953" s="3" t="s">
        <v>3</v>
      </c>
      <c r="D953" s="4" t="str">
        <f t="shared" si="1"/>
        <v>SANS</v>
      </c>
      <c r="E953" s="4" t="str">
        <f t="array" ref="E953">INDEX(consolid1!$I$2:$I$904,MATCH(A953,consolid1!$B$2:$B$904,0))</f>
        <v>#N/A</v>
      </c>
      <c r="F953" s="4" t="str">
        <f t="array" ref="F953">INDEX(consolid1!$G$2:$G1534,MATCH(A953,consolid1!$B$2:$B1534,0))</f>
        <v>#N/A</v>
      </c>
    </row>
    <row r="954">
      <c r="A954" s="4" t="s">
        <v>591</v>
      </c>
      <c r="B954" s="3">
        <v>0.0</v>
      </c>
      <c r="C954" s="3" t="s">
        <v>3</v>
      </c>
      <c r="D954" s="4" t="str">
        <f t="shared" si="1"/>
        <v>SANS</v>
      </c>
      <c r="E954" s="4" t="str">
        <f t="array" ref="E954">INDEX(consolid1!$I$2:$I$904,MATCH(A954,consolid1!$B$2:$B$904,0))</f>
        <v>#N/A</v>
      </c>
      <c r="F954" s="4" t="str">
        <f t="array" ref="F954">INDEX(consolid1!$G$2:$G1534,MATCH(A954,consolid1!$B$2:$B1534,0))</f>
        <v>#N/A</v>
      </c>
    </row>
    <row r="955">
      <c r="A955" s="4" t="s">
        <v>592</v>
      </c>
      <c r="B955" s="3">
        <v>0.0</v>
      </c>
      <c r="C955" s="3" t="s">
        <v>3</v>
      </c>
      <c r="D955" s="4" t="str">
        <f t="shared" si="1"/>
        <v>SANS</v>
      </c>
      <c r="E955" s="4" t="str">
        <f t="array" ref="E955">INDEX(consolid1!$I$2:$I$904,MATCH(A955,consolid1!$B$2:$B$904,0))</f>
        <v>#N/A</v>
      </c>
      <c r="F955" s="4" t="str">
        <f t="array" ref="F955">INDEX(consolid1!$G$2:$G1534,MATCH(A955,consolid1!$B$2:$B1534,0))</f>
        <v>#N/A</v>
      </c>
    </row>
    <row r="956">
      <c r="A956" s="4" t="s">
        <v>593</v>
      </c>
      <c r="B956" s="3">
        <v>0.0</v>
      </c>
      <c r="C956" s="3" t="s">
        <v>3</v>
      </c>
      <c r="D956" s="4" t="str">
        <f t="shared" si="1"/>
        <v>SANS</v>
      </c>
      <c r="E956" s="4" t="str">
        <f t="array" ref="E956">INDEX(consolid1!$I$2:$I$904,MATCH(A956,consolid1!$B$2:$B$904,0))</f>
        <v>#N/A</v>
      </c>
      <c r="F956" s="4" t="str">
        <f t="array" ref="F956">INDEX(consolid1!$G$2:$G1534,MATCH(A956,consolid1!$B$2:$B1534,0))</f>
        <v>#N/A</v>
      </c>
    </row>
    <row r="957">
      <c r="A957" s="4" t="s">
        <v>594</v>
      </c>
      <c r="B957" s="3">
        <v>0.0</v>
      </c>
      <c r="C957" s="3" t="s">
        <v>6</v>
      </c>
      <c r="D957" s="4" t="str">
        <f t="shared" si="1"/>
        <v>SANS</v>
      </c>
      <c r="E957" s="4" t="str">
        <f t="array" ref="E957">INDEX(consolid1!$I$2:$I$904,MATCH(A957,consolid1!$B$2:$B$904,0))</f>
        <v>#N/A</v>
      </c>
      <c r="F957" s="4" t="str">
        <f t="array" ref="F957">INDEX(consolid1!$G$2:$G1534,MATCH(A957,consolid1!$B$2:$B1534,0))</f>
        <v>#N/A</v>
      </c>
    </row>
    <row r="958">
      <c r="A958" s="4" t="s">
        <v>595</v>
      </c>
      <c r="B958" s="3">
        <v>0.0</v>
      </c>
      <c r="C958" s="3" t="s">
        <v>3</v>
      </c>
      <c r="D958" s="4" t="str">
        <f t="shared" si="1"/>
        <v>SANS</v>
      </c>
      <c r="E958" s="4" t="str">
        <f t="array" ref="E958">INDEX(consolid1!$I$2:$I$904,MATCH(A958,consolid1!$B$2:$B$904,0))</f>
        <v>#N/A</v>
      </c>
      <c r="F958" s="4" t="str">
        <f t="array" ref="F958">INDEX(consolid1!$G$2:$G1534,MATCH(A958,consolid1!$B$2:$B1534,0))</f>
        <v>#N/A</v>
      </c>
    </row>
    <row r="959">
      <c r="A959" s="4" t="s">
        <v>2188</v>
      </c>
      <c r="B959" s="3">
        <v>0.0</v>
      </c>
      <c r="C959" s="3" t="s">
        <v>3</v>
      </c>
      <c r="D959" s="4" t="str">
        <f t="shared" si="1"/>
        <v>SANS</v>
      </c>
      <c r="E959" s="4" t="str">
        <f t="array" ref="E959">INDEX(consolid1!$I$2:$I$904,MATCH(A959,consolid1!$B$2:$B$904,0))</f>
        <v>#N/A</v>
      </c>
      <c r="F959" s="4" t="str">
        <f t="array" ref="F959">INDEX(consolid1!$G$2:$G1534,MATCH(A959,consolid1!$B$2:$B1534,0))</f>
        <v>#N/A</v>
      </c>
    </row>
    <row r="960">
      <c r="A960" s="4" t="s">
        <v>598</v>
      </c>
      <c r="B960" s="3">
        <v>0.0</v>
      </c>
      <c r="C960" s="3" t="s">
        <v>3</v>
      </c>
      <c r="D960" s="4" t="str">
        <f t="shared" si="1"/>
        <v>SANS</v>
      </c>
      <c r="E960" s="4" t="str">
        <f t="array" ref="E960">INDEX(consolid1!$I$2:$I$904,MATCH(A960,consolid1!$B$2:$B$904,0))</f>
        <v>#N/A</v>
      </c>
      <c r="F960" s="4" t="str">
        <f t="array" ref="F960">INDEX(consolid1!$G$2:$G1534,MATCH(A960,consolid1!$B$2:$B1534,0))</f>
        <v>#N/A</v>
      </c>
    </row>
    <row r="961">
      <c r="A961" s="4" t="s">
        <v>610</v>
      </c>
      <c r="B961" s="3">
        <v>0.0</v>
      </c>
      <c r="C961" s="3" t="s">
        <v>6</v>
      </c>
      <c r="D961" s="4" t="str">
        <f t="shared" si="1"/>
        <v>SANS</v>
      </c>
      <c r="E961" s="4" t="str">
        <f t="array" ref="E961">INDEX(consolid1!$I$2:$I$904,MATCH(A961,consolid1!$B$2:$B$904,0))</f>
        <v>#N/A</v>
      </c>
      <c r="F961" s="4" t="str">
        <f t="array" ref="F961">INDEX(consolid1!$G$2:$G1534,MATCH(A961,consolid1!$B$2:$B1534,0))</f>
        <v>#N/A</v>
      </c>
    </row>
    <row r="962">
      <c r="A962" s="4" t="s">
        <v>612</v>
      </c>
      <c r="B962" s="3">
        <v>0.0</v>
      </c>
      <c r="C962" s="3" t="s">
        <v>6</v>
      </c>
      <c r="D962" s="4" t="str">
        <f t="shared" si="1"/>
        <v>SANS</v>
      </c>
      <c r="E962" s="4" t="str">
        <f t="array" ref="E962">INDEX(consolid1!$I$2:$I$904,MATCH(A962,consolid1!$B$2:$B$904,0))</f>
        <v>#N/A</v>
      </c>
      <c r="F962" s="4" t="str">
        <f t="array" ref="F962">INDEX(consolid1!$G$2:$G1534,MATCH(A962,consolid1!$B$2:$B1534,0))</f>
        <v>#N/A</v>
      </c>
    </row>
    <row r="963">
      <c r="A963" s="4" t="s">
        <v>613</v>
      </c>
      <c r="B963" s="3">
        <v>0.0</v>
      </c>
      <c r="C963" s="3" t="s">
        <v>3</v>
      </c>
      <c r="D963" s="4" t="str">
        <f t="shared" si="1"/>
        <v>SANS</v>
      </c>
      <c r="E963" s="4" t="str">
        <f t="array" ref="E963">INDEX(consolid1!$I$2:$I$904,MATCH(A963,consolid1!$B$2:$B$904,0))</f>
        <v>#N/A</v>
      </c>
      <c r="F963" s="4" t="str">
        <f t="array" ref="F963">INDEX(consolid1!$G$2:$G1534,MATCH(A963,consolid1!$B$2:$B1534,0))</f>
        <v>#N/A</v>
      </c>
    </row>
    <row r="964">
      <c r="A964" s="4" t="s">
        <v>615</v>
      </c>
      <c r="B964" s="3">
        <v>0.0</v>
      </c>
      <c r="C964" s="3" t="s">
        <v>3</v>
      </c>
      <c r="D964" s="4" t="str">
        <f t="shared" si="1"/>
        <v>SANS</v>
      </c>
      <c r="E964" s="4" t="str">
        <f t="array" ref="E964">INDEX(consolid1!$I$2:$I$904,MATCH(A964,consolid1!$B$2:$B$904,0))</f>
        <v>#N/A</v>
      </c>
      <c r="F964" s="4" t="str">
        <f t="array" ref="F964">INDEX(consolid1!$G$2:$G1534,MATCH(A964,consolid1!$B$2:$B1534,0))</f>
        <v>#N/A</v>
      </c>
    </row>
    <row r="965">
      <c r="A965" s="4" t="s">
        <v>616</v>
      </c>
      <c r="B965" s="3">
        <v>0.0</v>
      </c>
      <c r="C965" s="3" t="s">
        <v>3</v>
      </c>
      <c r="D965" s="4" t="str">
        <f t="shared" si="1"/>
        <v>SANS</v>
      </c>
      <c r="E965" s="4" t="str">
        <f t="array" ref="E965">INDEX(consolid1!$I$2:$I$904,MATCH(A965,consolid1!$B$2:$B$904,0))</f>
        <v>#N/A</v>
      </c>
      <c r="F965" s="4" t="str">
        <f t="array" ref="F965">INDEX(consolid1!$G$2:$G1534,MATCH(A965,consolid1!$B$2:$B1534,0))</f>
        <v>#N/A</v>
      </c>
    </row>
    <row r="966">
      <c r="A966" s="4" t="s">
        <v>617</v>
      </c>
      <c r="B966" s="3">
        <v>0.0</v>
      </c>
      <c r="C966" s="3" t="s">
        <v>3</v>
      </c>
      <c r="D966" s="4" t="str">
        <f t="shared" si="1"/>
        <v>SANS</v>
      </c>
      <c r="E966" s="4" t="str">
        <f t="array" ref="E966">INDEX(consolid1!$I$2:$I$904,MATCH(A966,consolid1!$B$2:$B$904,0))</f>
        <v>#N/A</v>
      </c>
      <c r="F966" s="4" t="str">
        <f t="array" ref="F966">INDEX(consolid1!$G$2:$G1534,MATCH(A966,consolid1!$B$2:$B1534,0))</f>
        <v>#N/A</v>
      </c>
    </row>
    <row r="967">
      <c r="A967" s="4" t="s">
        <v>618</v>
      </c>
      <c r="B967" s="3">
        <v>0.0</v>
      </c>
      <c r="C967" s="3" t="s">
        <v>3</v>
      </c>
      <c r="D967" s="4" t="str">
        <f t="shared" si="1"/>
        <v>SANS</v>
      </c>
      <c r="E967" s="4" t="str">
        <f t="array" ref="E967">INDEX(consolid1!$I$2:$I$904,MATCH(A967,consolid1!$B$2:$B$904,0))</f>
        <v>#N/A</v>
      </c>
      <c r="F967" s="4" t="str">
        <f t="array" ref="F967">INDEX(consolid1!$G$2:$G1534,MATCH(A967,consolid1!$B$2:$B1534,0))</f>
        <v>#N/A</v>
      </c>
    </row>
    <row r="968">
      <c r="A968" s="4" t="s">
        <v>619</v>
      </c>
      <c r="B968" s="3">
        <v>0.0</v>
      </c>
      <c r="C968" s="3" t="s">
        <v>3</v>
      </c>
      <c r="D968" s="4" t="str">
        <f t="shared" si="1"/>
        <v>SANS</v>
      </c>
      <c r="E968" s="4" t="str">
        <f t="array" ref="E968">INDEX(consolid1!$I$2:$I$904,MATCH(A968,consolid1!$B$2:$B$904,0))</f>
        <v>#N/A</v>
      </c>
      <c r="F968" s="4" t="str">
        <f t="array" ref="F968">INDEX(consolid1!$G$2:$G1534,MATCH(A968,consolid1!$B$2:$B1534,0))</f>
        <v>#N/A</v>
      </c>
    </row>
    <row r="969">
      <c r="A969" s="4" t="s">
        <v>620</v>
      </c>
      <c r="B969" s="3">
        <v>0.0</v>
      </c>
      <c r="C969" s="3" t="s">
        <v>6</v>
      </c>
      <c r="D969" s="4" t="str">
        <f t="shared" si="1"/>
        <v>SANS</v>
      </c>
      <c r="E969" s="4" t="str">
        <f t="array" ref="E969">INDEX(consolid1!$I$2:$I$904,MATCH(A969,consolid1!$B$2:$B$904,0))</f>
        <v>#N/A</v>
      </c>
      <c r="F969" s="4" t="str">
        <f t="array" ref="F969">INDEX(consolid1!$G$2:$G1534,MATCH(A969,consolid1!$B$2:$B1534,0))</f>
        <v>#N/A</v>
      </c>
    </row>
    <row r="970">
      <c r="A970" s="4" t="s">
        <v>624</v>
      </c>
      <c r="B970" s="3">
        <v>0.0</v>
      </c>
      <c r="C970" s="3" t="s">
        <v>3</v>
      </c>
      <c r="D970" s="4" t="str">
        <f t="shared" si="1"/>
        <v>SANS</v>
      </c>
      <c r="E970" s="4" t="str">
        <f t="array" ref="E970">INDEX(consolid1!$I$2:$I$904,MATCH(A970,consolid1!$B$2:$B$904,0))</f>
        <v>#N/A</v>
      </c>
      <c r="F970" s="4" t="str">
        <f t="array" ref="F970">INDEX(consolid1!$G$2:$G1534,MATCH(A970,consolid1!$B$2:$B1534,0))</f>
        <v>#N/A</v>
      </c>
    </row>
    <row r="971">
      <c r="A971" s="4" t="s">
        <v>627</v>
      </c>
      <c r="B971" s="3">
        <v>0.0</v>
      </c>
      <c r="C971" s="3" t="s">
        <v>3</v>
      </c>
      <c r="D971" s="4" t="str">
        <f t="shared" si="1"/>
        <v>SANS</v>
      </c>
      <c r="E971" s="4" t="str">
        <f t="array" ref="E971">INDEX(consolid1!$I$2:$I$904,MATCH(A971,consolid1!$B$2:$B$904,0))</f>
        <v>#N/A</v>
      </c>
      <c r="F971" s="4" t="str">
        <f t="array" ref="F971">INDEX(consolid1!$G$2:$G1534,MATCH(A971,consolid1!$B$2:$B1534,0))</f>
        <v>#N/A</v>
      </c>
    </row>
    <row r="972">
      <c r="A972" s="4" t="s">
        <v>632</v>
      </c>
      <c r="B972" s="3">
        <v>0.0</v>
      </c>
      <c r="C972" s="3" t="s">
        <v>3</v>
      </c>
      <c r="D972" s="4" t="str">
        <f t="shared" si="1"/>
        <v>SANS</v>
      </c>
      <c r="E972" s="4" t="str">
        <f t="array" ref="E972">INDEX(consolid1!$I$2:$I$904,MATCH(A972,consolid1!$B$2:$B$904,0))</f>
        <v>#N/A</v>
      </c>
      <c r="F972" s="4" t="str">
        <f t="array" ref="F972">INDEX(consolid1!$G$2:$G1534,MATCH(A972,consolid1!$B$2:$B1534,0))</f>
        <v>#N/A</v>
      </c>
    </row>
    <row r="973">
      <c r="A973" s="4" t="s">
        <v>2191</v>
      </c>
      <c r="B973" s="3">
        <v>0.0</v>
      </c>
      <c r="C973" s="3" t="s">
        <v>37</v>
      </c>
      <c r="D973" s="4" t="str">
        <f t="shared" si="1"/>
        <v>SANS</v>
      </c>
      <c r="E973" s="4" t="str">
        <f t="array" ref="E973">INDEX(consolid1!$I$2:$I$904,MATCH(A973,consolid1!$B$2:$B$904,0))</f>
        <v>#N/A</v>
      </c>
      <c r="F973" s="4" t="str">
        <f t="array" ref="F973">INDEX(consolid1!$G$2:$G1534,MATCH(A973,consolid1!$B$2:$B1534,0))</f>
        <v>#N/A</v>
      </c>
    </row>
    <row r="974">
      <c r="A974" s="4" t="s">
        <v>638</v>
      </c>
      <c r="B974" s="3">
        <v>0.0</v>
      </c>
      <c r="C974" s="3" t="s">
        <v>3</v>
      </c>
      <c r="D974" s="4" t="str">
        <f t="shared" si="1"/>
        <v>SANS</v>
      </c>
      <c r="E974" s="4" t="str">
        <f t="array" ref="E974">INDEX(consolid1!$I$2:$I$904,MATCH(A974,consolid1!$B$2:$B$904,0))</f>
        <v>#N/A</v>
      </c>
      <c r="F974" s="4" t="str">
        <f t="array" ref="F974">INDEX(consolid1!$G$2:$G1534,MATCH(A974,consolid1!$B$2:$B1534,0))</f>
        <v>#N/A</v>
      </c>
    </row>
    <row r="975">
      <c r="A975" s="4" t="s">
        <v>644</v>
      </c>
      <c r="B975" s="3">
        <v>0.0</v>
      </c>
      <c r="C975" s="3" t="s">
        <v>3</v>
      </c>
      <c r="D975" s="4" t="str">
        <f t="shared" si="1"/>
        <v>SANS</v>
      </c>
      <c r="E975" s="4" t="str">
        <f t="array" ref="E975">INDEX(consolid1!$I$2:$I$904,MATCH(A975,consolid1!$B$2:$B$904,0))</f>
        <v>#N/A</v>
      </c>
      <c r="F975" s="4" t="str">
        <f t="array" ref="F975">INDEX(consolid1!$G$2:$G1534,MATCH(A975,consolid1!$B$2:$B1534,0))</f>
        <v>#N/A</v>
      </c>
    </row>
    <row r="976">
      <c r="A976" s="4" t="s">
        <v>651</v>
      </c>
      <c r="B976" s="3">
        <v>0.0</v>
      </c>
      <c r="C976" s="3" t="s">
        <v>3</v>
      </c>
      <c r="D976" s="4" t="str">
        <f t="shared" si="1"/>
        <v>SANS</v>
      </c>
      <c r="E976" s="4" t="str">
        <f t="array" ref="E976">INDEX(consolid1!$I$2:$I$904,MATCH(A976,consolid1!$B$2:$B$904,0))</f>
        <v>#N/A</v>
      </c>
      <c r="F976" s="4" t="str">
        <f t="array" ref="F976">INDEX(consolid1!$G$2:$G1534,MATCH(A976,consolid1!$B$2:$B1534,0))</f>
        <v>#N/A</v>
      </c>
    </row>
    <row r="977">
      <c r="A977" s="4" t="s">
        <v>654</v>
      </c>
      <c r="B977" s="3">
        <v>0.0</v>
      </c>
      <c r="C977" s="3" t="s">
        <v>29</v>
      </c>
      <c r="D977" s="4" t="str">
        <f t="shared" si="1"/>
        <v>SANS</v>
      </c>
      <c r="E977" s="4" t="str">
        <f t="array" ref="E977">INDEX(consolid1!$I$2:$I$904,MATCH(A977,consolid1!$B$2:$B$904,0))</f>
        <v>#N/A</v>
      </c>
      <c r="F977" s="4" t="str">
        <f t="array" ref="F977">INDEX(consolid1!$G$2:$G1534,MATCH(A977,consolid1!$B$2:$B1534,0))</f>
        <v>#N/A</v>
      </c>
    </row>
    <row r="978">
      <c r="A978" s="4" t="s">
        <v>2193</v>
      </c>
      <c r="B978" s="3">
        <v>0.0</v>
      </c>
      <c r="C978" s="3" t="s">
        <v>32</v>
      </c>
      <c r="D978" s="4" t="str">
        <f t="shared" si="1"/>
        <v>SANS</v>
      </c>
      <c r="E978" s="4" t="str">
        <f t="array" ref="E978">INDEX(consolid1!$I$2:$I$904,MATCH(A978,consolid1!$B$2:$B$904,0))</f>
        <v>#N/A</v>
      </c>
      <c r="F978" s="4" t="str">
        <f t="array" ref="F978">INDEX(consolid1!$G$2:$G1534,MATCH(A978,consolid1!$B$2:$B1534,0))</f>
        <v>#N/A</v>
      </c>
    </row>
    <row r="979">
      <c r="A979" s="4" t="s">
        <v>661</v>
      </c>
      <c r="B979" s="3">
        <v>0.0</v>
      </c>
      <c r="C979" s="3" t="s">
        <v>29</v>
      </c>
      <c r="D979" s="4" t="str">
        <f t="shared" si="1"/>
        <v>SANS</v>
      </c>
      <c r="E979" s="4" t="str">
        <f t="array" ref="E979">INDEX(consolid1!$I$2:$I$904,MATCH(A979,consolid1!$B$2:$B$904,0))</f>
        <v>#N/A</v>
      </c>
      <c r="F979" s="4" t="str">
        <f t="array" ref="F979">INDEX(consolid1!$G$2:$G1534,MATCH(A979,consolid1!$B$2:$B1534,0))</f>
        <v>#N/A</v>
      </c>
    </row>
    <row r="980">
      <c r="A980" s="4" t="s">
        <v>667</v>
      </c>
      <c r="B980" s="3">
        <v>0.0</v>
      </c>
      <c r="C980" s="3" t="s">
        <v>668</v>
      </c>
      <c r="D980" s="4" t="str">
        <f t="shared" si="1"/>
        <v>SANS</v>
      </c>
      <c r="E980" s="4" t="str">
        <f t="array" ref="E980">INDEX(consolid1!$I$2:$I$904,MATCH(A980,consolid1!$B$2:$B$904,0))</f>
        <v>#N/A</v>
      </c>
      <c r="F980" s="4" t="str">
        <f t="array" ref="F980">INDEX(consolid1!$G$2:$G1534,MATCH(A980,consolid1!$B$2:$B1534,0))</f>
        <v>#N/A</v>
      </c>
    </row>
    <row r="981">
      <c r="A981" s="4" t="s">
        <v>671</v>
      </c>
      <c r="B981" s="3">
        <v>0.0</v>
      </c>
      <c r="C981" s="3" t="s">
        <v>32</v>
      </c>
      <c r="D981" s="4" t="str">
        <f t="shared" si="1"/>
        <v>SANS</v>
      </c>
      <c r="E981" s="4" t="str">
        <f t="array" ref="E981">INDEX(consolid1!$I$2:$I$904,MATCH(A981,consolid1!$B$2:$B$904,0))</f>
        <v>#N/A</v>
      </c>
      <c r="F981" s="4" t="str">
        <f t="array" ref="F981">INDEX(consolid1!$G$2:$G1534,MATCH(A981,consolid1!$B$2:$B1534,0))</f>
        <v>#N/A</v>
      </c>
    </row>
    <row r="982">
      <c r="A982" s="4" t="s">
        <v>672</v>
      </c>
      <c r="B982" s="3">
        <v>0.0</v>
      </c>
      <c r="C982" s="3" t="s">
        <v>3</v>
      </c>
      <c r="D982" s="4" t="str">
        <f t="shared" si="1"/>
        <v>SANS</v>
      </c>
      <c r="E982" s="4" t="str">
        <f t="array" ref="E982">INDEX(consolid1!$I$2:$I$904,MATCH(A982,consolid1!$B$2:$B$904,0))</f>
        <v>#N/A</v>
      </c>
      <c r="F982" s="4" t="str">
        <f t="array" ref="F982">INDEX(consolid1!$G$2:$G1534,MATCH(A982,consolid1!$B$2:$B1534,0))</f>
        <v>#N/A</v>
      </c>
    </row>
    <row r="983">
      <c r="A983" s="4" t="s">
        <v>673</v>
      </c>
      <c r="B983" s="3">
        <v>0.0</v>
      </c>
      <c r="C983" s="3" t="s">
        <v>29</v>
      </c>
      <c r="D983" s="4" t="str">
        <f t="shared" si="1"/>
        <v>SANS</v>
      </c>
      <c r="E983" s="4" t="str">
        <f t="array" ref="E983">INDEX(consolid1!$I$2:$I$904,MATCH(A983,consolid1!$B$2:$B$904,0))</f>
        <v>#N/A</v>
      </c>
      <c r="F983" s="4" t="str">
        <f t="array" ref="F983">INDEX(consolid1!$G$2:$G1534,MATCH(A983,consolid1!$B$2:$B1534,0))</f>
        <v>#N/A</v>
      </c>
    </row>
    <row r="984">
      <c r="A984" s="4" t="s">
        <v>677</v>
      </c>
      <c r="B984" s="3">
        <v>0.0</v>
      </c>
      <c r="C984" s="3" t="s">
        <v>3</v>
      </c>
      <c r="D984" s="4" t="str">
        <f t="shared" si="1"/>
        <v>SANS</v>
      </c>
      <c r="E984" s="4" t="str">
        <f t="array" ref="E984">INDEX(consolid1!$I$2:$I$904,MATCH(A984,consolid1!$B$2:$B$904,0))</f>
        <v>#N/A</v>
      </c>
      <c r="F984" s="4" t="str">
        <f t="array" ref="F984">INDEX(consolid1!$G$2:$G1534,MATCH(A984,consolid1!$B$2:$B1534,0))</f>
        <v>#N/A</v>
      </c>
    </row>
    <row r="985">
      <c r="A985" s="4" t="s">
        <v>678</v>
      </c>
      <c r="B985" s="3">
        <v>0.0</v>
      </c>
      <c r="C985" s="3" t="s">
        <v>32</v>
      </c>
      <c r="D985" s="4" t="str">
        <f t="shared" si="1"/>
        <v>SANS</v>
      </c>
      <c r="E985" s="4" t="str">
        <f t="array" ref="E985">INDEX(consolid1!$I$2:$I$904,MATCH(A985,consolid1!$B$2:$B$904,0))</f>
        <v>#N/A</v>
      </c>
      <c r="F985" s="4" t="str">
        <f t="array" ref="F985">INDEX(consolid1!$G$2:$G1534,MATCH(A985,consolid1!$B$2:$B1534,0))</f>
        <v>#N/A</v>
      </c>
    </row>
    <row r="986">
      <c r="A986" s="4" t="s">
        <v>682</v>
      </c>
      <c r="B986" s="3">
        <v>0.0</v>
      </c>
      <c r="C986" s="3" t="s">
        <v>26</v>
      </c>
      <c r="D986" s="4" t="str">
        <f t="shared" si="1"/>
        <v>SANS</v>
      </c>
      <c r="E986" s="4" t="str">
        <f t="array" ref="E986">INDEX(consolid1!$I$2:$I$904,MATCH(A986,consolid1!$B$2:$B$904,0))</f>
        <v>#N/A</v>
      </c>
      <c r="F986" s="4" t="str">
        <f t="array" ref="F986">INDEX(consolid1!$G$2:$G1534,MATCH(A986,consolid1!$B$2:$B1534,0))</f>
        <v>#N/A</v>
      </c>
    </row>
    <row r="987">
      <c r="A987" s="4" t="s">
        <v>685</v>
      </c>
      <c r="B987" s="3">
        <v>0.0</v>
      </c>
      <c r="C987" s="3" t="s">
        <v>6</v>
      </c>
      <c r="D987" s="4" t="str">
        <f t="shared" si="1"/>
        <v>SANS</v>
      </c>
      <c r="E987" s="4" t="str">
        <f t="array" ref="E987">INDEX(consolid1!$I$2:$I$904,MATCH(A987,consolid1!$B$2:$B$904,0))</f>
        <v>#N/A</v>
      </c>
      <c r="F987" s="4" t="str">
        <f t="array" ref="F987">INDEX(consolid1!$G$2:$G1534,MATCH(A987,consolid1!$B$2:$B1534,0))</f>
        <v>#N/A</v>
      </c>
    </row>
    <row r="988">
      <c r="A988" s="4" t="s">
        <v>688</v>
      </c>
      <c r="B988" s="3">
        <v>0.0</v>
      </c>
      <c r="C988" s="3" t="s">
        <v>6</v>
      </c>
      <c r="D988" s="4" t="str">
        <f t="shared" si="1"/>
        <v>SANS</v>
      </c>
      <c r="E988" s="4" t="str">
        <f t="array" ref="E988">INDEX(consolid1!$I$2:$I$904,MATCH(A988,consolid1!$B$2:$B$904,0))</f>
        <v>#N/A</v>
      </c>
      <c r="F988" s="4" t="str">
        <f t="array" ref="F988">INDEX(consolid1!$G$2:$G1534,MATCH(A988,consolid1!$B$2:$B1534,0))</f>
        <v>#N/A</v>
      </c>
    </row>
    <row r="989">
      <c r="A989" s="4" t="s">
        <v>690</v>
      </c>
      <c r="B989" s="3">
        <v>0.0</v>
      </c>
      <c r="C989" s="3" t="s">
        <v>29</v>
      </c>
      <c r="D989" s="4" t="str">
        <f t="shared" si="1"/>
        <v>SANS</v>
      </c>
      <c r="E989" s="4" t="str">
        <f t="array" ref="E989">INDEX(consolid1!$I$2:$I$904,MATCH(A989,consolid1!$B$2:$B$904,0))</f>
        <v>#N/A</v>
      </c>
      <c r="F989" s="4" t="str">
        <f t="array" ref="F989">INDEX(consolid1!$G$2:$G1534,MATCH(A989,consolid1!$B$2:$B1534,0))</f>
        <v>#N/A</v>
      </c>
    </row>
    <row r="990">
      <c r="A990" s="4" t="s">
        <v>693</v>
      </c>
      <c r="B990" s="3">
        <v>0.0</v>
      </c>
      <c r="C990" s="3" t="s">
        <v>3</v>
      </c>
      <c r="D990" s="4" t="str">
        <f t="shared" si="1"/>
        <v>SANS</v>
      </c>
      <c r="E990" s="4" t="str">
        <f t="array" ref="E990">INDEX(consolid1!$I$2:$I$904,MATCH(A990,consolid1!$B$2:$B$904,0))</f>
        <v>#N/A</v>
      </c>
      <c r="F990" s="4" t="str">
        <f t="array" ref="F990">INDEX(consolid1!$G$2:$G1534,MATCH(A990,consolid1!$B$2:$B1534,0))</f>
        <v>#N/A</v>
      </c>
    </row>
    <row r="991">
      <c r="A991" s="4" t="s">
        <v>694</v>
      </c>
      <c r="B991" s="3">
        <v>0.0</v>
      </c>
      <c r="C991" s="3" t="s">
        <v>6</v>
      </c>
      <c r="D991" s="4" t="str">
        <f t="shared" si="1"/>
        <v>SANS</v>
      </c>
      <c r="E991" s="4" t="str">
        <f t="array" ref="E991">INDEX(consolid1!$I$2:$I$904,MATCH(A991,consolid1!$B$2:$B$904,0))</f>
        <v>#N/A</v>
      </c>
      <c r="F991" s="4" t="str">
        <f t="array" ref="F991">INDEX(consolid1!$G$2:$G1534,MATCH(A991,consolid1!$B$2:$B1534,0))</f>
        <v>#N/A</v>
      </c>
    </row>
    <row r="992">
      <c r="A992" s="4" t="s">
        <v>695</v>
      </c>
      <c r="B992" s="3">
        <v>0.0</v>
      </c>
      <c r="C992" s="3" t="s">
        <v>3</v>
      </c>
      <c r="D992" s="4" t="str">
        <f t="shared" si="1"/>
        <v>SANS</v>
      </c>
      <c r="E992" s="4" t="str">
        <f t="array" ref="E992">INDEX(consolid1!$I$2:$I$904,MATCH(A992,consolid1!$B$2:$B$904,0))</f>
        <v>#N/A</v>
      </c>
      <c r="F992" s="4" t="str">
        <f t="array" ref="F992">INDEX(consolid1!$G$2:$G1534,MATCH(A992,consolid1!$B$2:$B1534,0))</f>
        <v>#N/A</v>
      </c>
    </row>
    <row r="993">
      <c r="A993" s="4" t="s">
        <v>696</v>
      </c>
      <c r="B993" s="3">
        <v>0.0</v>
      </c>
      <c r="C993" s="3" t="s">
        <v>3</v>
      </c>
      <c r="D993" s="4" t="str">
        <f t="shared" si="1"/>
        <v>SANS</v>
      </c>
      <c r="E993" s="4" t="str">
        <f t="array" ref="E993">INDEX(consolid1!$I$2:$I$904,MATCH(A993,consolid1!$B$2:$B$904,0))</f>
        <v>Culture</v>
      </c>
      <c r="F993" s="4" t="str">
        <f t="array" ref="F993">INDEX(consolid1!$G$2:$G1534,MATCH(A993,consolid1!$B$2:$B1534,0))</f>
        <v>null</v>
      </c>
    </row>
    <row r="994">
      <c r="A994" s="4" t="s">
        <v>699</v>
      </c>
      <c r="B994" s="3">
        <v>0.0</v>
      </c>
      <c r="C994" s="3" t="s">
        <v>3</v>
      </c>
      <c r="D994" s="4" t="str">
        <f t="shared" si="1"/>
        <v>SANS</v>
      </c>
      <c r="E994" s="4" t="str">
        <f t="array" ref="E994">INDEX(consolid1!$I$2:$I$904,MATCH(A994,consolid1!$B$2:$B$904,0))</f>
        <v>#N/A</v>
      </c>
      <c r="F994" s="4" t="str">
        <f t="array" ref="F994">INDEX(consolid1!$G$2:$G1534,MATCH(A994,consolid1!$B$2:$B1534,0))</f>
        <v>#N/A</v>
      </c>
    </row>
    <row r="995">
      <c r="A995" s="4" t="s">
        <v>2196</v>
      </c>
      <c r="B995" s="3">
        <v>0.0</v>
      </c>
      <c r="C995" s="3" t="s">
        <v>3</v>
      </c>
      <c r="D995" s="4" t="str">
        <f t="shared" si="1"/>
        <v>SANS</v>
      </c>
      <c r="E995" s="4" t="str">
        <f t="array" ref="E995">INDEX(consolid1!$I$2:$I$904,MATCH(A995,consolid1!$B$2:$B$904,0))</f>
        <v>#N/A</v>
      </c>
      <c r="F995" s="4" t="str">
        <f t="array" ref="F995">INDEX(consolid1!$G$2:$G1534,MATCH(A995,consolid1!$B$2:$B1534,0))</f>
        <v>#N/A</v>
      </c>
    </row>
    <row r="996">
      <c r="A996" s="4" t="s">
        <v>709</v>
      </c>
      <c r="B996" s="3">
        <v>0.0</v>
      </c>
      <c r="C996" s="3" t="s">
        <v>29</v>
      </c>
      <c r="D996" s="4" t="str">
        <f t="shared" si="1"/>
        <v>SANS</v>
      </c>
      <c r="E996" s="4" t="str">
        <f t="array" ref="E996">INDEX(consolid1!$I$2:$I$904,MATCH(A996,consolid1!$B$2:$B$904,0))</f>
        <v>#N/A</v>
      </c>
      <c r="F996" s="4" t="str">
        <f t="array" ref="F996">INDEX(consolid1!$G$2:$G1534,MATCH(A996,consolid1!$B$2:$B1534,0))</f>
        <v>#N/A</v>
      </c>
    </row>
    <row r="997">
      <c r="A997" s="4" t="s">
        <v>710</v>
      </c>
      <c r="B997" s="3">
        <v>0.0</v>
      </c>
      <c r="C997" s="3" t="s">
        <v>6</v>
      </c>
      <c r="D997" s="4" t="str">
        <f t="shared" si="1"/>
        <v>SANS</v>
      </c>
      <c r="E997" s="4" t="str">
        <f t="array" ref="E997">INDEX(consolid1!$I$2:$I$904,MATCH(A997,consolid1!$B$2:$B$904,0))</f>
        <v>#N/A</v>
      </c>
      <c r="F997" s="4" t="str">
        <f t="array" ref="F997">INDEX(consolid1!$G$2:$G1534,MATCH(A997,consolid1!$B$2:$B1534,0))</f>
        <v>#N/A</v>
      </c>
    </row>
    <row r="998">
      <c r="A998" s="4" t="s">
        <v>711</v>
      </c>
      <c r="B998" s="3">
        <v>0.0</v>
      </c>
      <c r="C998" s="3" t="s">
        <v>3</v>
      </c>
      <c r="D998" s="4" t="str">
        <f t="shared" si="1"/>
        <v>SANS</v>
      </c>
      <c r="E998" s="4" t="str">
        <f t="array" ref="E998">INDEX(consolid1!$I$2:$I$904,MATCH(A998,consolid1!$B$2:$B$904,0))</f>
        <v>#N/A</v>
      </c>
      <c r="F998" s="4" t="str">
        <f t="array" ref="F998">INDEX(consolid1!$G$2:$G1534,MATCH(A998,consolid1!$B$2:$B1534,0))</f>
        <v>#N/A</v>
      </c>
    </row>
    <row r="999">
      <c r="A999" s="4" t="s">
        <v>714</v>
      </c>
      <c r="B999" s="3">
        <v>0.0</v>
      </c>
      <c r="C999" s="3" t="s">
        <v>6</v>
      </c>
      <c r="D999" s="4" t="str">
        <f t="shared" si="1"/>
        <v>SANS</v>
      </c>
      <c r="E999" s="4" t="str">
        <f t="array" ref="E999">INDEX(consolid1!$I$2:$I$904,MATCH(A999,consolid1!$B$2:$B$904,0))</f>
        <v>#N/A</v>
      </c>
      <c r="F999" s="4" t="str">
        <f t="array" ref="F999">INDEX(consolid1!$G$2:$G1534,MATCH(A999,consolid1!$B$2:$B1534,0))</f>
        <v>#N/A</v>
      </c>
    </row>
    <row r="1000">
      <c r="A1000" s="4" t="s">
        <v>719</v>
      </c>
      <c r="B1000" s="3">
        <v>0.0</v>
      </c>
      <c r="C1000" s="3" t="s">
        <v>29</v>
      </c>
      <c r="D1000" s="4" t="str">
        <f t="shared" si="1"/>
        <v>SANS</v>
      </c>
      <c r="E1000" s="4" t="str">
        <f t="array" ref="E1000">INDEX(consolid1!$I$2:$I$904,MATCH(A1000,consolid1!$B$2:$B$904,0))</f>
        <v>#N/A</v>
      </c>
      <c r="F1000" s="4" t="str">
        <f t="array" ref="F1000">INDEX(consolid1!$G$2:$G1534,MATCH(A1000,consolid1!$B$2:$B1534,0))</f>
        <v>#N/A</v>
      </c>
    </row>
    <row r="1001">
      <c r="A1001" s="4" t="s">
        <v>721</v>
      </c>
      <c r="B1001" s="3">
        <v>0.0</v>
      </c>
      <c r="C1001" s="3" t="s">
        <v>3</v>
      </c>
      <c r="D1001" s="4" t="str">
        <f t="shared" si="1"/>
        <v>SANS</v>
      </c>
      <c r="E1001" s="4" t="str">
        <f t="array" ref="E1001">INDEX(consolid1!$I$2:$I$904,MATCH(A1001,consolid1!$B$2:$B$904,0))</f>
        <v>#N/A</v>
      </c>
      <c r="F1001" s="4" t="str">
        <f t="array" ref="F1001">INDEX(consolid1!$G$2:$G1534,MATCH(A1001,consolid1!$B$2:$B1534,0))</f>
        <v>#N/A</v>
      </c>
    </row>
    <row r="1002">
      <c r="A1002" s="4" t="s">
        <v>724</v>
      </c>
      <c r="B1002" s="3">
        <v>0.0</v>
      </c>
      <c r="C1002" s="3" t="s">
        <v>29</v>
      </c>
      <c r="D1002" s="4" t="str">
        <f t="shared" si="1"/>
        <v>SANS</v>
      </c>
      <c r="E1002" s="4" t="str">
        <f t="array" ref="E1002">INDEX(consolid1!$I$2:$I$904,MATCH(A1002,consolid1!$B$2:$B$904,0))</f>
        <v>#N/A</v>
      </c>
      <c r="F1002" s="4" t="str">
        <f t="array" ref="F1002">INDEX(consolid1!$G$2:$G1534,MATCH(A1002,consolid1!$B$2:$B1534,0))</f>
        <v>#N/A</v>
      </c>
    </row>
    <row r="1003">
      <c r="A1003" s="4" t="s">
        <v>728</v>
      </c>
      <c r="B1003" s="3">
        <v>0.0</v>
      </c>
      <c r="C1003" s="3" t="s">
        <v>3</v>
      </c>
      <c r="D1003" s="4" t="str">
        <f t="shared" si="1"/>
        <v>SANS</v>
      </c>
      <c r="E1003" s="4" t="str">
        <f t="array" ref="E1003">INDEX(consolid1!$I$2:$I$904,MATCH(A1003,consolid1!$B$2:$B$904,0))</f>
        <v>#N/A</v>
      </c>
      <c r="F1003" s="4" t="str">
        <f t="array" ref="F1003">INDEX(consolid1!$G$2:$G1534,MATCH(A1003,consolid1!$B$2:$B1534,0))</f>
        <v>#N/A</v>
      </c>
    </row>
    <row r="1004">
      <c r="A1004" s="4" t="s">
        <v>731</v>
      </c>
      <c r="B1004" s="3">
        <v>0.0</v>
      </c>
      <c r="C1004" s="3" t="s">
        <v>3</v>
      </c>
      <c r="D1004" s="4" t="str">
        <f t="shared" si="1"/>
        <v>SANS</v>
      </c>
      <c r="E1004" s="4" t="str">
        <f t="array" ref="E1004">INDEX(consolid1!$I$2:$I$904,MATCH(A1004,consolid1!$B$2:$B$904,0))</f>
        <v>#N/A</v>
      </c>
      <c r="F1004" s="4" t="str">
        <f t="array" ref="F1004">INDEX(consolid1!$G$2:$G1534,MATCH(A1004,consolid1!$B$2:$B1534,0))</f>
        <v>#N/A</v>
      </c>
    </row>
    <row r="1005">
      <c r="A1005" s="4" t="s">
        <v>2199</v>
      </c>
      <c r="B1005" s="3">
        <v>0.0</v>
      </c>
      <c r="C1005" s="3" t="s">
        <v>3</v>
      </c>
      <c r="D1005" s="4" t="str">
        <f t="shared" si="1"/>
        <v>SANS</v>
      </c>
      <c r="E1005" s="4" t="str">
        <f t="array" ref="E1005">INDEX(consolid1!$I$2:$I$904,MATCH(A1005,consolid1!$B$2:$B$904,0))</f>
        <v>#N/A</v>
      </c>
      <c r="F1005" s="4" t="str">
        <f t="array" ref="F1005">INDEX(consolid1!$G$2:$G1534,MATCH(A1005,consolid1!$B$2:$B1534,0))</f>
        <v>#N/A</v>
      </c>
    </row>
    <row r="1006">
      <c r="A1006" s="4" t="s">
        <v>736</v>
      </c>
      <c r="B1006" s="3">
        <v>0.0</v>
      </c>
      <c r="C1006" s="3" t="s">
        <v>3</v>
      </c>
      <c r="D1006" s="4" t="str">
        <f t="shared" si="1"/>
        <v>SANS</v>
      </c>
      <c r="E1006" s="4" t="str">
        <f t="array" ref="E1006">INDEX(consolid1!$I$2:$I$904,MATCH(A1006,consolid1!$B$2:$B$904,0))</f>
        <v>#N/A</v>
      </c>
      <c r="F1006" s="4" t="str">
        <f t="array" ref="F1006">INDEX(consolid1!$G$2:$G1534,MATCH(A1006,consolid1!$B$2:$B1534,0))</f>
        <v>#N/A</v>
      </c>
    </row>
    <row r="1007">
      <c r="A1007" s="4" t="s">
        <v>2201</v>
      </c>
      <c r="B1007" s="3">
        <v>0.0</v>
      </c>
      <c r="C1007" s="3" t="s">
        <v>3</v>
      </c>
      <c r="D1007" s="4" t="str">
        <f t="shared" si="1"/>
        <v>SANS</v>
      </c>
      <c r="E1007" s="4" t="str">
        <f t="array" ref="E1007">INDEX(consolid1!$I$2:$I$904,MATCH(A1007,consolid1!$B$2:$B$904,0))</f>
        <v>#N/A</v>
      </c>
      <c r="F1007" s="4" t="str">
        <f t="array" ref="F1007">INDEX(consolid1!$G$2:$G1534,MATCH(A1007,consolid1!$B$2:$B1534,0))</f>
        <v>#N/A</v>
      </c>
    </row>
    <row r="1008">
      <c r="A1008" s="4" t="s">
        <v>744</v>
      </c>
      <c r="B1008" s="3">
        <v>0.0</v>
      </c>
      <c r="C1008" s="3" t="s">
        <v>3</v>
      </c>
      <c r="D1008" s="4" t="str">
        <f t="shared" si="1"/>
        <v>SANS</v>
      </c>
      <c r="E1008" s="4" t="str">
        <f t="array" ref="E1008">INDEX(consolid1!$I$2:$I$904,MATCH(A1008,consolid1!$B$2:$B$904,0))</f>
        <v>#N/A</v>
      </c>
      <c r="F1008" s="4" t="str">
        <f t="array" ref="F1008">INDEX(consolid1!$G$2:$G1534,MATCH(A1008,consolid1!$B$2:$B1534,0))</f>
        <v>#N/A</v>
      </c>
    </row>
    <row r="1009">
      <c r="A1009" s="4" t="s">
        <v>747</v>
      </c>
      <c r="B1009" s="3">
        <v>0.0</v>
      </c>
      <c r="C1009" s="3" t="s">
        <v>3</v>
      </c>
      <c r="D1009" s="4" t="str">
        <f t="shared" si="1"/>
        <v>SANS</v>
      </c>
      <c r="E1009" s="4" t="str">
        <f t="array" ref="E1009">INDEX(consolid1!$I$2:$I$904,MATCH(A1009,consolid1!$B$2:$B$904,0))</f>
        <v>#N/A</v>
      </c>
      <c r="F1009" s="4" t="str">
        <f t="array" ref="F1009">INDEX(consolid1!$G$2:$G1534,MATCH(A1009,consolid1!$B$2:$B1534,0))</f>
        <v>#N/A</v>
      </c>
    </row>
    <row r="1010">
      <c r="A1010" s="4" t="s">
        <v>748</v>
      </c>
      <c r="B1010" s="3">
        <v>0.0</v>
      </c>
      <c r="C1010" s="3" t="s">
        <v>32</v>
      </c>
      <c r="D1010" s="4" t="str">
        <f t="shared" si="1"/>
        <v>SANS</v>
      </c>
      <c r="E1010" s="4" t="str">
        <f t="array" ref="E1010">INDEX(consolid1!$I$2:$I$904,MATCH(A1010,consolid1!$B$2:$B$904,0))</f>
        <v>#N/A</v>
      </c>
      <c r="F1010" s="4" t="str">
        <f t="array" ref="F1010">INDEX(consolid1!$G$2:$G1534,MATCH(A1010,consolid1!$B$2:$B1534,0))</f>
        <v>#N/A</v>
      </c>
    </row>
    <row r="1011">
      <c r="A1011" s="4" t="s">
        <v>749</v>
      </c>
      <c r="B1011" s="3">
        <v>0.0</v>
      </c>
      <c r="C1011" s="3" t="s">
        <v>6</v>
      </c>
      <c r="D1011" s="4" t="str">
        <f t="shared" si="1"/>
        <v>SANS</v>
      </c>
      <c r="E1011" s="4" t="str">
        <f t="array" ref="E1011">INDEX(consolid1!$I$2:$I$904,MATCH(A1011,consolid1!$B$2:$B$904,0))</f>
        <v>#N/A</v>
      </c>
      <c r="F1011" s="4" t="str">
        <f t="array" ref="F1011">INDEX(consolid1!$G$2:$G1534,MATCH(A1011,consolid1!$B$2:$B1534,0))</f>
        <v>#N/A</v>
      </c>
    </row>
    <row r="1012">
      <c r="A1012" s="4" t="s">
        <v>2203</v>
      </c>
      <c r="B1012" s="3">
        <v>0.0</v>
      </c>
      <c r="C1012" s="3" t="s">
        <v>3</v>
      </c>
      <c r="D1012" s="4" t="str">
        <f t="shared" si="1"/>
        <v>SANS</v>
      </c>
      <c r="E1012" s="4" t="str">
        <f t="array" ref="E1012">INDEX(consolid1!$I$2:$I$904,MATCH(A1012,consolid1!$B$2:$B$904,0))</f>
        <v>#N/A</v>
      </c>
      <c r="F1012" s="4" t="str">
        <f t="array" ref="F1012">INDEX(consolid1!$G$2:$G1534,MATCH(A1012,consolid1!$B$2:$B1534,0))</f>
        <v>#N/A</v>
      </c>
    </row>
    <row r="1013">
      <c r="A1013" s="4" t="s">
        <v>762</v>
      </c>
      <c r="B1013" s="3">
        <v>0.0</v>
      </c>
      <c r="C1013" s="3" t="s">
        <v>3</v>
      </c>
      <c r="D1013" s="4" t="str">
        <f t="shared" si="1"/>
        <v>SANS</v>
      </c>
      <c r="E1013" s="4" t="str">
        <f t="array" ref="E1013">INDEX(consolid1!$I$2:$I$904,MATCH(A1013,consolid1!$B$2:$B$904,0))</f>
        <v>#N/A</v>
      </c>
      <c r="F1013" s="4" t="str">
        <f t="array" ref="F1013">INDEX(consolid1!$G$2:$G1534,MATCH(A1013,consolid1!$B$2:$B1534,0))</f>
        <v>#N/A</v>
      </c>
    </row>
    <row r="1014">
      <c r="A1014" s="4" t="s">
        <v>763</v>
      </c>
      <c r="B1014" s="3">
        <v>0.0</v>
      </c>
      <c r="C1014" s="3" t="s">
        <v>3</v>
      </c>
      <c r="D1014" s="4" t="str">
        <f t="shared" si="1"/>
        <v>SANS</v>
      </c>
      <c r="E1014" s="4" t="str">
        <f t="array" ref="E1014">INDEX(consolid1!$I$2:$I$904,MATCH(A1014,consolid1!$B$2:$B$904,0))</f>
        <v>#N/A</v>
      </c>
      <c r="F1014" s="4" t="str">
        <f t="array" ref="F1014">INDEX(consolid1!$G$2:$G1534,MATCH(A1014,consolid1!$B$2:$B1534,0))</f>
        <v>#N/A</v>
      </c>
    </row>
    <row r="1015">
      <c r="A1015" s="4" t="s">
        <v>766</v>
      </c>
      <c r="B1015" s="3">
        <v>0.0</v>
      </c>
      <c r="C1015" s="3" t="s">
        <v>3</v>
      </c>
      <c r="D1015" s="4" t="str">
        <f t="shared" si="1"/>
        <v>SANS</v>
      </c>
      <c r="E1015" s="4" t="str">
        <f t="array" ref="E1015">INDEX(consolid1!$I$2:$I$904,MATCH(A1015,consolid1!$B$2:$B$904,0))</f>
        <v>#N/A</v>
      </c>
      <c r="F1015" s="4" t="str">
        <f t="array" ref="F1015">INDEX(consolid1!$G$2:$G1534,MATCH(A1015,consolid1!$B$2:$B1534,0))</f>
        <v>#N/A</v>
      </c>
    </row>
    <row r="1016">
      <c r="A1016" s="4" t="s">
        <v>767</v>
      </c>
      <c r="B1016" s="3">
        <v>0.0</v>
      </c>
      <c r="C1016" s="3" t="s">
        <v>3</v>
      </c>
      <c r="D1016" s="4" t="str">
        <f t="shared" si="1"/>
        <v>SANS</v>
      </c>
      <c r="E1016" s="4" t="str">
        <f t="array" ref="E1016">INDEX(consolid1!$I$2:$I$904,MATCH(A1016,consolid1!$B$2:$B$904,0))</f>
        <v>#N/A</v>
      </c>
      <c r="F1016" s="4" t="str">
        <f t="array" ref="F1016">INDEX(consolid1!$G$2:$G1534,MATCH(A1016,consolid1!$B$2:$B1534,0))</f>
        <v>#N/A</v>
      </c>
    </row>
    <row r="1017">
      <c r="A1017" s="4" t="s">
        <v>768</v>
      </c>
      <c r="B1017" s="3">
        <v>0.0</v>
      </c>
      <c r="C1017" s="3" t="s">
        <v>3</v>
      </c>
      <c r="D1017" s="4" t="str">
        <f t="shared" si="1"/>
        <v>SANS</v>
      </c>
      <c r="E1017" s="4" t="str">
        <f t="array" ref="E1017">INDEX(consolid1!$I$2:$I$904,MATCH(A1017,consolid1!$B$2:$B$904,0))</f>
        <v>#N/A</v>
      </c>
      <c r="F1017" s="4" t="str">
        <f t="array" ref="F1017">INDEX(consolid1!$G$2:$G1534,MATCH(A1017,consolid1!$B$2:$B1534,0))</f>
        <v>#N/A</v>
      </c>
    </row>
    <row r="1018">
      <c r="A1018" s="4" t="s">
        <v>769</v>
      </c>
      <c r="B1018" s="3">
        <v>0.0</v>
      </c>
      <c r="C1018" s="3" t="s">
        <v>3</v>
      </c>
      <c r="D1018" s="4" t="str">
        <f t="shared" si="1"/>
        <v>SANS</v>
      </c>
      <c r="E1018" s="4" t="str">
        <f t="array" ref="E1018">INDEX(consolid1!$I$2:$I$904,MATCH(A1018,consolid1!$B$2:$B$904,0))</f>
        <v>#N/A</v>
      </c>
      <c r="F1018" s="4" t="str">
        <f t="array" ref="F1018">INDEX(consolid1!$G$2:$G1534,MATCH(A1018,consolid1!$B$2:$B1534,0))</f>
        <v>#N/A</v>
      </c>
    </row>
    <row r="1019">
      <c r="A1019" s="4" t="s">
        <v>770</v>
      </c>
      <c r="B1019" s="3">
        <v>0.0</v>
      </c>
      <c r="C1019" s="3" t="s">
        <v>3</v>
      </c>
      <c r="D1019" s="4" t="str">
        <f t="shared" si="1"/>
        <v>SANS</v>
      </c>
      <c r="E1019" s="4" t="str">
        <f t="array" ref="E1019">INDEX(consolid1!$I$2:$I$904,MATCH(A1019,consolid1!$B$2:$B$904,0))</f>
        <v>#N/A</v>
      </c>
      <c r="F1019" s="4" t="str">
        <f t="array" ref="F1019">INDEX(consolid1!$G$2:$G1534,MATCH(A1019,consolid1!$B$2:$B1534,0))</f>
        <v>#N/A</v>
      </c>
    </row>
    <row r="1020">
      <c r="A1020" s="4" t="s">
        <v>771</v>
      </c>
      <c r="B1020" s="3">
        <v>0.0</v>
      </c>
      <c r="C1020" s="3" t="s">
        <v>3</v>
      </c>
      <c r="D1020" s="4" t="str">
        <f t="shared" si="1"/>
        <v>SANS</v>
      </c>
      <c r="E1020" s="4" t="str">
        <f t="array" ref="E1020">INDEX(consolid1!$I$2:$I$904,MATCH(A1020,consolid1!$B$2:$B$904,0))</f>
        <v>#N/A</v>
      </c>
      <c r="F1020" s="4" t="str">
        <f t="array" ref="F1020">INDEX(consolid1!$G$2:$G1534,MATCH(A1020,consolid1!$B$2:$B1534,0))</f>
        <v>#N/A</v>
      </c>
    </row>
    <row r="1021">
      <c r="A1021" s="4" t="s">
        <v>772</v>
      </c>
      <c r="B1021" s="3">
        <v>0.0</v>
      </c>
      <c r="C1021" s="3" t="s">
        <v>3</v>
      </c>
      <c r="D1021" s="4" t="str">
        <f t="shared" si="1"/>
        <v>SANS</v>
      </c>
      <c r="E1021" s="4" t="str">
        <f t="array" ref="E1021">INDEX(consolid1!$I$2:$I$904,MATCH(A1021,consolid1!$B$2:$B$904,0))</f>
        <v>#N/A</v>
      </c>
      <c r="F1021" s="4" t="str">
        <f t="array" ref="F1021">INDEX(consolid1!$G$2:$G1534,MATCH(A1021,consolid1!$B$2:$B1534,0))</f>
        <v>#N/A</v>
      </c>
    </row>
    <row r="1022">
      <c r="A1022" s="4" t="s">
        <v>773</v>
      </c>
      <c r="B1022" s="3">
        <v>0.0</v>
      </c>
      <c r="C1022" s="3" t="s">
        <v>3</v>
      </c>
      <c r="D1022" s="4" t="str">
        <f t="shared" si="1"/>
        <v>SANS</v>
      </c>
      <c r="E1022" s="4" t="str">
        <f t="array" ref="E1022">INDEX(consolid1!$I$2:$I$904,MATCH(A1022,consolid1!$B$2:$B$904,0))</f>
        <v>#N/A</v>
      </c>
      <c r="F1022" s="4" t="str">
        <f t="array" ref="F1022">INDEX(consolid1!$G$2:$G1534,MATCH(A1022,consolid1!$B$2:$B1534,0))</f>
        <v>#N/A</v>
      </c>
    </row>
    <row r="1023">
      <c r="A1023" s="4" t="s">
        <v>2205</v>
      </c>
      <c r="B1023" s="3">
        <v>0.0</v>
      </c>
      <c r="C1023" s="3" t="s">
        <v>3</v>
      </c>
      <c r="D1023" s="4" t="str">
        <f t="shared" si="1"/>
        <v>SANS</v>
      </c>
      <c r="E1023" s="4" t="str">
        <f t="array" ref="E1023">INDEX(consolid1!$I$2:$I$904,MATCH(A1023,consolid1!$B$2:$B$904,0))</f>
        <v>#N/A</v>
      </c>
      <c r="F1023" s="4" t="str">
        <f t="array" ref="F1023">INDEX(consolid1!$G$2:$G1534,MATCH(A1023,consolid1!$B$2:$B1534,0))</f>
        <v>#N/A</v>
      </c>
    </row>
    <row r="1024">
      <c r="A1024" s="4" t="s">
        <v>781</v>
      </c>
      <c r="B1024" s="3">
        <v>0.0</v>
      </c>
      <c r="C1024" s="3" t="s">
        <v>6</v>
      </c>
      <c r="D1024" s="4" t="str">
        <f t="shared" si="1"/>
        <v>SANS</v>
      </c>
      <c r="E1024" s="4" t="str">
        <f t="array" ref="E1024">INDEX(consolid1!$I$2:$I$904,MATCH(A1024,consolid1!$B$2:$B$904,0))</f>
        <v>#N/A</v>
      </c>
      <c r="F1024" s="4" t="str">
        <f t="array" ref="F1024">INDEX(consolid1!$G$2:$G1534,MATCH(A1024,consolid1!$B$2:$B1534,0))</f>
        <v>#N/A</v>
      </c>
    </row>
    <row r="1025">
      <c r="A1025" s="4" t="s">
        <v>782</v>
      </c>
      <c r="B1025" s="3">
        <v>0.0</v>
      </c>
      <c r="C1025" s="3" t="s">
        <v>3</v>
      </c>
      <c r="D1025" s="4" t="str">
        <f t="shared" si="1"/>
        <v>SANS</v>
      </c>
      <c r="E1025" s="4" t="str">
        <f t="array" ref="E1025">INDEX(consolid1!$I$2:$I$904,MATCH(A1025,consolid1!$B$2:$B$904,0))</f>
        <v>#N/A</v>
      </c>
      <c r="F1025" s="4" t="str">
        <f t="array" ref="F1025">INDEX(consolid1!$G$2:$G1534,MATCH(A1025,consolid1!$B$2:$B1534,0))</f>
        <v>#N/A</v>
      </c>
    </row>
    <row r="1026">
      <c r="A1026" s="4" t="s">
        <v>783</v>
      </c>
      <c r="B1026" s="3">
        <v>0.0</v>
      </c>
      <c r="C1026" s="3" t="s">
        <v>29</v>
      </c>
      <c r="D1026" s="4" t="str">
        <f t="shared" si="1"/>
        <v>SANS</v>
      </c>
      <c r="E1026" s="4" t="str">
        <f t="array" ref="E1026">INDEX(consolid1!$I$2:$I$904,MATCH(A1026,consolid1!$B$2:$B$904,0))</f>
        <v>#N/A</v>
      </c>
      <c r="F1026" s="4" t="str">
        <f t="array" ref="F1026">INDEX(consolid1!$G$2:$G1534,MATCH(A1026,consolid1!$B$2:$B1534,0))</f>
        <v>#N/A</v>
      </c>
    </row>
    <row r="1027">
      <c r="A1027" s="4" t="s">
        <v>789</v>
      </c>
      <c r="B1027" s="3">
        <v>0.0</v>
      </c>
      <c r="C1027" s="3" t="s">
        <v>3</v>
      </c>
      <c r="D1027" s="4" t="str">
        <f t="shared" si="1"/>
        <v>SANS</v>
      </c>
      <c r="E1027" s="4" t="str">
        <f t="array" ref="E1027">INDEX(consolid1!$I$2:$I$904,MATCH(A1027,consolid1!$B$2:$B$904,0))</f>
        <v>#N/A</v>
      </c>
      <c r="F1027" s="4" t="str">
        <f t="array" ref="F1027">INDEX(consolid1!$G$2:$G1534,MATCH(A1027,consolid1!$B$2:$B1534,0))</f>
        <v>#N/A</v>
      </c>
    </row>
    <row r="1028">
      <c r="A1028" s="4" t="s">
        <v>791</v>
      </c>
      <c r="B1028" s="3">
        <v>0.0</v>
      </c>
      <c r="C1028" s="3" t="s">
        <v>3</v>
      </c>
      <c r="D1028" s="4" t="str">
        <f t="shared" si="1"/>
        <v>SANS</v>
      </c>
      <c r="E1028" s="4" t="str">
        <f t="array" ref="E1028">INDEX(consolid1!$I$2:$I$904,MATCH(A1028,consolid1!$B$2:$B$904,0))</f>
        <v>#N/A</v>
      </c>
      <c r="F1028" s="4" t="str">
        <f t="array" ref="F1028">INDEX(consolid1!$G$2:$G1534,MATCH(A1028,consolid1!$B$2:$B1534,0))</f>
        <v>#N/A</v>
      </c>
    </row>
    <row r="1029">
      <c r="A1029" s="4" t="s">
        <v>792</v>
      </c>
      <c r="B1029" s="3">
        <v>0.0</v>
      </c>
      <c r="C1029" s="3" t="s">
        <v>3</v>
      </c>
      <c r="D1029" s="4" t="str">
        <f t="shared" si="1"/>
        <v>SANS</v>
      </c>
      <c r="E1029" s="4" t="str">
        <f t="array" ref="E1029">INDEX(consolid1!$I$2:$I$904,MATCH(A1029,consolid1!$B$2:$B$904,0))</f>
        <v>#N/A</v>
      </c>
      <c r="F1029" s="4" t="str">
        <f t="array" ref="F1029">INDEX(consolid1!$G$2:$G1534,MATCH(A1029,consolid1!$B$2:$B1534,0))</f>
        <v>#N/A</v>
      </c>
    </row>
    <row r="1030">
      <c r="A1030" s="4" t="s">
        <v>794</v>
      </c>
      <c r="B1030" s="3">
        <v>0.0</v>
      </c>
      <c r="C1030" s="3" t="s">
        <v>3</v>
      </c>
      <c r="D1030" s="4" t="str">
        <f t="shared" si="1"/>
        <v>SANS</v>
      </c>
      <c r="E1030" s="4" t="str">
        <f t="array" ref="E1030">INDEX(consolid1!$I$2:$I$904,MATCH(A1030,consolid1!$B$2:$B$904,0))</f>
        <v>#N/A</v>
      </c>
      <c r="F1030" s="4" t="str">
        <f t="array" ref="F1030">INDEX(consolid1!$G$2:$G1534,MATCH(A1030,consolid1!$B$2:$B1534,0))</f>
        <v>#N/A</v>
      </c>
    </row>
    <row r="1031">
      <c r="A1031" s="4" t="s">
        <v>795</v>
      </c>
      <c r="B1031" s="3">
        <v>0.0</v>
      </c>
      <c r="C1031" s="3" t="s">
        <v>3</v>
      </c>
      <c r="D1031" s="4" t="str">
        <f t="shared" si="1"/>
        <v>SANS</v>
      </c>
      <c r="E1031" s="4" t="str">
        <f t="array" ref="E1031">INDEX(consolid1!$I$2:$I$904,MATCH(A1031,consolid1!$B$2:$B$904,0))</f>
        <v>#N/A</v>
      </c>
      <c r="F1031" s="4" t="str">
        <f t="array" ref="F1031">INDEX(consolid1!$G$2:$G1534,MATCH(A1031,consolid1!$B$2:$B1534,0))</f>
        <v>#N/A</v>
      </c>
    </row>
    <row r="1032">
      <c r="A1032" s="4" t="s">
        <v>796</v>
      </c>
      <c r="B1032" s="3">
        <v>0.0</v>
      </c>
      <c r="C1032" s="3" t="s">
        <v>3</v>
      </c>
      <c r="D1032" s="4" t="str">
        <f t="shared" si="1"/>
        <v>SANS</v>
      </c>
      <c r="E1032" s="4" t="str">
        <f t="array" ref="E1032">INDEX(consolid1!$I$2:$I$904,MATCH(A1032,consolid1!$B$2:$B$904,0))</f>
        <v>#N/A</v>
      </c>
      <c r="F1032" s="4" t="str">
        <f t="array" ref="F1032">INDEX(consolid1!$G$2:$G1534,MATCH(A1032,consolid1!$B$2:$B1534,0))</f>
        <v>#N/A</v>
      </c>
    </row>
    <row r="1033">
      <c r="A1033" s="4" t="s">
        <v>798</v>
      </c>
      <c r="B1033" s="3">
        <v>0.0</v>
      </c>
      <c r="C1033" s="3" t="s">
        <v>29</v>
      </c>
      <c r="D1033" s="4" t="str">
        <f t="shared" si="1"/>
        <v>SANS</v>
      </c>
      <c r="E1033" s="4" t="str">
        <f t="array" ref="E1033">INDEX(consolid1!$I$2:$I$904,MATCH(A1033,consolid1!$B$2:$B$904,0))</f>
        <v>#N/A</v>
      </c>
      <c r="F1033" s="4" t="str">
        <f t="array" ref="F1033">INDEX(consolid1!$G$2:$G1534,MATCH(A1033,consolid1!$B$2:$B1534,0))</f>
        <v>#N/A</v>
      </c>
    </row>
    <row r="1034">
      <c r="A1034" s="4" t="s">
        <v>799</v>
      </c>
      <c r="B1034" s="3">
        <v>0.0</v>
      </c>
      <c r="C1034" s="3" t="s">
        <v>29</v>
      </c>
      <c r="D1034" s="4" t="str">
        <f t="shared" si="1"/>
        <v>SANS</v>
      </c>
      <c r="E1034" s="4" t="str">
        <f t="array" ref="E1034">INDEX(consolid1!$I$2:$I$904,MATCH(A1034,consolid1!$B$2:$B$904,0))</f>
        <v>#N/A</v>
      </c>
      <c r="F1034" s="4" t="str">
        <f t="array" ref="F1034">INDEX(consolid1!$G$2:$G1534,MATCH(A1034,consolid1!$B$2:$B1534,0))</f>
        <v>#N/A</v>
      </c>
    </row>
    <row r="1035">
      <c r="A1035" s="4" t="s">
        <v>802</v>
      </c>
      <c r="B1035" s="3">
        <v>0.0</v>
      </c>
      <c r="C1035" s="3" t="s">
        <v>3</v>
      </c>
      <c r="D1035" s="4" t="str">
        <f t="shared" si="1"/>
        <v>SANS</v>
      </c>
      <c r="E1035" s="4" t="str">
        <f t="array" ref="E1035">INDEX(consolid1!$I$2:$I$904,MATCH(A1035,consolid1!$B$2:$B$904,0))</f>
        <v>#N/A</v>
      </c>
      <c r="F1035" s="4" t="str">
        <f t="array" ref="F1035">INDEX(consolid1!$G$2:$G1534,MATCH(A1035,consolid1!$B$2:$B1534,0))</f>
        <v>#N/A</v>
      </c>
    </row>
    <row r="1036">
      <c r="A1036" s="4" t="s">
        <v>803</v>
      </c>
      <c r="B1036" s="3">
        <v>0.0</v>
      </c>
      <c r="C1036" s="3" t="s">
        <v>3</v>
      </c>
      <c r="D1036" s="4" t="str">
        <f t="shared" si="1"/>
        <v>SANS</v>
      </c>
      <c r="E1036" s="4" t="str">
        <f t="array" ref="E1036">INDEX(consolid1!$I$2:$I$904,MATCH(A1036,consolid1!$B$2:$B$904,0))</f>
        <v>#N/A</v>
      </c>
      <c r="F1036" s="4" t="str">
        <f t="array" ref="F1036">INDEX(consolid1!$G$2:$G1534,MATCH(A1036,consolid1!$B$2:$B1534,0))</f>
        <v>#N/A</v>
      </c>
    </row>
    <row r="1037">
      <c r="A1037" s="4" t="s">
        <v>804</v>
      </c>
      <c r="B1037" s="3">
        <v>0.0</v>
      </c>
      <c r="C1037" s="3" t="s">
        <v>32</v>
      </c>
      <c r="D1037" s="4" t="str">
        <f t="shared" si="1"/>
        <v>SANS</v>
      </c>
      <c r="E1037" s="4" t="str">
        <f t="array" ref="E1037">INDEX(consolid1!$I$2:$I$904,MATCH(A1037,consolid1!$B$2:$B$904,0))</f>
        <v>#N/A</v>
      </c>
      <c r="F1037" s="4" t="str">
        <f t="array" ref="F1037">INDEX(consolid1!$G$2:$G1534,MATCH(A1037,consolid1!$B$2:$B1534,0))</f>
        <v>#N/A</v>
      </c>
    </row>
    <row r="1038">
      <c r="A1038" s="4" t="s">
        <v>805</v>
      </c>
      <c r="B1038" s="3">
        <v>0.0</v>
      </c>
      <c r="C1038" s="3" t="s">
        <v>6</v>
      </c>
      <c r="D1038" s="4" t="str">
        <f t="shared" si="1"/>
        <v>SANS</v>
      </c>
      <c r="E1038" s="4" t="str">
        <f t="array" ref="E1038">INDEX(consolid1!$I$2:$I$904,MATCH(A1038,consolid1!$B$2:$B$904,0))</f>
        <v>#N/A</v>
      </c>
      <c r="F1038" s="4" t="str">
        <f t="array" ref="F1038">INDEX(consolid1!$G$2:$G1534,MATCH(A1038,consolid1!$B$2:$B1534,0))</f>
        <v>#N/A</v>
      </c>
    </row>
    <row r="1039">
      <c r="A1039" s="4" t="s">
        <v>807</v>
      </c>
      <c r="B1039" s="3">
        <v>0.0</v>
      </c>
      <c r="C1039" s="3" t="s">
        <v>484</v>
      </c>
      <c r="D1039" s="4" t="str">
        <f t="shared" si="1"/>
        <v>SANS</v>
      </c>
      <c r="E1039" s="4" t="str">
        <f t="array" ref="E1039">INDEX(consolid1!$I$2:$I$904,MATCH(A1039,consolid1!$B$2:$B$904,0))</f>
        <v>#N/A</v>
      </c>
      <c r="F1039" s="4" t="str">
        <f t="array" ref="F1039">INDEX(consolid1!$G$2:$G1534,MATCH(A1039,consolid1!$B$2:$B1534,0))</f>
        <v>#N/A</v>
      </c>
    </row>
    <row r="1040">
      <c r="A1040" s="4" t="s">
        <v>808</v>
      </c>
      <c r="B1040" s="3">
        <v>0.0</v>
      </c>
      <c r="C1040" s="3" t="s">
        <v>6</v>
      </c>
      <c r="D1040" s="4" t="str">
        <f t="shared" si="1"/>
        <v>SANS</v>
      </c>
      <c r="E1040" s="4" t="str">
        <f t="array" ref="E1040">INDEX(consolid1!$I$2:$I$904,MATCH(A1040,consolid1!$B$2:$B$904,0))</f>
        <v>#N/A</v>
      </c>
      <c r="F1040" s="4" t="str">
        <f t="array" ref="F1040">INDEX(consolid1!$G$2:$G1534,MATCH(A1040,consolid1!$B$2:$B1534,0))</f>
        <v>#N/A</v>
      </c>
    </row>
    <row r="1041">
      <c r="A1041" s="4" t="s">
        <v>809</v>
      </c>
      <c r="B1041" s="3">
        <v>0.0</v>
      </c>
      <c r="C1041" s="3" t="s">
        <v>29</v>
      </c>
      <c r="D1041" s="4" t="str">
        <f t="shared" si="1"/>
        <v>SANS</v>
      </c>
      <c r="E1041" s="4" t="str">
        <f t="array" ref="E1041">INDEX(consolid1!$I$2:$I$904,MATCH(A1041,consolid1!$B$2:$B$904,0))</f>
        <v>#N/A</v>
      </c>
      <c r="F1041" s="4" t="str">
        <f t="array" ref="F1041">INDEX(consolid1!$G$2:$G1534,MATCH(A1041,consolid1!$B$2:$B1534,0))</f>
        <v>#N/A</v>
      </c>
    </row>
    <row r="1042">
      <c r="A1042" s="4" t="s">
        <v>810</v>
      </c>
      <c r="B1042" s="3">
        <v>0.0</v>
      </c>
      <c r="C1042" s="3" t="s">
        <v>32</v>
      </c>
      <c r="D1042" s="4" t="str">
        <f t="shared" si="1"/>
        <v>SANS</v>
      </c>
      <c r="E1042" s="4" t="str">
        <f t="array" ref="E1042">INDEX(consolid1!$I$2:$I$904,MATCH(A1042,consolid1!$B$2:$B$904,0))</f>
        <v>#N/A</v>
      </c>
      <c r="F1042" s="4" t="str">
        <f t="array" ref="F1042">INDEX(consolid1!$G$2:$G1534,MATCH(A1042,consolid1!$B$2:$B1534,0))</f>
        <v>#N/A</v>
      </c>
    </row>
    <row r="1043">
      <c r="A1043" s="4" t="s">
        <v>814</v>
      </c>
      <c r="B1043" s="3">
        <v>0.0</v>
      </c>
      <c r="C1043" s="3" t="s">
        <v>3</v>
      </c>
      <c r="D1043" s="4" t="str">
        <f t="shared" si="1"/>
        <v>SANS</v>
      </c>
      <c r="E1043" s="4" t="str">
        <f t="array" ref="E1043">INDEX(consolid1!$I$2:$I$904,MATCH(A1043,consolid1!$B$2:$B$904,0))</f>
        <v>#N/A</v>
      </c>
      <c r="F1043" s="4" t="str">
        <f t="array" ref="F1043">INDEX(consolid1!$G$2:$G1534,MATCH(A1043,consolid1!$B$2:$B1534,0))</f>
        <v>#N/A</v>
      </c>
    </row>
    <row r="1044">
      <c r="A1044" s="4" t="s">
        <v>815</v>
      </c>
      <c r="B1044" s="3">
        <v>0.0</v>
      </c>
      <c r="C1044" s="3" t="s">
        <v>3</v>
      </c>
      <c r="D1044" s="4" t="str">
        <f t="shared" si="1"/>
        <v>SANS</v>
      </c>
      <c r="E1044" s="4" t="str">
        <f t="array" ref="E1044">INDEX(consolid1!$I$2:$I$904,MATCH(A1044,consolid1!$B$2:$B$904,0))</f>
        <v>#N/A</v>
      </c>
      <c r="F1044" s="4" t="str">
        <f t="array" ref="F1044">INDEX(consolid1!$G$2:$G1534,MATCH(A1044,consolid1!$B$2:$B1534,0))</f>
        <v>#N/A</v>
      </c>
    </row>
    <row r="1045">
      <c r="A1045" s="4" t="s">
        <v>816</v>
      </c>
      <c r="B1045" s="3">
        <v>0.0</v>
      </c>
      <c r="C1045" s="3" t="s">
        <v>3</v>
      </c>
      <c r="D1045" s="4" t="str">
        <f t="shared" si="1"/>
        <v>SANS</v>
      </c>
      <c r="E1045" s="4" t="str">
        <f t="array" ref="E1045">INDEX(consolid1!$I$2:$I$904,MATCH(A1045,consolid1!$B$2:$B$904,0))</f>
        <v>#N/A</v>
      </c>
      <c r="F1045" s="4" t="str">
        <f t="array" ref="F1045">INDEX(consolid1!$G$2:$G1534,MATCH(A1045,consolid1!$B$2:$B1534,0))</f>
        <v>#N/A</v>
      </c>
    </row>
    <row r="1046">
      <c r="A1046" s="4" t="s">
        <v>818</v>
      </c>
      <c r="B1046" s="3">
        <v>0.0</v>
      </c>
      <c r="C1046" s="3" t="s">
        <v>3</v>
      </c>
      <c r="D1046" s="4" t="str">
        <f t="shared" si="1"/>
        <v>SANS</v>
      </c>
      <c r="E1046" s="4" t="str">
        <f t="array" ref="E1046">INDEX(consolid1!$I$2:$I$904,MATCH(A1046,consolid1!$B$2:$B$904,0))</f>
        <v>#N/A</v>
      </c>
      <c r="F1046" s="4" t="str">
        <f t="array" ref="F1046">INDEX(consolid1!$G$2:$G1534,MATCH(A1046,consolid1!$B$2:$B1534,0))</f>
        <v>#N/A</v>
      </c>
    </row>
    <row r="1047">
      <c r="A1047" s="4" t="s">
        <v>826</v>
      </c>
      <c r="B1047" s="3">
        <v>0.0</v>
      </c>
      <c r="C1047" s="3" t="s">
        <v>668</v>
      </c>
      <c r="D1047" s="4" t="str">
        <f t="shared" si="1"/>
        <v>SANS</v>
      </c>
      <c r="E1047" s="4" t="str">
        <f t="array" ref="E1047">INDEX(consolid1!$I$2:$I$904,MATCH(A1047,consolid1!$B$2:$B$904,0))</f>
        <v>#N/A</v>
      </c>
      <c r="F1047" s="4" t="str">
        <f t="array" ref="F1047">INDEX(consolid1!$G$2:$G1534,MATCH(A1047,consolid1!$B$2:$B1534,0))</f>
        <v>#N/A</v>
      </c>
    </row>
    <row r="1048">
      <c r="A1048" s="4" t="s">
        <v>2209</v>
      </c>
      <c r="B1048" s="3">
        <v>0.0</v>
      </c>
      <c r="C1048" s="3" t="s">
        <v>3</v>
      </c>
      <c r="D1048" s="4" t="str">
        <f t="shared" si="1"/>
        <v>SANS</v>
      </c>
      <c r="E1048" s="4" t="str">
        <f t="array" ref="E1048">INDEX(consolid1!$I$2:$I$904,MATCH(A1048,consolid1!$B$2:$B$904,0))</f>
        <v>#N/A</v>
      </c>
      <c r="F1048" s="4" t="str">
        <f t="array" ref="F1048">INDEX(consolid1!$G$2:$G1534,MATCH(A1048,consolid1!$B$2:$B1534,0))</f>
        <v>#N/A</v>
      </c>
    </row>
    <row r="1049">
      <c r="A1049" s="4" t="s">
        <v>829</v>
      </c>
      <c r="B1049" s="3">
        <v>0.0</v>
      </c>
      <c r="C1049" s="3" t="s">
        <v>3</v>
      </c>
      <c r="D1049" s="4" t="str">
        <f t="shared" si="1"/>
        <v>SANS</v>
      </c>
      <c r="E1049" s="4" t="str">
        <f t="array" ref="E1049">INDEX(consolid1!$I$2:$I$904,MATCH(A1049,consolid1!$B$2:$B$904,0))</f>
        <v>#N/A</v>
      </c>
      <c r="F1049" s="4" t="str">
        <f t="array" ref="F1049">INDEX(consolid1!$G$2:$G1534,MATCH(A1049,consolid1!$B$2:$B1534,0))</f>
        <v>#N/A</v>
      </c>
    </row>
    <row r="1050">
      <c r="A1050" s="4" t="s">
        <v>830</v>
      </c>
      <c r="B1050" s="3">
        <v>0.0</v>
      </c>
      <c r="C1050" s="3" t="s">
        <v>3</v>
      </c>
      <c r="D1050" s="4" t="str">
        <f t="shared" si="1"/>
        <v>SANS</v>
      </c>
      <c r="E1050" s="4" t="str">
        <f t="array" ref="E1050">INDEX(consolid1!$I$2:$I$904,MATCH(A1050,consolid1!$B$2:$B$904,0))</f>
        <v>#N/A</v>
      </c>
      <c r="F1050" s="4" t="str">
        <f t="array" ref="F1050">INDEX(consolid1!$G$2:$G1534,MATCH(A1050,consolid1!$B$2:$B1534,0))</f>
        <v>#N/A</v>
      </c>
    </row>
    <row r="1051">
      <c r="A1051" s="4" t="s">
        <v>2210</v>
      </c>
      <c r="B1051" s="3">
        <v>0.0</v>
      </c>
      <c r="C1051" s="3" t="s">
        <v>6</v>
      </c>
      <c r="D1051" s="4" t="str">
        <f t="shared" si="1"/>
        <v>SANS</v>
      </c>
      <c r="E1051" s="4" t="str">
        <f t="array" ref="E1051">INDEX(consolid1!$I$2:$I$904,MATCH(A1051,consolid1!$B$2:$B$904,0))</f>
        <v>#N/A</v>
      </c>
      <c r="F1051" s="4" t="str">
        <f t="array" ref="F1051">INDEX(consolid1!$G$2:$G1534,MATCH(A1051,consolid1!$B$2:$B1534,0))</f>
        <v>#N/A</v>
      </c>
    </row>
    <row r="1052">
      <c r="A1052" s="4" t="s">
        <v>2212</v>
      </c>
      <c r="B1052" s="3">
        <v>0.0</v>
      </c>
      <c r="C1052" s="3" t="s">
        <v>3</v>
      </c>
      <c r="D1052" s="4" t="str">
        <f t="shared" si="1"/>
        <v>SANS</v>
      </c>
      <c r="E1052" s="4" t="str">
        <f t="array" ref="E1052">INDEX(consolid1!$I$2:$I$904,MATCH(A1052,consolid1!$B$2:$B$904,0))</f>
        <v>#N/A</v>
      </c>
      <c r="F1052" s="4" t="str">
        <f t="array" ref="F1052">INDEX(consolid1!$G$2:$G1534,MATCH(A1052,consolid1!$B$2:$B1534,0))</f>
        <v>#N/A</v>
      </c>
    </row>
    <row r="1053">
      <c r="A1053" s="4" t="s">
        <v>848</v>
      </c>
      <c r="B1053" s="3">
        <v>0.0</v>
      </c>
      <c r="C1053" s="3" t="s">
        <v>3</v>
      </c>
      <c r="D1053" s="4" t="str">
        <f t="shared" si="1"/>
        <v>SANS</v>
      </c>
      <c r="E1053" s="4" t="str">
        <f t="array" ref="E1053">INDEX(consolid1!$I$2:$I$904,MATCH(A1053,consolid1!$B$2:$B$904,0))</f>
        <v>#N/A</v>
      </c>
      <c r="F1053" s="4" t="str">
        <f t="array" ref="F1053">INDEX(consolid1!$G$2:$G1534,MATCH(A1053,consolid1!$B$2:$B1534,0))</f>
        <v>#N/A</v>
      </c>
    </row>
    <row r="1054">
      <c r="A1054" s="4" t="s">
        <v>849</v>
      </c>
      <c r="B1054" s="3">
        <v>0.0</v>
      </c>
      <c r="C1054" s="3" t="s">
        <v>3</v>
      </c>
      <c r="D1054" s="4" t="str">
        <f t="shared" si="1"/>
        <v>SANS</v>
      </c>
      <c r="E1054" s="4" t="str">
        <f t="array" ref="E1054">INDEX(consolid1!$I$2:$I$904,MATCH(A1054,consolid1!$B$2:$B$904,0))</f>
        <v>Education - Enfance - Jeunesse - Vie étudiante</v>
      </c>
      <c r="F1054" s="4" t="str">
        <f t="array" ref="F1054">INDEX(consolid1!$G$2:$G1534,MATCH(A1054,consolid1!$B$2:$B1534,0))</f>
        <v>null</v>
      </c>
    </row>
    <row r="1055">
      <c r="A1055" s="4" t="s">
        <v>850</v>
      </c>
      <c r="B1055" s="3">
        <v>0.0</v>
      </c>
      <c r="C1055" s="3" t="s">
        <v>3</v>
      </c>
      <c r="D1055" s="4" t="str">
        <f t="shared" si="1"/>
        <v>SANS</v>
      </c>
      <c r="E1055" s="4" t="str">
        <f t="array" ref="E1055">INDEX(consolid1!$I$2:$I$904,MATCH(A1055,consolid1!$B$2:$B$904,0))</f>
        <v>#N/A</v>
      </c>
      <c r="F1055" s="4" t="str">
        <f t="array" ref="F1055">INDEX(consolid1!$G$2:$G1534,MATCH(A1055,consolid1!$B$2:$B1534,0))</f>
        <v>#N/A</v>
      </c>
    </row>
    <row r="1056">
      <c r="A1056" s="4" t="s">
        <v>852</v>
      </c>
      <c r="B1056" s="3">
        <v>0.0</v>
      </c>
      <c r="C1056" s="3" t="s">
        <v>3</v>
      </c>
      <c r="D1056" s="4" t="str">
        <f t="shared" si="1"/>
        <v>SANS</v>
      </c>
      <c r="E1056" s="4" t="str">
        <f t="array" ref="E1056">INDEX(consolid1!$I$2:$I$904,MATCH(A1056,consolid1!$B$2:$B$904,0))</f>
        <v>#N/A</v>
      </c>
      <c r="F1056" s="4" t="str">
        <f t="array" ref="F1056">INDEX(consolid1!$G$2:$G1534,MATCH(A1056,consolid1!$B$2:$B1534,0))</f>
        <v>#N/A</v>
      </c>
    </row>
    <row r="1057">
      <c r="A1057" s="4" t="s">
        <v>853</v>
      </c>
      <c r="B1057" s="3">
        <v>0.0</v>
      </c>
      <c r="C1057" s="3" t="s">
        <v>32</v>
      </c>
      <c r="D1057" s="4" t="str">
        <f t="shared" si="1"/>
        <v>SANS</v>
      </c>
      <c r="E1057" s="4" t="str">
        <f t="array" ref="E1057">INDEX(consolid1!$I$2:$I$904,MATCH(A1057,consolid1!$B$2:$B$904,0))</f>
        <v>#N/A</v>
      </c>
      <c r="F1057" s="4" t="str">
        <f t="array" ref="F1057">INDEX(consolid1!$G$2:$G1534,MATCH(A1057,consolid1!$B$2:$B1534,0))</f>
        <v>#N/A</v>
      </c>
    </row>
    <row r="1058">
      <c r="A1058" s="4" t="s">
        <v>854</v>
      </c>
      <c r="B1058" s="3">
        <v>0.0</v>
      </c>
      <c r="C1058" s="3" t="s">
        <v>3</v>
      </c>
      <c r="D1058" s="4" t="str">
        <f t="shared" si="1"/>
        <v>SANS</v>
      </c>
      <c r="E1058" s="4" t="str">
        <f t="array" ref="E1058">INDEX(consolid1!$I$2:$I$904,MATCH(A1058,consolid1!$B$2:$B$904,0))</f>
        <v>#N/A</v>
      </c>
      <c r="F1058" s="4" t="str">
        <f t="array" ref="F1058">INDEX(consolid1!$G$2:$G1534,MATCH(A1058,consolid1!$B$2:$B1534,0))</f>
        <v>#N/A</v>
      </c>
    </row>
    <row r="1059">
      <c r="A1059" s="4" t="s">
        <v>2214</v>
      </c>
      <c r="B1059" s="3">
        <v>0.0</v>
      </c>
      <c r="C1059" s="3" t="s">
        <v>37</v>
      </c>
      <c r="D1059" s="4" t="str">
        <f t="shared" si="1"/>
        <v>SANS</v>
      </c>
      <c r="E1059" s="4" t="str">
        <f t="array" ref="E1059">INDEX(consolid1!$I$2:$I$904,MATCH(A1059,consolid1!$B$2:$B$904,0))</f>
        <v>#N/A</v>
      </c>
      <c r="F1059" s="4" t="str">
        <f t="array" ref="F1059">INDEX(consolid1!$G$2:$G1534,MATCH(A1059,consolid1!$B$2:$B1534,0))</f>
        <v>#N/A</v>
      </c>
    </row>
    <row r="1060">
      <c r="A1060" s="4" t="s">
        <v>2217</v>
      </c>
      <c r="B1060" s="3">
        <v>0.0</v>
      </c>
      <c r="C1060" s="3" t="s">
        <v>6</v>
      </c>
      <c r="D1060" s="4" t="str">
        <f t="shared" si="1"/>
        <v>SANS</v>
      </c>
      <c r="E1060" s="4" t="str">
        <f t="array" ref="E1060">INDEX(consolid1!$I$2:$I$904,MATCH(A1060,consolid1!$B$2:$B$904,0))</f>
        <v>#N/A</v>
      </c>
      <c r="F1060" s="4" t="str">
        <f t="array" ref="F1060">INDEX(consolid1!$G$2:$G1534,MATCH(A1060,consolid1!$B$2:$B1534,0))</f>
        <v>#N/A</v>
      </c>
    </row>
    <row r="1061">
      <c r="A1061" s="4" t="s">
        <v>864</v>
      </c>
      <c r="B1061" s="3">
        <v>0.0</v>
      </c>
      <c r="C1061" s="3" t="s">
        <v>3</v>
      </c>
      <c r="D1061" s="4" t="str">
        <f t="shared" si="1"/>
        <v>SANS</v>
      </c>
      <c r="E1061" s="4" t="str">
        <f t="array" ref="E1061">INDEX(consolid1!$I$2:$I$904,MATCH(A1061,consolid1!$B$2:$B$904,0))</f>
        <v>#N/A</v>
      </c>
      <c r="F1061" s="4" t="str">
        <f t="array" ref="F1061">INDEX(consolid1!$G$2:$G1534,MATCH(A1061,consolid1!$B$2:$B1534,0))</f>
        <v>#N/A</v>
      </c>
    </row>
    <row r="1062">
      <c r="A1062" s="4" t="s">
        <v>2219</v>
      </c>
      <c r="B1062" s="3">
        <v>0.0</v>
      </c>
      <c r="C1062" s="3" t="s">
        <v>3</v>
      </c>
      <c r="D1062" s="4" t="str">
        <f t="shared" si="1"/>
        <v>SANS</v>
      </c>
      <c r="E1062" s="4" t="str">
        <f t="array" ref="E1062">INDEX(consolid1!$I$2:$I$904,MATCH(A1062,consolid1!$B$2:$B$904,0))</f>
        <v>#N/A</v>
      </c>
      <c r="F1062" s="4" t="str">
        <f t="array" ref="F1062">INDEX(consolid1!$G$2:$G1534,MATCH(A1062,consolid1!$B$2:$B1534,0))</f>
        <v>#N/A</v>
      </c>
    </row>
    <row r="1063">
      <c r="A1063" s="4" t="s">
        <v>873</v>
      </c>
      <c r="B1063" s="3">
        <v>0.0</v>
      </c>
      <c r="C1063" s="3" t="s">
        <v>26</v>
      </c>
      <c r="D1063" s="4" t="str">
        <f t="shared" si="1"/>
        <v>SANS</v>
      </c>
      <c r="E1063" s="4" t="str">
        <f t="array" ref="E1063">INDEX(consolid1!$I$2:$I$904,MATCH(A1063,consolid1!$B$2:$B$904,0))</f>
        <v>#N/A</v>
      </c>
      <c r="F1063" s="4" t="str">
        <f t="array" ref="F1063">INDEX(consolid1!$G$2:$G1534,MATCH(A1063,consolid1!$B$2:$B1534,0))</f>
        <v>#N/A</v>
      </c>
    </row>
    <row r="1064">
      <c r="A1064" s="4" t="s">
        <v>875</v>
      </c>
      <c r="B1064" s="3">
        <v>0.0</v>
      </c>
      <c r="C1064" s="3" t="s">
        <v>6</v>
      </c>
      <c r="D1064" s="4" t="str">
        <f t="shared" si="1"/>
        <v>SANS</v>
      </c>
      <c r="E1064" s="4" t="str">
        <f t="array" ref="E1064">INDEX(consolid1!$I$2:$I$904,MATCH(A1064,consolid1!$B$2:$B$904,0))</f>
        <v>#N/A</v>
      </c>
      <c r="F1064" s="4" t="str">
        <f t="array" ref="F1064">INDEX(consolid1!$G$2:$G1534,MATCH(A1064,consolid1!$B$2:$B1534,0))</f>
        <v>#N/A</v>
      </c>
    </row>
    <row r="1065">
      <c r="A1065" s="4" t="s">
        <v>2222</v>
      </c>
      <c r="B1065" s="3">
        <v>0.0</v>
      </c>
      <c r="C1065" s="3" t="s">
        <v>29</v>
      </c>
      <c r="D1065" s="4" t="str">
        <f t="shared" si="1"/>
        <v>SANS</v>
      </c>
      <c r="E1065" s="4" t="str">
        <f t="array" ref="E1065">INDEX(consolid1!$I$2:$I$904,MATCH(A1065,consolid1!$B$2:$B$904,0))</f>
        <v>#N/A</v>
      </c>
      <c r="F1065" s="4" t="str">
        <f t="array" ref="F1065">INDEX(consolid1!$G$2:$G1534,MATCH(A1065,consolid1!$B$2:$B1534,0))</f>
        <v>#N/A</v>
      </c>
    </row>
    <row r="1066">
      <c r="A1066" s="4" t="s">
        <v>2223</v>
      </c>
      <c r="B1066" s="3">
        <v>0.0</v>
      </c>
      <c r="C1066" s="3" t="s">
        <v>29</v>
      </c>
      <c r="D1066" s="4" t="str">
        <f t="shared" si="1"/>
        <v>SANS</v>
      </c>
      <c r="E1066" s="4" t="str">
        <f t="array" ref="E1066">INDEX(consolid1!$I$2:$I$904,MATCH(A1066,consolid1!$B$2:$B$904,0))</f>
        <v>#N/A</v>
      </c>
      <c r="F1066" s="4" t="str">
        <f t="array" ref="F1066">INDEX(consolid1!$G$2:$G1534,MATCH(A1066,consolid1!$B$2:$B1534,0))</f>
        <v>#N/A</v>
      </c>
    </row>
    <row r="1067">
      <c r="A1067" s="4" t="s">
        <v>882</v>
      </c>
      <c r="B1067" s="3">
        <v>0.0</v>
      </c>
      <c r="C1067" s="3" t="s">
        <v>6</v>
      </c>
      <c r="D1067" s="4" t="str">
        <f t="shared" si="1"/>
        <v>SANS</v>
      </c>
      <c r="E1067" s="4" t="str">
        <f t="array" ref="E1067">INDEX(consolid1!$I$2:$I$904,MATCH(A1067,consolid1!$B$2:$B$904,0))</f>
        <v>#N/A</v>
      </c>
      <c r="F1067" s="4" t="str">
        <f t="array" ref="F1067">INDEX(consolid1!$G$2:$G1534,MATCH(A1067,consolid1!$B$2:$B1534,0))</f>
        <v>#N/A</v>
      </c>
    </row>
    <row r="1068">
      <c r="A1068" s="4" t="s">
        <v>2224</v>
      </c>
      <c r="B1068" s="3">
        <v>0.0</v>
      </c>
      <c r="C1068" s="3" t="s">
        <v>29</v>
      </c>
      <c r="D1068" s="4" t="str">
        <f t="shared" si="1"/>
        <v>SANS</v>
      </c>
      <c r="E1068" s="4" t="str">
        <f t="array" ref="E1068">INDEX(consolid1!$I$2:$I$904,MATCH(A1068,consolid1!$B$2:$B$904,0))</f>
        <v>#N/A</v>
      </c>
      <c r="F1068" s="4" t="str">
        <f t="array" ref="F1068">INDEX(consolid1!$G$2:$G1534,MATCH(A1068,consolid1!$B$2:$B1534,0))</f>
        <v>#N/A</v>
      </c>
    </row>
    <row r="1069">
      <c r="A1069" s="4" t="s">
        <v>894</v>
      </c>
      <c r="B1069" s="3">
        <v>0.0</v>
      </c>
      <c r="C1069" s="3" t="s">
        <v>6</v>
      </c>
      <c r="D1069" s="4" t="str">
        <f t="shared" si="1"/>
        <v>SANS</v>
      </c>
      <c r="E1069" s="4" t="str">
        <f t="array" ref="E1069">INDEX(consolid1!$I$2:$I$904,MATCH(A1069,consolid1!$B$2:$B$904,0))</f>
        <v>#N/A</v>
      </c>
      <c r="F1069" s="4" t="str">
        <f t="array" ref="F1069">INDEX(consolid1!$G$2:$G1534,MATCH(A1069,consolid1!$B$2:$B1534,0))</f>
        <v>#N/A</v>
      </c>
    </row>
    <row r="1070">
      <c r="A1070" s="4" t="s">
        <v>895</v>
      </c>
      <c r="B1070" s="3">
        <v>0.0</v>
      </c>
      <c r="C1070" s="3" t="s">
        <v>3</v>
      </c>
      <c r="D1070" s="4" t="str">
        <f t="shared" si="1"/>
        <v>SANS</v>
      </c>
      <c r="E1070" s="4" t="str">
        <f t="array" ref="E1070">INDEX(consolid1!$I$2:$I$904,MATCH(A1070,consolid1!$B$2:$B$904,0))</f>
        <v>#N/A</v>
      </c>
      <c r="F1070" s="4" t="str">
        <f t="array" ref="F1070">INDEX(consolid1!$G$2:$G1534,MATCH(A1070,consolid1!$B$2:$B1534,0))</f>
        <v>#N/A</v>
      </c>
    </row>
    <row r="1071">
      <c r="A1071" s="4" t="s">
        <v>896</v>
      </c>
      <c r="B1071" s="3">
        <v>0.0</v>
      </c>
      <c r="C1071" s="3" t="s">
        <v>32</v>
      </c>
      <c r="D1071" s="4" t="str">
        <f t="shared" si="1"/>
        <v>SANS</v>
      </c>
      <c r="E1071" s="4" t="str">
        <f t="array" ref="E1071">INDEX(consolid1!$I$2:$I$904,MATCH(A1071,consolid1!$B$2:$B$904,0))</f>
        <v>#N/A</v>
      </c>
      <c r="F1071" s="4" t="str">
        <f t="array" ref="F1071">INDEX(consolid1!$G$2:$G1534,MATCH(A1071,consolid1!$B$2:$B1534,0))</f>
        <v>#N/A</v>
      </c>
    </row>
    <row r="1072">
      <c r="A1072" s="4" t="s">
        <v>2228</v>
      </c>
      <c r="B1072" s="3">
        <v>0.0</v>
      </c>
      <c r="C1072" s="3" t="s">
        <v>3</v>
      </c>
      <c r="D1072" s="4" t="str">
        <f t="shared" si="1"/>
        <v>SANS</v>
      </c>
      <c r="E1072" s="4" t="str">
        <f t="array" ref="E1072">INDEX(consolid1!$I$2:$I$904,MATCH(A1072,consolid1!$B$2:$B$904,0))</f>
        <v>#N/A</v>
      </c>
      <c r="F1072" s="4" t="str">
        <f t="array" ref="F1072">INDEX(consolid1!$G$2:$G1534,MATCH(A1072,consolid1!$B$2:$B1534,0))</f>
        <v>#N/A</v>
      </c>
    </row>
    <row r="1073">
      <c r="A1073" s="4" t="s">
        <v>899</v>
      </c>
      <c r="B1073" s="3">
        <v>0.0</v>
      </c>
      <c r="C1073" s="3" t="s">
        <v>3</v>
      </c>
      <c r="D1073" s="4" t="str">
        <f t="shared" si="1"/>
        <v>SANS</v>
      </c>
      <c r="E1073" s="4" t="str">
        <f t="array" ref="E1073">INDEX(consolid1!$I$2:$I$904,MATCH(A1073,consolid1!$B$2:$B$904,0))</f>
        <v>#N/A</v>
      </c>
      <c r="F1073" s="4" t="str">
        <f t="array" ref="F1073">INDEX(consolid1!$G$2:$G1534,MATCH(A1073,consolid1!$B$2:$B1534,0))</f>
        <v>#N/A</v>
      </c>
    </row>
    <row r="1074">
      <c r="A1074" s="4" t="s">
        <v>901</v>
      </c>
      <c r="B1074" s="3">
        <v>0.0</v>
      </c>
      <c r="C1074" s="3" t="s">
        <v>32</v>
      </c>
      <c r="D1074" s="4" t="str">
        <f t="shared" si="1"/>
        <v>SANS</v>
      </c>
      <c r="E1074" s="4" t="str">
        <f t="array" ref="E1074">INDEX(consolid1!$I$2:$I$904,MATCH(A1074,consolid1!$B$2:$B$904,0))</f>
        <v>#N/A</v>
      </c>
      <c r="F1074" s="4" t="str">
        <f t="array" ref="F1074">INDEX(consolid1!$G$2:$G1534,MATCH(A1074,consolid1!$B$2:$B1534,0))</f>
        <v>#N/A</v>
      </c>
    </row>
    <row r="1075">
      <c r="A1075" s="4" t="s">
        <v>2229</v>
      </c>
      <c r="B1075" s="3">
        <v>0.0</v>
      </c>
      <c r="C1075" s="3" t="s">
        <v>6</v>
      </c>
      <c r="D1075" s="4" t="str">
        <f t="shared" si="1"/>
        <v>SANS</v>
      </c>
      <c r="E1075" s="4" t="str">
        <f t="array" ref="E1075">INDEX(consolid1!$I$2:$I$904,MATCH(A1075,consolid1!$B$2:$B$904,0))</f>
        <v>#N/A</v>
      </c>
      <c r="F1075" s="4" t="str">
        <f t="array" ref="F1075">INDEX(consolid1!$G$2:$G1534,MATCH(A1075,consolid1!$B$2:$B1534,0))</f>
        <v>#N/A</v>
      </c>
    </row>
    <row r="1076">
      <c r="A1076" s="4" t="s">
        <v>911</v>
      </c>
      <c r="B1076" s="3">
        <v>0.0</v>
      </c>
      <c r="C1076" s="3" t="s">
        <v>3</v>
      </c>
      <c r="D1076" s="4" t="str">
        <f t="shared" si="1"/>
        <v>SANS</v>
      </c>
      <c r="E1076" s="4" t="str">
        <f t="array" ref="E1076">INDEX(consolid1!$I$2:$I$904,MATCH(A1076,consolid1!$B$2:$B$904,0))</f>
        <v>#N/A</v>
      </c>
      <c r="F1076" s="4" t="str">
        <f t="array" ref="F1076">INDEX(consolid1!$G$2:$G1534,MATCH(A1076,consolid1!$B$2:$B1534,0))</f>
        <v>#N/A</v>
      </c>
    </row>
    <row r="1077">
      <c r="A1077" s="4" t="s">
        <v>912</v>
      </c>
      <c r="B1077" s="3">
        <v>0.0</v>
      </c>
      <c r="C1077" s="3" t="s">
        <v>3</v>
      </c>
      <c r="D1077" s="4" t="str">
        <f t="shared" si="1"/>
        <v>SANS</v>
      </c>
      <c r="E1077" s="4" t="str">
        <f t="array" ref="E1077">INDEX(consolid1!$I$2:$I$904,MATCH(A1077,consolid1!$B$2:$B$904,0))</f>
        <v>#N/A</v>
      </c>
      <c r="F1077" s="4" t="str">
        <f t="array" ref="F1077">INDEX(consolid1!$G$2:$G1534,MATCH(A1077,consolid1!$B$2:$B1534,0))</f>
        <v>#N/A</v>
      </c>
    </row>
    <row r="1078">
      <c r="A1078" s="4" t="s">
        <v>918</v>
      </c>
      <c r="B1078" s="3">
        <v>0.0</v>
      </c>
      <c r="C1078" s="3" t="s">
        <v>32</v>
      </c>
      <c r="D1078" s="4" t="str">
        <f t="shared" si="1"/>
        <v>SANS</v>
      </c>
      <c r="E1078" s="4" t="str">
        <f t="array" ref="E1078">INDEX(consolid1!$I$2:$I$904,MATCH(A1078,consolid1!$B$2:$B$904,0))</f>
        <v>#N/A</v>
      </c>
      <c r="F1078" s="4" t="str">
        <f t="array" ref="F1078">INDEX(consolid1!$G$2:$G1534,MATCH(A1078,consolid1!$B$2:$B1534,0))</f>
        <v>#N/A</v>
      </c>
    </row>
    <row r="1079">
      <c r="A1079" s="4" t="s">
        <v>919</v>
      </c>
      <c r="B1079" s="3">
        <v>0.0</v>
      </c>
      <c r="C1079" s="3" t="s">
        <v>3</v>
      </c>
      <c r="D1079" s="4" t="str">
        <f t="shared" si="1"/>
        <v>SANS</v>
      </c>
      <c r="E1079" s="4" t="str">
        <f t="array" ref="E1079">INDEX(consolid1!$I$2:$I$904,MATCH(A1079,consolid1!$B$2:$B$904,0))</f>
        <v>#N/A</v>
      </c>
      <c r="F1079" s="4" t="str">
        <f t="array" ref="F1079">INDEX(consolid1!$G$2:$G1534,MATCH(A1079,consolid1!$B$2:$B1534,0))</f>
        <v>#N/A</v>
      </c>
    </row>
    <row r="1080">
      <c r="A1080" s="4" t="s">
        <v>920</v>
      </c>
      <c r="B1080" s="3">
        <v>0.0</v>
      </c>
      <c r="C1080" s="3" t="s">
        <v>3</v>
      </c>
      <c r="D1080" s="4" t="str">
        <f t="shared" si="1"/>
        <v>SANS</v>
      </c>
      <c r="E1080" s="4" t="str">
        <f t="array" ref="E1080">INDEX(consolid1!$I$2:$I$904,MATCH(A1080,consolid1!$B$2:$B$904,0))</f>
        <v>#N/A</v>
      </c>
      <c r="F1080" s="4" t="str">
        <f t="array" ref="F1080">INDEX(consolid1!$G$2:$G1534,MATCH(A1080,consolid1!$B$2:$B1534,0))</f>
        <v>#N/A</v>
      </c>
    </row>
    <row r="1081">
      <c r="A1081" s="4" t="s">
        <v>924</v>
      </c>
      <c r="B1081" s="3">
        <v>0.0</v>
      </c>
      <c r="C1081" s="3" t="s">
        <v>3</v>
      </c>
      <c r="D1081" s="4" t="str">
        <f t="shared" si="1"/>
        <v>SANS</v>
      </c>
      <c r="E1081" s="4" t="str">
        <f t="array" ref="E1081">INDEX(consolid1!$I$2:$I$904,MATCH(A1081,consolid1!$B$2:$B$904,0))</f>
        <v>#N/A</v>
      </c>
      <c r="F1081" s="4" t="str">
        <f t="array" ref="F1081">INDEX(consolid1!$G$2:$G1534,MATCH(A1081,consolid1!$B$2:$B1534,0))</f>
        <v>#N/A</v>
      </c>
    </row>
    <row r="1082">
      <c r="A1082" s="4" t="s">
        <v>926</v>
      </c>
      <c r="B1082" s="3">
        <v>0.0</v>
      </c>
      <c r="C1082" s="3" t="s">
        <v>3</v>
      </c>
      <c r="D1082" s="4" t="str">
        <f t="shared" si="1"/>
        <v>SANS</v>
      </c>
      <c r="E1082" s="4" t="str">
        <f t="array" ref="E1082">INDEX(consolid1!$I$2:$I$904,MATCH(A1082,consolid1!$B$2:$B$904,0))</f>
        <v>#N/A</v>
      </c>
      <c r="F1082" s="4" t="str">
        <f t="array" ref="F1082">INDEX(consolid1!$G$2:$G1534,MATCH(A1082,consolid1!$B$2:$B1534,0))</f>
        <v>#N/A</v>
      </c>
    </row>
    <row r="1083">
      <c r="A1083" s="4" t="s">
        <v>928</v>
      </c>
      <c r="B1083" s="3">
        <v>0.0</v>
      </c>
      <c r="C1083" s="3" t="s">
        <v>32</v>
      </c>
      <c r="D1083" s="4" t="str">
        <f t="shared" si="1"/>
        <v>SANS</v>
      </c>
      <c r="E1083" s="4" t="str">
        <f t="array" ref="E1083">INDEX(consolid1!$I$2:$I$904,MATCH(A1083,consolid1!$B$2:$B$904,0))</f>
        <v>Culture</v>
      </c>
      <c r="F1083" s="4" t="str">
        <f t="array" ref="F1083">INDEX(consolid1!$G$2:$G1534,MATCH(A1083,consolid1!$B$2:$B1534,0))</f>
        <v>null</v>
      </c>
    </row>
    <row r="1084">
      <c r="A1084" s="4" t="s">
        <v>934</v>
      </c>
      <c r="B1084" s="3">
        <v>0.0</v>
      </c>
      <c r="C1084" s="3" t="s">
        <v>3</v>
      </c>
      <c r="D1084" s="4" t="str">
        <f t="shared" si="1"/>
        <v>SANS</v>
      </c>
      <c r="E1084" s="4" t="str">
        <f t="array" ref="E1084">INDEX(consolid1!$I$2:$I$904,MATCH(A1084,consolid1!$B$2:$B$904,0))</f>
        <v>#N/A</v>
      </c>
      <c r="F1084" s="4" t="str">
        <f t="array" ref="F1084">INDEX(consolid1!$G$2:$G1534,MATCH(A1084,consolid1!$B$2:$B1534,0))</f>
        <v>#N/A</v>
      </c>
    </row>
    <row r="1085">
      <c r="A1085" s="4" t="s">
        <v>943</v>
      </c>
      <c r="B1085" s="3">
        <v>0.0</v>
      </c>
      <c r="C1085" s="3" t="s">
        <v>3</v>
      </c>
      <c r="D1085" s="4" t="str">
        <f t="shared" si="1"/>
        <v>SANS</v>
      </c>
      <c r="E1085" s="4" t="str">
        <f t="array" ref="E1085">INDEX(consolid1!$I$2:$I$904,MATCH(A1085,consolid1!$B$2:$B$904,0))</f>
        <v>#N/A</v>
      </c>
      <c r="F1085" s="4" t="str">
        <f t="array" ref="F1085">INDEX(consolid1!$G$2:$G1534,MATCH(A1085,consolid1!$B$2:$B1534,0))</f>
        <v>#N/A</v>
      </c>
    </row>
    <row r="1086">
      <c r="A1086" s="4" t="s">
        <v>944</v>
      </c>
      <c r="B1086" s="3">
        <v>0.0</v>
      </c>
      <c r="C1086" s="3" t="s">
        <v>3</v>
      </c>
      <c r="D1086" s="4" t="str">
        <f t="shared" si="1"/>
        <v>SANS</v>
      </c>
      <c r="E1086" s="4" t="str">
        <f t="array" ref="E1086">INDEX(consolid1!$I$2:$I$904,MATCH(A1086,consolid1!$B$2:$B$904,0))</f>
        <v>#N/A</v>
      </c>
      <c r="F1086" s="4" t="str">
        <f t="array" ref="F1086">INDEX(consolid1!$G$2:$G1534,MATCH(A1086,consolid1!$B$2:$B1534,0))</f>
        <v>#N/A</v>
      </c>
    </row>
    <row r="1087">
      <c r="A1087" s="4" t="s">
        <v>947</v>
      </c>
      <c r="B1087" s="3">
        <v>0.0</v>
      </c>
      <c r="C1087" s="3" t="s">
        <v>29</v>
      </c>
      <c r="D1087" s="4" t="str">
        <f t="shared" si="1"/>
        <v>SANS</v>
      </c>
      <c r="E1087" s="4" t="str">
        <f t="array" ref="E1087">INDEX(consolid1!$I$2:$I$904,MATCH(A1087,consolid1!$B$2:$B$904,0))</f>
        <v>#N/A</v>
      </c>
      <c r="F1087" s="4" t="str">
        <f t="array" ref="F1087">INDEX(consolid1!$G$2:$G1534,MATCH(A1087,consolid1!$B$2:$B1534,0))</f>
        <v>#N/A</v>
      </c>
    </row>
    <row r="1088">
      <c r="A1088" s="4" t="s">
        <v>958</v>
      </c>
      <c r="B1088" s="3">
        <v>0.0</v>
      </c>
      <c r="C1088" s="3" t="s">
        <v>3</v>
      </c>
      <c r="D1088" s="4" t="str">
        <f t="shared" si="1"/>
        <v>SANS</v>
      </c>
      <c r="E1088" s="4" t="str">
        <f t="array" ref="E1088">INDEX(consolid1!$I$2:$I$904,MATCH(A1088,consolid1!$B$2:$B$904,0))</f>
        <v>#N/A</v>
      </c>
      <c r="F1088" s="4" t="str">
        <f t="array" ref="F1088">INDEX(consolid1!$G$2:$G1534,MATCH(A1088,consolid1!$B$2:$B1534,0))</f>
        <v>#N/A</v>
      </c>
    </row>
    <row r="1089">
      <c r="A1089" s="4" t="s">
        <v>2234</v>
      </c>
      <c r="B1089" s="3">
        <v>0.0</v>
      </c>
      <c r="C1089" s="3" t="s">
        <v>3</v>
      </c>
      <c r="D1089" s="4" t="str">
        <f t="shared" si="1"/>
        <v>SANS</v>
      </c>
      <c r="E1089" s="4" t="str">
        <f t="array" ref="E1089">INDEX(consolid1!$I$2:$I$904,MATCH(A1089,consolid1!$B$2:$B$904,0))</f>
        <v>#N/A</v>
      </c>
      <c r="F1089" s="4" t="str">
        <f t="array" ref="F1089">INDEX(consolid1!$G$2:$G1534,MATCH(A1089,consolid1!$B$2:$B1534,0))</f>
        <v>#N/A</v>
      </c>
    </row>
    <row r="1090">
      <c r="A1090" s="4" t="s">
        <v>964</v>
      </c>
      <c r="B1090" s="3">
        <v>0.0</v>
      </c>
      <c r="C1090" s="3" t="s">
        <v>3</v>
      </c>
      <c r="D1090" s="4" t="str">
        <f t="shared" si="1"/>
        <v>SANS</v>
      </c>
      <c r="E1090" s="4" t="str">
        <f t="array" ref="E1090">INDEX(consolid1!$I$2:$I$904,MATCH(A1090,consolid1!$B$2:$B$904,0))</f>
        <v>#N/A</v>
      </c>
      <c r="F1090" s="4" t="str">
        <f t="array" ref="F1090">INDEX(consolid1!$G$2:$G1534,MATCH(A1090,consolid1!$B$2:$B1534,0))</f>
        <v>#N/A</v>
      </c>
    </row>
    <row r="1091">
      <c r="A1091" s="4" t="s">
        <v>969</v>
      </c>
      <c r="B1091" s="3">
        <v>0.0</v>
      </c>
      <c r="C1091" s="3" t="s">
        <v>3</v>
      </c>
      <c r="D1091" s="4" t="str">
        <f t="shared" si="1"/>
        <v>SANS</v>
      </c>
      <c r="E1091" s="4" t="str">
        <f t="array" ref="E1091">INDEX(consolid1!$I$2:$I$904,MATCH(A1091,consolid1!$B$2:$B$904,0))</f>
        <v>#N/A</v>
      </c>
      <c r="F1091" s="4" t="str">
        <f t="array" ref="F1091">INDEX(consolid1!$G$2:$G1534,MATCH(A1091,consolid1!$B$2:$B1534,0))</f>
        <v>#N/A</v>
      </c>
    </row>
    <row r="1092">
      <c r="A1092" s="4" t="s">
        <v>970</v>
      </c>
      <c r="B1092" s="3">
        <v>0.0</v>
      </c>
      <c r="C1092" s="3" t="s">
        <v>3</v>
      </c>
      <c r="D1092" s="4" t="str">
        <f t="shared" si="1"/>
        <v>SANS</v>
      </c>
      <c r="E1092" s="4" t="str">
        <f t="array" ref="E1092">INDEX(consolid1!$I$2:$I$904,MATCH(A1092,consolid1!$B$2:$B$904,0))</f>
        <v>#N/A</v>
      </c>
      <c r="F1092" s="4" t="str">
        <f t="array" ref="F1092">INDEX(consolid1!$G$2:$G1534,MATCH(A1092,consolid1!$B$2:$B1534,0))</f>
        <v>#N/A</v>
      </c>
    </row>
    <row r="1093">
      <c r="A1093" s="4" t="s">
        <v>971</v>
      </c>
      <c r="B1093" s="3">
        <v>0.0</v>
      </c>
      <c r="C1093" s="3" t="s">
        <v>3</v>
      </c>
      <c r="D1093" s="4" t="str">
        <f t="shared" si="1"/>
        <v>SANS</v>
      </c>
      <c r="E1093" s="4" t="str">
        <f t="array" ref="E1093">INDEX(consolid1!$I$2:$I$904,MATCH(A1093,consolid1!$B$2:$B$904,0))</f>
        <v>#N/A</v>
      </c>
      <c r="F1093" s="4" t="str">
        <f t="array" ref="F1093">INDEX(consolid1!$G$2:$G1534,MATCH(A1093,consolid1!$B$2:$B1534,0))</f>
        <v>#N/A</v>
      </c>
    </row>
    <row r="1094">
      <c r="A1094" s="4" t="s">
        <v>972</v>
      </c>
      <c r="B1094" s="3">
        <v>0.0</v>
      </c>
      <c r="C1094" s="3" t="s">
        <v>32</v>
      </c>
      <c r="D1094" s="4" t="str">
        <f t="shared" si="1"/>
        <v>SANS</v>
      </c>
      <c r="E1094" s="4" t="str">
        <f t="array" ref="E1094">INDEX(consolid1!$I$2:$I$904,MATCH(A1094,consolid1!$B$2:$B$904,0))</f>
        <v>#N/A</v>
      </c>
      <c r="F1094" s="4" t="str">
        <f t="array" ref="F1094">INDEX(consolid1!$G$2:$G1534,MATCH(A1094,consolid1!$B$2:$B1534,0))</f>
        <v>#N/A</v>
      </c>
    </row>
    <row r="1095">
      <c r="A1095" s="4" t="s">
        <v>974</v>
      </c>
      <c r="B1095" s="3">
        <v>0.0</v>
      </c>
      <c r="C1095" s="3" t="s">
        <v>3</v>
      </c>
      <c r="D1095" s="4" t="str">
        <f t="shared" si="1"/>
        <v>SANS</v>
      </c>
      <c r="E1095" s="4" t="str">
        <f t="array" ref="E1095">INDEX(consolid1!$I$2:$I$904,MATCH(A1095,consolid1!$B$2:$B$904,0))</f>
        <v>#N/A</v>
      </c>
      <c r="F1095" s="4" t="str">
        <f t="array" ref="F1095">INDEX(consolid1!$G$2:$G1534,MATCH(A1095,consolid1!$B$2:$B1534,0))</f>
        <v>#N/A</v>
      </c>
    </row>
    <row r="1096">
      <c r="A1096" s="4" t="s">
        <v>978</v>
      </c>
      <c r="B1096" s="3">
        <v>0.0</v>
      </c>
      <c r="C1096" s="3" t="s">
        <v>29</v>
      </c>
      <c r="D1096" s="4" t="str">
        <f t="shared" si="1"/>
        <v>SANS</v>
      </c>
      <c r="E1096" s="4" t="str">
        <f t="array" ref="E1096">INDEX(consolid1!$I$2:$I$904,MATCH(A1096,consolid1!$B$2:$B$904,0))</f>
        <v>#N/A</v>
      </c>
      <c r="F1096" s="4" t="str">
        <f t="array" ref="F1096">INDEX(consolid1!$G$2:$G1534,MATCH(A1096,consolid1!$B$2:$B1534,0))</f>
        <v>#N/A</v>
      </c>
    </row>
    <row r="1097">
      <c r="A1097" s="4" t="s">
        <v>980</v>
      </c>
      <c r="B1097" s="3">
        <v>0.0</v>
      </c>
      <c r="C1097" s="3" t="s">
        <v>3</v>
      </c>
      <c r="D1097" s="4" t="str">
        <f t="shared" si="1"/>
        <v>SANS</v>
      </c>
      <c r="E1097" s="4" t="str">
        <f t="array" ref="E1097">INDEX(consolid1!$I$2:$I$904,MATCH(A1097,consolid1!$B$2:$B$904,0))</f>
        <v>#N/A</v>
      </c>
      <c r="F1097" s="4" t="str">
        <f t="array" ref="F1097">INDEX(consolid1!$G$2:$G1534,MATCH(A1097,consolid1!$B$2:$B1534,0))</f>
        <v>#N/A</v>
      </c>
    </row>
    <row r="1098">
      <c r="A1098" s="4" t="s">
        <v>982</v>
      </c>
      <c r="B1098" s="3">
        <v>0.0</v>
      </c>
      <c r="C1098" s="3" t="s">
        <v>6</v>
      </c>
      <c r="D1098" s="4" t="str">
        <f t="shared" si="1"/>
        <v>SANS</v>
      </c>
      <c r="E1098" s="4" t="str">
        <f t="array" ref="E1098">INDEX(consolid1!$I$2:$I$904,MATCH(A1098,consolid1!$B$2:$B$904,0))</f>
        <v>#N/A</v>
      </c>
      <c r="F1098" s="4" t="str">
        <f t="array" ref="F1098">INDEX(consolid1!$G$2:$G1534,MATCH(A1098,consolid1!$B$2:$B1534,0))</f>
        <v>#N/A</v>
      </c>
    </row>
    <row r="1099">
      <c r="A1099" s="4" t="s">
        <v>983</v>
      </c>
      <c r="B1099" s="3">
        <v>0.0</v>
      </c>
      <c r="C1099" s="3" t="s">
        <v>3</v>
      </c>
      <c r="D1099" s="4" t="str">
        <f t="shared" si="1"/>
        <v>SANS</v>
      </c>
      <c r="E1099" s="4" t="str">
        <f t="array" ref="E1099">INDEX(consolid1!$I$2:$I$904,MATCH(A1099,consolid1!$B$2:$B$904,0))</f>
        <v>#N/A</v>
      </c>
      <c r="F1099" s="4" t="str">
        <f t="array" ref="F1099">INDEX(consolid1!$G$2:$G1534,MATCH(A1099,consolid1!$B$2:$B1534,0))</f>
        <v>#N/A</v>
      </c>
    </row>
    <row r="1100">
      <c r="A1100" s="4" t="s">
        <v>987</v>
      </c>
      <c r="B1100" s="3">
        <v>0.0</v>
      </c>
      <c r="C1100" s="3" t="s">
        <v>3</v>
      </c>
      <c r="D1100" s="4" t="str">
        <f t="shared" si="1"/>
        <v>SANS</v>
      </c>
      <c r="E1100" s="4" t="str">
        <f t="array" ref="E1100">INDEX(consolid1!$I$2:$I$904,MATCH(A1100,consolid1!$B$2:$B$904,0))</f>
        <v>#N/A</v>
      </c>
      <c r="F1100" s="4" t="str">
        <f t="array" ref="F1100">INDEX(consolid1!$G$2:$G1534,MATCH(A1100,consolid1!$B$2:$B1534,0))</f>
        <v>#N/A</v>
      </c>
    </row>
    <row r="1101">
      <c r="A1101" s="4" t="s">
        <v>991</v>
      </c>
      <c r="B1101" s="3">
        <v>0.0</v>
      </c>
      <c r="C1101" s="3" t="s">
        <v>3</v>
      </c>
      <c r="D1101" s="4" t="str">
        <f t="shared" si="1"/>
        <v>SANS</v>
      </c>
      <c r="E1101" s="4" t="str">
        <f t="array" ref="E1101">INDEX(consolid1!$I$2:$I$904,MATCH(A1101,consolid1!$B$2:$B$904,0))</f>
        <v>#N/A</v>
      </c>
      <c r="F1101" s="4" t="str">
        <f t="array" ref="F1101">INDEX(consolid1!$G$2:$G1534,MATCH(A1101,consolid1!$B$2:$B1534,0))</f>
        <v>#N/A</v>
      </c>
    </row>
    <row r="1102">
      <c r="A1102" s="4" t="s">
        <v>992</v>
      </c>
      <c r="B1102" s="3">
        <v>0.0</v>
      </c>
      <c r="C1102" s="3" t="s">
        <v>3</v>
      </c>
      <c r="D1102" s="4" t="str">
        <f t="shared" si="1"/>
        <v>SANS</v>
      </c>
      <c r="E1102" s="4" t="str">
        <f t="array" ref="E1102">INDEX(consolid1!$I$2:$I$904,MATCH(A1102,consolid1!$B$2:$B$904,0))</f>
        <v>#N/A</v>
      </c>
      <c r="F1102" s="4" t="str">
        <f t="array" ref="F1102">INDEX(consolid1!$G$2:$G1534,MATCH(A1102,consolid1!$B$2:$B1534,0))</f>
        <v>#N/A</v>
      </c>
    </row>
    <row r="1103">
      <c r="A1103" s="4" t="s">
        <v>993</v>
      </c>
      <c r="B1103" s="3">
        <v>0.0</v>
      </c>
      <c r="C1103" s="3" t="s">
        <v>3</v>
      </c>
      <c r="D1103" s="4" t="str">
        <f t="shared" si="1"/>
        <v>SANS</v>
      </c>
      <c r="E1103" s="4" t="str">
        <f t="array" ref="E1103">INDEX(consolid1!$I$2:$I$904,MATCH(A1103,consolid1!$B$2:$B$904,0))</f>
        <v>#N/A</v>
      </c>
      <c r="F1103" s="4" t="str">
        <f t="array" ref="F1103">INDEX(consolid1!$G$2:$G1534,MATCH(A1103,consolid1!$B$2:$B1534,0))</f>
        <v>#N/A</v>
      </c>
    </row>
    <row r="1104">
      <c r="A1104" s="4" t="s">
        <v>999</v>
      </c>
      <c r="B1104" s="3">
        <v>0.0</v>
      </c>
      <c r="C1104" s="3" t="s">
        <v>3</v>
      </c>
      <c r="D1104" s="4" t="str">
        <f t="shared" si="1"/>
        <v>SANS</v>
      </c>
      <c r="E1104" s="4" t="str">
        <f t="array" ref="E1104">INDEX(consolid1!$I$2:$I$904,MATCH(A1104,consolid1!$B$2:$B$904,0))</f>
        <v>Vivre ensemble, vie quotidienne</v>
      </c>
      <c r="F1104" s="4" t="str">
        <f t="array" ref="F1104">INDEX(consolid1!$G$2:$G1534,MATCH(A1104,consolid1!$B$2:$B1534,0))</f>
        <v>null</v>
      </c>
    </row>
    <row r="1105">
      <c r="A1105" s="4" t="s">
        <v>1001</v>
      </c>
      <c r="B1105" s="3">
        <v>0.0</v>
      </c>
      <c r="C1105" s="3" t="s">
        <v>6</v>
      </c>
      <c r="D1105" s="4" t="str">
        <f t="shared" si="1"/>
        <v>SANS</v>
      </c>
      <c r="E1105" s="4" t="str">
        <f t="array" ref="E1105">INDEX(consolid1!$I$2:$I$904,MATCH(A1105,consolid1!$B$2:$B$904,0))</f>
        <v>#N/A</v>
      </c>
      <c r="F1105" s="4" t="str">
        <f t="array" ref="F1105">INDEX(consolid1!$G$2:$G1534,MATCH(A1105,consolid1!$B$2:$B1534,0))</f>
        <v>#N/A</v>
      </c>
    </row>
    <row r="1106">
      <c r="A1106" s="4" t="s">
        <v>1003</v>
      </c>
      <c r="B1106" s="3">
        <v>0.0</v>
      </c>
      <c r="C1106" s="3" t="s">
        <v>3</v>
      </c>
      <c r="D1106" s="4" t="str">
        <f t="shared" si="1"/>
        <v>SANS</v>
      </c>
      <c r="E1106" s="4" t="str">
        <f t="array" ref="E1106">INDEX(consolid1!$I$2:$I$904,MATCH(A1106,consolid1!$B$2:$B$904,0))</f>
        <v>#N/A</v>
      </c>
      <c r="F1106" s="4" t="str">
        <f t="array" ref="F1106">INDEX(consolid1!$G$2:$G1534,MATCH(A1106,consolid1!$B$2:$B1534,0))</f>
        <v>#N/A</v>
      </c>
    </row>
    <row r="1107">
      <c r="A1107" s="4" t="s">
        <v>1004</v>
      </c>
      <c r="B1107" s="3">
        <v>0.0</v>
      </c>
      <c r="C1107" s="3" t="s">
        <v>3</v>
      </c>
      <c r="D1107" s="4" t="str">
        <f t="shared" si="1"/>
        <v>SANS</v>
      </c>
      <c r="E1107" s="4" t="str">
        <f t="array" ref="E1107">INDEX(consolid1!$I$2:$I$904,MATCH(A1107,consolid1!$B$2:$B$904,0))</f>
        <v>#N/A</v>
      </c>
      <c r="F1107" s="4" t="str">
        <f t="array" ref="F1107">INDEX(consolid1!$G$2:$G1534,MATCH(A1107,consolid1!$B$2:$B1534,0))</f>
        <v>#N/A</v>
      </c>
    </row>
    <row r="1108">
      <c r="A1108" s="4" t="s">
        <v>1006</v>
      </c>
      <c r="B1108" s="3">
        <v>0.0</v>
      </c>
      <c r="C1108" s="3" t="s">
        <v>3</v>
      </c>
      <c r="D1108" s="4" t="str">
        <f t="shared" si="1"/>
        <v>SANS</v>
      </c>
      <c r="E1108" s="4" t="str">
        <f t="array" ref="E1108">INDEX(consolid1!$I$2:$I$904,MATCH(A1108,consolid1!$B$2:$B$904,0))</f>
        <v>#N/A</v>
      </c>
      <c r="F1108" s="4" t="str">
        <f t="array" ref="F1108">INDEX(consolid1!$G$2:$G1534,MATCH(A1108,consolid1!$B$2:$B1534,0))</f>
        <v>#N/A</v>
      </c>
    </row>
    <row r="1109">
      <c r="A1109" s="4" t="s">
        <v>1008</v>
      </c>
      <c r="B1109" s="3">
        <v>0.0</v>
      </c>
      <c r="C1109" s="3" t="s">
        <v>484</v>
      </c>
      <c r="D1109" s="4" t="str">
        <f t="shared" si="1"/>
        <v>SANS</v>
      </c>
      <c r="E1109" s="4" t="str">
        <f t="array" ref="E1109">INDEX(consolid1!$I$2:$I$904,MATCH(A1109,consolid1!$B$2:$B$904,0))</f>
        <v>#N/A</v>
      </c>
      <c r="F1109" s="4" t="str">
        <f t="array" ref="F1109">INDEX(consolid1!$G$2:$G1534,MATCH(A1109,consolid1!$B$2:$B1534,0))</f>
        <v>#N/A</v>
      </c>
    </row>
    <row r="1110">
      <c r="A1110" s="4" t="s">
        <v>1009</v>
      </c>
      <c r="B1110" s="3">
        <v>0.0</v>
      </c>
      <c r="C1110" s="3" t="s">
        <v>3</v>
      </c>
      <c r="D1110" s="4" t="str">
        <f t="shared" si="1"/>
        <v>SANS</v>
      </c>
      <c r="E1110" s="4" t="str">
        <f t="array" ref="E1110">INDEX(consolid1!$I$2:$I$904,MATCH(A1110,consolid1!$B$2:$B$904,0))</f>
        <v>#N/A</v>
      </c>
      <c r="F1110" s="4" t="str">
        <f t="array" ref="F1110">INDEX(consolid1!$G$2:$G1534,MATCH(A1110,consolid1!$B$2:$B1534,0))</f>
        <v>#N/A</v>
      </c>
    </row>
    <row r="1111">
      <c r="A1111" s="4" t="s">
        <v>1010</v>
      </c>
      <c r="B1111" s="3">
        <v>0.0</v>
      </c>
      <c r="C1111" s="3" t="s">
        <v>6</v>
      </c>
      <c r="D1111" s="4" t="str">
        <f t="shared" si="1"/>
        <v>SANS</v>
      </c>
      <c r="E1111" s="4" t="str">
        <f t="array" ref="E1111">INDEX(consolid1!$I$2:$I$904,MATCH(A1111,consolid1!$B$2:$B$904,0))</f>
        <v>#N/A</v>
      </c>
      <c r="F1111" s="4" t="str">
        <f t="array" ref="F1111">INDEX(consolid1!$G$2:$G1534,MATCH(A1111,consolid1!$B$2:$B1534,0))</f>
        <v>#N/A</v>
      </c>
    </row>
    <row r="1112">
      <c r="A1112" s="4" t="s">
        <v>1015</v>
      </c>
      <c r="B1112" s="3">
        <v>0.0</v>
      </c>
      <c r="C1112" s="3" t="s">
        <v>3</v>
      </c>
      <c r="D1112" s="4" t="str">
        <f t="shared" si="1"/>
        <v>SANS</v>
      </c>
      <c r="E1112" s="4" t="str">
        <f t="array" ref="E1112">INDEX(consolid1!$I$2:$I$904,MATCH(A1112,consolid1!$B$2:$B$904,0))</f>
        <v>#N/A</v>
      </c>
      <c r="F1112" s="4" t="str">
        <f t="array" ref="F1112">INDEX(consolid1!$G$2:$G1534,MATCH(A1112,consolid1!$B$2:$B1534,0))</f>
        <v>#N/A</v>
      </c>
    </row>
    <row r="1113">
      <c r="A1113" s="4" t="s">
        <v>1016</v>
      </c>
      <c r="B1113" s="3">
        <v>0.0</v>
      </c>
      <c r="C1113" s="3" t="s">
        <v>6</v>
      </c>
      <c r="D1113" s="4" t="str">
        <f t="shared" si="1"/>
        <v>SANS</v>
      </c>
      <c r="E1113" s="4" t="str">
        <f t="array" ref="E1113">INDEX(consolid1!$I$2:$I$904,MATCH(A1113,consolid1!$B$2:$B$904,0))</f>
        <v>#N/A</v>
      </c>
      <c r="F1113" s="4" t="str">
        <f t="array" ref="F1113">INDEX(consolid1!$G$2:$G1534,MATCH(A1113,consolid1!$B$2:$B1534,0))</f>
        <v>#N/A</v>
      </c>
    </row>
    <row r="1114">
      <c r="A1114" s="4" t="s">
        <v>1018</v>
      </c>
      <c r="B1114" s="3">
        <v>0.0</v>
      </c>
      <c r="C1114" s="3" t="s">
        <v>32</v>
      </c>
      <c r="D1114" s="4" t="str">
        <f t="shared" si="1"/>
        <v>SANS</v>
      </c>
      <c r="E1114" s="4" t="str">
        <f t="array" ref="E1114">INDEX(consolid1!$I$2:$I$904,MATCH(A1114,consolid1!$B$2:$B$904,0))</f>
        <v>#N/A</v>
      </c>
      <c r="F1114" s="4" t="str">
        <f t="array" ref="F1114">INDEX(consolid1!$G$2:$G1534,MATCH(A1114,consolid1!$B$2:$B1534,0))</f>
        <v>#N/A</v>
      </c>
    </row>
    <row r="1115">
      <c r="A1115" s="4" t="s">
        <v>1019</v>
      </c>
      <c r="B1115" s="3">
        <v>0.0</v>
      </c>
      <c r="C1115" s="3" t="s">
        <v>6</v>
      </c>
      <c r="D1115" s="4" t="str">
        <f t="shared" si="1"/>
        <v>SANS</v>
      </c>
      <c r="E1115" s="4" t="str">
        <f t="array" ref="E1115">INDEX(consolid1!$I$2:$I$904,MATCH(A1115,consolid1!$B$2:$B$904,0))</f>
        <v>#N/A</v>
      </c>
      <c r="F1115" s="4" t="str">
        <f t="array" ref="F1115">INDEX(consolid1!$G$2:$G1534,MATCH(A1115,consolid1!$B$2:$B1534,0))</f>
        <v>#N/A</v>
      </c>
    </row>
    <row r="1116">
      <c r="A1116" s="4" t="s">
        <v>1022</v>
      </c>
      <c r="B1116" s="3">
        <v>0.0</v>
      </c>
      <c r="C1116" s="3" t="s">
        <v>6</v>
      </c>
      <c r="D1116" s="4" t="str">
        <f t="shared" si="1"/>
        <v>SANS</v>
      </c>
      <c r="E1116" s="4" t="str">
        <f t="array" ref="E1116">INDEX(consolid1!$I$2:$I$904,MATCH(A1116,consolid1!$B$2:$B$904,0))</f>
        <v>#N/A</v>
      </c>
      <c r="F1116" s="4" t="str">
        <f t="array" ref="F1116">INDEX(consolid1!$G$2:$G1534,MATCH(A1116,consolid1!$B$2:$B1534,0))</f>
        <v>#N/A</v>
      </c>
    </row>
    <row r="1117">
      <c r="A1117" s="4" t="s">
        <v>1025</v>
      </c>
      <c r="B1117" s="3">
        <v>0.0</v>
      </c>
      <c r="C1117" s="3" t="s">
        <v>3</v>
      </c>
      <c r="D1117" s="4" t="str">
        <f t="shared" si="1"/>
        <v>SANS</v>
      </c>
      <c r="E1117" s="4" t="str">
        <f t="array" ref="E1117">INDEX(consolid1!$I$2:$I$904,MATCH(A1117,consolid1!$B$2:$B$904,0))</f>
        <v>null</v>
      </c>
      <c r="F1117" s="4" t="str">
        <f t="array" ref="F1117">INDEX(consolid1!$G$2:$G1534,MATCH(A1117,consolid1!$B$2:$B1534,0))</f>
        <v>null</v>
      </c>
    </row>
    <row r="1118">
      <c r="A1118" s="4" t="s">
        <v>2237</v>
      </c>
      <c r="B1118" s="3">
        <v>0.0</v>
      </c>
      <c r="C1118" s="3" t="s">
        <v>3</v>
      </c>
      <c r="D1118" s="4" t="str">
        <f t="shared" si="1"/>
        <v>SANS</v>
      </c>
      <c r="E1118" s="4" t="str">
        <f t="array" ref="E1118">INDEX(consolid1!$I$2:$I$904,MATCH(A1118,consolid1!$B$2:$B$904,0))</f>
        <v>#N/A</v>
      </c>
      <c r="F1118" s="4" t="str">
        <f t="array" ref="F1118">INDEX(consolid1!$G$2:$G1534,MATCH(A1118,consolid1!$B$2:$B1534,0))</f>
        <v>#N/A</v>
      </c>
    </row>
    <row r="1119">
      <c r="A1119" s="4" t="s">
        <v>1031</v>
      </c>
      <c r="B1119" s="3">
        <v>0.0</v>
      </c>
      <c r="C1119" s="3" t="s">
        <v>3</v>
      </c>
      <c r="D1119" s="4" t="str">
        <f t="shared" si="1"/>
        <v>SANS</v>
      </c>
      <c r="E1119" s="4" t="str">
        <f t="array" ref="E1119">INDEX(consolid1!$I$2:$I$904,MATCH(A1119,consolid1!$B$2:$B$904,0))</f>
        <v>#N/A</v>
      </c>
      <c r="F1119" s="4" t="str">
        <f t="array" ref="F1119">INDEX(consolid1!$G$2:$G1534,MATCH(A1119,consolid1!$B$2:$B1534,0))</f>
        <v>#N/A</v>
      </c>
    </row>
    <row r="1120">
      <c r="A1120" s="4" t="s">
        <v>1032</v>
      </c>
      <c r="B1120" s="3">
        <v>0.0</v>
      </c>
      <c r="C1120" s="3" t="s">
        <v>29</v>
      </c>
      <c r="D1120" s="4" t="str">
        <f t="shared" si="1"/>
        <v>SANS</v>
      </c>
      <c r="E1120" s="4" t="str">
        <f t="array" ref="E1120">INDEX(consolid1!$I$2:$I$904,MATCH(A1120,consolid1!$B$2:$B$904,0))</f>
        <v>#N/A</v>
      </c>
      <c r="F1120" s="4" t="str">
        <f t="array" ref="F1120">INDEX(consolid1!$G$2:$G1534,MATCH(A1120,consolid1!$B$2:$B1534,0))</f>
        <v>#N/A</v>
      </c>
    </row>
    <row r="1121">
      <c r="A1121" s="4" t="s">
        <v>1036</v>
      </c>
      <c r="B1121" s="3">
        <v>0.0</v>
      </c>
      <c r="C1121" s="3" t="s">
        <v>3</v>
      </c>
      <c r="D1121" s="4" t="str">
        <f t="shared" si="1"/>
        <v>SANS</v>
      </c>
      <c r="E1121" s="4" t="str">
        <f t="array" ref="E1121">INDEX(consolid1!$I$2:$I$904,MATCH(A1121,consolid1!$B$2:$B$904,0))</f>
        <v>#N/A</v>
      </c>
      <c r="F1121" s="4" t="str">
        <f t="array" ref="F1121">INDEX(consolid1!$G$2:$G1534,MATCH(A1121,consolid1!$B$2:$B1534,0))</f>
        <v>#N/A</v>
      </c>
    </row>
    <row r="1122">
      <c r="A1122" s="4" t="s">
        <v>1037</v>
      </c>
      <c r="B1122" s="3">
        <v>0.0</v>
      </c>
      <c r="C1122" s="3" t="s">
        <v>26</v>
      </c>
      <c r="D1122" s="4" t="str">
        <f t="shared" si="1"/>
        <v>SANS</v>
      </c>
      <c r="E1122" s="4" t="str">
        <f t="array" ref="E1122">INDEX(consolid1!$I$2:$I$904,MATCH(A1122,consolid1!$B$2:$B$904,0))</f>
        <v>#N/A</v>
      </c>
      <c r="F1122" s="4" t="str">
        <f t="array" ref="F1122">INDEX(consolid1!$G$2:$G1534,MATCH(A1122,consolid1!$B$2:$B1534,0))</f>
        <v>#N/A</v>
      </c>
    </row>
    <row r="1123">
      <c r="A1123" s="4" t="s">
        <v>1038</v>
      </c>
      <c r="B1123" s="3">
        <v>0.0</v>
      </c>
      <c r="C1123" s="3" t="s">
        <v>3</v>
      </c>
      <c r="D1123" s="4" t="str">
        <f t="shared" si="1"/>
        <v>SANS</v>
      </c>
      <c r="E1123" s="4" t="str">
        <f t="array" ref="E1123">INDEX(consolid1!$I$2:$I$904,MATCH(A1123,consolid1!$B$2:$B$904,0))</f>
        <v>#N/A</v>
      </c>
      <c r="F1123" s="4" t="str">
        <f t="array" ref="F1123">INDEX(consolid1!$G$2:$G1534,MATCH(A1123,consolid1!$B$2:$B1534,0))</f>
        <v>#N/A</v>
      </c>
    </row>
    <row r="1124">
      <c r="A1124" s="4" t="s">
        <v>1042</v>
      </c>
      <c r="B1124" s="3">
        <v>0.0</v>
      </c>
      <c r="C1124" s="3" t="s">
        <v>3</v>
      </c>
      <c r="D1124" s="4" t="str">
        <f t="shared" si="1"/>
        <v>SANS</v>
      </c>
      <c r="E1124" s="4" t="str">
        <f t="array" ref="E1124">INDEX(consolid1!$I$2:$I$904,MATCH(A1124,consolid1!$B$2:$B$904,0))</f>
        <v>#N/A</v>
      </c>
      <c r="F1124" s="4" t="str">
        <f t="array" ref="F1124">INDEX(consolid1!$G$2:$G1534,MATCH(A1124,consolid1!$B$2:$B1534,0))</f>
        <v>#N/A</v>
      </c>
    </row>
    <row r="1125">
      <c r="A1125" s="4" t="s">
        <v>1046</v>
      </c>
      <c r="B1125" s="3">
        <v>0.0</v>
      </c>
      <c r="C1125" s="3" t="s">
        <v>3</v>
      </c>
      <c r="D1125" s="4" t="str">
        <f t="shared" si="1"/>
        <v>SANS</v>
      </c>
      <c r="E1125" s="4" t="str">
        <f t="array" ref="E1125">INDEX(consolid1!$I$2:$I$904,MATCH(A1125,consolid1!$B$2:$B$904,0))</f>
        <v>#N/A</v>
      </c>
      <c r="F1125" s="4" t="str">
        <f t="array" ref="F1125">INDEX(consolid1!$G$2:$G1534,MATCH(A1125,consolid1!$B$2:$B1534,0))</f>
        <v>#N/A</v>
      </c>
    </row>
    <row r="1126">
      <c r="A1126" s="4" t="s">
        <v>1048</v>
      </c>
      <c r="B1126" s="3">
        <v>0.0</v>
      </c>
      <c r="C1126" s="3" t="s">
        <v>3</v>
      </c>
      <c r="D1126" s="4" t="str">
        <f t="shared" si="1"/>
        <v>SANS</v>
      </c>
      <c r="E1126" s="4" t="str">
        <f t="array" ref="E1126">INDEX(consolid1!$I$2:$I$904,MATCH(A1126,consolid1!$B$2:$B$904,0))</f>
        <v>#N/A</v>
      </c>
      <c r="F1126" s="4" t="str">
        <f t="array" ref="F1126">INDEX(consolid1!$G$2:$G1534,MATCH(A1126,consolid1!$B$2:$B1534,0))</f>
        <v>#N/A</v>
      </c>
    </row>
    <row r="1127">
      <c r="A1127" s="4" t="s">
        <v>2239</v>
      </c>
      <c r="B1127" s="3">
        <v>0.0</v>
      </c>
      <c r="C1127" s="3" t="s">
        <v>3</v>
      </c>
      <c r="D1127" s="4" t="str">
        <f t="shared" si="1"/>
        <v>SANS</v>
      </c>
      <c r="E1127" s="4" t="str">
        <f t="array" ref="E1127">INDEX(consolid1!$I$2:$I$904,MATCH(A1127,consolid1!$B$2:$B$904,0))</f>
        <v>#N/A</v>
      </c>
      <c r="F1127" s="4" t="str">
        <f t="array" ref="F1127">INDEX(consolid1!$G$2:$G1534,MATCH(A1127,consolid1!$B$2:$B1534,0))</f>
        <v>#N/A</v>
      </c>
    </row>
    <row r="1128">
      <c r="A1128" s="4" t="s">
        <v>1054</v>
      </c>
      <c r="B1128" s="3">
        <v>0.0</v>
      </c>
      <c r="C1128" s="3" t="s">
        <v>3</v>
      </c>
      <c r="D1128" s="4" t="str">
        <f t="shared" si="1"/>
        <v>SANS</v>
      </c>
      <c r="E1128" s="4" t="str">
        <f t="array" ref="E1128">INDEX(consolid1!$I$2:$I$904,MATCH(A1128,consolid1!$B$2:$B$904,0))</f>
        <v>#N/A</v>
      </c>
      <c r="F1128" s="4" t="str">
        <f t="array" ref="F1128">INDEX(consolid1!$G$2:$G1534,MATCH(A1128,consolid1!$B$2:$B1534,0))</f>
        <v>#N/A</v>
      </c>
    </row>
    <row r="1129">
      <c r="A1129" s="4" t="s">
        <v>1057</v>
      </c>
      <c r="B1129" s="3">
        <v>0.0</v>
      </c>
      <c r="C1129" s="3" t="s">
        <v>32</v>
      </c>
      <c r="D1129" s="4" t="str">
        <f t="shared" si="1"/>
        <v>SANS</v>
      </c>
      <c r="E1129" s="4" t="str">
        <f t="array" ref="E1129">INDEX(consolid1!$I$2:$I$904,MATCH(A1129,consolid1!$B$2:$B$904,0))</f>
        <v>#N/A</v>
      </c>
      <c r="F1129" s="4" t="str">
        <f t="array" ref="F1129">INDEX(consolid1!$G$2:$G1534,MATCH(A1129,consolid1!$B$2:$B1534,0))</f>
        <v>#N/A</v>
      </c>
    </row>
    <row r="1130">
      <c r="A1130" s="4" t="s">
        <v>1059</v>
      </c>
      <c r="B1130" s="3">
        <v>0.0</v>
      </c>
      <c r="C1130" s="3" t="s">
        <v>3</v>
      </c>
      <c r="D1130" s="4" t="str">
        <f t="shared" si="1"/>
        <v>SANS</v>
      </c>
      <c r="E1130" s="4" t="str">
        <f t="array" ref="E1130">INDEX(consolid1!$I$2:$I$904,MATCH(A1130,consolid1!$B$2:$B$904,0))</f>
        <v>#N/A</v>
      </c>
      <c r="F1130" s="4" t="str">
        <f t="array" ref="F1130">INDEX(consolid1!$G$2:$G1534,MATCH(A1130,consolid1!$B$2:$B1534,0))</f>
        <v>#N/A</v>
      </c>
    </row>
    <row r="1131">
      <c r="A1131" s="4" t="s">
        <v>1064</v>
      </c>
      <c r="B1131" s="3">
        <v>0.0</v>
      </c>
      <c r="C1131" s="3" t="s">
        <v>3</v>
      </c>
      <c r="D1131" s="4" t="str">
        <f t="shared" si="1"/>
        <v>SANS</v>
      </c>
      <c r="E1131" s="4" t="str">
        <f t="array" ref="E1131">INDEX(consolid1!$I$2:$I$904,MATCH(A1131,consolid1!$B$2:$B$904,0))</f>
        <v>#N/A</v>
      </c>
      <c r="F1131" s="4" t="str">
        <f t="array" ref="F1131">INDEX(consolid1!$G$2:$G1534,MATCH(A1131,consolid1!$B$2:$B1534,0))</f>
        <v>#N/A</v>
      </c>
    </row>
    <row r="1132">
      <c r="A1132" s="4" t="s">
        <v>1072</v>
      </c>
      <c r="B1132" s="3">
        <v>0.0</v>
      </c>
      <c r="C1132" s="3" t="s">
        <v>3</v>
      </c>
      <c r="D1132" s="4" t="str">
        <f t="shared" si="1"/>
        <v>SANS</v>
      </c>
      <c r="E1132" s="4" t="str">
        <f t="array" ref="E1132">INDEX(consolid1!$I$2:$I$904,MATCH(A1132,consolid1!$B$2:$B$904,0))</f>
        <v>#N/A</v>
      </c>
      <c r="F1132" s="4" t="str">
        <f t="array" ref="F1132">INDEX(consolid1!$G$2:$G1534,MATCH(A1132,consolid1!$B$2:$B1534,0))</f>
        <v>#N/A</v>
      </c>
    </row>
    <row r="1133">
      <c r="A1133" s="4" t="s">
        <v>2243</v>
      </c>
      <c r="B1133" s="3">
        <v>0.0</v>
      </c>
      <c r="C1133" s="3" t="s">
        <v>484</v>
      </c>
      <c r="D1133" s="4" t="str">
        <f t="shared" si="1"/>
        <v>SANS</v>
      </c>
      <c r="E1133" s="4" t="str">
        <f t="array" ref="E1133">INDEX(consolid1!$I$2:$I$904,MATCH(A1133,consolid1!$B$2:$B$904,0))</f>
        <v>#N/A</v>
      </c>
      <c r="F1133" s="4" t="str">
        <f t="array" ref="F1133">INDEX(consolid1!$G$2:$G1534,MATCH(A1133,consolid1!$B$2:$B1534,0))</f>
        <v>#N/A</v>
      </c>
    </row>
    <row r="1134">
      <c r="A1134" s="4" t="s">
        <v>1075</v>
      </c>
      <c r="B1134" s="3">
        <v>0.0</v>
      </c>
      <c r="C1134" s="3" t="s">
        <v>3</v>
      </c>
      <c r="D1134" s="4" t="str">
        <f t="shared" si="1"/>
        <v>SANS</v>
      </c>
      <c r="E1134" s="4" t="str">
        <f t="array" ref="E1134">INDEX(consolid1!$I$2:$I$904,MATCH(A1134,consolid1!$B$2:$B$904,0))</f>
        <v>#N/A</v>
      </c>
      <c r="F1134" s="4" t="str">
        <f t="array" ref="F1134">INDEX(consolid1!$G$2:$G1534,MATCH(A1134,consolid1!$B$2:$B1534,0))</f>
        <v>#N/A</v>
      </c>
    </row>
    <row r="1135">
      <c r="A1135" s="4" t="s">
        <v>1076</v>
      </c>
      <c r="B1135" s="3">
        <v>0.0</v>
      </c>
      <c r="C1135" s="3" t="s">
        <v>3</v>
      </c>
      <c r="D1135" s="4" t="str">
        <f t="shared" si="1"/>
        <v>SANS</v>
      </c>
      <c r="E1135" s="4" t="str">
        <f t="array" ref="E1135">INDEX(consolid1!$I$2:$I$904,MATCH(A1135,consolid1!$B$2:$B$904,0))</f>
        <v>#N/A</v>
      </c>
      <c r="F1135" s="4" t="str">
        <f t="array" ref="F1135">INDEX(consolid1!$G$2:$G1534,MATCH(A1135,consolid1!$B$2:$B1534,0))</f>
        <v>#N/A</v>
      </c>
    </row>
    <row r="1136">
      <c r="A1136" s="4" t="s">
        <v>2244</v>
      </c>
      <c r="B1136" s="3">
        <v>0.0</v>
      </c>
      <c r="C1136" s="3" t="s">
        <v>3</v>
      </c>
      <c r="D1136" s="4" t="str">
        <f t="shared" si="1"/>
        <v>SANS</v>
      </c>
      <c r="E1136" s="4" t="str">
        <f t="array" ref="E1136">INDEX(consolid1!$I$2:$I$904,MATCH(A1136,consolid1!$B$2:$B$904,0))</f>
        <v>#N/A</v>
      </c>
      <c r="F1136" s="4" t="str">
        <f t="array" ref="F1136">INDEX(consolid1!$G$2:$G1534,MATCH(A1136,consolid1!$B$2:$B1534,0))</f>
        <v>#N/A</v>
      </c>
    </row>
    <row r="1137">
      <c r="A1137" s="4" t="s">
        <v>1079</v>
      </c>
      <c r="B1137" s="3">
        <v>0.0</v>
      </c>
      <c r="C1137" s="3" t="s">
        <v>3</v>
      </c>
      <c r="D1137" s="4" t="str">
        <f t="shared" si="1"/>
        <v>SANS</v>
      </c>
      <c r="E1137" s="4" t="str">
        <f t="array" ref="E1137">INDEX(consolid1!$I$2:$I$904,MATCH(A1137,consolid1!$B$2:$B$904,0))</f>
        <v>Santé, bien-être</v>
      </c>
      <c r="F1137" s="4" t="str">
        <f t="array" ref="F1137">INDEX(consolid1!$G$2:$G1534,MATCH(A1137,consolid1!$B$2:$B1534,0))</f>
        <v>null</v>
      </c>
    </row>
    <row r="1138">
      <c r="A1138" s="4" t="s">
        <v>1081</v>
      </c>
      <c r="B1138" s="3">
        <v>0.0</v>
      </c>
      <c r="C1138" s="3" t="s">
        <v>6</v>
      </c>
      <c r="D1138" s="4" t="str">
        <f t="shared" si="1"/>
        <v>SANS</v>
      </c>
      <c r="E1138" s="4" t="str">
        <f t="array" ref="E1138">INDEX(consolid1!$I$2:$I$904,MATCH(A1138,consolid1!$B$2:$B$904,0))</f>
        <v>#N/A</v>
      </c>
      <c r="F1138" s="4" t="str">
        <f t="array" ref="F1138">INDEX(consolid1!$G$2:$G1534,MATCH(A1138,consolid1!$B$2:$B1534,0))</f>
        <v>#N/A</v>
      </c>
    </row>
    <row r="1139">
      <c r="A1139" s="4" t="s">
        <v>1082</v>
      </c>
      <c r="B1139" s="3">
        <v>0.0</v>
      </c>
      <c r="C1139" s="3" t="s">
        <v>3</v>
      </c>
      <c r="D1139" s="4" t="str">
        <f t="shared" si="1"/>
        <v>SANS</v>
      </c>
      <c r="E1139" s="4" t="str">
        <f t="array" ref="E1139">INDEX(consolid1!$I$2:$I$904,MATCH(A1139,consolid1!$B$2:$B$904,0))</f>
        <v>Education - Enfance - Jeunesse - Vie étudiante</v>
      </c>
      <c r="F1139" s="4" t="str">
        <f t="array" ref="F1139">INDEX(consolid1!$G$2:$G1534,MATCH(A1139,consolid1!$B$2:$B1534,0))</f>
        <v>null</v>
      </c>
    </row>
    <row r="1140">
      <c r="A1140" s="4" t="s">
        <v>1084</v>
      </c>
      <c r="B1140" s="3">
        <v>0.0</v>
      </c>
      <c r="C1140" s="3" t="s">
        <v>3</v>
      </c>
      <c r="D1140" s="4" t="str">
        <f t="shared" si="1"/>
        <v>SANS</v>
      </c>
      <c r="E1140" s="4" t="str">
        <f t="array" ref="E1140">INDEX(consolid1!$I$2:$I$904,MATCH(A1140,consolid1!$B$2:$B$904,0))</f>
        <v>#N/A</v>
      </c>
      <c r="F1140" s="4" t="str">
        <f t="array" ref="F1140">INDEX(consolid1!$G$2:$G1534,MATCH(A1140,consolid1!$B$2:$B1534,0))</f>
        <v>#N/A</v>
      </c>
    </row>
    <row r="1141">
      <c r="A1141" s="4" t="s">
        <v>2245</v>
      </c>
      <c r="B1141" s="3">
        <v>0.0</v>
      </c>
      <c r="C1141" s="3" t="s">
        <v>3</v>
      </c>
      <c r="D1141" s="4" t="str">
        <f t="shared" si="1"/>
        <v>SANS</v>
      </c>
      <c r="E1141" s="4" t="str">
        <f t="array" ref="E1141">INDEX(consolid1!$I$2:$I$904,MATCH(A1141,consolid1!$B$2:$B$904,0))</f>
        <v>#N/A</v>
      </c>
      <c r="F1141" s="4" t="str">
        <f t="array" ref="F1141">INDEX(consolid1!$G$2:$G1534,MATCH(A1141,consolid1!$B$2:$B1534,0))</f>
        <v>#N/A</v>
      </c>
    </row>
    <row r="1142">
      <c r="A1142" s="4" t="s">
        <v>1091</v>
      </c>
      <c r="B1142" s="3">
        <v>0.0</v>
      </c>
      <c r="C1142" s="3" t="s">
        <v>3</v>
      </c>
      <c r="D1142" s="4" t="str">
        <f t="shared" si="1"/>
        <v>SANS</v>
      </c>
      <c r="E1142" s="4" t="str">
        <f t="array" ref="E1142">INDEX(consolid1!$I$2:$I$904,MATCH(A1142,consolid1!$B$2:$B$904,0))</f>
        <v>#N/A</v>
      </c>
      <c r="F1142" s="4" t="str">
        <f t="array" ref="F1142">INDEX(consolid1!$G$2:$G1534,MATCH(A1142,consolid1!$B$2:$B1534,0))</f>
        <v>#N/A</v>
      </c>
    </row>
    <row r="1143">
      <c r="A1143" s="4" t="s">
        <v>1094</v>
      </c>
      <c r="B1143" s="3">
        <v>0.0</v>
      </c>
      <c r="C1143" s="3" t="s">
        <v>3</v>
      </c>
      <c r="D1143" s="4" t="str">
        <f t="shared" si="1"/>
        <v>SANS</v>
      </c>
      <c r="E1143" s="4" t="str">
        <f t="array" ref="E1143">INDEX(consolid1!$I$2:$I$904,MATCH(A1143,consolid1!$B$2:$B$904,0))</f>
        <v>#N/A</v>
      </c>
      <c r="F1143" s="4" t="str">
        <f t="array" ref="F1143">INDEX(consolid1!$G$2:$G1534,MATCH(A1143,consolid1!$B$2:$B1534,0))</f>
        <v>#N/A</v>
      </c>
    </row>
    <row r="1144">
      <c r="A1144" s="4" t="s">
        <v>1095</v>
      </c>
      <c r="B1144" s="3">
        <v>0.0</v>
      </c>
      <c r="C1144" s="3" t="s">
        <v>6</v>
      </c>
      <c r="D1144" s="4" t="str">
        <f t="shared" si="1"/>
        <v>SANS</v>
      </c>
      <c r="E1144" s="4" t="str">
        <f t="array" ref="E1144">INDEX(consolid1!$I$2:$I$904,MATCH(A1144,consolid1!$B$2:$B$904,0))</f>
        <v>#N/A</v>
      </c>
      <c r="F1144" s="4" t="str">
        <f t="array" ref="F1144">INDEX(consolid1!$G$2:$G1534,MATCH(A1144,consolid1!$B$2:$B1534,0))</f>
        <v>#N/A</v>
      </c>
    </row>
    <row r="1145">
      <c r="A1145" s="4" t="s">
        <v>1097</v>
      </c>
      <c r="B1145" s="3">
        <v>0.0</v>
      </c>
      <c r="C1145" s="3" t="s">
        <v>29</v>
      </c>
      <c r="D1145" s="4" t="str">
        <f t="shared" si="1"/>
        <v>SANS</v>
      </c>
      <c r="E1145" s="4" t="str">
        <f t="array" ref="E1145">INDEX(consolid1!$I$2:$I$904,MATCH(A1145,consolid1!$B$2:$B$904,0))</f>
        <v>#N/A</v>
      </c>
      <c r="F1145" s="4" t="str">
        <f t="array" ref="F1145">INDEX(consolid1!$G$2:$G1534,MATCH(A1145,consolid1!$B$2:$B1534,0))</f>
        <v>#N/A</v>
      </c>
    </row>
    <row r="1146">
      <c r="A1146" s="4" t="s">
        <v>1099</v>
      </c>
      <c r="B1146" s="3">
        <v>0.0</v>
      </c>
      <c r="C1146" s="3" t="s">
        <v>3</v>
      </c>
      <c r="D1146" s="4" t="str">
        <f t="shared" si="1"/>
        <v>SANS</v>
      </c>
      <c r="E1146" s="4" t="str">
        <f t="array" ref="E1146">INDEX(consolid1!$I$2:$I$904,MATCH(A1146,consolid1!$B$2:$B$904,0))</f>
        <v>#N/A</v>
      </c>
      <c r="F1146" s="4" t="str">
        <f t="array" ref="F1146">INDEX(consolid1!$G$2:$G1534,MATCH(A1146,consolid1!$B$2:$B1534,0))</f>
        <v>#N/A</v>
      </c>
    </row>
    <row r="1147">
      <c r="A1147" s="4" t="s">
        <v>1100</v>
      </c>
      <c r="B1147" s="3">
        <v>0.0</v>
      </c>
      <c r="C1147" s="3" t="s">
        <v>3</v>
      </c>
      <c r="D1147" s="4" t="str">
        <f t="shared" si="1"/>
        <v>SANS</v>
      </c>
      <c r="E1147" s="4" t="str">
        <f t="array" ref="E1147">INDEX(consolid1!$I$2:$I$904,MATCH(A1147,consolid1!$B$2:$B$904,0))</f>
        <v>#N/A</v>
      </c>
      <c r="F1147" s="4" t="str">
        <f t="array" ref="F1147">INDEX(consolid1!$G$2:$G1534,MATCH(A1147,consolid1!$B$2:$B1534,0))</f>
        <v>#N/A</v>
      </c>
    </row>
    <row r="1148">
      <c r="A1148" s="4" t="s">
        <v>2246</v>
      </c>
      <c r="B1148" s="3">
        <v>0.0</v>
      </c>
      <c r="C1148" s="3" t="s">
        <v>3</v>
      </c>
      <c r="D1148" s="4" t="str">
        <f t="shared" si="1"/>
        <v>SANS</v>
      </c>
      <c r="E1148" s="4" t="str">
        <f t="array" ref="E1148">INDEX(consolid1!$I$2:$I$904,MATCH(A1148,consolid1!$B$2:$B$904,0))</f>
        <v>#N/A</v>
      </c>
      <c r="F1148" s="4" t="str">
        <f t="array" ref="F1148">INDEX(consolid1!$G$2:$G1534,MATCH(A1148,consolid1!$B$2:$B1534,0))</f>
        <v>#N/A</v>
      </c>
    </row>
    <row r="1149">
      <c r="A1149" s="4" t="s">
        <v>1103</v>
      </c>
      <c r="B1149" s="3">
        <v>0.0</v>
      </c>
      <c r="C1149" s="3" t="s">
        <v>3</v>
      </c>
      <c r="D1149" s="4" t="str">
        <f t="shared" si="1"/>
        <v>SANS</v>
      </c>
      <c r="E1149" s="4" t="str">
        <f t="array" ref="E1149">INDEX(consolid1!$I$2:$I$904,MATCH(A1149,consolid1!$B$2:$B$904,0))</f>
        <v>#N/A</v>
      </c>
      <c r="F1149" s="4" t="str">
        <f t="array" ref="F1149">INDEX(consolid1!$G$2:$G1534,MATCH(A1149,consolid1!$B$2:$B1534,0))</f>
        <v>#N/A</v>
      </c>
    </row>
    <row r="1150">
      <c r="A1150" s="4" t="s">
        <v>2247</v>
      </c>
      <c r="B1150" s="3">
        <v>0.0</v>
      </c>
      <c r="C1150" s="3" t="s">
        <v>32</v>
      </c>
      <c r="D1150" s="4" t="str">
        <f t="shared" si="1"/>
        <v>SANS</v>
      </c>
      <c r="E1150" s="4" t="str">
        <f t="array" ref="E1150">INDEX(consolid1!$I$2:$I$904,MATCH(A1150,consolid1!$B$2:$B$904,0))</f>
        <v>#N/A</v>
      </c>
      <c r="F1150" s="4" t="str">
        <f t="array" ref="F1150">INDEX(consolid1!$G$2:$G1534,MATCH(A1150,consolid1!$B$2:$B1534,0))</f>
        <v>#N/A</v>
      </c>
    </row>
    <row r="1151">
      <c r="A1151" s="4" t="s">
        <v>1107</v>
      </c>
      <c r="B1151" s="3">
        <v>0.0</v>
      </c>
      <c r="C1151" s="3" t="s">
        <v>3</v>
      </c>
      <c r="D1151" s="4" t="str">
        <f t="shared" si="1"/>
        <v>SANS</v>
      </c>
      <c r="E1151" s="4" t="str">
        <f t="array" ref="E1151">INDEX(consolid1!$I$2:$I$904,MATCH(A1151,consolid1!$B$2:$B$904,0))</f>
        <v>#N/A</v>
      </c>
      <c r="F1151" s="4" t="str">
        <f t="array" ref="F1151">INDEX(consolid1!$G$2:$G1534,MATCH(A1151,consolid1!$B$2:$B1534,0))</f>
        <v>#N/A</v>
      </c>
    </row>
    <row r="1152">
      <c r="A1152" s="4" t="s">
        <v>2248</v>
      </c>
      <c r="B1152" s="3">
        <v>0.0</v>
      </c>
      <c r="C1152" s="3" t="s">
        <v>3</v>
      </c>
      <c r="D1152" s="4" t="str">
        <f t="shared" si="1"/>
        <v>SANS</v>
      </c>
      <c r="E1152" s="4" t="str">
        <f t="array" ref="E1152">INDEX(consolid1!$I$2:$I$904,MATCH(A1152,consolid1!$B$2:$B$904,0))</f>
        <v>#N/A</v>
      </c>
      <c r="F1152" s="4" t="str">
        <f t="array" ref="F1152">INDEX(consolid1!$G$2:$G1534,MATCH(A1152,consolid1!$B$2:$B1534,0))</f>
        <v>#N/A</v>
      </c>
    </row>
    <row r="1153">
      <c r="A1153" s="4" t="s">
        <v>1114</v>
      </c>
      <c r="B1153" s="3">
        <v>0.0</v>
      </c>
      <c r="C1153" s="3" t="s">
        <v>6</v>
      </c>
      <c r="D1153" s="4" t="str">
        <f t="shared" si="1"/>
        <v>SANS</v>
      </c>
      <c r="E1153" s="4" t="str">
        <f t="array" ref="E1153">INDEX(consolid1!$I$2:$I$904,MATCH(A1153,consolid1!$B$2:$B$904,0))</f>
        <v>#N/A</v>
      </c>
      <c r="F1153" s="4" t="str">
        <f t="array" ref="F1153">INDEX(consolid1!$G$2:$G1534,MATCH(A1153,consolid1!$B$2:$B1534,0))</f>
        <v>#N/A</v>
      </c>
    </row>
    <row r="1154">
      <c r="A1154" s="4" t="s">
        <v>2251</v>
      </c>
      <c r="B1154" s="3">
        <v>0.0</v>
      </c>
      <c r="C1154" s="3" t="s">
        <v>3</v>
      </c>
      <c r="D1154" s="4" t="str">
        <f t="shared" si="1"/>
        <v>SANS</v>
      </c>
      <c r="E1154" s="4" t="str">
        <f t="array" ref="E1154">INDEX(consolid1!$I$2:$I$904,MATCH(A1154,consolid1!$B$2:$B$904,0))</f>
        <v>#N/A</v>
      </c>
      <c r="F1154" s="4" t="str">
        <f t="array" ref="F1154">INDEX(consolid1!$G$2:$G1534,MATCH(A1154,consolid1!$B$2:$B1534,0))</f>
        <v>#N/A</v>
      </c>
    </row>
    <row r="1155">
      <c r="A1155" s="4" t="s">
        <v>1117</v>
      </c>
      <c r="B1155" s="3">
        <v>0.0</v>
      </c>
      <c r="C1155" s="3" t="s">
        <v>3</v>
      </c>
      <c r="D1155" s="4" t="str">
        <f t="shared" si="1"/>
        <v>SANS</v>
      </c>
      <c r="E1155" s="4" t="str">
        <f t="array" ref="E1155">INDEX(consolid1!$I$2:$I$904,MATCH(A1155,consolid1!$B$2:$B$904,0))</f>
        <v>#N/A</v>
      </c>
      <c r="F1155" s="4" t="str">
        <f t="array" ref="F1155">INDEX(consolid1!$G$2:$G1534,MATCH(A1155,consolid1!$B$2:$B1534,0))</f>
        <v>#N/A</v>
      </c>
    </row>
    <row r="1156">
      <c r="A1156" s="4" t="s">
        <v>1118</v>
      </c>
      <c r="B1156" s="3">
        <v>0.0</v>
      </c>
      <c r="C1156" s="3" t="s">
        <v>6</v>
      </c>
      <c r="D1156" s="4" t="str">
        <f t="shared" si="1"/>
        <v>SANS</v>
      </c>
      <c r="E1156" s="4" t="str">
        <f t="array" ref="E1156">INDEX(consolid1!$I$2:$I$904,MATCH(A1156,consolid1!$B$2:$B$904,0))</f>
        <v>#N/A</v>
      </c>
      <c r="F1156" s="4" t="str">
        <f t="array" ref="F1156">INDEX(consolid1!$G$2:$G1534,MATCH(A1156,consolid1!$B$2:$B1534,0))</f>
        <v>#N/A</v>
      </c>
    </row>
    <row r="1157">
      <c r="A1157" s="4" t="s">
        <v>2252</v>
      </c>
      <c r="B1157" s="3">
        <v>0.0</v>
      </c>
      <c r="C1157" s="3" t="s">
        <v>3</v>
      </c>
      <c r="D1157" s="4" t="str">
        <f t="shared" si="1"/>
        <v>SANS</v>
      </c>
      <c r="E1157" s="4" t="str">
        <f t="array" ref="E1157">INDEX(consolid1!$I$2:$I$904,MATCH(A1157,consolid1!$B$2:$B$904,0))</f>
        <v>#N/A</v>
      </c>
      <c r="F1157" s="4" t="str">
        <f t="array" ref="F1157">INDEX(consolid1!$G$2:$G1534,MATCH(A1157,consolid1!$B$2:$B1534,0))</f>
        <v>#N/A</v>
      </c>
    </row>
    <row r="1158">
      <c r="A1158" s="4" t="s">
        <v>2254</v>
      </c>
      <c r="B1158" s="3">
        <v>0.0</v>
      </c>
      <c r="C1158" s="3" t="s">
        <v>3</v>
      </c>
      <c r="D1158" s="4" t="str">
        <f t="shared" si="1"/>
        <v>SANS</v>
      </c>
      <c r="E1158" s="4" t="str">
        <f t="array" ref="E1158">INDEX(consolid1!$I$2:$I$904,MATCH(A1158,consolid1!$B$2:$B$904,0))</f>
        <v>#N/A</v>
      </c>
      <c r="F1158" s="4" t="str">
        <f t="array" ref="F1158">INDEX(consolid1!$G$2:$G1534,MATCH(A1158,consolid1!$B$2:$B1534,0))</f>
        <v>#N/A</v>
      </c>
    </row>
    <row r="1159">
      <c r="A1159" s="4" t="s">
        <v>2255</v>
      </c>
      <c r="B1159" s="3">
        <v>0.0</v>
      </c>
      <c r="C1159" s="3" t="s">
        <v>3</v>
      </c>
      <c r="D1159" s="4" t="str">
        <f t="shared" si="1"/>
        <v>SANS</v>
      </c>
      <c r="E1159" s="4" t="str">
        <f t="array" ref="E1159">INDEX(consolid1!$I$2:$I$904,MATCH(A1159,consolid1!$B$2:$B$904,0))</f>
        <v>#N/A</v>
      </c>
      <c r="F1159" s="4" t="str">
        <f t="array" ref="F1159">INDEX(consolid1!$G$2:$G1534,MATCH(A1159,consolid1!$B$2:$B1534,0))</f>
        <v>#N/A</v>
      </c>
    </row>
    <row r="1160">
      <c r="A1160" s="4" t="s">
        <v>2256</v>
      </c>
      <c r="B1160" s="3">
        <v>0.0</v>
      </c>
      <c r="C1160" s="3" t="s">
        <v>32</v>
      </c>
      <c r="D1160" s="4" t="str">
        <f t="shared" si="1"/>
        <v>SANS</v>
      </c>
      <c r="E1160" s="4" t="str">
        <f t="array" ref="E1160">INDEX(consolid1!$I$2:$I$904,MATCH(A1160,consolid1!$B$2:$B$904,0))</f>
        <v>#N/A</v>
      </c>
      <c r="F1160" s="4" t="str">
        <f t="array" ref="F1160">INDEX(consolid1!$G$2:$G1534,MATCH(A1160,consolid1!$B$2:$B1534,0))</f>
        <v>#N/A</v>
      </c>
    </row>
    <row r="1161">
      <c r="A1161" s="4" t="s">
        <v>1132</v>
      </c>
      <c r="B1161" s="3">
        <v>0.0</v>
      </c>
      <c r="C1161" s="3" t="s">
        <v>6</v>
      </c>
      <c r="D1161" s="4" t="str">
        <f t="shared" si="1"/>
        <v>SANS</v>
      </c>
      <c r="E1161" s="4" t="str">
        <f t="array" ref="E1161">INDEX(consolid1!$I$2:$I$904,MATCH(A1161,consolid1!$B$2:$B$904,0))</f>
        <v>#N/A</v>
      </c>
      <c r="F1161" s="4" t="str">
        <f t="array" ref="F1161">INDEX(consolid1!$G$2:$G1534,MATCH(A1161,consolid1!$B$2:$B1534,0))</f>
        <v>#N/A</v>
      </c>
    </row>
    <row r="1162">
      <c r="A1162" s="4" t="s">
        <v>1133</v>
      </c>
      <c r="B1162" s="3">
        <v>0.0</v>
      </c>
      <c r="C1162" s="3" t="s">
        <v>32</v>
      </c>
      <c r="D1162" s="4" t="str">
        <f t="shared" si="1"/>
        <v>SANS</v>
      </c>
      <c r="E1162" s="4" t="str">
        <f t="array" ref="E1162">INDEX(consolid1!$I$2:$I$904,MATCH(A1162,consolid1!$B$2:$B$904,0))</f>
        <v>#N/A</v>
      </c>
      <c r="F1162" s="4" t="str">
        <f t="array" ref="F1162">INDEX(consolid1!$G$2:$G1534,MATCH(A1162,consolid1!$B$2:$B1534,0))</f>
        <v>#N/A</v>
      </c>
    </row>
    <row r="1163">
      <c r="A1163" s="4" t="s">
        <v>1138</v>
      </c>
      <c r="B1163" s="3">
        <v>0.0</v>
      </c>
      <c r="C1163" s="3" t="s">
        <v>3</v>
      </c>
      <c r="D1163" s="4" t="str">
        <f t="shared" si="1"/>
        <v>SANS</v>
      </c>
      <c r="E1163" s="4" t="str">
        <f t="array" ref="E1163">INDEX(consolid1!$I$2:$I$904,MATCH(A1163,consolid1!$B$2:$B$904,0))</f>
        <v>#N/A</v>
      </c>
      <c r="F1163" s="4" t="str">
        <f t="array" ref="F1163">INDEX(consolid1!$G$2:$G1534,MATCH(A1163,consolid1!$B$2:$B1534,0))</f>
        <v>#N/A</v>
      </c>
    </row>
    <row r="1164">
      <c r="A1164" s="4" t="s">
        <v>1139</v>
      </c>
      <c r="B1164" s="3">
        <v>0.0</v>
      </c>
      <c r="C1164" s="3" t="s">
        <v>3</v>
      </c>
      <c r="D1164" s="4" t="str">
        <f t="shared" si="1"/>
        <v>SANS</v>
      </c>
      <c r="E1164" s="4" t="str">
        <f t="array" ref="E1164">INDEX(consolid1!$I$2:$I$904,MATCH(A1164,consolid1!$B$2:$B$904,0))</f>
        <v>#N/A</v>
      </c>
      <c r="F1164" s="4" t="str">
        <f t="array" ref="F1164">INDEX(consolid1!$G$2:$G1534,MATCH(A1164,consolid1!$B$2:$B1534,0))</f>
        <v>#N/A</v>
      </c>
    </row>
    <row r="1165">
      <c r="A1165" s="4" t="s">
        <v>1140</v>
      </c>
      <c r="B1165" s="3">
        <v>0.0</v>
      </c>
      <c r="C1165" s="3" t="s">
        <v>6</v>
      </c>
      <c r="D1165" s="4" t="str">
        <f t="shared" si="1"/>
        <v>SANS</v>
      </c>
      <c r="E1165" s="4" t="str">
        <f t="array" ref="E1165">INDEX(consolid1!$I$2:$I$904,MATCH(A1165,consolid1!$B$2:$B$904,0))</f>
        <v>#N/A</v>
      </c>
      <c r="F1165" s="4" t="str">
        <f t="array" ref="F1165">INDEX(consolid1!$G$2:$G1534,MATCH(A1165,consolid1!$B$2:$B1534,0))</f>
        <v>#N/A</v>
      </c>
    </row>
    <row r="1166">
      <c r="A1166" s="4" t="s">
        <v>1141</v>
      </c>
      <c r="B1166" s="3">
        <v>0.0</v>
      </c>
      <c r="C1166" s="3" t="s">
        <v>3</v>
      </c>
      <c r="D1166" s="4" t="str">
        <f t="shared" si="1"/>
        <v>SANS</v>
      </c>
      <c r="E1166" s="4" t="str">
        <f t="array" ref="E1166">INDEX(consolid1!$I$2:$I$904,MATCH(A1166,consolid1!$B$2:$B$904,0))</f>
        <v>#N/A</v>
      </c>
      <c r="F1166" s="4" t="str">
        <f t="array" ref="F1166">INDEX(consolid1!$G$2:$G1534,MATCH(A1166,consolid1!$B$2:$B1534,0))</f>
        <v>#N/A</v>
      </c>
    </row>
    <row r="1167">
      <c r="A1167" s="4" t="s">
        <v>1142</v>
      </c>
      <c r="B1167" s="3">
        <v>0.0</v>
      </c>
      <c r="C1167" s="3" t="s">
        <v>6</v>
      </c>
      <c r="D1167" s="4" t="str">
        <f t="shared" si="1"/>
        <v>SANS</v>
      </c>
      <c r="E1167" s="4" t="str">
        <f t="array" ref="E1167">INDEX(consolid1!$I$2:$I$904,MATCH(A1167,consolid1!$B$2:$B$904,0))</f>
        <v>#N/A</v>
      </c>
      <c r="F1167" s="4" t="str">
        <f t="array" ref="F1167">INDEX(consolid1!$G$2:$G1534,MATCH(A1167,consolid1!$B$2:$B1534,0))</f>
        <v>#N/A</v>
      </c>
    </row>
    <row r="1168">
      <c r="A1168" s="4" t="s">
        <v>1143</v>
      </c>
      <c r="B1168" s="3">
        <v>0.0</v>
      </c>
      <c r="C1168" s="3" t="s">
        <v>3</v>
      </c>
      <c r="D1168" s="4" t="str">
        <f t="shared" si="1"/>
        <v>SANS</v>
      </c>
      <c r="E1168" s="4" t="str">
        <f t="array" ref="E1168">INDEX(consolid1!$I$2:$I$904,MATCH(A1168,consolid1!$B$2:$B$904,0))</f>
        <v>#N/A</v>
      </c>
      <c r="F1168" s="4" t="str">
        <f t="array" ref="F1168">INDEX(consolid1!$G$2:$G1534,MATCH(A1168,consolid1!$B$2:$B1534,0))</f>
        <v>#N/A</v>
      </c>
    </row>
    <row r="1169">
      <c r="A1169" s="4" t="s">
        <v>1148</v>
      </c>
      <c r="B1169" s="3">
        <v>0.0</v>
      </c>
      <c r="C1169" s="3" t="s">
        <v>26</v>
      </c>
      <c r="D1169" s="4" t="str">
        <f t="shared" si="1"/>
        <v>SANS</v>
      </c>
      <c r="E1169" s="4" t="str">
        <f t="array" ref="E1169">INDEX(consolid1!$I$2:$I$904,MATCH(A1169,consolid1!$B$2:$B$904,0))</f>
        <v>#N/A</v>
      </c>
      <c r="F1169" s="4" t="str">
        <f t="array" ref="F1169">INDEX(consolid1!$G$2:$G1534,MATCH(A1169,consolid1!$B$2:$B1534,0))</f>
        <v>#N/A</v>
      </c>
    </row>
    <row r="1170">
      <c r="A1170" s="4" t="s">
        <v>1149</v>
      </c>
      <c r="B1170" s="3">
        <v>0.0</v>
      </c>
      <c r="C1170" s="3" t="s">
        <v>29</v>
      </c>
      <c r="D1170" s="4" t="str">
        <f t="shared" si="1"/>
        <v>SANS</v>
      </c>
      <c r="E1170" s="4" t="str">
        <f t="array" ref="E1170">INDEX(consolid1!$I$2:$I$904,MATCH(A1170,consolid1!$B$2:$B$904,0))</f>
        <v>#N/A</v>
      </c>
      <c r="F1170" s="4" t="str">
        <f t="array" ref="F1170">INDEX(consolid1!$G$2:$G1534,MATCH(A1170,consolid1!$B$2:$B1534,0))</f>
        <v>#N/A</v>
      </c>
    </row>
    <row r="1171">
      <c r="A1171" s="4" t="s">
        <v>1152</v>
      </c>
      <c r="B1171" s="3">
        <v>0.0</v>
      </c>
      <c r="C1171" s="3" t="s">
        <v>29</v>
      </c>
      <c r="D1171" s="4" t="str">
        <f t="shared" si="1"/>
        <v>SANS</v>
      </c>
      <c r="E1171" s="4" t="str">
        <f t="array" ref="E1171">INDEX(consolid1!$I$2:$I$904,MATCH(A1171,consolid1!$B$2:$B$904,0))</f>
        <v>#N/A</v>
      </c>
      <c r="F1171" s="4" t="str">
        <f t="array" ref="F1171">INDEX(consolid1!$G$2:$G1534,MATCH(A1171,consolid1!$B$2:$B1534,0))</f>
        <v>#N/A</v>
      </c>
    </row>
    <row r="1172">
      <c r="A1172" s="4" t="s">
        <v>1153</v>
      </c>
      <c r="B1172" s="3">
        <v>0.0</v>
      </c>
      <c r="C1172" s="3" t="s">
        <v>29</v>
      </c>
      <c r="D1172" s="4" t="str">
        <f t="shared" si="1"/>
        <v>SANS</v>
      </c>
      <c r="E1172" s="4" t="str">
        <f t="array" ref="E1172">INDEX(consolid1!$I$2:$I$904,MATCH(A1172,consolid1!$B$2:$B$904,0))</f>
        <v>#N/A</v>
      </c>
      <c r="F1172" s="4" t="str">
        <f t="array" ref="F1172">INDEX(consolid1!$G$2:$G1534,MATCH(A1172,consolid1!$B$2:$B1534,0))</f>
        <v>#N/A</v>
      </c>
    </row>
    <row r="1173">
      <c r="A1173" s="4" t="s">
        <v>1154</v>
      </c>
      <c r="B1173" s="3">
        <v>0.0</v>
      </c>
      <c r="C1173" s="3" t="s">
        <v>3</v>
      </c>
      <c r="D1173" s="4" t="str">
        <f t="shared" si="1"/>
        <v>SANS</v>
      </c>
      <c r="E1173" s="4" t="str">
        <f t="array" ref="E1173">INDEX(consolid1!$I$2:$I$904,MATCH(A1173,consolid1!$B$2:$B$904,0))</f>
        <v>Emploi, insertion professionnelle, formation</v>
      </c>
      <c r="F1173" s="4" t="str">
        <f t="array" ref="F1173">INDEX(consolid1!$G$2:$G1534,MATCH(A1173,consolid1!$B$2:$B1534,0))</f>
        <v>null</v>
      </c>
    </row>
    <row r="1174">
      <c r="A1174" s="4" t="s">
        <v>1155</v>
      </c>
      <c r="B1174" s="3">
        <v>0.0</v>
      </c>
      <c r="C1174" s="3" t="s">
        <v>3</v>
      </c>
      <c r="D1174" s="4" t="str">
        <f t="shared" si="1"/>
        <v>SANS</v>
      </c>
      <c r="E1174" s="4" t="str">
        <f t="array" ref="E1174">INDEX(consolid1!$I$2:$I$904,MATCH(A1174,consolid1!$B$2:$B$904,0))</f>
        <v>Culture</v>
      </c>
      <c r="F1174" s="4" t="str">
        <f t="array" ref="F1174">INDEX(consolid1!$G$2:$G1534,MATCH(A1174,consolid1!$B$2:$B1534,0))</f>
        <v>Anne FREDEFON</v>
      </c>
    </row>
    <row r="1175">
      <c r="A1175" s="4" t="s">
        <v>1158</v>
      </c>
      <c r="B1175" s="3">
        <v>0.0</v>
      </c>
      <c r="C1175" s="3" t="s">
        <v>3</v>
      </c>
      <c r="D1175" s="4" t="str">
        <f t="shared" si="1"/>
        <v>SANS</v>
      </c>
      <c r="E1175" s="4" t="str">
        <f t="array" ref="E1175">INDEX(consolid1!$I$2:$I$904,MATCH(A1175,consolid1!$B$2:$B$904,0))</f>
        <v>#N/A</v>
      </c>
      <c r="F1175" s="4" t="str">
        <f t="array" ref="F1175">INDEX(consolid1!$G$2:$G1534,MATCH(A1175,consolid1!$B$2:$B1534,0))</f>
        <v>#N/A</v>
      </c>
    </row>
    <row r="1176">
      <c r="A1176" s="4" t="s">
        <v>1162</v>
      </c>
      <c r="B1176" s="3">
        <v>0.0</v>
      </c>
      <c r="C1176" s="3" t="s">
        <v>3</v>
      </c>
      <c r="D1176" s="4" t="str">
        <f t="shared" si="1"/>
        <v>SANS</v>
      </c>
      <c r="E1176" s="4" t="str">
        <f t="array" ref="E1176">INDEX(consolid1!$I$2:$I$904,MATCH(A1176,consolid1!$B$2:$B$904,0))</f>
        <v>#N/A</v>
      </c>
      <c r="F1176" s="4" t="str">
        <f t="array" ref="F1176">INDEX(consolid1!$G$2:$G1534,MATCH(A1176,consolid1!$B$2:$B1534,0))</f>
        <v>#N/A</v>
      </c>
    </row>
    <row r="1177">
      <c r="A1177" s="4" t="s">
        <v>1163</v>
      </c>
      <c r="B1177" s="3">
        <v>0.0</v>
      </c>
      <c r="C1177" s="3" t="s">
        <v>3</v>
      </c>
      <c r="D1177" s="4" t="str">
        <f t="shared" si="1"/>
        <v>SANS</v>
      </c>
      <c r="E1177" s="4" t="str">
        <f t="array" ref="E1177">INDEX(consolid1!$I$2:$I$904,MATCH(A1177,consolid1!$B$2:$B$904,0))</f>
        <v>#N/A</v>
      </c>
      <c r="F1177" s="4" t="str">
        <f t="array" ref="F1177">INDEX(consolid1!$G$2:$G1534,MATCH(A1177,consolid1!$B$2:$B1534,0))</f>
        <v>#N/A</v>
      </c>
    </row>
    <row r="1178">
      <c r="A1178" s="4" t="s">
        <v>1164</v>
      </c>
      <c r="B1178" s="3">
        <v>0.0</v>
      </c>
      <c r="C1178" s="3" t="s">
        <v>3</v>
      </c>
      <c r="D1178" s="4" t="str">
        <f t="shared" si="1"/>
        <v>SANS</v>
      </c>
      <c r="E1178" s="4" t="str">
        <f t="array" ref="E1178">INDEX(consolid1!$I$2:$I$904,MATCH(A1178,consolid1!$B$2:$B$904,0))</f>
        <v>#N/A</v>
      </c>
      <c r="F1178" s="4" t="str">
        <f t="array" ref="F1178">INDEX(consolid1!$G$2:$G1534,MATCH(A1178,consolid1!$B$2:$B1534,0))</f>
        <v>#N/A</v>
      </c>
    </row>
    <row r="1179">
      <c r="A1179" s="4" t="s">
        <v>1166</v>
      </c>
      <c r="B1179" s="3">
        <v>0.0</v>
      </c>
      <c r="C1179" s="3" t="s">
        <v>3</v>
      </c>
      <c r="D1179" s="4" t="str">
        <f t="shared" si="1"/>
        <v>SANS</v>
      </c>
      <c r="E1179" s="4" t="str">
        <f t="array" ref="E1179">INDEX(consolid1!$I$2:$I$904,MATCH(A1179,consolid1!$B$2:$B$904,0))</f>
        <v>#N/A</v>
      </c>
      <c r="F1179" s="4" t="str">
        <f t="array" ref="F1179">INDEX(consolid1!$G$2:$G1534,MATCH(A1179,consolid1!$B$2:$B1534,0))</f>
        <v>#N/A</v>
      </c>
    </row>
    <row r="1180">
      <c r="A1180" s="4" t="s">
        <v>1167</v>
      </c>
      <c r="B1180" s="3">
        <v>0.0</v>
      </c>
      <c r="C1180" s="3" t="s">
        <v>3</v>
      </c>
      <c r="D1180" s="4" t="str">
        <f t="shared" si="1"/>
        <v>SANS</v>
      </c>
      <c r="E1180" s="4" t="str">
        <f t="array" ref="E1180">INDEX(consolid1!$I$2:$I$904,MATCH(A1180,consolid1!$B$2:$B$904,0))</f>
        <v>Santé, bien-être</v>
      </c>
      <c r="F1180" s="4" t="str">
        <f t="array" ref="F1180">INDEX(consolid1!$G$2:$G1534,MATCH(A1180,consolid1!$B$2:$B1534,0))</f>
        <v>Roberte Aubert</v>
      </c>
    </row>
    <row r="1181">
      <c r="A1181" s="4" t="s">
        <v>1168</v>
      </c>
      <c r="B1181" s="3">
        <v>0.0</v>
      </c>
      <c r="C1181" s="3" t="s">
        <v>3</v>
      </c>
      <c r="D1181" s="4" t="str">
        <f t="shared" si="1"/>
        <v>SANS</v>
      </c>
      <c r="E1181" s="4" t="str">
        <f t="array" ref="E1181">INDEX(consolid1!$I$2:$I$904,MATCH(A1181,consolid1!$B$2:$B$904,0))</f>
        <v>#N/A</v>
      </c>
      <c r="F1181" s="4" t="str">
        <f t="array" ref="F1181">INDEX(consolid1!$G$2:$G1534,MATCH(A1181,consolid1!$B$2:$B1534,0))</f>
        <v>#N/A</v>
      </c>
    </row>
    <row r="1182">
      <c r="A1182" s="4" t="s">
        <v>1169</v>
      </c>
      <c r="B1182" s="3">
        <v>0.0</v>
      </c>
      <c r="C1182" s="3" t="s">
        <v>3</v>
      </c>
      <c r="D1182" s="4" t="str">
        <f t="shared" si="1"/>
        <v>SANS</v>
      </c>
      <c r="E1182" s="4" t="str">
        <f t="array" ref="E1182">INDEX(consolid1!$I$2:$I$904,MATCH(A1182,consolid1!$B$2:$B$904,0))</f>
        <v>#N/A</v>
      </c>
      <c r="F1182" s="4" t="str">
        <f t="array" ref="F1182">INDEX(consolid1!$G$2:$G1534,MATCH(A1182,consolid1!$B$2:$B1534,0))</f>
        <v>#N/A</v>
      </c>
    </row>
    <row r="1183">
      <c r="A1183" s="4" t="s">
        <v>1170</v>
      </c>
      <c r="B1183" s="3">
        <v>0.0</v>
      </c>
      <c r="C1183" s="3" t="s">
        <v>3</v>
      </c>
      <c r="D1183" s="4" t="str">
        <f t="shared" si="1"/>
        <v>SANS</v>
      </c>
      <c r="E1183" s="4" t="str">
        <f t="array" ref="E1183">INDEX(consolid1!$I$2:$I$904,MATCH(A1183,consolid1!$B$2:$B$904,0))</f>
        <v>Entraide, solidarité, humanitaire</v>
      </c>
      <c r="F1183" s="4" t="str">
        <f t="array" ref="F1183">INDEX(consolid1!$G$2:$G1534,MATCH(A1183,consolid1!$B$2:$B1534,0))</f>
        <v>null</v>
      </c>
    </row>
    <row r="1184">
      <c r="A1184" s="4" t="s">
        <v>1171</v>
      </c>
      <c r="B1184" s="3">
        <v>0.0</v>
      </c>
      <c r="C1184" s="3" t="s">
        <v>3</v>
      </c>
      <c r="D1184" s="4" t="str">
        <f t="shared" si="1"/>
        <v>SANS</v>
      </c>
      <c r="E1184" s="4" t="str">
        <f t="array" ref="E1184">INDEX(consolid1!$I$2:$I$904,MATCH(A1184,consolid1!$B$2:$B$904,0))</f>
        <v>#N/A</v>
      </c>
      <c r="F1184" s="4" t="str">
        <f t="array" ref="F1184">INDEX(consolid1!$G$2:$G1534,MATCH(A1184,consolid1!$B$2:$B1534,0))</f>
        <v>#N/A</v>
      </c>
    </row>
    <row r="1185">
      <c r="A1185" s="4" t="s">
        <v>1172</v>
      </c>
      <c r="B1185" s="3">
        <v>0.0</v>
      </c>
      <c r="C1185" s="3" t="s">
        <v>6</v>
      </c>
      <c r="D1185" s="4" t="str">
        <f t="shared" si="1"/>
        <v>SANS</v>
      </c>
      <c r="E1185" s="4" t="str">
        <f t="array" ref="E1185">INDEX(consolid1!$I$2:$I$904,MATCH(A1185,consolid1!$B$2:$B$904,0))</f>
        <v>#N/A</v>
      </c>
      <c r="F1185" s="4" t="str">
        <f t="array" ref="F1185">INDEX(consolid1!$G$2:$G1534,MATCH(A1185,consolid1!$B$2:$B1534,0))</f>
        <v>#N/A</v>
      </c>
    </row>
    <row r="1186">
      <c r="A1186" s="4" t="s">
        <v>1173</v>
      </c>
      <c r="B1186" s="3">
        <v>0.0</v>
      </c>
      <c r="C1186" s="3" t="s">
        <v>3</v>
      </c>
      <c r="D1186" s="4" t="str">
        <f t="shared" si="1"/>
        <v>SANS</v>
      </c>
      <c r="E1186" s="4" t="str">
        <f t="array" ref="E1186">INDEX(consolid1!$I$2:$I$904,MATCH(A1186,consolid1!$B$2:$B$904,0))</f>
        <v>#N/A</v>
      </c>
      <c r="F1186" s="4" t="str">
        <f t="array" ref="F1186">INDEX(consolid1!$G$2:$G1534,MATCH(A1186,consolid1!$B$2:$B1534,0))</f>
        <v>#N/A</v>
      </c>
    </row>
    <row r="1187">
      <c r="A1187" s="4" t="s">
        <v>1174</v>
      </c>
      <c r="B1187" s="3">
        <v>0.0</v>
      </c>
      <c r="C1187" s="3" t="s">
        <v>3</v>
      </c>
      <c r="D1187" s="4" t="str">
        <f t="shared" si="1"/>
        <v>SANS</v>
      </c>
      <c r="E1187" s="4" t="str">
        <f t="array" ref="E1187">INDEX(consolid1!$I$2:$I$904,MATCH(A1187,consolid1!$B$2:$B$904,0))</f>
        <v>#N/A</v>
      </c>
      <c r="F1187" s="4" t="str">
        <f t="array" ref="F1187">INDEX(consolid1!$G$2:$G1534,MATCH(A1187,consolid1!$B$2:$B1534,0))</f>
        <v>#N/A</v>
      </c>
    </row>
    <row r="1188">
      <c r="A1188" s="4" t="s">
        <v>1183</v>
      </c>
      <c r="B1188" s="3">
        <v>0.0</v>
      </c>
      <c r="C1188" s="3" t="s">
        <v>3</v>
      </c>
      <c r="D1188" s="4" t="str">
        <f t="shared" si="1"/>
        <v>SANS</v>
      </c>
      <c r="E1188" s="4" t="str">
        <f t="array" ref="E1188">INDEX(consolid1!$I$2:$I$904,MATCH(A1188,consolid1!$B$2:$B$904,0))</f>
        <v>#N/A</v>
      </c>
      <c r="F1188" s="4" t="str">
        <f t="array" ref="F1188">INDEX(consolid1!$G$2:$G1534,MATCH(A1188,consolid1!$B$2:$B1534,0))</f>
        <v>#N/A</v>
      </c>
    </row>
    <row r="1189">
      <c r="A1189" s="4" t="s">
        <v>1186</v>
      </c>
      <c r="B1189" s="3">
        <v>0.0</v>
      </c>
      <c r="C1189" s="3" t="s">
        <v>6</v>
      </c>
      <c r="D1189" s="4" t="str">
        <f t="shared" si="1"/>
        <v>SANS</v>
      </c>
      <c r="E1189" s="4" t="str">
        <f t="array" ref="E1189">INDEX(consolid1!$I$2:$I$904,MATCH(A1189,consolid1!$B$2:$B$904,0))</f>
        <v>#N/A</v>
      </c>
      <c r="F1189" s="4" t="str">
        <f t="array" ref="F1189">INDEX(consolid1!$G$2:$G1534,MATCH(A1189,consolid1!$B$2:$B1534,0))</f>
        <v>#N/A</v>
      </c>
    </row>
    <row r="1190">
      <c r="A1190" s="4" t="s">
        <v>1190</v>
      </c>
      <c r="B1190" s="3">
        <v>0.0</v>
      </c>
      <c r="C1190" s="3" t="s">
        <v>3</v>
      </c>
      <c r="D1190" s="4" t="str">
        <f t="shared" si="1"/>
        <v>SANS</v>
      </c>
      <c r="E1190" s="4" t="str">
        <f t="array" ref="E1190">INDEX(consolid1!$I$2:$I$904,MATCH(A1190,consolid1!$B$2:$B$904,0))</f>
        <v>#N/A</v>
      </c>
      <c r="F1190" s="4" t="str">
        <f t="array" ref="F1190">INDEX(consolid1!$G$2:$G1534,MATCH(A1190,consolid1!$B$2:$B1534,0))</f>
        <v>#N/A</v>
      </c>
    </row>
    <row r="1191">
      <c r="A1191" s="4" t="s">
        <v>1191</v>
      </c>
      <c r="B1191" s="3">
        <v>0.0</v>
      </c>
      <c r="C1191" s="3" t="s">
        <v>6</v>
      </c>
      <c r="D1191" s="4" t="str">
        <f t="shared" si="1"/>
        <v>SANS</v>
      </c>
      <c r="E1191" s="4" t="str">
        <f t="array" ref="E1191">INDEX(consolid1!$I$2:$I$904,MATCH(A1191,consolid1!$B$2:$B$904,0))</f>
        <v>#N/A</v>
      </c>
      <c r="F1191" s="4" t="str">
        <f t="array" ref="F1191">INDEX(consolid1!$G$2:$G1534,MATCH(A1191,consolid1!$B$2:$B1534,0))</f>
        <v>#N/A</v>
      </c>
    </row>
    <row r="1192">
      <c r="A1192" s="4" t="s">
        <v>1195</v>
      </c>
      <c r="B1192" s="3">
        <v>0.0</v>
      </c>
      <c r="C1192" s="3" t="s">
        <v>3</v>
      </c>
      <c r="D1192" s="4" t="str">
        <f t="shared" si="1"/>
        <v>SANS</v>
      </c>
      <c r="E1192" s="4" t="str">
        <f t="array" ref="E1192">INDEX(consolid1!$I$2:$I$904,MATCH(A1192,consolid1!$B$2:$B$904,0))</f>
        <v>#N/A</v>
      </c>
      <c r="F1192" s="4" t="str">
        <f t="array" ref="F1192">INDEX(consolid1!$G$2:$G1534,MATCH(A1192,consolid1!$B$2:$B1534,0))</f>
        <v>#N/A</v>
      </c>
    </row>
    <row r="1193">
      <c r="A1193" s="4" t="s">
        <v>2260</v>
      </c>
      <c r="B1193" s="3">
        <v>0.0</v>
      </c>
      <c r="C1193" s="3" t="s">
        <v>3</v>
      </c>
      <c r="D1193" s="4" t="str">
        <f t="shared" si="1"/>
        <v>SANS</v>
      </c>
      <c r="E1193" s="4" t="str">
        <f t="array" ref="E1193">INDEX(consolid1!$I$2:$I$904,MATCH(A1193,consolid1!$B$2:$B$904,0))</f>
        <v>#N/A</v>
      </c>
      <c r="F1193" s="4" t="str">
        <f t="array" ref="F1193">INDEX(consolid1!$G$2:$G1534,MATCH(A1193,consolid1!$B$2:$B1534,0))</f>
        <v>#N/A</v>
      </c>
    </row>
    <row r="1194">
      <c r="A1194" s="4" t="s">
        <v>2261</v>
      </c>
      <c r="B1194" s="3">
        <v>0.0</v>
      </c>
      <c r="C1194" s="3" t="s">
        <v>3</v>
      </c>
      <c r="D1194" s="4" t="str">
        <f t="shared" si="1"/>
        <v>SANS</v>
      </c>
      <c r="E1194" s="4" t="str">
        <f t="array" ref="E1194">INDEX(consolid1!$I$2:$I$904,MATCH(A1194,consolid1!$B$2:$B$904,0))</f>
        <v>#N/A</v>
      </c>
      <c r="F1194" s="4" t="str">
        <f t="array" ref="F1194">INDEX(consolid1!$G$2:$G1534,MATCH(A1194,consolid1!$B$2:$B1534,0))</f>
        <v>#N/A</v>
      </c>
    </row>
    <row r="1195">
      <c r="A1195" s="4" t="s">
        <v>1201</v>
      </c>
      <c r="B1195" s="3">
        <v>0.0</v>
      </c>
      <c r="C1195" s="3" t="s">
        <v>16</v>
      </c>
      <c r="D1195" s="4" t="str">
        <f t="shared" si="1"/>
        <v>SANS</v>
      </c>
      <c r="E1195" s="4" t="str">
        <f t="array" ref="E1195">INDEX(consolid1!$I$2:$I$904,MATCH(A1195,consolid1!$B$2:$B$904,0))</f>
        <v>#N/A</v>
      </c>
      <c r="F1195" s="4" t="str">
        <f t="array" ref="F1195">INDEX(consolid1!$G$2:$G1534,MATCH(A1195,consolid1!$B$2:$B1534,0))</f>
        <v>#N/A</v>
      </c>
    </row>
    <row r="1196">
      <c r="A1196" s="4" t="s">
        <v>1202</v>
      </c>
      <c r="B1196" s="3">
        <v>0.0</v>
      </c>
      <c r="C1196" s="3" t="s">
        <v>32</v>
      </c>
      <c r="D1196" s="4" t="str">
        <f t="shared" si="1"/>
        <v>SANS</v>
      </c>
      <c r="E1196" s="4" t="str">
        <f t="array" ref="E1196">INDEX(consolid1!$I$2:$I$904,MATCH(A1196,consolid1!$B$2:$B$904,0))</f>
        <v>#N/A</v>
      </c>
      <c r="F1196" s="4" t="str">
        <f t="array" ref="F1196">INDEX(consolid1!$G$2:$G1534,MATCH(A1196,consolid1!$B$2:$B1534,0))</f>
        <v>#N/A</v>
      </c>
    </row>
    <row r="1197">
      <c r="A1197" s="4" t="s">
        <v>2264</v>
      </c>
      <c r="B1197" s="3">
        <v>0.0</v>
      </c>
      <c r="C1197" s="3" t="s">
        <v>3</v>
      </c>
      <c r="D1197" s="4" t="str">
        <f t="shared" si="1"/>
        <v>SANS</v>
      </c>
      <c r="E1197" s="4" t="str">
        <f t="array" ref="E1197">INDEX(consolid1!$I$2:$I$904,MATCH(A1197,consolid1!$B$2:$B$904,0))</f>
        <v>#N/A</v>
      </c>
      <c r="F1197" s="4" t="str">
        <f t="array" ref="F1197">INDEX(consolid1!$G$2:$G1534,MATCH(A1197,consolid1!$B$2:$B1534,0))</f>
        <v>#N/A</v>
      </c>
    </row>
    <row r="1198">
      <c r="A1198" s="4" t="s">
        <v>1215</v>
      </c>
      <c r="B1198" s="3">
        <v>0.0</v>
      </c>
      <c r="C1198" s="3" t="s">
        <v>29</v>
      </c>
      <c r="D1198" s="4" t="str">
        <f t="shared" si="1"/>
        <v>SANS</v>
      </c>
      <c r="E1198" s="4" t="str">
        <f t="array" ref="E1198">INDEX(consolid1!$I$2:$I$904,MATCH(A1198,consolid1!$B$2:$B$904,0))</f>
        <v>#N/A</v>
      </c>
      <c r="F1198" s="4" t="str">
        <f t="array" ref="F1198">INDEX(consolid1!$G$2:$G1534,MATCH(A1198,consolid1!$B$2:$B1534,0))</f>
        <v>#N/A</v>
      </c>
    </row>
    <row r="1199">
      <c r="A1199" s="4" t="s">
        <v>1216</v>
      </c>
      <c r="B1199" s="3">
        <v>0.0</v>
      </c>
      <c r="C1199" s="3" t="s">
        <v>3</v>
      </c>
      <c r="D1199" s="4" t="str">
        <f t="shared" si="1"/>
        <v>SANS</v>
      </c>
      <c r="E1199" s="4" t="str">
        <f t="array" ref="E1199">INDEX(consolid1!$I$2:$I$904,MATCH(A1199,consolid1!$B$2:$B$904,0))</f>
        <v>#N/A</v>
      </c>
      <c r="F1199" s="4" t="str">
        <f t="array" ref="F1199">INDEX(consolid1!$G$2:$G1534,MATCH(A1199,consolid1!$B$2:$B1534,0))</f>
        <v>#N/A</v>
      </c>
    </row>
    <row r="1200">
      <c r="A1200" s="4" t="s">
        <v>1217</v>
      </c>
      <c r="B1200" s="3">
        <v>0.0</v>
      </c>
      <c r="C1200" s="3" t="s">
        <v>29</v>
      </c>
      <c r="D1200" s="4" t="str">
        <f t="shared" si="1"/>
        <v>SANS</v>
      </c>
      <c r="E1200" s="4" t="str">
        <f t="array" ref="E1200">INDEX(consolid1!$I$2:$I$904,MATCH(A1200,consolid1!$B$2:$B$904,0))</f>
        <v>#N/A</v>
      </c>
      <c r="F1200" s="4" t="str">
        <f t="array" ref="F1200">INDEX(consolid1!$G$2:$G1534,MATCH(A1200,consolid1!$B$2:$B1534,0))</f>
        <v>#N/A</v>
      </c>
    </row>
    <row r="1201">
      <c r="A1201" s="4" t="s">
        <v>1218</v>
      </c>
      <c r="B1201" s="3">
        <v>0.0</v>
      </c>
      <c r="C1201" s="3" t="s">
        <v>29</v>
      </c>
      <c r="D1201" s="4" t="str">
        <f t="shared" si="1"/>
        <v>SANS</v>
      </c>
      <c r="E1201" s="4" t="str">
        <f t="array" ref="E1201">INDEX(consolid1!$I$2:$I$904,MATCH(A1201,consolid1!$B$2:$B$904,0))</f>
        <v>#N/A</v>
      </c>
      <c r="F1201" s="4" t="str">
        <f t="array" ref="F1201">INDEX(consolid1!$G$2:$G1534,MATCH(A1201,consolid1!$B$2:$B1534,0))</f>
        <v>#N/A</v>
      </c>
    </row>
    <row r="1202">
      <c r="A1202" s="4" t="s">
        <v>1219</v>
      </c>
      <c r="B1202" s="3">
        <v>0.0</v>
      </c>
      <c r="C1202" s="3" t="s">
        <v>26</v>
      </c>
      <c r="D1202" s="4" t="str">
        <f t="shared" si="1"/>
        <v>SANS</v>
      </c>
      <c r="E1202" s="4" t="str">
        <f t="array" ref="E1202">INDEX(consolid1!$I$2:$I$904,MATCH(A1202,consolid1!$B$2:$B$904,0))</f>
        <v>#N/A</v>
      </c>
      <c r="F1202" s="4" t="str">
        <f t="array" ref="F1202">INDEX(consolid1!$G$2:$G1534,MATCH(A1202,consolid1!$B$2:$B1534,0))</f>
        <v>#N/A</v>
      </c>
    </row>
    <row r="1203">
      <c r="A1203" s="4" t="s">
        <v>1220</v>
      </c>
      <c r="B1203" s="3">
        <v>0.0</v>
      </c>
      <c r="C1203" s="3" t="s">
        <v>3</v>
      </c>
      <c r="D1203" s="4" t="str">
        <f t="shared" si="1"/>
        <v>SANS</v>
      </c>
      <c r="E1203" s="4" t="str">
        <f t="array" ref="E1203">INDEX(consolid1!$I$2:$I$904,MATCH(A1203,consolid1!$B$2:$B$904,0))</f>
        <v>#N/A</v>
      </c>
      <c r="F1203" s="4" t="str">
        <f t="array" ref="F1203">INDEX(consolid1!$G$2:$G1534,MATCH(A1203,consolid1!$B$2:$B1534,0))</f>
        <v>#N/A</v>
      </c>
    </row>
    <row r="1204">
      <c r="A1204" s="4" t="s">
        <v>1221</v>
      </c>
      <c r="B1204" s="3">
        <v>0.0</v>
      </c>
      <c r="C1204" s="3" t="s">
        <v>3</v>
      </c>
      <c r="D1204" s="4" t="str">
        <f t="shared" si="1"/>
        <v>SANS</v>
      </c>
      <c r="E1204" s="4" t="str">
        <f t="array" ref="E1204">INDEX(consolid1!$I$2:$I$904,MATCH(A1204,consolid1!$B$2:$B$904,0))</f>
        <v>#N/A</v>
      </c>
      <c r="F1204" s="4" t="str">
        <f t="array" ref="F1204">INDEX(consolid1!$G$2:$G1534,MATCH(A1204,consolid1!$B$2:$B1534,0))</f>
        <v>#N/A</v>
      </c>
    </row>
    <row r="1205">
      <c r="A1205" s="4" t="s">
        <v>1222</v>
      </c>
      <c r="B1205" s="3">
        <v>0.0</v>
      </c>
      <c r="C1205" s="3" t="s">
        <v>6</v>
      </c>
      <c r="D1205" s="4" t="str">
        <f t="shared" si="1"/>
        <v>SANS</v>
      </c>
      <c r="E1205" s="4" t="str">
        <f t="array" ref="E1205">INDEX(consolid1!$I$2:$I$904,MATCH(A1205,consolid1!$B$2:$B$904,0))</f>
        <v>#N/A</v>
      </c>
      <c r="F1205" s="4" t="str">
        <f t="array" ref="F1205">INDEX(consolid1!$G$2:$G1534,MATCH(A1205,consolid1!$B$2:$B1534,0))</f>
        <v>#N/A</v>
      </c>
    </row>
    <row r="1206">
      <c r="A1206" s="4" t="s">
        <v>1224</v>
      </c>
      <c r="B1206" s="3">
        <v>0.0</v>
      </c>
      <c r="C1206" s="3" t="s">
        <v>6</v>
      </c>
      <c r="D1206" s="4" t="str">
        <f t="shared" si="1"/>
        <v>SANS</v>
      </c>
      <c r="E1206" s="4" t="str">
        <f t="array" ref="E1206">INDEX(consolid1!$I$2:$I$904,MATCH(A1206,consolid1!$B$2:$B$904,0))</f>
        <v>#N/A</v>
      </c>
      <c r="F1206" s="4" t="str">
        <f t="array" ref="F1206">INDEX(consolid1!$G$2:$G1534,MATCH(A1206,consolid1!$B$2:$B1534,0))</f>
        <v>#N/A</v>
      </c>
    </row>
    <row r="1207">
      <c r="A1207" s="4" t="s">
        <v>1225</v>
      </c>
      <c r="B1207" s="3">
        <v>0.0</v>
      </c>
      <c r="C1207" s="3" t="s">
        <v>3</v>
      </c>
      <c r="D1207" s="4" t="str">
        <f t="shared" si="1"/>
        <v>SANS</v>
      </c>
      <c r="E1207" s="4" t="str">
        <f t="array" ref="E1207">INDEX(consolid1!$I$2:$I$904,MATCH(A1207,consolid1!$B$2:$B$904,0))</f>
        <v>#N/A</v>
      </c>
      <c r="F1207" s="4" t="str">
        <f t="array" ref="F1207">INDEX(consolid1!$G$2:$G1534,MATCH(A1207,consolid1!$B$2:$B1534,0))</f>
        <v>#N/A</v>
      </c>
    </row>
    <row r="1208">
      <c r="A1208" s="4" t="s">
        <v>1226</v>
      </c>
      <c r="B1208" s="3">
        <v>0.0</v>
      </c>
      <c r="C1208" s="3" t="s">
        <v>29</v>
      </c>
      <c r="D1208" s="4" t="str">
        <f t="shared" si="1"/>
        <v>SANS</v>
      </c>
      <c r="E1208" s="4" t="str">
        <f t="array" ref="E1208">INDEX(consolid1!$I$2:$I$904,MATCH(A1208,consolid1!$B$2:$B$904,0))</f>
        <v>#N/A</v>
      </c>
      <c r="F1208" s="4" t="str">
        <f t="array" ref="F1208">INDEX(consolid1!$G$2:$G1534,MATCH(A1208,consolid1!$B$2:$B1534,0))</f>
        <v>#N/A</v>
      </c>
    </row>
    <row r="1209">
      <c r="A1209" s="4" t="s">
        <v>1229</v>
      </c>
      <c r="B1209" s="3">
        <v>0.0</v>
      </c>
      <c r="C1209" s="3" t="s">
        <v>6</v>
      </c>
      <c r="D1209" s="4" t="str">
        <f t="shared" si="1"/>
        <v>SANS</v>
      </c>
      <c r="E1209" s="4" t="str">
        <f t="array" ref="E1209">INDEX(consolid1!$I$2:$I$904,MATCH(A1209,consolid1!$B$2:$B$904,0))</f>
        <v>#N/A</v>
      </c>
      <c r="F1209" s="4" t="str">
        <f t="array" ref="F1209">INDEX(consolid1!$G$2:$G1534,MATCH(A1209,consolid1!$B$2:$B1534,0))</f>
        <v>#N/A</v>
      </c>
    </row>
    <row r="1210">
      <c r="A1210" s="4" t="s">
        <v>2266</v>
      </c>
      <c r="B1210" s="3">
        <v>0.0</v>
      </c>
      <c r="C1210" s="3" t="s">
        <v>3</v>
      </c>
      <c r="D1210" s="4" t="str">
        <f t="shared" si="1"/>
        <v>SANS</v>
      </c>
      <c r="E1210" s="4" t="str">
        <f t="array" ref="E1210">INDEX(consolid1!$I$2:$I$904,MATCH(A1210,consolid1!$B$2:$B$904,0))</f>
        <v>#N/A</v>
      </c>
      <c r="F1210" s="4" t="str">
        <f t="array" ref="F1210">INDEX(consolid1!$G$2:$G1534,MATCH(A1210,consolid1!$B$2:$B1534,0))</f>
        <v>#N/A</v>
      </c>
    </row>
    <row r="1211">
      <c r="A1211" s="4" t="s">
        <v>1232</v>
      </c>
      <c r="B1211" s="3">
        <v>0.0</v>
      </c>
      <c r="C1211" s="3" t="s">
        <v>29</v>
      </c>
      <c r="D1211" s="4" t="str">
        <f t="shared" si="1"/>
        <v>SANS</v>
      </c>
      <c r="E1211" s="4" t="str">
        <f t="array" ref="E1211">INDEX(consolid1!$I$2:$I$904,MATCH(A1211,consolid1!$B$2:$B$904,0))</f>
        <v>#N/A</v>
      </c>
      <c r="F1211" s="4" t="str">
        <f t="array" ref="F1211">INDEX(consolid1!$G$2:$G1534,MATCH(A1211,consolid1!$B$2:$B1534,0))</f>
        <v>#N/A</v>
      </c>
    </row>
    <row r="1212">
      <c r="A1212" s="4" t="s">
        <v>1233</v>
      </c>
      <c r="B1212" s="3">
        <v>0.0</v>
      </c>
      <c r="C1212" s="3" t="s">
        <v>3</v>
      </c>
      <c r="D1212" s="4" t="str">
        <f t="shared" si="1"/>
        <v>SANS</v>
      </c>
      <c r="E1212" s="4" t="str">
        <f t="array" ref="E1212">INDEX(consolid1!$I$2:$I$904,MATCH(A1212,consolid1!$B$2:$B$904,0))</f>
        <v>#N/A</v>
      </c>
      <c r="F1212" s="4" t="str">
        <f t="array" ref="F1212">INDEX(consolid1!$G$2:$G1534,MATCH(A1212,consolid1!$B$2:$B1534,0))</f>
        <v>#N/A</v>
      </c>
    </row>
    <row r="1213">
      <c r="A1213" s="4" t="s">
        <v>1236</v>
      </c>
      <c r="B1213" s="3">
        <v>0.0</v>
      </c>
      <c r="C1213" s="3" t="s">
        <v>6</v>
      </c>
      <c r="D1213" s="4" t="str">
        <f t="shared" si="1"/>
        <v>SANS</v>
      </c>
      <c r="E1213" s="4" t="str">
        <f t="array" ref="E1213">INDEX(consolid1!$I$2:$I$904,MATCH(A1213,consolid1!$B$2:$B$904,0))</f>
        <v>#N/A</v>
      </c>
      <c r="F1213" s="4" t="str">
        <f t="array" ref="F1213">INDEX(consolid1!$G$2:$G1534,MATCH(A1213,consolid1!$B$2:$B1534,0))</f>
        <v>#N/A</v>
      </c>
    </row>
    <row r="1214">
      <c r="A1214" s="4" t="s">
        <v>1237</v>
      </c>
      <c r="B1214" s="3">
        <v>0.0</v>
      </c>
      <c r="C1214" s="3" t="s">
        <v>32</v>
      </c>
      <c r="D1214" s="4" t="str">
        <f t="shared" si="1"/>
        <v>SANS</v>
      </c>
      <c r="E1214" s="4" t="str">
        <f t="array" ref="E1214">INDEX(consolid1!$I$2:$I$904,MATCH(A1214,consolid1!$B$2:$B$904,0))</f>
        <v>#N/A</v>
      </c>
      <c r="F1214" s="4" t="str">
        <f t="array" ref="F1214">INDEX(consolid1!$G$2:$G1534,MATCH(A1214,consolid1!$B$2:$B1534,0))</f>
        <v>#N/A</v>
      </c>
    </row>
    <row r="1215">
      <c r="A1215" s="4" t="s">
        <v>1239</v>
      </c>
      <c r="B1215" s="3">
        <v>0.0</v>
      </c>
      <c r="C1215" s="3" t="s">
        <v>3</v>
      </c>
      <c r="D1215" s="4" t="str">
        <f t="shared" si="1"/>
        <v>SANS</v>
      </c>
      <c r="E1215" s="4" t="str">
        <f t="array" ref="E1215">INDEX(consolid1!$I$2:$I$904,MATCH(A1215,consolid1!$B$2:$B$904,0))</f>
        <v>#N/A</v>
      </c>
      <c r="F1215" s="4" t="str">
        <f t="array" ref="F1215">INDEX(consolid1!$G$2:$G1534,MATCH(A1215,consolid1!$B$2:$B1534,0))</f>
        <v>#N/A</v>
      </c>
    </row>
    <row r="1216">
      <c r="A1216" s="4" t="s">
        <v>1240</v>
      </c>
      <c r="B1216" s="3">
        <v>0.0</v>
      </c>
      <c r="C1216" s="3" t="s">
        <v>3</v>
      </c>
      <c r="D1216" s="4" t="str">
        <f t="shared" si="1"/>
        <v>SANS</v>
      </c>
      <c r="E1216" s="4" t="str">
        <f t="array" ref="E1216">INDEX(consolid1!$I$2:$I$904,MATCH(A1216,consolid1!$B$2:$B$904,0))</f>
        <v>#N/A</v>
      </c>
      <c r="F1216" s="4" t="str">
        <f t="array" ref="F1216">INDEX(consolid1!$G$2:$G1534,MATCH(A1216,consolid1!$B$2:$B1534,0))</f>
        <v>#N/A</v>
      </c>
    </row>
    <row r="1217">
      <c r="A1217" s="4" t="s">
        <v>1249</v>
      </c>
      <c r="B1217" s="3">
        <v>0.0</v>
      </c>
      <c r="C1217" s="3" t="s">
        <v>3</v>
      </c>
      <c r="D1217" s="4" t="str">
        <f t="shared" si="1"/>
        <v>SANS</v>
      </c>
      <c r="E1217" s="4" t="str">
        <f t="array" ref="E1217">INDEX(consolid1!$I$2:$I$904,MATCH(A1217,consolid1!$B$2:$B$904,0))</f>
        <v>#N/A</v>
      </c>
      <c r="F1217" s="4" t="str">
        <f t="array" ref="F1217">INDEX(consolid1!$G$2:$G1534,MATCH(A1217,consolid1!$B$2:$B1534,0))</f>
        <v>#N/A</v>
      </c>
    </row>
    <row r="1218">
      <c r="A1218" s="4" t="s">
        <v>2267</v>
      </c>
      <c r="B1218" s="3">
        <v>0.0</v>
      </c>
      <c r="C1218" s="3" t="s">
        <v>3</v>
      </c>
      <c r="D1218" s="4" t="str">
        <f t="shared" si="1"/>
        <v>SANS</v>
      </c>
      <c r="E1218" s="4" t="str">
        <f t="array" ref="E1218">INDEX(consolid1!$I$2:$I$904,MATCH(A1218,consolid1!$B$2:$B$904,0))</f>
        <v>#N/A</v>
      </c>
      <c r="F1218" s="4" t="str">
        <f t="array" ref="F1218">INDEX(consolid1!$G$2:$G1534,MATCH(A1218,consolid1!$B$2:$B1534,0))</f>
        <v>#N/A</v>
      </c>
    </row>
    <row r="1219">
      <c r="A1219" s="4" t="s">
        <v>1253</v>
      </c>
      <c r="B1219" s="3">
        <v>0.0</v>
      </c>
      <c r="C1219" s="3" t="s">
        <v>6</v>
      </c>
      <c r="D1219" s="4" t="str">
        <f t="shared" si="1"/>
        <v>SANS</v>
      </c>
      <c r="E1219" s="4" t="str">
        <f t="array" ref="E1219">INDEX(consolid1!$I$2:$I$904,MATCH(A1219,consolid1!$B$2:$B$904,0))</f>
        <v>#N/A</v>
      </c>
      <c r="F1219" s="4" t="str">
        <f t="array" ref="F1219">INDEX(consolid1!$G$2:$G1534,MATCH(A1219,consolid1!$B$2:$B1534,0))</f>
        <v>#N/A</v>
      </c>
    </row>
    <row r="1220">
      <c r="A1220" s="4" t="s">
        <v>1254</v>
      </c>
      <c r="B1220" s="3">
        <v>0.0</v>
      </c>
      <c r="C1220" s="3" t="s">
        <v>484</v>
      </c>
      <c r="D1220" s="4" t="str">
        <f t="shared" si="1"/>
        <v>SANS</v>
      </c>
      <c r="E1220" s="4" t="str">
        <f t="array" ref="E1220">INDEX(consolid1!$I$2:$I$904,MATCH(A1220,consolid1!$B$2:$B$904,0))</f>
        <v>#N/A</v>
      </c>
      <c r="F1220" s="4" t="str">
        <f t="array" ref="F1220">INDEX(consolid1!$G$2:$G1534,MATCH(A1220,consolid1!$B$2:$B1534,0))</f>
        <v>#N/A</v>
      </c>
    </row>
    <row r="1221">
      <c r="A1221" s="4" t="s">
        <v>2268</v>
      </c>
      <c r="B1221" s="3">
        <v>0.0</v>
      </c>
      <c r="C1221" s="3" t="s">
        <v>3</v>
      </c>
      <c r="D1221" s="4" t="str">
        <f t="shared" si="1"/>
        <v>SANS</v>
      </c>
      <c r="E1221" s="4" t="str">
        <f t="array" ref="E1221">INDEX(consolid1!$I$2:$I$904,MATCH(A1221,consolid1!$B$2:$B$904,0))</f>
        <v>#N/A</v>
      </c>
      <c r="F1221" s="4" t="str">
        <f t="array" ref="F1221">INDEX(consolid1!$G$2:$G1534,MATCH(A1221,consolid1!$B$2:$B1534,0))</f>
        <v>#N/A</v>
      </c>
    </row>
    <row r="1222">
      <c r="A1222" s="4" t="s">
        <v>1257</v>
      </c>
      <c r="B1222" s="3">
        <v>0.0</v>
      </c>
      <c r="C1222" s="3" t="s">
        <v>29</v>
      </c>
      <c r="D1222" s="4" t="str">
        <f t="shared" si="1"/>
        <v>SANS</v>
      </c>
      <c r="E1222" s="4" t="str">
        <f t="array" ref="E1222">INDEX(consolid1!$I$2:$I$904,MATCH(A1222,consolid1!$B$2:$B$904,0))</f>
        <v>#N/A</v>
      </c>
      <c r="F1222" s="4" t="str">
        <f t="array" ref="F1222">INDEX(consolid1!$G$2:$G1534,MATCH(A1222,consolid1!$B$2:$B1534,0))</f>
        <v>#N/A</v>
      </c>
    </row>
    <row r="1223">
      <c r="A1223" s="4" t="s">
        <v>1266</v>
      </c>
      <c r="B1223" s="3">
        <v>0.0</v>
      </c>
      <c r="C1223" s="3" t="s">
        <v>3</v>
      </c>
      <c r="D1223" s="4" t="str">
        <f t="shared" si="1"/>
        <v>SANS</v>
      </c>
      <c r="E1223" s="4" t="str">
        <f t="array" ref="E1223">INDEX(consolid1!$I$2:$I$904,MATCH(A1223,consolid1!$B$2:$B$904,0))</f>
        <v>#N/A</v>
      </c>
      <c r="F1223" s="4" t="str">
        <f t="array" ref="F1223">INDEX(consolid1!$G$2:$G1534,MATCH(A1223,consolid1!$B$2:$B1534,0))</f>
        <v>#N/A</v>
      </c>
    </row>
    <row r="1224">
      <c r="A1224" s="4" t="s">
        <v>1267</v>
      </c>
      <c r="B1224" s="3">
        <v>0.0</v>
      </c>
      <c r="C1224" s="3" t="s">
        <v>29</v>
      </c>
      <c r="D1224" s="4" t="str">
        <f t="shared" si="1"/>
        <v>SANS</v>
      </c>
      <c r="E1224" s="4" t="str">
        <f t="array" ref="E1224">INDEX(consolid1!$I$2:$I$904,MATCH(A1224,consolid1!$B$2:$B$904,0))</f>
        <v>#N/A</v>
      </c>
      <c r="F1224" s="4" t="str">
        <f t="array" ref="F1224">INDEX(consolid1!$G$2:$G1534,MATCH(A1224,consolid1!$B$2:$B1534,0))</f>
        <v>#N/A</v>
      </c>
    </row>
    <row r="1225">
      <c r="A1225" s="4" t="s">
        <v>1268</v>
      </c>
      <c r="B1225" s="3">
        <v>0.0</v>
      </c>
      <c r="C1225" s="3" t="s">
        <v>6</v>
      </c>
      <c r="D1225" s="4" t="str">
        <f t="shared" si="1"/>
        <v>SANS</v>
      </c>
      <c r="E1225" s="4" t="str">
        <f t="array" ref="E1225">INDEX(consolid1!$I$2:$I$904,MATCH(A1225,consolid1!$B$2:$B$904,0))</f>
        <v>#N/A</v>
      </c>
      <c r="F1225" s="4" t="str">
        <f t="array" ref="F1225">INDEX(consolid1!$G$2:$G1534,MATCH(A1225,consolid1!$B$2:$B1534,0))</f>
        <v>#N/A</v>
      </c>
    </row>
    <row r="1226">
      <c r="A1226" s="4" t="s">
        <v>1275</v>
      </c>
      <c r="B1226" s="3">
        <v>0.0</v>
      </c>
      <c r="C1226" s="3" t="s">
        <v>29</v>
      </c>
      <c r="D1226" s="4" t="str">
        <f t="shared" si="1"/>
        <v>SANS</v>
      </c>
      <c r="E1226" s="4" t="str">
        <f t="array" ref="E1226">INDEX(consolid1!$I$2:$I$904,MATCH(A1226,consolid1!$B$2:$B$904,0))</f>
        <v>#N/A</v>
      </c>
      <c r="F1226" s="4" t="str">
        <f t="array" ref="F1226">INDEX(consolid1!$G$2:$G1534,MATCH(A1226,consolid1!$B$2:$B1534,0))</f>
        <v>#N/A</v>
      </c>
    </row>
    <row r="1227">
      <c r="A1227" s="4" t="s">
        <v>1276</v>
      </c>
      <c r="B1227" s="3">
        <v>0.0</v>
      </c>
      <c r="C1227" s="3" t="s">
        <v>3</v>
      </c>
      <c r="D1227" s="4" t="str">
        <f t="shared" si="1"/>
        <v>SANS</v>
      </c>
      <c r="E1227" s="4" t="str">
        <f t="array" ref="E1227">INDEX(consolid1!$I$2:$I$904,MATCH(A1227,consolid1!$B$2:$B$904,0))</f>
        <v>#N/A</v>
      </c>
      <c r="F1227" s="4" t="str">
        <f t="array" ref="F1227">INDEX(consolid1!$G$2:$G1534,MATCH(A1227,consolid1!$B$2:$B1534,0))</f>
        <v>#N/A</v>
      </c>
    </row>
    <row r="1228">
      <c r="A1228" s="4" t="s">
        <v>1280</v>
      </c>
      <c r="B1228" s="3">
        <v>0.0</v>
      </c>
      <c r="C1228" s="3" t="s">
        <v>3</v>
      </c>
      <c r="D1228" s="4" t="str">
        <f t="shared" si="1"/>
        <v>SANS</v>
      </c>
      <c r="E1228" s="4" t="str">
        <f t="array" ref="E1228">INDEX(consolid1!$I$2:$I$904,MATCH(A1228,consolid1!$B$2:$B$904,0))</f>
        <v>#N/A</v>
      </c>
      <c r="F1228" s="4" t="str">
        <f t="array" ref="F1228">INDEX(consolid1!$G$2:$G1534,MATCH(A1228,consolid1!$B$2:$B1534,0))</f>
        <v>#N/A</v>
      </c>
    </row>
    <row r="1229">
      <c r="A1229" s="4" t="s">
        <v>1282</v>
      </c>
      <c r="B1229" s="3">
        <v>0.0</v>
      </c>
      <c r="C1229" s="3" t="s">
        <v>3</v>
      </c>
      <c r="D1229" s="4" t="str">
        <f t="shared" si="1"/>
        <v>SANS</v>
      </c>
      <c r="E1229" s="4" t="str">
        <f t="array" ref="E1229">INDEX(consolid1!$I$2:$I$904,MATCH(A1229,consolid1!$B$2:$B$904,0))</f>
        <v>#N/A</v>
      </c>
      <c r="F1229" s="4" t="str">
        <f t="array" ref="F1229">INDEX(consolid1!$G$2:$G1534,MATCH(A1229,consolid1!$B$2:$B1534,0))</f>
        <v>#N/A</v>
      </c>
    </row>
    <row r="1230">
      <c r="A1230" s="4" t="s">
        <v>1283</v>
      </c>
      <c r="B1230" s="3">
        <v>0.0</v>
      </c>
      <c r="C1230" s="3" t="s">
        <v>3</v>
      </c>
      <c r="D1230" s="4" t="str">
        <f t="shared" si="1"/>
        <v>SANS</v>
      </c>
      <c r="E1230" s="4" t="str">
        <f t="array" ref="E1230">INDEX(consolid1!$I$2:$I$904,MATCH(A1230,consolid1!$B$2:$B$904,0))</f>
        <v>#N/A</v>
      </c>
      <c r="F1230" s="4" t="str">
        <f t="array" ref="F1230">INDEX(consolid1!$G$2:$G1534,MATCH(A1230,consolid1!$B$2:$B1534,0))</f>
        <v>#N/A</v>
      </c>
    </row>
    <row r="1231">
      <c r="A1231" s="4" t="s">
        <v>1284</v>
      </c>
      <c r="B1231" s="3">
        <v>0.0</v>
      </c>
      <c r="C1231" s="3" t="s">
        <v>32</v>
      </c>
      <c r="D1231" s="4" t="str">
        <f t="shared" si="1"/>
        <v>SANS</v>
      </c>
      <c r="E1231" s="4" t="str">
        <f t="array" ref="E1231">INDEX(consolid1!$I$2:$I$904,MATCH(A1231,consolid1!$B$2:$B$904,0))</f>
        <v>#N/A</v>
      </c>
      <c r="F1231" s="4" t="str">
        <f t="array" ref="F1231">INDEX(consolid1!$G$2:$G1534,MATCH(A1231,consolid1!$B$2:$B1534,0))</f>
        <v>#N/A</v>
      </c>
    </row>
    <row r="1232">
      <c r="A1232" s="4" t="s">
        <v>1291</v>
      </c>
      <c r="B1232" s="3">
        <v>0.0</v>
      </c>
      <c r="C1232" s="3" t="s">
        <v>29</v>
      </c>
      <c r="D1232" s="4" t="str">
        <f t="shared" si="1"/>
        <v>SANS</v>
      </c>
      <c r="E1232" s="4" t="str">
        <f t="array" ref="E1232">INDEX(consolid1!$I$2:$I$904,MATCH(A1232,consolid1!$B$2:$B$904,0))</f>
        <v>#N/A</v>
      </c>
      <c r="F1232" s="4" t="str">
        <f t="array" ref="F1232">INDEX(consolid1!$G$2:$G1534,MATCH(A1232,consolid1!$B$2:$B1534,0))</f>
        <v>#N/A</v>
      </c>
    </row>
    <row r="1233">
      <c r="A1233" s="4" t="s">
        <v>1292</v>
      </c>
      <c r="B1233" s="3">
        <v>0.0</v>
      </c>
      <c r="C1233" s="3" t="s">
        <v>3</v>
      </c>
      <c r="D1233" s="4" t="str">
        <f t="shared" si="1"/>
        <v>SANS</v>
      </c>
      <c r="E1233" s="4" t="str">
        <f t="array" ref="E1233">INDEX(consolid1!$I$2:$I$904,MATCH(A1233,consolid1!$B$2:$B$904,0))</f>
        <v>#N/A</v>
      </c>
      <c r="F1233" s="4" t="str">
        <f t="array" ref="F1233">INDEX(consolid1!$G$2:$G1534,MATCH(A1233,consolid1!$B$2:$B1534,0))</f>
        <v>#N/A</v>
      </c>
    </row>
    <row r="1234">
      <c r="A1234" s="4" t="s">
        <v>1295</v>
      </c>
      <c r="B1234" s="3">
        <v>0.0</v>
      </c>
      <c r="C1234" s="3" t="s">
        <v>3</v>
      </c>
      <c r="D1234" s="4" t="str">
        <f t="shared" si="1"/>
        <v>SANS</v>
      </c>
      <c r="E1234" s="4" t="str">
        <f t="array" ref="E1234">INDEX(consolid1!$I$2:$I$904,MATCH(A1234,consolid1!$B$2:$B$904,0))</f>
        <v>#N/A</v>
      </c>
      <c r="F1234" s="4" t="str">
        <f t="array" ref="F1234">INDEX(consolid1!$G$2:$G1534,MATCH(A1234,consolid1!$B$2:$B1534,0))</f>
        <v>#N/A</v>
      </c>
    </row>
    <row r="1235">
      <c r="A1235" s="4" t="s">
        <v>1296</v>
      </c>
      <c r="B1235" s="3">
        <v>0.0</v>
      </c>
      <c r="C1235" s="3" t="s">
        <v>3</v>
      </c>
      <c r="D1235" s="4" t="str">
        <f t="shared" si="1"/>
        <v>SANS</v>
      </c>
      <c r="E1235" s="4" t="str">
        <f t="array" ref="E1235">INDEX(consolid1!$I$2:$I$904,MATCH(A1235,consolid1!$B$2:$B$904,0))</f>
        <v>#N/A</v>
      </c>
      <c r="F1235" s="4" t="str">
        <f t="array" ref="F1235">INDEX(consolid1!$G$2:$G1534,MATCH(A1235,consolid1!$B$2:$B1534,0))</f>
        <v>#N/A</v>
      </c>
    </row>
    <row r="1236">
      <c r="A1236" s="4" t="s">
        <v>1297</v>
      </c>
      <c r="B1236" s="3">
        <v>0.0</v>
      </c>
      <c r="C1236" s="3" t="s">
        <v>3</v>
      </c>
      <c r="D1236" s="4" t="str">
        <f t="shared" si="1"/>
        <v>SANS</v>
      </c>
      <c r="E1236" s="4" t="str">
        <f t="array" ref="E1236">INDEX(consolid1!$I$2:$I$904,MATCH(A1236,consolid1!$B$2:$B$904,0))</f>
        <v>#N/A</v>
      </c>
      <c r="F1236" s="4" t="str">
        <f t="array" ref="F1236">INDEX(consolid1!$G$2:$G1534,MATCH(A1236,consolid1!$B$2:$B1534,0))</f>
        <v>#N/A</v>
      </c>
    </row>
    <row r="1237">
      <c r="A1237" s="4" t="s">
        <v>1298</v>
      </c>
      <c r="B1237" s="3">
        <v>0.0</v>
      </c>
      <c r="C1237" s="3" t="s">
        <v>3</v>
      </c>
      <c r="D1237" s="4" t="str">
        <f t="shared" si="1"/>
        <v>SANS</v>
      </c>
      <c r="E1237" s="4" t="str">
        <f t="array" ref="E1237">INDEX(consolid1!$I$2:$I$904,MATCH(A1237,consolid1!$B$2:$B$904,0))</f>
        <v>#N/A</v>
      </c>
      <c r="F1237" s="4" t="str">
        <f t="array" ref="F1237">INDEX(consolid1!$G$2:$G1534,MATCH(A1237,consolid1!$B$2:$B1534,0))</f>
        <v>#N/A</v>
      </c>
    </row>
    <row r="1238">
      <c r="A1238" s="4" t="s">
        <v>1299</v>
      </c>
      <c r="B1238" s="3">
        <v>0.0</v>
      </c>
      <c r="C1238" s="3" t="s">
        <v>3</v>
      </c>
      <c r="D1238" s="4" t="str">
        <f t="shared" si="1"/>
        <v>SANS</v>
      </c>
      <c r="E1238" s="4" t="str">
        <f t="array" ref="E1238">INDEX(consolid1!$I$2:$I$904,MATCH(A1238,consolid1!$B$2:$B$904,0))</f>
        <v>#N/A</v>
      </c>
      <c r="F1238" s="4" t="str">
        <f t="array" ref="F1238">INDEX(consolid1!$G$2:$G1534,MATCH(A1238,consolid1!$B$2:$B1534,0))</f>
        <v>#N/A</v>
      </c>
    </row>
    <row r="1239">
      <c r="A1239" s="4" t="s">
        <v>1301</v>
      </c>
      <c r="B1239" s="3">
        <v>0.0</v>
      </c>
      <c r="C1239" s="3" t="s">
        <v>3</v>
      </c>
      <c r="D1239" s="4" t="str">
        <f t="shared" si="1"/>
        <v>SANS</v>
      </c>
      <c r="E1239" s="4" t="str">
        <f t="array" ref="E1239">INDEX(consolid1!$I$2:$I$904,MATCH(A1239,consolid1!$B$2:$B$904,0))</f>
        <v>#N/A</v>
      </c>
      <c r="F1239" s="4" t="str">
        <f t="array" ref="F1239">INDEX(consolid1!$G$2:$G1534,MATCH(A1239,consolid1!$B$2:$B1534,0))</f>
        <v>#N/A</v>
      </c>
    </row>
    <row r="1240">
      <c r="A1240" s="4" t="s">
        <v>1302</v>
      </c>
      <c r="B1240" s="3">
        <v>0.0</v>
      </c>
      <c r="C1240" s="3" t="s">
        <v>29</v>
      </c>
      <c r="D1240" s="4" t="str">
        <f t="shared" si="1"/>
        <v>SANS</v>
      </c>
      <c r="E1240" s="4" t="str">
        <f t="array" ref="E1240">INDEX(consolid1!$I$2:$I$904,MATCH(A1240,consolid1!$B$2:$B$904,0))</f>
        <v>#N/A</v>
      </c>
      <c r="F1240" s="4" t="str">
        <f t="array" ref="F1240">INDEX(consolid1!$G$2:$G1534,MATCH(A1240,consolid1!$B$2:$B1534,0))</f>
        <v>#N/A</v>
      </c>
    </row>
    <row r="1241">
      <c r="A1241" s="4" t="s">
        <v>1307</v>
      </c>
      <c r="B1241" s="3">
        <v>0.0</v>
      </c>
      <c r="C1241" s="3" t="s">
        <v>32</v>
      </c>
      <c r="D1241" s="4" t="str">
        <f t="shared" si="1"/>
        <v>SANS</v>
      </c>
      <c r="E1241" s="4" t="str">
        <f t="array" ref="E1241">INDEX(consolid1!$I$2:$I$904,MATCH(A1241,consolid1!$B$2:$B$904,0))</f>
        <v>#N/A</v>
      </c>
      <c r="F1241" s="4" t="str">
        <f t="array" ref="F1241">INDEX(consolid1!$G$2:$G1534,MATCH(A1241,consolid1!$B$2:$B1534,0))</f>
        <v>#N/A</v>
      </c>
    </row>
    <row r="1242">
      <c r="A1242" s="4" t="s">
        <v>1309</v>
      </c>
      <c r="B1242" s="3">
        <v>0.0</v>
      </c>
      <c r="C1242" s="3" t="s">
        <v>3</v>
      </c>
      <c r="D1242" s="4" t="str">
        <f t="shared" si="1"/>
        <v>SANS</v>
      </c>
      <c r="E1242" s="4" t="str">
        <f t="array" ref="E1242">INDEX(consolid1!$I$2:$I$904,MATCH(A1242,consolid1!$B$2:$B$904,0))</f>
        <v>#N/A</v>
      </c>
      <c r="F1242" s="4" t="str">
        <f t="array" ref="F1242">INDEX(consolid1!$G$2:$G1534,MATCH(A1242,consolid1!$B$2:$B1534,0))</f>
        <v>#N/A</v>
      </c>
    </row>
    <row r="1243">
      <c r="A1243" s="4" t="s">
        <v>1310</v>
      </c>
      <c r="B1243" s="3">
        <v>0.0</v>
      </c>
      <c r="C1243" s="3" t="s">
        <v>6</v>
      </c>
      <c r="D1243" s="4" t="str">
        <f t="shared" si="1"/>
        <v>SANS</v>
      </c>
      <c r="E1243" s="4" t="str">
        <f t="array" ref="E1243">INDEX(consolid1!$I$2:$I$904,MATCH(A1243,consolid1!$B$2:$B$904,0))</f>
        <v>#N/A</v>
      </c>
      <c r="F1243" s="4" t="str">
        <f t="array" ref="F1243">INDEX(consolid1!$G$2:$G1534,MATCH(A1243,consolid1!$B$2:$B1534,0))</f>
        <v>#N/A</v>
      </c>
    </row>
    <row r="1244">
      <c r="A1244" s="4" t="s">
        <v>1311</v>
      </c>
      <c r="B1244" s="3">
        <v>0.0</v>
      </c>
      <c r="C1244" s="3" t="s">
        <v>3</v>
      </c>
      <c r="D1244" s="4" t="str">
        <f t="shared" si="1"/>
        <v>SANS</v>
      </c>
      <c r="E1244" s="4" t="str">
        <f t="array" ref="E1244">INDEX(consolid1!$I$2:$I$904,MATCH(A1244,consolid1!$B$2:$B$904,0))</f>
        <v>#N/A</v>
      </c>
      <c r="F1244" s="4" t="str">
        <f t="array" ref="F1244">INDEX(consolid1!$G$2:$G1534,MATCH(A1244,consolid1!$B$2:$B1534,0))</f>
        <v>#N/A</v>
      </c>
    </row>
    <row r="1245">
      <c r="A1245" s="4" t="s">
        <v>1313</v>
      </c>
      <c r="B1245" s="3">
        <v>0.0</v>
      </c>
      <c r="C1245" s="3" t="s">
        <v>3</v>
      </c>
      <c r="D1245" s="4" t="str">
        <f t="shared" si="1"/>
        <v>SANS</v>
      </c>
      <c r="E1245" s="4" t="str">
        <f t="array" ref="E1245">INDEX(consolid1!$I$2:$I$904,MATCH(A1245,consolid1!$B$2:$B$904,0))</f>
        <v>#N/A</v>
      </c>
      <c r="F1245" s="4" t="str">
        <f t="array" ref="F1245">INDEX(consolid1!$G$2:$G1534,MATCH(A1245,consolid1!$B$2:$B1534,0))</f>
        <v>#N/A</v>
      </c>
    </row>
    <row r="1246">
      <c r="A1246" s="4" t="s">
        <v>1316</v>
      </c>
      <c r="B1246" s="3">
        <v>0.0</v>
      </c>
      <c r="C1246" s="3" t="s">
        <v>3</v>
      </c>
      <c r="D1246" s="4" t="str">
        <f t="shared" si="1"/>
        <v>SANS</v>
      </c>
      <c r="E1246" s="4" t="str">
        <f t="array" ref="E1246">INDEX(consolid1!$I$2:$I$904,MATCH(A1246,consolid1!$B$2:$B$904,0))</f>
        <v>#N/A</v>
      </c>
      <c r="F1246" s="4" t="str">
        <f t="array" ref="F1246">INDEX(consolid1!$G$2:$G1534,MATCH(A1246,consolid1!$B$2:$B1534,0))</f>
        <v>#N/A</v>
      </c>
    </row>
    <row r="1247">
      <c r="A1247" s="4" t="s">
        <v>1317</v>
      </c>
      <c r="B1247" s="3">
        <v>0.0</v>
      </c>
      <c r="C1247" s="3" t="s">
        <v>6</v>
      </c>
      <c r="D1247" s="4" t="str">
        <f t="shared" si="1"/>
        <v>SANS</v>
      </c>
      <c r="E1247" s="4" t="str">
        <f t="array" ref="E1247">INDEX(consolid1!$I$2:$I$904,MATCH(A1247,consolid1!$B$2:$B$904,0))</f>
        <v>#N/A</v>
      </c>
      <c r="F1247" s="4" t="str">
        <f t="array" ref="F1247">INDEX(consolid1!$G$2:$G1534,MATCH(A1247,consolid1!$B$2:$B1534,0))</f>
        <v>#N/A</v>
      </c>
    </row>
    <row r="1248">
      <c r="A1248" s="4" t="s">
        <v>2269</v>
      </c>
      <c r="B1248" s="3">
        <v>0.0</v>
      </c>
      <c r="C1248" s="3" t="s">
        <v>3</v>
      </c>
      <c r="D1248" s="4" t="str">
        <f t="shared" si="1"/>
        <v>SANS</v>
      </c>
      <c r="E1248" s="4" t="str">
        <f t="array" ref="E1248">INDEX(consolid1!$I$2:$I$904,MATCH(A1248,consolid1!$B$2:$B$904,0))</f>
        <v>#N/A</v>
      </c>
      <c r="F1248" s="4" t="str">
        <f t="array" ref="F1248">INDEX(consolid1!$G$2:$G1534,MATCH(A1248,consolid1!$B$2:$B1534,0))</f>
        <v>#N/A</v>
      </c>
    </row>
    <row r="1249">
      <c r="A1249" s="4" t="s">
        <v>1323</v>
      </c>
      <c r="B1249" s="3">
        <v>0.0</v>
      </c>
      <c r="C1249" s="3" t="s">
        <v>3</v>
      </c>
      <c r="D1249" s="4" t="str">
        <f t="shared" si="1"/>
        <v>SANS</v>
      </c>
      <c r="E1249" s="4" t="str">
        <f t="array" ref="E1249">INDEX(consolid1!$I$2:$I$904,MATCH(A1249,consolid1!$B$2:$B$904,0))</f>
        <v>#N/A</v>
      </c>
      <c r="F1249" s="4" t="str">
        <f t="array" ref="F1249">INDEX(consolid1!$G$2:$G1534,MATCH(A1249,consolid1!$B$2:$B1534,0))</f>
        <v>#N/A</v>
      </c>
    </row>
    <row r="1250">
      <c r="A1250" s="4" t="s">
        <v>1325</v>
      </c>
      <c r="B1250" s="3">
        <v>0.0</v>
      </c>
      <c r="C1250" s="3" t="s">
        <v>3</v>
      </c>
      <c r="D1250" s="4" t="str">
        <f t="shared" si="1"/>
        <v>SANS</v>
      </c>
      <c r="E1250" s="4" t="str">
        <f t="array" ref="E1250">INDEX(consolid1!$I$2:$I$904,MATCH(A1250,consolid1!$B$2:$B$904,0))</f>
        <v>#N/A</v>
      </c>
      <c r="F1250" s="4" t="str">
        <f t="array" ref="F1250">INDEX(consolid1!$G$2:$G1534,MATCH(A1250,consolid1!$B$2:$B1534,0))</f>
        <v>#N/A</v>
      </c>
    </row>
    <row r="1251">
      <c r="A1251" s="4" t="s">
        <v>1327</v>
      </c>
      <c r="B1251" s="3">
        <v>0.0</v>
      </c>
      <c r="C1251" s="3" t="s">
        <v>6</v>
      </c>
      <c r="D1251" s="4" t="str">
        <f t="shared" si="1"/>
        <v>SANS</v>
      </c>
      <c r="E1251" s="4" t="str">
        <f t="array" ref="E1251">INDEX(consolid1!$I$2:$I$904,MATCH(A1251,consolid1!$B$2:$B$904,0))</f>
        <v>#N/A</v>
      </c>
      <c r="F1251" s="4" t="str">
        <f t="array" ref="F1251">INDEX(consolid1!$G$2:$G1534,MATCH(A1251,consolid1!$B$2:$B1534,0))</f>
        <v>#N/A</v>
      </c>
    </row>
    <row r="1252">
      <c r="A1252" s="4" t="s">
        <v>1328</v>
      </c>
      <c r="B1252" s="3">
        <v>0.0</v>
      </c>
      <c r="C1252" s="3" t="s">
        <v>29</v>
      </c>
      <c r="D1252" s="4" t="str">
        <f t="shared" si="1"/>
        <v>SANS</v>
      </c>
      <c r="E1252" s="4" t="str">
        <f t="array" ref="E1252">INDEX(consolid1!$I$2:$I$904,MATCH(A1252,consolid1!$B$2:$B$904,0))</f>
        <v>#N/A</v>
      </c>
      <c r="F1252" s="4" t="str">
        <f t="array" ref="F1252">INDEX(consolid1!$G$2:$G1534,MATCH(A1252,consolid1!$B$2:$B1534,0))</f>
        <v>#N/A</v>
      </c>
    </row>
    <row r="1253">
      <c r="A1253" s="4" t="s">
        <v>1329</v>
      </c>
      <c r="B1253" s="3">
        <v>0.0</v>
      </c>
      <c r="C1253" s="3" t="s">
        <v>6</v>
      </c>
      <c r="D1253" s="4" t="str">
        <f t="shared" si="1"/>
        <v>SANS</v>
      </c>
      <c r="E1253" s="4" t="str">
        <f t="array" ref="E1253">INDEX(consolid1!$I$2:$I$904,MATCH(A1253,consolid1!$B$2:$B$904,0))</f>
        <v>#N/A</v>
      </c>
      <c r="F1253" s="4" t="str">
        <f t="array" ref="F1253">INDEX(consolid1!$G$2:$G1534,MATCH(A1253,consolid1!$B$2:$B1534,0))</f>
        <v>#N/A</v>
      </c>
    </row>
    <row r="1254">
      <c r="A1254" s="4" t="s">
        <v>1330</v>
      </c>
      <c r="B1254" s="3">
        <v>0.0</v>
      </c>
      <c r="C1254" s="3" t="s">
        <v>6</v>
      </c>
      <c r="D1254" s="4" t="str">
        <f t="shared" si="1"/>
        <v>SANS</v>
      </c>
      <c r="E1254" s="4" t="str">
        <f t="array" ref="E1254">INDEX(consolid1!$I$2:$I$904,MATCH(A1254,consolid1!$B$2:$B$904,0))</f>
        <v>#N/A</v>
      </c>
      <c r="F1254" s="4" t="str">
        <f t="array" ref="F1254">INDEX(consolid1!$G$2:$G1534,MATCH(A1254,consolid1!$B$2:$B1534,0))</f>
        <v>#N/A</v>
      </c>
    </row>
    <row r="1255">
      <c r="A1255" s="4" t="s">
        <v>1344</v>
      </c>
      <c r="B1255" s="3">
        <v>0.0</v>
      </c>
      <c r="C1255" s="3" t="s">
        <v>3</v>
      </c>
      <c r="D1255" s="4" t="str">
        <f t="shared" si="1"/>
        <v>SANS</v>
      </c>
      <c r="E1255" s="4" t="str">
        <f t="array" ref="E1255">INDEX(consolid1!$I$2:$I$904,MATCH(A1255,consolid1!$B$2:$B$904,0))</f>
        <v>#N/A</v>
      </c>
      <c r="F1255" s="4" t="str">
        <f t="array" ref="F1255">INDEX(consolid1!$G$2:$G1534,MATCH(A1255,consolid1!$B$2:$B1534,0))</f>
        <v>#N/A</v>
      </c>
    </row>
    <row r="1256">
      <c r="A1256" s="4" t="s">
        <v>1347</v>
      </c>
      <c r="B1256" s="3">
        <v>0.0</v>
      </c>
      <c r="C1256" s="3" t="s">
        <v>3</v>
      </c>
      <c r="D1256" s="4" t="str">
        <f t="shared" si="1"/>
        <v>SANS</v>
      </c>
      <c r="E1256" s="4" t="str">
        <f t="array" ref="E1256">INDEX(consolid1!$I$2:$I$904,MATCH(A1256,consolid1!$B$2:$B$904,0))</f>
        <v>#N/A</v>
      </c>
      <c r="F1256" s="4" t="str">
        <f t="array" ref="F1256">INDEX(consolid1!$G$2:$G1534,MATCH(A1256,consolid1!$B$2:$B1534,0))</f>
        <v>#N/A</v>
      </c>
    </row>
    <row r="1257">
      <c r="A1257" s="4" t="s">
        <v>1350</v>
      </c>
      <c r="B1257" s="3">
        <v>0.0</v>
      </c>
      <c r="C1257" s="3" t="s">
        <v>3</v>
      </c>
      <c r="D1257" s="4" t="str">
        <f t="shared" si="1"/>
        <v>SANS</v>
      </c>
      <c r="E1257" s="4" t="str">
        <f t="array" ref="E1257">INDEX(consolid1!$I$2:$I$904,MATCH(A1257,consolid1!$B$2:$B$904,0))</f>
        <v>#N/A</v>
      </c>
      <c r="F1257" s="4" t="str">
        <f t="array" ref="F1257">INDEX(consolid1!$G$2:$G1534,MATCH(A1257,consolid1!$B$2:$B1534,0))</f>
        <v>#N/A</v>
      </c>
    </row>
    <row r="1258">
      <c r="A1258" s="4" t="s">
        <v>1352</v>
      </c>
      <c r="B1258" s="3">
        <v>0.0</v>
      </c>
      <c r="C1258" s="3" t="s">
        <v>3</v>
      </c>
      <c r="D1258" s="4" t="str">
        <f t="shared" si="1"/>
        <v>SANS</v>
      </c>
      <c r="E1258" s="4" t="str">
        <f t="array" ref="E1258">INDEX(consolid1!$I$2:$I$904,MATCH(A1258,consolid1!$B$2:$B$904,0))</f>
        <v>Culture</v>
      </c>
      <c r="F1258" s="4" t="str">
        <f t="array" ref="F1258">INDEX(consolid1!$G$2:$G1534,MATCH(A1258,consolid1!$B$2:$B1534,0))</f>
        <v>Txomin Olazabal</v>
      </c>
    </row>
    <row r="1259">
      <c r="A1259" s="4" t="s">
        <v>1353</v>
      </c>
      <c r="B1259" s="3">
        <v>0.0</v>
      </c>
      <c r="C1259" s="3" t="s">
        <v>3</v>
      </c>
      <c r="D1259" s="4" t="str">
        <f t="shared" si="1"/>
        <v>SANS</v>
      </c>
      <c r="E1259" s="4" t="str">
        <f t="array" ref="E1259">INDEX(consolid1!$I$2:$I$904,MATCH(A1259,consolid1!$B$2:$B$904,0))</f>
        <v>#N/A</v>
      </c>
      <c r="F1259" s="4" t="str">
        <f t="array" ref="F1259">INDEX(consolid1!$G$2:$G1534,MATCH(A1259,consolid1!$B$2:$B1534,0))</f>
        <v>#N/A</v>
      </c>
    </row>
    <row r="1260">
      <c r="A1260" s="4" t="s">
        <v>1355</v>
      </c>
      <c r="B1260" s="3">
        <v>0.0</v>
      </c>
      <c r="C1260" s="3" t="s">
        <v>3</v>
      </c>
      <c r="D1260" s="4" t="str">
        <f t="shared" si="1"/>
        <v>SANS</v>
      </c>
      <c r="E1260" s="4" t="str">
        <f t="array" ref="E1260">INDEX(consolid1!$I$2:$I$904,MATCH(A1260,consolid1!$B$2:$B$904,0))</f>
        <v>#N/A</v>
      </c>
      <c r="F1260" s="4" t="str">
        <f t="array" ref="F1260">INDEX(consolid1!$G$2:$G1534,MATCH(A1260,consolid1!$B$2:$B1534,0))</f>
        <v>#N/A</v>
      </c>
    </row>
    <row r="1261">
      <c r="A1261" s="4" t="s">
        <v>1356</v>
      </c>
      <c r="B1261" s="3">
        <v>0.0</v>
      </c>
      <c r="C1261" s="3" t="s">
        <v>3</v>
      </c>
      <c r="D1261" s="4" t="str">
        <f t="shared" si="1"/>
        <v>SANS</v>
      </c>
      <c r="E1261" s="4" t="str">
        <f t="array" ref="E1261">INDEX(consolid1!$I$2:$I$904,MATCH(A1261,consolid1!$B$2:$B$904,0))</f>
        <v>#N/A</v>
      </c>
      <c r="F1261" s="4" t="str">
        <f t="array" ref="F1261">INDEX(consolid1!$G$2:$G1534,MATCH(A1261,consolid1!$B$2:$B1534,0))</f>
        <v>#N/A</v>
      </c>
    </row>
    <row r="1262">
      <c r="A1262" s="4" t="s">
        <v>1357</v>
      </c>
      <c r="B1262" s="3">
        <v>0.0</v>
      </c>
      <c r="C1262" s="3" t="s">
        <v>3</v>
      </c>
      <c r="D1262" s="4" t="str">
        <f t="shared" si="1"/>
        <v>SANS</v>
      </c>
      <c r="E1262" s="4" t="str">
        <f t="array" ref="E1262">INDEX(consolid1!$I$2:$I$904,MATCH(A1262,consolid1!$B$2:$B$904,0))</f>
        <v>#N/A</v>
      </c>
      <c r="F1262" s="4" t="str">
        <f t="array" ref="F1262">INDEX(consolid1!$G$2:$G1534,MATCH(A1262,consolid1!$B$2:$B1534,0))</f>
        <v>#N/A</v>
      </c>
    </row>
    <row r="1263">
      <c r="A1263" s="4" t="s">
        <v>1360</v>
      </c>
      <c r="B1263" s="3">
        <v>0.0</v>
      </c>
      <c r="C1263" s="3" t="s">
        <v>3</v>
      </c>
      <c r="D1263" s="4" t="str">
        <f t="shared" si="1"/>
        <v>SANS</v>
      </c>
      <c r="E1263" s="4" t="str">
        <f t="array" ref="E1263">INDEX(consolid1!$I$2:$I$904,MATCH(A1263,consolid1!$B$2:$B$904,0))</f>
        <v>#N/A</v>
      </c>
      <c r="F1263" s="4" t="str">
        <f t="array" ref="F1263">INDEX(consolid1!$G$2:$G1534,MATCH(A1263,consolid1!$B$2:$B1534,0))</f>
        <v>#N/A</v>
      </c>
    </row>
    <row r="1264">
      <c r="A1264" s="4" t="s">
        <v>1362</v>
      </c>
      <c r="B1264" s="3">
        <v>0.0</v>
      </c>
      <c r="C1264" s="3" t="s">
        <v>29</v>
      </c>
      <c r="D1264" s="4" t="str">
        <f t="shared" si="1"/>
        <v>SANS</v>
      </c>
      <c r="E1264" s="4" t="str">
        <f t="array" ref="E1264">INDEX(consolid1!$I$2:$I$904,MATCH(A1264,consolid1!$B$2:$B$904,0))</f>
        <v>#N/A</v>
      </c>
      <c r="F1264" s="4" t="str">
        <f t="array" ref="F1264">INDEX(consolid1!$G$2:$G1534,MATCH(A1264,consolid1!$B$2:$B1534,0))</f>
        <v>#N/A</v>
      </c>
    </row>
    <row r="1265">
      <c r="A1265" s="4" t="s">
        <v>1364</v>
      </c>
      <c r="B1265" s="3">
        <v>0.0</v>
      </c>
      <c r="C1265" s="3" t="s">
        <v>6</v>
      </c>
      <c r="D1265" s="4" t="str">
        <f t="shared" si="1"/>
        <v>SANS</v>
      </c>
      <c r="E1265" s="4" t="str">
        <f t="array" ref="E1265">INDEX(consolid1!$I$2:$I$904,MATCH(A1265,consolid1!$B$2:$B$904,0))</f>
        <v>#N/A</v>
      </c>
      <c r="F1265" s="4" t="str">
        <f t="array" ref="F1265">INDEX(consolid1!$G$2:$G1534,MATCH(A1265,consolid1!$B$2:$B1534,0))</f>
        <v>#N/A</v>
      </c>
    </row>
    <row r="1266">
      <c r="A1266" s="4" t="s">
        <v>1365</v>
      </c>
      <c r="B1266" s="3">
        <v>0.0</v>
      </c>
      <c r="C1266" s="3" t="s">
        <v>3</v>
      </c>
      <c r="D1266" s="4" t="str">
        <f t="shared" si="1"/>
        <v>SANS</v>
      </c>
      <c r="E1266" s="4" t="str">
        <f t="array" ref="E1266">INDEX(consolid1!$I$2:$I$904,MATCH(A1266,consolid1!$B$2:$B$904,0))</f>
        <v>#N/A</v>
      </c>
      <c r="F1266" s="4" t="str">
        <f t="array" ref="F1266">INDEX(consolid1!$G$2:$G1534,MATCH(A1266,consolid1!$B$2:$B1534,0))</f>
        <v>#N/A</v>
      </c>
    </row>
    <row r="1267">
      <c r="A1267" s="4" t="s">
        <v>1366</v>
      </c>
      <c r="B1267" s="3">
        <v>0.0</v>
      </c>
      <c r="C1267" s="3" t="s">
        <v>6</v>
      </c>
      <c r="D1267" s="4" t="str">
        <f t="shared" si="1"/>
        <v>SANS</v>
      </c>
      <c r="E1267" s="4" t="str">
        <f t="array" ref="E1267">INDEX(consolid1!$I$2:$I$904,MATCH(A1267,consolid1!$B$2:$B$904,0))</f>
        <v>#N/A</v>
      </c>
      <c r="F1267" s="4" t="str">
        <f t="array" ref="F1267">INDEX(consolid1!$G$2:$G1534,MATCH(A1267,consolid1!$B$2:$B1534,0))</f>
        <v>#N/A</v>
      </c>
    </row>
    <row r="1268">
      <c r="A1268" s="4" t="s">
        <v>1369</v>
      </c>
      <c r="B1268" s="3">
        <v>0.0</v>
      </c>
      <c r="C1268" s="3" t="s">
        <v>3</v>
      </c>
      <c r="D1268" s="4" t="str">
        <f t="shared" si="1"/>
        <v>SANS</v>
      </c>
      <c r="E1268" s="4" t="str">
        <f t="array" ref="E1268">INDEX(consolid1!$I$2:$I$904,MATCH(A1268,consolid1!$B$2:$B$904,0))</f>
        <v>#N/A</v>
      </c>
      <c r="F1268" s="4" t="str">
        <f t="array" ref="F1268">INDEX(consolid1!$G$2:$G1534,MATCH(A1268,consolid1!$B$2:$B1534,0))</f>
        <v>#N/A</v>
      </c>
    </row>
    <row r="1269">
      <c r="A1269" s="4" t="s">
        <v>1376</v>
      </c>
      <c r="B1269" s="3">
        <v>0.0</v>
      </c>
      <c r="C1269" s="3" t="s">
        <v>3</v>
      </c>
      <c r="D1269" s="4" t="str">
        <f t="shared" si="1"/>
        <v>SANS</v>
      </c>
      <c r="E1269" s="4" t="str">
        <f t="array" ref="E1269">INDEX(consolid1!$I$2:$I$904,MATCH(A1269,consolid1!$B$2:$B$904,0))</f>
        <v>#N/A</v>
      </c>
      <c r="F1269" s="4" t="str">
        <f t="array" ref="F1269">INDEX(consolid1!$G$2:$G1534,MATCH(A1269,consolid1!$B$2:$B1534,0))</f>
        <v>#N/A</v>
      </c>
    </row>
    <row r="1270">
      <c r="A1270" s="4" t="s">
        <v>1380</v>
      </c>
      <c r="B1270" s="3">
        <v>0.0</v>
      </c>
      <c r="C1270" s="3" t="s">
        <v>3</v>
      </c>
      <c r="D1270" s="4" t="str">
        <f t="shared" si="1"/>
        <v>SANS</v>
      </c>
      <c r="E1270" s="4" t="str">
        <f t="array" ref="E1270">INDEX(consolid1!$I$2:$I$904,MATCH(A1270,consolid1!$B$2:$B$904,0))</f>
        <v>#N/A</v>
      </c>
      <c r="F1270" s="4" t="str">
        <f t="array" ref="F1270">INDEX(consolid1!$G$2:$G1534,MATCH(A1270,consolid1!$B$2:$B1534,0))</f>
        <v>#N/A</v>
      </c>
    </row>
    <row r="1271">
      <c r="A1271" s="4" t="s">
        <v>1382</v>
      </c>
      <c r="B1271" s="3">
        <v>0.0</v>
      </c>
      <c r="C1271" s="3" t="s">
        <v>6</v>
      </c>
      <c r="D1271" s="4" t="str">
        <f t="shared" si="1"/>
        <v>SANS</v>
      </c>
      <c r="E1271" s="4" t="str">
        <f t="array" ref="E1271">INDEX(consolid1!$I$2:$I$904,MATCH(A1271,consolid1!$B$2:$B$904,0))</f>
        <v>#N/A</v>
      </c>
      <c r="F1271" s="4" t="str">
        <f t="array" ref="F1271">INDEX(consolid1!$G$2:$G1534,MATCH(A1271,consolid1!$B$2:$B1534,0))</f>
        <v>#N/A</v>
      </c>
    </row>
    <row r="1272">
      <c r="A1272" s="4" t="s">
        <v>1384</v>
      </c>
      <c r="B1272" s="3">
        <v>0.0</v>
      </c>
      <c r="C1272" s="3" t="s">
        <v>3</v>
      </c>
      <c r="D1272" s="4" t="str">
        <f t="shared" si="1"/>
        <v>SANS</v>
      </c>
      <c r="E1272" s="4" t="str">
        <f t="array" ref="E1272">INDEX(consolid1!$I$2:$I$904,MATCH(A1272,consolid1!$B$2:$B$904,0))</f>
        <v>#N/A</v>
      </c>
      <c r="F1272" s="4" t="str">
        <f t="array" ref="F1272">INDEX(consolid1!$G$2:$G1534,MATCH(A1272,consolid1!$B$2:$B1534,0))</f>
        <v>#N/A</v>
      </c>
    </row>
    <row r="1273">
      <c r="A1273" s="4" t="s">
        <v>1391</v>
      </c>
      <c r="B1273" s="3">
        <v>0.0</v>
      </c>
      <c r="C1273" s="3" t="s">
        <v>29</v>
      </c>
      <c r="D1273" s="4" t="str">
        <f t="shared" si="1"/>
        <v>SANS</v>
      </c>
      <c r="E1273" s="4" t="str">
        <f t="array" ref="E1273">INDEX(consolid1!$I$2:$I$904,MATCH(A1273,consolid1!$B$2:$B$904,0))</f>
        <v>#N/A</v>
      </c>
      <c r="F1273" s="4" t="str">
        <f t="array" ref="F1273">INDEX(consolid1!$G$2:$G1534,MATCH(A1273,consolid1!$B$2:$B1534,0))</f>
        <v>#N/A</v>
      </c>
    </row>
    <row r="1274">
      <c r="A1274" s="4" t="s">
        <v>1394</v>
      </c>
      <c r="B1274" s="3">
        <v>0.0</v>
      </c>
      <c r="C1274" s="3" t="s">
        <v>6</v>
      </c>
      <c r="D1274" s="4" t="str">
        <f t="shared" si="1"/>
        <v>SANS</v>
      </c>
      <c r="E1274" s="4" t="str">
        <f t="array" ref="E1274">INDEX(consolid1!$I$2:$I$904,MATCH(A1274,consolid1!$B$2:$B$904,0))</f>
        <v>#N/A</v>
      </c>
      <c r="F1274" s="4" t="str">
        <f t="array" ref="F1274">INDEX(consolid1!$G$2:$G1534,MATCH(A1274,consolid1!$B$2:$B1534,0))</f>
        <v>#N/A</v>
      </c>
    </row>
    <row r="1275">
      <c r="A1275" s="4" t="s">
        <v>1397</v>
      </c>
      <c r="B1275" s="3">
        <v>0.0</v>
      </c>
      <c r="C1275" s="3" t="s">
        <v>3</v>
      </c>
      <c r="D1275" s="4" t="str">
        <f t="shared" si="1"/>
        <v>SANS</v>
      </c>
      <c r="E1275" s="4" t="str">
        <f t="array" ref="E1275">INDEX(consolid1!$I$2:$I$904,MATCH(A1275,consolid1!$B$2:$B$904,0))</f>
        <v>#N/A</v>
      </c>
      <c r="F1275" s="4" t="str">
        <f t="array" ref="F1275">INDEX(consolid1!$G$2:$G1534,MATCH(A1275,consolid1!$B$2:$B1534,0))</f>
        <v>#N/A</v>
      </c>
    </row>
    <row r="1276">
      <c r="A1276" s="4" t="s">
        <v>1398</v>
      </c>
      <c r="B1276" s="3">
        <v>0.0</v>
      </c>
      <c r="C1276" s="3" t="s">
        <v>3</v>
      </c>
      <c r="D1276" s="4" t="str">
        <f t="shared" si="1"/>
        <v>SANS</v>
      </c>
      <c r="E1276" s="4" t="str">
        <f t="array" ref="E1276">INDEX(consolid1!$I$2:$I$904,MATCH(A1276,consolid1!$B$2:$B$904,0))</f>
        <v>#N/A</v>
      </c>
      <c r="F1276" s="4" t="str">
        <f t="array" ref="F1276">INDEX(consolid1!$G$2:$G1534,MATCH(A1276,consolid1!$B$2:$B1534,0))</f>
        <v>#N/A</v>
      </c>
    </row>
    <row r="1277">
      <c r="A1277" s="4" t="s">
        <v>1399</v>
      </c>
      <c r="B1277" s="3">
        <v>0.0</v>
      </c>
      <c r="C1277" s="3" t="s">
        <v>3</v>
      </c>
      <c r="D1277" s="4" t="str">
        <f t="shared" si="1"/>
        <v>SANS</v>
      </c>
      <c r="E1277" s="4" t="str">
        <f t="array" ref="E1277">INDEX(consolid1!$I$2:$I$904,MATCH(A1277,consolid1!$B$2:$B$904,0))</f>
        <v>#N/A</v>
      </c>
      <c r="F1277" s="4" t="str">
        <f t="array" ref="F1277">INDEX(consolid1!$G$2:$G1534,MATCH(A1277,consolid1!$B$2:$B1534,0))</f>
        <v>#N/A</v>
      </c>
    </row>
    <row r="1278">
      <c r="A1278" s="4" t="s">
        <v>1400</v>
      </c>
      <c r="B1278" s="3">
        <v>0.0</v>
      </c>
      <c r="C1278" s="3" t="s">
        <v>3</v>
      </c>
      <c r="D1278" s="4" t="str">
        <f t="shared" si="1"/>
        <v>SANS</v>
      </c>
      <c r="E1278" s="4" t="str">
        <f t="array" ref="E1278">INDEX(consolid1!$I$2:$I$904,MATCH(A1278,consolid1!$B$2:$B$904,0))</f>
        <v>#N/A</v>
      </c>
      <c r="F1278" s="4" t="str">
        <f t="array" ref="F1278">INDEX(consolid1!$G$2:$G1534,MATCH(A1278,consolid1!$B$2:$B1534,0))</f>
        <v>#N/A</v>
      </c>
    </row>
    <row r="1279">
      <c r="A1279" s="4" t="s">
        <v>1403</v>
      </c>
      <c r="B1279" s="3">
        <v>0.0</v>
      </c>
      <c r="C1279" s="3" t="s">
        <v>3</v>
      </c>
      <c r="D1279" s="4" t="str">
        <f t="shared" si="1"/>
        <v>SANS</v>
      </c>
      <c r="E1279" s="4" t="str">
        <f t="array" ref="E1279">INDEX(consolid1!$I$2:$I$904,MATCH(A1279,consolid1!$B$2:$B$904,0))</f>
        <v>#N/A</v>
      </c>
      <c r="F1279" s="4" t="str">
        <f t="array" ref="F1279">INDEX(consolid1!$G$2:$G1534,MATCH(A1279,consolid1!$B$2:$B1534,0))</f>
        <v>#N/A</v>
      </c>
    </row>
    <row r="1280">
      <c r="A1280" s="4" t="s">
        <v>1404</v>
      </c>
      <c r="B1280" s="3">
        <v>0.0</v>
      </c>
      <c r="C1280" s="3" t="s">
        <v>32</v>
      </c>
      <c r="D1280" s="4" t="str">
        <f t="shared" si="1"/>
        <v>SANS</v>
      </c>
      <c r="E1280" s="4" t="str">
        <f t="array" ref="E1280">INDEX(consolid1!$I$2:$I$904,MATCH(A1280,consolid1!$B$2:$B$904,0))</f>
        <v>#N/A</v>
      </c>
      <c r="F1280" s="4" t="str">
        <f t="array" ref="F1280">INDEX(consolid1!$G$2:$G1534,MATCH(A1280,consolid1!$B$2:$B1534,0))</f>
        <v>#N/A</v>
      </c>
    </row>
    <row r="1281">
      <c r="A1281" s="4" t="s">
        <v>1409</v>
      </c>
      <c r="B1281" s="3">
        <v>0.0</v>
      </c>
      <c r="C1281" s="3" t="s">
        <v>6</v>
      </c>
      <c r="D1281" s="4" t="str">
        <f t="shared" si="1"/>
        <v>SANS</v>
      </c>
      <c r="E1281" s="4" t="str">
        <f t="array" ref="E1281">INDEX(consolid1!$I$2:$I$904,MATCH(A1281,consolid1!$B$2:$B$904,0))</f>
        <v>#N/A</v>
      </c>
      <c r="F1281" s="4" t="str">
        <f t="array" ref="F1281">INDEX(consolid1!$G$2:$G1534,MATCH(A1281,consolid1!$B$2:$B1534,0))</f>
        <v>#N/A</v>
      </c>
    </row>
    <row r="1282">
      <c r="A1282" s="4" t="s">
        <v>1410</v>
      </c>
      <c r="B1282" s="3">
        <v>0.0</v>
      </c>
      <c r="C1282" s="3" t="s">
        <v>6</v>
      </c>
      <c r="D1282" s="4" t="str">
        <f t="shared" si="1"/>
        <v>SANS</v>
      </c>
      <c r="E1282" s="4" t="str">
        <f t="array" ref="E1282">INDEX(consolid1!$I$2:$I$904,MATCH(A1282,consolid1!$B$2:$B$904,0))</f>
        <v>#N/A</v>
      </c>
      <c r="F1282" s="4" t="str">
        <f t="array" ref="F1282">INDEX(consolid1!$G$2:$G1534,MATCH(A1282,consolid1!$B$2:$B1534,0))</f>
        <v>#N/A</v>
      </c>
    </row>
    <row r="1283">
      <c r="A1283" s="4" t="s">
        <v>1413</v>
      </c>
      <c r="B1283" s="3">
        <v>0.0</v>
      </c>
      <c r="C1283" s="3" t="s">
        <v>32</v>
      </c>
      <c r="D1283" s="4" t="str">
        <f t="shared" si="1"/>
        <v>SANS</v>
      </c>
      <c r="E1283" s="4" t="str">
        <f t="array" ref="E1283">INDEX(consolid1!$I$2:$I$904,MATCH(A1283,consolid1!$B$2:$B$904,0))</f>
        <v>#N/A</v>
      </c>
      <c r="F1283" s="4" t="str">
        <f t="array" ref="F1283">INDEX(consolid1!$G$2:$G1534,MATCH(A1283,consolid1!$B$2:$B1534,0))</f>
        <v>#N/A</v>
      </c>
    </row>
    <row r="1284">
      <c r="A1284" s="4" t="s">
        <v>1425</v>
      </c>
      <c r="B1284" s="3">
        <v>0.0</v>
      </c>
      <c r="C1284" s="3" t="s">
        <v>3</v>
      </c>
      <c r="D1284" s="4" t="str">
        <f t="shared" si="1"/>
        <v>SANS</v>
      </c>
      <c r="E1284" s="4" t="str">
        <f t="array" ref="E1284">INDEX(consolid1!$I$2:$I$904,MATCH(A1284,consolid1!$B$2:$B$904,0))</f>
        <v>#N/A</v>
      </c>
      <c r="F1284" s="4" t="str">
        <f t="array" ref="F1284">INDEX(consolid1!$G$2:$G1534,MATCH(A1284,consolid1!$B$2:$B1534,0))</f>
        <v>#N/A</v>
      </c>
    </row>
    <row r="1285">
      <c r="A1285" s="4" t="s">
        <v>1426</v>
      </c>
      <c r="B1285" s="3">
        <v>0.0</v>
      </c>
      <c r="C1285" s="3" t="s">
        <v>3</v>
      </c>
      <c r="D1285" s="4" t="str">
        <f t="shared" si="1"/>
        <v>SANS</v>
      </c>
      <c r="E1285" s="4" t="str">
        <f t="array" ref="E1285">INDEX(consolid1!$I$2:$I$904,MATCH(A1285,consolid1!$B$2:$B$904,0))</f>
        <v>#N/A</v>
      </c>
      <c r="F1285" s="4" t="str">
        <f t="array" ref="F1285">INDEX(consolid1!$G$2:$G1534,MATCH(A1285,consolid1!$B$2:$B1534,0))</f>
        <v>#N/A</v>
      </c>
    </row>
    <row r="1286">
      <c r="A1286" s="4" t="s">
        <v>1429</v>
      </c>
      <c r="B1286" s="3">
        <v>0.0</v>
      </c>
      <c r="C1286" s="3" t="s">
        <v>3</v>
      </c>
      <c r="D1286" s="4" t="str">
        <f t="shared" si="1"/>
        <v>SANS</v>
      </c>
      <c r="E1286" s="4" t="str">
        <f t="array" ref="E1286">INDEX(consolid1!$I$2:$I$904,MATCH(A1286,consolid1!$B$2:$B$904,0))</f>
        <v>#N/A</v>
      </c>
      <c r="F1286" s="4" t="str">
        <f t="array" ref="F1286">INDEX(consolid1!$G$2:$G1534,MATCH(A1286,consolid1!$B$2:$B1534,0))</f>
        <v>#N/A</v>
      </c>
    </row>
    <row r="1287">
      <c r="A1287" s="4" t="s">
        <v>1430</v>
      </c>
      <c r="B1287" s="3">
        <v>0.0</v>
      </c>
      <c r="C1287" s="3" t="s">
        <v>6</v>
      </c>
      <c r="D1287" s="4" t="str">
        <f t="shared" si="1"/>
        <v>SANS</v>
      </c>
      <c r="E1287" s="4" t="str">
        <f t="array" ref="E1287">INDEX(consolid1!$I$2:$I$904,MATCH(A1287,consolid1!$B$2:$B$904,0))</f>
        <v>#N/A</v>
      </c>
      <c r="F1287" s="4" t="str">
        <f t="array" ref="F1287">INDEX(consolid1!$G$2:$G1534,MATCH(A1287,consolid1!$B$2:$B1534,0))</f>
        <v>#N/A</v>
      </c>
    </row>
    <row r="1288">
      <c r="A1288" s="4" t="s">
        <v>2273</v>
      </c>
      <c r="B1288" s="3">
        <v>0.0</v>
      </c>
      <c r="C1288" s="3" t="s">
        <v>484</v>
      </c>
      <c r="D1288" s="4" t="str">
        <f t="shared" si="1"/>
        <v>SANS</v>
      </c>
      <c r="E1288" s="4" t="str">
        <f t="array" ref="E1288">INDEX(consolid1!$I$2:$I$904,MATCH(A1288,consolid1!$B$2:$B$904,0))</f>
        <v>#N/A</v>
      </c>
      <c r="F1288" s="4" t="str">
        <f t="array" ref="F1288">INDEX(consolid1!$G$2:$G1534,MATCH(A1288,consolid1!$B$2:$B1534,0))</f>
        <v>#N/A</v>
      </c>
    </row>
    <row r="1289">
      <c r="A1289" s="4" t="s">
        <v>1437</v>
      </c>
      <c r="B1289" s="3">
        <v>0.0</v>
      </c>
      <c r="C1289" s="3" t="s">
        <v>6</v>
      </c>
      <c r="D1289" s="4" t="str">
        <f t="shared" si="1"/>
        <v>SANS</v>
      </c>
      <c r="E1289" s="4" t="str">
        <f t="array" ref="E1289">INDEX(consolid1!$I$2:$I$904,MATCH(A1289,consolid1!$B$2:$B$904,0))</f>
        <v>#N/A</v>
      </c>
      <c r="F1289" s="4" t="str">
        <f t="array" ref="F1289">INDEX(consolid1!$G$2:$G1534,MATCH(A1289,consolid1!$B$2:$B1534,0))</f>
        <v>#N/A</v>
      </c>
    </row>
    <row r="1290">
      <c r="A1290" s="4" t="s">
        <v>1441</v>
      </c>
      <c r="B1290" s="3">
        <v>0.0</v>
      </c>
      <c r="C1290" s="3" t="s">
        <v>3</v>
      </c>
      <c r="D1290" s="4" t="str">
        <f t="shared" si="1"/>
        <v>SANS</v>
      </c>
      <c r="E1290" s="4" t="str">
        <f t="array" ref="E1290">INDEX(consolid1!$I$2:$I$904,MATCH(A1290,consolid1!$B$2:$B$904,0))</f>
        <v>#N/A</v>
      </c>
      <c r="F1290" s="4" t="str">
        <f t="array" ref="F1290">INDEX(consolid1!$G$2:$G1534,MATCH(A1290,consolid1!$B$2:$B1534,0))</f>
        <v>#N/A</v>
      </c>
    </row>
    <row r="1291">
      <c r="A1291" s="4" t="s">
        <v>1442</v>
      </c>
      <c r="B1291" s="3">
        <v>0.0</v>
      </c>
      <c r="C1291" s="3" t="s">
        <v>3</v>
      </c>
      <c r="D1291" s="4" t="str">
        <f t="shared" si="1"/>
        <v>SANS</v>
      </c>
      <c r="E1291" s="4" t="str">
        <f t="array" ref="E1291">INDEX(consolid1!$I$2:$I$904,MATCH(A1291,consolid1!$B$2:$B$904,0))</f>
        <v>#N/A</v>
      </c>
      <c r="F1291" s="4" t="str">
        <f t="array" ref="F1291">INDEX(consolid1!$G$2:$G1534,MATCH(A1291,consolid1!$B$2:$B1534,0))</f>
        <v>#N/A</v>
      </c>
    </row>
    <row r="1292">
      <c r="A1292" s="4" t="s">
        <v>1443</v>
      </c>
      <c r="B1292" s="3">
        <v>0.0</v>
      </c>
      <c r="C1292" s="3" t="s">
        <v>3</v>
      </c>
      <c r="D1292" s="4" t="str">
        <f t="shared" si="1"/>
        <v>SANS</v>
      </c>
      <c r="E1292" s="4" t="str">
        <f t="array" ref="E1292">INDEX(consolid1!$I$2:$I$904,MATCH(A1292,consolid1!$B$2:$B$904,0))</f>
        <v>#N/A</v>
      </c>
      <c r="F1292" s="4" t="str">
        <f t="array" ref="F1292">INDEX(consolid1!$G$2:$G1534,MATCH(A1292,consolid1!$B$2:$B1534,0))</f>
        <v>#N/A</v>
      </c>
    </row>
    <row r="1293">
      <c r="A1293" s="4" t="s">
        <v>1445</v>
      </c>
      <c r="B1293" s="3">
        <v>0.0</v>
      </c>
      <c r="C1293" s="3" t="s">
        <v>3</v>
      </c>
      <c r="D1293" s="4" t="str">
        <f t="shared" si="1"/>
        <v>SANS</v>
      </c>
      <c r="E1293" s="4" t="str">
        <f t="array" ref="E1293">INDEX(consolid1!$I$2:$I$904,MATCH(A1293,consolid1!$B$2:$B$904,0))</f>
        <v>#N/A</v>
      </c>
      <c r="F1293" s="4" t="str">
        <f t="array" ref="F1293">INDEX(consolid1!$G$2:$G1534,MATCH(A1293,consolid1!$B$2:$B1534,0))</f>
        <v>#N/A</v>
      </c>
    </row>
    <row r="1294">
      <c r="A1294" s="4" t="s">
        <v>1446</v>
      </c>
      <c r="B1294" s="3">
        <v>0.0</v>
      </c>
      <c r="C1294" s="3" t="s">
        <v>3</v>
      </c>
      <c r="D1294" s="4" t="str">
        <f t="shared" si="1"/>
        <v>SANS</v>
      </c>
      <c r="E1294" s="4" t="str">
        <f t="array" ref="E1294">INDEX(consolid1!$I$2:$I$904,MATCH(A1294,consolid1!$B$2:$B$904,0))</f>
        <v>#N/A</v>
      </c>
      <c r="F1294" s="4" t="str">
        <f t="array" ref="F1294">INDEX(consolid1!$G$2:$G1534,MATCH(A1294,consolid1!$B$2:$B1534,0))</f>
        <v>#N/A</v>
      </c>
    </row>
    <row r="1295">
      <c r="A1295" s="4" t="s">
        <v>1447</v>
      </c>
      <c r="B1295" s="3">
        <v>0.0</v>
      </c>
      <c r="C1295" s="3" t="s">
        <v>3</v>
      </c>
      <c r="D1295" s="4" t="str">
        <f t="shared" si="1"/>
        <v>SANS</v>
      </c>
      <c r="E1295" s="4" t="str">
        <f t="array" ref="E1295">INDEX(consolid1!$I$2:$I$904,MATCH(A1295,consolid1!$B$2:$B$904,0))</f>
        <v>#N/A</v>
      </c>
      <c r="F1295" s="4" t="str">
        <f t="array" ref="F1295">INDEX(consolid1!$G$2:$G1534,MATCH(A1295,consolid1!$B$2:$B1534,0))</f>
        <v>#N/A</v>
      </c>
    </row>
    <row r="1296">
      <c r="A1296" s="4" t="s">
        <v>1448</v>
      </c>
      <c r="B1296" s="3">
        <v>0.0</v>
      </c>
      <c r="C1296" s="3" t="s">
        <v>3</v>
      </c>
      <c r="D1296" s="4" t="str">
        <f t="shared" si="1"/>
        <v>SANS</v>
      </c>
      <c r="E1296" s="4" t="str">
        <f t="array" ref="E1296">INDEX(consolid1!$I$2:$I$904,MATCH(A1296,consolid1!$B$2:$B$904,0))</f>
        <v>#N/A</v>
      </c>
      <c r="F1296" s="4" t="str">
        <f t="array" ref="F1296">INDEX(consolid1!$G$2:$G1534,MATCH(A1296,consolid1!$B$2:$B1534,0))</f>
        <v>#N/A</v>
      </c>
    </row>
    <row r="1297">
      <c r="A1297" s="4" t="s">
        <v>1452</v>
      </c>
      <c r="B1297" s="3">
        <v>0.0</v>
      </c>
      <c r="C1297" s="3" t="s">
        <v>32</v>
      </c>
      <c r="D1297" s="4" t="str">
        <f t="shared" si="1"/>
        <v>SANS</v>
      </c>
      <c r="E1297" s="4" t="str">
        <f t="array" ref="E1297">INDEX(consolid1!$I$2:$I$904,MATCH(A1297,consolid1!$B$2:$B$904,0))</f>
        <v>#N/A</v>
      </c>
      <c r="F1297" s="4" t="str">
        <f t="array" ref="F1297">INDEX(consolid1!$G$2:$G1534,MATCH(A1297,consolid1!$B$2:$B1534,0))</f>
        <v>#N/A</v>
      </c>
    </row>
    <row r="1298">
      <c r="A1298" s="4" t="s">
        <v>1453</v>
      </c>
      <c r="B1298" s="3">
        <v>0.0</v>
      </c>
      <c r="C1298" s="3" t="s">
        <v>3</v>
      </c>
      <c r="D1298" s="4" t="str">
        <f t="shared" si="1"/>
        <v>SANS</v>
      </c>
      <c r="E1298" s="4" t="str">
        <f t="array" ref="E1298">INDEX(consolid1!$I$2:$I$904,MATCH(A1298,consolid1!$B$2:$B$904,0))</f>
        <v>#N/A</v>
      </c>
      <c r="F1298" s="4" t="str">
        <f t="array" ref="F1298">INDEX(consolid1!$G$2:$G1534,MATCH(A1298,consolid1!$B$2:$B1534,0))</f>
        <v>#N/A</v>
      </c>
    </row>
    <row r="1299">
      <c r="A1299" s="4" t="s">
        <v>1458</v>
      </c>
      <c r="B1299" s="3">
        <v>0.0</v>
      </c>
      <c r="C1299" s="3" t="s">
        <v>3</v>
      </c>
      <c r="D1299" s="4" t="str">
        <f t="shared" si="1"/>
        <v>SANS</v>
      </c>
      <c r="E1299" s="4" t="str">
        <f t="array" ref="E1299">INDEX(consolid1!$I$2:$I$904,MATCH(A1299,consolid1!$B$2:$B$904,0))</f>
        <v>#N/A</v>
      </c>
      <c r="F1299" s="4" t="str">
        <f t="array" ref="F1299">INDEX(consolid1!$G$2:$G1534,MATCH(A1299,consolid1!$B$2:$B1534,0))</f>
        <v>#N/A</v>
      </c>
    </row>
    <row r="1300">
      <c r="A1300" s="4" t="s">
        <v>1459</v>
      </c>
      <c r="B1300" s="3">
        <v>0.0</v>
      </c>
      <c r="C1300" s="3" t="s">
        <v>3</v>
      </c>
      <c r="D1300" s="4" t="str">
        <f t="shared" si="1"/>
        <v>SANS</v>
      </c>
      <c r="E1300" s="4" t="str">
        <f t="array" ref="E1300">INDEX(consolid1!$I$2:$I$904,MATCH(A1300,consolid1!$B$2:$B$904,0))</f>
        <v>#N/A</v>
      </c>
      <c r="F1300" s="4" t="str">
        <f t="array" ref="F1300">INDEX(consolid1!$G$2:$G1534,MATCH(A1300,consolid1!$B$2:$B1534,0))</f>
        <v>#N/A</v>
      </c>
    </row>
    <row r="1301">
      <c r="A1301" s="4" t="s">
        <v>1465</v>
      </c>
      <c r="B1301" s="3">
        <v>0.0</v>
      </c>
      <c r="C1301" s="3" t="s">
        <v>3</v>
      </c>
      <c r="D1301" s="4" t="str">
        <f t="shared" si="1"/>
        <v>SANS</v>
      </c>
      <c r="E1301" s="4" t="str">
        <f t="array" ref="E1301">INDEX(consolid1!$I$2:$I$904,MATCH(A1301,consolid1!$B$2:$B$904,0))</f>
        <v>#N/A</v>
      </c>
      <c r="F1301" s="4" t="str">
        <f t="array" ref="F1301">INDEX(consolid1!$G$2:$G1534,MATCH(A1301,consolid1!$B$2:$B1534,0))</f>
        <v>#N/A</v>
      </c>
    </row>
    <row r="1302">
      <c r="A1302" s="4" t="s">
        <v>1466</v>
      </c>
      <c r="B1302" s="3">
        <v>0.0</v>
      </c>
      <c r="C1302" s="3" t="s">
        <v>3</v>
      </c>
      <c r="D1302" s="4" t="str">
        <f t="shared" si="1"/>
        <v>SANS</v>
      </c>
      <c r="E1302" s="4" t="str">
        <f t="array" ref="E1302">INDEX(consolid1!$I$2:$I$904,MATCH(A1302,consolid1!$B$2:$B$904,0))</f>
        <v>#N/A</v>
      </c>
      <c r="F1302" s="4" t="str">
        <f t="array" ref="F1302">INDEX(consolid1!$G$2:$G1534,MATCH(A1302,consolid1!$B$2:$B1534,0))</f>
        <v>#N/A</v>
      </c>
    </row>
    <row r="1303">
      <c r="A1303" s="4" t="s">
        <v>1469</v>
      </c>
      <c r="B1303" s="3">
        <v>0.0</v>
      </c>
      <c r="C1303" s="3" t="s">
        <v>6</v>
      </c>
      <c r="D1303" s="4" t="str">
        <f t="shared" si="1"/>
        <v>SANS</v>
      </c>
      <c r="E1303" s="4" t="str">
        <f t="array" ref="E1303">INDEX(consolid1!$I$2:$I$904,MATCH(A1303,consolid1!$B$2:$B$904,0))</f>
        <v>#N/A</v>
      </c>
      <c r="F1303" s="4" t="str">
        <f t="array" ref="F1303">INDEX(consolid1!$G$2:$G1534,MATCH(A1303,consolid1!$B$2:$B1534,0))</f>
        <v>#N/A</v>
      </c>
    </row>
    <row r="1304">
      <c r="A1304" s="4" t="s">
        <v>1474</v>
      </c>
      <c r="B1304" s="3">
        <v>0.0</v>
      </c>
      <c r="C1304" s="3" t="s">
        <v>3</v>
      </c>
      <c r="D1304" s="4" t="str">
        <f t="shared" si="1"/>
        <v>SANS</v>
      </c>
      <c r="E1304" s="4" t="str">
        <f t="array" ref="E1304">INDEX(consolid1!$I$2:$I$904,MATCH(A1304,consolid1!$B$2:$B$904,0))</f>
        <v>#N/A</v>
      </c>
      <c r="F1304" s="4" t="str">
        <f t="array" ref="F1304">INDEX(consolid1!$G$2:$G1534,MATCH(A1304,consolid1!$B$2:$B1534,0))</f>
        <v>#N/A</v>
      </c>
    </row>
    <row r="1305">
      <c r="A1305" s="4" t="s">
        <v>1476</v>
      </c>
      <c r="B1305" s="3">
        <v>0.0</v>
      </c>
      <c r="C1305" s="3" t="s">
        <v>3</v>
      </c>
      <c r="D1305" s="4" t="str">
        <f t="shared" si="1"/>
        <v>SANS</v>
      </c>
      <c r="E1305" s="4" t="str">
        <f t="array" ref="E1305">INDEX(consolid1!$I$2:$I$904,MATCH(A1305,consolid1!$B$2:$B$904,0))</f>
        <v>#N/A</v>
      </c>
      <c r="F1305" s="4" t="str">
        <f t="array" ref="F1305">INDEX(consolid1!$G$2:$G1534,MATCH(A1305,consolid1!$B$2:$B1534,0))</f>
        <v>#N/A</v>
      </c>
    </row>
    <row r="1306">
      <c r="A1306" s="4" t="s">
        <v>1477</v>
      </c>
      <c r="B1306" s="3">
        <v>0.0</v>
      </c>
      <c r="C1306" s="3" t="s">
        <v>6</v>
      </c>
      <c r="D1306" s="4" t="str">
        <f t="shared" si="1"/>
        <v>SANS</v>
      </c>
      <c r="E1306" s="4" t="str">
        <f t="array" ref="E1306">INDEX(consolid1!$I$2:$I$904,MATCH(A1306,consolid1!$B$2:$B$904,0))</f>
        <v>#N/A</v>
      </c>
      <c r="F1306" s="4" t="str">
        <f t="array" ref="F1306">INDEX(consolid1!$G$2:$G1534,MATCH(A1306,consolid1!$B$2:$B1534,0))</f>
        <v>#N/A</v>
      </c>
    </row>
    <row r="1307">
      <c r="A1307" s="4" t="s">
        <v>1478</v>
      </c>
      <c r="B1307" s="3">
        <v>0.0</v>
      </c>
      <c r="C1307" s="3" t="s">
        <v>3</v>
      </c>
      <c r="D1307" s="4" t="str">
        <f t="shared" si="1"/>
        <v>SANS</v>
      </c>
      <c r="E1307" s="4" t="str">
        <f t="array" ref="E1307">INDEX(consolid1!$I$2:$I$904,MATCH(A1307,consolid1!$B$2:$B$904,0))</f>
        <v>#N/A</v>
      </c>
      <c r="F1307" s="4" t="str">
        <f t="array" ref="F1307">INDEX(consolid1!$G$2:$G1534,MATCH(A1307,consolid1!$B$2:$B1534,0))</f>
        <v>#N/A</v>
      </c>
    </row>
    <row r="1308">
      <c r="A1308" s="4" t="s">
        <v>1483</v>
      </c>
      <c r="B1308" s="3">
        <v>0.0</v>
      </c>
      <c r="C1308" s="3" t="s">
        <v>3</v>
      </c>
      <c r="D1308" s="4" t="str">
        <f t="shared" si="1"/>
        <v>SANS</v>
      </c>
      <c r="E1308" s="4" t="str">
        <f t="array" ref="E1308">INDEX(consolid1!$I$2:$I$904,MATCH(A1308,consolid1!$B$2:$B$904,0))</f>
        <v>#N/A</v>
      </c>
      <c r="F1308" s="4" t="str">
        <f t="array" ref="F1308">INDEX(consolid1!$G$2:$G1534,MATCH(A1308,consolid1!$B$2:$B1534,0))</f>
        <v>#N/A</v>
      </c>
    </row>
    <row r="1309">
      <c r="A1309" s="4" t="s">
        <v>2277</v>
      </c>
      <c r="B1309" s="3">
        <v>0.0</v>
      </c>
      <c r="C1309" s="3" t="s">
        <v>6</v>
      </c>
      <c r="D1309" s="4" t="str">
        <f t="shared" si="1"/>
        <v>SANS</v>
      </c>
      <c r="E1309" s="4" t="str">
        <f t="array" ref="E1309">INDEX(consolid1!$I$2:$I$904,MATCH(A1309,consolid1!$B$2:$B$904,0))</f>
        <v>#N/A</v>
      </c>
      <c r="F1309" s="4" t="str">
        <f t="array" ref="F1309">INDEX(consolid1!$G$2:$G1534,MATCH(A1309,consolid1!$B$2:$B1534,0))</f>
        <v>#N/A</v>
      </c>
    </row>
    <row r="1310">
      <c r="A1310" s="4" t="s">
        <v>1486</v>
      </c>
      <c r="B1310" s="3">
        <v>0.0</v>
      </c>
      <c r="C1310" s="3" t="s">
        <v>3</v>
      </c>
      <c r="D1310" s="4" t="str">
        <f t="shared" si="1"/>
        <v>SANS</v>
      </c>
      <c r="E1310" s="4" t="str">
        <f t="array" ref="E1310">INDEX(consolid1!$I$2:$I$904,MATCH(A1310,consolid1!$B$2:$B$904,0))</f>
        <v>#N/A</v>
      </c>
      <c r="F1310" s="4" t="str">
        <f t="array" ref="F1310">INDEX(consolid1!$G$2:$G1534,MATCH(A1310,consolid1!$B$2:$B1534,0))</f>
        <v>#N/A</v>
      </c>
    </row>
    <row r="1311">
      <c r="A1311" s="4" t="s">
        <v>1487</v>
      </c>
      <c r="B1311" s="3">
        <v>0.0</v>
      </c>
      <c r="C1311" s="3" t="s">
        <v>3</v>
      </c>
      <c r="D1311" s="4" t="str">
        <f t="shared" si="1"/>
        <v>SANS</v>
      </c>
      <c r="E1311" s="4" t="str">
        <f t="array" ref="E1311">INDEX(consolid1!$I$2:$I$904,MATCH(A1311,consolid1!$B$2:$B$904,0))</f>
        <v>#N/A</v>
      </c>
      <c r="F1311" s="4" t="str">
        <f t="array" ref="F1311">INDEX(consolid1!$G$2:$G1534,MATCH(A1311,consolid1!$B$2:$B1534,0))</f>
        <v>#N/A</v>
      </c>
    </row>
    <row r="1312">
      <c r="A1312" s="4" t="s">
        <v>1488</v>
      </c>
      <c r="B1312" s="3">
        <v>0.0</v>
      </c>
      <c r="C1312" s="3" t="s">
        <v>3</v>
      </c>
      <c r="D1312" s="4" t="str">
        <f t="shared" si="1"/>
        <v>SANS</v>
      </c>
      <c r="E1312" s="4" t="str">
        <f t="array" ref="E1312">INDEX(consolid1!$I$2:$I$904,MATCH(A1312,consolid1!$B$2:$B$904,0))</f>
        <v>#N/A</v>
      </c>
      <c r="F1312" s="4" t="str">
        <f t="array" ref="F1312">INDEX(consolid1!$G$2:$G1534,MATCH(A1312,consolid1!$B$2:$B1534,0))</f>
        <v>#N/A</v>
      </c>
    </row>
    <row r="1313">
      <c r="A1313" s="4" t="s">
        <v>1494</v>
      </c>
      <c r="B1313" s="3">
        <v>0.0</v>
      </c>
      <c r="C1313" s="3" t="s">
        <v>3</v>
      </c>
      <c r="D1313" s="4" t="str">
        <f t="shared" si="1"/>
        <v>SANS</v>
      </c>
      <c r="E1313" s="4" t="str">
        <f t="array" ref="E1313">INDEX(consolid1!$I$2:$I$904,MATCH(A1313,consolid1!$B$2:$B$904,0))</f>
        <v>#N/A</v>
      </c>
      <c r="F1313" s="4" t="str">
        <f t="array" ref="F1313">INDEX(consolid1!$G$2:$G1534,MATCH(A1313,consolid1!$B$2:$B1534,0))</f>
        <v>#N/A</v>
      </c>
    </row>
    <row r="1314">
      <c r="A1314" s="4" t="s">
        <v>1497</v>
      </c>
      <c r="B1314" s="3">
        <v>0.0</v>
      </c>
      <c r="C1314" s="3" t="s">
        <v>3</v>
      </c>
      <c r="D1314" s="4" t="str">
        <f t="shared" si="1"/>
        <v>SANS</v>
      </c>
      <c r="E1314" s="4" t="str">
        <f t="array" ref="E1314">INDEX(consolid1!$I$2:$I$904,MATCH(A1314,consolid1!$B$2:$B$904,0))</f>
        <v>Culture</v>
      </c>
      <c r="F1314" s="4" t="str">
        <f t="array" ref="F1314">INDEX(consolid1!$G$2:$G1534,MATCH(A1314,consolid1!$B$2:$B1534,0))</f>
        <v>null</v>
      </c>
    </row>
    <row r="1315">
      <c r="A1315" s="4" t="s">
        <v>1498</v>
      </c>
      <c r="B1315" s="3">
        <v>0.0</v>
      </c>
      <c r="C1315" s="3" t="s">
        <v>29</v>
      </c>
      <c r="D1315" s="4" t="str">
        <f t="shared" si="1"/>
        <v>SANS</v>
      </c>
      <c r="E1315" s="4" t="str">
        <f t="array" ref="E1315">INDEX(consolid1!$I$2:$I$904,MATCH(A1315,consolid1!$B$2:$B$904,0))</f>
        <v>#N/A</v>
      </c>
      <c r="F1315" s="4" t="str">
        <f t="array" ref="F1315">INDEX(consolid1!$G$2:$G1534,MATCH(A1315,consolid1!$B$2:$B1534,0))</f>
        <v>#N/A</v>
      </c>
    </row>
    <row r="1316">
      <c r="A1316" s="4" t="s">
        <v>1505</v>
      </c>
      <c r="B1316" s="3">
        <v>0.0</v>
      </c>
      <c r="C1316" s="3" t="s">
        <v>3</v>
      </c>
      <c r="D1316" s="4" t="str">
        <f t="shared" si="1"/>
        <v>SANS</v>
      </c>
      <c r="E1316" s="4" t="str">
        <f t="array" ref="E1316">INDEX(consolid1!$I$2:$I$904,MATCH(A1316,consolid1!$B$2:$B$904,0))</f>
        <v>#N/A</v>
      </c>
      <c r="F1316" s="4" t="str">
        <f t="array" ref="F1316">INDEX(consolid1!$G$2:$G1534,MATCH(A1316,consolid1!$B$2:$B1534,0))</f>
        <v>#N/A</v>
      </c>
    </row>
    <row r="1317">
      <c r="A1317" s="4" t="s">
        <v>1506</v>
      </c>
      <c r="B1317" s="3">
        <v>0.0</v>
      </c>
      <c r="C1317" s="3" t="s">
        <v>3</v>
      </c>
      <c r="D1317" s="4" t="str">
        <f t="shared" si="1"/>
        <v>SANS</v>
      </c>
      <c r="E1317" s="4" t="str">
        <f t="array" ref="E1317">INDEX(consolid1!$I$2:$I$904,MATCH(A1317,consolid1!$B$2:$B$904,0))</f>
        <v>Education - Enfance - Jeunesse - Vie étudiante</v>
      </c>
      <c r="F1317" s="4" t="str">
        <f t="array" ref="F1317">INDEX(consolid1!$G$2:$G1534,MATCH(A1317,consolid1!$B$2:$B1534,0))</f>
        <v>Adeline Charneau</v>
      </c>
    </row>
    <row r="1318">
      <c r="A1318" s="4" t="s">
        <v>1507</v>
      </c>
      <c r="B1318" s="3">
        <v>0.0</v>
      </c>
      <c r="C1318" s="3" t="s">
        <v>3</v>
      </c>
      <c r="D1318" s="4" t="str">
        <f t="shared" si="1"/>
        <v>SANS</v>
      </c>
      <c r="E1318" s="4" t="str">
        <f t="array" ref="E1318">INDEX(consolid1!$I$2:$I$904,MATCH(A1318,consolid1!$B$2:$B$904,0))</f>
        <v>#N/A</v>
      </c>
      <c r="F1318" s="4" t="str">
        <f t="array" ref="F1318">INDEX(consolid1!$G$2:$G1534,MATCH(A1318,consolid1!$B$2:$B1534,0))</f>
        <v>#N/A</v>
      </c>
    </row>
    <row r="1319">
      <c r="A1319" s="4" t="s">
        <v>1508</v>
      </c>
      <c r="B1319" s="3">
        <v>0.0</v>
      </c>
      <c r="C1319" s="3" t="s">
        <v>3</v>
      </c>
      <c r="D1319" s="4" t="str">
        <f t="shared" si="1"/>
        <v>SANS</v>
      </c>
      <c r="E1319" s="4" t="str">
        <f t="array" ref="E1319">INDEX(consolid1!$I$2:$I$904,MATCH(A1319,consolid1!$B$2:$B$904,0))</f>
        <v>#N/A</v>
      </c>
      <c r="F1319" s="4" t="str">
        <f t="array" ref="F1319">INDEX(consolid1!$G$2:$G1534,MATCH(A1319,consolid1!$B$2:$B1534,0))</f>
        <v>#N/A</v>
      </c>
    </row>
    <row r="1320">
      <c r="A1320" s="4" t="s">
        <v>1509</v>
      </c>
      <c r="B1320" s="3">
        <v>0.0</v>
      </c>
      <c r="C1320" s="3" t="s">
        <v>3</v>
      </c>
      <c r="D1320" s="4" t="str">
        <f t="shared" si="1"/>
        <v>SANS</v>
      </c>
      <c r="E1320" s="4" t="str">
        <f t="array" ref="E1320">INDEX(consolid1!$I$2:$I$904,MATCH(A1320,consolid1!$B$2:$B$904,0))</f>
        <v>#N/A</v>
      </c>
      <c r="F1320" s="4" t="str">
        <f t="array" ref="F1320">INDEX(consolid1!$G$2:$G1534,MATCH(A1320,consolid1!$B$2:$B1534,0))</f>
        <v>#N/A</v>
      </c>
    </row>
    <row r="1321">
      <c r="A1321" s="4" t="s">
        <v>1511</v>
      </c>
      <c r="B1321" s="3">
        <v>0.0</v>
      </c>
      <c r="C1321" s="3" t="s">
        <v>6</v>
      </c>
      <c r="D1321" s="4" t="str">
        <f t="shared" si="1"/>
        <v>SANS</v>
      </c>
      <c r="E1321" s="4" t="str">
        <f t="array" ref="E1321">INDEX(consolid1!$I$2:$I$904,MATCH(A1321,consolid1!$B$2:$B$904,0))</f>
        <v>#N/A</v>
      </c>
      <c r="F1321" s="4" t="str">
        <f t="array" ref="F1321">INDEX(consolid1!$G$2:$G1534,MATCH(A1321,consolid1!$B$2:$B1534,0))</f>
        <v>#N/A</v>
      </c>
    </row>
    <row r="1322">
      <c r="A1322" s="4" t="s">
        <v>1513</v>
      </c>
      <c r="B1322" s="3">
        <v>0.0</v>
      </c>
      <c r="C1322" s="3" t="s">
        <v>6</v>
      </c>
      <c r="D1322" s="4" t="str">
        <f t="shared" si="1"/>
        <v>SANS</v>
      </c>
      <c r="E1322" s="4" t="str">
        <f t="array" ref="E1322">INDEX(consolid1!$I$2:$I$904,MATCH(A1322,consolid1!$B$2:$B$904,0))</f>
        <v>#N/A</v>
      </c>
      <c r="F1322" s="4" t="str">
        <f t="array" ref="F1322">INDEX(consolid1!$G$2:$G1534,MATCH(A1322,consolid1!$B$2:$B1534,0))</f>
        <v>#N/A</v>
      </c>
    </row>
    <row r="1323">
      <c r="A1323" s="4" t="s">
        <v>1514</v>
      </c>
      <c r="B1323" s="3">
        <v>0.0</v>
      </c>
      <c r="C1323" s="3" t="s">
        <v>6</v>
      </c>
      <c r="D1323" s="4" t="str">
        <f t="shared" si="1"/>
        <v>SANS</v>
      </c>
      <c r="E1323" s="4" t="str">
        <f t="array" ref="E1323">INDEX(consolid1!$I$2:$I$904,MATCH(A1323,consolid1!$B$2:$B$904,0))</f>
        <v>#N/A</v>
      </c>
      <c r="F1323" s="4" t="str">
        <f t="array" ref="F1323">INDEX(consolid1!$G$2:$G1534,MATCH(A1323,consolid1!$B$2:$B1534,0))</f>
        <v>#N/A</v>
      </c>
    </row>
    <row r="1324">
      <c r="A1324" s="4" t="s">
        <v>1518</v>
      </c>
      <c r="B1324" s="3">
        <v>0.0</v>
      </c>
      <c r="C1324" s="3" t="s">
        <v>3</v>
      </c>
      <c r="D1324" s="4" t="str">
        <f t="shared" si="1"/>
        <v>SANS</v>
      </c>
      <c r="E1324" s="4" t="str">
        <f t="array" ref="E1324">INDEX(consolid1!$I$2:$I$904,MATCH(A1324,consolid1!$B$2:$B$904,0))</f>
        <v>#N/A</v>
      </c>
      <c r="F1324" s="4" t="str">
        <f t="array" ref="F1324">INDEX(consolid1!$G$2:$G1534,MATCH(A1324,consolid1!$B$2:$B1534,0))</f>
        <v>#N/A</v>
      </c>
    </row>
    <row r="1325">
      <c r="A1325" s="4" t="s">
        <v>1519</v>
      </c>
      <c r="B1325" s="3">
        <v>0.0</v>
      </c>
      <c r="C1325" s="3" t="s">
        <v>3</v>
      </c>
      <c r="D1325" s="4" t="str">
        <f t="shared" si="1"/>
        <v>SANS</v>
      </c>
      <c r="E1325" s="4" t="str">
        <f t="array" ref="E1325">INDEX(consolid1!$I$2:$I$904,MATCH(A1325,consolid1!$B$2:$B$904,0))</f>
        <v>#N/A</v>
      </c>
      <c r="F1325" s="4" t="str">
        <f t="array" ref="F1325">INDEX(consolid1!$G$2:$G1534,MATCH(A1325,consolid1!$B$2:$B1534,0))</f>
        <v>#N/A</v>
      </c>
    </row>
    <row r="1326">
      <c r="A1326" s="4" t="s">
        <v>1520</v>
      </c>
      <c r="B1326" s="3">
        <v>0.0</v>
      </c>
      <c r="C1326" s="3" t="s">
        <v>32</v>
      </c>
      <c r="D1326" s="4" t="str">
        <f t="shared" si="1"/>
        <v>SANS</v>
      </c>
      <c r="E1326" s="4" t="str">
        <f t="array" ref="E1326">INDEX(consolid1!$I$2:$I$904,MATCH(A1326,consolid1!$B$2:$B$904,0))</f>
        <v>#N/A</v>
      </c>
      <c r="F1326" s="4" t="str">
        <f t="array" ref="F1326">INDEX(consolid1!$G$2:$G1534,MATCH(A1326,consolid1!$B$2:$B1534,0))</f>
        <v>#N/A</v>
      </c>
    </row>
    <row r="1327">
      <c r="A1327" s="4" t="s">
        <v>1521</v>
      </c>
      <c r="B1327" s="3">
        <v>0.0</v>
      </c>
      <c r="C1327" s="3" t="s">
        <v>6</v>
      </c>
      <c r="D1327" s="4" t="str">
        <f t="shared" si="1"/>
        <v>SANS</v>
      </c>
      <c r="E1327" s="4" t="str">
        <f t="array" ref="E1327">INDEX(consolid1!$I$2:$I$904,MATCH(A1327,consolid1!$B$2:$B$904,0))</f>
        <v>#N/A</v>
      </c>
      <c r="F1327" s="4" t="str">
        <f t="array" ref="F1327">INDEX(consolid1!$G$2:$G1534,MATCH(A1327,consolid1!$B$2:$B1534,0))</f>
        <v>#N/A</v>
      </c>
    </row>
    <row r="1328">
      <c r="A1328" s="4" t="s">
        <v>1522</v>
      </c>
      <c r="B1328" s="3">
        <v>0.0</v>
      </c>
      <c r="C1328" s="3" t="s">
        <v>6</v>
      </c>
      <c r="D1328" s="4" t="str">
        <f t="shared" si="1"/>
        <v>SANS</v>
      </c>
      <c r="E1328" s="4" t="str">
        <f t="array" ref="E1328">INDEX(consolid1!$I$2:$I$904,MATCH(A1328,consolid1!$B$2:$B$904,0))</f>
        <v>#N/A</v>
      </c>
      <c r="F1328" s="4" t="str">
        <f t="array" ref="F1328">INDEX(consolid1!$G$2:$G1534,MATCH(A1328,consolid1!$B$2:$B1534,0))</f>
        <v>#N/A</v>
      </c>
    </row>
    <row r="1329">
      <c r="A1329" s="4" t="s">
        <v>2279</v>
      </c>
      <c r="B1329" s="3">
        <v>0.0</v>
      </c>
      <c r="C1329" s="3" t="s">
        <v>3</v>
      </c>
      <c r="D1329" s="4" t="str">
        <f t="shared" si="1"/>
        <v>SANS</v>
      </c>
      <c r="E1329" s="4" t="str">
        <f t="array" ref="E1329">INDEX(consolid1!$I$2:$I$904,MATCH(A1329,consolid1!$B$2:$B$904,0))</f>
        <v>#N/A</v>
      </c>
      <c r="F1329" s="4" t="str">
        <f t="array" ref="F1329">INDEX(consolid1!$G$2:$G1534,MATCH(A1329,consolid1!$B$2:$B1534,0))</f>
        <v>#N/A</v>
      </c>
    </row>
    <row r="1330">
      <c r="A1330" s="4" t="s">
        <v>1528</v>
      </c>
      <c r="B1330" s="3">
        <v>0.0</v>
      </c>
      <c r="C1330" s="3" t="s">
        <v>29</v>
      </c>
      <c r="D1330" s="4" t="str">
        <f t="shared" si="1"/>
        <v>SANS</v>
      </c>
      <c r="E1330" s="4" t="str">
        <f t="array" ref="E1330">INDEX(consolid1!$I$2:$I$904,MATCH(A1330,consolid1!$B$2:$B$904,0))</f>
        <v>#N/A</v>
      </c>
      <c r="F1330" s="4" t="str">
        <f t="array" ref="F1330">INDEX(consolid1!$G$2:$G1534,MATCH(A1330,consolid1!$B$2:$B1534,0))</f>
        <v>#N/A</v>
      </c>
    </row>
    <row r="1331">
      <c r="A1331" s="4" t="s">
        <v>1529</v>
      </c>
      <c r="B1331" s="3">
        <v>0.0</v>
      </c>
      <c r="C1331" s="3" t="s">
        <v>32</v>
      </c>
      <c r="D1331" s="4" t="str">
        <f t="shared" si="1"/>
        <v>SANS</v>
      </c>
      <c r="E1331" s="4" t="str">
        <f t="array" ref="E1331">INDEX(consolid1!$I$2:$I$904,MATCH(A1331,consolid1!$B$2:$B$904,0))</f>
        <v>#N/A</v>
      </c>
      <c r="F1331" s="4" t="str">
        <f t="array" ref="F1331">INDEX(consolid1!$G$2:$G1534,MATCH(A1331,consolid1!$B$2:$B1534,0))</f>
        <v>#N/A</v>
      </c>
    </row>
    <row r="1332">
      <c r="A1332" s="4" t="s">
        <v>1530</v>
      </c>
      <c r="B1332" s="3">
        <v>0.0</v>
      </c>
      <c r="C1332" s="3" t="s">
        <v>32</v>
      </c>
      <c r="D1332" s="4" t="str">
        <f t="shared" si="1"/>
        <v>SANS</v>
      </c>
      <c r="E1332" s="4" t="str">
        <f t="array" ref="E1332">INDEX(consolid1!$I$2:$I$904,MATCH(A1332,consolid1!$B$2:$B$904,0))</f>
        <v>#N/A</v>
      </c>
      <c r="F1332" s="4" t="str">
        <f t="array" ref="F1332">INDEX(consolid1!$G$2:$G1534,MATCH(A1332,consolid1!$B$2:$B1534,0))</f>
        <v>#N/A</v>
      </c>
    </row>
    <row r="1333">
      <c r="A1333" s="4" t="s">
        <v>1531</v>
      </c>
      <c r="B1333" s="3">
        <v>0.0</v>
      </c>
      <c r="C1333" s="3" t="s">
        <v>3</v>
      </c>
      <c r="D1333" s="4" t="str">
        <f t="shared" si="1"/>
        <v>SANS</v>
      </c>
      <c r="E1333" s="4" t="str">
        <f t="array" ref="E1333">INDEX(consolid1!$I$2:$I$904,MATCH(A1333,consolid1!$B$2:$B$904,0))</f>
        <v>#N/A</v>
      </c>
      <c r="F1333" s="4" t="str">
        <f t="array" ref="F1333">INDEX(consolid1!$G$2:$G1534,MATCH(A1333,consolid1!$B$2:$B1534,0))</f>
        <v>#N/A</v>
      </c>
    </row>
    <row r="1334">
      <c r="A1334" s="4" t="s">
        <v>1532</v>
      </c>
      <c r="B1334" s="3">
        <v>0.0</v>
      </c>
      <c r="C1334" s="3" t="s">
        <v>6</v>
      </c>
      <c r="D1334" s="4" t="str">
        <f t="shared" si="1"/>
        <v>SANS</v>
      </c>
      <c r="E1334" s="4" t="str">
        <f t="array" ref="E1334">INDEX(consolid1!$I$2:$I$904,MATCH(A1334,consolid1!$B$2:$B$904,0))</f>
        <v>#N/A</v>
      </c>
      <c r="F1334" s="4" t="str">
        <f t="array" ref="F1334">INDEX(consolid1!$G$2:$G1534,MATCH(A1334,consolid1!$B$2:$B1534,0))</f>
        <v>#N/A</v>
      </c>
    </row>
    <row r="1335">
      <c r="A1335" s="4" t="s">
        <v>1533</v>
      </c>
      <c r="B1335" s="3">
        <v>0.0</v>
      </c>
      <c r="C1335" s="3" t="s">
        <v>32</v>
      </c>
      <c r="D1335" s="4" t="str">
        <f t="shared" si="1"/>
        <v>SANS</v>
      </c>
      <c r="E1335" s="4" t="str">
        <f t="array" ref="E1335">INDEX(consolid1!$I$2:$I$904,MATCH(A1335,consolid1!$B$2:$B$904,0))</f>
        <v>#N/A</v>
      </c>
      <c r="F1335" s="4" t="str">
        <f t="array" ref="F1335">INDEX(consolid1!$G$2:$G1534,MATCH(A1335,consolid1!$B$2:$B1534,0))</f>
        <v>#N/A</v>
      </c>
    </row>
    <row r="1336">
      <c r="A1336" s="4" t="s">
        <v>1534</v>
      </c>
      <c r="B1336" s="3">
        <v>0.0</v>
      </c>
      <c r="C1336" s="3" t="s">
        <v>6</v>
      </c>
      <c r="D1336" s="4" t="str">
        <f t="shared" si="1"/>
        <v>SANS</v>
      </c>
      <c r="E1336" s="4" t="str">
        <f t="array" ref="E1336">INDEX(consolid1!$I$2:$I$904,MATCH(A1336,consolid1!$B$2:$B$904,0))</f>
        <v>#N/A</v>
      </c>
      <c r="F1336" s="4" t="str">
        <f t="array" ref="F1336">INDEX(consolid1!$G$2:$G1534,MATCH(A1336,consolid1!$B$2:$B1534,0))</f>
        <v>#N/A</v>
      </c>
    </row>
    <row r="1337">
      <c r="A1337" s="4" t="s">
        <v>1535</v>
      </c>
      <c r="B1337" s="3">
        <v>0.0</v>
      </c>
      <c r="C1337" s="3" t="s">
        <v>6</v>
      </c>
      <c r="D1337" s="4" t="str">
        <f t="shared" si="1"/>
        <v>SANS</v>
      </c>
      <c r="E1337" s="4" t="str">
        <f t="array" ref="E1337">INDEX(consolid1!$I$2:$I$904,MATCH(A1337,consolid1!$B$2:$B$904,0))</f>
        <v>#N/A</v>
      </c>
      <c r="F1337" s="4" t="str">
        <f t="array" ref="F1337">INDEX(consolid1!$G$2:$G1534,MATCH(A1337,consolid1!$B$2:$B1534,0))</f>
        <v>#N/A</v>
      </c>
    </row>
    <row r="1338">
      <c r="A1338" s="4" t="s">
        <v>1537</v>
      </c>
      <c r="B1338" s="3">
        <v>0.0</v>
      </c>
      <c r="C1338" s="3" t="s">
        <v>32</v>
      </c>
      <c r="D1338" s="4" t="str">
        <f t="shared" si="1"/>
        <v>SANS</v>
      </c>
      <c r="E1338" s="4" t="str">
        <f t="array" ref="E1338">INDEX(consolid1!$I$2:$I$904,MATCH(A1338,consolid1!$B$2:$B$904,0))</f>
        <v>#N/A</v>
      </c>
      <c r="F1338" s="4" t="str">
        <f t="array" ref="F1338">INDEX(consolid1!$G$2:$G1534,MATCH(A1338,consolid1!$B$2:$B1534,0))</f>
        <v>#N/A</v>
      </c>
    </row>
    <row r="1339">
      <c r="A1339" s="4" t="s">
        <v>1538</v>
      </c>
      <c r="B1339" s="3">
        <v>0.0</v>
      </c>
      <c r="C1339" s="3" t="s">
        <v>3</v>
      </c>
      <c r="D1339" s="4" t="str">
        <f t="shared" si="1"/>
        <v>SANS</v>
      </c>
      <c r="E1339" s="4" t="str">
        <f t="array" ref="E1339">INDEX(consolid1!$I$2:$I$904,MATCH(A1339,consolid1!$B$2:$B$904,0))</f>
        <v>#N/A</v>
      </c>
      <c r="F1339" s="4" t="str">
        <f t="array" ref="F1339">INDEX(consolid1!$G$2:$G1534,MATCH(A1339,consolid1!$B$2:$B1534,0))</f>
        <v>#N/A</v>
      </c>
    </row>
    <row r="1340">
      <c r="A1340" s="4" t="s">
        <v>1542</v>
      </c>
      <c r="B1340" s="3">
        <v>0.0</v>
      </c>
      <c r="C1340" s="3" t="s">
        <v>3</v>
      </c>
      <c r="D1340" s="4" t="str">
        <f t="shared" si="1"/>
        <v>SANS</v>
      </c>
      <c r="E1340" s="4" t="str">
        <f t="array" ref="E1340">INDEX(consolid1!$I$2:$I$904,MATCH(A1340,consolid1!$B$2:$B$904,0))</f>
        <v>#N/A</v>
      </c>
      <c r="F1340" s="4" t="str">
        <f t="array" ref="F1340">INDEX(consolid1!$G$2:$G1534,MATCH(A1340,consolid1!$B$2:$B1534,0))</f>
        <v>#N/A</v>
      </c>
    </row>
    <row r="1341">
      <c r="A1341" s="4" t="s">
        <v>1543</v>
      </c>
      <c r="B1341" s="3">
        <v>0.0</v>
      </c>
      <c r="C1341" s="3" t="s">
        <v>3</v>
      </c>
      <c r="D1341" s="4" t="str">
        <f t="shared" si="1"/>
        <v>SANS</v>
      </c>
      <c r="E1341" s="4" t="str">
        <f t="array" ref="E1341">INDEX(consolid1!$I$2:$I$904,MATCH(A1341,consolid1!$B$2:$B$904,0))</f>
        <v>#N/A</v>
      </c>
      <c r="F1341" s="4" t="str">
        <f t="array" ref="F1341">INDEX(consolid1!$G$2:$G1534,MATCH(A1341,consolid1!$B$2:$B1534,0))</f>
        <v>#N/A</v>
      </c>
    </row>
    <row r="1342">
      <c r="A1342" s="4" t="s">
        <v>2281</v>
      </c>
      <c r="B1342" s="3">
        <v>0.0</v>
      </c>
      <c r="C1342" s="3" t="s">
        <v>3</v>
      </c>
      <c r="D1342" s="4" t="str">
        <f t="shared" si="1"/>
        <v>SANS</v>
      </c>
      <c r="E1342" s="4" t="str">
        <f t="array" ref="E1342">INDEX(consolid1!$I$2:$I$904,MATCH(A1342,consolid1!$B$2:$B$904,0))</f>
        <v>#N/A</v>
      </c>
      <c r="F1342" s="4" t="str">
        <f t="array" ref="F1342">INDEX(consolid1!$G$2:$G1534,MATCH(A1342,consolid1!$B$2:$B1534,0))</f>
        <v>#N/A</v>
      </c>
    </row>
    <row r="1343">
      <c r="A1343" s="4" t="s">
        <v>1548</v>
      </c>
      <c r="B1343" s="3">
        <v>0.0</v>
      </c>
      <c r="C1343" s="3" t="s">
        <v>484</v>
      </c>
      <c r="D1343" s="4" t="str">
        <f t="shared" si="1"/>
        <v>SANS</v>
      </c>
      <c r="E1343" s="4" t="str">
        <f t="array" ref="E1343">INDEX(consolid1!$I$2:$I$904,MATCH(A1343,consolid1!$B$2:$B$904,0))</f>
        <v>#N/A</v>
      </c>
      <c r="F1343" s="4" t="str">
        <f t="array" ref="F1343">INDEX(consolid1!$G$2:$G1534,MATCH(A1343,consolid1!$B$2:$B1534,0))</f>
        <v>#N/A</v>
      </c>
    </row>
    <row r="1344">
      <c r="A1344" s="4" t="s">
        <v>1549</v>
      </c>
      <c r="B1344" s="3">
        <v>0.0</v>
      </c>
      <c r="C1344" s="3" t="s">
        <v>3</v>
      </c>
      <c r="D1344" s="4" t="str">
        <f t="shared" si="1"/>
        <v>SANS</v>
      </c>
      <c r="E1344" s="4" t="str">
        <f t="array" ref="E1344">INDEX(consolid1!$I$2:$I$904,MATCH(A1344,consolid1!$B$2:$B$904,0))</f>
        <v>#N/A</v>
      </c>
      <c r="F1344" s="4" t="str">
        <f t="array" ref="F1344">INDEX(consolid1!$G$2:$G1534,MATCH(A1344,consolid1!$B$2:$B1534,0))</f>
        <v>#N/A</v>
      </c>
    </row>
    <row r="1345">
      <c r="A1345" s="4" t="s">
        <v>1551</v>
      </c>
      <c r="B1345" s="3">
        <v>0.0</v>
      </c>
      <c r="C1345" s="3" t="s">
        <v>3</v>
      </c>
      <c r="D1345" s="4" t="str">
        <f t="shared" si="1"/>
        <v>SANS</v>
      </c>
      <c r="E1345" s="4" t="str">
        <f t="array" ref="E1345">INDEX(consolid1!$I$2:$I$904,MATCH(A1345,consolid1!$B$2:$B$904,0))</f>
        <v>#N/A</v>
      </c>
      <c r="F1345" s="4" t="str">
        <f t="array" ref="F1345">INDEX(consolid1!$G$2:$G1534,MATCH(A1345,consolid1!$B$2:$B1534,0))</f>
        <v>#N/A</v>
      </c>
    </row>
    <row r="1346">
      <c r="A1346" s="4" t="s">
        <v>1555</v>
      </c>
      <c r="B1346" s="3">
        <v>0.0</v>
      </c>
      <c r="C1346" s="3" t="s">
        <v>32</v>
      </c>
      <c r="D1346" s="4" t="str">
        <f t="shared" si="1"/>
        <v>SANS</v>
      </c>
      <c r="E1346" s="4" t="str">
        <f t="array" ref="E1346">INDEX(consolid1!$I$2:$I$904,MATCH(A1346,consolid1!$B$2:$B$904,0))</f>
        <v>#N/A</v>
      </c>
      <c r="F1346" s="4" t="str">
        <f t="array" ref="F1346">INDEX(consolid1!$G$2:$G1534,MATCH(A1346,consolid1!$B$2:$B1534,0))</f>
        <v>#N/A</v>
      </c>
    </row>
    <row r="1347">
      <c r="A1347" s="4" t="s">
        <v>1562</v>
      </c>
      <c r="B1347" s="3">
        <v>0.0</v>
      </c>
      <c r="C1347" s="3" t="s">
        <v>3</v>
      </c>
      <c r="D1347" s="4" t="str">
        <f t="shared" si="1"/>
        <v>SANS</v>
      </c>
      <c r="E1347" s="4" t="str">
        <f t="array" ref="E1347">INDEX(consolid1!$I$2:$I$904,MATCH(A1347,consolid1!$B$2:$B$904,0))</f>
        <v>#N/A</v>
      </c>
      <c r="F1347" s="4" t="str">
        <f t="array" ref="F1347">INDEX(consolid1!$G$2:$G1534,MATCH(A1347,consolid1!$B$2:$B1534,0))</f>
        <v>#N/A</v>
      </c>
    </row>
    <row r="1348">
      <c r="A1348" s="4" t="s">
        <v>1572</v>
      </c>
      <c r="B1348" s="3">
        <v>0.0</v>
      </c>
      <c r="C1348" s="3" t="s">
        <v>3</v>
      </c>
      <c r="D1348" s="4" t="str">
        <f t="shared" si="1"/>
        <v>SANS</v>
      </c>
      <c r="E1348" s="4" t="str">
        <f t="array" ref="E1348">INDEX(consolid1!$I$2:$I$904,MATCH(A1348,consolid1!$B$2:$B$904,0))</f>
        <v>#N/A</v>
      </c>
      <c r="F1348" s="4" t="str">
        <f t="array" ref="F1348">INDEX(consolid1!$G$2:$G1534,MATCH(A1348,consolid1!$B$2:$B1534,0))</f>
        <v>#N/A</v>
      </c>
    </row>
    <row r="1349">
      <c r="A1349" s="4" t="s">
        <v>1573</v>
      </c>
      <c r="B1349" s="3">
        <v>0.0</v>
      </c>
      <c r="C1349" s="3" t="s">
        <v>3</v>
      </c>
      <c r="D1349" s="4" t="str">
        <f t="shared" si="1"/>
        <v>SANS</v>
      </c>
      <c r="E1349" s="4" t="str">
        <f t="array" ref="E1349">INDEX(consolid1!$I$2:$I$904,MATCH(A1349,consolid1!$B$2:$B$904,0))</f>
        <v>#N/A</v>
      </c>
      <c r="F1349" s="4" t="str">
        <f t="array" ref="F1349">INDEX(consolid1!$G$2:$G1534,MATCH(A1349,consolid1!$B$2:$B1534,0))</f>
        <v>#N/A</v>
      </c>
    </row>
    <row r="1350">
      <c r="A1350" s="4" t="s">
        <v>1576</v>
      </c>
      <c r="B1350" s="3">
        <v>0.0</v>
      </c>
      <c r="C1350" s="3" t="s">
        <v>3</v>
      </c>
      <c r="D1350" s="4" t="str">
        <f t="shared" si="1"/>
        <v>SANS</v>
      </c>
      <c r="E1350" s="4" t="str">
        <f t="array" ref="E1350">INDEX(consolid1!$I$2:$I$904,MATCH(A1350,consolid1!$B$2:$B$904,0))</f>
        <v>#N/A</v>
      </c>
      <c r="F1350" s="4" t="str">
        <f t="array" ref="F1350">INDEX(consolid1!$G$2:$G1534,MATCH(A1350,consolid1!$B$2:$B1534,0))</f>
        <v>#N/A</v>
      </c>
    </row>
    <row r="1351">
      <c r="A1351" s="4" t="s">
        <v>1578</v>
      </c>
      <c r="B1351" s="3">
        <v>0.0</v>
      </c>
      <c r="C1351" s="3" t="s">
        <v>6</v>
      </c>
      <c r="D1351" s="4" t="str">
        <f t="shared" si="1"/>
        <v>SANS</v>
      </c>
      <c r="E1351" s="4" t="str">
        <f t="array" ref="E1351">INDEX(consolid1!$I$2:$I$904,MATCH(A1351,consolid1!$B$2:$B$904,0))</f>
        <v>#N/A</v>
      </c>
      <c r="F1351" s="4" t="str">
        <f t="array" ref="F1351">INDEX(consolid1!$G$2:$G1534,MATCH(A1351,consolid1!$B$2:$B1534,0))</f>
        <v>#N/A</v>
      </c>
    </row>
    <row r="1352">
      <c r="A1352" s="4" t="s">
        <v>1582</v>
      </c>
      <c r="B1352" s="3">
        <v>0.0</v>
      </c>
      <c r="C1352" s="3" t="s">
        <v>29</v>
      </c>
      <c r="D1352" s="4" t="str">
        <f t="shared" si="1"/>
        <v>SANS</v>
      </c>
      <c r="E1352" s="4" t="str">
        <f t="array" ref="E1352">INDEX(consolid1!$I$2:$I$904,MATCH(A1352,consolid1!$B$2:$B$904,0))</f>
        <v>#N/A</v>
      </c>
      <c r="F1352" s="4" t="str">
        <f t="array" ref="F1352">INDEX(consolid1!$G$2:$G1534,MATCH(A1352,consolid1!$B$2:$B1534,0))</f>
        <v>#N/A</v>
      </c>
    </row>
    <row r="1353">
      <c r="A1353" s="4" t="s">
        <v>1583</v>
      </c>
      <c r="B1353" s="3">
        <v>0.0</v>
      </c>
      <c r="C1353" s="3" t="s">
        <v>6</v>
      </c>
      <c r="D1353" s="4" t="str">
        <f t="shared" si="1"/>
        <v>SANS</v>
      </c>
      <c r="E1353" s="4" t="str">
        <f t="array" ref="E1353">INDEX(consolid1!$I$2:$I$904,MATCH(A1353,consolid1!$B$2:$B$904,0))</f>
        <v>#N/A</v>
      </c>
      <c r="F1353" s="4" t="str">
        <f t="array" ref="F1353">INDEX(consolid1!$G$2:$G1534,MATCH(A1353,consolid1!$B$2:$B1534,0))</f>
        <v>#N/A</v>
      </c>
    </row>
    <row r="1354">
      <c r="A1354" s="4" t="s">
        <v>1584</v>
      </c>
      <c r="B1354" s="3">
        <v>0.0</v>
      </c>
      <c r="C1354" s="3" t="s">
        <v>6</v>
      </c>
      <c r="D1354" s="4" t="str">
        <f t="shared" si="1"/>
        <v>SANS</v>
      </c>
      <c r="E1354" s="4" t="str">
        <f t="array" ref="E1354">INDEX(consolid1!$I$2:$I$904,MATCH(A1354,consolid1!$B$2:$B$904,0))</f>
        <v>#N/A</v>
      </c>
      <c r="F1354" s="4" t="str">
        <f t="array" ref="F1354">INDEX(consolid1!$G$2:$G1534,MATCH(A1354,consolid1!$B$2:$B1534,0))</f>
        <v>#N/A</v>
      </c>
    </row>
    <row r="1355">
      <c r="A1355" s="4" t="s">
        <v>1587</v>
      </c>
      <c r="B1355" s="3">
        <v>0.0</v>
      </c>
      <c r="C1355" s="3" t="s">
        <v>3</v>
      </c>
      <c r="D1355" s="4" t="str">
        <f t="shared" si="1"/>
        <v>SANS</v>
      </c>
      <c r="E1355" s="4" t="str">
        <f t="array" ref="E1355">INDEX(consolid1!$I$2:$I$904,MATCH(A1355,consolid1!$B$2:$B$904,0))</f>
        <v>#N/A</v>
      </c>
      <c r="F1355" s="4" t="str">
        <f t="array" ref="F1355">INDEX(consolid1!$G$2:$G1534,MATCH(A1355,consolid1!$B$2:$B1534,0))</f>
        <v>#N/A</v>
      </c>
    </row>
    <row r="1356">
      <c r="A1356" s="4" t="s">
        <v>1588</v>
      </c>
      <c r="B1356" s="3">
        <v>0.0</v>
      </c>
      <c r="C1356" s="3" t="s">
        <v>3</v>
      </c>
      <c r="D1356" s="4" t="str">
        <f t="shared" si="1"/>
        <v>SANS</v>
      </c>
      <c r="E1356" s="4" t="str">
        <f t="array" ref="E1356">INDEX(consolid1!$I$2:$I$904,MATCH(A1356,consolid1!$B$2:$B$904,0))</f>
        <v>#N/A</v>
      </c>
      <c r="F1356" s="4" t="str">
        <f t="array" ref="F1356">INDEX(consolid1!$G$2:$G1534,MATCH(A1356,consolid1!$B$2:$B1534,0))</f>
        <v>#N/A</v>
      </c>
    </row>
    <row r="1357">
      <c r="A1357" s="4" t="s">
        <v>1591</v>
      </c>
      <c r="B1357" s="3">
        <v>0.0</v>
      </c>
      <c r="C1357" s="3" t="s">
        <v>3</v>
      </c>
      <c r="D1357" s="4" t="str">
        <f t="shared" si="1"/>
        <v>SANS</v>
      </c>
      <c r="E1357" s="4" t="str">
        <f t="array" ref="E1357">INDEX(consolid1!$I$2:$I$904,MATCH(A1357,consolid1!$B$2:$B$904,0))</f>
        <v>#N/A</v>
      </c>
      <c r="F1357" s="4" t="str">
        <f t="array" ref="F1357">INDEX(consolid1!$G$2:$G1534,MATCH(A1357,consolid1!$B$2:$B1534,0))</f>
        <v>#N/A</v>
      </c>
    </row>
    <row r="1358">
      <c r="A1358" s="4" t="s">
        <v>1593</v>
      </c>
      <c r="B1358" s="3">
        <v>0.0</v>
      </c>
      <c r="C1358" s="3" t="s">
        <v>3</v>
      </c>
      <c r="D1358" s="4" t="str">
        <f t="shared" si="1"/>
        <v>SANS</v>
      </c>
      <c r="E1358" s="4" t="str">
        <f t="array" ref="E1358">INDEX(consolid1!$I$2:$I$904,MATCH(A1358,consolid1!$B$2:$B$904,0))</f>
        <v>#N/A</v>
      </c>
      <c r="F1358" s="4" t="str">
        <f t="array" ref="F1358">INDEX(consolid1!$G$2:$G1534,MATCH(A1358,consolid1!$B$2:$B1534,0))</f>
        <v>#N/A</v>
      </c>
    </row>
    <row r="1359">
      <c r="A1359" s="4" t="s">
        <v>1595</v>
      </c>
      <c r="B1359" s="3">
        <v>0.0</v>
      </c>
      <c r="C1359" s="3" t="s">
        <v>6</v>
      </c>
      <c r="D1359" s="4" t="str">
        <f t="shared" si="1"/>
        <v>SANS</v>
      </c>
      <c r="E1359" s="4" t="str">
        <f t="array" ref="E1359">INDEX(consolid1!$I$2:$I$904,MATCH(A1359,consolid1!$B$2:$B$904,0))</f>
        <v>#N/A</v>
      </c>
      <c r="F1359" s="4" t="str">
        <f t="array" ref="F1359">INDEX(consolid1!$G$2:$G1534,MATCH(A1359,consolid1!$B$2:$B1534,0))</f>
        <v>#N/A</v>
      </c>
    </row>
    <row r="1360">
      <c r="A1360" s="4" t="s">
        <v>1598</v>
      </c>
      <c r="B1360" s="3">
        <v>0.0</v>
      </c>
      <c r="C1360" s="3" t="s">
        <v>32</v>
      </c>
      <c r="D1360" s="4" t="str">
        <f t="shared" si="1"/>
        <v>SANS</v>
      </c>
      <c r="E1360" s="4" t="str">
        <f t="array" ref="E1360">INDEX(consolid1!$I$2:$I$904,MATCH(A1360,consolid1!$B$2:$B$904,0))</f>
        <v>#N/A</v>
      </c>
      <c r="F1360" s="4" t="str">
        <f t="array" ref="F1360">INDEX(consolid1!$G$2:$G1534,MATCH(A1360,consolid1!$B$2:$B1534,0))</f>
        <v>#N/A</v>
      </c>
    </row>
    <row r="1361">
      <c r="A1361" s="4" t="s">
        <v>1599</v>
      </c>
      <c r="B1361" s="3">
        <v>0.0</v>
      </c>
      <c r="C1361" s="3" t="s">
        <v>6</v>
      </c>
      <c r="D1361" s="4" t="str">
        <f t="shared" si="1"/>
        <v>SANS</v>
      </c>
      <c r="E1361" s="4" t="str">
        <f t="array" ref="E1361">INDEX(consolid1!$I$2:$I$904,MATCH(A1361,consolid1!$B$2:$B$904,0))</f>
        <v>#N/A</v>
      </c>
      <c r="F1361" s="4" t="str">
        <f t="array" ref="F1361">INDEX(consolid1!$G$2:$G1534,MATCH(A1361,consolid1!$B$2:$B1534,0))</f>
        <v>#N/A</v>
      </c>
    </row>
    <row r="1362">
      <c r="A1362" s="4" t="s">
        <v>1607</v>
      </c>
      <c r="B1362" s="3">
        <v>0.0</v>
      </c>
      <c r="C1362" s="3" t="s">
        <v>3</v>
      </c>
      <c r="D1362" s="4" t="str">
        <f t="shared" si="1"/>
        <v>SANS</v>
      </c>
      <c r="E1362" s="4" t="str">
        <f t="array" ref="E1362">INDEX(consolid1!$I$2:$I$904,MATCH(A1362,consolid1!$B$2:$B$904,0))</f>
        <v>#N/A</v>
      </c>
      <c r="F1362" s="4" t="str">
        <f t="array" ref="F1362">INDEX(consolid1!$G$2:$G1534,MATCH(A1362,consolid1!$B$2:$B1534,0))</f>
        <v>#N/A</v>
      </c>
    </row>
    <row r="1363">
      <c r="A1363" s="4" t="s">
        <v>1608</v>
      </c>
      <c r="B1363" s="3">
        <v>0.0</v>
      </c>
      <c r="C1363" s="3" t="s">
        <v>3</v>
      </c>
      <c r="D1363" s="4" t="str">
        <f t="shared" si="1"/>
        <v>SANS</v>
      </c>
      <c r="E1363" s="4" t="str">
        <f t="array" ref="E1363">INDEX(consolid1!$I$2:$I$904,MATCH(A1363,consolid1!$B$2:$B$904,0))</f>
        <v>#N/A</v>
      </c>
      <c r="F1363" s="4" t="str">
        <f t="array" ref="F1363">INDEX(consolid1!$G$2:$G1534,MATCH(A1363,consolid1!$B$2:$B1534,0))</f>
        <v>#N/A</v>
      </c>
    </row>
    <row r="1364">
      <c r="A1364" s="4" t="s">
        <v>1614</v>
      </c>
      <c r="B1364" s="3">
        <v>0.0</v>
      </c>
      <c r="C1364" s="3" t="s">
        <v>3</v>
      </c>
      <c r="D1364" s="4" t="str">
        <f t="shared" si="1"/>
        <v>SANS</v>
      </c>
      <c r="E1364" s="4" t="str">
        <f t="array" ref="E1364">INDEX(consolid1!$I$2:$I$904,MATCH(A1364,consolid1!$B$2:$B$904,0))</f>
        <v>#N/A</v>
      </c>
      <c r="F1364" s="4" t="str">
        <f t="array" ref="F1364">INDEX(consolid1!$G$2:$G1534,MATCH(A1364,consolid1!$B$2:$B1534,0))</f>
        <v>#N/A</v>
      </c>
    </row>
    <row r="1365">
      <c r="A1365" s="4" t="s">
        <v>1617</v>
      </c>
      <c r="B1365" s="3">
        <v>0.0</v>
      </c>
      <c r="C1365" s="3" t="s">
        <v>3</v>
      </c>
      <c r="D1365" s="4" t="str">
        <f t="shared" si="1"/>
        <v>SANS</v>
      </c>
      <c r="E1365" s="4" t="str">
        <f t="array" ref="E1365">INDEX(consolid1!$I$2:$I$904,MATCH(A1365,consolid1!$B$2:$B$904,0))</f>
        <v>Culture</v>
      </c>
      <c r="F1365" s="4" t="str">
        <f t="array" ref="F1365">INDEX(consolid1!$G$2:$G1534,MATCH(A1365,consolid1!$B$2:$B1534,0))</f>
        <v>null</v>
      </c>
    </row>
    <row r="1366">
      <c r="A1366" s="4" t="s">
        <v>1618</v>
      </c>
      <c r="B1366" s="3">
        <v>0.0</v>
      </c>
      <c r="C1366" s="3" t="s">
        <v>3</v>
      </c>
      <c r="D1366" s="4" t="str">
        <f t="shared" si="1"/>
        <v>SANS</v>
      </c>
      <c r="E1366" s="4" t="str">
        <f t="array" ref="E1366">INDEX(consolid1!$I$2:$I$904,MATCH(A1366,consolid1!$B$2:$B$904,0))</f>
        <v>#N/A</v>
      </c>
      <c r="F1366" s="4" t="str">
        <f t="array" ref="F1366">INDEX(consolid1!$G$2:$G1534,MATCH(A1366,consolid1!$B$2:$B1534,0))</f>
        <v>#N/A</v>
      </c>
    </row>
    <row r="1367">
      <c r="A1367" s="4" t="s">
        <v>1619</v>
      </c>
      <c r="B1367" s="3">
        <v>0.0</v>
      </c>
      <c r="C1367" s="3" t="s">
        <v>29</v>
      </c>
      <c r="D1367" s="4" t="str">
        <f t="shared" si="1"/>
        <v>SANS</v>
      </c>
      <c r="E1367" s="4" t="str">
        <f t="array" ref="E1367">INDEX(consolid1!$I$2:$I$904,MATCH(A1367,consolid1!$B$2:$B$904,0))</f>
        <v>#N/A</v>
      </c>
      <c r="F1367" s="4" t="str">
        <f t="array" ref="F1367">INDEX(consolid1!$G$2:$G1534,MATCH(A1367,consolid1!$B$2:$B1534,0))</f>
        <v>#N/A</v>
      </c>
    </row>
    <row r="1368">
      <c r="A1368" s="4" t="s">
        <v>1622</v>
      </c>
      <c r="B1368" s="3">
        <v>0.0</v>
      </c>
      <c r="C1368" s="3" t="s">
        <v>3</v>
      </c>
      <c r="D1368" s="4" t="str">
        <f t="shared" si="1"/>
        <v>SANS</v>
      </c>
      <c r="E1368" s="4" t="str">
        <f t="array" ref="E1368">INDEX(consolid1!$I$2:$I$904,MATCH(A1368,consolid1!$B$2:$B$904,0))</f>
        <v>#N/A</v>
      </c>
      <c r="F1368" s="4" t="str">
        <f t="array" ref="F1368">INDEX(consolid1!$G$2:$G1534,MATCH(A1368,consolid1!$B$2:$B1534,0))</f>
        <v>#N/A</v>
      </c>
    </row>
    <row r="1369">
      <c r="A1369" s="4" t="s">
        <v>1623</v>
      </c>
      <c r="B1369" s="3">
        <v>0.0</v>
      </c>
      <c r="C1369" s="3" t="s">
        <v>6</v>
      </c>
      <c r="D1369" s="4" t="str">
        <f t="shared" si="1"/>
        <v>SANS</v>
      </c>
      <c r="E1369" s="4" t="str">
        <f t="array" ref="E1369">INDEX(consolid1!$I$2:$I$904,MATCH(A1369,consolid1!$B$2:$B$904,0))</f>
        <v>#N/A</v>
      </c>
      <c r="F1369" s="4" t="str">
        <f t="array" ref="F1369">INDEX(consolid1!$G$2:$G1534,MATCH(A1369,consolid1!$B$2:$B1534,0))</f>
        <v>#N/A</v>
      </c>
    </row>
    <row r="1370">
      <c r="A1370" s="4" t="s">
        <v>1625</v>
      </c>
      <c r="B1370" s="3">
        <v>0.0</v>
      </c>
      <c r="C1370" s="3" t="s">
        <v>29</v>
      </c>
      <c r="D1370" s="4" t="str">
        <f t="shared" si="1"/>
        <v>SANS</v>
      </c>
      <c r="E1370" s="4" t="str">
        <f t="array" ref="E1370">INDEX(consolid1!$I$2:$I$904,MATCH(A1370,consolid1!$B$2:$B$904,0))</f>
        <v>#N/A</v>
      </c>
      <c r="F1370" s="4" t="str">
        <f t="array" ref="F1370">INDEX(consolid1!$G$2:$G1534,MATCH(A1370,consolid1!$B$2:$B1534,0))</f>
        <v>#N/A</v>
      </c>
    </row>
    <row r="1371">
      <c r="A1371" s="4" t="s">
        <v>1627</v>
      </c>
      <c r="B1371" s="3">
        <v>0.0</v>
      </c>
      <c r="C1371" s="3" t="s">
        <v>6</v>
      </c>
      <c r="D1371" s="4" t="str">
        <f t="shared" si="1"/>
        <v>SANS</v>
      </c>
      <c r="E1371" s="4" t="str">
        <f t="array" ref="E1371">INDEX(consolid1!$I$2:$I$904,MATCH(A1371,consolid1!$B$2:$B$904,0))</f>
        <v>#N/A</v>
      </c>
      <c r="F1371" s="4" t="str">
        <f t="array" ref="F1371">INDEX(consolid1!$G$2:$G1534,MATCH(A1371,consolid1!$B$2:$B1534,0))</f>
        <v>#N/A</v>
      </c>
    </row>
    <row r="1372">
      <c r="A1372" s="4" t="s">
        <v>1629</v>
      </c>
      <c r="B1372" s="3">
        <v>0.0</v>
      </c>
      <c r="C1372" s="3" t="s">
        <v>3</v>
      </c>
      <c r="D1372" s="4" t="str">
        <f t="shared" si="1"/>
        <v>SANS</v>
      </c>
      <c r="E1372" s="4" t="str">
        <f t="array" ref="E1372">INDEX(consolid1!$I$2:$I$904,MATCH(A1372,consolid1!$B$2:$B$904,0))</f>
        <v>#N/A</v>
      </c>
      <c r="F1372" s="4" t="str">
        <f t="array" ref="F1372">INDEX(consolid1!$G$2:$G1534,MATCH(A1372,consolid1!$B$2:$B1534,0))</f>
        <v>#N/A</v>
      </c>
    </row>
    <row r="1373">
      <c r="A1373" s="4" t="s">
        <v>1630</v>
      </c>
      <c r="B1373" s="3">
        <v>0.0</v>
      </c>
      <c r="C1373" s="3" t="s">
        <v>3</v>
      </c>
      <c r="D1373" s="4" t="str">
        <f t="shared" si="1"/>
        <v>SANS</v>
      </c>
      <c r="E1373" s="4" t="str">
        <f t="array" ref="E1373">INDEX(consolid1!$I$2:$I$904,MATCH(A1373,consolid1!$B$2:$B$904,0))</f>
        <v>#N/A</v>
      </c>
      <c r="F1373" s="4" t="str">
        <f t="array" ref="F1373">INDEX(consolid1!$G$2:$G1534,MATCH(A1373,consolid1!$B$2:$B1534,0))</f>
        <v>#N/A</v>
      </c>
    </row>
    <row r="1374">
      <c r="A1374" s="4" t="s">
        <v>1631</v>
      </c>
      <c r="B1374" s="3">
        <v>0.0</v>
      </c>
      <c r="C1374" s="3" t="s">
        <v>3</v>
      </c>
      <c r="D1374" s="4" t="str">
        <f t="shared" si="1"/>
        <v>SANS</v>
      </c>
      <c r="E1374" s="4" t="str">
        <f t="array" ref="E1374">INDEX(consolid1!$I$2:$I$904,MATCH(A1374,consolid1!$B$2:$B$904,0))</f>
        <v>#N/A</v>
      </c>
      <c r="F1374" s="4" t="str">
        <f t="array" ref="F1374">INDEX(consolid1!$G$2:$G1534,MATCH(A1374,consolid1!$B$2:$B1534,0))</f>
        <v>#N/A</v>
      </c>
    </row>
    <row r="1375">
      <c r="A1375" s="4" t="s">
        <v>1632</v>
      </c>
      <c r="B1375" s="3">
        <v>0.0</v>
      </c>
      <c r="C1375" s="3" t="s">
        <v>3</v>
      </c>
      <c r="D1375" s="4" t="str">
        <f t="shared" si="1"/>
        <v>SANS</v>
      </c>
      <c r="E1375" s="4" t="str">
        <f t="array" ref="E1375">INDEX(consolid1!$I$2:$I$904,MATCH(A1375,consolid1!$B$2:$B$904,0))</f>
        <v>#N/A</v>
      </c>
      <c r="F1375" s="4" t="str">
        <f t="array" ref="F1375">INDEX(consolid1!$G$2:$G1534,MATCH(A1375,consolid1!$B$2:$B1534,0))</f>
        <v>#N/A</v>
      </c>
    </row>
    <row r="1376">
      <c r="A1376" s="4" t="s">
        <v>1633</v>
      </c>
      <c r="B1376" s="3">
        <v>0.0</v>
      </c>
      <c r="C1376" s="3" t="s">
        <v>668</v>
      </c>
      <c r="D1376" s="4" t="str">
        <f t="shared" si="1"/>
        <v>SANS</v>
      </c>
      <c r="E1376" s="4" t="str">
        <f t="array" ref="E1376">INDEX(consolid1!$I$2:$I$904,MATCH(A1376,consolid1!$B$2:$B$904,0))</f>
        <v>#N/A</v>
      </c>
      <c r="F1376" s="4" t="str">
        <f t="array" ref="F1376">INDEX(consolid1!$G$2:$G1534,MATCH(A1376,consolid1!$B$2:$B1534,0))</f>
        <v>#N/A</v>
      </c>
    </row>
    <row r="1377">
      <c r="A1377" s="4" t="s">
        <v>1634</v>
      </c>
      <c r="B1377" s="3">
        <v>0.0</v>
      </c>
      <c r="C1377" s="3" t="s">
        <v>3</v>
      </c>
      <c r="D1377" s="4" t="str">
        <f t="shared" si="1"/>
        <v>SANS</v>
      </c>
      <c r="E1377" s="4" t="str">
        <f t="array" ref="E1377">INDEX(consolid1!$I$2:$I$904,MATCH(A1377,consolid1!$B$2:$B$904,0))</f>
        <v>#N/A</v>
      </c>
      <c r="F1377" s="4" t="str">
        <f t="array" ref="F1377">INDEX(consolid1!$G$2:$G1534,MATCH(A1377,consolid1!$B$2:$B1534,0))</f>
        <v>#N/A</v>
      </c>
    </row>
    <row r="1378">
      <c r="A1378" s="4" t="s">
        <v>1645</v>
      </c>
      <c r="B1378" s="3">
        <v>0.0</v>
      </c>
      <c r="C1378" s="3" t="s">
        <v>3</v>
      </c>
      <c r="D1378" s="4" t="str">
        <f t="shared" si="1"/>
        <v>SANS</v>
      </c>
      <c r="E1378" s="4" t="str">
        <f t="array" ref="E1378">INDEX(consolid1!$I$2:$I$904,MATCH(A1378,consolid1!$B$2:$B$904,0))</f>
        <v>#N/A</v>
      </c>
      <c r="F1378" s="4" t="str">
        <f t="array" ref="F1378">INDEX(consolid1!$G$2:$G1534,MATCH(A1378,consolid1!$B$2:$B1534,0))</f>
        <v>#N/A</v>
      </c>
    </row>
    <row r="1379">
      <c r="A1379" s="4" t="s">
        <v>1646</v>
      </c>
      <c r="B1379" s="3">
        <v>0.0</v>
      </c>
      <c r="C1379" s="3" t="s">
        <v>32</v>
      </c>
      <c r="D1379" s="4" t="str">
        <f t="shared" si="1"/>
        <v>SANS</v>
      </c>
      <c r="E1379" s="4" t="str">
        <f t="array" ref="E1379">INDEX(consolid1!$I$2:$I$904,MATCH(A1379,consolid1!$B$2:$B$904,0))</f>
        <v>#N/A</v>
      </c>
      <c r="F1379" s="4" t="str">
        <f t="array" ref="F1379">INDEX(consolid1!$G$2:$G1534,MATCH(A1379,consolid1!$B$2:$B1534,0))</f>
        <v>#N/A</v>
      </c>
    </row>
    <row r="1380">
      <c r="A1380" s="4" t="s">
        <v>1650</v>
      </c>
      <c r="B1380" s="3">
        <v>0.0</v>
      </c>
      <c r="C1380" s="3" t="s">
        <v>1651</v>
      </c>
      <c r="D1380" s="4" t="str">
        <f t="shared" si="1"/>
        <v>SANS</v>
      </c>
      <c r="E1380" s="4" t="str">
        <f t="array" ref="E1380">INDEX(consolid1!$I$2:$I$904,MATCH(A1380,consolid1!$B$2:$B$904,0))</f>
        <v>#N/A</v>
      </c>
      <c r="F1380" s="4" t="str">
        <f t="array" ref="F1380">INDEX(consolid1!$G$2:$G1534,MATCH(A1380,consolid1!$B$2:$B1534,0))</f>
        <v>#N/A</v>
      </c>
    </row>
    <row r="1381">
      <c r="A1381" s="4" t="s">
        <v>1652</v>
      </c>
      <c r="B1381" s="3">
        <v>0.0</v>
      </c>
      <c r="C1381" s="3" t="s">
        <v>3</v>
      </c>
      <c r="D1381" s="4" t="str">
        <f t="shared" si="1"/>
        <v>SANS</v>
      </c>
      <c r="E1381" s="4" t="str">
        <f t="array" ref="E1381">INDEX(consolid1!$I$2:$I$904,MATCH(A1381,consolid1!$B$2:$B$904,0))</f>
        <v>#N/A</v>
      </c>
      <c r="F1381" s="4" t="str">
        <f t="array" ref="F1381">INDEX(consolid1!$G$2:$G1534,MATCH(A1381,consolid1!$B$2:$B1534,0))</f>
        <v>#N/A</v>
      </c>
    </row>
    <row r="1382">
      <c r="A1382" s="4" t="s">
        <v>1657</v>
      </c>
      <c r="B1382" s="3">
        <v>0.0</v>
      </c>
      <c r="C1382" s="3" t="s">
        <v>3</v>
      </c>
      <c r="D1382" s="4" t="str">
        <f t="shared" si="1"/>
        <v>SANS</v>
      </c>
      <c r="E1382" s="4" t="str">
        <f t="array" ref="E1382">INDEX(consolid1!$I$2:$I$904,MATCH(A1382,consolid1!$B$2:$B$904,0))</f>
        <v>#N/A</v>
      </c>
      <c r="F1382" s="4" t="str">
        <f t="array" ref="F1382">INDEX(consolid1!$G$2:$G1534,MATCH(A1382,consolid1!$B$2:$B1534,0))</f>
        <v>#N/A</v>
      </c>
    </row>
    <row r="1383">
      <c r="A1383" s="4" t="s">
        <v>1660</v>
      </c>
      <c r="B1383" s="3">
        <v>0.0</v>
      </c>
      <c r="C1383" s="3" t="s">
        <v>3</v>
      </c>
      <c r="D1383" s="4" t="str">
        <f t="shared" si="1"/>
        <v>SANS</v>
      </c>
      <c r="E1383" s="4" t="str">
        <f t="array" ref="E1383">INDEX(consolid1!$I$2:$I$904,MATCH(A1383,consolid1!$B$2:$B$904,0))</f>
        <v>#N/A</v>
      </c>
      <c r="F1383" s="4" t="str">
        <f t="array" ref="F1383">INDEX(consolid1!$G$2:$G1534,MATCH(A1383,consolid1!$B$2:$B1534,0))</f>
        <v>#N/A</v>
      </c>
    </row>
    <row r="1384">
      <c r="A1384" s="4" t="s">
        <v>1661</v>
      </c>
      <c r="B1384" s="3">
        <v>0.0</v>
      </c>
      <c r="C1384" s="3" t="s">
        <v>3</v>
      </c>
      <c r="D1384" s="4" t="str">
        <f t="shared" si="1"/>
        <v>SANS</v>
      </c>
      <c r="E1384" s="4" t="str">
        <f t="array" ref="E1384">INDEX(consolid1!$I$2:$I$904,MATCH(A1384,consolid1!$B$2:$B$904,0))</f>
        <v>#N/A</v>
      </c>
      <c r="F1384" s="4" t="str">
        <f t="array" ref="F1384">INDEX(consolid1!$G$2:$G1534,MATCH(A1384,consolid1!$B$2:$B1534,0))</f>
        <v>#N/A</v>
      </c>
    </row>
    <row r="1385">
      <c r="A1385" s="4" t="s">
        <v>1664</v>
      </c>
      <c r="B1385" s="3">
        <v>0.0</v>
      </c>
      <c r="C1385" s="3" t="s">
        <v>3</v>
      </c>
      <c r="D1385" s="4" t="str">
        <f t="shared" si="1"/>
        <v>SANS</v>
      </c>
      <c r="E1385" s="4" t="str">
        <f t="array" ref="E1385">INDEX(consolid1!$I$2:$I$904,MATCH(A1385,consolid1!$B$2:$B$904,0))</f>
        <v>#N/A</v>
      </c>
      <c r="F1385" s="4" t="str">
        <f t="array" ref="F1385">INDEX(consolid1!$G$2:$G1534,MATCH(A1385,consolid1!$B$2:$B1534,0))</f>
        <v>#N/A</v>
      </c>
    </row>
    <row r="1386">
      <c r="A1386" s="4" t="s">
        <v>1666</v>
      </c>
      <c r="B1386" s="3">
        <v>0.0</v>
      </c>
      <c r="C1386" s="3" t="s">
        <v>6</v>
      </c>
      <c r="D1386" s="4" t="str">
        <f t="shared" si="1"/>
        <v>SANS</v>
      </c>
      <c r="E1386" s="4" t="str">
        <f t="array" ref="E1386">INDEX(consolid1!$I$2:$I$904,MATCH(A1386,consolid1!$B$2:$B$904,0))</f>
        <v>#N/A</v>
      </c>
      <c r="F1386" s="4" t="str">
        <f t="array" ref="F1386">INDEX(consolid1!$G$2:$G1534,MATCH(A1386,consolid1!$B$2:$B1534,0))</f>
        <v>#N/A</v>
      </c>
    </row>
    <row r="1387">
      <c r="A1387" s="4" t="s">
        <v>1668</v>
      </c>
      <c r="B1387" s="3">
        <v>0.0</v>
      </c>
      <c r="C1387" s="3" t="s">
        <v>3</v>
      </c>
      <c r="D1387" s="4" t="str">
        <f t="shared" si="1"/>
        <v>SANS</v>
      </c>
      <c r="E1387" s="4" t="str">
        <f t="array" ref="E1387">INDEX(consolid1!$I$2:$I$904,MATCH(A1387,consolid1!$B$2:$B$904,0))</f>
        <v>#N/A</v>
      </c>
      <c r="F1387" s="4" t="str">
        <f t="array" ref="F1387">INDEX(consolid1!$G$2:$G1534,MATCH(A1387,consolid1!$B$2:$B1534,0))</f>
        <v>#N/A</v>
      </c>
    </row>
    <row r="1388">
      <c r="A1388" s="4" t="s">
        <v>1670</v>
      </c>
      <c r="B1388" s="3">
        <v>0.0</v>
      </c>
      <c r="C1388" s="3" t="s">
        <v>3</v>
      </c>
      <c r="D1388" s="4" t="str">
        <f t="shared" si="1"/>
        <v>SANS</v>
      </c>
      <c r="E1388" s="4" t="str">
        <f t="array" ref="E1388">INDEX(consolid1!$I$2:$I$904,MATCH(A1388,consolid1!$B$2:$B$904,0))</f>
        <v>#N/A</v>
      </c>
      <c r="F1388" s="4" t="str">
        <f t="array" ref="F1388">INDEX(consolid1!$G$2:$G1534,MATCH(A1388,consolid1!$B$2:$B1534,0))</f>
        <v>#N/A</v>
      </c>
    </row>
    <row r="1389">
      <c r="A1389" s="4" t="s">
        <v>1675</v>
      </c>
      <c r="B1389" s="3">
        <v>0.0</v>
      </c>
      <c r="C1389" s="3" t="s">
        <v>3</v>
      </c>
      <c r="D1389" s="4" t="str">
        <f t="shared" si="1"/>
        <v>SANS</v>
      </c>
      <c r="E1389" s="4" t="str">
        <f t="array" ref="E1389">INDEX(consolid1!$I$2:$I$904,MATCH(A1389,consolid1!$B$2:$B$904,0))</f>
        <v>#N/A</v>
      </c>
      <c r="F1389" s="4" t="str">
        <f t="array" ref="F1389">INDEX(consolid1!$G$2:$G1534,MATCH(A1389,consolid1!$B$2:$B1534,0))</f>
        <v>#N/A</v>
      </c>
    </row>
    <row r="1390">
      <c r="A1390" s="4" t="s">
        <v>2290</v>
      </c>
      <c r="B1390" s="3">
        <v>0.0</v>
      </c>
      <c r="C1390" s="3" t="s">
        <v>3</v>
      </c>
      <c r="D1390" s="4" t="str">
        <f t="shared" si="1"/>
        <v>SANS</v>
      </c>
      <c r="E1390" s="4" t="str">
        <f t="array" ref="E1390">INDEX(consolid1!$I$2:$I$904,MATCH(A1390,consolid1!$B$2:$B$904,0))</f>
        <v>#N/A</v>
      </c>
      <c r="F1390" s="4" t="str">
        <f t="array" ref="F1390">INDEX(consolid1!$G$2:$G1534,MATCH(A1390,consolid1!$B$2:$B1534,0))</f>
        <v>#N/A</v>
      </c>
    </row>
    <row r="1391">
      <c r="A1391" s="4" t="s">
        <v>1682</v>
      </c>
      <c r="B1391" s="3">
        <v>0.0</v>
      </c>
      <c r="C1391" s="3" t="s">
        <v>3</v>
      </c>
      <c r="D1391" s="4" t="str">
        <f t="shared" si="1"/>
        <v>SANS</v>
      </c>
      <c r="E1391" s="4" t="str">
        <f t="array" ref="E1391">INDEX(consolid1!$I$2:$I$904,MATCH(A1391,consolid1!$B$2:$B$904,0))</f>
        <v>#N/A</v>
      </c>
      <c r="F1391" s="4" t="str">
        <f t="array" ref="F1391">INDEX(consolid1!$G$2:$G1534,MATCH(A1391,consolid1!$B$2:$B1534,0))</f>
        <v>#N/A</v>
      </c>
    </row>
    <row r="1392">
      <c r="A1392" s="4" t="s">
        <v>1685</v>
      </c>
      <c r="B1392" s="3">
        <v>0.0</v>
      </c>
      <c r="C1392" s="3" t="s">
        <v>3</v>
      </c>
      <c r="D1392" s="4" t="str">
        <f t="shared" si="1"/>
        <v>SANS</v>
      </c>
      <c r="E1392" s="4" t="str">
        <f t="array" ref="E1392">INDEX(consolid1!$I$2:$I$904,MATCH(A1392,consolid1!$B$2:$B$904,0))</f>
        <v>#N/A</v>
      </c>
      <c r="F1392" s="4" t="str">
        <f t="array" ref="F1392">INDEX(consolid1!$G$2:$G1534,MATCH(A1392,consolid1!$B$2:$B1534,0))</f>
        <v>#N/A</v>
      </c>
    </row>
    <row r="1393">
      <c r="A1393" s="4" t="s">
        <v>1686</v>
      </c>
      <c r="B1393" s="3">
        <v>0.0</v>
      </c>
      <c r="C1393" s="3" t="s">
        <v>3</v>
      </c>
      <c r="D1393" s="4" t="str">
        <f t="shared" si="1"/>
        <v>SANS</v>
      </c>
      <c r="E1393" s="4" t="str">
        <f t="array" ref="E1393">INDEX(consolid1!$I$2:$I$904,MATCH(A1393,consolid1!$B$2:$B$904,0))</f>
        <v>#N/A</v>
      </c>
      <c r="F1393" s="4" t="str">
        <f t="array" ref="F1393">INDEX(consolid1!$G$2:$G1534,MATCH(A1393,consolid1!$B$2:$B1534,0))</f>
        <v>#N/A</v>
      </c>
    </row>
    <row r="1394">
      <c r="A1394" s="4" t="s">
        <v>1687</v>
      </c>
      <c r="B1394" s="3">
        <v>0.0</v>
      </c>
      <c r="C1394" s="3" t="s">
        <v>29</v>
      </c>
      <c r="D1394" s="4" t="str">
        <f t="shared" si="1"/>
        <v>SANS</v>
      </c>
      <c r="E1394" s="4" t="str">
        <f t="array" ref="E1394">INDEX(consolid1!$I$2:$I$904,MATCH(A1394,consolid1!$B$2:$B$904,0))</f>
        <v>#N/A</v>
      </c>
      <c r="F1394" s="4" t="str">
        <f t="array" ref="F1394">INDEX(consolid1!$G$2:$G1534,MATCH(A1394,consolid1!$B$2:$B1534,0))</f>
        <v>#N/A</v>
      </c>
    </row>
    <row r="1395">
      <c r="A1395" s="4" t="s">
        <v>1690</v>
      </c>
      <c r="B1395" s="3">
        <v>0.0</v>
      </c>
      <c r="C1395" s="3" t="s">
        <v>29</v>
      </c>
      <c r="D1395" s="4" t="str">
        <f t="shared" si="1"/>
        <v>SANS</v>
      </c>
      <c r="E1395" s="4" t="str">
        <f t="array" ref="E1395">INDEX(consolid1!$I$2:$I$904,MATCH(A1395,consolid1!$B$2:$B$904,0))</f>
        <v>#N/A</v>
      </c>
      <c r="F1395" s="4" t="str">
        <f t="array" ref="F1395">INDEX(consolid1!$G$2:$G1534,MATCH(A1395,consolid1!$B$2:$B1534,0))</f>
        <v>#N/A</v>
      </c>
    </row>
    <row r="1396">
      <c r="A1396" s="4" t="s">
        <v>1691</v>
      </c>
      <c r="B1396" s="3">
        <v>0.0</v>
      </c>
      <c r="C1396" s="3" t="s">
        <v>484</v>
      </c>
      <c r="D1396" s="4" t="str">
        <f t="shared" si="1"/>
        <v>SANS</v>
      </c>
      <c r="E1396" s="4" t="str">
        <f t="array" ref="E1396">INDEX(consolid1!$I$2:$I$904,MATCH(A1396,consolid1!$B$2:$B$904,0))</f>
        <v>#N/A</v>
      </c>
      <c r="F1396" s="4" t="str">
        <f t="array" ref="F1396">INDEX(consolid1!$G$2:$G1534,MATCH(A1396,consolid1!$B$2:$B1534,0))</f>
        <v>#N/A</v>
      </c>
    </row>
    <row r="1397">
      <c r="A1397" s="4" t="s">
        <v>1694</v>
      </c>
      <c r="B1397" s="3">
        <v>0.0</v>
      </c>
      <c r="C1397" s="3" t="s">
        <v>32</v>
      </c>
      <c r="D1397" s="4" t="str">
        <f t="shared" si="1"/>
        <v>SANS</v>
      </c>
      <c r="E1397" s="4" t="str">
        <f t="array" ref="E1397">INDEX(consolid1!$I$2:$I$904,MATCH(A1397,consolid1!$B$2:$B$904,0))</f>
        <v>#N/A</v>
      </c>
      <c r="F1397" s="4" t="str">
        <f t="array" ref="F1397">INDEX(consolid1!$G$2:$G1534,MATCH(A1397,consolid1!$B$2:$B1534,0))</f>
        <v>#N/A</v>
      </c>
    </row>
    <row r="1398">
      <c r="A1398" s="4" t="s">
        <v>1695</v>
      </c>
      <c r="B1398" s="3">
        <v>0.0</v>
      </c>
      <c r="C1398" s="3" t="s">
        <v>3</v>
      </c>
      <c r="D1398" s="4" t="str">
        <f t="shared" si="1"/>
        <v>SANS</v>
      </c>
      <c r="E1398" s="4" t="str">
        <f t="array" ref="E1398">INDEX(consolid1!$I$2:$I$904,MATCH(A1398,consolid1!$B$2:$B$904,0))</f>
        <v>#N/A</v>
      </c>
      <c r="F1398" s="4" t="str">
        <f t="array" ref="F1398">INDEX(consolid1!$G$2:$G1534,MATCH(A1398,consolid1!$B$2:$B1534,0))</f>
        <v>#N/A</v>
      </c>
    </row>
    <row r="1399">
      <c r="A1399" s="4" t="s">
        <v>1699</v>
      </c>
      <c r="B1399" s="3">
        <v>0.0</v>
      </c>
      <c r="C1399" s="3" t="s">
        <v>3</v>
      </c>
      <c r="D1399" s="4" t="str">
        <f t="shared" si="1"/>
        <v>SANS</v>
      </c>
      <c r="E1399" s="4" t="str">
        <f t="array" ref="E1399">INDEX(consolid1!$I$2:$I$904,MATCH(A1399,consolid1!$B$2:$B$904,0))</f>
        <v>#N/A</v>
      </c>
      <c r="F1399" s="4" t="str">
        <f t="array" ref="F1399">INDEX(consolid1!$G$2:$G1534,MATCH(A1399,consolid1!$B$2:$B1534,0))</f>
        <v>#N/A</v>
      </c>
    </row>
    <row r="1400">
      <c r="A1400" s="4" t="s">
        <v>1700</v>
      </c>
      <c r="B1400" s="3">
        <v>0.0</v>
      </c>
      <c r="C1400" s="3" t="s">
        <v>3</v>
      </c>
      <c r="D1400" s="4" t="str">
        <f t="shared" si="1"/>
        <v>SANS</v>
      </c>
      <c r="E1400" s="4" t="str">
        <f t="array" ref="E1400">INDEX(consolid1!$I$2:$I$904,MATCH(A1400,consolid1!$B$2:$B$904,0))</f>
        <v>#N/A</v>
      </c>
      <c r="F1400" s="4" t="str">
        <f t="array" ref="F1400">INDEX(consolid1!$G$2:$G1534,MATCH(A1400,consolid1!$B$2:$B1534,0))</f>
        <v>#N/A</v>
      </c>
    </row>
    <row r="1401">
      <c r="A1401" s="4" t="s">
        <v>1703</v>
      </c>
      <c r="B1401" s="3">
        <v>0.0</v>
      </c>
      <c r="C1401" s="3" t="s">
        <v>3</v>
      </c>
      <c r="D1401" s="4" t="str">
        <f t="shared" si="1"/>
        <v>SANS</v>
      </c>
      <c r="E1401" s="4" t="str">
        <f t="array" ref="E1401">INDEX(consolid1!$I$2:$I$904,MATCH(A1401,consolid1!$B$2:$B$904,0))</f>
        <v>Culture</v>
      </c>
      <c r="F1401" s="4" t="str">
        <f t="array" ref="F1401">INDEX(consolid1!$G$2:$G1534,MATCH(A1401,consolid1!$B$2:$B1534,0))</f>
        <v>Claude Roussillon</v>
      </c>
    </row>
    <row r="1402">
      <c r="A1402" s="4" t="s">
        <v>1704</v>
      </c>
      <c r="B1402" s="3">
        <v>0.0</v>
      </c>
      <c r="C1402" s="3" t="s">
        <v>3</v>
      </c>
      <c r="D1402" s="4" t="str">
        <f t="shared" si="1"/>
        <v>SANS</v>
      </c>
      <c r="E1402" s="4" t="str">
        <f t="array" ref="E1402">INDEX(consolid1!$I$2:$I$904,MATCH(A1402,consolid1!$B$2:$B$904,0))</f>
        <v>#N/A</v>
      </c>
      <c r="F1402" s="4" t="str">
        <f t="array" ref="F1402">INDEX(consolid1!$G$2:$G1534,MATCH(A1402,consolid1!$B$2:$B1534,0))</f>
        <v>#N/A</v>
      </c>
    </row>
    <row r="1403">
      <c r="A1403" s="4" t="s">
        <v>1705</v>
      </c>
      <c r="B1403" s="3">
        <v>0.0</v>
      </c>
      <c r="C1403" s="3" t="s">
        <v>3</v>
      </c>
      <c r="D1403" s="4" t="str">
        <f t="shared" si="1"/>
        <v>SANS</v>
      </c>
      <c r="E1403" s="4" t="str">
        <f t="array" ref="E1403">INDEX(consolid1!$I$2:$I$904,MATCH(A1403,consolid1!$B$2:$B$904,0))</f>
        <v>#N/A</v>
      </c>
      <c r="F1403" s="4" t="str">
        <f t="array" ref="F1403">INDEX(consolid1!$G$2:$G1534,MATCH(A1403,consolid1!$B$2:$B1534,0))</f>
        <v>#N/A</v>
      </c>
    </row>
    <row r="1404">
      <c r="A1404" s="4" t="s">
        <v>1706</v>
      </c>
      <c r="B1404" s="3">
        <v>0.0</v>
      </c>
      <c r="C1404" s="3" t="s">
        <v>6</v>
      </c>
      <c r="D1404" s="4" t="str">
        <f t="shared" si="1"/>
        <v>SANS</v>
      </c>
      <c r="E1404" s="4" t="str">
        <f t="array" ref="E1404">INDEX(consolid1!$I$2:$I$904,MATCH(A1404,consolid1!$B$2:$B$904,0))</f>
        <v>#N/A</v>
      </c>
      <c r="F1404" s="4" t="str">
        <f t="array" ref="F1404">INDEX(consolid1!$G$2:$G1534,MATCH(A1404,consolid1!$B$2:$B1534,0))</f>
        <v>#N/A</v>
      </c>
    </row>
    <row r="1405">
      <c r="A1405" s="4" t="s">
        <v>1707</v>
      </c>
      <c r="B1405" s="3">
        <v>0.0</v>
      </c>
      <c r="C1405" s="3" t="s">
        <v>6</v>
      </c>
      <c r="D1405" s="4" t="str">
        <f t="shared" si="1"/>
        <v>SANS</v>
      </c>
      <c r="E1405" s="4" t="str">
        <f t="array" ref="E1405">INDEX(consolid1!$I$2:$I$904,MATCH(A1405,consolid1!$B$2:$B$904,0))</f>
        <v>#N/A</v>
      </c>
      <c r="F1405" s="4" t="str">
        <f t="array" ref="F1405">INDEX(consolid1!$G$2:$G1534,MATCH(A1405,consolid1!$B$2:$B1534,0))</f>
        <v>#N/A</v>
      </c>
    </row>
    <row r="1406">
      <c r="A1406" s="4" t="s">
        <v>1708</v>
      </c>
      <c r="B1406" s="3">
        <v>0.0</v>
      </c>
      <c r="C1406" s="3" t="s">
        <v>3</v>
      </c>
      <c r="D1406" s="4" t="str">
        <f t="shared" si="1"/>
        <v>SANS</v>
      </c>
      <c r="E1406" s="4" t="str">
        <f t="array" ref="E1406">INDEX(consolid1!$I$2:$I$904,MATCH(A1406,consolid1!$B$2:$B$904,0))</f>
        <v>#N/A</v>
      </c>
      <c r="F1406" s="4" t="str">
        <f t="array" ref="F1406">INDEX(consolid1!$G$2:$G1534,MATCH(A1406,consolid1!$B$2:$B1534,0))</f>
        <v>#N/A</v>
      </c>
    </row>
    <row r="1407">
      <c r="A1407" s="4" t="s">
        <v>1711</v>
      </c>
      <c r="B1407" s="3">
        <v>0.0</v>
      </c>
      <c r="C1407" s="3" t="s">
        <v>3</v>
      </c>
      <c r="D1407" s="4" t="str">
        <f t="shared" si="1"/>
        <v>SANS</v>
      </c>
      <c r="E1407" s="4" t="str">
        <f t="array" ref="E1407">INDEX(consolid1!$I$2:$I$904,MATCH(A1407,consolid1!$B$2:$B$904,0))</f>
        <v>#N/A</v>
      </c>
      <c r="F1407" s="4" t="str">
        <f t="array" ref="F1407">INDEX(consolid1!$G$2:$G1534,MATCH(A1407,consolid1!$B$2:$B1534,0))</f>
        <v>#N/A</v>
      </c>
    </row>
    <row r="1408">
      <c r="A1408" s="4" t="s">
        <v>1720</v>
      </c>
      <c r="B1408" s="3">
        <v>0.0</v>
      </c>
      <c r="C1408" s="3" t="s">
        <v>3</v>
      </c>
      <c r="D1408" s="4" t="str">
        <f t="shared" si="1"/>
        <v>SANS</v>
      </c>
      <c r="E1408" s="4" t="str">
        <f t="array" ref="E1408">INDEX(consolid1!$I$2:$I$904,MATCH(A1408,consolid1!$B$2:$B$904,0))</f>
        <v>#N/A</v>
      </c>
      <c r="F1408" s="4" t="str">
        <f t="array" ref="F1408">INDEX(consolid1!$G$2:$G1534,MATCH(A1408,consolid1!$B$2:$B1534,0))</f>
        <v>#N/A</v>
      </c>
    </row>
    <row r="1409">
      <c r="A1409" s="4" t="s">
        <v>1721</v>
      </c>
      <c r="B1409" s="3">
        <v>0.0</v>
      </c>
      <c r="C1409" s="3" t="s">
        <v>3</v>
      </c>
      <c r="D1409" s="4" t="str">
        <f t="shared" si="1"/>
        <v>SANS</v>
      </c>
      <c r="E1409" s="4" t="str">
        <f t="array" ref="E1409">INDEX(consolid1!$I$2:$I$904,MATCH(A1409,consolid1!$B$2:$B$904,0))</f>
        <v>null</v>
      </c>
      <c r="F1409" s="4" t="str">
        <f t="array" ref="F1409">INDEX(consolid1!$G$2:$G1534,MATCH(A1409,consolid1!$B$2:$B1534,0))</f>
        <v>null</v>
      </c>
    </row>
    <row r="1410">
      <c r="A1410" s="4" t="s">
        <v>1722</v>
      </c>
      <c r="B1410" s="3">
        <v>0.0</v>
      </c>
      <c r="C1410" s="3" t="s">
        <v>3</v>
      </c>
      <c r="D1410" s="4" t="str">
        <f t="shared" si="1"/>
        <v>SANS</v>
      </c>
      <c r="E1410" s="4" t="str">
        <f t="array" ref="E1410">INDEX(consolid1!$I$2:$I$904,MATCH(A1410,consolid1!$B$2:$B$904,0))</f>
        <v>#N/A</v>
      </c>
      <c r="F1410" s="4" t="str">
        <f t="array" ref="F1410">INDEX(consolid1!$G$2:$G1534,MATCH(A1410,consolid1!$B$2:$B1534,0))</f>
        <v>#N/A</v>
      </c>
    </row>
    <row r="1411">
      <c r="A1411" s="4" t="s">
        <v>2293</v>
      </c>
      <c r="B1411" s="3">
        <v>0.0</v>
      </c>
      <c r="C1411" s="3" t="s">
        <v>32</v>
      </c>
      <c r="D1411" s="4" t="str">
        <f t="shared" si="1"/>
        <v>SANS</v>
      </c>
      <c r="E1411" s="4" t="str">
        <f t="array" ref="E1411">INDEX(consolid1!$I$2:$I$904,MATCH(A1411,consolid1!$B$2:$B$904,0))</f>
        <v>#N/A</v>
      </c>
      <c r="F1411" s="4" t="str">
        <f t="array" ref="F1411">INDEX(consolid1!$G$2:$G1534,MATCH(A1411,consolid1!$B$2:$B1534,0))</f>
        <v>#N/A</v>
      </c>
    </row>
    <row r="1412">
      <c r="A1412" s="4" t="s">
        <v>1728</v>
      </c>
      <c r="B1412" s="3">
        <v>0.0</v>
      </c>
      <c r="C1412" s="3" t="s">
        <v>3</v>
      </c>
      <c r="D1412" s="4" t="str">
        <f t="shared" si="1"/>
        <v>SANS</v>
      </c>
      <c r="E1412" s="4" t="str">
        <f t="array" ref="E1412">INDEX(consolid1!$I$2:$I$904,MATCH(A1412,consolid1!$B$2:$B$904,0))</f>
        <v>#N/A</v>
      </c>
      <c r="F1412" s="4" t="str">
        <f t="array" ref="F1412">INDEX(consolid1!$G$2:$G1534,MATCH(A1412,consolid1!$B$2:$B1534,0))</f>
        <v>#N/A</v>
      </c>
    </row>
    <row r="1413">
      <c r="A1413" s="4" t="s">
        <v>1729</v>
      </c>
      <c r="B1413" s="3">
        <v>0.0</v>
      </c>
      <c r="C1413" s="3" t="s">
        <v>3</v>
      </c>
      <c r="D1413" s="4" t="str">
        <f t="shared" si="1"/>
        <v>SANS</v>
      </c>
      <c r="E1413" s="4" t="str">
        <f t="array" ref="E1413">INDEX(consolid1!$I$2:$I$904,MATCH(A1413,consolid1!$B$2:$B$904,0))</f>
        <v>#N/A</v>
      </c>
      <c r="F1413" s="4" t="str">
        <f t="array" ref="F1413">INDEX(consolid1!$G$2:$G1534,MATCH(A1413,consolid1!$B$2:$B1534,0))</f>
        <v>#N/A</v>
      </c>
    </row>
    <row r="1414">
      <c r="A1414" s="4" t="s">
        <v>1730</v>
      </c>
      <c r="B1414" s="3">
        <v>0.0</v>
      </c>
      <c r="C1414" s="3" t="s">
        <v>29</v>
      </c>
      <c r="D1414" s="4" t="str">
        <f t="shared" si="1"/>
        <v>SANS</v>
      </c>
      <c r="E1414" s="4" t="str">
        <f t="array" ref="E1414">INDEX(consolid1!$I$2:$I$904,MATCH(A1414,consolid1!$B$2:$B$904,0))</f>
        <v>#N/A</v>
      </c>
      <c r="F1414" s="4" t="str">
        <f t="array" ref="F1414">INDEX(consolid1!$G$2:$G1534,MATCH(A1414,consolid1!$B$2:$B1534,0))</f>
        <v>#N/A</v>
      </c>
    </row>
    <row r="1415">
      <c r="A1415" s="4" t="s">
        <v>1731</v>
      </c>
      <c r="B1415" s="3">
        <v>0.0</v>
      </c>
      <c r="C1415" s="3" t="s">
        <v>6</v>
      </c>
      <c r="D1415" s="4" t="str">
        <f t="shared" si="1"/>
        <v>SANS</v>
      </c>
      <c r="E1415" s="4" t="str">
        <f t="array" ref="E1415">INDEX(consolid1!$I$2:$I$904,MATCH(A1415,consolid1!$B$2:$B$904,0))</f>
        <v>#N/A</v>
      </c>
      <c r="F1415" s="4" t="str">
        <f t="array" ref="F1415">INDEX(consolid1!$G$2:$G1534,MATCH(A1415,consolid1!$B$2:$B1534,0))</f>
        <v>#N/A</v>
      </c>
    </row>
    <row r="1416">
      <c r="A1416" s="4" t="s">
        <v>1732</v>
      </c>
      <c r="B1416" s="3">
        <v>0.0</v>
      </c>
      <c r="C1416" s="3" t="s">
        <v>3</v>
      </c>
      <c r="D1416" s="4" t="str">
        <f t="shared" si="1"/>
        <v>SANS</v>
      </c>
      <c r="E1416" s="4" t="str">
        <f t="array" ref="E1416">INDEX(consolid1!$I$2:$I$904,MATCH(A1416,consolid1!$B$2:$B$904,0))</f>
        <v>#N/A</v>
      </c>
      <c r="F1416" s="4" t="str">
        <f t="array" ref="F1416">INDEX(consolid1!$G$2:$G1534,MATCH(A1416,consolid1!$B$2:$B1534,0))</f>
        <v>#N/A</v>
      </c>
    </row>
    <row r="1417">
      <c r="A1417" s="4" t="s">
        <v>1737</v>
      </c>
      <c r="B1417" s="3">
        <v>0.0</v>
      </c>
      <c r="C1417" s="3" t="s">
        <v>3</v>
      </c>
      <c r="D1417" s="4" t="str">
        <f t="shared" si="1"/>
        <v>SANS</v>
      </c>
      <c r="E1417" s="4" t="str">
        <f t="array" ref="E1417">INDEX(consolid1!$I$2:$I$904,MATCH(A1417,consolid1!$B$2:$B$904,0))</f>
        <v>Culture</v>
      </c>
      <c r="F1417" s="4" t="str">
        <f t="array" ref="F1417">INDEX(consolid1!$G$2:$G1534,MATCH(A1417,consolid1!$B$2:$B1534,0))</f>
        <v>null</v>
      </c>
    </row>
    <row r="1418">
      <c r="A1418" s="4" t="s">
        <v>1740</v>
      </c>
      <c r="B1418" s="3">
        <v>0.0</v>
      </c>
      <c r="C1418" s="3" t="s">
        <v>3</v>
      </c>
      <c r="D1418" s="4" t="str">
        <f t="shared" si="1"/>
        <v>SANS</v>
      </c>
      <c r="E1418" s="4" t="str">
        <f t="array" ref="E1418">INDEX(consolid1!$I$2:$I$904,MATCH(A1418,consolid1!$B$2:$B$904,0))</f>
        <v>Culture</v>
      </c>
      <c r="F1418" s="4" t="str">
        <f t="array" ref="F1418">INDEX(consolid1!$G$2:$G1534,MATCH(A1418,consolid1!$B$2:$B1534,0))</f>
        <v>Marie Thérèse Audineau</v>
      </c>
    </row>
    <row r="1419">
      <c r="A1419" s="4" t="s">
        <v>2294</v>
      </c>
      <c r="B1419" s="3">
        <v>0.0</v>
      </c>
      <c r="C1419" s="3" t="s">
        <v>3</v>
      </c>
      <c r="D1419" s="4" t="str">
        <f t="shared" si="1"/>
        <v>SANS</v>
      </c>
      <c r="E1419" s="4" t="str">
        <f t="array" ref="E1419">INDEX(consolid1!$I$2:$I$904,MATCH(A1419,consolid1!$B$2:$B$904,0))</f>
        <v>#N/A</v>
      </c>
      <c r="F1419" s="4" t="str">
        <f t="array" ref="F1419">INDEX(consolid1!$G$2:$G1534,MATCH(A1419,consolid1!$B$2:$B1534,0))</f>
        <v>#N/A</v>
      </c>
    </row>
    <row r="1420">
      <c r="A1420" s="4" t="s">
        <v>1743</v>
      </c>
      <c r="B1420" s="3">
        <v>0.0</v>
      </c>
      <c r="C1420" s="3" t="s">
        <v>3</v>
      </c>
      <c r="D1420" s="4" t="str">
        <f t="shared" si="1"/>
        <v>SANS</v>
      </c>
      <c r="E1420" s="4" t="str">
        <f t="array" ref="E1420">INDEX(consolid1!$I$2:$I$904,MATCH(A1420,consolid1!$B$2:$B$904,0))</f>
        <v>#N/A</v>
      </c>
      <c r="F1420" s="4" t="str">
        <f t="array" ref="F1420">INDEX(consolid1!$G$2:$G1534,MATCH(A1420,consolid1!$B$2:$B1534,0))</f>
        <v>#N/A</v>
      </c>
    </row>
    <row r="1421">
      <c r="A1421" s="4" t="s">
        <v>1749</v>
      </c>
      <c r="B1421" s="3">
        <v>0.0</v>
      </c>
      <c r="C1421" s="3" t="s">
        <v>6</v>
      </c>
      <c r="D1421" s="4" t="str">
        <f t="shared" si="1"/>
        <v>SANS</v>
      </c>
      <c r="E1421" s="4" t="str">
        <f t="array" ref="E1421">INDEX(consolid1!$I$2:$I$904,MATCH(A1421,consolid1!$B$2:$B$904,0))</f>
        <v>#N/A</v>
      </c>
      <c r="F1421" s="4" t="str">
        <f t="array" ref="F1421">INDEX(consolid1!$G$2:$G1534,MATCH(A1421,consolid1!$B$2:$B1534,0))</f>
        <v>#N/A</v>
      </c>
    </row>
    <row r="1422">
      <c r="A1422" s="4" t="s">
        <v>1750</v>
      </c>
      <c r="B1422" s="3">
        <v>0.0</v>
      </c>
      <c r="C1422" s="3" t="s">
        <v>6</v>
      </c>
      <c r="D1422" s="4" t="str">
        <f t="shared" si="1"/>
        <v>SANS</v>
      </c>
      <c r="E1422" s="4" t="str">
        <f t="array" ref="E1422">INDEX(consolid1!$I$2:$I$904,MATCH(A1422,consolid1!$B$2:$B$904,0))</f>
        <v>#N/A</v>
      </c>
      <c r="F1422" s="4" t="str">
        <f t="array" ref="F1422">INDEX(consolid1!$G$2:$G1534,MATCH(A1422,consolid1!$B$2:$B1534,0))</f>
        <v>#N/A</v>
      </c>
    </row>
    <row r="1423">
      <c r="A1423" s="4" t="s">
        <v>1753</v>
      </c>
      <c r="B1423" s="3">
        <v>0.0</v>
      </c>
      <c r="C1423" s="3" t="s">
        <v>32</v>
      </c>
      <c r="D1423" s="4" t="str">
        <f t="shared" si="1"/>
        <v>SANS</v>
      </c>
      <c r="E1423" s="4" t="str">
        <f t="array" ref="E1423">INDEX(consolid1!$I$2:$I$904,MATCH(A1423,consolid1!$B$2:$B$904,0))</f>
        <v>#N/A</v>
      </c>
      <c r="F1423" s="4" t="str">
        <f t="array" ref="F1423">INDEX(consolid1!$G$2:$G1534,MATCH(A1423,consolid1!$B$2:$B1534,0))</f>
        <v>#N/A</v>
      </c>
    </row>
    <row r="1424">
      <c r="A1424" s="4" t="s">
        <v>1755</v>
      </c>
      <c r="B1424" s="3">
        <v>0.0</v>
      </c>
      <c r="C1424" s="3" t="s">
        <v>3</v>
      </c>
      <c r="D1424" s="4" t="str">
        <f t="shared" si="1"/>
        <v>SANS</v>
      </c>
      <c r="E1424" s="4" t="str">
        <f t="array" ref="E1424">INDEX(consolid1!$I$2:$I$904,MATCH(A1424,consolid1!$B$2:$B$904,0))</f>
        <v>#N/A</v>
      </c>
      <c r="F1424" s="4" t="str">
        <f t="array" ref="F1424">INDEX(consolid1!$G$2:$G1534,MATCH(A1424,consolid1!$B$2:$B1534,0))</f>
        <v>#N/A</v>
      </c>
    </row>
    <row r="1425">
      <c r="A1425" s="4" t="s">
        <v>1760</v>
      </c>
      <c r="B1425" s="3">
        <v>0.0</v>
      </c>
      <c r="C1425" s="3" t="s">
        <v>3</v>
      </c>
      <c r="D1425" s="4" t="str">
        <f t="shared" si="1"/>
        <v>SANS</v>
      </c>
      <c r="E1425" s="4" t="str">
        <f t="array" ref="E1425">INDEX(consolid1!$I$2:$I$904,MATCH(A1425,consolid1!$B$2:$B$904,0))</f>
        <v>#N/A</v>
      </c>
      <c r="F1425" s="4" t="str">
        <f t="array" ref="F1425">INDEX(consolid1!$G$2:$G1534,MATCH(A1425,consolid1!$B$2:$B1534,0))</f>
        <v>#N/A</v>
      </c>
    </row>
    <row r="1426">
      <c r="A1426" s="4" t="s">
        <v>1763</v>
      </c>
      <c r="B1426" s="3">
        <v>0.0</v>
      </c>
      <c r="C1426" s="3" t="s">
        <v>3</v>
      </c>
      <c r="D1426" s="4" t="str">
        <f t="shared" si="1"/>
        <v>SANS</v>
      </c>
      <c r="E1426" s="4" t="str">
        <f t="array" ref="E1426">INDEX(consolid1!$I$2:$I$904,MATCH(A1426,consolid1!$B$2:$B$904,0))</f>
        <v>#N/A</v>
      </c>
      <c r="F1426" s="4" t="str">
        <f t="array" ref="F1426">INDEX(consolid1!$G$2:$G1534,MATCH(A1426,consolid1!$B$2:$B1534,0))</f>
        <v>#N/A</v>
      </c>
    </row>
    <row r="1427">
      <c r="A1427" s="4" t="s">
        <v>1768</v>
      </c>
      <c r="B1427" s="3">
        <v>0.0</v>
      </c>
      <c r="C1427" s="3" t="s">
        <v>6</v>
      </c>
      <c r="D1427" s="4" t="str">
        <f t="shared" si="1"/>
        <v>SANS</v>
      </c>
      <c r="E1427" s="4" t="str">
        <f t="array" ref="E1427">INDEX(consolid1!$I$2:$I$904,MATCH(A1427,consolid1!$B$2:$B$904,0))</f>
        <v>#N/A</v>
      </c>
      <c r="F1427" s="4" t="str">
        <f t="array" ref="F1427">INDEX(consolid1!$G$2:$G1534,MATCH(A1427,consolid1!$B$2:$B1534,0))</f>
        <v>#N/A</v>
      </c>
    </row>
    <row r="1428">
      <c r="A1428" s="4" t="s">
        <v>1769</v>
      </c>
      <c r="B1428" s="3">
        <v>0.0</v>
      </c>
      <c r="C1428" s="3" t="s">
        <v>3</v>
      </c>
      <c r="D1428" s="4" t="str">
        <f t="shared" si="1"/>
        <v>SANS</v>
      </c>
      <c r="E1428" s="4" t="str">
        <f t="array" ref="E1428">INDEX(consolid1!$I$2:$I$904,MATCH(A1428,consolid1!$B$2:$B$904,0))</f>
        <v>#N/A</v>
      </c>
      <c r="F1428" s="4" t="str">
        <f t="array" ref="F1428">INDEX(consolid1!$G$2:$G1534,MATCH(A1428,consolid1!$B$2:$B1534,0))</f>
        <v>#N/A</v>
      </c>
    </row>
    <row r="1429">
      <c r="A1429" s="4" t="s">
        <v>1770</v>
      </c>
      <c r="B1429" s="3">
        <v>0.0</v>
      </c>
      <c r="C1429" s="3" t="s">
        <v>29</v>
      </c>
      <c r="D1429" s="4" t="str">
        <f t="shared" si="1"/>
        <v>SANS</v>
      </c>
      <c r="E1429" s="4" t="str">
        <f t="array" ref="E1429">INDEX(consolid1!$I$2:$I$904,MATCH(A1429,consolid1!$B$2:$B$904,0))</f>
        <v>#N/A</v>
      </c>
      <c r="F1429" s="4" t="str">
        <f t="array" ref="F1429">INDEX(consolid1!$G$2:$G1534,MATCH(A1429,consolid1!$B$2:$B1534,0))</f>
        <v>#N/A</v>
      </c>
    </row>
    <row r="1430">
      <c r="A1430" s="4" t="s">
        <v>1771</v>
      </c>
      <c r="B1430" s="3">
        <v>0.0</v>
      </c>
      <c r="C1430" s="3" t="s">
        <v>3</v>
      </c>
      <c r="D1430" s="4" t="str">
        <f t="shared" si="1"/>
        <v>SANS</v>
      </c>
      <c r="E1430" s="4" t="str">
        <f t="array" ref="E1430">INDEX(consolid1!$I$2:$I$904,MATCH(A1430,consolid1!$B$2:$B$904,0))</f>
        <v>#N/A</v>
      </c>
      <c r="F1430" s="4" t="str">
        <f t="array" ref="F1430">INDEX(consolid1!$G$2:$G1534,MATCH(A1430,consolid1!$B$2:$B1534,0))</f>
        <v>#N/A</v>
      </c>
    </row>
    <row r="1431">
      <c r="A1431" s="4" t="s">
        <v>1772</v>
      </c>
      <c r="B1431" s="3">
        <v>0.0</v>
      </c>
      <c r="C1431" s="3" t="s">
        <v>32</v>
      </c>
      <c r="D1431" s="4" t="str">
        <f t="shared" si="1"/>
        <v>SANS</v>
      </c>
      <c r="E1431" s="4" t="str">
        <f t="array" ref="E1431">INDEX(consolid1!$I$2:$I$904,MATCH(A1431,consolid1!$B$2:$B$904,0))</f>
        <v>#N/A</v>
      </c>
      <c r="F1431" s="4" t="str">
        <f t="array" ref="F1431">INDEX(consolid1!$G$2:$G1534,MATCH(A1431,consolid1!$B$2:$B1534,0))</f>
        <v>#N/A</v>
      </c>
    </row>
    <row r="1432">
      <c r="A1432" s="4" t="s">
        <v>1780</v>
      </c>
      <c r="B1432" s="3">
        <v>0.0</v>
      </c>
      <c r="C1432" s="3" t="s">
        <v>32</v>
      </c>
      <c r="D1432" s="4" t="str">
        <f t="shared" si="1"/>
        <v>SANS</v>
      </c>
      <c r="E1432" s="4" t="str">
        <f t="array" ref="E1432">INDEX(consolid1!$I$2:$I$904,MATCH(A1432,consolid1!$B$2:$B$904,0))</f>
        <v>#N/A</v>
      </c>
      <c r="F1432" s="4" t="str">
        <f t="array" ref="F1432">INDEX(consolid1!$G$2:$G1534,MATCH(A1432,consolid1!$B$2:$B1534,0))</f>
        <v>#N/A</v>
      </c>
    </row>
    <row r="1433">
      <c r="A1433" s="4" t="s">
        <v>1784</v>
      </c>
      <c r="B1433" s="3">
        <v>0.0</v>
      </c>
      <c r="C1433" s="3" t="s">
        <v>3</v>
      </c>
      <c r="D1433" s="4" t="str">
        <f t="shared" si="1"/>
        <v>SANS</v>
      </c>
      <c r="E1433" s="4" t="str">
        <f t="array" ref="E1433">INDEX(consolid1!$I$2:$I$904,MATCH(A1433,consolid1!$B$2:$B$904,0))</f>
        <v>#N/A</v>
      </c>
      <c r="F1433" s="4" t="str">
        <f t="array" ref="F1433">INDEX(consolid1!$G$2:$G1534,MATCH(A1433,consolid1!$B$2:$B1534,0))</f>
        <v>#N/A</v>
      </c>
    </row>
    <row r="1434">
      <c r="A1434" s="4" t="s">
        <v>1785</v>
      </c>
      <c r="B1434" s="3">
        <v>0.0</v>
      </c>
      <c r="C1434" s="3" t="s">
        <v>3</v>
      </c>
      <c r="D1434" s="4" t="str">
        <f t="shared" si="1"/>
        <v>SANS</v>
      </c>
      <c r="E1434" s="4" t="str">
        <f t="array" ref="E1434">INDEX(consolid1!$I$2:$I$904,MATCH(A1434,consolid1!$B$2:$B$904,0))</f>
        <v>#N/A</v>
      </c>
      <c r="F1434" s="4" t="str">
        <f t="array" ref="F1434">INDEX(consolid1!$G$2:$G1534,MATCH(A1434,consolid1!$B$2:$B1534,0))</f>
        <v>#N/A</v>
      </c>
    </row>
    <row r="1435">
      <c r="A1435" s="4" t="s">
        <v>1786</v>
      </c>
      <c r="B1435" s="3">
        <v>0.0</v>
      </c>
      <c r="C1435" s="3" t="s">
        <v>6</v>
      </c>
      <c r="D1435" s="4" t="str">
        <f t="shared" si="1"/>
        <v>SANS</v>
      </c>
      <c r="E1435" s="4" t="str">
        <f t="array" ref="E1435">INDEX(consolid1!$I$2:$I$904,MATCH(A1435,consolid1!$B$2:$B$904,0))</f>
        <v>#N/A</v>
      </c>
      <c r="F1435" s="4" t="str">
        <f t="array" ref="F1435">INDEX(consolid1!$G$2:$G1534,MATCH(A1435,consolid1!$B$2:$B1534,0))</f>
        <v>#N/A</v>
      </c>
    </row>
    <row r="1436">
      <c r="A1436" s="4" t="s">
        <v>1794</v>
      </c>
      <c r="B1436" s="3">
        <v>0.0</v>
      </c>
      <c r="C1436" s="3" t="s">
        <v>3</v>
      </c>
      <c r="D1436" s="4" t="str">
        <f t="shared" si="1"/>
        <v>SANS</v>
      </c>
      <c r="E1436" s="4" t="str">
        <f t="array" ref="E1436">INDEX(consolid1!$I$2:$I$904,MATCH(A1436,consolid1!$B$2:$B$904,0))</f>
        <v>#N/A</v>
      </c>
      <c r="F1436" s="4" t="str">
        <f t="array" ref="F1436">INDEX(consolid1!$G$2:$G1534,MATCH(A1436,consolid1!$B$2:$B1534,0))</f>
        <v>#N/A</v>
      </c>
    </row>
    <row r="1437">
      <c r="A1437" s="4" t="s">
        <v>1796</v>
      </c>
      <c r="B1437" s="3">
        <v>0.0</v>
      </c>
      <c r="C1437" s="3" t="s">
        <v>3</v>
      </c>
      <c r="D1437" s="4" t="str">
        <f t="shared" si="1"/>
        <v>SANS</v>
      </c>
      <c r="E1437" s="4" t="str">
        <f t="array" ref="E1437">INDEX(consolid1!$I$2:$I$904,MATCH(A1437,consolid1!$B$2:$B$904,0))</f>
        <v>Loisirs</v>
      </c>
      <c r="F1437" s="4" t="str">
        <f t="array" ref="F1437">INDEX(consolid1!$G$2:$G1534,MATCH(A1437,consolid1!$B$2:$B1534,0))</f>
        <v>Serge CUTILLAS</v>
      </c>
    </row>
    <row r="1438">
      <c r="A1438" s="4" t="s">
        <v>2297</v>
      </c>
      <c r="B1438" s="3">
        <v>0.0</v>
      </c>
      <c r="C1438" s="3" t="s">
        <v>32</v>
      </c>
      <c r="D1438" s="4" t="str">
        <f t="shared" si="1"/>
        <v>SANS</v>
      </c>
      <c r="E1438" s="4" t="str">
        <f t="array" ref="E1438">INDEX(consolid1!$I$2:$I$904,MATCH(A1438,consolid1!$B$2:$B$904,0))</f>
        <v>#N/A</v>
      </c>
      <c r="F1438" s="4" t="str">
        <f t="array" ref="F1438">INDEX(consolid1!$G$2:$G1534,MATCH(A1438,consolid1!$B$2:$B1534,0))</f>
        <v>#N/A</v>
      </c>
    </row>
    <row r="1439">
      <c r="A1439" s="4" t="s">
        <v>1799</v>
      </c>
      <c r="B1439" s="3">
        <v>0.0</v>
      </c>
      <c r="C1439" s="3" t="s">
        <v>29</v>
      </c>
      <c r="D1439" s="4" t="str">
        <f t="shared" si="1"/>
        <v>SANS</v>
      </c>
      <c r="E1439" s="4" t="str">
        <f t="array" ref="E1439">INDEX(consolid1!$I$2:$I$904,MATCH(A1439,consolid1!$B$2:$B$904,0))</f>
        <v>#N/A</v>
      </c>
      <c r="F1439" s="4" t="str">
        <f t="array" ref="F1439">INDEX(consolid1!$G$2:$G1534,MATCH(A1439,consolid1!$B$2:$B1534,0))</f>
        <v>#N/A</v>
      </c>
    </row>
    <row r="1440">
      <c r="A1440" s="4" t="s">
        <v>2299</v>
      </c>
      <c r="B1440" s="3">
        <v>0.0</v>
      </c>
      <c r="C1440" s="3" t="s">
        <v>6</v>
      </c>
      <c r="D1440" s="4" t="str">
        <f t="shared" si="1"/>
        <v>SANS</v>
      </c>
      <c r="E1440" s="4" t="str">
        <f t="array" ref="E1440">INDEX(consolid1!$I$2:$I$904,MATCH(A1440,consolid1!$B$2:$B$904,0))</f>
        <v>#N/A</v>
      </c>
      <c r="F1440" s="4" t="str">
        <f t="array" ref="F1440">INDEX(consolid1!$G$2:$G1534,MATCH(A1440,consolid1!$B$2:$B1534,0))</f>
        <v>#N/A</v>
      </c>
    </row>
    <row r="1441">
      <c r="A1441" s="4" t="s">
        <v>2300</v>
      </c>
      <c r="B1441" s="3">
        <v>0.0</v>
      </c>
      <c r="C1441" s="3" t="s">
        <v>29</v>
      </c>
      <c r="D1441" s="4" t="str">
        <f t="shared" si="1"/>
        <v>SANS</v>
      </c>
      <c r="E1441" s="4" t="str">
        <f t="array" ref="E1441">INDEX(consolid1!$I$2:$I$904,MATCH(A1441,consolid1!$B$2:$B$904,0))</f>
        <v>#N/A</v>
      </c>
      <c r="F1441" s="4" t="str">
        <f t="array" ref="F1441">INDEX(consolid1!$G$2:$G1534,MATCH(A1441,consolid1!$B$2:$B1534,0))</f>
        <v>#N/A</v>
      </c>
    </row>
    <row r="1442">
      <c r="A1442" s="4" t="s">
        <v>1807</v>
      </c>
      <c r="B1442" s="3">
        <v>0.0</v>
      </c>
      <c r="C1442" s="3" t="s">
        <v>668</v>
      </c>
      <c r="D1442" s="4" t="str">
        <f t="shared" si="1"/>
        <v>SANS</v>
      </c>
      <c r="E1442" s="4" t="str">
        <f t="array" ref="E1442">INDEX(consolid1!$I$2:$I$904,MATCH(A1442,consolid1!$B$2:$B$904,0))</f>
        <v>#N/A</v>
      </c>
      <c r="F1442" s="4" t="str">
        <f t="array" ref="F1442">INDEX(consolid1!$G$2:$G1534,MATCH(A1442,consolid1!$B$2:$B1534,0))</f>
        <v>#N/A</v>
      </c>
    </row>
    <row r="1443">
      <c r="A1443" s="4" t="s">
        <v>1814</v>
      </c>
      <c r="B1443" s="3">
        <v>0.0</v>
      </c>
      <c r="C1443" s="3" t="s">
        <v>3</v>
      </c>
      <c r="D1443" s="4" t="str">
        <f t="shared" si="1"/>
        <v>SANS</v>
      </c>
      <c r="E1443" s="4" t="str">
        <f t="array" ref="E1443">INDEX(consolid1!$I$2:$I$904,MATCH(A1443,consolid1!$B$2:$B$904,0))</f>
        <v>#N/A</v>
      </c>
      <c r="F1443" s="4" t="str">
        <f t="array" ref="F1443">INDEX(consolid1!$G$2:$G1534,MATCH(A1443,consolid1!$B$2:$B1534,0))</f>
        <v>#N/A</v>
      </c>
    </row>
    <row r="1444">
      <c r="A1444" s="4" t="s">
        <v>2302</v>
      </c>
      <c r="B1444" s="3">
        <v>0.0</v>
      </c>
      <c r="C1444" s="3" t="s">
        <v>3</v>
      </c>
      <c r="D1444" s="4" t="str">
        <f t="shared" si="1"/>
        <v>SANS</v>
      </c>
      <c r="E1444" s="4" t="str">
        <f t="array" ref="E1444">INDEX(consolid1!$I$2:$I$904,MATCH(A1444,consolid1!$B$2:$B$904,0))</f>
        <v>#N/A</v>
      </c>
      <c r="F1444" s="4" t="str">
        <f t="array" ref="F1444">INDEX(consolid1!$G$2:$G1534,MATCH(A1444,consolid1!$B$2:$B1534,0))</f>
        <v>#N/A</v>
      </c>
    </row>
    <row r="1445">
      <c r="A1445" s="4" t="s">
        <v>1818</v>
      </c>
      <c r="B1445" s="3">
        <v>0.0</v>
      </c>
      <c r="C1445" s="3" t="s">
        <v>3</v>
      </c>
      <c r="D1445" s="4" t="str">
        <f t="shared" si="1"/>
        <v>SANS</v>
      </c>
      <c r="E1445" s="4" t="str">
        <f t="array" ref="E1445">INDEX(consolid1!$I$2:$I$904,MATCH(A1445,consolid1!$B$2:$B$904,0))</f>
        <v>#N/A</v>
      </c>
      <c r="F1445" s="4" t="str">
        <f t="array" ref="F1445">INDEX(consolid1!$G$2:$G1534,MATCH(A1445,consolid1!$B$2:$B1534,0))</f>
        <v>#N/A</v>
      </c>
    </row>
    <row r="1446">
      <c r="A1446" s="4" t="s">
        <v>1821</v>
      </c>
      <c r="B1446" s="3">
        <v>0.0</v>
      </c>
      <c r="C1446" s="3" t="s">
        <v>3</v>
      </c>
      <c r="D1446" s="4" t="str">
        <f t="shared" si="1"/>
        <v>SANS</v>
      </c>
      <c r="E1446" s="4" t="str">
        <f t="array" ref="E1446">INDEX(consolid1!$I$2:$I$904,MATCH(A1446,consolid1!$B$2:$B$904,0))</f>
        <v>#N/A</v>
      </c>
      <c r="F1446" s="4" t="str">
        <f t="array" ref="F1446">INDEX(consolid1!$G$2:$G1534,MATCH(A1446,consolid1!$B$2:$B1534,0))</f>
        <v>#N/A</v>
      </c>
    </row>
    <row r="1447">
      <c r="A1447" s="4" t="s">
        <v>1825</v>
      </c>
      <c r="B1447" s="3">
        <v>0.0</v>
      </c>
      <c r="C1447" s="3" t="s">
        <v>3</v>
      </c>
      <c r="D1447" s="4" t="str">
        <f t="shared" si="1"/>
        <v>SANS</v>
      </c>
      <c r="E1447" s="4" t="str">
        <f t="array" ref="E1447">INDEX(consolid1!$I$2:$I$904,MATCH(A1447,consolid1!$B$2:$B$904,0))</f>
        <v>#N/A</v>
      </c>
      <c r="F1447" s="4" t="str">
        <f t="array" ref="F1447">INDEX(consolid1!$G$2:$G1534,MATCH(A1447,consolid1!$B$2:$B1534,0))</f>
        <v>#N/A</v>
      </c>
    </row>
    <row r="1448">
      <c r="A1448" s="4" t="s">
        <v>1826</v>
      </c>
      <c r="B1448" s="3">
        <v>0.0</v>
      </c>
      <c r="C1448" s="3" t="s">
        <v>3</v>
      </c>
      <c r="D1448" s="4" t="str">
        <f t="shared" si="1"/>
        <v>SANS</v>
      </c>
      <c r="E1448" s="4" t="str">
        <f t="array" ref="E1448">INDEX(consolid1!$I$2:$I$904,MATCH(A1448,consolid1!$B$2:$B$904,0))</f>
        <v>#N/A</v>
      </c>
      <c r="F1448" s="4" t="str">
        <f t="array" ref="F1448">INDEX(consolid1!$G$2:$G1534,MATCH(A1448,consolid1!$B$2:$B1534,0))</f>
        <v>#N/A</v>
      </c>
    </row>
    <row r="1449">
      <c r="A1449" s="4" t="s">
        <v>2305</v>
      </c>
      <c r="B1449" s="3">
        <v>0.0</v>
      </c>
      <c r="C1449" s="3" t="s">
        <v>3</v>
      </c>
      <c r="D1449" s="4" t="str">
        <f t="shared" si="1"/>
        <v>SANS</v>
      </c>
      <c r="E1449" s="4" t="str">
        <f t="array" ref="E1449">INDEX(consolid1!$I$2:$I$904,MATCH(A1449,consolid1!$B$2:$B$904,0))</f>
        <v>#N/A</v>
      </c>
      <c r="F1449" s="4" t="str">
        <f t="array" ref="F1449">INDEX(consolid1!$G$2:$G1534,MATCH(A1449,consolid1!$B$2:$B1534,0))</f>
        <v>#N/A</v>
      </c>
    </row>
    <row r="1450">
      <c r="A1450" s="4" t="s">
        <v>1829</v>
      </c>
      <c r="B1450" s="3">
        <v>0.0</v>
      </c>
      <c r="C1450" s="3" t="s">
        <v>3</v>
      </c>
      <c r="D1450" s="4" t="str">
        <f t="shared" si="1"/>
        <v>SANS</v>
      </c>
      <c r="E1450" s="4" t="str">
        <f t="array" ref="E1450">INDEX(consolid1!$I$2:$I$904,MATCH(A1450,consolid1!$B$2:$B$904,0))</f>
        <v>#N/A</v>
      </c>
      <c r="F1450" s="4" t="str">
        <f t="array" ref="F1450">INDEX(consolid1!$G$2:$G1534,MATCH(A1450,consolid1!$B$2:$B1534,0))</f>
        <v>#N/A</v>
      </c>
    </row>
    <row r="1451">
      <c r="A1451" s="4" t="s">
        <v>1831</v>
      </c>
      <c r="B1451" s="3">
        <v>0.0</v>
      </c>
      <c r="C1451" s="3" t="s">
        <v>3</v>
      </c>
      <c r="D1451" s="4" t="str">
        <f t="shared" si="1"/>
        <v>SANS</v>
      </c>
      <c r="E1451" s="4" t="str">
        <f t="array" ref="E1451">INDEX(consolid1!$I$2:$I$904,MATCH(A1451,consolid1!$B$2:$B$904,0))</f>
        <v>#N/A</v>
      </c>
      <c r="F1451" s="4" t="str">
        <f t="array" ref="F1451">INDEX(consolid1!$G$2:$G1534,MATCH(A1451,consolid1!$B$2:$B1534,0))</f>
        <v>#N/A</v>
      </c>
    </row>
    <row r="1452">
      <c r="A1452" s="4" t="s">
        <v>1834</v>
      </c>
      <c r="B1452" s="3">
        <v>0.0</v>
      </c>
      <c r="C1452" s="3" t="s">
        <v>29</v>
      </c>
      <c r="D1452" s="4" t="str">
        <f t="shared" si="1"/>
        <v>SANS</v>
      </c>
      <c r="E1452" s="4" t="str">
        <f t="array" ref="E1452">INDEX(consolid1!$I$2:$I$904,MATCH(A1452,consolid1!$B$2:$B$904,0))</f>
        <v>#N/A</v>
      </c>
      <c r="F1452" s="4" t="str">
        <f t="array" ref="F1452">INDEX(consolid1!$G$2:$G1534,MATCH(A1452,consolid1!$B$2:$B1534,0))</f>
        <v>#N/A</v>
      </c>
    </row>
    <row r="1453">
      <c r="A1453" s="4" t="s">
        <v>1837</v>
      </c>
      <c r="B1453" s="3">
        <v>0.0</v>
      </c>
      <c r="C1453" s="3" t="s">
        <v>3</v>
      </c>
      <c r="D1453" s="4" t="str">
        <f t="shared" si="1"/>
        <v>SANS</v>
      </c>
      <c r="E1453" s="4" t="str">
        <f t="array" ref="E1453">INDEX(consolid1!$I$2:$I$904,MATCH(A1453,consolid1!$B$2:$B$904,0))</f>
        <v>#N/A</v>
      </c>
      <c r="F1453" s="4" t="str">
        <f t="array" ref="F1453">INDEX(consolid1!$G$2:$G1534,MATCH(A1453,consolid1!$B$2:$B1534,0))</f>
        <v>#N/A</v>
      </c>
    </row>
    <row r="1454">
      <c r="A1454" s="4" t="s">
        <v>1840</v>
      </c>
      <c r="B1454" s="3">
        <v>0.0</v>
      </c>
      <c r="C1454" s="3" t="s">
        <v>3</v>
      </c>
      <c r="D1454" s="4" t="str">
        <f t="shared" si="1"/>
        <v>SANS</v>
      </c>
      <c r="E1454" s="4" t="str">
        <f t="array" ref="E1454">INDEX(consolid1!$I$2:$I$904,MATCH(A1454,consolid1!$B$2:$B$904,0))</f>
        <v>#N/A</v>
      </c>
      <c r="F1454" s="4" t="str">
        <f t="array" ref="F1454">INDEX(consolid1!$G$2:$G1534,MATCH(A1454,consolid1!$B$2:$B1534,0))</f>
        <v>#N/A</v>
      </c>
    </row>
    <row r="1455">
      <c r="A1455" s="4" t="s">
        <v>1841</v>
      </c>
      <c r="B1455" s="3">
        <v>0.0</v>
      </c>
      <c r="C1455" s="3" t="s">
        <v>29</v>
      </c>
      <c r="D1455" s="4" t="str">
        <f t="shared" si="1"/>
        <v>SANS</v>
      </c>
      <c r="E1455" s="4" t="str">
        <f t="array" ref="E1455">INDEX(consolid1!$I$2:$I$904,MATCH(A1455,consolid1!$B$2:$B$904,0))</f>
        <v>#N/A</v>
      </c>
      <c r="F1455" s="4" t="str">
        <f t="array" ref="F1455">INDEX(consolid1!$G$2:$G1534,MATCH(A1455,consolid1!$B$2:$B1534,0))</f>
        <v>#N/A</v>
      </c>
    </row>
    <row r="1456">
      <c r="A1456" s="4" t="s">
        <v>1843</v>
      </c>
      <c r="B1456" s="3">
        <v>0.0</v>
      </c>
      <c r="C1456" s="3" t="s">
        <v>3</v>
      </c>
      <c r="D1456" s="4" t="str">
        <f t="shared" si="1"/>
        <v>SANS</v>
      </c>
      <c r="E1456" s="4" t="str">
        <f t="array" ref="E1456">INDEX(consolid1!$I$2:$I$904,MATCH(A1456,consolid1!$B$2:$B$904,0))</f>
        <v>#N/A</v>
      </c>
      <c r="F1456" s="4" t="str">
        <f t="array" ref="F1456">INDEX(consolid1!$G$2:$G1534,MATCH(A1456,consolid1!$B$2:$B1534,0))</f>
        <v>#N/A</v>
      </c>
    </row>
    <row r="1457">
      <c r="A1457" s="4" t="s">
        <v>2307</v>
      </c>
      <c r="B1457" s="3">
        <v>0.0</v>
      </c>
      <c r="C1457" s="3" t="s">
        <v>32</v>
      </c>
      <c r="D1457" s="4" t="str">
        <f t="shared" si="1"/>
        <v>SANS</v>
      </c>
      <c r="E1457" s="4" t="str">
        <f t="array" ref="E1457">INDEX(consolid1!$I$2:$I$904,MATCH(A1457,consolid1!$B$2:$B$904,0))</f>
        <v>#N/A</v>
      </c>
      <c r="F1457" s="4" t="str">
        <f t="array" ref="F1457">INDEX(consolid1!$G$2:$G1534,MATCH(A1457,consolid1!$B$2:$B1534,0))</f>
        <v>#N/A</v>
      </c>
    </row>
    <row r="1458">
      <c r="A1458" s="4" t="s">
        <v>1846</v>
      </c>
      <c r="B1458" s="3">
        <v>0.0</v>
      </c>
      <c r="C1458" s="3" t="s">
        <v>6</v>
      </c>
      <c r="D1458" s="4" t="str">
        <f t="shared" si="1"/>
        <v>SANS</v>
      </c>
      <c r="E1458" s="4" t="str">
        <f t="array" ref="E1458">INDEX(consolid1!$I$2:$I$904,MATCH(A1458,consolid1!$B$2:$B$904,0))</f>
        <v>#N/A</v>
      </c>
      <c r="F1458" s="4" t="str">
        <f t="array" ref="F1458">INDEX(consolid1!$G$2:$G1534,MATCH(A1458,consolid1!$B$2:$B1534,0))</f>
        <v>#N/A</v>
      </c>
    </row>
    <row r="1459">
      <c r="A1459" s="4" t="s">
        <v>1847</v>
      </c>
      <c r="B1459" s="3">
        <v>0.0</v>
      </c>
      <c r="C1459" s="3" t="s">
        <v>6</v>
      </c>
      <c r="D1459" s="4" t="str">
        <f t="shared" si="1"/>
        <v>SANS</v>
      </c>
      <c r="E1459" s="4" t="str">
        <f t="array" ref="E1459">INDEX(consolid1!$I$2:$I$904,MATCH(A1459,consolid1!$B$2:$B$904,0))</f>
        <v>#N/A</v>
      </c>
      <c r="F1459" s="4" t="str">
        <f t="array" ref="F1459">INDEX(consolid1!$G$2:$G1534,MATCH(A1459,consolid1!$B$2:$B1534,0))</f>
        <v>#N/A</v>
      </c>
    </row>
    <row r="1460">
      <c r="A1460" s="4" t="s">
        <v>1854</v>
      </c>
      <c r="B1460" s="3">
        <v>0.0</v>
      </c>
      <c r="C1460" s="3" t="s">
        <v>6</v>
      </c>
      <c r="D1460" s="4" t="str">
        <f t="shared" si="1"/>
        <v>SANS</v>
      </c>
      <c r="E1460" s="4" t="str">
        <f t="array" ref="E1460">INDEX(consolid1!$I$2:$I$904,MATCH(A1460,consolid1!$B$2:$B$904,0))</f>
        <v>#N/A</v>
      </c>
      <c r="F1460" s="4" t="str">
        <f t="array" ref="F1460">INDEX(consolid1!$G$2:$G1534,MATCH(A1460,consolid1!$B$2:$B1534,0))</f>
        <v>#N/A</v>
      </c>
    </row>
    <row r="1461">
      <c r="A1461" s="4" t="s">
        <v>1855</v>
      </c>
      <c r="B1461" s="3">
        <v>0.0</v>
      </c>
      <c r="C1461" s="3" t="s">
        <v>29</v>
      </c>
      <c r="D1461" s="4" t="str">
        <f t="shared" si="1"/>
        <v>SANS</v>
      </c>
      <c r="E1461" s="4" t="str">
        <f t="array" ref="E1461">INDEX(consolid1!$I$2:$I$904,MATCH(A1461,consolid1!$B$2:$B$904,0))</f>
        <v>#N/A</v>
      </c>
      <c r="F1461" s="4" t="str">
        <f t="array" ref="F1461">INDEX(consolid1!$G$2:$G1534,MATCH(A1461,consolid1!$B$2:$B1534,0))</f>
        <v>#N/A</v>
      </c>
    </row>
    <row r="1462">
      <c r="A1462" s="4" t="s">
        <v>2310</v>
      </c>
      <c r="B1462" s="3">
        <v>0.0</v>
      </c>
      <c r="C1462" s="3" t="s">
        <v>3</v>
      </c>
      <c r="D1462" s="4" t="str">
        <f t="shared" si="1"/>
        <v>SANS</v>
      </c>
      <c r="E1462" s="4" t="str">
        <f t="array" ref="E1462">INDEX(consolid1!$I$2:$I$904,MATCH(A1462,consolid1!$B$2:$B$904,0))</f>
        <v>#N/A</v>
      </c>
      <c r="F1462" s="4" t="str">
        <f t="array" ref="F1462">INDEX(consolid1!$G$2:$G1534,MATCH(A1462,consolid1!$B$2:$B1534,0))</f>
        <v>#N/A</v>
      </c>
    </row>
    <row r="1463">
      <c r="A1463" s="4" t="s">
        <v>1861</v>
      </c>
      <c r="B1463" s="3">
        <v>0.0</v>
      </c>
      <c r="C1463" s="3" t="s">
        <v>3</v>
      </c>
      <c r="D1463" s="4" t="str">
        <f t="shared" si="1"/>
        <v>SANS</v>
      </c>
      <c r="E1463" s="4" t="str">
        <f t="array" ref="E1463">INDEX(consolid1!$I$2:$I$904,MATCH(A1463,consolid1!$B$2:$B$904,0))</f>
        <v>#N/A</v>
      </c>
      <c r="F1463" s="4" t="str">
        <f t="array" ref="F1463">INDEX(consolid1!$G$2:$G1534,MATCH(A1463,consolid1!$B$2:$B1534,0))</f>
        <v>#N/A</v>
      </c>
    </row>
    <row r="1464">
      <c r="A1464" s="4" t="s">
        <v>1863</v>
      </c>
      <c r="B1464" s="3">
        <v>0.0</v>
      </c>
      <c r="C1464" s="3" t="s">
        <v>6</v>
      </c>
      <c r="D1464" s="4" t="str">
        <f t="shared" si="1"/>
        <v>SANS</v>
      </c>
      <c r="E1464" s="4" t="str">
        <f t="array" ref="E1464">INDEX(consolid1!$I$2:$I$904,MATCH(A1464,consolid1!$B$2:$B$904,0))</f>
        <v>#N/A</v>
      </c>
      <c r="F1464" s="4" t="str">
        <f t="array" ref="F1464">INDEX(consolid1!$G$2:$G1534,MATCH(A1464,consolid1!$B$2:$B1534,0))</f>
        <v>#N/A</v>
      </c>
    </row>
    <row r="1465">
      <c r="A1465" s="4" t="s">
        <v>1864</v>
      </c>
      <c r="B1465" s="3">
        <v>0.0</v>
      </c>
      <c r="C1465" s="3" t="s">
        <v>6</v>
      </c>
      <c r="D1465" s="4" t="str">
        <f t="shared" si="1"/>
        <v>SANS</v>
      </c>
      <c r="E1465" s="4" t="str">
        <f t="array" ref="E1465">INDEX(consolid1!$I$2:$I$904,MATCH(A1465,consolid1!$B$2:$B$904,0))</f>
        <v>#N/A</v>
      </c>
      <c r="F1465" s="4" t="str">
        <f t="array" ref="F1465">INDEX(consolid1!$G$2:$G1534,MATCH(A1465,consolid1!$B$2:$B1534,0))</f>
        <v>#N/A</v>
      </c>
    </row>
    <row r="1466">
      <c r="A1466" s="4" t="s">
        <v>1865</v>
      </c>
      <c r="B1466" s="3">
        <v>0.0</v>
      </c>
      <c r="C1466" s="3" t="s">
        <v>32</v>
      </c>
      <c r="D1466" s="4" t="str">
        <f t="shared" si="1"/>
        <v>SANS</v>
      </c>
      <c r="E1466" s="4" t="str">
        <f t="array" ref="E1466">INDEX(consolid1!$I$2:$I$904,MATCH(A1466,consolid1!$B$2:$B$904,0))</f>
        <v>#N/A</v>
      </c>
      <c r="F1466" s="4" t="str">
        <f t="array" ref="F1466">INDEX(consolid1!$G$2:$G1534,MATCH(A1466,consolid1!$B$2:$B1534,0))</f>
        <v>#N/A</v>
      </c>
    </row>
    <row r="1467">
      <c r="A1467" s="4" t="s">
        <v>1866</v>
      </c>
      <c r="B1467" s="3">
        <v>0.0</v>
      </c>
      <c r="C1467" s="3" t="s">
        <v>3</v>
      </c>
      <c r="D1467" s="4" t="str">
        <f t="shared" si="1"/>
        <v>SANS</v>
      </c>
      <c r="E1467" s="4" t="str">
        <f t="array" ref="E1467">INDEX(consolid1!$I$2:$I$904,MATCH(A1467,consolid1!$B$2:$B$904,0))</f>
        <v>#N/A</v>
      </c>
      <c r="F1467" s="4" t="str">
        <f t="array" ref="F1467">INDEX(consolid1!$G$2:$G1534,MATCH(A1467,consolid1!$B$2:$B1534,0))</f>
        <v>#N/A</v>
      </c>
    </row>
    <row r="1468">
      <c r="A1468" s="4" t="s">
        <v>1867</v>
      </c>
      <c r="B1468" s="3">
        <v>0.0</v>
      </c>
      <c r="C1468" s="3" t="s">
        <v>3</v>
      </c>
      <c r="D1468" s="4" t="str">
        <f t="shared" si="1"/>
        <v>SANS</v>
      </c>
      <c r="E1468" s="4" t="str">
        <f t="array" ref="E1468">INDEX(consolid1!$I$2:$I$904,MATCH(A1468,consolid1!$B$2:$B$904,0))</f>
        <v>#N/A</v>
      </c>
      <c r="F1468" s="4" t="str">
        <f t="array" ref="F1468">INDEX(consolid1!$G$2:$G1534,MATCH(A1468,consolid1!$B$2:$B1534,0))</f>
        <v>#N/A</v>
      </c>
    </row>
    <row r="1469">
      <c r="A1469" s="4" t="s">
        <v>1868</v>
      </c>
      <c r="B1469" s="3">
        <v>0.0</v>
      </c>
      <c r="C1469" s="3" t="s">
        <v>26</v>
      </c>
      <c r="D1469" s="4" t="str">
        <f t="shared" si="1"/>
        <v>SANS</v>
      </c>
      <c r="E1469" s="4" t="str">
        <f t="array" ref="E1469">INDEX(consolid1!$I$2:$I$904,MATCH(A1469,consolid1!$B$2:$B$904,0))</f>
        <v>#N/A</v>
      </c>
      <c r="F1469" s="4" t="str">
        <f t="array" ref="F1469">INDEX(consolid1!$G$2:$G1534,MATCH(A1469,consolid1!$B$2:$B1534,0))</f>
        <v>#N/A</v>
      </c>
    </row>
    <row r="1470">
      <c r="A1470" s="4" t="s">
        <v>1869</v>
      </c>
      <c r="B1470" s="3">
        <v>0.0</v>
      </c>
      <c r="C1470" s="3" t="s">
        <v>3</v>
      </c>
      <c r="D1470" s="4" t="str">
        <f t="shared" si="1"/>
        <v>SANS</v>
      </c>
      <c r="E1470" s="4" t="str">
        <f t="array" ref="E1470">INDEX(consolid1!$I$2:$I$904,MATCH(A1470,consolid1!$B$2:$B$904,0))</f>
        <v>#N/A</v>
      </c>
      <c r="F1470" s="4" t="str">
        <f t="array" ref="F1470">INDEX(consolid1!$G$2:$G1534,MATCH(A1470,consolid1!$B$2:$B1534,0))</f>
        <v>#N/A</v>
      </c>
    </row>
    <row r="1471">
      <c r="A1471" s="4" t="s">
        <v>1870</v>
      </c>
      <c r="B1471" s="3">
        <v>0.0</v>
      </c>
      <c r="C1471" s="3" t="s">
        <v>3</v>
      </c>
      <c r="D1471" s="4" t="str">
        <f t="shared" si="1"/>
        <v>SANS</v>
      </c>
      <c r="E1471" s="4" t="str">
        <f t="array" ref="E1471">INDEX(consolid1!$I$2:$I$904,MATCH(A1471,consolid1!$B$2:$B$904,0))</f>
        <v>#N/A</v>
      </c>
      <c r="F1471" s="4" t="str">
        <f t="array" ref="F1471">INDEX(consolid1!$G$2:$G1534,MATCH(A1471,consolid1!$B$2:$B1534,0))</f>
        <v>#N/A</v>
      </c>
    </row>
    <row r="1472">
      <c r="A1472" s="4" t="s">
        <v>1871</v>
      </c>
      <c r="B1472" s="3">
        <v>0.0</v>
      </c>
      <c r="C1472" s="3" t="s">
        <v>3</v>
      </c>
      <c r="D1472" s="4" t="str">
        <f t="shared" si="1"/>
        <v>SANS</v>
      </c>
      <c r="E1472" s="4" t="str">
        <f t="array" ref="E1472">INDEX(consolid1!$I$2:$I$904,MATCH(A1472,consolid1!$B$2:$B$904,0))</f>
        <v>Cadre de vie environnement</v>
      </c>
      <c r="F1472" s="4" t="str">
        <f t="array" ref="F1472">INDEX(consolid1!$G$2:$G1534,MATCH(A1472,consolid1!$B$2:$B1534,0))</f>
        <v>null</v>
      </c>
    </row>
    <row r="1473">
      <c r="A1473" s="4" t="s">
        <v>2311</v>
      </c>
      <c r="B1473" s="3">
        <v>0.0</v>
      </c>
      <c r="C1473" s="3" t="s">
        <v>3</v>
      </c>
      <c r="D1473" s="4" t="str">
        <f t="shared" si="1"/>
        <v>SANS</v>
      </c>
      <c r="E1473" s="4" t="str">
        <f t="array" ref="E1473">INDEX(consolid1!$I$2:$I$904,MATCH(A1473,consolid1!$B$2:$B$904,0))</f>
        <v>#N/A</v>
      </c>
      <c r="F1473" s="4" t="str">
        <f t="array" ref="F1473">INDEX(consolid1!$G$2:$G1534,MATCH(A1473,consolid1!$B$2:$B1534,0))</f>
        <v>#N/A</v>
      </c>
    </row>
    <row r="1474">
      <c r="A1474" s="4" t="s">
        <v>1875</v>
      </c>
      <c r="B1474" s="3">
        <v>0.0</v>
      </c>
      <c r="C1474" s="3" t="s">
        <v>32</v>
      </c>
      <c r="D1474" s="4" t="str">
        <f t="shared" si="1"/>
        <v>SANS</v>
      </c>
      <c r="E1474" s="4" t="str">
        <f t="array" ref="E1474">INDEX(consolid1!$I$2:$I$904,MATCH(A1474,consolid1!$B$2:$B$904,0))</f>
        <v>#N/A</v>
      </c>
      <c r="F1474" s="4" t="str">
        <f t="array" ref="F1474">INDEX(consolid1!$G$2:$G1534,MATCH(A1474,consolid1!$B$2:$B1534,0))</f>
        <v>#N/A</v>
      </c>
    </row>
    <row r="1475">
      <c r="A1475" s="4" t="s">
        <v>1876</v>
      </c>
      <c r="B1475" s="3">
        <v>0.0</v>
      </c>
      <c r="C1475" s="3" t="s">
        <v>3</v>
      </c>
      <c r="D1475" s="4" t="str">
        <f t="shared" si="1"/>
        <v>SANS</v>
      </c>
      <c r="E1475" s="4" t="str">
        <f t="array" ref="E1475">INDEX(consolid1!$I$2:$I$904,MATCH(A1475,consolid1!$B$2:$B$904,0))</f>
        <v>#N/A</v>
      </c>
      <c r="F1475" s="4" t="str">
        <f t="array" ref="F1475">INDEX(consolid1!$G$2:$G1534,MATCH(A1475,consolid1!$B$2:$B1534,0))</f>
        <v>#N/A</v>
      </c>
    </row>
    <row r="1476">
      <c r="A1476" s="4" t="s">
        <v>1877</v>
      </c>
      <c r="B1476" s="3">
        <v>0.0</v>
      </c>
      <c r="C1476" s="3" t="s">
        <v>3</v>
      </c>
      <c r="D1476" s="4" t="str">
        <f t="shared" si="1"/>
        <v>SANS</v>
      </c>
      <c r="E1476" s="4" t="str">
        <f t="array" ref="E1476">INDEX(consolid1!$I$2:$I$904,MATCH(A1476,consolid1!$B$2:$B$904,0))</f>
        <v>#N/A</v>
      </c>
      <c r="F1476" s="4" t="str">
        <f t="array" ref="F1476">INDEX(consolid1!$G$2:$G1534,MATCH(A1476,consolid1!$B$2:$B1534,0))</f>
        <v>#N/A</v>
      </c>
    </row>
    <row r="1477">
      <c r="A1477" s="4" t="s">
        <v>1878</v>
      </c>
      <c r="B1477" s="3">
        <v>0.0</v>
      </c>
      <c r="C1477" s="3" t="s">
        <v>3</v>
      </c>
      <c r="D1477" s="4" t="str">
        <f t="shared" si="1"/>
        <v>SANS</v>
      </c>
      <c r="E1477" s="4" t="str">
        <f t="array" ref="E1477">INDEX(consolid1!$I$2:$I$904,MATCH(A1477,consolid1!$B$2:$B$904,0))</f>
        <v>#N/A</v>
      </c>
      <c r="F1477" s="4" t="str">
        <f t="array" ref="F1477">INDEX(consolid1!$G$2:$G1534,MATCH(A1477,consolid1!$B$2:$B1534,0))</f>
        <v>#N/A</v>
      </c>
    </row>
    <row r="1478">
      <c r="A1478" s="4" t="s">
        <v>1879</v>
      </c>
      <c r="B1478" s="3">
        <v>0.0</v>
      </c>
      <c r="C1478" s="3" t="s">
        <v>6</v>
      </c>
      <c r="D1478" s="4" t="str">
        <f t="shared" si="1"/>
        <v>SANS</v>
      </c>
      <c r="E1478" s="4" t="str">
        <f t="array" ref="E1478">INDEX(consolid1!$I$2:$I$904,MATCH(A1478,consolid1!$B$2:$B$904,0))</f>
        <v>#N/A</v>
      </c>
      <c r="F1478" s="4" t="str">
        <f t="array" ref="F1478">INDEX(consolid1!$G$2:$G1534,MATCH(A1478,consolid1!$B$2:$B1534,0))</f>
        <v>#N/A</v>
      </c>
    </row>
    <row r="1479">
      <c r="A1479" s="4" t="s">
        <v>1881</v>
      </c>
      <c r="B1479" s="3">
        <v>0.0</v>
      </c>
      <c r="C1479" s="3" t="s">
        <v>3</v>
      </c>
      <c r="D1479" s="4" t="str">
        <f t="shared" si="1"/>
        <v>SANS</v>
      </c>
      <c r="E1479" s="4" t="str">
        <f t="array" ref="E1479">INDEX(consolid1!$I$2:$I$904,MATCH(A1479,consolid1!$B$2:$B$904,0))</f>
        <v>#N/A</v>
      </c>
      <c r="F1479" s="4" t="str">
        <f t="array" ref="F1479">INDEX(consolid1!$G$2:$G1534,MATCH(A1479,consolid1!$B$2:$B1534,0))</f>
        <v>#N/A</v>
      </c>
    </row>
    <row r="1480">
      <c r="A1480" s="4" t="s">
        <v>1882</v>
      </c>
      <c r="B1480" s="3">
        <v>0.0</v>
      </c>
      <c r="C1480" s="3" t="s">
        <v>32</v>
      </c>
      <c r="D1480" s="4" t="str">
        <f t="shared" si="1"/>
        <v>SANS</v>
      </c>
      <c r="E1480" s="4" t="str">
        <f t="array" ref="E1480">INDEX(consolid1!$I$2:$I$904,MATCH(A1480,consolid1!$B$2:$B$904,0))</f>
        <v>#N/A</v>
      </c>
      <c r="F1480" s="4" t="str">
        <f t="array" ref="F1480">INDEX(consolid1!$G$2:$G1534,MATCH(A1480,consolid1!$B$2:$B1534,0))</f>
        <v>#N/A</v>
      </c>
    </row>
    <row r="1481">
      <c r="A1481" s="4" t="s">
        <v>1883</v>
      </c>
      <c r="B1481" s="3">
        <v>0.0</v>
      </c>
      <c r="C1481" s="3" t="s">
        <v>3</v>
      </c>
      <c r="D1481" s="4" t="str">
        <f t="shared" si="1"/>
        <v>SANS</v>
      </c>
      <c r="E1481" s="4" t="str">
        <f t="array" ref="E1481">INDEX(consolid1!$I$2:$I$904,MATCH(A1481,consolid1!$B$2:$B$904,0))</f>
        <v>#N/A</v>
      </c>
      <c r="F1481" s="4" t="str">
        <f t="array" ref="F1481">INDEX(consolid1!$G$2:$G1534,MATCH(A1481,consolid1!$B$2:$B1534,0))</f>
        <v>#N/A</v>
      </c>
    </row>
    <row r="1482">
      <c r="A1482" s="4" t="s">
        <v>1887</v>
      </c>
      <c r="B1482" s="3">
        <v>0.0</v>
      </c>
      <c r="C1482" s="3" t="s">
        <v>6</v>
      </c>
      <c r="D1482" s="4" t="str">
        <f t="shared" si="1"/>
        <v>SANS</v>
      </c>
      <c r="E1482" s="4" t="str">
        <f t="array" ref="E1482">INDEX(consolid1!$I$2:$I$904,MATCH(A1482,consolid1!$B$2:$B$904,0))</f>
        <v>#N/A</v>
      </c>
      <c r="F1482" s="4" t="str">
        <f t="array" ref="F1482">INDEX(consolid1!$G$2:$G1534,MATCH(A1482,consolid1!$B$2:$B1534,0))</f>
        <v>#N/A</v>
      </c>
    </row>
    <row r="1483">
      <c r="A1483" s="4" t="s">
        <v>1891</v>
      </c>
      <c r="B1483" s="3">
        <v>0.0</v>
      </c>
      <c r="C1483" s="3" t="s">
        <v>3</v>
      </c>
      <c r="D1483" s="4" t="str">
        <f t="shared" si="1"/>
        <v>SANS</v>
      </c>
      <c r="E1483" s="4" t="str">
        <f t="array" ref="E1483">INDEX(consolid1!$I$2:$I$904,MATCH(A1483,consolid1!$B$2:$B$904,0))</f>
        <v>#N/A</v>
      </c>
      <c r="F1483" s="4" t="str">
        <f t="array" ref="F1483">INDEX(consolid1!$G$2:$G1534,MATCH(A1483,consolid1!$B$2:$B1534,0))</f>
        <v>#N/A</v>
      </c>
    </row>
    <row r="1484">
      <c r="A1484" s="4" t="s">
        <v>1892</v>
      </c>
      <c r="B1484" s="3">
        <v>0.0</v>
      </c>
      <c r="C1484" s="3" t="s">
        <v>3</v>
      </c>
      <c r="D1484" s="4" t="str">
        <f t="shared" si="1"/>
        <v>SANS</v>
      </c>
      <c r="E1484" s="4" t="str">
        <f t="array" ref="E1484">INDEX(consolid1!$I$2:$I$904,MATCH(A1484,consolid1!$B$2:$B$904,0))</f>
        <v>#N/A</v>
      </c>
      <c r="F1484" s="4" t="str">
        <f t="array" ref="F1484">INDEX(consolid1!$G$2:$G1534,MATCH(A1484,consolid1!$B$2:$B1534,0))</f>
        <v>#N/A</v>
      </c>
    </row>
    <row r="1485">
      <c r="A1485" s="4" t="s">
        <v>1893</v>
      </c>
      <c r="B1485" s="3">
        <v>0.0</v>
      </c>
      <c r="C1485" s="3" t="s">
        <v>3</v>
      </c>
      <c r="D1485" s="4" t="str">
        <f t="shared" si="1"/>
        <v>SANS</v>
      </c>
      <c r="E1485" s="4" t="str">
        <f t="array" ref="E1485">INDEX(consolid1!$I$2:$I$904,MATCH(A1485,consolid1!$B$2:$B$904,0))</f>
        <v>#N/A</v>
      </c>
      <c r="F1485" s="4" t="str">
        <f t="array" ref="F1485">INDEX(consolid1!$G$2:$G1534,MATCH(A1485,consolid1!$B$2:$B1534,0))</f>
        <v>#N/A</v>
      </c>
    </row>
    <row r="1486">
      <c r="A1486" s="4" t="s">
        <v>1894</v>
      </c>
      <c r="B1486" s="3">
        <v>0.0</v>
      </c>
      <c r="C1486" s="3" t="s">
        <v>3</v>
      </c>
      <c r="D1486" s="4" t="str">
        <f t="shared" si="1"/>
        <v>SANS</v>
      </c>
      <c r="E1486" s="4" t="str">
        <f t="array" ref="E1486">INDEX(consolid1!$I$2:$I$904,MATCH(A1486,consolid1!$B$2:$B$904,0))</f>
        <v>#N/A</v>
      </c>
      <c r="F1486" s="4" t="str">
        <f t="array" ref="F1486">INDEX(consolid1!$G$2:$G1534,MATCH(A1486,consolid1!$B$2:$B1534,0))</f>
        <v>#N/A</v>
      </c>
    </row>
    <row r="1487">
      <c r="A1487" s="4" t="s">
        <v>1898</v>
      </c>
      <c r="B1487" s="3">
        <v>0.0</v>
      </c>
      <c r="C1487" s="3" t="s">
        <v>3</v>
      </c>
      <c r="D1487" s="4" t="str">
        <f t="shared" si="1"/>
        <v>SANS</v>
      </c>
      <c r="E1487" s="4" t="str">
        <f t="array" ref="E1487">INDEX(consolid1!$I$2:$I$904,MATCH(A1487,consolid1!$B$2:$B$904,0))</f>
        <v>#N/A</v>
      </c>
      <c r="F1487" s="4" t="str">
        <f t="array" ref="F1487">INDEX(consolid1!$G$2:$G1534,MATCH(A1487,consolid1!$B$2:$B1534,0))</f>
        <v>#N/A</v>
      </c>
    </row>
    <row r="1488">
      <c r="A1488" s="4" t="s">
        <v>1900</v>
      </c>
      <c r="B1488" s="3">
        <v>0.0</v>
      </c>
      <c r="C1488" s="3" t="s">
        <v>3</v>
      </c>
      <c r="D1488" s="4" t="str">
        <f t="shared" si="1"/>
        <v>SANS</v>
      </c>
      <c r="E1488" s="4" t="str">
        <f t="array" ref="E1488">INDEX(consolid1!$I$2:$I$904,MATCH(A1488,consolid1!$B$2:$B$904,0))</f>
        <v>#N/A</v>
      </c>
      <c r="F1488" s="4" t="str">
        <f t="array" ref="F1488">INDEX(consolid1!$G$2:$G1534,MATCH(A1488,consolid1!$B$2:$B1534,0))</f>
        <v>#N/A</v>
      </c>
    </row>
    <row r="1489">
      <c r="A1489" s="4" t="s">
        <v>1901</v>
      </c>
      <c r="B1489" s="3">
        <v>0.0</v>
      </c>
      <c r="C1489" s="3" t="s">
        <v>3</v>
      </c>
      <c r="D1489" s="4" t="str">
        <f t="shared" si="1"/>
        <v>SANS</v>
      </c>
      <c r="E1489" s="4" t="str">
        <f t="array" ref="E1489">INDEX(consolid1!$I$2:$I$904,MATCH(A1489,consolid1!$B$2:$B$904,0))</f>
        <v>Culture</v>
      </c>
      <c r="F1489" s="4" t="str">
        <f t="array" ref="F1489">INDEX(consolid1!$G$2:$G1534,MATCH(A1489,consolid1!$B$2:$B1534,0))</f>
        <v>null</v>
      </c>
    </row>
    <row r="1490">
      <c r="A1490" s="4" t="s">
        <v>1905</v>
      </c>
      <c r="B1490" s="3">
        <v>0.0</v>
      </c>
      <c r="C1490" s="3" t="s">
        <v>3</v>
      </c>
      <c r="D1490" s="4" t="str">
        <f t="shared" si="1"/>
        <v>SANS</v>
      </c>
      <c r="E1490" s="4" t="str">
        <f t="array" ref="E1490">INDEX(consolid1!$I$2:$I$904,MATCH(A1490,consolid1!$B$2:$B$904,0))</f>
        <v>#N/A</v>
      </c>
      <c r="F1490" s="4" t="str">
        <f t="array" ref="F1490">INDEX(consolid1!$G$2:$G1534,MATCH(A1490,consolid1!$B$2:$B1534,0))</f>
        <v>#N/A</v>
      </c>
    </row>
    <row r="1491">
      <c r="A1491" s="4" t="s">
        <v>1906</v>
      </c>
      <c r="B1491" s="3">
        <v>0.0</v>
      </c>
      <c r="C1491" s="3" t="s">
        <v>32</v>
      </c>
      <c r="D1491" s="4" t="str">
        <f t="shared" si="1"/>
        <v>SANS</v>
      </c>
      <c r="E1491" s="4" t="str">
        <f t="array" ref="E1491">INDEX(consolid1!$I$2:$I$904,MATCH(A1491,consolid1!$B$2:$B$904,0))</f>
        <v>#N/A</v>
      </c>
      <c r="F1491" s="4" t="str">
        <f t="array" ref="F1491">INDEX(consolid1!$G$2:$G1534,MATCH(A1491,consolid1!$B$2:$B1534,0))</f>
        <v>#N/A</v>
      </c>
    </row>
    <row r="1492">
      <c r="A1492" s="4" t="s">
        <v>1908</v>
      </c>
      <c r="B1492" s="3">
        <v>0.0</v>
      </c>
      <c r="C1492" s="3" t="s">
        <v>3</v>
      </c>
      <c r="D1492" s="4" t="str">
        <f t="shared" si="1"/>
        <v>SANS</v>
      </c>
      <c r="E1492" s="4" t="str">
        <f t="array" ref="E1492">INDEX(consolid1!$I$2:$I$904,MATCH(A1492,consolid1!$B$2:$B$904,0))</f>
        <v>#N/A</v>
      </c>
      <c r="F1492" s="4" t="str">
        <f t="array" ref="F1492">INDEX(consolid1!$G$2:$G1534,MATCH(A1492,consolid1!$B$2:$B1534,0))</f>
        <v>#N/A</v>
      </c>
    </row>
    <row r="1493">
      <c r="A1493" s="4" t="s">
        <v>1913</v>
      </c>
      <c r="B1493" s="3">
        <v>0.0</v>
      </c>
      <c r="C1493" s="3" t="s">
        <v>3</v>
      </c>
      <c r="D1493" s="4" t="str">
        <f t="shared" si="1"/>
        <v>SANS</v>
      </c>
      <c r="E1493" s="4" t="str">
        <f t="array" ref="E1493">INDEX(consolid1!$I$2:$I$904,MATCH(A1493,consolid1!$B$2:$B$904,0))</f>
        <v>#N/A</v>
      </c>
      <c r="F1493" s="4" t="str">
        <f t="array" ref="F1493">INDEX(consolid1!$G$2:$G1534,MATCH(A1493,consolid1!$B$2:$B1534,0))</f>
        <v>#N/A</v>
      </c>
    </row>
    <row r="1494">
      <c r="A1494" s="4" t="s">
        <v>1914</v>
      </c>
      <c r="B1494" s="3">
        <v>0.0</v>
      </c>
      <c r="C1494" s="3" t="s">
        <v>3</v>
      </c>
      <c r="D1494" s="4" t="str">
        <f t="shared" si="1"/>
        <v>SANS</v>
      </c>
      <c r="E1494" s="4" t="str">
        <f t="array" ref="E1494">INDEX(consolid1!$I$2:$I$904,MATCH(A1494,consolid1!$B$2:$B$904,0))</f>
        <v>#N/A</v>
      </c>
      <c r="F1494" s="4" t="str">
        <f t="array" ref="F1494">INDEX(consolid1!$G$2:$G1534,MATCH(A1494,consolid1!$B$2:$B1534,0))</f>
        <v>#N/A</v>
      </c>
    </row>
    <row r="1495">
      <c r="A1495" s="4" t="s">
        <v>1915</v>
      </c>
      <c r="B1495" s="3">
        <v>0.0</v>
      </c>
      <c r="C1495" s="3" t="s">
        <v>3</v>
      </c>
      <c r="D1495" s="4" t="str">
        <f t="shared" si="1"/>
        <v>SANS</v>
      </c>
      <c r="E1495" s="4" t="str">
        <f t="array" ref="E1495">INDEX(consolid1!$I$2:$I$904,MATCH(A1495,consolid1!$B$2:$B$904,0))</f>
        <v>#N/A</v>
      </c>
      <c r="F1495" s="4" t="str">
        <f t="array" ref="F1495">INDEX(consolid1!$G$2:$G1534,MATCH(A1495,consolid1!$B$2:$B1534,0))</f>
        <v>#N/A</v>
      </c>
    </row>
    <row r="1496">
      <c r="A1496" s="4" t="s">
        <v>1916</v>
      </c>
      <c r="B1496" s="3">
        <v>0.0</v>
      </c>
      <c r="C1496" s="3" t="s">
        <v>3</v>
      </c>
      <c r="D1496" s="4" t="str">
        <f t="shared" si="1"/>
        <v>SANS</v>
      </c>
      <c r="E1496" s="4" t="str">
        <f t="array" ref="E1496">INDEX(consolid1!$I$2:$I$904,MATCH(A1496,consolid1!$B$2:$B$904,0))</f>
        <v>#N/A</v>
      </c>
      <c r="F1496" s="4" t="str">
        <f t="array" ref="F1496">INDEX(consolid1!$G$2:$G1534,MATCH(A1496,consolid1!$B$2:$B1534,0))</f>
        <v>#N/A</v>
      </c>
    </row>
    <row r="1497">
      <c r="A1497" s="4" t="s">
        <v>1917</v>
      </c>
      <c r="B1497" s="3">
        <v>0.0</v>
      </c>
      <c r="C1497" s="3" t="s">
        <v>3</v>
      </c>
      <c r="D1497" s="4" t="str">
        <f t="shared" si="1"/>
        <v>SANS</v>
      </c>
      <c r="E1497" s="4" t="str">
        <f t="array" ref="E1497">INDEX(consolid1!$I$2:$I$904,MATCH(A1497,consolid1!$B$2:$B$904,0))</f>
        <v>#N/A</v>
      </c>
      <c r="F1497" s="4" t="str">
        <f t="array" ref="F1497">INDEX(consolid1!$G$2:$G1534,MATCH(A1497,consolid1!$B$2:$B1534,0))</f>
        <v>#N/A</v>
      </c>
    </row>
    <row r="1498">
      <c r="A1498" s="4" t="s">
        <v>1922</v>
      </c>
      <c r="B1498" s="3">
        <v>0.0</v>
      </c>
      <c r="C1498" s="3" t="s">
        <v>29</v>
      </c>
      <c r="D1498" s="4" t="str">
        <f t="shared" si="1"/>
        <v>SANS</v>
      </c>
      <c r="E1498" s="4" t="str">
        <f t="array" ref="E1498">INDEX(consolid1!$I$2:$I$904,MATCH(A1498,consolid1!$B$2:$B$904,0))</f>
        <v>#N/A</v>
      </c>
      <c r="F1498" s="4" t="str">
        <f t="array" ref="F1498">INDEX(consolid1!$G$2:$G1534,MATCH(A1498,consolid1!$B$2:$B1534,0))</f>
        <v>#N/A</v>
      </c>
    </row>
    <row r="1499">
      <c r="A1499" s="4" t="s">
        <v>1923</v>
      </c>
      <c r="B1499" s="3">
        <v>0.0</v>
      </c>
      <c r="C1499" s="3" t="s">
        <v>6</v>
      </c>
      <c r="D1499" s="4" t="str">
        <f t="shared" si="1"/>
        <v>SANS</v>
      </c>
      <c r="E1499" s="4" t="str">
        <f t="array" ref="E1499">INDEX(consolid1!$I$2:$I$904,MATCH(A1499,consolid1!$B$2:$B$904,0))</f>
        <v>#N/A</v>
      </c>
      <c r="F1499" s="4" t="str">
        <f t="array" ref="F1499">INDEX(consolid1!$G$2:$G1534,MATCH(A1499,consolid1!$B$2:$B1534,0))</f>
        <v>#N/A</v>
      </c>
    </row>
    <row r="1500">
      <c r="A1500" s="4" t="s">
        <v>1936</v>
      </c>
      <c r="B1500" s="3">
        <v>0.0</v>
      </c>
      <c r="C1500" s="3" t="s">
        <v>6</v>
      </c>
      <c r="D1500" s="4" t="str">
        <f t="shared" si="1"/>
        <v>SANS</v>
      </c>
      <c r="E1500" s="4" t="str">
        <f t="array" ref="E1500">INDEX(consolid1!$I$2:$I$904,MATCH(A1500,consolid1!$B$2:$B$904,0))</f>
        <v>#N/A</v>
      </c>
      <c r="F1500" s="4" t="str">
        <f t="array" ref="F1500">INDEX(consolid1!$G$2:$G1534,MATCH(A1500,consolid1!$B$2:$B1534,0))</f>
        <v>#N/A</v>
      </c>
    </row>
    <row r="1501">
      <c r="A1501" s="4" t="s">
        <v>1937</v>
      </c>
      <c r="B1501" s="3">
        <v>0.0</v>
      </c>
      <c r="C1501" s="3" t="s">
        <v>3</v>
      </c>
      <c r="D1501" s="4" t="str">
        <f t="shared" si="1"/>
        <v>SANS</v>
      </c>
      <c r="E1501" s="4" t="str">
        <f t="array" ref="E1501">INDEX(consolid1!$I$2:$I$904,MATCH(A1501,consolid1!$B$2:$B$904,0))</f>
        <v>#N/A</v>
      </c>
      <c r="F1501" s="4" t="str">
        <f t="array" ref="F1501">INDEX(consolid1!$G$2:$G1534,MATCH(A1501,consolid1!$B$2:$B1534,0))</f>
        <v>#N/A</v>
      </c>
    </row>
    <row r="1502">
      <c r="A1502" s="4" t="s">
        <v>2318</v>
      </c>
      <c r="B1502" s="3">
        <v>0.0</v>
      </c>
      <c r="C1502" s="3" t="s">
        <v>6</v>
      </c>
      <c r="D1502" s="4" t="str">
        <f t="shared" si="1"/>
        <v>SANS</v>
      </c>
      <c r="E1502" s="4" t="str">
        <f t="array" ref="E1502">INDEX(consolid1!$I$2:$I$904,MATCH(A1502,consolid1!$B$2:$B$904,0))</f>
        <v>#N/A</v>
      </c>
      <c r="F1502" s="4" t="str">
        <f t="array" ref="F1502">INDEX(consolid1!$G$2:$G1534,MATCH(A1502,consolid1!$B$2:$B1534,0))</f>
        <v>#N/A</v>
      </c>
    </row>
    <row r="1503">
      <c r="A1503" s="4" t="s">
        <v>2319</v>
      </c>
      <c r="B1503" s="3">
        <v>0.0</v>
      </c>
      <c r="C1503" s="3" t="s">
        <v>3</v>
      </c>
      <c r="D1503" s="4" t="str">
        <f t="shared" si="1"/>
        <v>SANS</v>
      </c>
      <c r="E1503" s="4" t="str">
        <f t="array" ref="E1503">INDEX(consolid1!$I$2:$I$904,MATCH(A1503,consolid1!$B$2:$B$904,0))</f>
        <v>#N/A</v>
      </c>
      <c r="F1503" s="4" t="str">
        <f t="array" ref="F1503">INDEX(consolid1!$G$2:$G1534,MATCH(A1503,consolid1!$B$2:$B1534,0))</f>
        <v>#N/A</v>
      </c>
    </row>
    <row r="1504">
      <c r="A1504" s="4" t="s">
        <v>2320</v>
      </c>
      <c r="B1504" s="3">
        <v>0.0</v>
      </c>
      <c r="C1504" s="3" t="s">
        <v>3</v>
      </c>
      <c r="D1504" s="4" t="str">
        <f t="shared" si="1"/>
        <v>SANS</v>
      </c>
      <c r="E1504" s="4" t="str">
        <f t="array" ref="E1504">INDEX(consolid1!$I$2:$I$904,MATCH(A1504,consolid1!$B$2:$B$904,0))</f>
        <v>#N/A</v>
      </c>
      <c r="F1504" s="4" t="str">
        <f t="array" ref="F1504">INDEX(consolid1!$G$2:$G1534,MATCH(A1504,consolid1!$B$2:$B1534,0))</f>
        <v>#N/A</v>
      </c>
    </row>
    <row r="1505">
      <c r="A1505" s="4" t="s">
        <v>1951</v>
      </c>
      <c r="B1505" s="3">
        <v>0.0</v>
      </c>
      <c r="C1505" s="3" t="s">
        <v>484</v>
      </c>
      <c r="D1505" s="4" t="str">
        <f t="shared" si="1"/>
        <v>SANS</v>
      </c>
      <c r="E1505" s="4" t="str">
        <f t="array" ref="E1505">INDEX(consolid1!$I$2:$I$904,MATCH(A1505,consolid1!$B$2:$B$904,0))</f>
        <v>#N/A</v>
      </c>
      <c r="F1505" s="4" t="str">
        <f t="array" ref="F1505">INDEX(consolid1!$G$2:$G1534,MATCH(A1505,consolid1!$B$2:$B1534,0))</f>
        <v>#N/A</v>
      </c>
    </row>
    <row r="1506">
      <c r="A1506" s="4" t="s">
        <v>2325</v>
      </c>
      <c r="B1506" s="3">
        <v>0.0</v>
      </c>
      <c r="C1506" s="3" t="s">
        <v>3</v>
      </c>
      <c r="D1506" s="4" t="str">
        <f t="shared" si="1"/>
        <v>SANS</v>
      </c>
      <c r="E1506" s="4" t="str">
        <f t="array" ref="E1506">INDEX(consolid1!$I$2:$I$904,MATCH(A1506,consolid1!$B$2:$B$904,0))</f>
        <v>#N/A</v>
      </c>
      <c r="F1506" s="4" t="str">
        <f t="array" ref="F1506">INDEX(consolid1!$G$2:$G1534,MATCH(A1506,consolid1!$B$2:$B1534,0))</f>
        <v>#N/A</v>
      </c>
    </row>
    <row r="1507">
      <c r="A1507" s="4" t="s">
        <v>1970</v>
      </c>
      <c r="B1507" s="3">
        <v>0.0</v>
      </c>
      <c r="C1507" s="3" t="s">
        <v>6</v>
      </c>
      <c r="D1507" s="4" t="str">
        <f t="shared" si="1"/>
        <v>SANS</v>
      </c>
      <c r="E1507" s="4" t="str">
        <f t="array" ref="E1507">INDEX(consolid1!$I$2:$I$904,MATCH(A1507,consolid1!$B$2:$B$904,0))</f>
        <v>#N/A</v>
      </c>
      <c r="F1507" s="4" t="str">
        <f t="array" ref="F1507">INDEX(consolid1!$G$2:$G1534,MATCH(A1507,consolid1!$B$2:$B1534,0))</f>
        <v>#N/A</v>
      </c>
    </row>
    <row r="1508">
      <c r="A1508" s="4" t="s">
        <v>2330</v>
      </c>
      <c r="B1508" s="3">
        <v>0.0</v>
      </c>
      <c r="C1508" s="3" t="s">
        <v>6</v>
      </c>
      <c r="D1508" s="4" t="str">
        <f t="shared" si="1"/>
        <v>SANS</v>
      </c>
      <c r="E1508" s="4" t="str">
        <f t="array" ref="E1508">INDEX(consolid1!$I$2:$I$904,MATCH(A1508,consolid1!$B$2:$B$904,0))</f>
        <v>#N/A</v>
      </c>
      <c r="F1508" s="4" t="str">
        <f t="array" ref="F1508">INDEX(consolid1!$G$2:$G1534,MATCH(A1508,consolid1!$B$2:$B1534,0))</f>
        <v>#N/A</v>
      </c>
    </row>
    <row r="1509">
      <c r="A1509" s="4" t="s">
        <v>1974</v>
      </c>
      <c r="B1509" s="3">
        <v>0.0</v>
      </c>
      <c r="C1509" s="3" t="s">
        <v>3</v>
      </c>
      <c r="D1509" s="4" t="str">
        <f t="shared" si="1"/>
        <v>SANS</v>
      </c>
      <c r="E1509" s="4" t="str">
        <f t="array" ref="E1509">INDEX(consolid1!$I$2:$I$904,MATCH(A1509,consolid1!$B$2:$B$904,0))</f>
        <v>#N/A</v>
      </c>
      <c r="F1509" s="4" t="str">
        <f t="array" ref="F1509">INDEX(consolid1!$G$2:$G1534,MATCH(A1509,consolid1!$B$2:$B1534,0))</f>
        <v>#N/A</v>
      </c>
    </row>
    <row r="1510">
      <c r="A1510" s="4" t="s">
        <v>1978</v>
      </c>
      <c r="B1510" s="3">
        <v>0.0</v>
      </c>
      <c r="C1510" s="3" t="s">
        <v>3</v>
      </c>
      <c r="D1510" s="4" t="str">
        <f t="shared" si="1"/>
        <v>SANS</v>
      </c>
      <c r="E1510" s="4" t="str">
        <f t="array" ref="E1510">INDEX(consolid1!$I$2:$I$904,MATCH(A1510,consolid1!$B$2:$B$904,0))</f>
        <v>#N/A</v>
      </c>
      <c r="F1510" s="4" t="str">
        <f t="array" ref="F1510">INDEX(consolid1!$G$2:$G1534,MATCH(A1510,consolid1!$B$2:$B1534,0))</f>
        <v>#N/A</v>
      </c>
    </row>
    <row r="1511">
      <c r="A1511" s="4" t="s">
        <v>1982</v>
      </c>
      <c r="B1511" s="3">
        <v>0.0</v>
      </c>
      <c r="C1511" s="3" t="s">
        <v>3</v>
      </c>
      <c r="D1511" s="4" t="str">
        <f t="shared" si="1"/>
        <v>SANS</v>
      </c>
      <c r="E1511" s="4" t="str">
        <f t="array" ref="E1511">INDEX(consolid1!$I$2:$I$904,MATCH(A1511,consolid1!$B$2:$B$904,0))</f>
        <v>#N/A</v>
      </c>
      <c r="F1511" s="4" t="str">
        <f t="array" ref="F1511">INDEX(consolid1!$G$2:$G1534,MATCH(A1511,consolid1!$B$2:$B1534,0))</f>
        <v>#N/A</v>
      </c>
    </row>
    <row r="1512">
      <c r="A1512" s="4" t="s">
        <v>1983</v>
      </c>
      <c r="B1512" s="3">
        <v>0.0</v>
      </c>
      <c r="C1512" s="3" t="s">
        <v>6</v>
      </c>
      <c r="D1512" s="4" t="str">
        <f t="shared" si="1"/>
        <v>SANS</v>
      </c>
      <c r="E1512" s="4" t="str">
        <f t="array" ref="E1512">INDEX(consolid1!$I$2:$I$904,MATCH(A1512,consolid1!$B$2:$B$904,0))</f>
        <v>#N/A</v>
      </c>
      <c r="F1512" s="4" t="str">
        <f t="array" ref="F1512">INDEX(consolid1!$G$2:$G1534,MATCH(A1512,consolid1!$B$2:$B1534,0))</f>
        <v>#N/A</v>
      </c>
    </row>
    <row r="1513">
      <c r="A1513" s="4" t="s">
        <v>1984</v>
      </c>
      <c r="B1513" s="3">
        <v>0.0</v>
      </c>
      <c r="C1513" s="3" t="s">
        <v>3</v>
      </c>
      <c r="D1513" s="4" t="str">
        <f t="shared" si="1"/>
        <v>SANS</v>
      </c>
      <c r="E1513" s="4" t="str">
        <f t="array" ref="E1513">INDEX(consolid1!$I$2:$I$904,MATCH(A1513,consolid1!$B$2:$B$904,0))</f>
        <v>#N/A</v>
      </c>
      <c r="F1513" s="4" t="str">
        <f t="array" ref="F1513">INDEX(consolid1!$G$2:$G1534,MATCH(A1513,consolid1!$B$2:$B1534,0))</f>
        <v>#N/A</v>
      </c>
    </row>
    <row r="1514">
      <c r="A1514" s="4" t="s">
        <v>1985</v>
      </c>
      <c r="B1514" s="3">
        <v>0.0</v>
      </c>
      <c r="C1514" s="3" t="s">
        <v>3</v>
      </c>
      <c r="D1514" s="4" t="str">
        <f t="shared" si="1"/>
        <v>SANS</v>
      </c>
      <c r="E1514" s="4" t="str">
        <f t="array" ref="E1514">INDEX(consolid1!$I$2:$I$904,MATCH(A1514,consolid1!$B$2:$B$904,0))</f>
        <v>#N/A</v>
      </c>
      <c r="F1514" s="4" t="str">
        <f t="array" ref="F1514">INDEX(consolid1!$G$2:$G1534,MATCH(A1514,consolid1!$B$2:$B1534,0))</f>
        <v>#N/A</v>
      </c>
    </row>
    <row r="1515">
      <c r="A1515" s="4" t="s">
        <v>1986</v>
      </c>
      <c r="B1515" s="3">
        <v>0.0</v>
      </c>
      <c r="C1515" s="3" t="s">
        <v>3</v>
      </c>
      <c r="D1515" s="4" t="str">
        <f t="shared" si="1"/>
        <v>SANS</v>
      </c>
      <c r="E1515" s="4" t="str">
        <f t="array" ref="E1515">INDEX(consolid1!$I$2:$I$904,MATCH(A1515,consolid1!$B$2:$B$904,0))</f>
        <v>#N/A</v>
      </c>
      <c r="F1515" s="4" t="str">
        <f t="array" ref="F1515">INDEX(consolid1!$G$2:$G1534,MATCH(A1515,consolid1!$B$2:$B1534,0))</f>
        <v>#N/A</v>
      </c>
    </row>
    <row r="1516">
      <c r="A1516" s="4" t="s">
        <v>1987</v>
      </c>
      <c r="B1516" s="3">
        <v>0.0</v>
      </c>
      <c r="C1516" s="3" t="s">
        <v>3</v>
      </c>
      <c r="D1516" s="4" t="str">
        <f t="shared" si="1"/>
        <v>SANS</v>
      </c>
      <c r="E1516" s="4" t="str">
        <f t="array" ref="E1516">INDEX(consolid1!$I$2:$I$904,MATCH(A1516,consolid1!$B$2:$B$904,0))</f>
        <v>#N/A</v>
      </c>
      <c r="F1516" s="4" t="str">
        <f t="array" ref="F1516">INDEX(consolid1!$G$2:$G1534,MATCH(A1516,consolid1!$B$2:$B1534,0))</f>
        <v>#N/A</v>
      </c>
    </row>
    <row r="1517">
      <c r="A1517" s="4" t="s">
        <v>1988</v>
      </c>
      <c r="B1517" s="3">
        <v>0.0</v>
      </c>
      <c r="C1517" s="3" t="s">
        <v>3</v>
      </c>
      <c r="D1517" s="4" t="str">
        <f t="shared" si="1"/>
        <v>SANS</v>
      </c>
      <c r="E1517" s="4" t="str">
        <f t="array" ref="E1517">INDEX(consolid1!$I$2:$I$904,MATCH(A1517,consolid1!$B$2:$B$904,0))</f>
        <v>#N/A</v>
      </c>
      <c r="F1517" s="4" t="str">
        <f t="array" ref="F1517">INDEX(consolid1!$G$2:$G1534,MATCH(A1517,consolid1!$B$2:$B1534,0))</f>
        <v>#N/A</v>
      </c>
    </row>
    <row r="1518">
      <c r="A1518" s="4" t="s">
        <v>1997</v>
      </c>
      <c r="B1518" s="3">
        <v>0.0</v>
      </c>
      <c r="C1518" s="3" t="s">
        <v>6</v>
      </c>
      <c r="D1518" s="4" t="str">
        <f t="shared" si="1"/>
        <v>SANS</v>
      </c>
      <c r="E1518" s="4" t="str">
        <f t="array" ref="E1518">INDEX(consolid1!$I$2:$I$904,MATCH(A1518,consolid1!$B$2:$B$904,0))</f>
        <v>#N/A</v>
      </c>
      <c r="F1518" s="4" t="str">
        <f t="array" ref="F1518">INDEX(consolid1!$G$2:$G1534,MATCH(A1518,consolid1!$B$2:$B1534,0))</f>
        <v>#N/A</v>
      </c>
    </row>
    <row r="1519">
      <c r="A1519" s="4" t="s">
        <v>2001</v>
      </c>
      <c r="B1519" s="3">
        <v>0.0</v>
      </c>
      <c r="C1519" s="3" t="s">
        <v>6</v>
      </c>
      <c r="D1519" s="4" t="str">
        <f t="shared" si="1"/>
        <v>SANS</v>
      </c>
      <c r="E1519" s="4" t="str">
        <f t="array" ref="E1519">INDEX(consolid1!$I$2:$I$904,MATCH(A1519,consolid1!$B$2:$B$904,0))</f>
        <v>#N/A</v>
      </c>
      <c r="F1519" s="4" t="str">
        <f t="array" ref="F1519">INDEX(consolid1!$G$2:$G1534,MATCH(A1519,consolid1!$B$2:$B1534,0))</f>
        <v>#N/A</v>
      </c>
    </row>
    <row r="1520">
      <c r="A1520" s="4" t="s">
        <v>2004</v>
      </c>
      <c r="B1520" s="3">
        <v>0.0</v>
      </c>
      <c r="C1520" s="3" t="s">
        <v>3</v>
      </c>
      <c r="D1520" s="4" t="str">
        <f t="shared" si="1"/>
        <v>SANS</v>
      </c>
      <c r="E1520" s="4" t="str">
        <f t="array" ref="E1520">INDEX(consolid1!$I$2:$I$904,MATCH(A1520,consolid1!$B$2:$B$904,0))</f>
        <v>#N/A</v>
      </c>
      <c r="F1520" s="4" t="str">
        <f t="array" ref="F1520">INDEX(consolid1!$G$2:$G1534,MATCH(A1520,consolid1!$B$2:$B1534,0))</f>
        <v>#N/A</v>
      </c>
    </row>
    <row r="1521">
      <c r="A1521" s="4" t="s">
        <v>2005</v>
      </c>
      <c r="B1521" s="3">
        <v>0.0</v>
      </c>
      <c r="C1521" s="3" t="s">
        <v>3</v>
      </c>
      <c r="D1521" s="4" t="str">
        <f t="shared" si="1"/>
        <v>SANS</v>
      </c>
      <c r="E1521" s="4" t="str">
        <f t="array" ref="E1521">INDEX(consolid1!$I$2:$I$904,MATCH(A1521,consolid1!$B$2:$B$904,0))</f>
        <v>#N/A</v>
      </c>
      <c r="F1521" s="4" t="str">
        <f t="array" ref="F1521">INDEX(consolid1!$G$2:$G1534,MATCH(A1521,consolid1!$B$2:$B1534,0))</f>
        <v>#N/A</v>
      </c>
    </row>
    <row r="1522">
      <c r="A1522" s="4" t="s">
        <v>2332</v>
      </c>
      <c r="B1522" s="3">
        <v>0.0</v>
      </c>
      <c r="C1522" s="3" t="s">
        <v>3</v>
      </c>
      <c r="D1522" s="4" t="str">
        <f t="shared" si="1"/>
        <v>SANS</v>
      </c>
      <c r="E1522" s="4" t="str">
        <f t="array" ref="E1522">INDEX(consolid1!$I$2:$I$904,MATCH(A1522,consolid1!$B$2:$B$904,0))</f>
        <v>#N/A</v>
      </c>
      <c r="F1522" s="4" t="str">
        <f t="array" ref="F1522">INDEX(consolid1!$G$2:$G1534,MATCH(A1522,consolid1!$B$2:$B1534,0))</f>
        <v>#N/A</v>
      </c>
    </row>
    <row r="1523">
      <c r="A1523" s="4" t="s">
        <v>2012</v>
      </c>
      <c r="B1523" s="3">
        <v>0.0</v>
      </c>
      <c r="C1523" s="3" t="s">
        <v>3</v>
      </c>
      <c r="D1523" s="4" t="str">
        <f t="shared" si="1"/>
        <v>SANS</v>
      </c>
      <c r="E1523" s="4" t="str">
        <f t="array" ref="E1523">INDEX(consolid1!$I$2:$I$904,MATCH(A1523,consolid1!$B$2:$B$904,0))</f>
        <v>#N/A</v>
      </c>
      <c r="F1523" s="4" t="str">
        <f t="array" ref="F1523">INDEX(consolid1!$G$2:$G1534,MATCH(A1523,consolid1!$B$2:$B1534,0))</f>
        <v>#N/A</v>
      </c>
    </row>
    <row r="1524">
      <c r="A1524" s="4" t="s">
        <v>2013</v>
      </c>
      <c r="B1524" s="3">
        <v>0.0</v>
      </c>
      <c r="C1524" s="3" t="s">
        <v>6</v>
      </c>
      <c r="D1524" s="4" t="str">
        <f t="shared" si="1"/>
        <v>SANS</v>
      </c>
      <c r="E1524" s="4" t="str">
        <f t="array" ref="E1524">INDEX(consolid1!$I$2:$I$904,MATCH(A1524,consolid1!$B$2:$B$904,0))</f>
        <v>#N/A</v>
      </c>
      <c r="F1524" s="4" t="str">
        <f t="array" ref="F1524">INDEX(consolid1!$G$2:$G1534,MATCH(A1524,consolid1!$B$2:$B1534,0))</f>
        <v>#N/A</v>
      </c>
    </row>
    <row r="1525">
      <c r="A1525" s="4" t="s">
        <v>2016</v>
      </c>
      <c r="B1525" s="3">
        <v>0.0</v>
      </c>
      <c r="C1525" s="3" t="s">
        <v>29</v>
      </c>
      <c r="D1525" s="4" t="str">
        <f t="shared" si="1"/>
        <v>SANS</v>
      </c>
      <c r="E1525" s="4" t="str">
        <f t="array" ref="E1525">INDEX(consolid1!$I$2:$I$904,MATCH(A1525,consolid1!$B$2:$B$904,0))</f>
        <v>#N/A</v>
      </c>
      <c r="F1525" s="4" t="str">
        <f t="array" ref="F1525">INDEX(consolid1!$G$2:$G1534,MATCH(A1525,consolid1!$B$2:$B1534,0))</f>
        <v>#N/A</v>
      </c>
    </row>
    <row r="1526">
      <c r="A1526" s="4" t="s">
        <v>2017</v>
      </c>
      <c r="B1526" s="3">
        <v>0.0</v>
      </c>
      <c r="C1526" s="3" t="s">
        <v>3</v>
      </c>
      <c r="D1526" s="4" t="str">
        <f t="shared" si="1"/>
        <v>SANS</v>
      </c>
      <c r="E1526" s="4" t="str">
        <f t="array" ref="E1526">INDEX(consolid1!$I$2:$I$904,MATCH(A1526,consolid1!$B$2:$B$904,0))</f>
        <v>Emploi, insertion professionnelle, formation</v>
      </c>
      <c r="F1526" s="4" t="str">
        <f t="array" ref="F1526">INDEX(consolid1!$G$2:$G1534,MATCH(A1526,consolid1!$B$2:$B1534,0))</f>
        <v>null</v>
      </c>
    </row>
    <row r="1527">
      <c r="A1527" s="4" t="s">
        <v>2019</v>
      </c>
      <c r="B1527" s="3">
        <v>0.0</v>
      </c>
      <c r="C1527" s="3" t="s">
        <v>29</v>
      </c>
      <c r="D1527" s="4" t="str">
        <f t="shared" si="1"/>
        <v>SANS</v>
      </c>
      <c r="E1527" s="4" t="str">
        <f t="array" ref="E1527">INDEX(consolid1!$I$2:$I$904,MATCH(A1527,consolid1!$B$2:$B$904,0))</f>
        <v>#N/A</v>
      </c>
      <c r="F1527" s="4" t="str">
        <f t="array" ref="F1527">INDEX(consolid1!$G$2:$G1534,MATCH(A1527,consolid1!$B$2:$B1534,0))</f>
        <v>#N/A</v>
      </c>
    </row>
    <row r="1528">
      <c r="A1528" s="4" t="s">
        <v>2020</v>
      </c>
      <c r="B1528" s="3">
        <v>0.0</v>
      </c>
      <c r="C1528" s="3" t="s">
        <v>29</v>
      </c>
      <c r="D1528" s="4" t="str">
        <f t="shared" si="1"/>
        <v>SANS</v>
      </c>
      <c r="E1528" s="4" t="str">
        <f t="array" ref="E1528">INDEX(consolid1!$I$2:$I$904,MATCH(A1528,consolid1!$B$2:$B$904,0))</f>
        <v>#N/A</v>
      </c>
      <c r="F1528" s="4" t="str">
        <f t="array" ref="F1528">INDEX(consolid1!$G$2:$G1534,MATCH(A1528,consolid1!$B$2:$B1534,0))</f>
        <v>#N/A</v>
      </c>
    </row>
    <row r="1529">
      <c r="A1529" s="4" t="s">
        <v>2021</v>
      </c>
      <c r="B1529" s="3">
        <v>0.0</v>
      </c>
      <c r="C1529" s="3" t="s">
        <v>3</v>
      </c>
      <c r="D1529" s="4" t="str">
        <f t="shared" si="1"/>
        <v>SANS</v>
      </c>
      <c r="E1529" s="4" t="str">
        <f t="array" ref="E1529">INDEX(consolid1!$I$2:$I$904,MATCH(A1529,consolid1!$B$2:$B$904,0))</f>
        <v>#N/A</v>
      </c>
      <c r="F1529" s="4" t="str">
        <f t="array" ref="F1529">INDEX(consolid1!$G$2:$G1534,MATCH(A1529,consolid1!$B$2:$B1534,0))</f>
        <v>#N/A</v>
      </c>
    </row>
    <row r="1530">
      <c r="A1530" s="4" t="s">
        <v>2025</v>
      </c>
      <c r="B1530" s="3">
        <v>0.0</v>
      </c>
      <c r="C1530" s="3" t="s">
        <v>32</v>
      </c>
      <c r="D1530" s="4" t="str">
        <f t="shared" si="1"/>
        <v>SANS</v>
      </c>
      <c r="E1530" s="4" t="str">
        <f t="array" ref="E1530">INDEX(consolid1!$I$2:$I$904,MATCH(A1530,consolid1!$B$2:$B$904,0))</f>
        <v>#N/A</v>
      </c>
      <c r="F1530" s="4" t="str">
        <f t="array" ref="F1530">INDEX(consolid1!$G$2:$G1534,MATCH(A1530,consolid1!$B$2:$B1534,0))</f>
        <v>#N/A</v>
      </c>
    </row>
    <row r="1531">
      <c r="A1531" s="4" t="s">
        <v>2026</v>
      </c>
      <c r="B1531" s="3">
        <v>0.0</v>
      </c>
      <c r="C1531" s="3" t="s">
        <v>3</v>
      </c>
      <c r="D1531" s="4" t="str">
        <f t="shared" si="1"/>
        <v>SANS</v>
      </c>
      <c r="E1531" s="4" t="str">
        <f t="array" ref="E1531">INDEX(consolid1!$I$2:$I$904,MATCH(A1531,consolid1!$B$2:$B$904,0))</f>
        <v>#N/A</v>
      </c>
      <c r="F1531" s="4" t="str">
        <f t="array" ref="F1531">INDEX(consolid1!$G$2:$G1534,MATCH(A1531,consolid1!$B$2:$B1534,0))</f>
        <v>#N/A</v>
      </c>
    </row>
    <row r="1532">
      <c r="A1532" s="4" t="s">
        <v>2027</v>
      </c>
      <c r="B1532" s="3">
        <v>0.0</v>
      </c>
      <c r="C1532" s="3" t="s">
        <v>3</v>
      </c>
      <c r="D1532" s="4" t="str">
        <f t="shared" si="1"/>
        <v>SANS</v>
      </c>
      <c r="E1532" s="4" t="str">
        <f t="array" ref="E1532">INDEX(consolid1!$I$2:$I$904,MATCH(A1532,consolid1!$B$2:$B$904,0))</f>
        <v>#N/A</v>
      </c>
      <c r="F1532" s="4" t="str">
        <f t="array" ref="F1532">INDEX(consolid1!$G$2:$G1534,MATCH(A1532,consolid1!$B$2:$B1534,0))</f>
        <v>#N/A</v>
      </c>
    </row>
    <row r="1533">
      <c r="A1533" s="4" t="s">
        <v>2028</v>
      </c>
      <c r="B1533" s="3">
        <v>0.0</v>
      </c>
      <c r="C1533" s="3" t="s">
        <v>29</v>
      </c>
      <c r="D1533" s="4" t="str">
        <f t="shared" si="1"/>
        <v>SANS</v>
      </c>
      <c r="E1533" s="4" t="str">
        <f t="array" ref="E1533">INDEX(consolid1!$I$2:$I$904,MATCH(A1533,consolid1!$B$2:$B$904,0))</f>
        <v>#N/A</v>
      </c>
      <c r="F1533" s="4" t="str">
        <f t="array" ref="F1533">INDEX(consolid1!$G$2:$G1534,MATCH(A1533,consolid1!$B$2:$B1534,0))</f>
        <v>#N/A</v>
      </c>
    </row>
    <row r="1534">
      <c r="A1534" s="4" t="s">
        <v>2029</v>
      </c>
      <c r="B1534" s="3">
        <v>0.0</v>
      </c>
      <c r="C1534" s="3" t="s">
        <v>29</v>
      </c>
      <c r="D1534" s="4" t="str">
        <f t="shared" si="1"/>
        <v>SANS</v>
      </c>
      <c r="E1534" s="4" t="str">
        <f t="array" ref="E1534">INDEX(consolid1!$I$2:$I$904,MATCH(A1534,consolid1!$B$2:$B$904,0))</f>
        <v>#N/A</v>
      </c>
      <c r="F1534" s="4" t="str">
        <f t="array" ref="F1534">INDEX(consolid1!$G$2:$G1534,MATCH(A1534,consolid1!$B$2:$B1534,0))</f>
        <v>#N/A</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38"/>
  </cols>
  <sheetData>
    <row r="1"/>
    <row r="2"/>
    <row r="3"/>
    <row r="4"/>
    <row r="5"/>
    <row r="6"/>
    <row r="7"/>
    <row r="8"/>
    <row r="9"/>
    <row r="10"/>
    <row r="11"/>
    <row r="12"/>
    <row r="13"/>
    <row r="14"/>
    <row r="15"/>
    <row r="16"/>
    <row r="17"/>
    <row r="18"/>
    <row r="19"/>
    <row r="20"/>
  </sheetData>
  <conditionalFormatting sqref="J5">
    <cfRule type="notContainsBlanks" dxfId="7" priority="1">
      <formula>LEN(TRIM(J5))&gt;0</formula>
    </cfRule>
  </conditionalFormatting>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5"/>
  </cols>
  <sheetData>
    <row r="1"/>
    <row r="2"/>
    <row r="3"/>
    <row r="4"/>
    <row r="5"/>
    <row r="6"/>
    <row r="7"/>
    <row r="8"/>
    <row r="9"/>
    <row r="10"/>
  </sheetData>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88"/>
  </cols>
  <sheetData>
    <row r="1"/>
    <row r="2"/>
    <row r="3"/>
    <row r="4"/>
    <row r="5"/>
    <row r="6"/>
    <row r="7"/>
    <row r="8"/>
    <row r="9"/>
    <row r="10"/>
    <row r="11"/>
    <row r="12"/>
    <row r="13"/>
  </sheetData>
  <drawing r:id="rId2"/>
</worksheet>
</file>